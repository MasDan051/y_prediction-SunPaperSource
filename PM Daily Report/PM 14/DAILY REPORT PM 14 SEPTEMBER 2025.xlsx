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K-0120-P-PRD-DI\Documents Network Produksi - PM\2025\9. SEPTEMBER\"/>
    </mc:Choice>
  </mc:AlternateContent>
  <bookViews>
    <workbookView xWindow="-105" yWindow="-105" windowWidth="20730" windowHeight="11760" tabRatio="930" activeTab="6"/>
  </bookViews>
  <sheets>
    <sheet name="Report1" sheetId="48" r:id="rId1"/>
    <sheet name="GRAFIK" sheetId="50" r:id="rId2"/>
    <sheet name="Listrik" sheetId="45" r:id="rId3"/>
    <sheet name="Trim Rwd" sheetId="47" r:id="rId4"/>
    <sheet name="Efficiency1" sheetId="46" r:id="rId5"/>
    <sheet name="Efficiency2" sheetId="57" r:id="rId6"/>
    <sheet name="Chem" sheetId="1" r:id="rId7"/>
    <sheet name="RBP" sheetId="54" r:id="rId8"/>
    <sheet name="BB" sheetId="2" r:id="rId9"/>
    <sheet name="Sheet1" sheetId="56" r:id="rId10"/>
    <sheet name="summary" sheetId="55" r:id="rId11"/>
    <sheet name="30" sheetId="4" r:id="rId12"/>
    <sheet name="29" sheetId="37" r:id="rId13"/>
    <sheet name="28" sheetId="6" r:id="rId14"/>
    <sheet name="27" sheetId="7" r:id="rId15"/>
    <sheet name="26" sheetId="8" r:id="rId16"/>
    <sheet name="25" sheetId="9" r:id="rId17"/>
    <sheet name="24" sheetId="10" r:id="rId18"/>
    <sheet name="23" sheetId="11" r:id="rId19"/>
    <sheet name="22" sheetId="12" r:id="rId20"/>
    <sheet name="21" sheetId="13" r:id="rId21"/>
    <sheet name="20" sheetId="14" r:id="rId22"/>
    <sheet name="19" sheetId="15" r:id="rId23"/>
    <sheet name="18" sheetId="16" r:id="rId24"/>
    <sheet name="17" sheetId="17" r:id="rId25"/>
    <sheet name="16" sheetId="18" r:id="rId26"/>
    <sheet name="15" sheetId="19" r:id="rId27"/>
    <sheet name="14" sheetId="20" r:id="rId28"/>
    <sheet name="13" sheetId="22" r:id="rId29"/>
    <sheet name="12" sheetId="21" r:id="rId30"/>
    <sheet name="11" sheetId="23" r:id="rId31"/>
    <sheet name="10" sheetId="24" r:id="rId32"/>
    <sheet name="9" sheetId="25" r:id="rId33"/>
    <sheet name="8" sheetId="26" r:id="rId34"/>
    <sheet name="7" sheetId="28" r:id="rId35"/>
    <sheet name="6" sheetId="27" r:id="rId36"/>
    <sheet name="5" sheetId="29" r:id="rId37"/>
    <sheet name="4" sheetId="30" r:id="rId38"/>
    <sheet name="3" sheetId="31" r:id="rId39"/>
    <sheet name="2" sheetId="32" r:id="rId40"/>
    <sheet name="1" sheetId="33" r:id="rId41"/>
    <sheet name="31" sheetId="43" r:id="rId42"/>
  </sheets>
  <externalReferences>
    <externalReference r:id="rId43"/>
    <externalReference r:id="rId44"/>
    <externalReference r:id="rId45"/>
  </externalReferences>
  <definedNames>
    <definedName name="_xlnm._FilterDatabase" localSheetId="9" hidden="1">Sheet1!$B$1:$F$121</definedName>
    <definedName name="_xlnm.Print_Area" localSheetId="40">'1'!$A$2:$M$61</definedName>
    <definedName name="_xlnm.Print_Area" localSheetId="31">'10'!$A$2:$M$61</definedName>
    <definedName name="_xlnm.Print_Area" localSheetId="30">'11'!$A$2:$M$61</definedName>
    <definedName name="_xlnm.Print_Area" localSheetId="29">'12'!$A$2:$M$61</definedName>
    <definedName name="_xlnm.Print_Area" localSheetId="28">'13'!$A$1:$M$62</definedName>
    <definedName name="_xlnm.Print_Area" localSheetId="27">'14'!$A$1:$M$61</definedName>
    <definedName name="_xlnm.Print_Area" localSheetId="26">'15'!$A$1:$M$61</definedName>
    <definedName name="_xlnm.Print_Area" localSheetId="24">'17'!$A$1:$M$61</definedName>
    <definedName name="_xlnm.Print_Area" localSheetId="23">'18'!$A$1:$M$61</definedName>
    <definedName name="_xlnm.Print_Area" localSheetId="22">'19'!$A$1:$M$61</definedName>
    <definedName name="_xlnm.Print_Area" localSheetId="39">'2'!$A$2:$M$61</definedName>
    <definedName name="_xlnm.Print_Area" localSheetId="21">'20'!$A$1:$M$62</definedName>
    <definedName name="_xlnm.Print_Area" localSheetId="20">'21'!$A$1:$M$61</definedName>
    <definedName name="_xlnm.Print_Area" localSheetId="19">'22'!$A$1:$M$61</definedName>
    <definedName name="_xlnm.Print_Area" localSheetId="18">'23'!$A$1:$M$61</definedName>
    <definedName name="_xlnm.Print_Area" localSheetId="17">'24'!$A$1:$M$61</definedName>
    <definedName name="_xlnm.Print_Area" localSheetId="16">'25'!$A$1:$M$61</definedName>
    <definedName name="_xlnm.Print_Area" localSheetId="15">'26'!$A$1:$M$61</definedName>
    <definedName name="_xlnm.Print_Area" localSheetId="14">'27'!$A$1:$M$61</definedName>
    <definedName name="_xlnm.Print_Area" localSheetId="13">'28'!$A$1:$M$61</definedName>
    <definedName name="_xlnm.Print_Area" localSheetId="12">'29'!$A$1:$M$61</definedName>
    <definedName name="_xlnm.Print_Area" localSheetId="38">'3'!$A$1:$M$61</definedName>
    <definedName name="_xlnm.Print_Area" localSheetId="11">'30'!$A$1:$M$61</definedName>
    <definedName name="_xlnm.Print_Area" localSheetId="41">'31'!$A$1:$L$63</definedName>
    <definedName name="_xlnm.Print_Area" localSheetId="37">'4'!$A$1:$M$61</definedName>
    <definedName name="_xlnm.Print_Area" localSheetId="36">'5'!$A$1:$M$61</definedName>
    <definedName name="_xlnm.Print_Area" localSheetId="35">'6'!$A$2:$M$61</definedName>
    <definedName name="_xlnm.Print_Area" localSheetId="34">'7'!$A$2:$M$61</definedName>
    <definedName name="_xlnm.Print_Area" localSheetId="33">'8'!$A$2:$M$61</definedName>
    <definedName name="_xlnm.Print_Area" localSheetId="32">'9'!$A$1:$M$62</definedName>
    <definedName name="_xlnm.Print_Area" localSheetId="6">Chem!$CE$6:$CQ$15</definedName>
    <definedName name="_xlnm.Print_Area" localSheetId="4">Efficiency1!$A$1:$AD$150</definedName>
    <definedName name="_xlnm.Print_Area" localSheetId="5">Efficiency2!$A$1:$AD$150</definedName>
    <definedName name="_xlnm.Print_Area" localSheetId="2">Listrik!$A$2:$AT$40</definedName>
    <definedName name="_xlnm.Print_Area" localSheetId="0">Report1!$A$3:$AK$41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45" i="57" l="1"/>
  <c r="AC144" i="57"/>
  <c r="AC140" i="57"/>
  <c r="AC139" i="57"/>
  <c r="AC135" i="57"/>
  <c r="AC134" i="57"/>
  <c r="AC130" i="57"/>
  <c r="AC129" i="57"/>
  <c r="AC125" i="57"/>
  <c r="AC124" i="57"/>
  <c r="AC120" i="57"/>
  <c r="AC119" i="57"/>
  <c r="AC115" i="57"/>
  <c r="AC114" i="57"/>
  <c r="AC110" i="57"/>
  <c r="AC109" i="57"/>
  <c r="AC105" i="57"/>
  <c r="AC104" i="57"/>
  <c r="AC100" i="57"/>
  <c r="AC99" i="57"/>
  <c r="AC95" i="57"/>
  <c r="AC94" i="57"/>
  <c r="AC90" i="57"/>
  <c r="AC89" i="57"/>
  <c r="AC85" i="57"/>
  <c r="AC84" i="57"/>
  <c r="AC80" i="57"/>
  <c r="AC79" i="57"/>
  <c r="AC75" i="57"/>
  <c r="AC74" i="57"/>
  <c r="AC70" i="57"/>
  <c r="AC69" i="57"/>
  <c r="AC65" i="57"/>
  <c r="AC64" i="57"/>
  <c r="AC60" i="57"/>
  <c r="AC59" i="57"/>
  <c r="AC56" i="57"/>
  <c r="AC55" i="57"/>
  <c r="AC51" i="57"/>
  <c r="AC50" i="57"/>
  <c r="AC46" i="57"/>
  <c r="AC45" i="57"/>
  <c r="AC42" i="57"/>
  <c r="AC41" i="57"/>
  <c r="AC36" i="57"/>
  <c r="AC33" i="57"/>
  <c r="AC32" i="57"/>
  <c r="AC31" i="57"/>
  <c r="AC26" i="57"/>
  <c r="AC22" i="57"/>
  <c r="AC19" i="57"/>
  <c r="AC18" i="57"/>
  <c r="AC15" i="57"/>
  <c r="AC14" i="57"/>
  <c r="AC11" i="57"/>
  <c r="AC10" i="57"/>
  <c r="AC6" i="57"/>
  <c r="AC11" i="46"/>
  <c r="AC15" i="46"/>
  <c r="AC19" i="46"/>
  <c r="AC33" i="46"/>
  <c r="AC32" i="46"/>
  <c r="A38" i="45" l="1"/>
  <c r="AP38" i="48" l="1"/>
  <c r="AG37" i="54"/>
  <c r="AG36" i="54"/>
  <c r="AG35" i="54"/>
  <c r="AG34" i="54"/>
  <c r="AG33" i="54"/>
  <c r="AG32" i="54"/>
  <c r="AG31" i="54"/>
  <c r="AG30" i="54"/>
  <c r="AG29" i="54"/>
  <c r="AG28" i="54"/>
  <c r="Y129" i="46" s="1"/>
  <c r="AG27" i="54"/>
  <c r="AG26" i="54"/>
  <c r="AG25" i="54"/>
  <c r="AG24" i="54"/>
  <c r="AG23" i="54"/>
  <c r="AG22" i="54"/>
  <c r="AG21" i="54"/>
  <c r="AG20" i="54"/>
  <c r="AG19" i="54"/>
  <c r="AG18" i="54"/>
  <c r="AG17" i="54"/>
  <c r="AG16" i="54"/>
  <c r="AG15" i="54"/>
  <c r="AG14" i="54"/>
  <c r="AG12" i="54"/>
  <c r="AG11" i="54"/>
  <c r="AG10" i="54"/>
  <c r="AG9" i="54"/>
  <c r="AG8" i="54"/>
  <c r="AG6" i="54"/>
  <c r="Y119" i="46" l="1"/>
  <c r="Y94" i="46"/>
  <c r="Y84" i="46"/>
  <c r="Y69" i="46"/>
  <c r="Y109" i="46"/>
  <c r="Y50" i="46"/>
  <c r="Y124" i="46"/>
  <c r="Y99" i="46"/>
  <c r="N144" i="57"/>
  <c r="J144" i="57"/>
  <c r="N139" i="57"/>
  <c r="J139" i="57"/>
  <c r="N134" i="57"/>
  <c r="J134" i="57"/>
  <c r="N129" i="57"/>
  <c r="J129" i="57"/>
  <c r="N124" i="57"/>
  <c r="J124" i="57"/>
  <c r="N119" i="57"/>
  <c r="J119" i="57"/>
  <c r="N114" i="57"/>
  <c r="J114" i="57"/>
  <c r="N109" i="57"/>
  <c r="J109" i="57"/>
  <c r="N104" i="57"/>
  <c r="J104" i="57"/>
  <c r="N99" i="57"/>
  <c r="J99" i="57"/>
  <c r="N94" i="57"/>
  <c r="J94" i="57"/>
  <c r="N89" i="57"/>
  <c r="J89" i="57"/>
  <c r="N84" i="57"/>
  <c r="J84" i="57"/>
  <c r="N79" i="57"/>
  <c r="J79" i="57"/>
  <c r="N74" i="57"/>
  <c r="J74" i="57"/>
  <c r="N69" i="57"/>
  <c r="J69" i="57"/>
  <c r="N64" i="57"/>
  <c r="J64" i="57"/>
  <c r="N60" i="57"/>
  <c r="J60" i="57"/>
  <c r="N59" i="57"/>
  <c r="J59" i="57"/>
  <c r="N57" i="57"/>
  <c r="J57" i="57"/>
  <c r="N56" i="57"/>
  <c r="J56" i="57"/>
  <c r="N55" i="57"/>
  <c r="J55" i="57"/>
  <c r="N51" i="57"/>
  <c r="J51" i="57"/>
  <c r="N50" i="57"/>
  <c r="J50" i="57"/>
  <c r="N46" i="57"/>
  <c r="J46" i="57"/>
  <c r="N45" i="57"/>
  <c r="J45" i="57"/>
  <c r="N42" i="57"/>
  <c r="J42" i="57"/>
  <c r="N41" i="57"/>
  <c r="J41" i="57"/>
  <c r="N36" i="57"/>
  <c r="K36" i="57" s="1"/>
  <c r="J36" i="57"/>
  <c r="C36" i="57"/>
  <c r="N33" i="57"/>
  <c r="J33" i="57"/>
  <c r="N32" i="57"/>
  <c r="J32" i="57"/>
  <c r="N31" i="57"/>
  <c r="J31" i="57"/>
  <c r="N26" i="57"/>
  <c r="J26" i="57"/>
  <c r="N22" i="57"/>
  <c r="J22" i="57"/>
  <c r="N19" i="57"/>
  <c r="J19" i="57"/>
  <c r="N18" i="57"/>
  <c r="J18" i="57"/>
  <c r="N15" i="57"/>
  <c r="J15" i="57"/>
  <c r="N14" i="57"/>
  <c r="J14" i="57"/>
  <c r="N11" i="57"/>
  <c r="J11" i="57"/>
  <c r="N10" i="57"/>
  <c r="J10" i="57"/>
  <c r="N6" i="57"/>
  <c r="J6" i="57"/>
  <c r="A6" i="57"/>
  <c r="AU147" i="57" l="1"/>
  <c r="AR147" i="57"/>
  <c r="BA147" i="57" s="1"/>
  <c r="AM147" i="57"/>
  <c r="AR146" i="57"/>
  <c r="BA146" i="57" s="1"/>
  <c r="AM146" i="57"/>
  <c r="AR145" i="57"/>
  <c r="BA145" i="57" s="1"/>
  <c r="AM145" i="57"/>
  <c r="AR144" i="57"/>
  <c r="BA144" i="57" s="1"/>
  <c r="AM144" i="57"/>
  <c r="R144" i="57"/>
  <c r="Q144" i="57"/>
  <c r="I80" i="47"/>
  <c r="E80" i="47"/>
  <c r="H80" i="47" s="1"/>
  <c r="O144" i="57" s="1"/>
  <c r="AR147" i="46"/>
  <c r="BA147" i="46" s="1"/>
  <c r="AM147" i="46"/>
  <c r="AR146" i="46"/>
  <c r="BA146" i="46" s="1"/>
  <c r="AM146" i="46"/>
  <c r="AR145" i="46"/>
  <c r="BA145" i="46" s="1"/>
  <c r="AM145" i="46"/>
  <c r="AC145" i="46"/>
  <c r="AR144" i="46"/>
  <c r="BA144" i="46" s="1"/>
  <c r="AM144" i="46"/>
  <c r="N144" i="46"/>
  <c r="J144" i="46"/>
  <c r="K7" i="54"/>
  <c r="H7" i="54"/>
  <c r="C13" i="54"/>
  <c r="AG13" i="54" s="1"/>
  <c r="C7" i="54"/>
  <c r="AG7" i="54" s="1"/>
  <c r="AG4" i="54"/>
  <c r="AG3" i="54"/>
  <c r="F23" i="4"/>
  <c r="F14" i="4"/>
  <c r="Y79" i="46" l="1"/>
  <c r="Y45" i="46"/>
  <c r="Y64" i="46"/>
  <c r="Y104" i="46"/>
  <c r="P144" i="57"/>
  <c r="AD145" i="57"/>
  <c r="T144" i="57"/>
  <c r="AD146" i="57"/>
  <c r="AD144" i="46"/>
  <c r="AD147" i="57"/>
  <c r="AD144" i="57"/>
  <c r="AD147" i="46"/>
  <c r="O144" i="46"/>
  <c r="C144" i="46" s="1"/>
  <c r="N38" i="48" s="1"/>
  <c r="AD145" i="46"/>
  <c r="C144" i="57"/>
  <c r="K144" i="57"/>
  <c r="X144" i="57" s="1"/>
  <c r="AD146" i="46"/>
  <c r="U144" i="57"/>
  <c r="AA144" i="57" s="1"/>
  <c r="V144" i="57"/>
  <c r="P144" i="46" l="1"/>
  <c r="K144" i="46"/>
  <c r="L38" i="48" s="1"/>
  <c r="V144" i="46"/>
  <c r="AB144" i="57"/>
  <c r="U144" i="46"/>
  <c r="AA144" i="46" s="1"/>
  <c r="T144" i="46"/>
  <c r="AP37" i="48"/>
  <c r="X144" i="46" l="1"/>
  <c r="AC144" i="46"/>
  <c r="AB144" i="46"/>
  <c r="Z84" i="57"/>
  <c r="Z74" i="57"/>
  <c r="Z59" i="57"/>
  <c r="Z57" i="57"/>
  <c r="Z56" i="57"/>
  <c r="Z55" i="57"/>
  <c r="Z51" i="57"/>
  <c r="Z50" i="57"/>
  <c r="Z46" i="57"/>
  <c r="Z45" i="57"/>
  <c r="Z42" i="57"/>
  <c r="Z41" i="57"/>
  <c r="Z36" i="57"/>
  <c r="W36" i="57"/>
  <c r="Z31" i="57"/>
  <c r="Z26" i="57"/>
  <c r="Z22" i="57"/>
  <c r="Z15" i="57"/>
  <c r="Z11" i="57"/>
  <c r="Z10" i="57"/>
  <c r="Z6" i="57"/>
  <c r="AU142" i="57" l="1"/>
  <c r="AR142" i="57"/>
  <c r="AM142" i="57"/>
  <c r="AR141" i="57"/>
  <c r="BA141" i="57" s="1"/>
  <c r="AM141" i="57"/>
  <c r="AR140" i="57"/>
  <c r="BA140" i="57" s="1"/>
  <c r="AM140" i="57"/>
  <c r="AR139" i="57"/>
  <c r="BA139" i="57" s="1"/>
  <c r="AM139" i="57"/>
  <c r="R139" i="57"/>
  <c r="Q139" i="57"/>
  <c r="I78" i="47"/>
  <c r="E78" i="47"/>
  <c r="H78" i="47" s="1"/>
  <c r="AR142" i="46"/>
  <c r="BA142" i="46" s="1"/>
  <c r="AM142" i="46"/>
  <c r="AR141" i="46"/>
  <c r="BA141" i="46" s="1"/>
  <c r="AM141" i="46"/>
  <c r="AR140" i="46"/>
  <c r="BA140" i="46" s="1"/>
  <c r="AM140" i="46"/>
  <c r="AC140" i="46"/>
  <c r="AR139" i="46"/>
  <c r="BA139" i="46" s="1"/>
  <c r="AM139" i="46"/>
  <c r="N139" i="46"/>
  <c r="J139" i="46"/>
  <c r="F23" i="37"/>
  <c r="F14" i="37"/>
  <c r="O139" i="57" l="1"/>
  <c r="T139" i="57" s="1"/>
  <c r="O139" i="46"/>
  <c r="K139" i="46" s="1"/>
  <c r="L37" i="48" s="1"/>
  <c r="AD139" i="57"/>
  <c r="AD141" i="57"/>
  <c r="AD140" i="46"/>
  <c r="BA142" i="57"/>
  <c r="AD142" i="57" s="1"/>
  <c r="AD141" i="46"/>
  <c r="AD142" i="46"/>
  <c r="AD140" i="57"/>
  <c r="AD139" i="46"/>
  <c r="P139" i="57" l="1"/>
  <c r="U139" i="57"/>
  <c r="V139" i="57"/>
  <c r="V139" i="46"/>
  <c r="P139" i="46"/>
  <c r="C139" i="57"/>
  <c r="K139" i="57"/>
  <c r="X139" i="46"/>
  <c r="T139" i="46"/>
  <c r="AC139" i="46" s="1"/>
  <c r="U139" i="46"/>
  <c r="C139" i="46"/>
  <c r="N37" i="48" s="1"/>
  <c r="AP35" i="48"/>
  <c r="AP36" i="48"/>
  <c r="BA37" i="48" l="1"/>
  <c r="X139" i="57"/>
  <c r="F23" i="6"/>
  <c r="F14" i="6"/>
  <c r="F23" i="7"/>
  <c r="F14" i="7"/>
  <c r="I76" i="47" l="1"/>
  <c r="E76" i="47"/>
  <c r="H76" i="47" s="1"/>
  <c r="O134" i="57" s="1"/>
  <c r="E74" i="47"/>
  <c r="H74" i="47" s="1"/>
  <c r="O129" i="57" s="1"/>
  <c r="AU137" i="57"/>
  <c r="AR137" i="57"/>
  <c r="AM137" i="57"/>
  <c r="AR136" i="57"/>
  <c r="BA136" i="57" s="1"/>
  <c r="AM136" i="57"/>
  <c r="AR135" i="57"/>
  <c r="BA135" i="57" s="1"/>
  <c r="AM135" i="57"/>
  <c r="AR134" i="57"/>
  <c r="BA134" i="57" s="1"/>
  <c r="AM134" i="57"/>
  <c r="R134" i="57"/>
  <c r="Q134" i="57"/>
  <c r="AU132" i="57"/>
  <c r="AR132" i="57"/>
  <c r="AM132" i="57"/>
  <c r="AR131" i="57"/>
  <c r="BA131" i="57" s="1"/>
  <c r="AM131" i="57"/>
  <c r="AR130" i="57"/>
  <c r="BA130" i="57" s="1"/>
  <c r="AM130" i="57"/>
  <c r="AR129" i="57"/>
  <c r="BA129" i="57" s="1"/>
  <c r="AM129" i="57"/>
  <c r="R129" i="57"/>
  <c r="Q129" i="57"/>
  <c r="AR137" i="46"/>
  <c r="BA137" i="46" s="1"/>
  <c r="AM137" i="46"/>
  <c r="AR136" i="46"/>
  <c r="BA136" i="46" s="1"/>
  <c r="AM136" i="46"/>
  <c r="AR135" i="46"/>
  <c r="BA135" i="46" s="1"/>
  <c r="AM135" i="46"/>
  <c r="AC135" i="46"/>
  <c r="AR134" i="46"/>
  <c r="BA134" i="46" s="1"/>
  <c r="AM134" i="46"/>
  <c r="N134" i="46"/>
  <c r="J134" i="46"/>
  <c r="AR132" i="46"/>
  <c r="BA132" i="46" s="1"/>
  <c r="AM132" i="46"/>
  <c r="AR131" i="46"/>
  <c r="BA131" i="46" s="1"/>
  <c r="AM131" i="46"/>
  <c r="AR130" i="46"/>
  <c r="BA130" i="46" s="1"/>
  <c r="AM130" i="46"/>
  <c r="AC130" i="46"/>
  <c r="AR129" i="46"/>
  <c r="BA129" i="46" s="1"/>
  <c r="AM129" i="46"/>
  <c r="N129" i="46"/>
  <c r="J129" i="46"/>
  <c r="AD136" i="57" l="1"/>
  <c r="AD130" i="46"/>
  <c r="C129" i="57"/>
  <c r="K129" i="57"/>
  <c r="C134" i="57"/>
  <c r="K134" i="57"/>
  <c r="AD131" i="57"/>
  <c r="AD134" i="57"/>
  <c r="AD129" i="57"/>
  <c r="AD135" i="57"/>
  <c r="AD134" i="46"/>
  <c r="AD137" i="46"/>
  <c r="AD130" i="57"/>
  <c r="O134" i="46"/>
  <c r="V134" i="46" s="1"/>
  <c r="P129" i="57"/>
  <c r="O129" i="46"/>
  <c r="U129" i="46" s="1"/>
  <c r="T134" i="57"/>
  <c r="P134" i="57"/>
  <c r="AD129" i="46"/>
  <c r="AD135" i="46"/>
  <c r="BA137" i="57"/>
  <c r="AD137" i="57" s="1"/>
  <c r="AD132" i="46"/>
  <c r="AD136" i="46"/>
  <c r="U134" i="57"/>
  <c r="AD131" i="46"/>
  <c r="BA132" i="57"/>
  <c r="AD132" i="57" s="1"/>
  <c r="T129" i="57"/>
  <c r="V134" i="57"/>
  <c r="V129" i="57"/>
  <c r="AP34" i="48"/>
  <c r="C129" i="46" l="1"/>
  <c r="N35" i="48" s="1"/>
  <c r="V129" i="46"/>
  <c r="K134" i="46"/>
  <c r="X134" i="46" s="1"/>
  <c r="BA36" i="48"/>
  <c r="X134" i="57"/>
  <c r="U134" i="46"/>
  <c r="P134" i="46"/>
  <c r="T134" i="46"/>
  <c r="C134" i="46"/>
  <c r="N36" i="48" s="1"/>
  <c r="U129" i="57"/>
  <c r="P129" i="46"/>
  <c r="K129" i="46"/>
  <c r="T129" i="46"/>
  <c r="AC129" i="46" s="1"/>
  <c r="AU127" i="57"/>
  <c r="AR127" i="57"/>
  <c r="AM127" i="57"/>
  <c r="AR126" i="57"/>
  <c r="BA126" i="57" s="1"/>
  <c r="AM126" i="57"/>
  <c r="AR125" i="57"/>
  <c r="BA125" i="57" s="1"/>
  <c r="AM125" i="57"/>
  <c r="AR124" i="57"/>
  <c r="BA124" i="57" s="1"/>
  <c r="AM124" i="57"/>
  <c r="R124" i="57"/>
  <c r="Q124" i="57"/>
  <c r="I72" i="47"/>
  <c r="E72" i="47"/>
  <c r="H72" i="47" s="1"/>
  <c r="O124" i="57" s="1"/>
  <c r="AR127" i="46"/>
  <c r="BA127" i="46" s="1"/>
  <c r="AM127" i="46"/>
  <c r="AR126" i="46"/>
  <c r="BA126" i="46" s="1"/>
  <c r="AM126" i="46"/>
  <c r="AR125" i="46"/>
  <c r="BA125" i="46" s="1"/>
  <c r="AM125" i="46"/>
  <c r="AC125" i="46"/>
  <c r="AR124" i="46"/>
  <c r="BA124" i="46" s="1"/>
  <c r="AM124" i="46"/>
  <c r="N124" i="46"/>
  <c r="J124" i="46"/>
  <c r="F23" i="8"/>
  <c r="F14" i="8"/>
  <c r="AC134" i="46" l="1"/>
  <c r="L36" i="48"/>
  <c r="C124" i="57"/>
  <c r="K124" i="57"/>
  <c r="X124" i="57" s="1"/>
  <c r="AD125" i="46"/>
  <c r="AD126" i="46"/>
  <c r="AD127" i="46"/>
  <c r="BA127" i="57"/>
  <c r="AD127" i="57" s="1"/>
  <c r="BA35" i="48"/>
  <c r="X129" i="57"/>
  <c r="AD126" i="57"/>
  <c r="L35" i="48"/>
  <c r="X129" i="46"/>
  <c r="O124" i="46"/>
  <c r="C124" i="46" s="1"/>
  <c r="N34" i="48" s="1"/>
  <c r="V124" i="57"/>
  <c r="U124" i="57"/>
  <c r="AD124" i="57"/>
  <c r="AD125" i="57"/>
  <c r="P124" i="57"/>
  <c r="T124" i="57"/>
  <c r="AD124" i="46"/>
  <c r="V124" i="46" l="1"/>
  <c r="K124" i="46"/>
  <c r="L34" i="48" s="1"/>
  <c r="T124" i="46"/>
  <c r="P124" i="46"/>
  <c r="U124" i="46"/>
  <c r="BA34" i="48"/>
  <c r="AP33" i="48"/>
  <c r="X124" i="46" l="1"/>
  <c r="AC124" i="46"/>
  <c r="AR122" i="46"/>
  <c r="BA122" i="46" s="1"/>
  <c r="AM122" i="46"/>
  <c r="AR121" i="46"/>
  <c r="BA121" i="46" s="1"/>
  <c r="AM121" i="46"/>
  <c r="AR120" i="46"/>
  <c r="BA120" i="46" s="1"/>
  <c r="AM120" i="46"/>
  <c r="AC120" i="46"/>
  <c r="AR119" i="46"/>
  <c r="BA119" i="46" s="1"/>
  <c r="AM119" i="46"/>
  <c r="N119" i="46"/>
  <c r="J119" i="46"/>
  <c r="AD120" i="46" l="1"/>
  <c r="AD122" i="46"/>
  <c r="AD119" i="46"/>
  <c r="AD121" i="46"/>
  <c r="AP32" i="48" l="1"/>
  <c r="I70" i="47" l="1"/>
  <c r="E70" i="47"/>
  <c r="H70" i="47" s="1"/>
  <c r="O119" i="57" s="1"/>
  <c r="AU122" i="57"/>
  <c r="AR122" i="57"/>
  <c r="BA122" i="57" s="1"/>
  <c r="AM122" i="57"/>
  <c r="AR121" i="57"/>
  <c r="BA121" i="57" s="1"/>
  <c r="AM121" i="57"/>
  <c r="AR120" i="57"/>
  <c r="BA120" i="57" s="1"/>
  <c r="AM120" i="57"/>
  <c r="AR119" i="57"/>
  <c r="BA119" i="57" s="1"/>
  <c r="AM119" i="57"/>
  <c r="R119" i="57"/>
  <c r="Q119" i="57"/>
  <c r="F23" i="9"/>
  <c r="F14" i="9"/>
  <c r="C119" i="57" l="1"/>
  <c r="K119" i="57"/>
  <c r="X119" i="57" s="1"/>
  <c r="O119" i="46"/>
  <c r="U119" i="57"/>
  <c r="AD122" i="57"/>
  <c r="AD119" i="57"/>
  <c r="AD120" i="57"/>
  <c r="AD121" i="57"/>
  <c r="V119" i="57"/>
  <c r="P119" i="57"/>
  <c r="T119" i="57"/>
  <c r="AU117" i="57"/>
  <c r="AR117" i="57"/>
  <c r="BA117" i="57" s="1"/>
  <c r="AM117" i="57"/>
  <c r="AR116" i="57"/>
  <c r="BA116" i="57" s="1"/>
  <c r="AM116" i="57"/>
  <c r="AR115" i="57"/>
  <c r="BA115" i="57" s="1"/>
  <c r="AM115" i="57"/>
  <c r="AR114" i="57"/>
  <c r="BA114" i="57" s="1"/>
  <c r="AM114" i="57"/>
  <c r="AD114" i="57" s="1"/>
  <c r="R114" i="57"/>
  <c r="Q114" i="57"/>
  <c r="I68" i="47"/>
  <c r="E68" i="47"/>
  <c r="H68" i="47" s="1"/>
  <c r="O114" i="57" s="1"/>
  <c r="AR117" i="46"/>
  <c r="BA117" i="46" s="1"/>
  <c r="AM117" i="46"/>
  <c r="AR116" i="46"/>
  <c r="BA116" i="46" s="1"/>
  <c r="AM116" i="46"/>
  <c r="AR115" i="46"/>
  <c r="BA115" i="46" s="1"/>
  <c r="AM115" i="46"/>
  <c r="AC115" i="46"/>
  <c r="AR114" i="46"/>
  <c r="BA114" i="46" s="1"/>
  <c r="AM114" i="46"/>
  <c r="N114" i="46"/>
  <c r="J114" i="46"/>
  <c r="F23" i="10"/>
  <c r="F14" i="10"/>
  <c r="AD115" i="57" l="1"/>
  <c r="C114" i="57"/>
  <c r="K114" i="57"/>
  <c r="BA33" i="48"/>
  <c r="AD115" i="46"/>
  <c r="AD117" i="57"/>
  <c r="U114" i="57"/>
  <c r="T119" i="46"/>
  <c r="V119" i="46"/>
  <c r="U119" i="46"/>
  <c r="C119" i="46"/>
  <c r="N33" i="48" s="1"/>
  <c r="K119" i="46"/>
  <c r="P119" i="46"/>
  <c r="AD116" i="57"/>
  <c r="O114" i="46"/>
  <c r="V114" i="46" s="1"/>
  <c r="AD116" i="46"/>
  <c r="AD117" i="46"/>
  <c r="V114" i="57"/>
  <c r="P114" i="57"/>
  <c r="T114" i="57"/>
  <c r="AD114" i="46"/>
  <c r="P114" i="46" l="1"/>
  <c r="K114" i="46"/>
  <c r="L32" i="48" s="1"/>
  <c r="BA32" i="48"/>
  <c r="X114" i="57"/>
  <c r="L33" i="48"/>
  <c r="AC119" i="46"/>
  <c r="X119" i="46"/>
  <c r="C114" i="46"/>
  <c r="N32" i="48" s="1"/>
  <c r="U114" i="46"/>
  <c r="T114" i="46"/>
  <c r="X114" i="46" l="1"/>
  <c r="AC114" i="46"/>
  <c r="AP31" i="48"/>
  <c r="I66" i="47" l="1"/>
  <c r="I64" i="47"/>
  <c r="E66" i="47"/>
  <c r="H66" i="47" s="1"/>
  <c r="O109" i="57" s="1"/>
  <c r="O109" i="46" l="1"/>
  <c r="U109" i="46" s="1"/>
  <c r="AU112" i="57"/>
  <c r="AR112" i="57"/>
  <c r="BA112" i="57" s="1"/>
  <c r="AM112" i="57"/>
  <c r="AR111" i="57"/>
  <c r="BA111" i="57" s="1"/>
  <c r="AM111" i="57"/>
  <c r="AR110" i="57"/>
  <c r="BA110" i="57" s="1"/>
  <c r="AM110" i="57"/>
  <c r="AR109" i="57"/>
  <c r="BA109" i="57" s="1"/>
  <c r="AM109" i="57"/>
  <c r="AD109" i="57" s="1"/>
  <c r="R109" i="57"/>
  <c r="Q109" i="57"/>
  <c r="C109" i="57" s="1"/>
  <c r="U109" i="57"/>
  <c r="AR112" i="46"/>
  <c r="BA112" i="46" s="1"/>
  <c r="AM112" i="46"/>
  <c r="AR111" i="46"/>
  <c r="BA111" i="46" s="1"/>
  <c r="AM111" i="46"/>
  <c r="AR110" i="46"/>
  <c r="BA110" i="46" s="1"/>
  <c r="AM110" i="46"/>
  <c r="AC110" i="46"/>
  <c r="AR109" i="46"/>
  <c r="BA109" i="46" s="1"/>
  <c r="AM109" i="46"/>
  <c r="N109" i="46"/>
  <c r="J109" i="46"/>
  <c r="AD111" i="57" l="1"/>
  <c r="K109" i="57"/>
  <c r="AD110" i="57"/>
  <c r="AD109" i="46"/>
  <c r="K109" i="46"/>
  <c r="L31" i="48" s="1"/>
  <c r="AD110" i="46"/>
  <c r="V109" i="46"/>
  <c r="V109" i="57"/>
  <c r="AD111" i="46"/>
  <c r="AD112" i="46"/>
  <c r="AD112" i="57"/>
  <c r="P109" i="57"/>
  <c r="T109" i="57"/>
  <c r="T109" i="46"/>
  <c r="C109" i="46"/>
  <c r="N31" i="48" s="1"/>
  <c r="P109" i="46"/>
  <c r="AC109" i="46" l="1"/>
  <c r="BA31" i="48"/>
  <c r="X109" i="57"/>
  <c r="X109" i="46"/>
  <c r="F23" i="11"/>
  <c r="F14" i="11"/>
  <c r="Z84" i="46" l="1"/>
  <c r="Z74" i="46"/>
  <c r="Z57" i="46"/>
  <c r="Z45" i="46"/>
  <c r="AA139" i="57" l="1"/>
  <c r="AB139" i="57" s="1"/>
  <c r="Y79" i="57"/>
  <c r="AA139" i="46"/>
  <c r="AB139" i="46" s="1"/>
  <c r="Y104" i="57"/>
  <c r="Y45" i="57"/>
  <c r="Y64" i="57"/>
  <c r="AP30" i="48"/>
  <c r="E64" i="47" l="1"/>
  <c r="H64" i="47" s="1"/>
  <c r="O104" i="57" s="1"/>
  <c r="AU107" i="57"/>
  <c r="AR107" i="57"/>
  <c r="AM107" i="57"/>
  <c r="AR106" i="57"/>
  <c r="BA106" i="57" s="1"/>
  <c r="AM106" i="57"/>
  <c r="AR105" i="57"/>
  <c r="BA105" i="57" s="1"/>
  <c r="AM105" i="57"/>
  <c r="AR104" i="57"/>
  <c r="BA104" i="57" s="1"/>
  <c r="AM104" i="57"/>
  <c r="R104" i="57"/>
  <c r="Q104" i="57"/>
  <c r="AR107" i="46"/>
  <c r="BA107" i="46" s="1"/>
  <c r="AM107" i="46"/>
  <c r="AR106" i="46"/>
  <c r="BA106" i="46" s="1"/>
  <c r="AM106" i="46"/>
  <c r="AR105" i="46"/>
  <c r="BA105" i="46" s="1"/>
  <c r="AM105" i="46"/>
  <c r="AC105" i="46"/>
  <c r="AR104" i="46"/>
  <c r="BA104" i="46" s="1"/>
  <c r="AM104" i="46"/>
  <c r="N104" i="46"/>
  <c r="J104" i="46"/>
  <c r="F23" i="12"/>
  <c r="F14" i="12"/>
  <c r="K104" i="57" l="1"/>
  <c r="C104" i="57"/>
  <c r="AD106" i="57"/>
  <c r="AD104" i="57"/>
  <c r="BA107" i="57"/>
  <c r="AD107" i="57" s="1"/>
  <c r="AD105" i="46"/>
  <c r="AD106" i="46"/>
  <c r="O104" i="46"/>
  <c r="U104" i="46" s="1"/>
  <c r="V104" i="57"/>
  <c r="AD105" i="57"/>
  <c r="AD107" i="46"/>
  <c r="AD104" i="46"/>
  <c r="P104" i="57" l="1"/>
  <c r="C104" i="46"/>
  <c r="N30" i="48" s="1"/>
  <c r="K104" i="46"/>
  <c r="L30" i="48" s="1"/>
  <c r="V104" i="46"/>
  <c r="T104" i="46"/>
  <c r="P104" i="46"/>
  <c r="U104" i="57"/>
  <c r="X104" i="57"/>
  <c r="T104" i="57"/>
  <c r="AP28" i="48"/>
  <c r="AP29" i="48"/>
  <c r="AC104" i="46" l="1"/>
  <c r="X104" i="46"/>
  <c r="BA30" i="48"/>
  <c r="I62" i="47"/>
  <c r="I60" i="47"/>
  <c r="I58" i="47"/>
  <c r="I56" i="47"/>
  <c r="I54" i="47"/>
  <c r="I52" i="47"/>
  <c r="I50" i="47"/>
  <c r="E62" i="47"/>
  <c r="H62" i="47" s="1"/>
  <c r="O99" i="57" s="1"/>
  <c r="E60" i="47"/>
  <c r="H60" i="47" s="1"/>
  <c r="O94" i="57" s="1"/>
  <c r="Q99" i="57"/>
  <c r="R99" i="57"/>
  <c r="AM99" i="57"/>
  <c r="AR99" i="57"/>
  <c r="BA99" i="57" s="1"/>
  <c r="AM100" i="57"/>
  <c r="AR100" i="57"/>
  <c r="BA100" i="57" s="1"/>
  <c r="AM101" i="57"/>
  <c r="AR101" i="57"/>
  <c r="BA101" i="57" s="1"/>
  <c r="AM102" i="57"/>
  <c r="AR102" i="57"/>
  <c r="AU102" i="57"/>
  <c r="Q94" i="57"/>
  <c r="R94" i="57"/>
  <c r="AM94" i="57"/>
  <c r="AR94" i="57"/>
  <c r="BA94" i="57" s="1"/>
  <c r="AM95" i="57"/>
  <c r="AR95" i="57"/>
  <c r="BA95" i="57" s="1"/>
  <c r="AM96" i="57"/>
  <c r="AR96" i="57"/>
  <c r="BA96" i="57" s="1"/>
  <c r="AM97" i="57"/>
  <c r="AR97" i="57"/>
  <c r="AU97" i="57"/>
  <c r="AR102" i="46"/>
  <c r="BA102" i="46" s="1"/>
  <c r="AM102" i="46"/>
  <c r="AR101" i="46"/>
  <c r="BA101" i="46" s="1"/>
  <c r="AM101" i="46"/>
  <c r="AR100" i="46"/>
  <c r="BA100" i="46" s="1"/>
  <c r="AM100" i="46"/>
  <c r="AC100" i="46"/>
  <c r="AR99" i="46"/>
  <c r="BA99" i="46" s="1"/>
  <c r="AM99" i="46"/>
  <c r="N99" i="46"/>
  <c r="J99" i="46"/>
  <c r="AR97" i="46"/>
  <c r="BA97" i="46" s="1"/>
  <c r="AM97" i="46"/>
  <c r="AR96" i="46"/>
  <c r="BA96" i="46" s="1"/>
  <c r="AM96" i="46"/>
  <c r="AR95" i="46"/>
  <c r="BA95" i="46" s="1"/>
  <c r="AM95" i="46"/>
  <c r="AC95" i="46"/>
  <c r="AR94" i="46"/>
  <c r="BA94" i="46" s="1"/>
  <c r="AM94" i="46"/>
  <c r="N94" i="46"/>
  <c r="J94" i="46"/>
  <c r="F23" i="13"/>
  <c r="F14" i="13"/>
  <c r="F23" i="14"/>
  <c r="F14" i="14"/>
  <c r="C94" i="57" l="1"/>
  <c r="K94" i="57"/>
  <c r="C99" i="57"/>
  <c r="K99" i="57"/>
  <c r="X99" i="57" s="1"/>
  <c r="AD101" i="57"/>
  <c r="AD95" i="46"/>
  <c r="BA97" i="57"/>
  <c r="AD97" i="57" s="1"/>
  <c r="AD100" i="46"/>
  <c r="AD101" i="46"/>
  <c r="AD96" i="57"/>
  <c r="O94" i="46"/>
  <c r="U94" i="46" s="1"/>
  <c r="AD99" i="57"/>
  <c r="AD102" i="46"/>
  <c r="O99" i="46"/>
  <c r="T99" i="46" s="1"/>
  <c r="AD96" i="46"/>
  <c r="AD99" i="46"/>
  <c r="AD97" i="46"/>
  <c r="BA102" i="57"/>
  <c r="AD102" i="57" s="1"/>
  <c r="AD100" i="57"/>
  <c r="P99" i="57"/>
  <c r="V99" i="57"/>
  <c r="U99" i="57"/>
  <c r="T99" i="57"/>
  <c r="AD94" i="57"/>
  <c r="AD95" i="57"/>
  <c r="AD94" i="46"/>
  <c r="AP27" i="48"/>
  <c r="C94" i="46" l="1"/>
  <c r="N28" i="48" s="1"/>
  <c r="V94" i="46"/>
  <c r="BA29" i="48"/>
  <c r="T94" i="57"/>
  <c r="U94" i="57"/>
  <c r="X94" i="57"/>
  <c r="P94" i="57"/>
  <c r="V94" i="57"/>
  <c r="P94" i="46"/>
  <c r="P99" i="46"/>
  <c r="V99" i="46"/>
  <c r="K99" i="46"/>
  <c r="C99" i="46"/>
  <c r="N29" i="48" s="1"/>
  <c r="U99" i="46"/>
  <c r="T94" i="46"/>
  <c r="K94" i="46"/>
  <c r="E58" i="47"/>
  <c r="H58" i="47" s="1"/>
  <c r="O89" i="57" s="1"/>
  <c r="AU92" i="57"/>
  <c r="AR92" i="57"/>
  <c r="AM92" i="57"/>
  <c r="AR91" i="57"/>
  <c r="BA91" i="57" s="1"/>
  <c r="AM91" i="57"/>
  <c r="AR90" i="57"/>
  <c r="BA90" i="57" s="1"/>
  <c r="AM90" i="57"/>
  <c r="AR89" i="57"/>
  <c r="BA89" i="57" s="1"/>
  <c r="AM89" i="57"/>
  <c r="R89" i="57"/>
  <c r="Q89" i="57"/>
  <c r="AR92" i="46"/>
  <c r="BA92" i="46" s="1"/>
  <c r="AM92" i="46"/>
  <c r="AR91" i="46"/>
  <c r="BA91" i="46" s="1"/>
  <c r="AM91" i="46"/>
  <c r="AR90" i="46"/>
  <c r="BA90" i="46" s="1"/>
  <c r="AM90" i="46"/>
  <c r="AC90" i="46"/>
  <c r="AR89" i="46"/>
  <c r="BA89" i="46" s="1"/>
  <c r="AM89" i="46"/>
  <c r="N89" i="46"/>
  <c r="J89" i="46"/>
  <c r="F23" i="15"/>
  <c r="F14" i="15"/>
  <c r="C89" i="57" l="1"/>
  <c r="K89" i="57"/>
  <c r="AD90" i="57"/>
  <c r="AD91" i="57"/>
  <c r="BA28" i="48"/>
  <c r="AD90" i="46"/>
  <c r="AD89" i="57"/>
  <c r="L29" i="48"/>
  <c r="X99" i="46"/>
  <c r="AC99" i="46"/>
  <c r="AC94" i="46"/>
  <c r="X94" i="46"/>
  <c r="L28" i="48"/>
  <c r="U89" i="57"/>
  <c r="P89" i="57"/>
  <c r="T89" i="57"/>
  <c r="O89" i="46"/>
  <c r="P89" i="46" s="1"/>
  <c r="AD89" i="46"/>
  <c r="AD91" i="46"/>
  <c r="BA92" i="57"/>
  <c r="AD92" i="57" s="1"/>
  <c r="X89" i="57"/>
  <c r="V89" i="57"/>
  <c r="AD92" i="46"/>
  <c r="E56" i="47"/>
  <c r="H56" i="47" s="1"/>
  <c r="O84" i="57" s="1"/>
  <c r="BA27" i="48" l="1"/>
  <c r="U89" i="46"/>
  <c r="T89" i="46"/>
  <c r="C89" i="46"/>
  <c r="N27" i="48" s="1"/>
  <c r="K89" i="46"/>
  <c r="L27" i="48" s="1"/>
  <c r="O84" i="46"/>
  <c r="V89" i="46"/>
  <c r="AP26" i="48"/>
  <c r="AC89" i="46" l="1"/>
  <c r="X89" i="46"/>
  <c r="AU87" i="57"/>
  <c r="AR87" i="57"/>
  <c r="BA87" i="57" s="1"/>
  <c r="AM87" i="57"/>
  <c r="AR86" i="57"/>
  <c r="BA86" i="57" s="1"/>
  <c r="AM86" i="57"/>
  <c r="AR85" i="57"/>
  <c r="BA85" i="57" s="1"/>
  <c r="AM85" i="57"/>
  <c r="AR84" i="57"/>
  <c r="BA84" i="57" s="1"/>
  <c r="AM84" i="57"/>
  <c r="R84" i="57"/>
  <c r="Q84" i="57"/>
  <c r="AR87" i="46"/>
  <c r="BA87" i="46" s="1"/>
  <c r="AM87" i="46"/>
  <c r="AR86" i="46"/>
  <c r="BA86" i="46" s="1"/>
  <c r="AM86" i="46"/>
  <c r="AR85" i="46"/>
  <c r="BA85" i="46" s="1"/>
  <c r="AM85" i="46"/>
  <c r="AC85" i="46"/>
  <c r="AR84" i="46"/>
  <c r="BA84" i="46" s="1"/>
  <c r="AM84" i="46"/>
  <c r="C84" i="46"/>
  <c r="N26" i="48" s="1"/>
  <c r="N84" i="46"/>
  <c r="J84" i="46"/>
  <c r="T84" i="57" l="1"/>
  <c r="C84" i="57"/>
  <c r="K84" i="57"/>
  <c r="X84" i="57" s="1"/>
  <c r="AD85" i="57"/>
  <c r="AD84" i="46"/>
  <c r="AD85" i="46"/>
  <c r="AD87" i="57"/>
  <c r="U84" i="57"/>
  <c r="AD86" i="46"/>
  <c r="AD86" i="57"/>
  <c r="K84" i="46"/>
  <c r="L26" i="48" s="1"/>
  <c r="AD84" i="57"/>
  <c r="P84" i="57"/>
  <c r="V84" i="57"/>
  <c r="AD87" i="46"/>
  <c r="V84" i="46"/>
  <c r="P84" i="46"/>
  <c r="T84" i="46"/>
  <c r="U84" i="46"/>
  <c r="BA26" i="48" l="1"/>
  <c r="X84" i="46"/>
  <c r="AC84" i="46"/>
  <c r="F23" i="16" l="1"/>
  <c r="F14" i="16"/>
  <c r="AP25" i="48" l="1"/>
  <c r="AU82" i="57"/>
  <c r="AR82" i="57"/>
  <c r="AM82" i="57"/>
  <c r="AR81" i="57"/>
  <c r="BA81" i="57" s="1"/>
  <c r="AM81" i="57"/>
  <c r="AR80" i="57"/>
  <c r="BA80" i="57" s="1"/>
  <c r="AM80" i="57"/>
  <c r="AR79" i="57"/>
  <c r="BA79" i="57" s="1"/>
  <c r="AM79" i="57"/>
  <c r="R79" i="57"/>
  <c r="Q79" i="57"/>
  <c r="BA82" i="57" l="1"/>
  <c r="AD82" i="57"/>
  <c r="AD81" i="57"/>
  <c r="AD80" i="57"/>
  <c r="AD79" i="57"/>
  <c r="E54" i="47" l="1"/>
  <c r="H54" i="47" s="1"/>
  <c r="O79" i="57" s="1"/>
  <c r="N25" i="48"/>
  <c r="AR82" i="46"/>
  <c r="BA82" i="46" s="1"/>
  <c r="AM82" i="46"/>
  <c r="AR81" i="46"/>
  <c r="BA81" i="46" s="1"/>
  <c r="AM81" i="46"/>
  <c r="AR80" i="46"/>
  <c r="BA80" i="46" s="1"/>
  <c r="AM80" i="46"/>
  <c r="AC80" i="46"/>
  <c r="AR79" i="46"/>
  <c r="BA79" i="46" s="1"/>
  <c r="AM79" i="46"/>
  <c r="N79" i="46"/>
  <c r="J79" i="46"/>
  <c r="C79" i="57" l="1"/>
  <c r="K79" i="57"/>
  <c r="O79" i="46"/>
  <c r="V79" i="46" s="1"/>
  <c r="AD80" i="46"/>
  <c r="AD81" i="46"/>
  <c r="AD79" i="46"/>
  <c r="AD82" i="46"/>
  <c r="F23" i="17"/>
  <c r="F14" i="17"/>
  <c r="K79" i="46" l="1"/>
  <c r="T79" i="46"/>
  <c r="U79" i="46"/>
  <c r="C79" i="46"/>
  <c r="P79" i="46"/>
  <c r="X79" i="57"/>
  <c r="T79" i="57"/>
  <c r="V79" i="57"/>
  <c r="U79" i="57"/>
  <c r="P79" i="57"/>
  <c r="AA134" i="57"/>
  <c r="AB134" i="57" s="1"/>
  <c r="Y129" i="57"/>
  <c r="AA129" i="57" s="1"/>
  <c r="AB129" i="57" s="1"/>
  <c r="Y119" i="57" l="1"/>
  <c r="AA119" i="57" s="1"/>
  <c r="AB119" i="57" s="1"/>
  <c r="Y94" i="57"/>
  <c r="AA124" i="46"/>
  <c r="AB124" i="46" s="1"/>
  <c r="Y124" i="57"/>
  <c r="AA124" i="57" s="1"/>
  <c r="AB124" i="57" s="1"/>
  <c r="Y99" i="57"/>
  <c r="AA99" i="57" s="1"/>
  <c r="AB99" i="57" s="1"/>
  <c r="AA109" i="46"/>
  <c r="AB109" i="46" s="1"/>
  <c r="Y84" i="57"/>
  <c r="AA84" i="57" s="1"/>
  <c r="AB84" i="57" s="1"/>
  <c r="Y109" i="57"/>
  <c r="AA109" i="57" s="1"/>
  <c r="AB109" i="57" s="1"/>
  <c r="Y69" i="57"/>
  <c r="Y50" i="57"/>
  <c r="AA129" i="46"/>
  <c r="AB129" i="46" s="1"/>
  <c r="AA134" i="46"/>
  <c r="AB134" i="46" s="1"/>
  <c r="AC79" i="46"/>
  <c r="X79" i="46"/>
  <c r="L25" i="48"/>
  <c r="AA114" i="46"/>
  <c r="AB114" i="46" s="1"/>
  <c r="AA94" i="57"/>
  <c r="AB94" i="57" s="1"/>
  <c r="AA119" i="46"/>
  <c r="AB119" i="46" s="1"/>
  <c r="AA89" i="57"/>
  <c r="AB89" i="57" s="1"/>
  <c r="AA104" i="57"/>
  <c r="AB104" i="57" s="1"/>
  <c r="AA104" i="46"/>
  <c r="AB104" i="46" s="1"/>
  <c r="AA99" i="46"/>
  <c r="AB99" i="46" s="1"/>
  <c r="AA94" i="46"/>
  <c r="AB94" i="46" s="1"/>
  <c r="AA89" i="46"/>
  <c r="AB89" i="46" s="1"/>
  <c r="BA25" i="48"/>
  <c r="AA84" i="46"/>
  <c r="AB84" i="46" s="1"/>
  <c r="E52" i="47"/>
  <c r="H52" i="47" s="1"/>
  <c r="O74" i="57" s="1"/>
  <c r="AU77" i="57"/>
  <c r="AR77" i="57"/>
  <c r="AM77" i="57"/>
  <c r="AR76" i="57"/>
  <c r="BA76" i="57" s="1"/>
  <c r="AM76" i="57"/>
  <c r="AR75" i="57"/>
  <c r="BA75" i="57" s="1"/>
  <c r="AM75" i="57"/>
  <c r="AR74" i="57"/>
  <c r="BA74" i="57" s="1"/>
  <c r="AM74" i="57"/>
  <c r="R74" i="57"/>
  <c r="Q74" i="57"/>
  <c r="AR77" i="46"/>
  <c r="BA77" i="46" s="1"/>
  <c r="AM77" i="46"/>
  <c r="AR76" i="46"/>
  <c r="BA76" i="46" s="1"/>
  <c r="AM76" i="46"/>
  <c r="AR75" i="46"/>
  <c r="BA75" i="46" s="1"/>
  <c r="AM75" i="46"/>
  <c r="AC75" i="46"/>
  <c r="AR74" i="46"/>
  <c r="BA74" i="46" s="1"/>
  <c r="AM74" i="46"/>
  <c r="N74" i="46"/>
  <c r="J74" i="46"/>
  <c r="C74" i="57" l="1"/>
  <c r="K74" i="57"/>
  <c r="AD76" i="46"/>
  <c r="AD75" i="57"/>
  <c r="AD76" i="57"/>
  <c r="AD74" i="57"/>
  <c r="T74" i="57"/>
  <c r="P74" i="57"/>
  <c r="AD75" i="46"/>
  <c r="V74" i="57"/>
  <c r="BA77" i="57"/>
  <c r="AD77" i="57" s="1"/>
  <c r="AD77" i="46"/>
  <c r="O74" i="46"/>
  <c r="V74" i="46" s="1"/>
  <c r="AD74" i="46"/>
  <c r="U74" i="57"/>
  <c r="AA74" i="57" s="1"/>
  <c r="X74" i="57"/>
  <c r="BA24" i="48" l="1"/>
  <c r="P74" i="46"/>
  <c r="C74" i="46"/>
  <c r="N24" i="48" s="1"/>
  <c r="U74" i="46"/>
  <c r="T74" i="46"/>
  <c r="K74" i="46"/>
  <c r="AB74" i="57"/>
  <c r="AP24" i="48"/>
  <c r="AC74" i="46" l="1"/>
  <c r="L24" i="48"/>
  <c r="X74" i="46"/>
  <c r="E50" i="47"/>
  <c r="H50" i="47" s="1"/>
  <c r="O69" i="57" s="1"/>
  <c r="O69" i="46" l="1"/>
  <c r="Q69" i="57"/>
  <c r="C69" i="57" s="1"/>
  <c r="R69" i="57"/>
  <c r="AM69" i="57"/>
  <c r="AR69" i="57"/>
  <c r="BA69" i="57" s="1"/>
  <c r="AM70" i="57"/>
  <c r="AR70" i="57"/>
  <c r="BA70" i="57" s="1"/>
  <c r="AM71" i="57"/>
  <c r="AR71" i="57"/>
  <c r="BA71" i="57" s="1"/>
  <c r="AM72" i="57"/>
  <c r="AR72" i="57"/>
  <c r="AU72" i="57"/>
  <c r="AR72" i="46"/>
  <c r="BA72" i="46" s="1"/>
  <c r="AM72" i="46"/>
  <c r="AR71" i="46"/>
  <c r="BA71" i="46" s="1"/>
  <c r="AM71" i="46"/>
  <c r="AR70" i="46"/>
  <c r="BA70" i="46" s="1"/>
  <c r="AM70" i="46"/>
  <c r="AC70" i="46"/>
  <c r="AR69" i="46"/>
  <c r="BA69" i="46" s="1"/>
  <c r="AM69" i="46"/>
  <c r="N69" i="46"/>
  <c r="J69" i="46"/>
  <c r="K69" i="57" l="1"/>
  <c r="K69" i="46"/>
  <c r="L23" i="48" s="1"/>
  <c r="AD72" i="46"/>
  <c r="AD69" i="57"/>
  <c r="AD71" i="46"/>
  <c r="AD69" i="46"/>
  <c r="AD71" i="57"/>
  <c r="BA72" i="57"/>
  <c r="AD72" i="57" s="1"/>
  <c r="X69" i="57"/>
  <c r="AD70" i="46"/>
  <c r="AD70" i="57"/>
  <c r="P69" i="57"/>
  <c r="V69" i="57"/>
  <c r="U69" i="57"/>
  <c r="AA69" i="57" s="1"/>
  <c r="T69" i="57"/>
  <c r="X69" i="46"/>
  <c r="P69" i="46"/>
  <c r="T69" i="46"/>
  <c r="U69" i="46"/>
  <c r="AA69" i="46" s="1"/>
  <c r="C69" i="46"/>
  <c r="N23" i="48" s="1"/>
  <c r="V69" i="46"/>
  <c r="AC69" i="46" l="1"/>
  <c r="BA23" i="48"/>
  <c r="AB69" i="57"/>
  <c r="AB69" i="46"/>
  <c r="AP23" i="48" l="1"/>
  <c r="F32" i="19" l="1"/>
  <c r="F23" i="19"/>
  <c r="F14" i="19"/>
  <c r="Z59" i="46" l="1"/>
  <c r="AP22" i="48"/>
  <c r="AP21" i="48"/>
  <c r="K7" i="22"/>
  <c r="W60" i="57" s="1"/>
  <c r="C16" i="22"/>
  <c r="C7" i="22"/>
  <c r="K8" i="22" s="1"/>
  <c r="W59" i="57" s="1"/>
  <c r="Q64" i="57"/>
  <c r="Q60" i="57"/>
  <c r="R64" i="57"/>
  <c r="R60" i="57"/>
  <c r="AU67" i="57"/>
  <c r="AU62" i="57"/>
  <c r="AR67" i="57"/>
  <c r="AM67" i="57"/>
  <c r="AR66" i="57"/>
  <c r="BA66" i="57" s="1"/>
  <c r="AM66" i="57"/>
  <c r="AR65" i="57"/>
  <c r="BA65" i="57" s="1"/>
  <c r="AM65" i="57"/>
  <c r="AR64" i="57"/>
  <c r="BA64" i="57" s="1"/>
  <c r="AM64" i="57"/>
  <c r="AR62" i="57"/>
  <c r="BA62" i="57" s="1"/>
  <c r="AM62" i="57"/>
  <c r="AR61" i="57"/>
  <c r="BA61" i="57" s="1"/>
  <c r="AM61" i="57"/>
  <c r="AR60" i="57"/>
  <c r="BA60" i="57" s="1"/>
  <c r="AM60" i="57"/>
  <c r="AR59" i="57"/>
  <c r="BA59" i="57" s="1"/>
  <c r="AM59" i="57"/>
  <c r="I48" i="47"/>
  <c r="E48" i="47"/>
  <c r="H48" i="47" s="1"/>
  <c r="O64" i="57" s="1"/>
  <c r="E46" i="47"/>
  <c r="G46" i="47" s="1"/>
  <c r="H46" i="47" s="1"/>
  <c r="O60" i="57" s="1"/>
  <c r="E45" i="47"/>
  <c r="BA67" i="57" l="1"/>
  <c r="AD67" i="57" s="1"/>
  <c r="K64" i="57"/>
  <c r="C64" i="57"/>
  <c r="AD59" i="57"/>
  <c r="C60" i="57"/>
  <c r="K60" i="57"/>
  <c r="AD65" i="57"/>
  <c r="O60" i="46"/>
  <c r="W60" i="46"/>
  <c r="AD60" i="57"/>
  <c r="O64" i="46"/>
  <c r="X64" i="57"/>
  <c r="AD62" i="57"/>
  <c r="W59" i="46"/>
  <c r="AD61" i="57"/>
  <c r="AD66" i="57"/>
  <c r="U64" i="57"/>
  <c r="P60" i="57"/>
  <c r="T60" i="57"/>
  <c r="U60" i="57"/>
  <c r="AD64" i="57"/>
  <c r="V60" i="57"/>
  <c r="G45" i="47"/>
  <c r="H45" i="47" s="1"/>
  <c r="O59" i="57" s="1"/>
  <c r="C59" i="57" l="1"/>
  <c r="K59" i="57"/>
  <c r="V64" i="57"/>
  <c r="BA22" i="48"/>
  <c r="T64" i="57"/>
  <c r="P64" i="57"/>
  <c r="O59" i="46"/>
  <c r="X59" i="57" l="1"/>
  <c r="P59" i="57"/>
  <c r="U59" i="57"/>
  <c r="T59" i="57"/>
  <c r="V59" i="57"/>
  <c r="BA21" i="48" l="1"/>
  <c r="AQ22" i="2"/>
  <c r="G22" i="2"/>
  <c r="U64" i="46" l="1"/>
  <c r="T64" i="46"/>
  <c r="P64" i="46"/>
  <c r="N64" i="46"/>
  <c r="V64" i="46" s="1"/>
  <c r="J64" i="46"/>
  <c r="C64" i="46"/>
  <c r="N22" i="48" s="1"/>
  <c r="AR67" i="46"/>
  <c r="BA67" i="46" s="1"/>
  <c r="AM67" i="46"/>
  <c r="AR66" i="46"/>
  <c r="BA66" i="46" s="1"/>
  <c r="AM66" i="46"/>
  <c r="AR65" i="46"/>
  <c r="BA65" i="46" s="1"/>
  <c r="AM65" i="46"/>
  <c r="AR64" i="46"/>
  <c r="BA64" i="46" s="1"/>
  <c r="AM64" i="46"/>
  <c r="Q60" i="46"/>
  <c r="R60" i="46"/>
  <c r="N60" i="46"/>
  <c r="J60" i="46"/>
  <c r="C59" i="46"/>
  <c r="N59" i="46"/>
  <c r="J59" i="46"/>
  <c r="AR62" i="46"/>
  <c r="BA62" i="46" s="1"/>
  <c r="AM62" i="46"/>
  <c r="AR61" i="46"/>
  <c r="BA61" i="46" s="1"/>
  <c r="AM61" i="46"/>
  <c r="AR60" i="46"/>
  <c r="BA60" i="46" s="1"/>
  <c r="AM60" i="46"/>
  <c r="AR59" i="46"/>
  <c r="BA59" i="46" s="1"/>
  <c r="AM59" i="46"/>
  <c r="I37" i="22"/>
  <c r="I38" i="22"/>
  <c r="I45" i="47" s="1"/>
  <c r="Q6" i="22"/>
  <c r="Q7" i="22" s="1"/>
  <c r="R11" i="22"/>
  <c r="P11" i="22"/>
  <c r="S11" i="22" s="1"/>
  <c r="R10" i="22"/>
  <c r="P10" i="22"/>
  <c r="S10" i="22" s="1"/>
  <c r="R9" i="22"/>
  <c r="P9" i="22"/>
  <c r="S9" i="22" s="1"/>
  <c r="R8" i="22"/>
  <c r="P8" i="22"/>
  <c r="S8" i="22" s="1"/>
  <c r="P7" i="22"/>
  <c r="P6" i="22"/>
  <c r="AD59" i="46" l="1"/>
  <c r="K64" i="46"/>
  <c r="L22" i="48" s="1"/>
  <c r="AD64" i="46"/>
  <c r="AD66" i="46"/>
  <c r="C60" i="46"/>
  <c r="N21" i="48" s="1"/>
  <c r="V60" i="46"/>
  <c r="K59" i="46"/>
  <c r="T60" i="46"/>
  <c r="AD60" i="46"/>
  <c r="V59" i="46"/>
  <c r="U60" i="46"/>
  <c r="AD67" i="46"/>
  <c r="K60" i="46"/>
  <c r="AD65" i="46"/>
  <c r="AD62" i="46"/>
  <c r="AC65" i="46"/>
  <c r="AD61" i="46"/>
  <c r="P60" i="46"/>
  <c r="P59" i="46"/>
  <c r="T59" i="46"/>
  <c r="U59" i="46"/>
  <c r="S6" i="22"/>
  <c r="R7" i="22"/>
  <c r="S7" i="22"/>
  <c r="R6" i="22"/>
  <c r="Q14" i="22"/>
  <c r="Q15" i="22" s="1"/>
  <c r="X36" i="57"/>
  <c r="AC64" i="46" l="1"/>
  <c r="X59" i="46"/>
  <c r="S14" i="22"/>
  <c r="AC60" i="46"/>
  <c r="AC59" i="46"/>
  <c r="L21" i="48"/>
  <c r="X64" i="46"/>
  <c r="S15" i="22"/>
  <c r="R14" i="22"/>
  <c r="R15" i="22" s="1"/>
  <c r="AR57" i="57"/>
  <c r="BA57" i="57" s="1"/>
  <c r="AM57" i="57"/>
  <c r="AR56" i="57"/>
  <c r="BA56" i="57" s="1"/>
  <c r="AM56" i="57"/>
  <c r="AR55" i="57"/>
  <c r="BA55" i="57" s="1"/>
  <c r="AM55" i="57"/>
  <c r="E43" i="47"/>
  <c r="G43" i="47" s="1"/>
  <c r="H43" i="47" s="1"/>
  <c r="O57" i="57" s="1"/>
  <c r="F42" i="47"/>
  <c r="E42" i="47"/>
  <c r="F41" i="47"/>
  <c r="E41" i="47"/>
  <c r="K7" i="21"/>
  <c r="W55" i="57" s="1"/>
  <c r="C26" i="21"/>
  <c r="K8" i="21" s="1"/>
  <c r="W57" i="57" s="1"/>
  <c r="C25" i="21"/>
  <c r="C17" i="21"/>
  <c r="K12" i="21" s="1"/>
  <c r="W56" i="57" s="1"/>
  <c r="C57" i="57" l="1"/>
  <c r="K57" i="57"/>
  <c r="AD56" i="57"/>
  <c r="W57" i="46"/>
  <c r="W56" i="46"/>
  <c r="W55" i="46"/>
  <c r="AD57" i="57"/>
  <c r="O57" i="46"/>
  <c r="G41" i="47"/>
  <c r="H41" i="47" s="1"/>
  <c r="O55" i="57" s="1"/>
  <c r="AD55" i="57"/>
  <c r="G42" i="47"/>
  <c r="H42" i="47" s="1"/>
  <c r="O56" i="57" s="1"/>
  <c r="P57" i="57"/>
  <c r="AP20" i="48"/>
  <c r="K56" i="57" l="1"/>
  <c r="C56" i="57"/>
  <c r="C55" i="57"/>
  <c r="K55" i="57"/>
  <c r="V57" i="57"/>
  <c r="U57" i="57"/>
  <c r="T57" i="57"/>
  <c r="P55" i="57"/>
  <c r="U55" i="57"/>
  <c r="T55" i="57"/>
  <c r="O55" i="46"/>
  <c r="O56" i="46"/>
  <c r="M4" i="54"/>
  <c r="M3" i="54"/>
  <c r="V55" i="57" l="1"/>
  <c r="P56" i="57"/>
  <c r="V56" i="57"/>
  <c r="X55" i="57"/>
  <c r="U56" i="57"/>
  <c r="T56" i="57"/>
  <c r="AQ21" i="2"/>
  <c r="G21" i="2"/>
  <c r="BA20" i="48" l="1"/>
  <c r="J56" i="46"/>
  <c r="N56" i="46"/>
  <c r="C56" i="46"/>
  <c r="J57" i="46"/>
  <c r="N57" i="46"/>
  <c r="P57" i="46"/>
  <c r="AR57" i="46"/>
  <c r="BA57" i="46" s="1"/>
  <c r="AM57" i="46"/>
  <c r="AR56" i="46"/>
  <c r="BA56" i="46" s="1"/>
  <c r="AM56" i="46"/>
  <c r="Z56" i="46"/>
  <c r="AR55" i="46"/>
  <c r="BA55" i="46" s="1"/>
  <c r="AM55" i="46"/>
  <c r="Z55" i="46"/>
  <c r="U55" i="46"/>
  <c r="N55" i="46"/>
  <c r="K55" i="46" s="1"/>
  <c r="J55" i="46"/>
  <c r="F26" i="21"/>
  <c r="F17" i="21"/>
  <c r="F9" i="21"/>
  <c r="I38" i="21"/>
  <c r="I41" i="47" s="1"/>
  <c r="O42" i="21"/>
  <c r="Y11" i="21"/>
  <c r="W11" i="21"/>
  <c r="Z11" i="21" s="1"/>
  <c r="Y10" i="21"/>
  <c r="W10" i="21"/>
  <c r="Z10" i="21" s="1"/>
  <c r="Y9" i="21"/>
  <c r="W9" i="21"/>
  <c r="Z9" i="21" s="1"/>
  <c r="Y8" i="21"/>
  <c r="Z8" i="21"/>
  <c r="W7" i="21"/>
  <c r="X6" i="21"/>
  <c r="X7" i="21" s="1"/>
  <c r="Y7" i="21" s="1"/>
  <c r="W6" i="21"/>
  <c r="G42" i="21"/>
  <c r="I37" i="21" s="1"/>
  <c r="F42" i="21"/>
  <c r="Q27" i="21"/>
  <c r="R27" i="21" s="1"/>
  <c r="R32" i="21"/>
  <c r="P32" i="21"/>
  <c r="S32" i="21" s="1"/>
  <c r="R31" i="21"/>
  <c r="P31" i="21"/>
  <c r="S31" i="21" s="1"/>
  <c r="R30" i="21"/>
  <c r="P30" i="21"/>
  <c r="S30" i="21" s="1"/>
  <c r="R29" i="21"/>
  <c r="P29" i="21"/>
  <c r="S29" i="21" s="1"/>
  <c r="P28" i="21"/>
  <c r="P27" i="21"/>
  <c r="Q17" i="21"/>
  <c r="R22" i="21"/>
  <c r="P22" i="21"/>
  <c r="S22" i="21" s="1"/>
  <c r="R21" i="21"/>
  <c r="P21" i="21"/>
  <c r="S21" i="21" s="1"/>
  <c r="R20" i="21"/>
  <c r="P20" i="21"/>
  <c r="S20" i="21" s="1"/>
  <c r="R19" i="21"/>
  <c r="P19" i="21"/>
  <c r="S19" i="21" s="1"/>
  <c r="P18" i="21"/>
  <c r="P17" i="21"/>
  <c r="Q6" i="21"/>
  <c r="Q7" i="21" s="1"/>
  <c r="R7" i="21" s="1"/>
  <c r="R11" i="21"/>
  <c r="P11" i="21"/>
  <c r="S11" i="21" s="1"/>
  <c r="R10" i="21"/>
  <c r="P10" i="21"/>
  <c r="S10" i="21" s="1"/>
  <c r="R9" i="21"/>
  <c r="P9" i="21"/>
  <c r="S9" i="21" s="1"/>
  <c r="R8" i="21"/>
  <c r="P8" i="21"/>
  <c r="S8" i="21" s="1"/>
  <c r="P7" i="21"/>
  <c r="P6" i="21"/>
  <c r="J4" i="21"/>
  <c r="S6" i="21" l="1"/>
  <c r="AD56" i="46"/>
  <c r="T56" i="46"/>
  <c r="V57" i="46"/>
  <c r="Z6" i="21"/>
  <c r="AD57" i="46"/>
  <c r="V56" i="46"/>
  <c r="S27" i="21"/>
  <c r="AD55" i="46"/>
  <c r="Z7" i="21"/>
  <c r="V55" i="46"/>
  <c r="P56" i="46"/>
  <c r="K57" i="46"/>
  <c r="U57" i="46"/>
  <c r="C57" i="46"/>
  <c r="T57" i="46"/>
  <c r="K56" i="46"/>
  <c r="U56" i="46"/>
  <c r="P55" i="46"/>
  <c r="T55" i="46"/>
  <c r="AC55" i="46" s="1"/>
  <c r="C55" i="46"/>
  <c r="Y6" i="21"/>
  <c r="Y14" i="21" s="1"/>
  <c r="X14" i="21"/>
  <c r="X15" i="21" s="1"/>
  <c r="Q28" i="21"/>
  <c r="R28" i="21" s="1"/>
  <c r="R35" i="21" s="1"/>
  <c r="S17" i="21"/>
  <c r="R17" i="21"/>
  <c r="Q18" i="21"/>
  <c r="R18" i="21" s="1"/>
  <c r="S7" i="21"/>
  <c r="S14" i="21" s="1"/>
  <c r="R6" i="21"/>
  <c r="R14" i="21" s="1"/>
  <c r="Q14" i="21"/>
  <c r="Q15" i="21" s="1"/>
  <c r="L4" i="54"/>
  <c r="L3" i="54"/>
  <c r="AC56" i="46" l="1"/>
  <c r="Z14" i="21"/>
  <c r="Z15" i="21" s="1"/>
  <c r="N20" i="48"/>
  <c r="L20" i="48"/>
  <c r="Y15" i="21"/>
  <c r="X55" i="46"/>
  <c r="Q35" i="21"/>
  <c r="Q36" i="21" s="1"/>
  <c r="S28" i="21"/>
  <c r="S35" i="21" s="1"/>
  <c r="S36" i="21" s="1"/>
  <c r="S18" i="21"/>
  <c r="S25" i="21" s="1"/>
  <c r="Q25" i="21"/>
  <c r="Q26" i="21" s="1"/>
  <c r="R25" i="21"/>
  <c r="R15" i="21"/>
  <c r="S15" i="21"/>
  <c r="R26" i="21" l="1"/>
  <c r="S26" i="21"/>
  <c r="R36" i="21"/>
  <c r="AQ20" i="2"/>
  <c r="G20" i="2"/>
  <c r="AR53" i="57" l="1"/>
  <c r="BA53" i="57" s="1"/>
  <c r="AM53" i="57"/>
  <c r="AR52" i="57"/>
  <c r="BA52" i="57" s="1"/>
  <c r="AM52" i="57"/>
  <c r="AR51" i="57"/>
  <c r="BA51" i="57" s="1"/>
  <c r="AM51" i="57"/>
  <c r="AR50" i="57"/>
  <c r="BA50" i="57" s="1"/>
  <c r="AM50" i="57"/>
  <c r="Q50" i="57"/>
  <c r="Z50" i="46"/>
  <c r="K7" i="23"/>
  <c r="W51" i="57" s="1"/>
  <c r="C25" i="23"/>
  <c r="K11" i="23" s="1"/>
  <c r="W50" i="57" s="1"/>
  <c r="F38" i="47"/>
  <c r="E39" i="47"/>
  <c r="G39" i="47" s="1"/>
  <c r="H39" i="47" s="1"/>
  <c r="O51" i="57" s="1"/>
  <c r="E38" i="47"/>
  <c r="C51" i="57" l="1"/>
  <c r="K51" i="57"/>
  <c r="G38" i="47"/>
  <c r="H38" i="47" s="1"/>
  <c r="O50" i="57" s="1"/>
  <c r="AD53" i="57"/>
  <c r="AD51" i="57"/>
  <c r="P51" i="57"/>
  <c r="O51" i="46"/>
  <c r="C51" i="46" s="1"/>
  <c r="W50" i="46"/>
  <c r="W51" i="46"/>
  <c r="AD52" i="57"/>
  <c r="AD50" i="57"/>
  <c r="Q50" i="46"/>
  <c r="N51" i="46"/>
  <c r="J51" i="46"/>
  <c r="N50" i="46"/>
  <c r="J50" i="46"/>
  <c r="AR53" i="46"/>
  <c r="BA53" i="46" s="1"/>
  <c r="AM53" i="46"/>
  <c r="AR52" i="46"/>
  <c r="BA52" i="46" s="1"/>
  <c r="AM52" i="46"/>
  <c r="AR51" i="46"/>
  <c r="BA51" i="46" s="1"/>
  <c r="AM51" i="46"/>
  <c r="Z51" i="46"/>
  <c r="AR50" i="46"/>
  <c r="BA50" i="46" s="1"/>
  <c r="AM50" i="46"/>
  <c r="AP19" i="48"/>
  <c r="C50" i="57" l="1"/>
  <c r="K50" i="57"/>
  <c r="X50" i="57" s="1"/>
  <c r="O50" i="46"/>
  <c r="C50" i="46" s="1"/>
  <c r="N19" i="48" s="1"/>
  <c r="K51" i="46"/>
  <c r="AD52" i="46"/>
  <c r="U50" i="46"/>
  <c r="AD51" i="46"/>
  <c r="T51" i="57"/>
  <c r="V50" i="57"/>
  <c r="T50" i="57"/>
  <c r="U50" i="57"/>
  <c r="V51" i="57"/>
  <c r="U51" i="57"/>
  <c r="AD50" i="46"/>
  <c r="P50" i="57"/>
  <c r="V51" i="46"/>
  <c r="T51" i="46"/>
  <c r="U51" i="46"/>
  <c r="P51" i="46"/>
  <c r="P50" i="46"/>
  <c r="AD53" i="46"/>
  <c r="I38" i="23"/>
  <c r="I38" i="47" s="1"/>
  <c r="Q46" i="23"/>
  <c r="X11" i="23"/>
  <c r="V11" i="23"/>
  <c r="Y11" i="23" s="1"/>
  <c r="X10" i="23"/>
  <c r="V10" i="23"/>
  <c r="Y10" i="23" s="1"/>
  <c r="X9" i="23"/>
  <c r="Y9" i="23"/>
  <c r="X8" i="23"/>
  <c r="Y8" i="23"/>
  <c r="W7" i="23"/>
  <c r="X7" i="23" s="1"/>
  <c r="V7" i="23"/>
  <c r="W6" i="23"/>
  <c r="V6" i="23"/>
  <c r="G42" i="23"/>
  <c r="I37" i="23" s="1"/>
  <c r="F42" i="23"/>
  <c r="N42" i="23"/>
  <c r="Q27" i="23"/>
  <c r="Q28" i="23" s="1"/>
  <c r="W14" i="23" l="1"/>
  <c r="W15" i="23" s="1"/>
  <c r="Y6" i="23"/>
  <c r="T50" i="46"/>
  <c r="K50" i="46"/>
  <c r="L19" i="48" s="1"/>
  <c r="V50" i="46"/>
  <c r="AC51" i="46"/>
  <c r="Y7" i="23"/>
  <c r="Y14" i="23" s="1"/>
  <c r="Y15" i="23" s="1"/>
  <c r="BA19" i="48"/>
  <c r="X6" i="23"/>
  <c r="X14" i="23" s="1"/>
  <c r="X15" i="23" s="1"/>
  <c r="Q35" i="23"/>
  <c r="Q36" i="23" s="1"/>
  <c r="R32" i="23"/>
  <c r="P32" i="23"/>
  <c r="S32" i="23" s="1"/>
  <c r="R31" i="23"/>
  <c r="P31" i="23"/>
  <c r="S31" i="23" s="1"/>
  <c r="R30" i="23"/>
  <c r="P30" i="23"/>
  <c r="S30" i="23" s="1"/>
  <c r="R29" i="23"/>
  <c r="P29" i="23"/>
  <c r="S29" i="23" s="1"/>
  <c r="R28" i="23"/>
  <c r="P28" i="23"/>
  <c r="S28" i="23" s="1"/>
  <c r="R27" i="23"/>
  <c r="P27" i="23"/>
  <c r="S27" i="23" s="1"/>
  <c r="R21" i="23"/>
  <c r="P21" i="23"/>
  <c r="S21" i="23" s="1"/>
  <c r="R20" i="23"/>
  <c r="P20" i="23"/>
  <c r="S20" i="23" s="1"/>
  <c r="R19" i="23"/>
  <c r="P19" i="23"/>
  <c r="S19" i="23" s="1"/>
  <c r="R18" i="23"/>
  <c r="P18" i="23"/>
  <c r="S18" i="23" s="1"/>
  <c r="R17" i="23"/>
  <c r="P17" i="23"/>
  <c r="S17" i="23" s="1"/>
  <c r="R16" i="23"/>
  <c r="P16" i="23"/>
  <c r="Q7" i="23"/>
  <c r="R7" i="23" s="1"/>
  <c r="Q6" i="23"/>
  <c r="R11" i="23"/>
  <c r="P11" i="23"/>
  <c r="S11" i="23" s="1"/>
  <c r="R10" i="23"/>
  <c r="P10" i="23"/>
  <c r="S10" i="23" s="1"/>
  <c r="R9" i="23"/>
  <c r="P9" i="23"/>
  <c r="S9" i="23" s="1"/>
  <c r="R8" i="23"/>
  <c r="P8" i="23"/>
  <c r="S8" i="23" s="1"/>
  <c r="P7" i="23"/>
  <c r="P6" i="23"/>
  <c r="J4" i="23"/>
  <c r="AC50" i="46" l="1"/>
  <c r="X50" i="46"/>
  <c r="R35" i="23"/>
  <c r="R36" i="23" s="1"/>
  <c r="R24" i="23"/>
  <c r="S35" i="23"/>
  <c r="S36" i="23" s="1"/>
  <c r="Q24" i="23"/>
  <c r="Q25" i="23" s="1"/>
  <c r="S16" i="23"/>
  <c r="S24" i="23" s="1"/>
  <c r="S7" i="23"/>
  <c r="Q14" i="23"/>
  <c r="Q15" i="23" s="1"/>
  <c r="S6" i="23"/>
  <c r="R6" i="23"/>
  <c r="R14" i="23" s="1"/>
  <c r="AR48" i="57"/>
  <c r="BA48" i="57" s="1"/>
  <c r="AM48" i="57"/>
  <c r="AR47" i="57"/>
  <c r="BA47" i="57" s="1"/>
  <c r="AM47" i="57"/>
  <c r="AR46" i="57"/>
  <c r="BA46" i="57" s="1"/>
  <c r="AM46" i="57"/>
  <c r="AR45" i="57"/>
  <c r="BA45" i="57" s="1"/>
  <c r="AM45" i="57"/>
  <c r="C26" i="24"/>
  <c r="K11" i="24" s="1"/>
  <c r="W46" i="57" s="1"/>
  <c r="F36" i="47"/>
  <c r="F35" i="47"/>
  <c r="F34" i="47"/>
  <c r="E35" i="47"/>
  <c r="E34" i="47"/>
  <c r="E36" i="47"/>
  <c r="K8" i="24"/>
  <c r="C25" i="24"/>
  <c r="K7" i="24" s="1"/>
  <c r="W45" i="57" s="1"/>
  <c r="G34" i="47" l="1"/>
  <c r="S14" i="23"/>
  <c r="AD45" i="57"/>
  <c r="AD47" i="57"/>
  <c r="S15" i="23"/>
  <c r="G35" i="47"/>
  <c r="W45" i="46"/>
  <c r="W46" i="46"/>
  <c r="G36" i="47"/>
  <c r="H36" i="47" s="1"/>
  <c r="O46" i="57" s="1"/>
  <c r="H34" i="47"/>
  <c r="O45" i="57" s="1"/>
  <c r="R15" i="23"/>
  <c r="S25" i="23"/>
  <c r="R25" i="23"/>
  <c r="AD46" i="57"/>
  <c r="AD48" i="57"/>
  <c r="C45" i="57" l="1"/>
  <c r="K45" i="57"/>
  <c r="K46" i="57"/>
  <c r="X45" i="57" s="1"/>
  <c r="C46" i="57"/>
  <c r="T45" i="57"/>
  <c r="U45" i="57"/>
  <c r="V45" i="57"/>
  <c r="O45" i="46"/>
  <c r="P45" i="57"/>
  <c r="O46" i="46"/>
  <c r="T46" i="57"/>
  <c r="P46" i="57"/>
  <c r="U46" i="57"/>
  <c r="V46" i="57"/>
  <c r="AA45" i="57" l="1"/>
  <c r="BA18" i="48"/>
  <c r="AQ19" i="2"/>
  <c r="G19" i="2"/>
  <c r="AB45" i="57" l="1"/>
  <c r="J4" i="54"/>
  <c r="J3" i="54"/>
  <c r="K4" i="54"/>
  <c r="K3" i="54"/>
  <c r="AM48" i="46" l="1"/>
  <c r="AR48" i="46"/>
  <c r="BA48" i="46" s="1"/>
  <c r="AR47" i="46"/>
  <c r="BA47" i="46" s="1"/>
  <c r="AM47" i="46"/>
  <c r="AD47" i="46" s="1"/>
  <c r="AR46" i="46"/>
  <c r="BA46" i="46" s="1"/>
  <c r="AM46" i="46"/>
  <c r="Z46" i="46"/>
  <c r="P46" i="46"/>
  <c r="N46" i="46"/>
  <c r="J46" i="46"/>
  <c r="AR45" i="46"/>
  <c r="BA45" i="46" s="1"/>
  <c r="AM45" i="46"/>
  <c r="C45" i="46"/>
  <c r="N45" i="46"/>
  <c r="J45" i="46"/>
  <c r="I38" i="24"/>
  <c r="I34" i="47" s="1"/>
  <c r="Q41" i="24"/>
  <c r="Q40" i="24"/>
  <c r="G42" i="24"/>
  <c r="I37" i="24" s="1"/>
  <c r="F42" i="24"/>
  <c r="P28" i="24"/>
  <c r="S28" i="24" s="1"/>
  <c r="R33" i="24"/>
  <c r="P33" i="24"/>
  <c r="S33" i="24" s="1"/>
  <c r="R32" i="24"/>
  <c r="P32" i="24"/>
  <c r="S32" i="24" s="1"/>
  <c r="R31" i="24"/>
  <c r="P31" i="24"/>
  <c r="S31" i="24" s="1"/>
  <c r="R30" i="24"/>
  <c r="P30" i="24"/>
  <c r="S30" i="24" s="1"/>
  <c r="R28" i="24"/>
  <c r="Q29" i="24"/>
  <c r="Q17" i="24"/>
  <c r="P18" i="24"/>
  <c r="R22" i="24"/>
  <c r="P22" i="24"/>
  <c r="S22" i="24" s="1"/>
  <c r="R21" i="24"/>
  <c r="P21" i="24"/>
  <c r="S21" i="24" s="1"/>
  <c r="R20" i="24"/>
  <c r="P20" i="24"/>
  <c r="S20" i="24" s="1"/>
  <c r="R19" i="24"/>
  <c r="P19" i="24"/>
  <c r="S19" i="24" s="1"/>
  <c r="P17" i="24"/>
  <c r="P6" i="24"/>
  <c r="S6" i="24" s="1"/>
  <c r="P7" i="24"/>
  <c r="R11" i="24"/>
  <c r="P11" i="24"/>
  <c r="S11" i="24" s="1"/>
  <c r="R10" i="24"/>
  <c r="P10" i="24"/>
  <c r="S10" i="24" s="1"/>
  <c r="R9" i="24"/>
  <c r="P9" i="24"/>
  <c r="S9" i="24" s="1"/>
  <c r="R8" i="24"/>
  <c r="P8" i="24"/>
  <c r="S8" i="24" s="1"/>
  <c r="R7" i="24"/>
  <c r="J4" i="24"/>
  <c r="Q42" i="24" l="1"/>
  <c r="Q18" i="24"/>
  <c r="R18" i="24" s="1"/>
  <c r="R17" i="24"/>
  <c r="S17" i="24"/>
  <c r="V45" i="46"/>
  <c r="K46" i="46"/>
  <c r="T46" i="46"/>
  <c r="U46" i="46"/>
  <c r="V46" i="46"/>
  <c r="C46" i="46"/>
  <c r="N18" i="48" s="1"/>
  <c r="K45" i="46"/>
  <c r="AD48" i="46"/>
  <c r="AD46" i="46"/>
  <c r="AD45" i="46"/>
  <c r="P45" i="46"/>
  <c r="T45" i="46"/>
  <c r="U45" i="46"/>
  <c r="R29" i="24"/>
  <c r="R36" i="24" s="1"/>
  <c r="Q36" i="24"/>
  <c r="Q37" i="24" s="1"/>
  <c r="S29" i="24"/>
  <c r="S36" i="24" s="1"/>
  <c r="S7" i="24"/>
  <c r="S14" i="24" s="1"/>
  <c r="Q14" i="24"/>
  <c r="Q15" i="24" s="1"/>
  <c r="R6" i="24"/>
  <c r="R14" i="24" s="1"/>
  <c r="AP18" i="48"/>
  <c r="R25" i="24" l="1"/>
  <c r="AA45" i="46"/>
  <c r="S37" i="24"/>
  <c r="S18" i="24"/>
  <c r="S25" i="24" s="1"/>
  <c r="R37" i="24"/>
  <c r="Q25" i="24"/>
  <c r="L18" i="48"/>
  <c r="AC46" i="46"/>
  <c r="AC45" i="46"/>
  <c r="X45" i="46"/>
  <c r="S15" i="24"/>
  <c r="R15" i="24"/>
  <c r="KV39" i="1"/>
  <c r="KV38" i="1"/>
  <c r="KV37" i="1"/>
  <c r="KV36" i="1"/>
  <c r="KV35" i="1"/>
  <c r="KV34" i="1"/>
  <c r="KV33" i="1"/>
  <c r="KV32" i="1"/>
  <c r="KV31" i="1"/>
  <c r="KV30" i="1"/>
  <c r="KV29" i="1"/>
  <c r="KV28" i="1"/>
  <c r="KV27" i="1"/>
  <c r="KV26" i="1"/>
  <c r="KV25" i="1"/>
  <c r="KV24" i="1"/>
  <c r="KV23" i="1"/>
  <c r="KV22" i="1"/>
  <c r="KV21" i="1"/>
  <c r="KV20" i="1"/>
  <c r="KV18" i="1"/>
  <c r="KV16" i="1"/>
  <c r="KV15" i="1"/>
  <c r="KV14" i="1"/>
  <c r="KV13" i="1"/>
  <c r="KV12" i="1"/>
  <c r="KV11" i="1"/>
  <c r="KV10" i="1"/>
  <c r="KV9" i="1"/>
  <c r="KV17" i="1"/>
  <c r="AB45" i="46" l="1"/>
  <c r="Q26" i="24"/>
  <c r="R26" i="24"/>
  <c r="S26" i="24"/>
  <c r="AQ18" i="2"/>
  <c r="G18" i="2"/>
  <c r="Z42" i="46" l="1"/>
  <c r="F31" i="47"/>
  <c r="F32" i="47"/>
  <c r="E32" i="47"/>
  <c r="G32" i="47" s="1"/>
  <c r="H32" i="47" s="1"/>
  <c r="O42" i="57" s="1"/>
  <c r="E31" i="47"/>
  <c r="G31" i="47" s="1"/>
  <c r="E30" i="47"/>
  <c r="G30" i="47" s="1"/>
  <c r="K7" i="25"/>
  <c r="W41" i="57" s="1"/>
  <c r="C26" i="25"/>
  <c r="C17" i="25"/>
  <c r="C42" i="57" l="1"/>
  <c r="K42" i="57"/>
  <c r="K8" i="25"/>
  <c r="W42" i="57" s="1"/>
  <c r="O42" i="46"/>
  <c r="C42" i="46" s="1"/>
  <c r="H30" i="47"/>
  <c r="O41" i="57" s="1"/>
  <c r="AR43" i="57"/>
  <c r="BA43" i="57" s="1"/>
  <c r="AM43" i="57"/>
  <c r="AR42" i="57"/>
  <c r="BA42" i="57" s="1"/>
  <c r="AM42" i="57"/>
  <c r="U42" i="57"/>
  <c r="V42" i="57"/>
  <c r="AR41" i="57"/>
  <c r="BA41" i="57" s="1"/>
  <c r="AM41" i="57"/>
  <c r="L37" i="25"/>
  <c r="W42" i="46"/>
  <c r="W41" i="46"/>
  <c r="N42" i="46"/>
  <c r="J42" i="46"/>
  <c r="N41" i="46"/>
  <c r="J41" i="46"/>
  <c r="AR43" i="46"/>
  <c r="BA43" i="46" s="1"/>
  <c r="AM43" i="46"/>
  <c r="AR42" i="46"/>
  <c r="BA42" i="46" s="1"/>
  <c r="AM42" i="46"/>
  <c r="AR41" i="46"/>
  <c r="BA41" i="46" s="1"/>
  <c r="AM41" i="46"/>
  <c r="Z41" i="46"/>
  <c r="I38" i="25"/>
  <c r="Q31" i="25"/>
  <c r="O31" i="25"/>
  <c r="R31" i="25" s="1"/>
  <c r="Q30" i="25"/>
  <c r="O30" i="25"/>
  <c r="R30" i="25" s="1"/>
  <c r="P29" i="25"/>
  <c r="Q29" i="25" s="1"/>
  <c r="O29" i="25"/>
  <c r="Q28" i="25"/>
  <c r="O28" i="25"/>
  <c r="R28" i="25" s="1"/>
  <c r="Q27" i="25"/>
  <c r="O27" i="25"/>
  <c r="R27" i="25" s="1"/>
  <c r="G42" i="25"/>
  <c r="I37" i="25" s="1"/>
  <c r="F42" i="25"/>
  <c r="P22" i="25"/>
  <c r="O22" i="25"/>
  <c r="P21" i="25"/>
  <c r="Q21" i="25" s="1"/>
  <c r="O21" i="25"/>
  <c r="P20" i="25"/>
  <c r="Q20" i="25" s="1"/>
  <c r="O20" i="25"/>
  <c r="P19" i="25"/>
  <c r="Q19" i="25" s="1"/>
  <c r="O19" i="25"/>
  <c r="Q11" i="25"/>
  <c r="Q9" i="25"/>
  <c r="Q8" i="25"/>
  <c r="P14" i="25"/>
  <c r="Q14" i="25" s="1"/>
  <c r="P13" i="25"/>
  <c r="Q13" i="25" s="1"/>
  <c r="P12" i="25"/>
  <c r="Q12" i="25" s="1"/>
  <c r="P10" i="25"/>
  <c r="Q10" i="25" s="1"/>
  <c r="O9" i="25"/>
  <c r="R9" i="25" s="1"/>
  <c r="O10" i="25"/>
  <c r="O11" i="25"/>
  <c r="R11" i="25" s="1"/>
  <c r="O12" i="25"/>
  <c r="O13" i="25"/>
  <c r="O14" i="25"/>
  <c r="R14" i="25" s="1"/>
  <c r="O8" i="25"/>
  <c r="R8" i="25" s="1"/>
  <c r="J4" i="25"/>
  <c r="C41" i="57" l="1"/>
  <c r="K41" i="57"/>
  <c r="V42" i="46"/>
  <c r="R20" i="25"/>
  <c r="X41" i="57"/>
  <c r="R29" i="25"/>
  <c r="R32" i="25" s="1"/>
  <c r="AD41" i="46"/>
  <c r="R10" i="25"/>
  <c r="Q32" i="25"/>
  <c r="AD43" i="46"/>
  <c r="P32" i="25"/>
  <c r="P23" i="25"/>
  <c r="AD43" i="57"/>
  <c r="AD42" i="57"/>
  <c r="O41" i="46"/>
  <c r="C41" i="46" s="1"/>
  <c r="N17" i="48" s="1"/>
  <c r="T41" i="57"/>
  <c r="R12" i="25"/>
  <c r="L38" i="25"/>
  <c r="I32" i="47" s="1"/>
  <c r="I30" i="47"/>
  <c r="AD41" i="57"/>
  <c r="R13" i="25"/>
  <c r="P42" i="57"/>
  <c r="T42" i="57"/>
  <c r="P42" i="46"/>
  <c r="T42" i="46"/>
  <c r="K42" i="46"/>
  <c r="U42" i="46"/>
  <c r="AD42" i="46"/>
  <c r="Q22" i="25"/>
  <c r="Q23" i="25" s="1"/>
  <c r="R22" i="25"/>
  <c r="P15" i="25"/>
  <c r="R19" i="25"/>
  <c r="R21" i="25"/>
  <c r="Q15" i="25"/>
  <c r="Q33" i="25" l="1"/>
  <c r="AC42" i="46"/>
  <c r="R33" i="25"/>
  <c r="V41" i="57"/>
  <c r="P41" i="46"/>
  <c r="K41" i="46"/>
  <c r="L17" i="48" s="1"/>
  <c r="R15" i="25"/>
  <c r="R16" i="25" s="1"/>
  <c r="T41" i="46"/>
  <c r="U41" i="57"/>
  <c r="AA41" i="57" s="1"/>
  <c r="P41" i="57"/>
  <c r="V41" i="46"/>
  <c r="R23" i="25"/>
  <c r="R24" i="25" s="1"/>
  <c r="U41" i="46"/>
  <c r="AA41" i="46" s="1"/>
  <c r="Q24" i="25"/>
  <c r="Q16" i="25"/>
  <c r="AC41" i="46" l="1"/>
  <c r="AB41" i="46" s="1"/>
  <c r="X41" i="46"/>
  <c r="AB41" i="57"/>
  <c r="BA17" i="48"/>
  <c r="AP17" i="48" l="1"/>
  <c r="I28" i="47" l="1"/>
  <c r="E28" i="47"/>
  <c r="G28" i="47" s="1"/>
  <c r="H28" i="47" s="1"/>
  <c r="AR39" i="57" l="1"/>
  <c r="BA39" i="57" s="1"/>
  <c r="AM39" i="57"/>
  <c r="AR38" i="57"/>
  <c r="BA38" i="57" s="1"/>
  <c r="AM38" i="57"/>
  <c r="AR37" i="57"/>
  <c r="BA37" i="57" s="1"/>
  <c r="AM37" i="57"/>
  <c r="AR36" i="57"/>
  <c r="BA36" i="57" s="1"/>
  <c r="AM36" i="57"/>
  <c r="U36" i="57"/>
  <c r="AA36" i="57" s="1"/>
  <c r="T36" i="57"/>
  <c r="P36" i="57"/>
  <c r="AD37" i="57" l="1"/>
  <c r="AD39" i="57"/>
  <c r="AD36" i="57"/>
  <c r="BA16" i="48"/>
  <c r="V36" i="57"/>
  <c r="AB36" i="57"/>
  <c r="AD38" i="57"/>
  <c r="AR34" i="57"/>
  <c r="BA34" i="57" s="1"/>
  <c r="AM34" i="57"/>
  <c r="AR33" i="57"/>
  <c r="BA33" i="57" s="1"/>
  <c r="AM33" i="57"/>
  <c r="Q33" i="57"/>
  <c r="AR32" i="57"/>
  <c r="BA32" i="57" s="1"/>
  <c r="AM32" i="57"/>
  <c r="AR31" i="57"/>
  <c r="BA31" i="57" s="1"/>
  <c r="AM31" i="57"/>
  <c r="S31" i="57"/>
  <c r="AR39" i="46"/>
  <c r="BA39" i="46" s="1"/>
  <c r="AM39" i="46"/>
  <c r="AD34" i="57" l="1"/>
  <c r="AD32" i="57"/>
  <c r="AD33" i="57"/>
  <c r="AD31" i="57"/>
  <c r="AD39" i="46"/>
  <c r="AQ17" i="2"/>
  <c r="G17" i="2"/>
  <c r="AP16" i="48" l="1"/>
  <c r="W36" i="46" l="1"/>
  <c r="P36" i="46"/>
  <c r="N36" i="46"/>
  <c r="K36" i="46" s="1"/>
  <c r="X36" i="46" s="1"/>
  <c r="J36" i="46"/>
  <c r="AR38" i="46"/>
  <c r="BA38" i="46" s="1"/>
  <c r="AM38" i="46"/>
  <c r="AR37" i="46"/>
  <c r="BA37" i="46" s="1"/>
  <c r="AM37" i="46"/>
  <c r="AR36" i="46"/>
  <c r="BA36" i="46" s="1"/>
  <c r="AM36" i="46"/>
  <c r="Z36" i="46"/>
  <c r="AD38" i="46" l="1"/>
  <c r="AD36" i="46"/>
  <c r="AD37" i="46"/>
  <c r="L16" i="48"/>
  <c r="T36" i="46"/>
  <c r="AC36" i="46" s="1"/>
  <c r="C36" i="46"/>
  <c r="N16" i="48" s="1"/>
  <c r="U36" i="46"/>
  <c r="AA36" i="46" s="1"/>
  <c r="V36" i="46"/>
  <c r="D4" i="54"/>
  <c r="D3" i="54"/>
  <c r="C4" i="54"/>
  <c r="C3" i="54"/>
  <c r="B4" i="54"/>
  <c r="B3" i="54"/>
  <c r="AB36" i="46" l="1"/>
  <c r="H3" i="54"/>
  <c r="G4" i="54"/>
  <c r="G3" i="54"/>
  <c r="F4" i="54"/>
  <c r="F3" i="54"/>
  <c r="E4" i="54"/>
  <c r="E3" i="54"/>
  <c r="AR29" i="57" l="1"/>
  <c r="BA29" i="57" s="1"/>
  <c r="AM29" i="57"/>
  <c r="AR28" i="57"/>
  <c r="BA28" i="57" s="1"/>
  <c r="AM28" i="57"/>
  <c r="AR27" i="57"/>
  <c r="BA27" i="57" s="1"/>
  <c r="AM27" i="57"/>
  <c r="AR26" i="57"/>
  <c r="BA26" i="57" s="1"/>
  <c r="AM26" i="57"/>
  <c r="AR24" i="57"/>
  <c r="BA24" i="57" s="1"/>
  <c r="AM24" i="57"/>
  <c r="AR23" i="57"/>
  <c r="BA23" i="57" s="1"/>
  <c r="AM23" i="57"/>
  <c r="AR22" i="57"/>
  <c r="BA22" i="57" s="1"/>
  <c r="AM22" i="57"/>
  <c r="AR20" i="57"/>
  <c r="BA20" i="57" s="1"/>
  <c r="AM20" i="57"/>
  <c r="AR19" i="57"/>
  <c r="BA19" i="57" s="1"/>
  <c r="AM19" i="57"/>
  <c r="AR18" i="57"/>
  <c r="BA18" i="57" s="1"/>
  <c r="AM18" i="57"/>
  <c r="AR16" i="57"/>
  <c r="BA16" i="57" s="1"/>
  <c r="AM16" i="57"/>
  <c r="AR15" i="57"/>
  <c r="BA15" i="57" s="1"/>
  <c r="AM15" i="57"/>
  <c r="AR14" i="57"/>
  <c r="BA14" i="57" s="1"/>
  <c r="AM14" i="57"/>
  <c r="AR12" i="57"/>
  <c r="BA12" i="57" s="1"/>
  <c r="AM12" i="57"/>
  <c r="AR11" i="57"/>
  <c r="BA11" i="57" s="1"/>
  <c r="AM11" i="57"/>
  <c r="S11" i="57"/>
  <c r="AR10" i="57"/>
  <c r="BA10" i="57" s="1"/>
  <c r="AM10" i="57"/>
  <c r="AR8" i="57"/>
  <c r="BA8" i="57" s="1"/>
  <c r="AM8" i="57"/>
  <c r="AR7" i="57"/>
  <c r="BA7" i="57" s="1"/>
  <c r="AM7" i="57"/>
  <c r="AR6" i="57"/>
  <c r="BA6" i="57" s="1"/>
  <c r="AM6" i="57"/>
  <c r="K10" i="28"/>
  <c r="W33" i="57" s="1"/>
  <c r="K9" i="28"/>
  <c r="W31" i="57" s="1"/>
  <c r="K7" i="28"/>
  <c r="W32" i="57" s="1"/>
  <c r="F26" i="47"/>
  <c r="E26" i="47"/>
  <c r="F25" i="47"/>
  <c r="G26" i="47" l="1"/>
  <c r="H26" i="47" s="1"/>
  <c r="O33" i="57" s="1"/>
  <c r="AD14" i="57"/>
  <c r="AD26" i="57"/>
  <c r="W31" i="46"/>
  <c r="AD20" i="57"/>
  <c r="W33" i="46"/>
  <c r="AD15" i="57"/>
  <c r="AD28" i="57"/>
  <c r="W32" i="46"/>
  <c r="AD29" i="57"/>
  <c r="AD7" i="57"/>
  <c r="AD19" i="57"/>
  <c r="AD22" i="57"/>
  <c r="O33" i="46"/>
  <c r="AD8" i="57"/>
  <c r="AD12" i="57"/>
  <c r="AD10" i="57"/>
  <c r="AD24" i="57"/>
  <c r="AD27" i="57"/>
  <c r="AD6" i="57"/>
  <c r="AD11" i="57"/>
  <c r="AD23" i="57"/>
  <c r="AD18" i="57"/>
  <c r="AD16" i="57"/>
  <c r="E25" i="47"/>
  <c r="G25" i="47" s="1"/>
  <c r="H25" i="47" s="1"/>
  <c r="O32" i="57" s="1"/>
  <c r="I38" i="27"/>
  <c r="I22" i="47" s="1"/>
  <c r="F24" i="47"/>
  <c r="E24" i="47"/>
  <c r="F22" i="47"/>
  <c r="C32" i="57" l="1"/>
  <c r="K32" i="57"/>
  <c r="K33" i="57"/>
  <c r="C33" i="57"/>
  <c r="U32" i="57"/>
  <c r="V32" i="57"/>
  <c r="P32" i="57"/>
  <c r="T32" i="57"/>
  <c r="G24" i="47"/>
  <c r="H24" i="47" s="1"/>
  <c r="O31" i="57" s="1"/>
  <c r="O32" i="46"/>
  <c r="E22" i="47"/>
  <c r="G22" i="47" s="1"/>
  <c r="H22" i="47" s="1"/>
  <c r="O26" i="57" s="1"/>
  <c r="C26" i="57" l="1"/>
  <c r="K26" i="57"/>
  <c r="C31" i="57"/>
  <c r="K31" i="57"/>
  <c r="X31" i="57" s="1"/>
  <c r="U33" i="57"/>
  <c r="V33" i="57"/>
  <c r="P33" i="57"/>
  <c r="T33" i="57"/>
  <c r="P31" i="57"/>
  <c r="T31" i="57"/>
  <c r="U31" i="57"/>
  <c r="V31" i="57"/>
  <c r="O31" i="46"/>
  <c r="O26" i="46"/>
  <c r="AQ16" i="2"/>
  <c r="AQ15" i="2"/>
  <c r="G16" i="2"/>
  <c r="G15" i="2"/>
  <c r="AA31" i="57" l="1"/>
  <c r="BA15" i="48"/>
  <c r="P26" i="57"/>
  <c r="T26" i="57"/>
  <c r="U26" i="57"/>
  <c r="V26" i="57"/>
  <c r="BA14" i="48"/>
  <c r="O7" i="29"/>
  <c r="P23" i="30"/>
  <c r="P14" i="30"/>
  <c r="P7" i="30"/>
  <c r="AB31" i="57" l="1"/>
  <c r="AP15" i="48"/>
  <c r="AP14" i="48"/>
  <c r="S31" i="46" l="1"/>
  <c r="Q33" i="46"/>
  <c r="J32" i="46"/>
  <c r="N32" i="46"/>
  <c r="C32" i="46"/>
  <c r="P32" i="46"/>
  <c r="J33" i="46"/>
  <c r="N33" i="46"/>
  <c r="AR34" i="46"/>
  <c r="BA34" i="46" s="1"/>
  <c r="AM34" i="46"/>
  <c r="AR33" i="46"/>
  <c r="BA33" i="46" s="1"/>
  <c r="AM33" i="46"/>
  <c r="AR32" i="46"/>
  <c r="BA32" i="46" s="1"/>
  <c r="AM32" i="46"/>
  <c r="AR31" i="46"/>
  <c r="BA31" i="46" s="1"/>
  <c r="AM31" i="46"/>
  <c r="Z31" i="46"/>
  <c r="C31" i="46"/>
  <c r="N31" i="46"/>
  <c r="J31" i="46"/>
  <c r="AM29" i="46"/>
  <c r="AR29" i="46"/>
  <c r="BA29" i="46" s="1"/>
  <c r="AR28" i="46"/>
  <c r="BA28" i="46" s="1"/>
  <c r="AM28" i="46"/>
  <c r="AR27" i="46"/>
  <c r="BA27" i="46" s="1"/>
  <c r="AM27" i="46"/>
  <c r="AR26" i="46"/>
  <c r="BA26" i="46" s="1"/>
  <c r="AM26" i="46"/>
  <c r="Z26" i="46"/>
  <c r="C26" i="46"/>
  <c r="N14" i="48" s="1"/>
  <c r="N26" i="46"/>
  <c r="J26" i="46"/>
  <c r="F17" i="28"/>
  <c r="F9" i="28"/>
  <c r="I38" i="28"/>
  <c r="I24" i="47" s="1"/>
  <c r="Q40" i="28"/>
  <c r="X14" i="28"/>
  <c r="Y11" i="28"/>
  <c r="W11" i="28"/>
  <c r="Z11" i="28" s="1"/>
  <c r="Y10" i="28"/>
  <c r="Z10" i="28"/>
  <c r="Y9" i="28"/>
  <c r="Z9" i="28"/>
  <c r="Z8" i="28"/>
  <c r="Y8" i="28"/>
  <c r="Y7" i="28"/>
  <c r="Z6" i="28"/>
  <c r="Y6" i="28"/>
  <c r="G42" i="28"/>
  <c r="I37" i="28" s="1"/>
  <c r="F42" i="28"/>
  <c r="N48" i="28"/>
  <c r="P27" i="28"/>
  <c r="P17" i="28"/>
  <c r="Q27" i="28"/>
  <c r="Q35" i="28" s="1"/>
  <c r="Q36" i="28"/>
  <c r="R32" i="28"/>
  <c r="P32" i="28"/>
  <c r="S32" i="28" s="1"/>
  <c r="R31" i="28"/>
  <c r="P31" i="28"/>
  <c r="S31" i="28" s="1"/>
  <c r="R30" i="28"/>
  <c r="P30" i="28"/>
  <c r="S30" i="28" s="1"/>
  <c r="R29" i="28"/>
  <c r="P29" i="28"/>
  <c r="S29" i="28" s="1"/>
  <c r="R28" i="28"/>
  <c r="P28" i="28"/>
  <c r="S28" i="28" s="1"/>
  <c r="Q17" i="28"/>
  <c r="Q18" i="28" s="1"/>
  <c r="R22" i="28"/>
  <c r="P22" i="28"/>
  <c r="S22" i="28" s="1"/>
  <c r="R21" i="28"/>
  <c r="P21" i="28"/>
  <c r="S21" i="28" s="1"/>
  <c r="R20" i="28"/>
  <c r="P20" i="28"/>
  <c r="S20" i="28" s="1"/>
  <c r="R19" i="28"/>
  <c r="P19" i="28"/>
  <c r="S19" i="28" s="1"/>
  <c r="P18" i="28"/>
  <c r="Q6" i="28"/>
  <c r="R6" i="28" s="1"/>
  <c r="P8" i="28"/>
  <c r="S8" i="28" s="1"/>
  <c r="P7" i="28"/>
  <c r="R11" i="28"/>
  <c r="P11" i="28"/>
  <c r="S11" i="28" s="1"/>
  <c r="R10" i="28"/>
  <c r="P10" i="28"/>
  <c r="S10" i="28" s="1"/>
  <c r="R9" i="28"/>
  <c r="P9" i="28"/>
  <c r="S9" i="28" s="1"/>
  <c r="R8" i="28"/>
  <c r="P6" i="28"/>
  <c r="J4" i="28"/>
  <c r="F26" i="27"/>
  <c r="O27" i="27"/>
  <c r="R27" i="27" s="1"/>
  <c r="O18" i="27"/>
  <c r="R18" i="27" s="1"/>
  <c r="O17" i="27"/>
  <c r="O6" i="27"/>
  <c r="G42" i="27"/>
  <c r="I37" i="27" s="1"/>
  <c r="F42" i="27"/>
  <c r="N41" i="27"/>
  <c r="Q32" i="27"/>
  <c r="O32" i="27"/>
  <c r="R32" i="27" s="1"/>
  <c r="Q31" i="27"/>
  <c r="O31" i="27"/>
  <c r="R31" i="27" s="1"/>
  <c r="Q30" i="27"/>
  <c r="O30" i="27"/>
  <c r="R30" i="27" s="1"/>
  <c r="Q29" i="27"/>
  <c r="O29" i="27"/>
  <c r="R29" i="27" s="1"/>
  <c r="Q28" i="27"/>
  <c r="O28" i="27"/>
  <c r="R28" i="27" s="1"/>
  <c r="P35" i="27"/>
  <c r="P17" i="27"/>
  <c r="P26" i="27"/>
  <c r="Q22" i="27"/>
  <c r="O22" i="27"/>
  <c r="R22" i="27" s="1"/>
  <c r="Q21" i="27"/>
  <c r="O21" i="27"/>
  <c r="R21" i="27" s="1"/>
  <c r="Q20" i="27"/>
  <c r="O20" i="27"/>
  <c r="R20" i="27" s="1"/>
  <c r="Q19" i="27"/>
  <c r="O19" i="27"/>
  <c r="R19" i="27" s="1"/>
  <c r="Q18" i="27"/>
  <c r="P25" i="27"/>
  <c r="P6" i="27"/>
  <c r="Q6" i="27" s="1"/>
  <c r="Q11" i="27"/>
  <c r="O11" i="27"/>
  <c r="R11" i="27" s="1"/>
  <c r="Q10" i="27"/>
  <c r="O10" i="27"/>
  <c r="R10" i="27" s="1"/>
  <c r="Q9" i="27"/>
  <c r="O9" i="27"/>
  <c r="R9" i="27" s="1"/>
  <c r="Q8" i="27"/>
  <c r="O8" i="27"/>
  <c r="R8" i="27" s="1"/>
  <c r="Q7" i="27"/>
  <c r="O7" i="27"/>
  <c r="R7" i="27" s="1"/>
  <c r="J4" i="27"/>
  <c r="P14" i="27" l="1"/>
  <c r="P15" i="27" s="1"/>
  <c r="AD28" i="46"/>
  <c r="AD26" i="46"/>
  <c r="Q14" i="27"/>
  <c r="R27" i="28"/>
  <c r="R35" i="28" s="1"/>
  <c r="R36" i="28" s="1"/>
  <c r="S27" i="28"/>
  <c r="S35" i="28" s="1"/>
  <c r="S36" i="28" s="1"/>
  <c r="AD32" i="46"/>
  <c r="R6" i="27"/>
  <c r="R14" i="27" s="1"/>
  <c r="R17" i="27"/>
  <c r="R25" i="27" s="1"/>
  <c r="R26" i="27" s="1"/>
  <c r="Q7" i="28"/>
  <c r="R7" i="28" s="1"/>
  <c r="R14" i="28" s="1"/>
  <c r="R35" i="27"/>
  <c r="R36" i="27" s="1"/>
  <c r="R18" i="28"/>
  <c r="AD27" i="46"/>
  <c r="AD34" i="46"/>
  <c r="V32" i="46"/>
  <c r="V33" i="46"/>
  <c r="P33" i="46"/>
  <c r="U32" i="46"/>
  <c r="T32" i="46"/>
  <c r="P26" i="46"/>
  <c r="K26" i="46"/>
  <c r="L14" i="48" s="1"/>
  <c r="V26" i="46"/>
  <c r="AD33" i="46"/>
  <c r="AD31" i="46"/>
  <c r="V31" i="46"/>
  <c r="T33" i="46"/>
  <c r="K31" i="46"/>
  <c r="K33" i="46"/>
  <c r="C33" i="46"/>
  <c r="N15" i="48" s="1"/>
  <c r="K32" i="46"/>
  <c r="U33" i="46"/>
  <c r="P31" i="46"/>
  <c r="T31" i="46"/>
  <c r="U31" i="46"/>
  <c r="AD29" i="46"/>
  <c r="U26" i="46"/>
  <c r="T26" i="46"/>
  <c r="Y14" i="28"/>
  <c r="Y15" i="28" s="1"/>
  <c r="Z7" i="28"/>
  <c r="Z14" i="28" s="1"/>
  <c r="Z15" i="28" s="1"/>
  <c r="S18" i="28"/>
  <c r="S17" i="28"/>
  <c r="Q25" i="28"/>
  <c r="Q26" i="28" s="1"/>
  <c r="R17" i="28"/>
  <c r="S6" i="28"/>
  <c r="Q27" i="27"/>
  <c r="Q35" i="27" s="1"/>
  <c r="Q36" i="27" s="1"/>
  <c r="Q17" i="27"/>
  <c r="Q25" i="27" s="1"/>
  <c r="Q26" i="27" s="1"/>
  <c r="R15" i="27" l="1"/>
  <c r="Q15" i="27"/>
  <c r="Q14" i="28"/>
  <c r="Q15" i="28" s="1"/>
  <c r="S7" i="28"/>
  <c r="S14" i="28" s="1"/>
  <c r="S15" i="28" s="1"/>
  <c r="X31" i="46"/>
  <c r="R25" i="28"/>
  <c r="R26" i="28" s="1"/>
  <c r="S25" i="28"/>
  <c r="S26" i="28" s="1"/>
  <c r="AC26" i="46"/>
  <c r="AC31" i="46"/>
  <c r="L15" i="48"/>
  <c r="AA31" i="46"/>
  <c r="R15" i="28"/>
  <c r="AB31" i="46" l="1"/>
  <c r="AQ14" i="2"/>
  <c r="AQ13" i="2"/>
  <c r="G14" i="2"/>
  <c r="G13" i="2"/>
  <c r="Z22" i="46" l="1"/>
  <c r="F20" i="47"/>
  <c r="E20" i="47"/>
  <c r="E18" i="47"/>
  <c r="G18" i="47" s="1"/>
  <c r="E17" i="47"/>
  <c r="G17" i="47" s="1"/>
  <c r="E16" i="47"/>
  <c r="G16" i="47" s="1"/>
  <c r="E15" i="47"/>
  <c r="K9" i="30"/>
  <c r="W19" i="57" s="1"/>
  <c r="K7" i="30"/>
  <c r="W18" i="57" s="1"/>
  <c r="H18" i="47" l="1"/>
  <c r="O19" i="57" s="1"/>
  <c r="W19" i="46"/>
  <c r="G20" i="47"/>
  <c r="H20" i="47" s="1"/>
  <c r="O22" i="57" s="1"/>
  <c r="H15" i="47"/>
  <c r="O18" i="57" s="1"/>
  <c r="G15" i="47"/>
  <c r="W18" i="46"/>
  <c r="AP13" i="48"/>
  <c r="AP12" i="48"/>
  <c r="AR24" i="46"/>
  <c r="BA24" i="46" s="1"/>
  <c r="AM24" i="46"/>
  <c r="AR23" i="46"/>
  <c r="BA23" i="46" s="1"/>
  <c r="AM23" i="46"/>
  <c r="AR22" i="46"/>
  <c r="BA22" i="46" s="1"/>
  <c r="AM22" i="46"/>
  <c r="N22" i="46"/>
  <c r="J22" i="46"/>
  <c r="AR20" i="46"/>
  <c r="BA20" i="46" s="1"/>
  <c r="AM20" i="46"/>
  <c r="AR19" i="46"/>
  <c r="BA19" i="46" s="1"/>
  <c r="AM19" i="46"/>
  <c r="N19" i="46"/>
  <c r="J19" i="46"/>
  <c r="AR18" i="46"/>
  <c r="BA18" i="46" s="1"/>
  <c r="AM18" i="46"/>
  <c r="N18" i="46"/>
  <c r="J18" i="46"/>
  <c r="F17" i="29"/>
  <c r="I38" i="29"/>
  <c r="I20" i="47" s="1"/>
  <c r="J4" i="29"/>
  <c r="F26" i="30"/>
  <c r="F17" i="30"/>
  <c r="I38" i="30"/>
  <c r="I15" i="47" s="1"/>
  <c r="Q35" i="30"/>
  <c r="Y12" i="30"/>
  <c r="X12" i="30"/>
  <c r="Y9" i="30"/>
  <c r="W9" i="30"/>
  <c r="Z9" i="30" s="1"/>
  <c r="Z6" i="30"/>
  <c r="R29" i="30"/>
  <c r="Q29" i="30"/>
  <c r="R26" i="30"/>
  <c r="P26" i="30"/>
  <c r="S26" i="30" s="1"/>
  <c r="P25" i="30"/>
  <c r="Q24" i="30"/>
  <c r="R24" i="30" s="1"/>
  <c r="P24" i="30"/>
  <c r="R23" i="30"/>
  <c r="S23" i="30"/>
  <c r="R20" i="30"/>
  <c r="Q20" i="30"/>
  <c r="R17" i="30"/>
  <c r="P17" i="30"/>
  <c r="S17" i="30" s="1"/>
  <c r="P16" i="30"/>
  <c r="P15" i="30"/>
  <c r="Q15" i="30"/>
  <c r="S14" i="30"/>
  <c r="Q6" i="30"/>
  <c r="R6" i="30" s="1"/>
  <c r="R12" i="30"/>
  <c r="Q12" i="30"/>
  <c r="R9" i="30"/>
  <c r="P9" i="30"/>
  <c r="S9" i="30" s="1"/>
  <c r="P8" i="30"/>
  <c r="P6" i="30"/>
  <c r="J4" i="30"/>
  <c r="C18" i="57" l="1"/>
  <c r="K18" i="57"/>
  <c r="C22" i="57"/>
  <c r="K22" i="57"/>
  <c r="C19" i="57"/>
  <c r="K19" i="57"/>
  <c r="O22" i="46"/>
  <c r="K22" i="46" s="1"/>
  <c r="L13" i="48" s="1"/>
  <c r="Q25" i="30"/>
  <c r="R25" i="30" s="1"/>
  <c r="R27" i="30" s="1"/>
  <c r="O18" i="46"/>
  <c r="T18" i="46" s="1"/>
  <c r="O19" i="46"/>
  <c r="K19" i="46" s="1"/>
  <c r="S6" i="30"/>
  <c r="S24" i="30"/>
  <c r="V19" i="57"/>
  <c r="P19" i="57"/>
  <c r="T19" i="57"/>
  <c r="U19" i="57"/>
  <c r="Q7" i="30"/>
  <c r="AD19" i="46"/>
  <c r="P18" i="57"/>
  <c r="V18" i="57"/>
  <c r="T18" i="57"/>
  <c r="U18" i="57"/>
  <c r="AD24" i="46"/>
  <c r="T22" i="57"/>
  <c r="V22" i="57"/>
  <c r="U22" i="57"/>
  <c r="P22" i="57"/>
  <c r="AD23" i="46"/>
  <c r="AD22" i="46"/>
  <c r="AD20" i="46"/>
  <c r="AD18" i="46"/>
  <c r="P19" i="46"/>
  <c r="C19" i="46"/>
  <c r="V19" i="46"/>
  <c r="Y7" i="30"/>
  <c r="Z7" i="30"/>
  <c r="Y8" i="30"/>
  <c r="Y6" i="30"/>
  <c r="S15" i="30"/>
  <c r="R15" i="30"/>
  <c r="R14" i="30"/>
  <c r="Q16" i="30"/>
  <c r="R16" i="30" s="1"/>
  <c r="Z15" i="46"/>
  <c r="K8" i="31"/>
  <c r="W14" i="57" s="1"/>
  <c r="C9" i="31"/>
  <c r="K7" i="31" s="1"/>
  <c r="W15" i="57" s="1"/>
  <c r="E12" i="47"/>
  <c r="G12" i="47" s="1"/>
  <c r="F11" i="47"/>
  <c r="F13" i="47"/>
  <c r="E13" i="47"/>
  <c r="E11" i="47"/>
  <c r="T19" i="46" l="1"/>
  <c r="P22" i="46"/>
  <c r="V22" i="46"/>
  <c r="C22" i="46"/>
  <c r="N13" i="48" s="1"/>
  <c r="T22" i="46"/>
  <c r="AC22" i="46" s="1"/>
  <c r="U22" i="46"/>
  <c r="X18" i="57"/>
  <c r="U19" i="46"/>
  <c r="S25" i="30"/>
  <c r="S27" i="30" s="1"/>
  <c r="C18" i="46"/>
  <c r="N12" i="48" s="1"/>
  <c r="U18" i="46"/>
  <c r="P18" i="46"/>
  <c r="V18" i="46"/>
  <c r="Q27" i="30"/>
  <c r="K18" i="46"/>
  <c r="X18" i="46" s="1"/>
  <c r="H11" i="47"/>
  <c r="O14" i="57" s="1"/>
  <c r="AA18" i="57"/>
  <c r="R7" i="30"/>
  <c r="S7" i="30"/>
  <c r="Q8" i="30"/>
  <c r="BA13" i="48"/>
  <c r="BA12" i="48"/>
  <c r="G11" i="47"/>
  <c r="G13" i="47"/>
  <c r="Y10" i="30"/>
  <c r="Z8" i="30"/>
  <c r="Z10" i="30" s="1"/>
  <c r="X10" i="30"/>
  <c r="S16" i="30"/>
  <c r="S18" i="30" s="1"/>
  <c r="R18" i="30"/>
  <c r="Q18" i="30"/>
  <c r="W15" i="46"/>
  <c r="W14" i="46"/>
  <c r="AQ12" i="2"/>
  <c r="G12" i="2"/>
  <c r="AA18" i="46" l="1"/>
  <c r="K14" i="57"/>
  <c r="C14" i="57"/>
  <c r="S28" i="30"/>
  <c r="R28" i="30"/>
  <c r="L12" i="48"/>
  <c r="AC18" i="46"/>
  <c r="AB18" i="46" s="1"/>
  <c r="O14" i="46"/>
  <c r="V14" i="57"/>
  <c r="U14" i="57"/>
  <c r="T14" i="57"/>
  <c r="P14" i="57"/>
  <c r="R8" i="30"/>
  <c r="R10" i="30" s="1"/>
  <c r="Q10" i="30"/>
  <c r="S8" i="30"/>
  <c r="S10" i="30" s="1"/>
  <c r="H13" i="47"/>
  <c r="O15" i="57" s="1"/>
  <c r="AB18" i="57"/>
  <c r="R19" i="30"/>
  <c r="S19" i="30"/>
  <c r="Y11" i="30"/>
  <c r="Z11" i="30"/>
  <c r="AP11" i="48"/>
  <c r="C15" i="57" l="1"/>
  <c r="K15" i="57"/>
  <c r="R11" i="30"/>
  <c r="X14" i="57"/>
  <c r="O15" i="46"/>
  <c r="S11" i="30"/>
  <c r="U14" i="46"/>
  <c r="N14" i="46"/>
  <c r="K14" i="46" s="1"/>
  <c r="J14" i="46"/>
  <c r="AM14" i="46"/>
  <c r="AR14" i="46"/>
  <c r="BA14" i="46" s="1"/>
  <c r="J15" i="46"/>
  <c r="N15" i="46"/>
  <c r="AM15" i="46"/>
  <c r="AR15" i="46"/>
  <c r="BA15" i="46" s="1"/>
  <c r="AM16" i="46"/>
  <c r="AR16" i="46"/>
  <c r="BA16" i="46" s="1"/>
  <c r="F26" i="31"/>
  <c r="F17" i="31"/>
  <c r="F9" i="31"/>
  <c r="I38" i="31"/>
  <c r="I11" i="47" s="1"/>
  <c r="Q35" i="31"/>
  <c r="X16" i="31"/>
  <c r="Y11" i="31"/>
  <c r="Z11" i="31"/>
  <c r="Y12" i="31"/>
  <c r="Z12" i="31"/>
  <c r="Y10" i="31"/>
  <c r="Z10" i="31"/>
  <c r="Y18" i="31"/>
  <c r="X18" i="31"/>
  <c r="Z9" i="31"/>
  <c r="Y9" i="31"/>
  <c r="Y8" i="31"/>
  <c r="Z8" i="31"/>
  <c r="Z7" i="31"/>
  <c r="Y7" i="31"/>
  <c r="Y6" i="31"/>
  <c r="Z6" i="31"/>
  <c r="Q25" i="31"/>
  <c r="R30" i="31"/>
  <c r="Q30" i="31"/>
  <c r="R27" i="31"/>
  <c r="P27" i="31"/>
  <c r="S27" i="31" s="1"/>
  <c r="P26" i="31"/>
  <c r="P25" i="31"/>
  <c r="R24" i="31"/>
  <c r="P24" i="31"/>
  <c r="S24" i="31" s="1"/>
  <c r="Q15" i="31"/>
  <c r="Q16" i="31" s="1"/>
  <c r="R16" i="31" s="1"/>
  <c r="R20" i="31"/>
  <c r="Q20" i="31"/>
  <c r="R17" i="31"/>
  <c r="P17" i="31"/>
  <c r="S17" i="31" s="1"/>
  <c r="P16" i="31"/>
  <c r="P15" i="31"/>
  <c r="R14" i="31"/>
  <c r="P14" i="31"/>
  <c r="S14" i="31" s="1"/>
  <c r="Q8" i="31"/>
  <c r="R8" i="31" s="1"/>
  <c r="Q7" i="31"/>
  <c r="Q6" i="31"/>
  <c r="P7" i="31"/>
  <c r="R12" i="31"/>
  <c r="Q12" i="31"/>
  <c r="R9" i="31"/>
  <c r="P9" i="31"/>
  <c r="S9" i="31" s="1"/>
  <c r="P8" i="31"/>
  <c r="S8" i="31" s="1"/>
  <c r="P6" i="31"/>
  <c r="J4" i="31"/>
  <c r="P15" i="57" l="1"/>
  <c r="U15" i="57"/>
  <c r="V15" i="57"/>
  <c r="T15" i="57"/>
  <c r="S15" i="31"/>
  <c r="Z16" i="31"/>
  <c r="Z17" i="31" s="1"/>
  <c r="AD16" i="46"/>
  <c r="Y16" i="31"/>
  <c r="Y17" i="31" s="1"/>
  <c r="Q10" i="31"/>
  <c r="R15" i="31"/>
  <c r="R18" i="31" s="1"/>
  <c r="AD15" i="46"/>
  <c r="AD14" i="46"/>
  <c r="T14" i="46"/>
  <c r="AC14" i="46" s="1"/>
  <c r="C14" i="46"/>
  <c r="V14" i="46"/>
  <c r="V15" i="46"/>
  <c r="P14" i="46"/>
  <c r="P15" i="46"/>
  <c r="K15" i="46"/>
  <c r="L11" i="48" s="1"/>
  <c r="U15" i="46"/>
  <c r="C15" i="46"/>
  <c r="T15" i="46"/>
  <c r="S25" i="31"/>
  <c r="Q26" i="31"/>
  <c r="R26" i="31" s="1"/>
  <c r="R25" i="31"/>
  <c r="Q18" i="31"/>
  <c r="S16" i="31"/>
  <c r="S6" i="31"/>
  <c r="R6" i="31"/>
  <c r="R7" i="31"/>
  <c r="S7" i="31"/>
  <c r="Z10" i="46"/>
  <c r="Z11" i="46"/>
  <c r="S18" i="31" l="1"/>
  <c r="BA11" i="48"/>
  <c r="S19" i="31"/>
  <c r="N11" i="48"/>
  <c r="S10" i="31"/>
  <c r="S11" i="31" s="1"/>
  <c r="R10" i="31"/>
  <c r="R11" i="31" s="1"/>
  <c r="X14" i="46"/>
  <c r="S26" i="31"/>
  <c r="S28" i="31" s="1"/>
  <c r="Q28" i="31"/>
  <c r="R28" i="31"/>
  <c r="R19" i="31"/>
  <c r="AP10" i="48"/>
  <c r="S29" i="31" l="1"/>
  <c r="R29" i="31"/>
  <c r="AQ11" i="2" l="1"/>
  <c r="G11" i="2"/>
  <c r="E9" i="45" l="1"/>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8" i="45"/>
  <c r="AP9" i="48" l="1"/>
  <c r="K8" i="32"/>
  <c r="W11" i="57" s="1"/>
  <c r="C16" i="32"/>
  <c r="K7" i="32" s="1"/>
  <c r="W10" i="57" s="1"/>
  <c r="W10" i="46" l="1"/>
  <c r="W11" i="46"/>
  <c r="E9" i="47"/>
  <c r="G9" i="47" s="1"/>
  <c r="E8" i="47"/>
  <c r="G8" i="47" s="1"/>
  <c r="E7" i="47"/>
  <c r="H7" i="47" l="1"/>
  <c r="O10" i="57" s="1"/>
  <c r="H9" i="47"/>
  <c r="O11" i="57" s="1"/>
  <c r="G7" i="47"/>
  <c r="S11" i="46"/>
  <c r="J11" i="46"/>
  <c r="N11" i="46"/>
  <c r="AR12" i="46"/>
  <c r="BA12" i="46" s="1"/>
  <c r="AM12" i="46"/>
  <c r="AR11" i="46"/>
  <c r="BA11" i="46" s="1"/>
  <c r="AM11" i="46"/>
  <c r="AR10" i="46"/>
  <c r="BA10" i="46" s="1"/>
  <c r="AM10" i="46"/>
  <c r="N10" i="46"/>
  <c r="J10" i="46"/>
  <c r="F26" i="32"/>
  <c r="F17" i="32"/>
  <c r="F9" i="32"/>
  <c r="I38" i="32"/>
  <c r="I7" i="47" s="1"/>
  <c r="Q41" i="32"/>
  <c r="Z31" i="32"/>
  <c r="AA27" i="32"/>
  <c r="AB27" i="32"/>
  <c r="AA33" i="32"/>
  <c r="Z33" i="32"/>
  <c r="AB25" i="32"/>
  <c r="Z15" i="32"/>
  <c r="AA10" i="32"/>
  <c r="AB10" i="32"/>
  <c r="AA17" i="32"/>
  <c r="Z17" i="32"/>
  <c r="AB9" i="32"/>
  <c r="AA9" i="32"/>
  <c r="AA8" i="32"/>
  <c r="AB8" i="32"/>
  <c r="AA7" i="32"/>
  <c r="AA6" i="32"/>
  <c r="Y6" i="32"/>
  <c r="AB6" i="32" s="1"/>
  <c r="G42" i="32"/>
  <c r="I37" i="32" s="1"/>
  <c r="F42" i="32"/>
  <c r="R25" i="32"/>
  <c r="S33" i="32"/>
  <c r="R33" i="32"/>
  <c r="Q26" i="32"/>
  <c r="Q25" i="32"/>
  <c r="R19" i="32"/>
  <c r="R18" i="32"/>
  <c r="S18" i="32" s="1"/>
  <c r="R17" i="32"/>
  <c r="S17" i="32" s="1"/>
  <c r="Q17" i="32"/>
  <c r="S23" i="32"/>
  <c r="R23" i="32"/>
  <c r="R16" i="32"/>
  <c r="R15" i="32"/>
  <c r="S15" i="32" s="1"/>
  <c r="Q16" i="32"/>
  <c r="Q18" i="32"/>
  <c r="Q19" i="32"/>
  <c r="Q15" i="32"/>
  <c r="S12" i="32"/>
  <c r="R12" i="32"/>
  <c r="S9" i="32"/>
  <c r="Q9" i="32"/>
  <c r="T9" i="32" s="1"/>
  <c r="S8" i="32"/>
  <c r="Q8" i="32"/>
  <c r="T8" i="32" s="1"/>
  <c r="R7" i="32"/>
  <c r="Q7" i="32"/>
  <c r="S6" i="32"/>
  <c r="Q6" i="32"/>
  <c r="T6" i="32" s="1"/>
  <c r="C11" i="57" l="1"/>
  <c r="K11" i="57"/>
  <c r="C10" i="57"/>
  <c r="K10" i="57"/>
  <c r="O11" i="46"/>
  <c r="C11" i="46" s="1"/>
  <c r="T25" i="32"/>
  <c r="U11" i="57"/>
  <c r="T11" i="57"/>
  <c r="P11" i="57"/>
  <c r="V11" i="57"/>
  <c r="T15" i="32"/>
  <c r="T7" i="32"/>
  <c r="T10" i="32" s="1"/>
  <c r="U10" i="57"/>
  <c r="V10" i="57"/>
  <c r="T10" i="57"/>
  <c r="P10" i="57"/>
  <c r="T17" i="32"/>
  <c r="R21" i="32"/>
  <c r="AA15" i="32"/>
  <c r="R26" i="32"/>
  <c r="S26" i="32" s="1"/>
  <c r="S25" i="32"/>
  <c r="S31" i="32" s="1"/>
  <c r="O10" i="46"/>
  <c r="U10" i="46" s="1"/>
  <c r="AD10" i="46"/>
  <c r="K11" i="46"/>
  <c r="AD12" i="46"/>
  <c r="AD11" i="46"/>
  <c r="AA26" i="32"/>
  <c r="AB26" i="32"/>
  <c r="AB31" i="32" s="1"/>
  <c r="AA25" i="32"/>
  <c r="AA16" i="32"/>
  <c r="AB7" i="32"/>
  <c r="AB15" i="32" s="1"/>
  <c r="T18" i="32"/>
  <c r="T16" i="32"/>
  <c r="S16" i="32"/>
  <c r="S19" i="32" s="1"/>
  <c r="S7" i="32"/>
  <c r="S10" i="32" s="1"/>
  <c r="R10" i="32"/>
  <c r="X10" i="57" l="1"/>
  <c r="U11" i="46"/>
  <c r="V11" i="46"/>
  <c r="P11" i="46"/>
  <c r="R31" i="32"/>
  <c r="S32" i="32" s="1"/>
  <c r="V10" i="46"/>
  <c r="T11" i="46"/>
  <c r="AA10" i="57"/>
  <c r="T19" i="32"/>
  <c r="T21" i="32" s="1"/>
  <c r="T22" i="32" s="1"/>
  <c r="K10" i="46"/>
  <c r="L10" i="48" s="1"/>
  <c r="AA10" i="46"/>
  <c r="AA31" i="32"/>
  <c r="AA32" i="32" s="1"/>
  <c r="T26" i="32"/>
  <c r="T31" i="32" s="1"/>
  <c r="T32" i="32" s="1"/>
  <c r="T10" i="46"/>
  <c r="P10" i="46"/>
  <c r="C10" i="46"/>
  <c r="N10" i="48" s="1"/>
  <c r="AB16" i="32"/>
  <c r="S21" i="32"/>
  <c r="S22" i="32" s="1"/>
  <c r="AB32" i="32"/>
  <c r="S11" i="32"/>
  <c r="T11" i="32"/>
  <c r="J4" i="32"/>
  <c r="AB10" i="57" l="1"/>
  <c r="X10" i="46"/>
  <c r="AC10" i="46"/>
  <c r="AB10" i="46"/>
  <c r="BA10" i="48"/>
  <c r="A9" i="1"/>
  <c r="E5" i="47"/>
  <c r="G5" i="47" s="1"/>
  <c r="H5" i="47" s="1"/>
  <c r="F4" i="47"/>
  <c r="E4" i="47"/>
  <c r="C7" i="33"/>
  <c r="K7" i="33" s="1"/>
  <c r="W6" i="57" s="1"/>
  <c r="C8" i="33"/>
  <c r="K8" i="33" s="1"/>
  <c r="W7" i="57" s="1"/>
  <c r="AQ10" i="2"/>
  <c r="G10" i="2"/>
  <c r="W6" i="46" l="1"/>
  <c r="W7" i="46"/>
  <c r="I38" i="33" l="1"/>
  <c r="I4" i="47" s="1"/>
  <c r="F42" i="33"/>
  <c r="G40" i="33"/>
  <c r="G39" i="33"/>
  <c r="G38" i="33"/>
  <c r="O8" i="33"/>
  <c r="J4" i="33"/>
  <c r="G42" i="33" l="1"/>
  <c r="I37" i="33" s="1"/>
  <c r="N6" i="46"/>
  <c r="J6" i="46"/>
  <c r="BF150" i="46" l="1"/>
  <c r="BE150" i="46"/>
  <c r="BD150" i="46"/>
  <c r="BC150" i="46"/>
  <c r="BB150" i="46"/>
  <c r="BF150" i="57"/>
  <c r="BE150" i="57"/>
  <c r="BD150" i="57"/>
  <c r="A6" i="46" l="1"/>
  <c r="B1" i="47"/>
  <c r="A8" i="45"/>
  <c r="F42" i="29" l="1"/>
  <c r="G42" i="29"/>
  <c r="I37" i="29" s="1"/>
  <c r="F32" i="27"/>
  <c r="E32" i="27"/>
  <c r="D32" i="27"/>
  <c r="C32" i="27"/>
  <c r="F23" i="27"/>
  <c r="E23" i="27"/>
  <c r="D23" i="27"/>
  <c r="C23" i="27"/>
  <c r="F14" i="27"/>
  <c r="E14" i="27"/>
  <c r="D14" i="27"/>
  <c r="C14" i="27"/>
  <c r="F32" i="29"/>
  <c r="E32" i="29"/>
  <c r="D32" i="29"/>
  <c r="C32" i="29"/>
  <c r="F23" i="29"/>
  <c r="E23" i="29"/>
  <c r="D23" i="29"/>
  <c r="C23" i="29"/>
  <c r="F14" i="29"/>
  <c r="E14" i="29"/>
  <c r="E34" i="29" s="1"/>
  <c r="D14" i="29"/>
  <c r="C14" i="29"/>
  <c r="F32" i="30"/>
  <c r="E32" i="30"/>
  <c r="D32" i="30"/>
  <c r="C32" i="30"/>
  <c r="F23" i="30"/>
  <c r="E23" i="30"/>
  <c r="D23" i="30"/>
  <c r="C23" i="30"/>
  <c r="F14" i="30"/>
  <c r="E14" i="30"/>
  <c r="D14" i="30"/>
  <c r="C14" i="30"/>
  <c r="F32" i="31"/>
  <c r="E32" i="31"/>
  <c r="D32" i="31"/>
  <c r="C32" i="31"/>
  <c r="F23" i="31"/>
  <c r="E23" i="31"/>
  <c r="D23" i="31"/>
  <c r="C23" i="31"/>
  <c r="F14" i="31"/>
  <c r="E14" i="31"/>
  <c r="D14" i="31"/>
  <c r="C14" i="31"/>
  <c r="C24" i="31" l="1"/>
  <c r="E33" i="27"/>
  <c r="D34" i="27"/>
  <c r="C34" i="27"/>
  <c r="K9" i="27" s="1"/>
  <c r="W26" i="57" s="1"/>
  <c r="X26" i="57" s="1"/>
  <c r="E33" i="29"/>
  <c r="C34" i="30"/>
  <c r="D33" i="30"/>
  <c r="F34" i="27"/>
  <c r="E34" i="27"/>
  <c r="D24" i="27"/>
  <c r="D24" i="30"/>
  <c r="D34" i="29"/>
  <c r="D33" i="29"/>
  <c r="D33" i="31"/>
  <c r="C34" i="31"/>
  <c r="F34" i="31"/>
  <c r="D34" i="31"/>
  <c r="C33" i="30"/>
  <c r="E34" i="31"/>
  <c r="D33" i="27"/>
  <c r="C34" i="29"/>
  <c r="K9" i="29" s="1"/>
  <c r="W22" i="57" s="1"/>
  <c r="X22" i="57" s="1"/>
  <c r="C33" i="29"/>
  <c r="E24" i="30"/>
  <c r="E33" i="31"/>
  <c r="D24" i="31"/>
  <c r="D34" i="30"/>
  <c r="F34" i="29"/>
  <c r="C33" i="27"/>
  <c r="E24" i="31"/>
  <c r="E34" i="30"/>
  <c r="E33" i="30"/>
  <c r="F34" i="30"/>
  <c r="E24" i="27"/>
  <c r="C33" i="31"/>
  <c r="C24" i="29"/>
  <c r="C24" i="27"/>
  <c r="C15" i="27"/>
  <c r="D15" i="27"/>
  <c r="E15" i="27"/>
  <c r="D24" i="29"/>
  <c r="D15" i="29"/>
  <c r="E24" i="29"/>
  <c r="C15" i="29"/>
  <c r="E15" i="29"/>
  <c r="C24" i="30"/>
  <c r="C15" i="30"/>
  <c r="D15" i="30"/>
  <c r="E15" i="30"/>
  <c r="C15" i="31"/>
  <c r="D15" i="31"/>
  <c r="E15" i="31"/>
  <c r="P13" i="45"/>
  <c r="W22" i="46" l="1"/>
  <c r="W26" i="46"/>
  <c r="O8" i="29"/>
  <c r="R8" i="29" s="1"/>
  <c r="Q12" i="29"/>
  <c r="O12" i="29"/>
  <c r="R12" i="29" s="1"/>
  <c r="Q11" i="29"/>
  <c r="O11" i="29"/>
  <c r="R11" i="29" s="1"/>
  <c r="Q9" i="29"/>
  <c r="AA26" i="46" l="1"/>
  <c r="AB26" i="46" s="1"/>
  <c r="X26" i="46"/>
  <c r="AA26" i="57"/>
  <c r="AB26" i="57" s="1"/>
  <c r="X22" i="46"/>
  <c r="AA22" i="46"/>
  <c r="AB22" i="46" s="1"/>
  <c r="AA22" i="57"/>
  <c r="AB22" i="57" s="1"/>
  <c r="P12" i="45"/>
  <c r="R7" i="29"/>
  <c r="O10" i="29"/>
  <c r="Q8" i="29"/>
  <c r="O9" i="29"/>
  <c r="R9" i="29" s="1"/>
  <c r="Q7" i="29"/>
  <c r="R10" i="29" l="1"/>
  <c r="R15" i="29" s="1"/>
  <c r="Q10" i="29"/>
  <c r="Q15" i="29" s="1"/>
  <c r="P15" i="29"/>
  <c r="R16" i="29" l="1"/>
  <c r="Q16" i="29"/>
  <c r="P11" i="45" l="1"/>
  <c r="P10" i="45"/>
  <c r="G42" i="30" l="1"/>
  <c r="I37" i="30" s="1"/>
  <c r="F42" i="30"/>
  <c r="P9" i="45" l="1"/>
  <c r="AM40" i="2" l="1"/>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C39" i="1" l="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A10" i="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KQ41" i="1"/>
  <c r="KN41" i="1"/>
  <c r="KK41" i="1"/>
  <c r="KH41" i="1"/>
  <c r="KE41" i="1"/>
  <c r="KB41" i="1"/>
  <c r="JY41" i="1"/>
  <c r="JV41" i="1"/>
  <c r="JS41" i="1"/>
  <c r="JP41" i="1"/>
  <c r="JM41" i="1"/>
  <c r="JJ41" i="1"/>
  <c r="JG41" i="1"/>
  <c r="JD41" i="1"/>
  <c r="JA41" i="1"/>
  <c r="IX41" i="1"/>
  <c r="IU41" i="1"/>
  <c r="IR41" i="1"/>
  <c r="IO41" i="1"/>
  <c r="IL41" i="1"/>
  <c r="II41" i="1"/>
  <c r="IF41" i="1"/>
  <c r="IC41" i="1"/>
  <c r="HZ41" i="1"/>
  <c r="HW41" i="1"/>
  <c r="HT41" i="1"/>
  <c r="HQ41" i="1"/>
  <c r="HN41" i="1"/>
  <c r="HK41" i="1"/>
  <c r="HH41" i="1"/>
  <c r="HE41" i="1"/>
  <c r="HB41" i="1"/>
  <c r="GY41" i="1"/>
  <c r="GV41" i="1"/>
  <c r="GS41" i="1"/>
  <c r="GP41" i="1"/>
  <c r="GM41" i="1"/>
  <c r="GJ41" i="1"/>
  <c r="GG41" i="1"/>
  <c r="GD41" i="1"/>
  <c r="GA41" i="1"/>
  <c r="FX41" i="1"/>
  <c r="FU41" i="1"/>
  <c r="FR41" i="1"/>
  <c r="FO41" i="1"/>
  <c r="FL41" i="1"/>
  <c r="FI41" i="1"/>
  <c r="FF41" i="1"/>
  <c r="FC41" i="1"/>
  <c r="EZ41" i="1"/>
  <c r="EW41" i="1"/>
  <c r="ET41" i="1"/>
  <c r="EQ41" i="1"/>
  <c r="EN41" i="1"/>
  <c r="EH41" i="1"/>
  <c r="EE41" i="1"/>
  <c r="EB41" i="1"/>
  <c r="DY41" i="1"/>
  <c r="DV41" i="1"/>
  <c r="DS41" i="1"/>
  <c r="DP41" i="1"/>
  <c r="DM41" i="1"/>
  <c r="DJ41" i="1"/>
  <c r="DG41" i="1"/>
  <c r="DD41" i="1"/>
  <c r="DA41" i="1"/>
  <c r="CX41" i="1"/>
  <c r="CU41" i="1"/>
  <c r="CR41" i="1"/>
  <c r="CO41" i="1"/>
  <c r="CL41" i="1"/>
  <c r="CI41" i="1"/>
  <c r="CF41" i="1"/>
  <c r="CC41" i="1"/>
  <c r="BZ41" i="1"/>
  <c r="BW41" i="1"/>
  <c r="BT41" i="1"/>
  <c r="BQ41" i="1"/>
  <c r="BN41" i="1"/>
  <c r="BK41" i="1"/>
  <c r="BH41" i="1"/>
  <c r="BE41" i="1"/>
  <c r="BB41" i="1"/>
  <c r="AY41" i="1"/>
  <c r="AV41" i="1"/>
  <c r="AS41" i="1"/>
  <c r="AP41" i="1"/>
  <c r="AM41" i="1"/>
  <c r="AJ41" i="1"/>
  <c r="AG41" i="1"/>
  <c r="AD41" i="1"/>
  <c r="AA41" i="1"/>
  <c r="X41" i="1"/>
  <c r="U41" i="1"/>
  <c r="R41" i="1"/>
  <c r="O41" i="1"/>
  <c r="L41" i="1"/>
  <c r="KF41" i="1" s="1"/>
  <c r="F41"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I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X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KA11" i="1"/>
  <c r="JZ11" i="1"/>
  <c r="JW11" i="1"/>
  <c r="JT11" i="1"/>
  <c r="JQ11" i="1"/>
  <c r="JO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D10" i="1"/>
  <c r="KC10" i="1"/>
  <c r="KA10" i="1"/>
  <c r="JZ10" i="1"/>
  <c r="JW10" i="1"/>
  <c r="JT10" i="1"/>
  <c r="JQ10" i="1"/>
  <c r="JO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R9" i="1"/>
  <c r="KO9" i="1"/>
  <c r="KM9" i="1"/>
  <c r="KL9" i="1"/>
  <c r="KJ9" i="1"/>
  <c r="KI9" i="1"/>
  <c r="KF9" i="1"/>
  <c r="KC9" i="1"/>
  <c r="KA9" i="1"/>
  <c r="JZ9" i="1"/>
  <c r="JX9" i="1"/>
  <c r="JW9" i="1"/>
  <c r="JT9" i="1"/>
  <c r="JQ9" i="1"/>
  <c r="JO9" i="1"/>
  <c r="JN9" i="1"/>
  <c r="JL9" i="1"/>
  <c r="JK9" i="1"/>
  <c r="JI9" i="1"/>
  <c r="JF9" i="1"/>
  <c r="JC9" i="1"/>
  <c r="IZ9" i="1"/>
  <c r="IW9" i="1"/>
  <c r="IT9" i="1"/>
  <c r="IQ9" i="1"/>
  <c r="IN9" i="1"/>
  <c r="IK9" i="1"/>
  <c r="IH9" i="1"/>
  <c r="IE9" i="1"/>
  <c r="IB9" i="1"/>
  <c r="HY9" i="1"/>
  <c r="HV9" i="1"/>
  <c r="HS9" i="1"/>
  <c r="HP9" i="1"/>
  <c r="HM9" i="1"/>
  <c r="HJ9" i="1"/>
  <c r="HG9" i="1"/>
  <c r="HD9" i="1"/>
  <c r="HA9" i="1"/>
  <c r="GX9" i="1"/>
  <c r="GU9" i="1"/>
  <c r="GR9" i="1"/>
  <c r="GO9" i="1"/>
  <c r="GL9" i="1"/>
  <c r="GI9" i="1"/>
  <c r="GF9" i="1"/>
  <c r="GC9" i="1"/>
  <c r="FZ9" i="1"/>
  <c r="FW9" i="1"/>
  <c r="FT9" i="1"/>
  <c r="FQ9" i="1"/>
  <c r="FN9" i="1"/>
  <c r="FK9" i="1"/>
  <c r="FH9" i="1"/>
  <c r="FE9" i="1"/>
  <c r="FB9" i="1"/>
  <c r="EY9" i="1"/>
  <c r="EV9" i="1"/>
  <c r="ES9" i="1"/>
  <c r="EP9" i="1"/>
  <c r="EM9" i="1"/>
  <c r="EJ9" i="1"/>
  <c r="EG9" i="1"/>
  <c r="ED9" i="1"/>
  <c r="EA9" i="1"/>
  <c r="DX9" i="1"/>
  <c r="DU9" i="1"/>
  <c r="DR9" i="1"/>
  <c r="DO9" i="1"/>
  <c r="DL9" i="1"/>
  <c r="DF9" i="1"/>
  <c r="DC9" i="1"/>
  <c r="CZ9" i="1"/>
  <c r="CW9" i="1"/>
  <c r="CT9" i="1"/>
  <c r="CQ9" i="1"/>
  <c r="CN9" i="1"/>
  <c r="CK9" i="1"/>
  <c r="CH9" i="1"/>
  <c r="CE9" i="1"/>
  <c r="CB9" i="1"/>
  <c r="BY9" i="1"/>
  <c r="BV9" i="1"/>
  <c r="BS9" i="1"/>
  <c r="BP9" i="1"/>
  <c r="BM9" i="1"/>
  <c r="BJ9" i="1"/>
  <c r="BG9" i="1"/>
  <c r="BD9" i="1"/>
  <c r="BA9" i="1"/>
  <c r="AX9" i="1"/>
  <c r="AU9" i="1"/>
  <c r="AR9" i="1"/>
  <c r="AO9" i="1"/>
  <c r="AL9" i="1"/>
  <c r="AI9" i="1"/>
  <c r="AF9" i="1"/>
  <c r="AC9" i="1"/>
  <c r="Z9" i="1"/>
  <c r="W9" i="1"/>
  <c r="T9" i="1"/>
  <c r="Q9" i="1"/>
  <c r="N9" i="1"/>
  <c r="K9" i="1"/>
  <c r="H9" i="1"/>
  <c r="KM11" i="1"/>
  <c r="KJ12" i="1"/>
  <c r="KD12" i="1"/>
  <c r="JR9" i="1"/>
  <c r="JO12" i="1"/>
  <c r="JL11" i="1"/>
  <c r="M39" i="55"/>
  <c r="D39" i="55"/>
  <c r="M38" i="55"/>
  <c r="D38" i="55"/>
  <c r="M37" i="55"/>
  <c r="D37" i="55"/>
  <c r="M36" i="55"/>
  <c r="D36" i="55"/>
  <c r="M35" i="55"/>
  <c r="D35" i="55"/>
  <c r="M34" i="55"/>
  <c r="D34" i="55"/>
  <c r="M33" i="55"/>
  <c r="D33" i="55"/>
  <c r="M32" i="55"/>
  <c r="D32" i="55"/>
  <c r="M31" i="55"/>
  <c r="D31" i="55"/>
  <c r="M30" i="55"/>
  <c r="D30" i="55"/>
  <c r="M29" i="55"/>
  <c r="D29" i="55"/>
  <c r="M28" i="55"/>
  <c r="D28" i="55"/>
  <c r="M27" i="55"/>
  <c r="D27" i="55"/>
  <c r="M26" i="55"/>
  <c r="D26" i="55"/>
  <c r="M25" i="55"/>
  <c r="D25" i="55"/>
  <c r="M24" i="55"/>
  <c r="D24" i="55"/>
  <c r="M23" i="55"/>
  <c r="D23" i="55"/>
  <c r="M22" i="55"/>
  <c r="D22" i="55"/>
  <c r="M21" i="55"/>
  <c r="D21" i="55"/>
  <c r="M20" i="55"/>
  <c r="D20" i="55"/>
  <c r="M19" i="55"/>
  <c r="D19" i="55"/>
  <c r="M18" i="55"/>
  <c r="D18" i="55"/>
  <c r="M17" i="55"/>
  <c r="D17" i="55"/>
  <c r="M16" i="55"/>
  <c r="D16" i="55"/>
  <c r="M11" i="55"/>
  <c r="D11" i="55"/>
  <c r="M10" i="55"/>
  <c r="D10" i="55"/>
  <c r="M9" i="55"/>
  <c r="D9" i="55"/>
  <c r="M8" i="55"/>
  <c r="D8" i="55"/>
  <c r="M7" i="55"/>
  <c r="D7" i="55"/>
  <c r="M6" i="55"/>
  <c r="D6" i="55"/>
  <c r="M5" i="55"/>
  <c r="D5" i="55"/>
  <c r="M4" i="55"/>
  <c r="D4" i="55"/>
  <c r="E3" i="55"/>
  <c r="F3" i="55" s="1"/>
  <c r="G3" i="55" s="1"/>
  <c r="H3" i="55" s="1"/>
  <c r="M3" i="55" s="1"/>
  <c r="N3" i="55" s="1"/>
  <c r="O3" i="55" s="1"/>
  <c r="P3" i="55" s="1"/>
  <c r="Q3" i="55" s="1"/>
  <c r="FE41" i="1" l="1"/>
  <c r="Q41" i="1"/>
  <c r="DH41" i="1"/>
  <c r="EG41" i="1"/>
  <c r="T41" i="1"/>
  <c r="HA41" i="1"/>
  <c r="HY41" i="1"/>
  <c r="IW41" i="1"/>
  <c r="W41" i="1"/>
  <c r="GC41" i="1"/>
  <c r="P41" i="1"/>
  <c r="M41" i="1"/>
  <c r="KT38" i="1"/>
  <c r="KT13" i="1"/>
  <c r="N41" i="1"/>
  <c r="AI41" i="1"/>
  <c r="BG41" i="1"/>
  <c r="CE41" i="1"/>
  <c r="DC41" i="1"/>
  <c r="EA41" i="1"/>
  <c r="EY41" i="1"/>
  <c r="FW41" i="1"/>
  <c r="GU41" i="1"/>
  <c r="HS41" i="1"/>
  <c r="IQ41" i="1"/>
  <c r="KT17" i="1"/>
  <c r="KT10" i="1"/>
  <c r="KT14" i="1"/>
  <c r="KT9" i="1"/>
  <c r="KT16" i="1"/>
  <c r="KT11" i="1"/>
  <c r="KT22" i="1"/>
  <c r="KT27" i="1"/>
  <c r="KT18" i="1"/>
  <c r="KT15" i="1"/>
  <c r="KT20" i="1"/>
  <c r="KT24" i="1"/>
  <c r="KT28" i="1"/>
  <c r="KT21" i="1"/>
  <c r="KT26" i="1"/>
  <c r="KT25" i="1"/>
  <c r="KT23" i="1"/>
  <c r="AL41" i="1"/>
  <c r="BJ41" i="1"/>
  <c r="CH41" i="1"/>
  <c r="DF41" i="1"/>
  <c r="ED41" i="1"/>
  <c r="FB41" i="1"/>
  <c r="FZ41" i="1"/>
  <c r="GX41" i="1"/>
  <c r="HV41" i="1"/>
  <c r="IT41" i="1"/>
  <c r="CM41" i="1"/>
  <c r="DK41" i="1"/>
  <c r="EI41" i="1"/>
  <c r="V41" i="1"/>
  <c r="AU41" i="1"/>
  <c r="BS41" i="1"/>
  <c r="CQ41" i="1"/>
  <c r="DO41" i="1"/>
  <c r="FK41" i="1"/>
  <c r="ID41" i="1"/>
  <c r="JB41" i="1"/>
  <c r="JZ41" i="1"/>
  <c r="KT39" i="1"/>
  <c r="Z41" i="1"/>
  <c r="AX41" i="1"/>
  <c r="BV41" i="1"/>
  <c r="CT41" i="1"/>
  <c r="DR41" i="1"/>
  <c r="EP41" i="1"/>
  <c r="FN41" i="1"/>
  <c r="GL41" i="1"/>
  <c r="HJ41" i="1"/>
  <c r="IH41" i="1"/>
  <c r="JF41" i="1"/>
  <c r="KT36" i="1"/>
  <c r="AB41" i="1"/>
  <c r="AZ41" i="1"/>
  <c r="BY41" i="1"/>
  <c r="CW41" i="1"/>
  <c r="DU41" i="1"/>
  <c r="ES41" i="1"/>
  <c r="FP41" i="1"/>
  <c r="GO41" i="1"/>
  <c r="HM41" i="1"/>
  <c r="AF41" i="1"/>
  <c r="BD41" i="1"/>
  <c r="CB41" i="1"/>
  <c r="CZ41" i="1"/>
  <c r="DX41" i="1"/>
  <c r="EV41" i="1"/>
  <c r="FT41" i="1"/>
  <c r="GR41" i="1"/>
  <c r="HP41" i="1"/>
  <c r="IN41" i="1"/>
  <c r="KP39" i="1"/>
  <c r="KP38" i="1"/>
  <c r="KP37" i="1"/>
  <c r="KP36" i="1"/>
  <c r="KP32" i="1"/>
  <c r="KP34" i="1"/>
  <c r="KP33" i="1"/>
  <c r="KP30" i="1"/>
  <c r="KP28" i="1"/>
  <c r="KP27" i="1"/>
  <c r="KP26" i="1"/>
  <c r="KP35" i="1"/>
  <c r="KP31" i="1"/>
  <c r="KP25" i="1"/>
  <c r="KP24" i="1"/>
  <c r="KP23" i="1"/>
  <c r="KP22" i="1"/>
  <c r="KP21" i="1"/>
  <c r="KP20" i="1"/>
  <c r="KP19" i="1"/>
  <c r="KP18" i="1"/>
  <c r="KP17" i="1"/>
  <c r="KP16" i="1"/>
  <c r="KP15" i="1"/>
  <c r="KP14" i="1"/>
  <c r="KP13" i="1"/>
  <c r="KP29" i="1"/>
  <c r="JR11" i="1"/>
  <c r="KP10" i="1"/>
  <c r="JL12" i="1"/>
  <c r="KP12" i="1"/>
  <c r="KS39" i="1"/>
  <c r="KS38" i="1"/>
  <c r="KS37" i="1"/>
  <c r="KS36" i="1"/>
  <c r="KS35" i="1"/>
  <c r="KS34" i="1"/>
  <c r="KS33" i="1"/>
  <c r="KS32" i="1"/>
  <c r="KS30" i="1"/>
  <c r="KS31" i="1"/>
  <c r="KS29" i="1"/>
  <c r="KS25" i="1"/>
  <c r="KS24" i="1"/>
  <c r="KS23" i="1"/>
  <c r="KS22" i="1"/>
  <c r="KS21" i="1"/>
  <c r="KS20" i="1"/>
  <c r="KS19" i="1"/>
  <c r="KS18" i="1"/>
  <c r="KS17" i="1"/>
  <c r="KS16" i="1"/>
  <c r="KS15" i="1"/>
  <c r="KS14" i="1"/>
  <c r="KS13" i="1"/>
  <c r="KS12" i="1"/>
  <c r="KS11" i="1"/>
  <c r="KS10" i="1"/>
  <c r="KS9" i="1"/>
  <c r="KS28" i="1"/>
  <c r="KS26" i="1"/>
  <c r="KS27" i="1"/>
  <c r="JU39" i="1"/>
  <c r="JU38" i="1"/>
  <c r="JU37" i="1"/>
  <c r="JU35" i="1"/>
  <c r="JU34" i="1"/>
  <c r="JU33" i="1"/>
  <c r="JU32" i="1"/>
  <c r="JU36" i="1"/>
  <c r="JU30" i="1"/>
  <c r="JU29" i="1"/>
  <c r="JU31" i="1"/>
  <c r="JU26" i="1"/>
  <c r="JU25" i="1"/>
  <c r="JU24" i="1"/>
  <c r="JU23" i="1"/>
  <c r="JU22" i="1"/>
  <c r="JU21" i="1"/>
  <c r="JU20" i="1"/>
  <c r="JU19" i="1"/>
  <c r="JU18" i="1"/>
  <c r="JU17" i="1"/>
  <c r="JU16" i="1"/>
  <c r="JU15" i="1"/>
  <c r="JU14" i="1"/>
  <c r="JU13" i="1"/>
  <c r="JU12" i="1"/>
  <c r="JU11" i="1"/>
  <c r="JU10" i="1"/>
  <c r="JU27" i="1"/>
  <c r="JU28" i="1"/>
  <c r="JX41" i="1"/>
  <c r="JX39" i="1"/>
  <c r="JX38" i="1"/>
  <c r="JX37" i="1"/>
  <c r="JX36" i="1"/>
  <c r="JX35" i="1"/>
  <c r="JX34" i="1"/>
  <c r="JX33" i="1"/>
  <c r="JX32" i="1"/>
  <c r="JX31" i="1"/>
  <c r="JX28" i="1"/>
  <c r="JX27" i="1"/>
  <c r="JX26" i="1"/>
  <c r="JX30" i="1"/>
  <c r="JX29" i="1"/>
  <c r="JX25" i="1"/>
  <c r="JX24" i="1"/>
  <c r="JX23" i="1"/>
  <c r="JX22" i="1"/>
  <c r="JX21" i="1"/>
  <c r="JX20" i="1"/>
  <c r="JX19" i="1"/>
  <c r="JX18" i="1"/>
  <c r="JX17" i="1"/>
  <c r="JX16" i="1"/>
  <c r="JX15" i="1"/>
  <c r="JX14" i="1"/>
  <c r="JX13" i="1"/>
  <c r="KJ11" i="1"/>
  <c r="KA41" i="1"/>
  <c r="KA39" i="1"/>
  <c r="KA38" i="1"/>
  <c r="KA37" i="1"/>
  <c r="KA36" i="1"/>
  <c r="KA35" i="1"/>
  <c r="KA34" i="1"/>
  <c r="KA33" i="1"/>
  <c r="KA32" i="1"/>
  <c r="KA31" i="1"/>
  <c r="KA30" i="1"/>
  <c r="KA29" i="1"/>
  <c r="KA28" i="1"/>
  <c r="KA25" i="1"/>
  <c r="KA24" i="1"/>
  <c r="KA23" i="1"/>
  <c r="KA22" i="1"/>
  <c r="KA21" i="1"/>
  <c r="KA20" i="1"/>
  <c r="KA19" i="1"/>
  <c r="KA18" i="1"/>
  <c r="KA17" i="1"/>
  <c r="KA16" i="1"/>
  <c r="KA15" i="1"/>
  <c r="KA14" i="1"/>
  <c r="KA13" i="1"/>
  <c r="KA12" i="1"/>
  <c r="KA26" i="1"/>
  <c r="KA27" i="1"/>
  <c r="JR10" i="1"/>
  <c r="JX11" i="1"/>
  <c r="KD39" i="1"/>
  <c r="KD38" i="1"/>
  <c r="KD37" i="1"/>
  <c r="KD36" i="1"/>
  <c r="KD35" i="1"/>
  <c r="KD33" i="1"/>
  <c r="KD31" i="1"/>
  <c r="KD28" i="1"/>
  <c r="KD27" i="1"/>
  <c r="KD26" i="1"/>
  <c r="KD32" i="1"/>
  <c r="KD34" i="1"/>
  <c r="KD29" i="1"/>
  <c r="KD25" i="1"/>
  <c r="KD24" i="1"/>
  <c r="KD23" i="1"/>
  <c r="KD22" i="1"/>
  <c r="KD21" i="1"/>
  <c r="KD20" i="1"/>
  <c r="KD19" i="1"/>
  <c r="KD18" i="1"/>
  <c r="KD17" i="1"/>
  <c r="KD16" i="1"/>
  <c r="KD15" i="1"/>
  <c r="KD14" i="1"/>
  <c r="KD13" i="1"/>
  <c r="KD30" i="1"/>
  <c r="KD9" i="1"/>
  <c r="KP9" i="1"/>
  <c r="JR39" i="1"/>
  <c r="JR38" i="1"/>
  <c r="JR37" i="1"/>
  <c r="JR36" i="1"/>
  <c r="JR35" i="1"/>
  <c r="JR31" i="1"/>
  <c r="JR34" i="1"/>
  <c r="JR30" i="1"/>
  <c r="JR33" i="1"/>
  <c r="JR32" i="1"/>
  <c r="JR28" i="1"/>
  <c r="JR27" i="1"/>
  <c r="JR26" i="1"/>
  <c r="JR29" i="1"/>
  <c r="JR25" i="1"/>
  <c r="JR24" i="1"/>
  <c r="JR23" i="1"/>
  <c r="JR22" i="1"/>
  <c r="JR21" i="1"/>
  <c r="JR20" i="1"/>
  <c r="JR19" i="1"/>
  <c r="JR18" i="1"/>
  <c r="JR17" i="1"/>
  <c r="JR16" i="1"/>
  <c r="JR15" i="1"/>
  <c r="JR14" i="1"/>
  <c r="JR13" i="1"/>
  <c r="KJ10" i="1"/>
  <c r="JR12" i="1"/>
  <c r="KG39" i="1"/>
  <c r="KG38" i="1"/>
  <c r="KG37" i="1"/>
  <c r="KG41" i="1"/>
  <c r="KG35" i="1"/>
  <c r="KG34" i="1"/>
  <c r="KG33" i="1"/>
  <c r="KG32" i="1"/>
  <c r="KG36" i="1"/>
  <c r="KG30" i="1"/>
  <c r="KG29" i="1"/>
  <c r="KG25" i="1"/>
  <c r="KG24" i="1"/>
  <c r="KG23" i="1"/>
  <c r="KG22" i="1"/>
  <c r="KG21" i="1"/>
  <c r="KG20" i="1"/>
  <c r="KG19" i="1"/>
  <c r="KG18" i="1"/>
  <c r="KG17" i="1"/>
  <c r="KG16" i="1"/>
  <c r="KG15" i="1"/>
  <c r="KG14" i="1"/>
  <c r="KG13" i="1"/>
  <c r="KG12" i="1"/>
  <c r="KG11" i="1"/>
  <c r="KG10" i="1"/>
  <c r="KG26" i="1"/>
  <c r="KG27" i="1"/>
  <c r="KG31" i="1"/>
  <c r="KG28" i="1"/>
  <c r="JL39" i="1"/>
  <c r="JL38" i="1"/>
  <c r="JL37" i="1"/>
  <c r="JL36" i="1"/>
  <c r="JL35" i="1"/>
  <c r="JL34" i="1"/>
  <c r="JL33" i="1"/>
  <c r="JL32" i="1"/>
  <c r="JL28" i="1"/>
  <c r="JL27" i="1"/>
  <c r="JL26" i="1"/>
  <c r="JL30" i="1"/>
  <c r="JL31" i="1"/>
  <c r="JL29" i="1"/>
  <c r="JL25" i="1"/>
  <c r="JL24" i="1"/>
  <c r="JL23" i="1"/>
  <c r="JL22" i="1"/>
  <c r="JL21" i="1"/>
  <c r="JL20" i="1"/>
  <c r="JL19" i="1"/>
  <c r="JL18" i="1"/>
  <c r="JL17" i="1"/>
  <c r="JL16" i="1"/>
  <c r="JL15" i="1"/>
  <c r="JL14" i="1"/>
  <c r="JL13" i="1"/>
  <c r="JU9" i="1"/>
  <c r="KP11" i="1"/>
  <c r="KJ39" i="1"/>
  <c r="KJ38" i="1"/>
  <c r="KJ37" i="1"/>
  <c r="KJ36" i="1"/>
  <c r="KJ35" i="1"/>
  <c r="KJ34" i="1"/>
  <c r="KJ33" i="1"/>
  <c r="KJ32" i="1"/>
  <c r="KJ31" i="1"/>
  <c r="KJ28" i="1"/>
  <c r="KJ27" i="1"/>
  <c r="KJ26" i="1"/>
  <c r="KJ30" i="1"/>
  <c r="KJ25" i="1"/>
  <c r="KJ24" i="1"/>
  <c r="KJ23" i="1"/>
  <c r="KJ22" i="1"/>
  <c r="KJ21" i="1"/>
  <c r="KJ20" i="1"/>
  <c r="KJ19" i="1"/>
  <c r="KJ18" i="1"/>
  <c r="KJ17" i="1"/>
  <c r="KJ16" i="1"/>
  <c r="KJ15" i="1"/>
  <c r="KJ14" i="1"/>
  <c r="KJ13" i="1"/>
  <c r="KJ29" i="1"/>
  <c r="KG9" i="1"/>
  <c r="JX10" i="1"/>
  <c r="JO39" i="1"/>
  <c r="JO38" i="1"/>
  <c r="JO37" i="1"/>
  <c r="JO36" i="1"/>
  <c r="JO35" i="1"/>
  <c r="JO34" i="1"/>
  <c r="JO33" i="1"/>
  <c r="JO32" i="1"/>
  <c r="JO31" i="1"/>
  <c r="JO30" i="1"/>
  <c r="JO29" i="1"/>
  <c r="JO28" i="1"/>
  <c r="JO26" i="1"/>
  <c r="JO25" i="1"/>
  <c r="JO24" i="1"/>
  <c r="JO23" i="1"/>
  <c r="JO22" i="1"/>
  <c r="JO21" i="1"/>
  <c r="JO20" i="1"/>
  <c r="JO19" i="1"/>
  <c r="JO18" i="1"/>
  <c r="JO17" i="1"/>
  <c r="JO16" i="1"/>
  <c r="JO15" i="1"/>
  <c r="JO14" i="1"/>
  <c r="JO13" i="1"/>
  <c r="JO27" i="1"/>
  <c r="KM39" i="1"/>
  <c r="KM38" i="1"/>
  <c r="KM37" i="1"/>
  <c r="KM36" i="1"/>
  <c r="KM35" i="1"/>
  <c r="KM34" i="1"/>
  <c r="KM33" i="1"/>
  <c r="KM32" i="1"/>
  <c r="KM31" i="1"/>
  <c r="KM30" i="1"/>
  <c r="KM29" i="1"/>
  <c r="KM27" i="1"/>
  <c r="KM28" i="1"/>
  <c r="KM25" i="1"/>
  <c r="KM24" i="1"/>
  <c r="KM23" i="1"/>
  <c r="KM22" i="1"/>
  <c r="KM21" i="1"/>
  <c r="KM20" i="1"/>
  <c r="KM19" i="1"/>
  <c r="KM18" i="1"/>
  <c r="KM17" i="1"/>
  <c r="KM16" i="1"/>
  <c r="KM15" i="1"/>
  <c r="KM14" i="1"/>
  <c r="KM13" i="1"/>
  <c r="KM12" i="1"/>
  <c r="KM26" i="1"/>
  <c r="JL10" i="1"/>
  <c r="KM10" i="1"/>
  <c r="KD11" i="1"/>
  <c r="KT32" i="1"/>
  <c r="KT31" i="1"/>
  <c r="KT29" i="1"/>
  <c r="KT30" i="1"/>
  <c r="KT35" i="1"/>
  <c r="KT33" i="1"/>
  <c r="KT34" i="1"/>
  <c r="KD41" i="1"/>
  <c r="JL41" i="1"/>
  <c r="KJ41" i="1"/>
  <c r="JO41" i="1"/>
  <c r="KM41" i="1"/>
  <c r="KT37" i="1"/>
  <c r="JR41" i="1"/>
  <c r="KP41" i="1"/>
  <c r="JU41" i="1"/>
  <c r="KS41" i="1"/>
  <c r="AC41" i="1"/>
  <c r="AK41" i="1"/>
  <c r="BA41" i="1"/>
  <c r="BI41" i="1"/>
  <c r="CG41" i="1"/>
  <c r="DE41" i="1"/>
  <c r="EC41" i="1"/>
  <c r="FA41" i="1"/>
  <c r="FQ41" i="1"/>
  <c r="FY41" i="1"/>
  <c r="GW41" i="1"/>
  <c r="HU41" i="1"/>
  <c r="IK41" i="1"/>
  <c r="IS41" i="1"/>
  <c r="JI41" i="1"/>
  <c r="JQ41" i="1"/>
  <c r="KO41" i="1"/>
  <c r="AT41" i="1"/>
  <c r="BR41" i="1"/>
  <c r="CP41" i="1"/>
  <c r="DN41" i="1"/>
  <c r="FJ41" i="1"/>
  <c r="GH41" i="1"/>
  <c r="HF41" i="1"/>
  <c r="G41" i="1"/>
  <c r="AE41" i="1"/>
  <c r="BC41" i="1"/>
  <c r="CA41" i="1"/>
  <c r="CY41" i="1"/>
  <c r="DW41" i="1"/>
  <c r="EU41" i="1"/>
  <c r="FS41" i="1"/>
  <c r="GI41" i="1"/>
  <c r="GQ41" i="1"/>
  <c r="HG41" i="1"/>
  <c r="HO41" i="1"/>
  <c r="IE41" i="1"/>
  <c r="IM41" i="1"/>
  <c r="JC41" i="1"/>
  <c r="JK41" i="1"/>
  <c r="KI41" i="1"/>
  <c r="H41" i="1"/>
  <c r="AN41" i="1"/>
  <c r="BL41" i="1"/>
  <c r="CJ41" i="1"/>
  <c r="EF41" i="1"/>
  <c r="FD41" i="1"/>
  <c r="GB41" i="1"/>
  <c r="GZ41" i="1"/>
  <c r="HX41" i="1"/>
  <c r="IV41" i="1"/>
  <c r="JT41" i="1"/>
  <c r="KR41" i="1"/>
  <c r="Y41" i="1"/>
  <c r="AO41" i="1"/>
  <c r="AW41" i="1"/>
  <c r="BM41" i="1"/>
  <c r="BU41" i="1"/>
  <c r="CK41" i="1"/>
  <c r="CS41" i="1"/>
  <c r="DI41" i="1"/>
  <c r="DQ41" i="1"/>
  <c r="EO41" i="1"/>
  <c r="FM41" i="1"/>
  <c r="GK41" i="1"/>
  <c r="HI41" i="1"/>
  <c r="IG41" i="1"/>
  <c r="JE41" i="1"/>
  <c r="KC41" i="1"/>
  <c r="AH41" i="1"/>
  <c r="BF41" i="1"/>
  <c r="CD41" i="1"/>
  <c r="DB41" i="1"/>
  <c r="DZ41" i="1"/>
  <c r="EX41" i="1"/>
  <c r="FV41" i="1"/>
  <c r="GT41" i="1"/>
  <c r="HR41" i="1"/>
  <c r="IP41" i="1"/>
  <c r="JN41" i="1"/>
  <c r="KL41" i="1"/>
  <c r="S41" i="1"/>
  <c r="AQ41" i="1"/>
  <c r="BO41" i="1"/>
  <c r="FG41" i="1"/>
  <c r="GE41" i="1"/>
  <c r="HC41" i="1"/>
  <c r="IA41" i="1"/>
  <c r="IY41" i="1"/>
  <c r="JW41" i="1"/>
  <c r="AR41" i="1"/>
  <c r="BP41" i="1"/>
  <c r="BX41" i="1"/>
  <c r="CN41" i="1"/>
  <c r="CV41" i="1"/>
  <c r="DL41" i="1"/>
  <c r="DT41" i="1"/>
  <c r="EJ41" i="1"/>
  <c r="ER41" i="1"/>
  <c r="FH41" i="1"/>
  <c r="GF41" i="1"/>
  <c r="GN41" i="1"/>
  <c r="HD41" i="1"/>
  <c r="HL41" i="1"/>
  <c r="IB41" i="1"/>
  <c r="IJ41" i="1"/>
  <c r="IZ41" i="1"/>
  <c r="JH41" i="1"/>
  <c r="M40" i="55"/>
  <c r="D40" i="55"/>
  <c r="KU36" i="1" l="1"/>
  <c r="KU15" i="1"/>
  <c r="KU35" i="1"/>
  <c r="KU14" i="1"/>
  <c r="KU31" i="1"/>
  <c r="KU39" i="1"/>
  <c r="KU13" i="1"/>
  <c r="KU21" i="1"/>
  <c r="KU26" i="1"/>
  <c r="KU37" i="1"/>
  <c r="KU38" i="1"/>
  <c r="KU10" i="1"/>
  <c r="KU27" i="1"/>
  <c r="KU33" i="1"/>
  <c r="KU32" i="1"/>
  <c r="KU16" i="1"/>
  <c r="KU34" i="1"/>
  <c r="KU28" i="1"/>
  <c r="KU23" i="1"/>
  <c r="KU22" i="1"/>
  <c r="KU24" i="1"/>
  <c r="KU30" i="1"/>
  <c r="KU17" i="1"/>
  <c r="KU25" i="1"/>
  <c r="KU18" i="1"/>
  <c r="KU12" i="1"/>
  <c r="KU19" i="1"/>
  <c r="KU9" i="1"/>
  <c r="KU20" i="1"/>
  <c r="KU29" i="1"/>
  <c r="KU11" i="1"/>
  <c r="KU41" i="1"/>
  <c r="F32" i="37" l="1"/>
  <c r="E32" i="37"/>
  <c r="D32" i="37"/>
  <c r="C32" i="37"/>
  <c r="E23" i="37"/>
  <c r="D23" i="37"/>
  <c r="C23" i="37"/>
  <c r="E14" i="37"/>
  <c r="D14" i="37"/>
  <c r="C14" i="37"/>
  <c r="F32" i="6"/>
  <c r="E32" i="6"/>
  <c r="D32" i="6"/>
  <c r="C32" i="6"/>
  <c r="E23" i="6"/>
  <c r="D23" i="6"/>
  <c r="C23" i="6"/>
  <c r="E14" i="6"/>
  <c r="D14" i="6"/>
  <c r="C14" i="6"/>
  <c r="F32" i="7"/>
  <c r="E32" i="7"/>
  <c r="D32" i="7"/>
  <c r="C32" i="7"/>
  <c r="E23" i="7"/>
  <c r="D23" i="7"/>
  <c r="C23" i="7"/>
  <c r="E14" i="7"/>
  <c r="D14" i="7"/>
  <c r="C14" i="7"/>
  <c r="F32" i="8"/>
  <c r="F34" i="8" s="1"/>
  <c r="E32" i="8"/>
  <c r="D32" i="8"/>
  <c r="C32" i="8"/>
  <c r="E23" i="8"/>
  <c r="D23" i="8"/>
  <c r="C23" i="8"/>
  <c r="E14" i="8"/>
  <c r="D14" i="8"/>
  <c r="C14" i="8"/>
  <c r="F32" i="9"/>
  <c r="E32" i="9"/>
  <c r="D32" i="9"/>
  <c r="C32" i="9"/>
  <c r="E23" i="9"/>
  <c r="D23" i="9"/>
  <c r="C23" i="9"/>
  <c r="E14" i="9"/>
  <c r="D14" i="9"/>
  <c r="C14" i="9"/>
  <c r="F42" i="10"/>
  <c r="F32" i="10"/>
  <c r="F34" i="10" s="1"/>
  <c r="E32" i="10"/>
  <c r="D32" i="10"/>
  <c r="C32" i="10"/>
  <c r="E23" i="10"/>
  <c r="D23" i="10"/>
  <c r="C23" i="10"/>
  <c r="E14" i="10"/>
  <c r="D14" i="10"/>
  <c r="C14" i="10"/>
  <c r="F32" i="11"/>
  <c r="E32" i="11"/>
  <c r="D32" i="11"/>
  <c r="C32" i="11"/>
  <c r="E23" i="11"/>
  <c r="D23" i="11"/>
  <c r="C23" i="11"/>
  <c r="E14" i="11"/>
  <c r="D14" i="11"/>
  <c r="C14" i="11"/>
  <c r="F32" i="12"/>
  <c r="F34" i="12" s="1"/>
  <c r="E32" i="12"/>
  <c r="D32" i="12"/>
  <c r="C32" i="12"/>
  <c r="E23" i="12"/>
  <c r="D23" i="12"/>
  <c r="C23" i="12"/>
  <c r="E14" i="12"/>
  <c r="D14" i="12"/>
  <c r="C14" i="12"/>
  <c r="F32" i="13"/>
  <c r="E32" i="13"/>
  <c r="D32" i="13"/>
  <c r="C32" i="13"/>
  <c r="E23" i="13"/>
  <c r="D23" i="13"/>
  <c r="C23" i="13"/>
  <c r="E14" i="13"/>
  <c r="D14" i="13"/>
  <c r="C14" i="13"/>
  <c r="F32" i="14"/>
  <c r="E32" i="14"/>
  <c r="D32" i="14"/>
  <c r="C32" i="14"/>
  <c r="E23" i="14"/>
  <c r="D23" i="14"/>
  <c r="C23" i="14"/>
  <c r="E14" i="14"/>
  <c r="D14" i="14"/>
  <c r="C14" i="14"/>
  <c r="F32" i="15"/>
  <c r="E32" i="15"/>
  <c r="D32" i="15"/>
  <c r="C32" i="15"/>
  <c r="E23" i="15"/>
  <c r="D23" i="15"/>
  <c r="C23" i="15"/>
  <c r="E14" i="15"/>
  <c r="D14" i="15"/>
  <c r="C14" i="15"/>
  <c r="F32" i="16"/>
  <c r="E32" i="16"/>
  <c r="D32" i="16"/>
  <c r="C32" i="16"/>
  <c r="E23" i="16"/>
  <c r="D23" i="16"/>
  <c r="C23" i="16"/>
  <c r="E14" i="16"/>
  <c r="D14" i="16"/>
  <c r="C14" i="16"/>
  <c r="F32" i="17"/>
  <c r="E32" i="17"/>
  <c r="D32" i="17"/>
  <c r="C32" i="17"/>
  <c r="E23" i="17"/>
  <c r="D23" i="17"/>
  <c r="C23" i="17"/>
  <c r="E14" i="17"/>
  <c r="D14" i="17"/>
  <c r="C14" i="17"/>
  <c r="F32" i="18"/>
  <c r="E32" i="18"/>
  <c r="D32" i="18"/>
  <c r="C32" i="18"/>
  <c r="F23" i="18"/>
  <c r="E23" i="18"/>
  <c r="D23" i="18"/>
  <c r="C23" i="18"/>
  <c r="F14" i="18"/>
  <c r="E14" i="18"/>
  <c r="D14" i="18"/>
  <c r="C14" i="18"/>
  <c r="E32" i="19"/>
  <c r="D32" i="19"/>
  <c r="C32" i="19"/>
  <c r="E23" i="19"/>
  <c r="D23" i="19"/>
  <c r="C23" i="19"/>
  <c r="E14" i="19"/>
  <c r="D14" i="19"/>
  <c r="C14" i="19"/>
  <c r="F32" i="20"/>
  <c r="E32" i="20"/>
  <c r="D32" i="20"/>
  <c r="C32" i="20"/>
  <c r="F23" i="20"/>
  <c r="E23" i="20"/>
  <c r="D23" i="20"/>
  <c r="C23" i="20"/>
  <c r="F14" i="20"/>
  <c r="E14" i="20"/>
  <c r="D14" i="20"/>
  <c r="C14" i="20"/>
  <c r="F32" i="22"/>
  <c r="E32" i="22"/>
  <c r="D32" i="22"/>
  <c r="C32" i="22"/>
  <c r="F23" i="22"/>
  <c r="E23" i="22"/>
  <c r="D23" i="22"/>
  <c r="C23" i="22"/>
  <c r="F14" i="22"/>
  <c r="E14" i="22"/>
  <c r="D14" i="22"/>
  <c r="C14" i="22"/>
  <c r="F32" i="21"/>
  <c r="E32" i="21"/>
  <c r="D32" i="21"/>
  <c r="C32" i="21"/>
  <c r="F23" i="21"/>
  <c r="E23" i="21"/>
  <c r="D23" i="21"/>
  <c r="C23" i="21"/>
  <c r="F14" i="21"/>
  <c r="E14" i="21"/>
  <c r="D14" i="21"/>
  <c r="C14" i="21"/>
  <c r="F32" i="23"/>
  <c r="E32" i="23"/>
  <c r="D32" i="23"/>
  <c r="C32" i="23"/>
  <c r="F23" i="23"/>
  <c r="E23" i="23"/>
  <c r="D23" i="23"/>
  <c r="C23" i="23"/>
  <c r="F14" i="23"/>
  <c r="E14" i="23"/>
  <c r="D14" i="23"/>
  <c r="C14" i="23"/>
  <c r="F32" i="24"/>
  <c r="E32" i="24"/>
  <c r="D32" i="24"/>
  <c r="C32" i="24"/>
  <c r="F23" i="24"/>
  <c r="E23" i="24"/>
  <c r="D23" i="24"/>
  <c r="C23" i="24"/>
  <c r="F14" i="24"/>
  <c r="E14" i="24"/>
  <c r="D14" i="24"/>
  <c r="C14" i="24"/>
  <c r="F32" i="25"/>
  <c r="E32" i="25"/>
  <c r="D32" i="25"/>
  <c r="C32" i="25"/>
  <c r="F23" i="25"/>
  <c r="E23" i="25"/>
  <c r="D23" i="25"/>
  <c r="C23" i="25"/>
  <c r="F14" i="25"/>
  <c r="E14" i="25"/>
  <c r="D14" i="25"/>
  <c r="C14" i="25"/>
  <c r="F32" i="26"/>
  <c r="E32" i="26"/>
  <c r="D32" i="26"/>
  <c r="C32" i="26"/>
  <c r="F23" i="26"/>
  <c r="E23" i="26"/>
  <c r="D23" i="26"/>
  <c r="C23" i="26"/>
  <c r="F14" i="26"/>
  <c r="E14" i="26"/>
  <c r="D14" i="26"/>
  <c r="C14" i="26"/>
  <c r="F32" i="28"/>
  <c r="E32" i="28"/>
  <c r="D32" i="28"/>
  <c r="C32" i="28"/>
  <c r="F23" i="28"/>
  <c r="E23" i="28"/>
  <c r="D23" i="28"/>
  <c r="C23" i="28"/>
  <c r="F14" i="28"/>
  <c r="E14" i="28"/>
  <c r="D14" i="28"/>
  <c r="C14" i="28"/>
  <c r="F32" i="32"/>
  <c r="E32" i="32"/>
  <c r="D32" i="32"/>
  <c r="C32" i="32"/>
  <c r="F23" i="32"/>
  <c r="E23" i="32"/>
  <c r="D23" i="32"/>
  <c r="C23" i="32"/>
  <c r="F14" i="32"/>
  <c r="E14" i="32"/>
  <c r="D14" i="32"/>
  <c r="C14" i="3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D24" i="11" l="1"/>
  <c r="F34" i="14"/>
  <c r="D34" i="24"/>
  <c r="D34" i="21"/>
  <c r="D34" i="20"/>
  <c r="D34" i="14"/>
  <c r="E34" i="14"/>
  <c r="D34" i="8"/>
  <c r="D34" i="12"/>
  <c r="D34" i="10"/>
  <c r="C34" i="8"/>
  <c r="E34" i="18"/>
  <c r="E34" i="10"/>
  <c r="C33" i="23"/>
  <c r="C33" i="22"/>
  <c r="C24" i="20"/>
  <c r="C33" i="17"/>
  <c r="C33" i="15"/>
  <c r="C24" i="14"/>
  <c r="C33" i="11"/>
  <c r="D33" i="9"/>
  <c r="D15" i="16"/>
  <c r="D33" i="17"/>
  <c r="D33" i="15"/>
  <c r="D24" i="14"/>
  <c r="E24" i="16"/>
  <c r="C34" i="18"/>
  <c r="C15" i="16"/>
  <c r="C34" i="14"/>
  <c r="C33" i="6"/>
  <c r="D34" i="25"/>
  <c r="D34" i="23"/>
  <c r="D34" i="22"/>
  <c r="F34" i="28"/>
  <c r="F34" i="11"/>
  <c r="E15" i="12"/>
  <c r="C15" i="23"/>
  <c r="C34" i="22"/>
  <c r="F34" i="18"/>
  <c r="C15" i="11"/>
  <c r="E34" i="28"/>
  <c r="E15" i="25"/>
  <c r="E15" i="23"/>
  <c r="E34" i="22"/>
  <c r="D34" i="19"/>
  <c r="D24" i="18"/>
  <c r="D24" i="12"/>
  <c r="E33" i="13"/>
  <c r="D33" i="7"/>
  <c r="C24" i="28"/>
  <c r="E33" i="26"/>
  <c r="C24" i="25"/>
  <c r="E33" i="24"/>
  <c r="C24" i="23"/>
  <c r="C33" i="21"/>
  <c r="C24" i="22"/>
  <c r="E33" i="20"/>
  <c r="D33" i="26"/>
  <c r="D33" i="24"/>
  <c r="D24" i="23"/>
  <c r="D33" i="20"/>
  <c r="C15" i="12"/>
  <c r="C15" i="19"/>
  <c r="C33" i="19"/>
  <c r="C24" i="12"/>
  <c r="E33" i="25"/>
  <c r="D34" i="11"/>
  <c r="F34" i="25"/>
  <c r="F34" i="23"/>
  <c r="F34" i="22"/>
  <c r="E24" i="18"/>
  <c r="E24" i="12"/>
  <c r="E34" i="11"/>
  <c r="C33" i="9"/>
  <c r="C34" i="6"/>
  <c r="C34" i="37"/>
  <c r="D33" i="28"/>
  <c r="C34" i="24"/>
  <c r="F34" i="17"/>
  <c r="F34" i="13"/>
  <c r="D34" i="9"/>
  <c r="C33" i="16"/>
  <c r="C33" i="12"/>
  <c r="E33" i="9"/>
  <c r="D24" i="19"/>
  <c r="D34" i="18"/>
  <c r="C24" i="11"/>
  <c r="D33" i="10"/>
  <c r="F34" i="9"/>
  <c r="F34" i="7"/>
  <c r="C34" i="32"/>
  <c r="E33" i="32"/>
  <c r="D24" i="20"/>
  <c r="D33" i="16"/>
  <c r="D33" i="14"/>
  <c r="D24" i="13"/>
  <c r="D15" i="11"/>
  <c r="E24" i="21"/>
  <c r="E15" i="15"/>
  <c r="E33" i="11"/>
  <c r="E24" i="37"/>
  <c r="E34" i="19"/>
  <c r="E34" i="9"/>
  <c r="C34" i="21"/>
  <c r="C15" i="20"/>
  <c r="C34" i="15"/>
  <c r="C34" i="11"/>
  <c r="C33" i="37"/>
  <c r="C24" i="26"/>
  <c r="C33" i="26"/>
  <c r="D33" i="21"/>
  <c r="D15" i="20"/>
  <c r="D34" i="16"/>
  <c r="E15" i="9"/>
  <c r="E24" i="8"/>
  <c r="C24" i="19"/>
  <c r="E24" i="14"/>
  <c r="C24" i="9"/>
  <c r="D35" i="30"/>
  <c r="C24" i="17"/>
  <c r="E24" i="11"/>
  <c r="C33" i="8"/>
  <c r="E33" i="6"/>
  <c r="E34" i="32"/>
  <c r="F34" i="32"/>
  <c r="E24" i="26"/>
  <c r="E24" i="28"/>
  <c r="E34" i="25"/>
  <c r="E34" i="21"/>
  <c r="E24" i="17"/>
  <c r="E24" i="32"/>
  <c r="D24" i="25"/>
  <c r="D33" i="23"/>
  <c r="F34" i="21"/>
  <c r="D33" i="19"/>
  <c r="E34" i="16"/>
  <c r="D24" i="16"/>
  <c r="D34" i="15"/>
  <c r="C15" i="13"/>
  <c r="E15" i="11"/>
  <c r="D33" i="11"/>
  <c r="D24" i="9"/>
  <c r="E24" i="6"/>
  <c r="D15" i="37"/>
  <c r="E33" i="18"/>
  <c r="E24" i="13"/>
  <c r="D33" i="12"/>
  <c r="D34" i="7"/>
  <c r="E33" i="12"/>
  <c r="C15" i="28"/>
  <c r="C33" i="28"/>
  <c r="E34" i="26"/>
  <c r="D24" i="26"/>
  <c r="E24" i="25"/>
  <c r="D15" i="24"/>
  <c r="E34" i="23"/>
  <c r="D15" i="21"/>
  <c r="E15" i="20"/>
  <c r="E15" i="19"/>
  <c r="E34" i="15"/>
  <c r="E33" i="15"/>
  <c r="D34" i="13"/>
  <c r="C34" i="12"/>
  <c r="C34" i="10"/>
  <c r="E24" i="9"/>
  <c r="C24" i="7"/>
  <c r="C34" i="7"/>
  <c r="E34" i="37"/>
  <c r="D33" i="37"/>
  <c r="C34" i="26"/>
  <c r="D34" i="28"/>
  <c r="F34" i="26"/>
  <c r="E34" i="24"/>
  <c r="E15" i="21"/>
  <c r="F34" i="20"/>
  <c r="D34" i="17"/>
  <c r="Z79" i="57" s="1"/>
  <c r="F34" i="15"/>
  <c r="E34" i="13"/>
  <c r="C34" i="9"/>
  <c r="E34" i="8"/>
  <c r="E33" i="8"/>
  <c r="F34" i="37"/>
  <c r="E33" i="37"/>
  <c r="D24" i="28"/>
  <c r="E33" i="14"/>
  <c r="D34" i="26"/>
  <c r="D34" i="32"/>
  <c r="E15" i="28"/>
  <c r="E33" i="28"/>
  <c r="C15" i="26"/>
  <c r="C34" i="25"/>
  <c r="C33" i="25"/>
  <c r="F34" i="24"/>
  <c r="E33" i="23"/>
  <c r="C24" i="21"/>
  <c r="E34" i="17"/>
  <c r="D24" i="15"/>
  <c r="C24" i="10"/>
  <c r="D15" i="9"/>
  <c r="E34" i="7"/>
  <c r="D34" i="6"/>
  <c r="E15" i="37"/>
  <c r="E24" i="24"/>
  <c r="D33" i="22"/>
  <c r="F34" i="19"/>
  <c r="F34" i="16"/>
  <c r="E15" i="32"/>
  <c r="D15" i="26"/>
  <c r="D33" i="25"/>
  <c r="D24" i="24"/>
  <c r="C33" i="24"/>
  <c r="C34" i="23"/>
  <c r="C34" i="19"/>
  <c r="C24" i="16"/>
  <c r="C33" i="14"/>
  <c r="C24" i="13"/>
  <c r="E34" i="6"/>
  <c r="C24" i="37"/>
  <c r="D34" i="37"/>
  <c r="E15" i="8"/>
  <c r="C33" i="7"/>
  <c r="F34" i="6"/>
  <c r="D24" i="37"/>
  <c r="C15" i="37"/>
  <c r="D24" i="6"/>
  <c r="C24" i="6"/>
  <c r="D33" i="6"/>
  <c r="C15" i="6"/>
  <c r="D15" i="6"/>
  <c r="E15" i="6"/>
  <c r="C15" i="7"/>
  <c r="D24" i="7"/>
  <c r="E33" i="7"/>
  <c r="D15" i="7"/>
  <c r="E24" i="7"/>
  <c r="E15" i="7"/>
  <c r="C15" i="8"/>
  <c r="D24" i="8"/>
  <c r="C24" i="8"/>
  <c r="D33" i="8"/>
  <c r="D15" i="8"/>
  <c r="C15" i="9"/>
  <c r="C15" i="10"/>
  <c r="D24" i="10"/>
  <c r="E33" i="10"/>
  <c r="D15" i="10"/>
  <c r="E24" i="10"/>
  <c r="E15" i="10"/>
  <c r="C33" i="10"/>
  <c r="D15" i="12"/>
  <c r="E34" i="12"/>
  <c r="C33" i="13"/>
  <c r="D33" i="13"/>
  <c r="D15" i="13"/>
  <c r="C34" i="13"/>
  <c r="E15" i="13"/>
  <c r="C15" i="14"/>
  <c r="D15" i="14"/>
  <c r="E15" i="14"/>
  <c r="C15" i="15"/>
  <c r="C24" i="15"/>
  <c r="D15" i="15"/>
  <c r="E24" i="15"/>
  <c r="E33" i="16"/>
  <c r="C34" i="16"/>
  <c r="E15" i="16"/>
  <c r="C15" i="17"/>
  <c r="D24" i="17"/>
  <c r="E33" i="17"/>
  <c r="D15" i="17"/>
  <c r="C34" i="17"/>
  <c r="E15" i="17"/>
  <c r="C33" i="18"/>
  <c r="C24" i="18"/>
  <c r="D33" i="18"/>
  <c r="C15" i="18"/>
  <c r="D15" i="18"/>
  <c r="E15" i="18"/>
  <c r="E33" i="19"/>
  <c r="D15" i="19"/>
  <c r="E24" i="19"/>
  <c r="C33" i="20"/>
  <c r="E24" i="20"/>
  <c r="C34" i="20"/>
  <c r="E34" i="20"/>
  <c r="C15" i="22"/>
  <c r="D24" i="22"/>
  <c r="E33" i="22"/>
  <c r="D15" i="22"/>
  <c r="E24" i="22"/>
  <c r="E15" i="22"/>
  <c r="C15" i="21"/>
  <c r="D24" i="21"/>
  <c r="E33" i="21"/>
  <c r="D15" i="23"/>
  <c r="E24" i="23"/>
  <c r="C24" i="24"/>
  <c r="C15" i="24"/>
  <c r="E15" i="24"/>
  <c r="C15" i="25"/>
  <c r="D15" i="25"/>
  <c r="E15" i="26"/>
  <c r="D15" i="28"/>
  <c r="C34" i="28"/>
  <c r="E35" i="30"/>
  <c r="C35" i="30"/>
  <c r="C33" i="32"/>
  <c r="C24" i="32"/>
  <c r="D33" i="32"/>
  <c r="C15" i="32"/>
  <c r="D24" i="32"/>
  <c r="D15" i="32"/>
  <c r="E35" i="18" l="1"/>
  <c r="C35" i="22"/>
  <c r="Z79" i="46"/>
  <c r="AA79" i="46" s="1"/>
  <c r="AB79" i="46" s="1"/>
  <c r="AA79" i="57"/>
  <c r="AB79" i="57" s="1"/>
  <c r="D35" i="22"/>
  <c r="E35" i="21"/>
  <c r="D35" i="24"/>
  <c r="C35" i="24"/>
  <c r="E35" i="24"/>
  <c r="E35" i="22"/>
  <c r="E35" i="8"/>
  <c r="C35" i="8"/>
  <c r="D35" i="10"/>
  <c r="D35" i="14"/>
  <c r="D35" i="7"/>
  <c r="C35" i="14"/>
  <c r="E35" i="15"/>
  <c r="E35" i="14"/>
  <c r="C35" i="18"/>
  <c r="C35" i="27"/>
  <c r="E35" i="27"/>
  <c r="D35" i="18"/>
  <c r="C35" i="19"/>
  <c r="D35" i="27"/>
  <c r="C35" i="6"/>
  <c r="D35" i="11"/>
  <c r="E35" i="23"/>
  <c r="D35" i="21"/>
  <c r="E35" i="11"/>
  <c r="D35" i="8"/>
  <c r="E35" i="31"/>
  <c r="C35" i="21"/>
  <c r="C35" i="16"/>
  <c r="D35" i="23"/>
  <c r="C35" i="23"/>
  <c r="C35" i="11"/>
  <c r="C35" i="10"/>
  <c r="D35" i="26"/>
  <c r="C35" i="9"/>
  <c r="D35" i="15"/>
  <c r="E35" i="10"/>
  <c r="C35" i="15"/>
  <c r="D35" i="9"/>
  <c r="C35" i="26"/>
  <c r="E35" i="9"/>
  <c r="C35" i="31"/>
  <c r="C35" i="12"/>
  <c r="E35" i="7"/>
  <c r="D35" i="31"/>
  <c r="E35" i="6"/>
  <c r="E35" i="20"/>
  <c r="E35" i="19"/>
  <c r="D35" i="6"/>
  <c r="C35" i="17"/>
  <c r="E35" i="12"/>
  <c r="E35" i="26"/>
  <c r="D35" i="19"/>
  <c r="C35" i="7"/>
  <c r="D35" i="12"/>
  <c r="D35" i="16"/>
  <c r="E35" i="16"/>
  <c r="D35" i="17"/>
  <c r="E35" i="17"/>
  <c r="C35" i="20"/>
  <c r="D35" i="20"/>
  <c r="P36" i="45" l="1"/>
  <c r="AE39" i="54"/>
  <c r="AF39" i="54"/>
  <c r="AD39" i="54"/>
  <c r="G42" i="37" l="1"/>
  <c r="F42" i="37"/>
  <c r="I37" i="37" l="1"/>
  <c r="P35" i="45" l="1"/>
  <c r="BC150" i="57" l="1"/>
  <c r="BB150" i="57"/>
  <c r="G42" i="7" l="1"/>
  <c r="I37" i="7" s="1"/>
  <c r="C35" i="2" s="1"/>
  <c r="K7" i="8" l="1"/>
  <c r="P33" i="45" l="1"/>
  <c r="P32" i="45"/>
  <c r="I37" i="9"/>
  <c r="G42" i="8"/>
  <c r="I37" i="8" s="1"/>
  <c r="F42" i="8"/>
  <c r="R19" i="8"/>
  <c r="P19" i="8"/>
  <c r="Q9" i="8"/>
  <c r="R9" i="8" l="1"/>
  <c r="R11" i="8"/>
  <c r="Q11" i="8"/>
  <c r="R10" i="8"/>
  <c r="Q10" i="8"/>
  <c r="R12" i="8" l="1"/>
  <c r="R13" i="8" s="1"/>
  <c r="Q12" i="8"/>
  <c r="Q13" i="8" s="1"/>
  <c r="Q14" i="8" l="1"/>
  <c r="R14" i="8"/>
  <c r="P31" i="45" l="1"/>
  <c r="G42" i="10" l="1"/>
  <c r="I37" i="10" s="1"/>
  <c r="P29" i="45" l="1"/>
  <c r="P30" i="45"/>
  <c r="I37" i="11"/>
  <c r="I37" i="12"/>
  <c r="P28" i="45" l="1"/>
  <c r="I37" i="13"/>
  <c r="P27" i="45" l="1"/>
  <c r="I37" i="14" l="1"/>
  <c r="P25" i="45" l="1"/>
  <c r="P26" i="45"/>
  <c r="I37" i="15" l="1"/>
  <c r="P24" i="45" l="1"/>
  <c r="P23" i="45" l="1"/>
  <c r="P22" i="45" l="1"/>
  <c r="P21" i="45" l="1"/>
  <c r="W78" i="20" l="1"/>
  <c r="I37" i="20"/>
  <c r="P20" i="45" l="1"/>
  <c r="P19" i="45" l="1"/>
  <c r="P18" i="45"/>
  <c r="P17" i="45" l="1"/>
  <c r="C38" i="24" l="1"/>
  <c r="C39" i="24"/>
  <c r="P16" i="45" l="1"/>
  <c r="P15" i="45"/>
  <c r="P14" i="45"/>
  <c r="C43" i="26"/>
  <c r="G42" i="26"/>
  <c r="I37" i="26" s="1"/>
  <c r="F42" i="26"/>
  <c r="R7" i="43" l="1"/>
  <c r="U7" i="43" s="1"/>
  <c r="R8" i="43"/>
  <c r="S8" i="43"/>
  <c r="U8" i="43" l="1"/>
  <c r="Z6" i="46" l="1"/>
  <c r="AZ150" i="57" l="1"/>
  <c r="AY150" i="57"/>
  <c r="AX150" i="57"/>
  <c r="AW150" i="57"/>
  <c r="AV150" i="57"/>
  <c r="AU150" i="57"/>
  <c r="AT150" i="57"/>
  <c r="AS150" i="57"/>
  <c r="AQ150" i="57"/>
  <c r="AP150" i="57"/>
  <c r="AO150" i="57"/>
  <c r="AN150" i="57"/>
  <c r="AL150" i="57"/>
  <c r="AK150" i="57"/>
  <c r="AJ150" i="57"/>
  <c r="AI150" i="57"/>
  <c r="AH150" i="57"/>
  <c r="AG150" i="57"/>
  <c r="AF150" i="57"/>
  <c r="S150" i="57"/>
  <c r="R150" i="57"/>
  <c r="Q150" i="57"/>
  <c r="Q151" i="57" s="1"/>
  <c r="AR149" i="57"/>
  <c r="AM149" i="57"/>
  <c r="AC149" i="57"/>
  <c r="AA149" i="57"/>
  <c r="BE152" i="57" l="1"/>
  <c r="BD152" i="57"/>
  <c r="BF152" i="57"/>
  <c r="BB152" i="57"/>
  <c r="BC152" i="57"/>
  <c r="R151" i="57"/>
  <c r="S151" i="57"/>
  <c r="AR150" i="57"/>
  <c r="BA150" i="57"/>
  <c r="R152" i="57" s="1"/>
  <c r="AM150" i="57"/>
  <c r="S152" i="57"/>
  <c r="AZ150" i="46"/>
  <c r="AY150" i="46"/>
  <c r="AX150" i="46"/>
  <c r="AW150" i="46"/>
  <c r="AV150" i="46"/>
  <c r="AU150" i="46"/>
  <c r="AT150" i="46"/>
  <c r="AS150" i="46"/>
  <c r="AQ150" i="46"/>
  <c r="AP150" i="46"/>
  <c r="AO150" i="46"/>
  <c r="AN150" i="46"/>
  <c r="AL150" i="46"/>
  <c r="AK150" i="46"/>
  <c r="AJ150" i="46"/>
  <c r="AI150" i="46"/>
  <c r="AH150" i="46"/>
  <c r="AG150" i="46"/>
  <c r="AF150" i="46"/>
  <c r="AR149" i="46"/>
  <c r="AM149" i="46"/>
  <c r="AR8" i="46"/>
  <c r="BA8" i="46" s="1"/>
  <c r="AM8" i="46"/>
  <c r="AR7" i="46"/>
  <c r="BA7" i="46" s="1"/>
  <c r="AM7" i="46"/>
  <c r="AR6" i="46"/>
  <c r="AM6" i="46"/>
  <c r="AY155" i="57" l="1"/>
  <c r="AY156" i="57" s="1"/>
  <c r="AD7" i="46"/>
  <c r="AD8" i="46"/>
  <c r="AM150" i="46"/>
  <c r="AR150" i="46"/>
  <c r="AD150" i="57"/>
  <c r="T9" i="56" s="1"/>
  <c r="BA6" i="46"/>
  <c r="AD6" i="46" s="1"/>
  <c r="AD150" i="46" l="1"/>
  <c r="BA150" i="46"/>
  <c r="E40" i="45"/>
  <c r="I40" i="45"/>
  <c r="M40" i="45"/>
  <c r="I46" i="16" l="1"/>
  <c r="I46" i="18"/>
  <c r="I46" i="20"/>
  <c r="I46" i="21"/>
  <c r="I46" i="24"/>
  <c r="I46" i="26"/>
  <c r="I46" i="27"/>
  <c r="I46" i="30"/>
  <c r="I46" i="32"/>
  <c r="L8" i="45"/>
  <c r="L9" i="45" s="1"/>
  <c r="L10" i="45" s="1"/>
  <c r="L11" i="45" s="1"/>
  <c r="L12" i="45" s="1"/>
  <c r="L13" i="45" s="1"/>
  <c r="H8" i="45"/>
  <c r="H9" i="45" s="1"/>
  <c r="H10" i="45" s="1"/>
  <c r="H11" i="45" s="1"/>
  <c r="H12" i="45" s="1"/>
  <c r="H13" i="45" s="1"/>
  <c r="P8" i="45"/>
  <c r="I46" i="33" s="1"/>
  <c r="D8" i="45"/>
  <c r="D9" i="45" s="1"/>
  <c r="D10" i="45" s="1"/>
  <c r="D11" i="45" s="1"/>
  <c r="D12" i="45" s="1"/>
  <c r="D13" i="45" s="1"/>
  <c r="A7" i="45" l="1"/>
  <c r="I46" i="28"/>
  <c r="I46" i="22"/>
  <c r="I46" i="17"/>
  <c r="I46" i="14"/>
  <c r="I46" i="13"/>
  <c r="I46" i="12"/>
  <c r="I46" i="11"/>
  <c r="I46" i="10"/>
  <c r="I46" i="9"/>
  <c r="I46" i="8"/>
  <c r="P34" i="45"/>
  <c r="I46" i="7" s="1"/>
  <c r="I46" i="6"/>
  <c r="I46" i="37"/>
  <c r="P37" i="45"/>
  <c r="P38" i="45"/>
  <c r="P40" i="45"/>
  <c r="I46" i="43" l="1"/>
  <c r="I46" i="4"/>
  <c r="I46" i="15"/>
  <c r="I46" i="19"/>
  <c r="I46" i="23"/>
  <c r="I46" i="25"/>
  <c r="I46" i="29"/>
  <c r="I46" i="31"/>
  <c r="S150" i="46" l="1"/>
  <c r="R150" i="46"/>
  <c r="Q150" i="46"/>
  <c r="Q151" i="46" s="1"/>
  <c r="AC149" i="46"/>
  <c r="AA149" i="46"/>
  <c r="BB152" i="46" l="1"/>
  <c r="BC152" i="46"/>
  <c r="BE152" i="46"/>
  <c r="BD152" i="46"/>
  <c r="BF152" i="46"/>
  <c r="S152" i="46"/>
  <c r="R151" i="46"/>
  <c r="S151" i="46"/>
  <c r="H14" i="45" l="1"/>
  <c r="H15" i="45" s="1"/>
  <c r="H16" i="45" s="1"/>
  <c r="L14" i="45"/>
  <c r="L15" i="45" s="1"/>
  <c r="L16" i="45" s="1"/>
  <c r="D14" i="45"/>
  <c r="D15" i="45" s="1"/>
  <c r="D16" i="45" s="1"/>
  <c r="I9" i="56"/>
  <c r="R152" i="46"/>
  <c r="D17" i="45" l="1"/>
  <c r="L17" i="45"/>
  <c r="H17" i="45"/>
  <c r="H18" i="45" l="1"/>
  <c r="H19" i="45" s="1"/>
  <c r="L18" i="45"/>
  <c r="L19" i="45" s="1"/>
  <c r="D18" i="45"/>
  <c r="D19" i="45" s="1"/>
  <c r="L20" i="45" l="1"/>
  <c r="D20" i="45"/>
  <c r="D21" i="45" s="1"/>
  <c r="D22" i="45" s="1"/>
  <c r="D23" i="45" s="1"/>
  <c r="D24" i="45" s="1"/>
  <c r="D25" i="45" s="1"/>
  <c r="D26" i="45" s="1"/>
  <c r="D27" i="45" s="1"/>
  <c r="D28" i="45" s="1"/>
  <c r="D29" i="45" s="1"/>
  <c r="D30" i="45" s="1"/>
  <c r="D31" i="45" s="1"/>
  <c r="D32" i="45" s="1"/>
  <c r="D33" i="45" s="1"/>
  <c r="H20" i="45"/>
  <c r="H21" i="45" l="1"/>
  <c r="L21" i="45"/>
  <c r="D34" i="45"/>
  <c r="G4" i="47"/>
  <c r="AO13" i="48"/>
  <c r="AO14" i="48"/>
  <c r="AO15" i="48"/>
  <c r="AO16" i="48"/>
  <c r="AO17" i="48"/>
  <c r="AO18" i="48"/>
  <c r="AO19" i="48"/>
  <c r="AO20" i="48"/>
  <c r="AO21" i="48"/>
  <c r="AO22" i="48"/>
  <c r="AO23" i="48"/>
  <c r="AO24" i="48"/>
  <c r="AO25" i="48"/>
  <c r="AO26" i="48"/>
  <c r="AO27" i="48"/>
  <c r="AO28" i="48"/>
  <c r="AO29" i="48"/>
  <c r="AO30" i="48"/>
  <c r="AR30" i="48" s="1"/>
  <c r="AO31" i="48"/>
  <c r="AR31" i="48" s="1"/>
  <c r="AO32" i="48"/>
  <c r="AO33" i="48"/>
  <c r="AO34" i="48"/>
  <c r="AO35" i="48"/>
  <c r="AO36" i="48"/>
  <c r="AO37" i="48"/>
  <c r="AO38" i="48"/>
  <c r="AO12" i="48"/>
  <c r="AO10" i="48"/>
  <c r="AO11" i="48"/>
  <c r="AO9" i="48"/>
  <c r="H4" i="47" l="1"/>
  <c r="O6" i="57" s="1"/>
  <c r="D35" i="45"/>
  <c r="L22" i="45"/>
  <c r="H22" i="45"/>
  <c r="AR38" i="48"/>
  <c r="AS38" i="48"/>
  <c r="C6" i="57" l="1"/>
  <c r="C150" i="57" s="1"/>
  <c r="K6" i="57"/>
  <c r="X6" i="57" s="1"/>
  <c r="P6" i="57"/>
  <c r="P150" i="57" s="1"/>
  <c r="O150" i="57" s="1"/>
  <c r="V6" i="57"/>
  <c r="V150" i="57" s="1"/>
  <c r="T10" i="56" s="1"/>
  <c r="U6" i="57"/>
  <c r="AA6" i="57" s="1"/>
  <c r="T6" i="57"/>
  <c r="T150" i="57" s="1"/>
  <c r="O6" i="46"/>
  <c r="C6" i="46" s="1"/>
  <c r="N9" i="48" s="1"/>
  <c r="D36" i="45"/>
  <c r="D37" i="45" s="1"/>
  <c r="D38" i="45" s="1"/>
  <c r="H23" i="45"/>
  <c r="L23" i="45"/>
  <c r="AT38" i="48"/>
  <c r="C46" i="30"/>
  <c r="AB6" i="57" l="1"/>
  <c r="U150" i="57"/>
  <c r="P6" i="46"/>
  <c r="P150" i="46" s="1"/>
  <c r="O150" i="46" s="1"/>
  <c r="T6" i="46"/>
  <c r="T150" i="46" s="1"/>
  <c r="U6" i="46"/>
  <c r="AA6" i="46" s="1"/>
  <c r="K6" i="46"/>
  <c r="L9" i="48" s="1"/>
  <c r="V6" i="46"/>
  <c r="V150" i="46" s="1"/>
  <c r="I10" i="56" s="1"/>
  <c r="E18" i="55" s="1"/>
  <c r="BA9" i="48"/>
  <c r="BB9" i="48" s="1"/>
  <c r="BB10" i="48" s="1"/>
  <c r="BB11" i="48" s="1"/>
  <c r="BB12" i="48" s="1"/>
  <c r="BB13" i="48" s="1"/>
  <c r="BB14" i="48" s="1"/>
  <c r="BB15" i="48" s="1"/>
  <c r="BB16" i="48" s="1"/>
  <c r="BB17" i="48" s="1"/>
  <c r="BB18" i="48" s="1"/>
  <c r="BB19" i="48" s="1"/>
  <c r="BB20" i="48" s="1"/>
  <c r="BB21" i="48" s="1"/>
  <c r="BB22" i="48" s="1"/>
  <c r="BB23" i="48" s="1"/>
  <c r="BB24" i="48" s="1"/>
  <c r="BB25" i="48" s="1"/>
  <c r="BB26" i="48" s="1"/>
  <c r="BB27" i="48" s="1"/>
  <c r="BB28" i="48" s="1"/>
  <c r="BB29" i="48" s="1"/>
  <c r="BB30" i="48" s="1"/>
  <c r="BB31" i="48" s="1"/>
  <c r="BB32" i="48" s="1"/>
  <c r="BB33" i="48" s="1"/>
  <c r="BB34" i="48" s="1"/>
  <c r="BB35" i="48" s="1"/>
  <c r="BB36" i="48" s="1"/>
  <c r="BB37" i="48" s="1"/>
  <c r="BB38" i="48" s="1"/>
  <c r="K150" i="57"/>
  <c r="V151" i="57" s="1"/>
  <c r="AM151" i="57" s="1"/>
  <c r="N28" i="55"/>
  <c r="N20" i="55"/>
  <c r="N23" i="55"/>
  <c r="N6" i="55"/>
  <c r="N16" i="55"/>
  <c r="N26" i="55"/>
  <c r="N10" i="55"/>
  <c r="N39" i="55"/>
  <c r="N25" i="55"/>
  <c r="N27" i="55"/>
  <c r="N22" i="55"/>
  <c r="N31" i="55"/>
  <c r="N7" i="55"/>
  <c r="N17" i="55"/>
  <c r="N11" i="55"/>
  <c r="N18" i="55"/>
  <c r="N8" i="55"/>
  <c r="N34" i="55"/>
  <c r="N37" i="55"/>
  <c r="N5" i="55"/>
  <c r="N19" i="55"/>
  <c r="N30" i="55"/>
  <c r="N33" i="55"/>
  <c r="N38" i="55"/>
  <c r="N4" i="55"/>
  <c r="N36" i="55"/>
  <c r="N29" i="55"/>
  <c r="N32" i="55"/>
  <c r="N24" i="55"/>
  <c r="N35" i="55"/>
  <c r="N9" i="55"/>
  <c r="N21" i="55"/>
  <c r="L24" i="45"/>
  <c r="H24" i="45"/>
  <c r="C150" i="46"/>
  <c r="BA41" i="48" l="1"/>
  <c r="AC150" i="57"/>
  <c r="T5" i="56" s="1"/>
  <c r="N15" i="55" s="1"/>
  <c r="U150" i="46"/>
  <c r="E26" i="55"/>
  <c r="E32" i="55"/>
  <c r="E23" i="55"/>
  <c r="E30" i="55"/>
  <c r="E34" i="55"/>
  <c r="E37" i="55"/>
  <c r="E35" i="55"/>
  <c r="E21" i="55"/>
  <c r="E17" i="55"/>
  <c r="E29" i="55"/>
  <c r="E11" i="55"/>
  <c r="E20" i="55"/>
  <c r="E9" i="55"/>
  <c r="AC6" i="46"/>
  <c r="AC150" i="46" s="1"/>
  <c r="I5" i="56" s="1"/>
  <c r="E15" i="55" s="1"/>
  <c r="E22" i="55"/>
  <c r="E36" i="55"/>
  <c r="E8" i="55"/>
  <c r="E28" i="55"/>
  <c r="E10" i="55"/>
  <c r="E33" i="55"/>
  <c r="E5" i="55"/>
  <c r="E19" i="55"/>
  <c r="E24" i="55"/>
  <c r="E16" i="55"/>
  <c r="E7" i="55"/>
  <c r="K150" i="46"/>
  <c r="I8" i="56" s="1"/>
  <c r="E38" i="55"/>
  <c r="E27" i="55"/>
  <c r="X6" i="46"/>
  <c r="E4" i="55"/>
  <c r="E39" i="55"/>
  <c r="E25" i="55"/>
  <c r="E6" i="55"/>
  <c r="E31" i="55"/>
  <c r="T8" i="56"/>
  <c r="T11" i="56" s="1"/>
  <c r="AW151" i="57"/>
  <c r="X177" i="57" s="1"/>
  <c r="BA151" i="57"/>
  <c r="AJ151" i="57"/>
  <c r="X167" i="57" s="1"/>
  <c r="AG151" i="57"/>
  <c r="X164" i="57" s="1"/>
  <c r="AH151" i="57"/>
  <c r="X165" i="57" s="1"/>
  <c r="AR151" i="57"/>
  <c r="AX151" i="57"/>
  <c r="AQ151" i="57"/>
  <c r="X173" i="57" s="1"/>
  <c r="AF151" i="57"/>
  <c r="X163" i="57" s="1"/>
  <c r="AN151" i="57"/>
  <c r="X170" i="57" s="1"/>
  <c r="AV151" i="57"/>
  <c r="X178" i="57" s="1"/>
  <c r="AY151" i="57"/>
  <c r="AZ151" i="57"/>
  <c r="X180" i="57" s="1"/>
  <c r="H25" i="45"/>
  <c r="H26" i="45" s="1"/>
  <c r="L25" i="45"/>
  <c r="L26" i="45" s="1"/>
  <c r="AS151" i="57"/>
  <c r="X174" i="57" s="1"/>
  <c r="AI151" i="57"/>
  <c r="X166" i="57" s="1"/>
  <c r="AT151" i="57"/>
  <c r="X175" i="57" s="1"/>
  <c r="AO151" i="57"/>
  <c r="X171" i="57" s="1"/>
  <c r="AL151" i="57"/>
  <c r="X169" i="57" s="1"/>
  <c r="AK151" i="57"/>
  <c r="X168" i="57" s="1"/>
  <c r="AU151" i="57"/>
  <c r="X176" i="57" s="1"/>
  <c r="AP151" i="57"/>
  <c r="X172" i="57" s="1"/>
  <c r="AC151" i="57" l="1"/>
  <c r="X160" i="57" s="1"/>
  <c r="AC151" i="46"/>
  <c r="X160" i="46" s="1"/>
  <c r="AH4" i="54"/>
  <c r="V151" i="46"/>
  <c r="AR151" i="46" s="1"/>
  <c r="AB6" i="46"/>
  <c r="F15" i="55"/>
  <c r="G15" i="55" s="1"/>
  <c r="AH3" i="54"/>
  <c r="X179" i="57"/>
  <c r="O11" i="55"/>
  <c r="P11" i="55" s="1"/>
  <c r="O30" i="55"/>
  <c r="O24" i="55"/>
  <c r="O8" i="55"/>
  <c r="P8" i="55" s="1"/>
  <c r="O31" i="55"/>
  <c r="O26" i="55"/>
  <c r="O28" i="55"/>
  <c r="O20" i="55"/>
  <c r="O38" i="55"/>
  <c r="O19" i="55"/>
  <c r="O17" i="55"/>
  <c r="O22" i="55"/>
  <c r="O39" i="55"/>
  <c r="O7" i="55"/>
  <c r="P7" i="55" s="1"/>
  <c r="O33" i="55"/>
  <c r="O21" i="55"/>
  <c r="O18" i="55"/>
  <c r="P18" i="55" s="1"/>
  <c r="O37" i="55"/>
  <c r="O23" i="55"/>
  <c r="O5" i="55"/>
  <c r="P5" i="55" s="1"/>
  <c r="O35" i="55"/>
  <c r="O32" i="55"/>
  <c r="O9" i="55"/>
  <c r="P9" i="55" s="1"/>
  <c r="O25" i="55"/>
  <c r="O6" i="55"/>
  <c r="P6" i="55" s="1"/>
  <c r="O10" i="55"/>
  <c r="P10" i="55" s="1"/>
  <c r="O36" i="55"/>
  <c r="O4" i="55"/>
  <c r="O27" i="55"/>
  <c r="O34" i="55"/>
  <c r="O29" i="55"/>
  <c r="O16" i="55"/>
  <c r="L27" i="45"/>
  <c r="H27" i="45"/>
  <c r="U5" i="56"/>
  <c r="O15" i="55" s="1"/>
  <c r="P15" i="55" s="1"/>
  <c r="AC39" i="54"/>
  <c r="AB39" i="54"/>
  <c r="AA39" i="54"/>
  <c r="Z39" i="54"/>
  <c r="Y39" i="54"/>
  <c r="X39" i="54"/>
  <c r="W39" i="54"/>
  <c r="V39" i="54"/>
  <c r="U39" i="54"/>
  <c r="T39" i="54"/>
  <c r="S39" i="54"/>
  <c r="R39" i="54"/>
  <c r="Q39" i="54"/>
  <c r="P39" i="54"/>
  <c r="O39" i="54"/>
  <c r="N39" i="54"/>
  <c r="M39" i="54"/>
  <c r="L39" i="54"/>
  <c r="K39" i="54"/>
  <c r="J39" i="54"/>
  <c r="I39" i="54"/>
  <c r="H39" i="54"/>
  <c r="G39" i="54"/>
  <c r="F39" i="54"/>
  <c r="E39" i="54"/>
  <c r="D39" i="54"/>
  <c r="C39" i="54"/>
  <c r="B39" i="54"/>
  <c r="AA74" i="46"/>
  <c r="AB74" i="46" s="1"/>
  <c r="AJ151" i="46" l="1"/>
  <c r="X167" i="46" s="1"/>
  <c r="AX151" i="46"/>
  <c r="AA64" i="46"/>
  <c r="AB64" i="46" s="1"/>
  <c r="AA64" i="57"/>
  <c r="AB64" i="57" s="1"/>
  <c r="AA59" i="46"/>
  <c r="AB59" i="46" s="1"/>
  <c r="AA59" i="57"/>
  <c r="AB59" i="57" s="1"/>
  <c r="AA55" i="57"/>
  <c r="AB55" i="57" s="1"/>
  <c r="AA50" i="57"/>
  <c r="AB50" i="57" s="1"/>
  <c r="AA50" i="46"/>
  <c r="AB50" i="46" s="1"/>
  <c r="AA55" i="46"/>
  <c r="AB55" i="46" s="1"/>
  <c r="AP151" i="46"/>
  <c r="X172" i="46" s="1"/>
  <c r="AZ151" i="46"/>
  <c r="X180" i="46" s="1"/>
  <c r="AO151" i="46"/>
  <c r="X171" i="46" s="1"/>
  <c r="AM151" i="46"/>
  <c r="AH151" i="46"/>
  <c r="X165" i="46" s="1"/>
  <c r="AT151" i="46"/>
  <c r="X175" i="46" s="1"/>
  <c r="AF151" i="46"/>
  <c r="X163" i="46" s="1"/>
  <c r="AW151" i="46"/>
  <c r="X177" i="46" s="1"/>
  <c r="AK151" i="46"/>
  <c r="X168" i="46" s="1"/>
  <c r="AY151" i="46"/>
  <c r="X179" i="46" s="1"/>
  <c r="AN151" i="46"/>
  <c r="X170" i="46" s="1"/>
  <c r="AG151" i="46"/>
  <c r="X164" i="46" s="1"/>
  <c r="AV151" i="46"/>
  <c r="X178" i="46" s="1"/>
  <c r="BA151" i="46"/>
  <c r="AU151" i="46"/>
  <c r="X176" i="46" s="1"/>
  <c r="AI151" i="46"/>
  <c r="X166" i="46" s="1"/>
  <c r="AS151" i="46"/>
  <c r="X174" i="46" s="1"/>
  <c r="AQ151" i="46"/>
  <c r="X173" i="46" s="1"/>
  <c r="AL151" i="46"/>
  <c r="X169" i="46" s="1"/>
  <c r="P36" i="55"/>
  <c r="P16" i="55"/>
  <c r="P33" i="55"/>
  <c r="P31" i="55"/>
  <c r="P4" i="55"/>
  <c r="P24" i="55"/>
  <c r="P19" i="55"/>
  <c r="P38" i="55"/>
  <c r="Q38" i="55" s="1"/>
  <c r="H28" i="45"/>
  <c r="L28" i="45"/>
  <c r="AI3" i="54"/>
  <c r="AG39" i="54"/>
  <c r="AA114" i="57" s="1"/>
  <c r="AB114" i="57" s="1"/>
  <c r="Y150" i="46" l="1"/>
  <c r="Y151" i="46" s="1"/>
  <c r="X158" i="46" s="1"/>
  <c r="Y150" i="57"/>
  <c r="Y152" i="57" s="1"/>
  <c r="Q24" i="55"/>
  <c r="Q4" i="55"/>
  <c r="L29" i="45"/>
  <c r="L30" i="45" s="1"/>
  <c r="H29" i="45"/>
  <c r="H30" i="45" s="1"/>
  <c r="AH7" i="54"/>
  <c r="AH38" i="54"/>
  <c r="AH37" i="54"/>
  <c r="AH20" i="54"/>
  <c r="AH36" i="54"/>
  <c r="AH12" i="54"/>
  <c r="AH14" i="54"/>
  <c r="AH9" i="54"/>
  <c r="AH13" i="54"/>
  <c r="AH17" i="54"/>
  <c r="AH28" i="54"/>
  <c r="AH27" i="54"/>
  <c r="AH34" i="54"/>
  <c r="AH11" i="54"/>
  <c r="AH18" i="54"/>
  <c r="AH6" i="54"/>
  <c r="AH10" i="54"/>
  <c r="AH30" i="54"/>
  <c r="AH29" i="54"/>
  <c r="AH16" i="54"/>
  <c r="AH15" i="54"/>
  <c r="AH35" i="54"/>
  <c r="AH32" i="54"/>
  <c r="AH24" i="54"/>
  <c r="AH8" i="54"/>
  <c r="AH26" i="54"/>
  <c r="AH21" i="54"/>
  <c r="AH31" i="54"/>
  <c r="AH25" i="54"/>
  <c r="AH23" i="54"/>
  <c r="AH22" i="54"/>
  <c r="AH33" i="54"/>
  <c r="AH19" i="54"/>
  <c r="Y152" i="46" l="1"/>
  <c r="Y151" i="57"/>
  <c r="X158" i="57" s="1"/>
  <c r="H31" i="45"/>
  <c r="L31" i="45"/>
  <c r="AH39" i="54"/>
  <c r="AP41" i="48"/>
  <c r="AQ38" i="48"/>
  <c r="AQ37" i="48"/>
  <c r="AR37" i="48"/>
  <c r="AQ36" i="48"/>
  <c r="AR36" i="48"/>
  <c r="AQ35" i="48"/>
  <c r="AS35" i="48"/>
  <c r="AQ34" i="48"/>
  <c r="AS34" i="48"/>
  <c r="AQ33" i="48"/>
  <c r="AR33" i="48"/>
  <c r="AQ32" i="48"/>
  <c r="AS32" i="48"/>
  <c r="AQ31" i="48"/>
  <c r="AS31" i="48"/>
  <c r="AS25" i="48"/>
  <c r="AR24" i="48"/>
  <c r="AS23" i="48"/>
  <c r="AS22" i="48"/>
  <c r="AS21" i="48"/>
  <c r="AS20" i="48"/>
  <c r="AS19" i="48"/>
  <c r="AS18" i="48"/>
  <c r="AS17" i="48"/>
  <c r="AQ16" i="48"/>
  <c r="AS15" i="48"/>
  <c r="AR13" i="48"/>
  <c r="AQ13" i="48"/>
  <c r="AS13" i="48"/>
  <c r="AS12" i="48"/>
  <c r="AR12" i="48"/>
  <c r="AQ12" i="48"/>
  <c r="AS11" i="48"/>
  <c r="AR11" i="48"/>
  <c r="AQ11" i="48"/>
  <c r="AS10" i="48"/>
  <c r="AR10" i="48"/>
  <c r="AQ10" i="48"/>
  <c r="AS9" i="48"/>
  <c r="AR9" i="48"/>
  <c r="AQ9" i="48"/>
  <c r="L32" i="45" l="1"/>
  <c r="L33" i="45" s="1"/>
  <c r="L34" i="45" s="1"/>
  <c r="H32" i="45"/>
  <c r="H33" i="45" s="1"/>
  <c r="H34" i="45" s="1"/>
  <c r="AV38" i="48"/>
  <c r="AY38" i="48" s="1"/>
  <c r="AU38" i="48"/>
  <c r="AX38" i="48" s="1"/>
  <c r="AW38" i="48"/>
  <c r="AZ38" i="48" s="1"/>
  <c r="AV32" i="48"/>
  <c r="AY32" i="48" s="1"/>
  <c r="AV13" i="48"/>
  <c r="AY13" i="48" s="1"/>
  <c r="AV12" i="48"/>
  <c r="AY12" i="48" s="1"/>
  <c r="AV9" i="48"/>
  <c r="AY9" i="48" s="1"/>
  <c r="AV34" i="48"/>
  <c r="AY34" i="48" s="1"/>
  <c r="AT11" i="48"/>
  <c r="AW11" i="48" s="1"/>
  <c r="AV31" i="48"/>
  <c r="AY31" i="48" s="1"/>
  <c r="AT13" i="48"/>
  <c r="AW13" i="48" s="1"/>
  <c r="AV35" i="48"/>
  <c r="AY35" i="48" s="1"/>
  <c r="AV10" i="48"/>
  <c r="AY10" i="48" s="1"/>
  <c r="AU10" i="48"/>
  <c r="AX10" i="48" s="1"/>
  <c r="AV11" i="48"/>
  <c r="AY11" i="48" s="1"/>
  <c r="AS14" i="48"/>
  <c r="AR14" i="48"/>
  <c r="AS28" i="48"/>
  <c r="AR28" i="48"/>
  <c r="AQ28" i="48"/>
  <c r="AU36" i="48"/>
  <c r="AX36" i="48" s="1"/>
  <c r="AT10" i="48"/>
  <c r="AW10" i="48" s="1"/>
  <c r="AU12" i="48"/>
  <c r="AX12" i="48" s="1"/>
  <c r="AT12" i="48"/>
  <c r="AW12" i="48" s="1"/>
  <c r="AQ14" i="48"/>
  <c r="AU37" i="48"/>
  <c r="AX37" i="48" s="1"/>
  <c r="AU9" i="48"/>
  <c r="AX9" i="48" s="1"/>
  <c r="AR18" i="48"/>
  <c r="AQ18" i="48"/>
  <c r="AV18" i="48" s="1"/>
  <c r="AY18" i="48" s="1"/>
  <c r="AR22" i="48"/>
  <c r="AQ22" i="48"/>
  <c r="AV22" i="48" s="1"/>
  <c r="AY22" i="48" s="1"/>
  <c r="AQ25" i="48"/>
  <c r="AV25" i="48" s="1"/>
  <c r="AY25" i="48" s="1"/>
  <c r="AR25" i="48"/>
  <c r="AU13" i="48"/>
  <c r="AX13" i="48" s="1"/>
  <c r="AR17" i="48"/>
  <c r="AQ17" i="48"/>
  <c r="AV17" i="48" s="1"/>
  <c r="AY17" i="48" s="1"/>
  <c r="AQ21" i="48"/>
  <c r="AV21" i="48" s="1"/>
  <c r="AY21" i="48" s="1"/>
  <c r="AR21" i="48"/>
  <c r="AS24" i="48"/>
  <c r="AT24" i="48" s="1"/>
  <c r="AQ24" i="48"/>
  <c r="AU24" i="48" s="1"/>
  <c r="AX24" i="48" s="1"/>
  <c r="AQ15" i="48"/>
  <c r="AV15" i="48" s="1"/>
  <c r="AY15" i="48" s="1"/>
  <c r="AR15" i="48"/>
  <c r="AT9" i="48"/>
  <c r="AW9" i="48" s="1"/>
  <c r="AZ9" i="48" s="1"/>
  <c r="AU11" i="48"/>
  <c r="AX11" i="48" s="1"/>
  <c r="AR16" i="48"/>
  <c r="AS16" i="48"/>
  <c r="AV16" i="48" s="1"/>
  <c r="AY16" i="48" s="1"/>
  <c r="AR19" i="48"/>
  <c r="AQ19" i="48"/>
  <c r="AV19" i="48" s="1"/>
  <c r="AY19" i="48" s="1"/>
  <c r="AR23" i="48"/>
  <c r="AQ23" i="48"/>
  <c r="AV23" i="48" s="1"/>
  <c r="AY23" i="48" s="1"/>
  <c r="AS30" i="48"/>
  <c r="AQ30" i="48"/>
  <c r="AU33" i="48"/>
  <c r="AX33" i="48" s="1"/>
  <c r="AS26" i="48"/>
  <c r="AR26" i="48"/>
  <c r="AQ26" i="48"/>
  <c r="AS27" i="48"/>
  <c r="AR27" i="48"/>
  <c r="AQ27" i="48"/>
  <c r="AS29" i="48"/>
  <c r="AR29" i="48"/>
  <c r="AQ29" i="48"/>
  <c r="AR20" i="48"/>
  <c r="AQ20" i="48"/>
  <c r="AV20" i="48" s="1"/>
  <c r="AY20" i="48" s="1"/>
  <c r="AR32" i="48"/>
  <c r="AR34" i="48"/>
  <c r="AR35" i="48"/>
  <c r="AS33" i="48"/>
  <c r="AV33" i="48" s="1"/>
  <c r="AY33" i="48" s="1"/>
  <c r="AS36" i="48"/>
  <c r="AV36" i="48" s="1"/>
  <c r="AY36" i="48" s="1"/>
  <c r="AS37" i="48"/>
  <c r="AV37" i="48" s="1"/>
  <c r="AY37" i="48" s="1"/>
  <c r="T38" i="48" l="1"/>
  <c r="T36" i="48"/>
  <c r="T37" i="48"/>
  <c r="T33" i="48"/>
  <c r="T24" i="48"/>
  <c r="T13" i="48"/>
  <c r="T12" i="48"/>
  <c r="T11" i="48"/>
  <c r="T10" i="48"/>
  <c r="T9" i="48"/>
  <c r="H35" i="45"/>
  <c r="L35" i="45"/>
  <c r="AZ12" i="48"/>
  <c r="AW24" i="48"/>
  <c r="AZ13" i="48"/>
  <c r="AZ11" i="48"/>
  <c r="AZ10" i="48"/>
  <c r="AV30" i="48"/>
  <c r="AY30" i="48" s="1"/>
  <c r="AV14" i="48"/>
  <c r="AY14" i="48" s="1"/>
  <c r="AV24" i="48"/>
  <c r="AY24" i="48" s="1"/>
  <c r="AV27" i="48"/>
  <c r="AY27" i="48" s="1"/>
  <c r="AT30" i="48"/>
  <c r="AW30" i="48" s="1"/>
  <c r="AU30" i="48"/>
  <c r="AT18" i="48"/>
  <c r="AW18" i="48" s="1"/>
  <c r="AU18" i="48"/>
  <c r="AT36" i="48"/>
  <c r="AW36" i="48" s="1"/>
  <c r="AU16" i="48"/>
  <c r="AX16" i="48" s="1"/>
  <c r="AT16" i="48"/>
  <c r="AW16" i="48" s="1"/>
  <c r="AT26" i="48"/>
  <c r="AW26" i="48" s="1"/>
  <c r="AU26" i="48"/>
  <c r="AX26" i="48" s="1"/>
  <c r="AV26" i="48"/>
  <c r="AY26" i="48" s="1"/>
  <c r="AT15" i="48"/>
  <c r="AW15" i="48" s="1"/>
  <c r="AU15" i="48"/>
  <c r="AX15" i="48" s="1"/>
  <c r="AT37" i="48"/>
  <c r="AW37" i="48" s="1"/>
  <c r="AU32" i="48"/>
  <c r="AX32" i="48" s="1"/>
  <c r="AT32" i="48"/>
  <c r="AW32" i="48" s="1"/>
  <c r="AT21" i="48"/>
  <c r="AW21" i="48" s="1"/>
  <c r="AU21" i="48"/>
  <c r="AX21" i="48" s="1"/>
  <c r="AU31" i="48"/>
  <c r="AX31" i="48" s="1"/>
  <c r="AT31" i="48"/>
  <c r="AW31" i="48" s="1"/>
  <c r="AT20" i="48"/>
  <c r="AW20" i="48" s="1"/>
  <c r="AU20" i="48"/>
  <c r="AX20" i="48" s="1"/>
  <c r="AT19" i="48"/>
  <c r="AW19" i="48" s="1"/>
  <c r="AU19" i="48"/>
  <c r="AX19" i="48" s="1"/>
  <c r="AT25" i="48"/>
  <c r="AW25" i="48" s="1"/>
  <c r="AU25" i="48"/>
  <c r="AX25" i="48" s="1"/>
  <c r="AU28" i="48"/>
  <c r="AX28" i="48" s="1"/>
  <c r="AT28" i="48"/>
  <c r="AW28" i="48" s="1"/>
  <c r="AU35" i="48"/>
  <c r="AX35" i="48" s="1"/>
  <c r="AT35" i="48"/>
  <c r="AW35" i="48" s="1"/>
  <c r="AV29" i="48"/>
  <c r="AY29" i="48" s="1"/>
  <c r="AV28" i="48"/>
  <c r="AY28" i="48" s="1"/>
  <c r="AT27" i="48"/>
  <c r="AW27" i="48" s="1"/>
  <c r="AU27" i="48"/>
  <c r="AX27" i="48" s="1"/>
  <c r="AT22" i="48"/>
  <c r="AW22" i="48" s="1"/>
  <c r="AU22" i="48"/>
  <c r="AX22" i="48" s="1"/>
  <c r="AT23" i="48"/>
  <c r="AW23" i="48" s="1"/>
  <c r="AU23" i="48"/>
  <c r="AX23" i="48" s="1"/>
  <c r="AT17" i="48"/>
  <c r="AW17" i="48" s="1"/>
  <c r="AU17" i="48"/>
  <c r="AX17" i="48" s="1"/>
  <c r="AT29" i="48"/>
  <c r="AW29" i="48" s="1"/>
  <c r="AU29" i="48"/>
  <c r="AX29" i="48" s="1"/>
  <c r="AT33" i="48"/>
  <c r="AW33" i="48" s="1"/>
  <c r="AU34" i="48"/>
  <c r="AX34" i="48" s="1"/>
  <c r="AT34" i="48"/>
  <c r="AW34" i="48" s="1"/>
  <c r="AU14" i="48"/>
  <c r="AX14" i="48" s="1"/>
  <c r="AT14" i="48"/>
  <c r="AW14" i="48" s="1"/>
  <c r="T34" i="48" l="1"/>
  <c r="T35" i="48"/>
  <c r="T32" i="48"/>
  <c r="T31" i="48"/>
  <c r="T29" i="48"/>
  <c r="T28" i="48"/>
  <c r="T26" i="48"/>
  <c r="T27" i="48"/>
  <c r="T25" i="48"/>
  <c r="T23" i="48"/>
  <c r="T22" i="48"/>
  <c r="T21" i="48"/>
  <c r="T19" i="48"/>
  <c r="T20" i="48"/>
  <c r="T17" i="48"/>
  <c r="T16" i="48"/>
  <c r="T15" i="48"/>
  <c r="T14" i="48"/>
  <c r="L36" i="45"/>
  <c r="L37" i="45" s="1"/>
  <c r="L38" i="45" s="1"/>
  <c r="H36" i="45"/>
  <c r="H37" i="45" s="1"/>
  <c r="H38" i="45" s="1"/>
  <c r="AX18" i="48"/>
  <c r="AX30" i="48"/>
  <c r="AZ29" i="48"/>
  <c r="AZ23" i="48"/>
  <c r="AZ27" i="48"/>
  <c r="AZ25" i="48"/>
  <c r="AZ20" i="48"/>
  <c r="AZ21" i="48"/>
  <c r="AZ26" i="48"/>
  <c r="AZ30" i="48"/>
  <c r="AZ28" i="48"/>
  <c r="AZ31" i="48"/>
  <c r="AZ32" i="48"/>
  <c r="AZ15" i="48"/>
  <c r="AZ16" i="48"/>
  <c r="AZ18" i="48"/>
  <c r="AZ24" i="48"/>
  <c r="AZ34" i="48"/>
  <c r="AZ33" i="48"/>
  <c r="AZ17" i="48"/>
  <c r="AZ22" i="48"/>
  <c r="AZ19" i="48"/>
  <c r="AZ14" i="48"/>
  <c r="AZ35" i="48"/>
  <c r="AZ37" i="48"/>
  <c r="AZ36" i="48"/>
  <c r="T30" i="48" l="1"/>
  <c r="T18" i="48"/>
  <c r="AZ41" i="48"/>
  <c r="AX41" i="48"/>
  <c r="AY41" i="48"/>
  <c r="AY43" i="48" l="1"/>
  <c r="I43" i="33" l="1"/>
  <c r="I43" i="31"/>
  <c r="C36" i="2"/>
  <c r="BG42" i="2" l="1"/>
  <c r="AY42" i="2"/>
  <c r="AQ42" i="2"/>
  <c r="W42" i="2"/>
  <c r="K42" i="2"/>
  <c r="BC40" i="2"/>
  <c r="BC39" i="2"/>
  <c r="BC38" i="2"/>
  <c r="BC37" i="2"/>
  <c r="BC36" i="2"/>
  <c r="BC35" i="2"/>
  <c r="BC34" i="2"/>
  <c r="BC33" i="2"/>
  <c r="BC32" i="2"/>
  <c r="BC31" i="2"/>
  <c r="BC30" i="2"/>
  <c r="BC29" i="2"/>
  <c r="BC28" i="2"/>
  <c r="BC27" i="2"/>
  <c r="BC26" i="2"/>
  <c r="BC25" i="2"/>
  <c r="BC24" i="2"/>
  <c r="BC23" i="2"/>
  <c r="BC22" i="2"/>
  <c r="BC21" i="2"/>
  <c r="BC20" i="2"/>
  <c r="BC19" i="2"/>
  <c r="BC18" i="2"/>
  <c r="AE42" i="2"/>
  <c r="BC17" i="2"/>
  <c r="BC16" i="2"/>
  <c r="BC15" i="2"/>
  <c r="BC14" i="2"/>
  <c r="BC13" i="2"/>
  <c r="BC12" i="2"/>
  <c r="BC11" i="2"/>
  <c r="BI10" i="2"/>
  <c r="BI11" i="2" s="1"/>
  <c r="BA10" i="2"/>
  <c r="BA11" i="2" s="1"/>
  <c r="BA12" i="2" s="1"/>
  <c r="AU10" i="2"/>
  <c r="AU42" i="2" s="1"/>
  <c r="AS10" i="2"/>
  <c r="AS11" i="2" s="1"/>
  <c r="AI42" i="2"/>
  <c r="AG10" i="2"/>
  <c r="AG11" i="2" s="1"/>
  <c r="Y10" i="2"/>
  <c r="Q10" i="2"/>
  <c r="Q11" i="2" s="1"/>
  <c r="M10" i="2"/>
  <c r="M11" i="2" s="1"/>
  <c r="G42" i="2"/>
  <c r="X42" i="2" l="1"/>
  <c r="BK38" i="2"/>
  <c r="AZ38" i="2" s="1"/>
  <c r="BK39" i="2"/>
  <c r="AR39" i="2" s="1"/>
  <c r="BK22" i="2"/>
  <c r="T22" i="2" s="1"/>
  <c r="BK36" i="2"/>
  <c r="BK12" i="2"/>
  <c r="BK15" i="2"/>
  <c r="AF15" i="2" s="1"/>
  <c r="BK17" i="2"/>
  <c r="M12" i="2"/>
  <c r="AS12" i="2"/>
  <c r="Q12" i="2"/>
  <c r="AG12" i="2"/>
  <c r="BI12" i="2"/>
  <c r="BA13" i="2"/>
  <c r="I10" i="2"/>
  <c r="I11" i="2" s="1"/>
  <c r="AW10" i="2"/>
  <c r="AA42" i="2"/>
  <c r="AC10" i="2"/>
  <c r="BC10" i="2"/>
  <c r="BK20" i="2"/>
  <c r="AN20" i="2" s="1"/>
  <c r="AK10" i="2"/>
  <c r="BK14" i="2"/>
  <c r="AF14" i="2" s="1"/>
  <c r="BK24" i="2"/>
  <c r="AN24" i="2" s="1"/>
  <c r="BK27" i="2"/>
  <c r="BK28" i="2"/>
  <c r="BK23" i="2"/>
  <c r="BK26" i="2"/>
  <c r="BK31" i="2"/>
  <c r="BK32" i="2"/>
  <c r="AF32" i="2" s="1"/>
  <c r="BK33" i="2"/>
  <c r="BK34" i="2"/>
  <c r="BK29" i="2"/>
  <c r="BK35" i="2"/>
  <c r="BK37" i="2"/>
  <c r="BK40" i="2"/>
  <c r="T38" i="2" l="1"/>
  <c r="P17" i="2"/>
  <c r="AF17" i="2"/>
  <c r="AJ12" i="2"/>
  <c r="AF12" i="2"/>
  <c r="AZ36" i="2"/>
  <c r="AB36" i="2"/>
  <c r="T36" i="2"/>
  <c r="BD39" i="2"/>
  <c r="L22" i="2"/>
  <c r="AR22" i="2"/>
  <c r="AF22" i="2"/>
  <c r="BD22" i="2"/>
  <c r="AV38" i="2"/>
  <c r="BH38" i="2"/>
  <c r="AF39" i="2"/>
  <c r="AV39" i="2"/>
  <c r="BD38" i="2"/>
  <c r="BH39" i="2"/>
  <c r="AR38" i="2"/>
  <c r="AN39" i="2"/>
  <c r="AJ39" i="2"/>
  <c r="H38" i="2"/>
  <c r="AN38" i="2"/>
  <c r="AJ38" i="2"/>
  <c r="L38" i="2"/>
  <c r="T39" i="2"/>
  <c r="P38" i="2"/>
  <c r="AF38" i="2"/>
  <c r="AB38" i="2"/>
  <c r="AB22" i="2"/>
  <c r="AV22" i="2"/>
  <c r="H22" i="2"/>
  <c r="AV36" i="2"/>
  <c r="AJ36" i="2"/>
  <c r="AR36" i="2"/>
  <c r="BD36" i="2"/>
  <c r="BH36" i="2"/>
  <c r="AN36" i="2"/>
  <c r="AF36" i="2"/>
  <c r="L12" i="2"/>
  <c r="AN12" i="2"/>
  <c r="AR12" i="2"/>
  <c r="AV12" i="2"/>
  <c r="AZ12" i="2"/>
  <c r="BD12" i="2"/>
  <c r="H12" i="2"/>
  <c r="P12" i="2"/>
  <c r="AN17" i="2"/>
  <c r="BH17" i="2"/>
  <c r="T17" i="2"/>
  <c r="AJ17" i="2"/>
  <c r="BH12" i="2"/>
  <c r="AZ17" i="2"/>
  <c r="T12" i="2"/>
  <c r="AB12" i="2"/>
  <c r="AN33" i="2"/>
  <c r="T28" i="2"/>
  <c r="AN34" i="2"/>
  <c r="T32" i="2"/>
  <c r="T20" i="2"/>
  <c r="L36" i="2"/>
  <c r="T37" i="2"/>
  <c r="BD31" i="2"/>
  <c r="T24" i="2"/>
  <c r="AN22" i="2"/>
  <c r="T23" i="2"/>
  <c r="T26" i="2"/>
  <c r="H15" i="2"/>
  <c r="AB15" i="2"/>
  <c r="AJ15" i="2"/>
  <c r="AN29" i="2"/>
  <c r="BD28" i="2"/>
  <c r="T33" i="2"/>
  <c r="BD26" i="2"/>
  <c r="P39" i="2"/>
  <c r="H39" i="2"/>
  <c r="L39" i="2"/>
  <c r="AB39" i="2"/>
  <c r="AZ39" i="2"/>
  <c r="BD37" i="2"/>
  <c r="BD33" i="2"/>
  <c r="AV15" i="2"/>
  <c r="BD15" i="2"/>
  <c r="P15" i="2"/>
  <c r="AZ15" i="2"/>
  <c r="AN28" i="2"/>
  <c r="BH15" i="2"/>
  <c r="AR15" i="2"/>
  <c r="T15" i="2"/>
  <c r="L15" i="2"/>
  <c r="AN15" i="2"/>
  <c r="AN31" i="2"/>
  <c r="AN26" i="2"/>
  <c r="AF20" i="2"/>
  <c r="BH22" i="2"/>
  <c r="P22" i="2"/>
  <c r="AJ22" i="2"/>
  <c r="AZ22" i="2"/>
  <c r="L17" i="2"/>
  <c r="AV17" i="2"/>
  <c r="AB17" i="2"/>
  <c r="AR17" i="2"/>
  <c r="BD17" i="2"/>
  <c r="H17" i="2"/>
  <c r="H36" i="2"/>
  <c r="P36" i="2"/>
  <c r="BD23" i="2"/>
  <c r="AF27" i="2"/>
  <c r="AN27" i="2"/>
  <c r="T27" i="2"/>
  <c r="AZ14" i="2"/>
  <c r="AR14" i="2"/>
  <c r="AJ14" i="2"/>
  <c r="P14" i="2"/>
  <c r="AV14" i="2"/>
  <c r="T14" i="2"/>
  <c r="H14" i="2"/>
  <c r="BH14" i="2"/>
  <c r="L14" i="2"/>
  <c r="BD14" i="2"/>
  <c r="AB14" i="2"/>
  <c r="I12" i="2"/>
  <c r="AZ40" i="2"/>
  <c r="AR40" i="2"/>
  <c r="AJ40" i="2"/>
  <c r="AB40" i="2"/>
  <c r="L40" i="2"/>
  <c r="BH40" i="2"/>
  <c r="AN40" i="2"/>
  <c r="AF40" i="2"/>
  <c r="P40" i="2"/>
  <c r="AV40" i="2"/>
  <c r="H40" i="2"/>
  <c r="BH35" i="2"/>
  <c r="AV35" i="2"/>
  <c r="AN35" i="2"/>
  <c r="AF35" i="2"/>
  <c r="P35" i="2"/>
  <c r="H35" i="2"/>
  <c r="AZ35" i="2"/>
  <c r="AR35" i="2"/>
  <c r="AJ35" i="2"/>
  <c r="AB35" i="2"/>
  <c r="L35" i="2"/>
  <c r="BD34" i="2"/>
  <c r="AZ34" i="2"/>
  <c r="AR34" i="2"/>
  <c r="AJ34" i="2"/>
  <c r="L34" i="2"/>
  <c r="BH34" i="2"/>
  <c r="AV34" i="2"/>
  <c r="AB34" i="2"/>
  <c r="P34" i="2"/>
  <c r="H34" i="2"/>
  <c r="BD32" i="2"/>
  <c r="AZ32" i="2"/>
  <c r="AR32" i="2"/>
  <c r="AJ32" i="2"/>
  <c r="BH32" i="2"/>
  <c r="AV32" i="2"/>
  <c r="AB32" i="2"/>
  <c r="P32" i="2"/>
  <c r="H32" i="2"/>
  <c r="L32" i="2"/>
  <c r="BD29" i="2"/>
  <c r="T40" i="2"/>
  <c r="AZ37" i="2"/>
  <c r="AR37" i="2"/>
  <c r="AJ37" i="2"/>
  <c r="AB37" i="2"/>
  <c r="L37" i="2"/>
  <c r="AV37" i="2"/>
  <c r="H37" i="2"/>
  <c r="BH37" i="2"/>
  <c r="AN37" i="2"/>
  <c r="AF37" i="2"/>
  <c r="P37" i="2"/>
  <c r="BD35" i="2"/>
  <c r="AF34" i="2"/>
  <c r="AN32" i="2"/>
  <c r="BK30" i="2"/>
  <c r="BH33" i="2"/>
  <c r="AV33" i="2"/>
  <c r="AF33" i="2"/>
  <c r="AB33" i="2"/>
  <c r="P33" i="2"/>
  <c r="H33" i="2"/>
  <c r="AZ33" i="2"/>
  <c r="AR33" i="2"/>
  <c r="AJ33" i="2"/>
  <c r="L33" i="2"/>
  <c r="BH26" i="2"/>
  <c r="AV26" i="2"/>
  <c r="AF26" i="2"/>
  <c r="AB26" i="2"/>
  <c r="AZ26" i="2"/>
  <c r="AR26" i="2"/>
  <c r="AJ26" i="2"/>
  <c r="L26" i="2"/>
  <c r="P26" i="2"/>
  <c r="H26" i="2"/>
  <c r="BK25" i="2"/>
  <c r="AZ23" i="2"/>
  <c r="AR23" i="2"/>
  <c r="AJ23" i="2"/>
  <c r="AV23" i="2"/>
  <c r="AF23" i="2"/>
  <c r="L23" i="2"/>
  <c r="BH23" i="2"/>
  <c r="AB23" i="2"/>
  <c r="P23" i="2"/>
  <c r="BH28" i="2"/>
  <c r="AV28" i="2"/>
  <c r="AF28" i="2"/>
  <c r="AB28" i="2"/>
  <c r="P28" i="2"/>
  <c r="H28" i="2"/>
  <c r="AZ28" i="2"/>
  <c r="AR28" i="2"/>
  <c r="AJ28" i="2"/>
  <c r="L28" i="2"/>
  <c r="BH24" i="2"/>
  <c r="AV24" i="2"/>
  <c r="AB24" i="2"/>
  <c r="L24" i="2"/>
  <c r="BD24" i="2"/>
  <c r="AR24" i="2"/>
  <c r="H24" i="2"/>
  <c r="AZ24" i="2"/>
  <c r="AJ24" i="2"/>
  <c r="P24" i="2"/>
  <c r="AF24" i="2"/>
  <c r="AN23" i="2"/>
  <c r="H23" i="2"/>
  <c r="BK16" i="2"/>
  <c r="AF16" i="2" s="1"/>
  <c r="BK13" i="2"/>
  <c r="AF13" i="2" s="1"/>
  <c r="BK11" i="2"/>
  <c r="AM42" i="2"/>
  <c r="AO10" i="2"/>
  <c r="S42" i="2"/>
  <c r="U10" i="2"/>
  <c r="U11" i="2" s="1"/>
  <c r="BK10" i="2"/>
  <c r="AN10" i="2" s="1"/>
  <c r="AW11" i="2"/>
  <c r="BI13" i="2"/>
  <c r="AG13" i="2"/>
  <c r="AS13" i="2"/>
  <c r="BD40" i="2"/>
  <c r="T35" i="2"/>
  <c r="AZ29" i="2"/>
  <c r="AR29" i="2"/>
  <c r="AJ29" i="2"/>
  <c r="AV29" i="2"/>
  <c r="AF29" i="2"/>
  <c r="L29" i="2"/>
  <c r="BH29" i="2"/>
  <c r="AB29" i="2"/>
  <c r="P29" i="2"/>
  <c r="H29" i="2"/>
  <c r="T34" i="2"/>
  <c r="AZ31" i="2"/>
  <c r="AR31" i="2"/>
  <c r="AJ31" i="2"/>
  <c r="L31" i="2"/>
  <c r="BH31" i="2"/>
  <c r="AB31" i="2"/>
  <c r="T31" i="2"/>
  <c r="P31" i="2"/>
  <c r="AV31" i="2"/>
  <c r="AF31" i="2"/>
  <c r="H31" i="2"/>
  <c r="T29" i="2"/>
  <c r="BD27" i="2"/>
  <c r="AZ27" i="2"/>
  <c r="AR27" i="2"/>
  <c r="AJ27" i="2"/>
  <c r="L27" i="2"/>
  <c r="BH27" i="2"/>
  <c r="AV27" i="2"/>
  <c r="AB27" i="2"/>
  <c r="P27" i="2"/>
  <c r="H27" i="2"/>
  <c r="BK21" i="2"/>
  <c r="BK19" i="2"/>
  <c r="BK18" i="2"/>
  <c r="T18" i="2" s="1"/>
  <c r="AN14" i="2"/>
  <c r="AK11" i="2"/>
  <c r="BD20" i="2"/>
  <c r="AZ20" i="2"/>
  <c r="AR20" i="2"/>
  <c r="AJ20" i="2"/>
  <c r="P20" i="2"/>
  <c r="H20" i="2"/>
  <c r="BH20" i="2"/>
  <c r="AV20" i="2"/>
  <c r="AB20" i="2"/>
  <c r="L20" i="2"/>
  <c r="BC42" i="2"/>
  <c r="BE10" i="2"/>
  <c r="BA14" i="2"/>
  <c r="Q13" i="2"/>
  <c r="AC11" i="2"/>
  <c r="M13" i="2"/>
  <c r="T11" i="2" l="1"/>
  <c r="AF11" i="2"/>
  <c r="T25" i="2"/>
  <c r="AN13" i="2"/>
  <c r="AN16" i="2"/>
  <c r="T30" i="2"/>
  <c r="T19" i="2"/>
  <c r="BD10" i="2"/>
  <c r="T13" i="2"/>
  <c r="T16" i="2"/>
  <c r="Q14" i="2"/>
  <c r="AK12" i="2"/>
  <c r="BH21" i="2"/>
  <c r="AV21" i="2"/>
  <c r="AF21" i="2"/>
  <c r="AB21" i="2"/>
  <c r="L21" i="2"/>
  <c r="AZ21" i="2"/>
  <c r="AR21" i="2"/>
  <c r="AJ21" i="2"/>
  <c r="P21" i="2"/>
  <c r="AN21" i="2"/>
  <c r="BD21" i="2"/>
  <c r="H21" i="2"/>
  <c r="M14" i="2"/>
  <c r="BE11" i="2"/>
  <c r="BD18" i="2"/>
  <c r="AZ18" i="2"/>
  <c r="AR18" i="2"/>
  <c r="AJ18" i="2"/>
  <c r="L18" i="2"/>
  <c r="BH18" i="2"/>
  <c r="AV18" i="2"/>
  <c r="P18" i="2"/>
  <c r="AN18" i="2"/>
  <c r="AF18" i="2"/>
  <c r="H18" i="2"/>
  <c r="AB18" i="2"/>
  <c r="BH19" i="2"/>
  <c r="AV19" i="2"/>
  <c r="AF19" i="2"/>
  <c r="AB19" i="2"/>
  <c r="L19" i="2"/>
  <c r="AZ19" i="2"/>
  <c r="AR19" i="2"/>
  <c r="AJ19" i="2"/>
  <c r="P19" i="2"/>
  <c r="AN19" i="2"/>
  <c r="BD19" i="2"/>
  <c r="H19" i="2"/>
  <c r="T21" i="2"/>
  <c r="T10" i="2"/>
  <c r="AZ11" i="2"/>
  <c r="AR11" i="2"/>
  <c r="AJ11" i="2"/>
  <c r="P11" i="2"/>
  <c r="BH11" i="2"/>
  <c r="AV11" i="2"/>
  <c r="L11" i="2"/>
  <c r="H11" i="2"/>
  <c r="AB11" i="2"/>
  <c r="BD11" i="2"/>
  <c r="AN11" i="2"/>
  <c r="BH13" i="2"/>
  <c r="AV13" i="2"/>
  <c r="L13" i="2"/>
  <c r="AZ13" i="2"/>
  <c r="AR13" i="2"/>
  <c r="AJ13" i="2"/>
  <c r="P13" i="2"/>
  <c r="H13" i="2"/>
  <c r="AB13" i="2"/>
  <c r="BD13" i="2"/>
  <c r="AZ16" i="2"/>
  <c r="AR16" i="2"/>
  <c r="AJ16" i="2"/>
  <c r="P16" i="2"/>
  <c r="BH16" i="2"/>
  <c r="AV16" i="2"/>
  <c r="L16" i="2"/>
  <c r="H16" i="2"/>
  <c r="AB16" i="2"/>
  <c r="BD16" i="2"/>
  <c r="AZ25" i="2"/>
  <c r="AR25" i="2"/>
  <c r="AJ25" i="2"/>
  <c r="P25" i="2"/>
  <c r="BH25" i="2"/>
  <c r="AB25" i="2"/>
  <c r="L25" i="2"/>
  <c r="AV25" i="2"/>
  <c r="AF25" i="2"/>
  <c r="H25" i="2"/>
  <c r="AN25" i="2"/>
  <c r="BD25" i="2"/>
  <c r="AC12" i="2"/>
  <c r="BA15" i="2"/>
  <c r="AS14" i="2"/>
  <c r="AG14" i="2"/>
  <c r="BI14" i="2"/>
  <c r="AW12" i="2"/>
  <c r="BK42" i="2"/>
  <c r="T42" i="2" s="1"/>
  <c r="AZ10" i="2"/>
  <c r="AB10" i="2"/>
  <c r="BL10" i="2"/>
  <c r="V10" i="2" s="1"/>
  <c r="BH10" i="2"/>
  <c r="AR10" i="2"/>
  <c r="AF10" i="2"/>
  <c r="X10" i="2"/>
  <c r="P10" i="2"/>
  <c r="L10" i="2"/>
  <c r="H10" i="2"/>
  <c r="AJ10" i="2"/>
  <c r="AV10" i="2"/>
  <c r="U12" i="2"/>
  <c r="AO11" i="2"/>
  <c r="BH30" i="2"/>
  <c r="AV30" i="2"/>
  <c r="AB30" i="2"/>
  <c r="P30" i="2"/>
  <c r="H30" i="2"/>
  <c r="AZ30" i="2"/>
  <c r="AJ30" i="2"/>
  <c r="L30" i="2"/>
  <c r="BD30" i="2"/>
  <c r="AR30" i="2"/>
  <c r="AN30" i="2"/>
  <c r="AF30" i="2"/>
  <c r="I13" i="2"/>
  <c r="AP10" i="2" l="1"/>
  <c r="AC13" i="2"/>
  <c r="I14" i="2"/>
  <c r="U13" i="2"/>
  <c r="N10" i="2"/>
  <c r="BB10" i="2"/>
  <c r="Z10" i="2"/>
  <c r="AT10" i="2"/>
  <c r="R10" i="2"/>
  <c r="AH10" i="2"/>
  <c r="BJ10" i="2"/>
  <c r="AD10" i="2"/>
  <c r="AX10" i="2"/>
  <c r="AL10" i="2"/>
  <c r="J10" i="2"/>
  <c r="BL42" i="2"/>
  <c r="AV42" i="2"/>
  <c r="AZ42" i="2"/>
  <c r="AR42" i="2"/>
  <c r="AJ42" i="2"/>
  <c r="H42" i="2"/>
  <c r="AF42" i="2"/>
  <c r="BH42" i="2"/>
  <c r="AB42" i="2"/>
  <c r="AW13" i="2"/>
  <c r="BI15" i="2"/>
  <c r="AG15" i="2"/>
  <c r="AS15" i="2"/>
  <c r="BA16" i="2"/>
  <c r="BL11" i="2"/>
  <c r="BF11" i="2" s="1"/>
  <c r="BD42" i="2"/>
  <c r="BF10" i="2"/>
  <c r="M15" i="2"/>
  <c r="AO12" i="2"/>
  <c r="BE12" i="2"/>
  <c r="AK13" i="2"/>
  <c r="Q15" i="2"/>
  <c r="AP11" i="2" l="1"/>
  <c r="Q16" i="2"/>
  <c r="AK14" i="2"/>
  <c r="M16" i="2"/>
  <c r="BI16" i="2"/>
  <c r="BE13" i="2"/>
  <c r="AO13" i="2"/>
  <c r="AT11" i="2"/>
  <c r="AH11" i="2"/>
  <c r="BJ11" i="2"/>
  <c r="BL12" i="2"/>
  <c r="BB11" i="2"/>
  <c r="N11" i="2"/>
  <c r="R11" i="2"/>
  <c r="J11" i="2"/>
  <c r="V11" i="2"/>
  <c r="AL11" i="2"/>
  <c r="AD11" i="2"/>
  <c r="AX11" i="2"/>
  <c r="BA17" i="2"/>
  <c r="AS16" i="2"/>
  <c r="AG16" i="2"/>
  <c r="AW14" i="2"/>
  <c r="U14" i="2"/>
  <c r="I15" i="2"/>
  <c r="AC14" i="2"/>
  <c r="AC15" i="2" l="1"/>
  <c r="I16" i="2"/>
  <c r="U15" i="2"/>
  <c r="AO14" i="2"/>
  <c r="BE14" i="2"/>
  <c r="Q17" i="2"/>
  <c r="AW15" i="2"/>
  <c r="AG17" i="2"/>
  <c r="AS17" i="2"/>
  <c r="BA18" i="2"/>
  <c r="BB12" i="2"/>
  <c r="N12" i="2"/>
  <c r="BJ12" i="2"/>
  <c r="AH12" i="2"/>
  <c r="AT12" i="2"/>
  <c r="R12" i="2"/>
  <c r="BL13" i="2"/>
  <c r="J12" i="2"/>
  <c r="AL12" i="2"/>
  <c r="AD12" i="2"/>
  <c r="V12" i="2"/>
  <c r="AX12" i="2"/>
  <c r="AP12" i="2"/>
  <c r="BF12" i="2"/>
  <c r="BI17" i="2"/>
  <c r="M17" i="2"/>
  <c r="AK15" i="2"/>
  <c r="AK16" i="2" l="1"/>
  <c r="BI18" i="2"/>
  <c r="M18" i="2"/>
  <c r="BL14" i="2"/>
  <c r="AP14" i="2" s="1"/>
  <c r="BB13" i="2"/>
  <c r="N13" i="2"/>
  <c r="R13" i="2"/>
  <c r="AT13" i="2"/>
  <c r="AH13" i="2"/>
  <c r="BJ13" i="2"/>
  <c r="J13" i="2"/>
  <c r="AL13" i="2"/>
  <c r="AX13" i="2"/>
  <c r="V13" i="2"/>
  <c r="AD13" i="2"/>
  <c r="BA19" i="2"/>
  <c r="BF13" i="2"/>
  <c r="AO15" i="2"/>
  <c r="AC16" i="2"/>
  <c r="AS18" i="2"/>
  <c r="AG18" i="2"/>
  <c r="AW16" i="2"/>
  <c r="Q18" i="2"/>
  <c r="BE15" i="2"/>
  <c r="AP13" i="2"/>
  <c r="U16" i="2"/>
  <c r="I17" i="2"/>
  <c r="BF14" i="2" l="1"/>
  <c r="I18" i="2"/>
  <c r="U17" i="2"/>
  <c r="Q19" i="2"/>
  <c r="AW17" i="2"/>
  <c r="AC17" i="2"/>
  <c r="AO16" i="2"/>
  <c r="BL15" i="2"/>
  <c r="AP15" i="2" s="1"/>
  <c r="BB14" i="2"/>
  <c r="BJ14" i="2"/>
  <c r="N14" i="2"/>
  <c r="R14" i="2"/>
  <c r="AH14" i="2"/>
  <c r="AT14" i="2"/>
  <c r="J14" i="2"/>
  <c r="AD14" i="2"/>
  <c r="V14" i="2"/>
  <c r="AX14" i="2"/>
  <c r="AL14" i="2"/>
  <c r="BE16" i="2"/>
  <c r="AG19" i="2"/>
  <c r="AS19" i="2"/>
  <c r="BA20" i="2"/>
  <c r="M19" i="2"/>
  <c r="BI19" i="2"/>
  <c r="AK17" i="2"/>
  <c r="BF15" i="2" l="1"/>
  <c r="AK18" i="2"/>
  <c r="AS20" i="2"/>
  <c r="M20" i="2"/>
  <c r="AG20" i="2"/>
  <c r="BE17" i="2"/>
  <c r="BL16" i="2"/>
  <c r="BF16" i="2" s="1"/>
  <c r="BB15" i="2"/>
  <c r="R15" i="2"/>
  <c r="N15" i="2"/>
  <c r="BJ15" i="2"/>
  <c r="AT15" i="2"/>
  <c r="AH15" i="2"/>
  <c r="J15" i="2"/>
  <c r="AD15" i="2"/>
  <c r="AX15" i="2"/>
  <c r="V15" i="2"/>
  <c r="AL15" i="2"/>
  <c r="AO17" i="2"/>
  <c r="AC18" i="2"/>
  <c r="U18" i="2"/>
  <c r="I19" i="2"/>
  <c r="BI20" i="2"/>
  <c r="BA21" i="2"/>
  <c r="AW18" i="2"/>
  <c r="Q20" i="2"/>
  <c r="AP16" i="2" l="1"/>
  <c r="Q21" i="2"/>
  <c r="BA22" i="2"/>
  <c r="BI21" i="2"/>
  <c r="I20" i="2"/>
  <c r="U19" i="2"/>
  <c r="AC19" i="2"/>
  <c r="AO18" i="2"/>
  <c r="BL17" i="2"/>
  <c r="AP17" i="2" s="1"/>
  <c r="BB16" i="2"/>
  <c r="R16" i="2"/>
  <c r="AH16" i="2"/>
  <c r="AT16" i="2"/>
  <c r="BJ16" i="2"/>
  <c r="N16" i="2"/>
  <c r="J16" i="2"/>
  <c r="V16" i="2"/>
  <c r="AD16" i="2"/>
  <c r="AX16" i="2"/>
  <c r="AL16" i="2"/>
  <c r="BE18" i="2"/>
  <c r="AG21" i="2"/>
  <c r="AK19" i="2"/>
  <c r="AW19" i="2"/>
  <c r="M21" i="2"/>
  <c r="AS21" i="2"/>
  <c r="BF17" i="2" l="1"/>
  <c r="AS22" i="2"/>
  <c r="AG22" i="2"/>
  <c r="BE19" i="2"/>
  <c r="BL18" i="2"/>
  <c r="BF18" i="2" s="1"/>
  <c r="BB17" i="2"/>
  <c r="BJ17" i="2"/>
  <c r="N17" i="2"/>
  <c r="AT17" i="2"/>
  <c r="AH17" i="2"/>
  <c r="R17" i="2"/>
  <c r="J17" i="2"/>
  <c r="AL17" i="2"/>
  <c r="AD17" i="2"/>
  <c r="V17" i="2"/>
  <c r="AX17" i="2"/>
  <c r="AO19" i="2"/>
  <c r="U20" i="2"/>
  <c r="I21" i="2"/>
  <c r="M22" i="2"/>
  <c r="AW20" i="2"/>
  <c r="AK20" i="2"/>
  <c r="AC20" i="2"/>
  <c r="BI22" i="2"/>
  <c r="BA23" i="2"/>
  <c r="Q22" i="2"/>
  <c r="AP18" i="2" l="1"/>
  <c r="Q23" i="2"/>
  <c r="BA24" i="2"/>
  <c r="AC21" i="2"/>
  <c r="AW21" i="2"/>
  <c r="M23" i="2"/>
  <c r="I22" i="2"/>
  <c r="U21" i="2"/>
  <c r="AO20" i="2"/>
  <c r="BL19" i="2"/>
  <c r="BF19" i="2" s="1"/>
  <c r="BB18" i="2"/>
  <c r="R18" i="2"/>
  <c r="AT18" i="2"/>
  <c r="BJ18" i="2"/>
  <c r="AH18" i="2"/>
  <c r="N18" i="2"/>
  <c r="J18" i="2"/>
  <c r="V18" i="2"/>
  <c r="AD18" i="2"/>
  <c r="AL18" i="2"/>
  <c r="AX18" i="2"/>
  <c r="BE20" i="2"/>
  <c r="AG23" i="2"/>
  <c r="BI23" i="2"/>
  <c r="AK21" i="2"/>
  <c r="AS23" i="2"/>
  <c r="AP19" i="2" l="1"/>
  <c r="AK22" i="2"/>
  <c r="AS24" i="2"/>
  <c r="AG24" i="2"/>
  <c r="BE21" i="2"/>
  <c r="BL20" i="2"/>
  <c r="BF20" i="2" s="1"/>
  <c r="BB19" i="2"/>
  <c r="AH19" i="2"/>
  <c r="AT19" i="2"/>
  <c r="N19" i="2"/>
  <c r="BJ19" i="2"/>
  <c r="R19" i="2"/>
  <c r="J19" i="2"/>
  <c r="V19" i="2"/>
  <c r="AX19" i="2"/>
  <c r="AL19" i="2"/>
  <c r="AD19" i="2"/>
  <c r="AO21" i="2"/>
  <c r="U22" i="2"/>
  <c r="I23" i="2"/>
  <c r="BI24" i="2"/>
  <c r="M24" i="2"/>
  <c r="AW22" i="2"/>
  <c r="AC22" i="2"/>
  <c r="BA25" i="2"/>
  <c r="Q24" i="2"/>
  <c r="AP20" i="2" l="1"/>
  <c r="AC23" i="2"/>
  <c r="AW23" i="2"/>
  <c r="M25" i="2"/>
  <c r="BA26" i="2"/>
  <c r="I24" i="2"/>
  <c r="U23" i="2"/>
  <c r="AO22" i="2"/>
  <c r="BL21" i="2"/>
  <c r="AP21" i="2" s="1"/>
  <c r="BB20" i="2"/>
  <c r="AH20" i="2"/>
  <c r="R20" i="2"/>
  <c r="BJ20" i="2"/>
  <c r="N20" i="2"/>
  <c r="AT20" i="2"/>
  <c r="J20" i="2"/>
  <c r="V20" i="2"/>
  <c r="AD20" i="2"/>
  <c r="AX20" i="2"/>
  <c r="AL20" i="2"/>
  <c r="BE22" i="2"/>
  <c r="Q25" i="2"/>
  <c r="BI25" i="2"/>
  <c r="AG25" i="2"/>
  <c r="AS25" i="2"/>
  <c r="AK23" i="2"/>
  <c r="BF21" i="2" l="1"/>
  <c r="BI26" i="2"/>
  <c r="AG26" i="2"/>
  <c r="BE23" i="2"/>
  <c r="BL22" i="2"/>
  <c r="AP22" i="2" s="1"/>
  <c r="BB21" i="2"/>
  <c r="AH21" i="2"/>
  <c r="AT21" i="2"/>
  <c r="N21" i="2"/>
  <c r="BJ21" i="2"/>
  <c r="R21" i="2"/>
  <c r="J21" i="2"/>
  <c r="V21" i="2"/>
  <c r="AL21" i="2"/>
  <c r="AX21" i="2"/>
  <c r="AD21" i="2"/>
  <c r="AO23" i="2"/>
  <c r="U24" i="2"/>
  <c r="I25" i="2"/>
  <c r="AK24" i="2"/>
  <c r="AS26" i="2"/>
  <c r="Q26" i="2"/>
  <c r="BA27" i="2"/>
  <c r="M26" i="2"/>
  <c r="AW24" i="2"/>
  <c r="AC24" i="2"/>
  <c r="I26" i="2" l="1"/>
  <c r="AO24" i="2"/>
  <c r="BL23" i="2"/>
  <c r="BF23" i="2" s="1"/>
  <c r="BB22" i="2"/>
  <c r="AH22" i="2"/>
  <c r="R22" i="2"/>
  <c r="N22" i="2"/>
  <c r="BJ22" i="2"/>
  <c r="AT22" i="2"/>
  <c r="J22" i="2"/>
  <c r="V22" i="2"/>
  <c r="AD22" i="2"/>
  <c r="AX22" i="2"/>
  <c r="AL22" i="2"/>
  <c r="BF22" i="2"/>
  <c r="AG27" i="2"/>
  <c r="AC25" i="2"/>
  <c r="AW25" i="2"/>
  <c r="M27" i="2"/>
  <c r="BA28" i="2"/>
  <c r="Q27" i="2"/>
  <c r="AS27" i="2"/>
  <c r="AK25" i="2"/>
  <c r="U25" i="2"/>
  <c r="BE24" i="2"/>
  <c r="BI27" i="2"/>
  <c r="BI28" i="2" l="1"/>
  <c r="AS28" i="2"/>
  <c r="Q28" i="2"/>
  <c r="BA29" i="2"/>
  <c r="M28" i="2"/>
  <c r="AW26" i="2"/>
  <c r="AC26" i="2"/>
  <c r="BL24" i="2"/>
  <c r="AP24" i="2" s="1"/>
  <c r="BB23" i="2"/>
  <c r="AT23" i="2"/>
  <c r="AH23" i="2"/>
  <c r="BJ23" i="2"/>
  <c r="N23" i="2"/>
  <c r="R23" i="2"/>
  <c r="J23" i="2"/>
  <c r="V23" i="2"/>
  <c r="AL23" i="2"/>
  <c r="AX23" i="2"/>
  <c r="AD23" i="2"/>
  <c r="AO25" i="2"/>
  <c r="I27" i="2"/>
  <c r="BE25" i="2"/>
  <c r="U26" i="2"/>
  <c r="AK26" i="2"/>
  <c r="AG28" i="2"/>
  <c r="AP23" i="2"/>
  <c r="BF24" i="2" l="1"/>
  <c r="AK27" i="2"/>
  <c r="I28" i="2"/>
  <c r="AG29" i="2"/>
  <c r="U27" i="2"/>
  <c r="BE26" i="2"/>
  <c r="AO26" i="2"/>
  <c r="BL25" i="2"/>
  <c r="BB24" i="2"/>
  <c r="N24" i="2"/>
  <c r="R24" i="2"/>
  <c r="BJ24" i="2"/>
  <c r="AT24" i="2"/>
  <c r="AH24" i="2"/>
  <c r="J24" i="2"/>
  <c r="AD24" i="2"/>
  <c r="AX24" i="2"/>
  <c r="AL24" i="2"/>
  <c r="V24" i="2"/>
  <c r="AC27" i="2"/>
  <c r="AW27" i="2"/>
  <c r="M29" i="2"/>
  <c r="BA30" i="2"/>
  <c r="Q29" i="2"/>
  <c r="AS29" i="2"/>
  <c r="BI29" i="2"/>
  <c r="BI30" i="2" l="1"/>
  <c r="BL26" i="2"/>
  <c r="AP26" i="2" s="1"/>
  <c r="BB25" i="2"/>
  <c r="AH25" i="2"/>
  <c r="BJ25" i="2"/>
  <c r="AT25" i="2"/>
  <c r="R25" i="2"/>
  <c r="N25" i="2"/>
  <c r="J25" i="2"/>
  <c r="V25" i="2"/>
  <c r="AX25" i="2"/>
  <c r="AD25" i="2"/>
  <c r="AL25" i="2"/>
  <c r="AO27" i="2"/>
  <c r="BE27" i="2"/>
  <c r="U28" i="2"/>
  <c r="AG30" i="2"/>
  <c r="AS30" i="2"/>
  <c r="Q30" i="2"/>
  <c r="BA31" i="2"/>
  <c r="M30" i="2"/>
  <c r="AW28" i="2"/>
  <c r="AC28" i="2"/>
  <c r="AP25" i="2"/>
  <c r="BF25" i="2"/>
  <c r="I29" i="2"/>
  <c r="AK28" i="2"/>
  <c r="BF26" i="2" l="1"/>
  <c r="AK29" i="2"/>
  <c r="AG31" i="2"/>
  <c r="U29" i="2"/>
  <c r="BE28" i="2"/>
  <c r="AO28" i="2"/>
  <c r="BL27" i="2"/>
  <c r="BB26" i="2"/>
  <c r="N26" i="2"/>
  <c r="R26" i="2"/>
  <c r="AT26" i="2"/>
  <c r="BJ26" i="2"/>
  <c r="AH26" i="2"/>
  <c r="J26" i="2"/>
  <c r="V26" i="2"/>
  <c r="AL26" i="2"/>
  <c r="AD26" i="2"/>
  <c r="AX26" i="2"/>
  <c r="BI31" i="2"/>
  <c r="I30" i="2"/>
  <c r="AC29" i="2"/>
  <c r="AW29" i="2"/>
  <c r="M31" i="2"/>
  <c r="BA32" i="2"/>
  <c r="Q31" i="2"/>
  <c r="AS31" i="2"/>
  <c r="BL28" i="2" l="1"/>
  <c r="AP28" i="2" s="1"/>
  <c r="BB27" i="2"/>
  <c r="BJ27" i="2"/>
  <c r="AT27" i="2"/>
  <c r="R27" i="2"/>
  <c r="N27" i="2"/>
  <c r="AH27" i="2"/>
  <c r="J27" i="2"/>
  <c r="V27" i="2"/>
  <c r="AX27" i="2"/>
  <c r="AD27" i="2"/>
  <c r="AL27" i="2"/>
  <c r="AO29" i="2"/>
  <c r="BE29" i="2"/>
  <c r="U30" i="2"/>
  <c r="AG32" i="2"/>
  <c r="AS32" i="2"/>
  <c r="Q32" i="2"/>
  <c r="BA33" i="2"/>
  <c r="M32" i="2"/>
  <c r="AW30" i="2"/>
  <c r="AC30" i="2"/>
  <c r="I31" i="2"/>
  <c r="BI32" i="2"/>
  <c r="AP27" i="2"/>
  <c r="BF27" i="2"/>
  <c r="AK30" i="2"/>
  <c r="BF28" i="2" l="1"/>
  <c r="AK31" i="2"/>
  <c r="I32" i="2"/>
  <c r="M33" i="2"/>
  <c r="AC31" i="2"/>
  <c r="AG33" i="2"/>
  <c r="U31" i="2"/>
  <c r="AO30" i="2"/>
  <c r="BL29" i="2"/>
  <c r="BF29" i="2" s="1"/>
  <c r="BB28" i="2"/>
  <c r="AH28" i="2"/>
  <c r="N28" i="2"/>
  <c r="R28" i="2"/>
  <c r="AT28" i="2"/>
  <c r="BJ28" i="2"/>
  <c r="J28" i="2"/>
  <c r="V28" i="2"/>
  <c r="AL28" i="2"/>
  <c r="AD28" i="2"/>
  <c r="AX28" i="2"/>
  <c r="BI33" i="2"/>
  <c r="AW31" i="2"/>
  <c r="BA34" i="2"/>
  <c r="Q33" i="2"/>
  <c r="AS33" i="2"/>
  <c r="BE30" i="2"/>
  <c r="BE31" i="2" l="1"/>
  <c r="BL30" i="2"/>
  <c r="AP30" i="2" s="1"/>
  <c r="BB29" i="2"/>
  <c r="BJ29" i="2"/>
  <c r="AH29" i="2"/>
  <c r="AT29" i="2"/>
  <c r="R29" i="2"/>
  <c r="N29" i="2"/>
  <c r="J29" i="2"/>
  <c r="V29" i="2"/>
  <c r="AX29" i="2"/>
  <c r="AL29" i="2"/>
  <c r="AD29" i="2"/>
  <c r="AO31" i="2"/>
  <c r="U32" i="2"/>
  <c r="AG34" i="2"/>
  <c r="AS34" i="2"/>
  <c r="Q34" i="2"/>
  <c r="BA35" i="2"/>
  <c r="AW32" i="2"/>
  <c r="BI34" i="2"/>
  <c r="AP29" i="2"/>
  <c r="AC32" i="2"/>
  <c r="M34" i="2"/>
  <c r="I33" i="2"/>
  <c r="AK32" i="2"/>
  <c r="AK33" i="2" l="1"/>
  <c r="I34" i="2"/>
  <c r="M35" i="2"/>
  <c r="AC33" i="2"/>
  <c r="AG35" i="2"/>
  <c r="U33" i="2"/>
  <c r="AO32" i="2"/>
  <c r="BL31" i="2"/>
  <c r="AP31" i="2" s="1"/>
  <c r="BB30" i="2"/>
  <c r="AH30" i="2"/>
  <c r="BJ30" i="2"/>
  <c r="N30" i="2"/>
  <c r="R30" i="2"/>
  <c r="AT30" i="2"/>
  <c r="J30" i="2"/>
  <c r="V30" i="2"/>
  <c r="AL30" i="2"/>
  <c r="AD30" i="2"/>
  <c r="AX30" i="2"/>
  <c r="BE32" i="2"/>
  <c r="BI35" i="2"/>
  <c r="AW33" i="2"/>
  <c r="BA36" i="2"/>
  <c r="Q35" i="2"/>
  <c r="AS35" i="2"/>
  <c r="BF30" i="2"/>
  <c r="BF31" i="2" l="1"/>
  <c r="BE33" i="2"/>
  <c r="BL32" i="2"/>
  <c r="AP32" i="2" s="1"/>
  <c r="BB31" i="2"/>
  <c r="AH31" i="2"/>
  <c r="AT31" i="2"/>
  <c r="R31" i="2"/>
  <c r="N31" i="2"/>
  <c r="BJ31" i="2"/>
  <c r="J31" i="2"/>
  <c r="V31" i="2"/>
  <c r="AX31" i="2"/>
  <c r="AD31" i="2"/>
  <c r="AL31" i="2"/>
  <c r="AO33" i="2"/>
  <c r="U34" i="2"/>
  <c r="AS36" i="2"/>
  <c r="Q36" i="2"/>
  <c r="BA37" i="2"/>
  <c r="AW34" i="2"/>
  <c r="BI36" i="2"/>
  <c r="AG36" i="2"/>
  <c r="AC34" i="2"/>
  <c r="M36" i="2"/>
  <c r="I35" i="2"/>
  <c r="AK34" i="2"/>
  <c r="I36" i="2" l="1"/>
  <c r="AC35" i="2"/>
  <c r="U35" i="2"/>
  <c r="AO34" i="2"/>
  <c r="BL33" i="2"/>
  <c r="BB32" i="2"/>
  <c r="AH32" i="2"/>
  <c r="N32" i="2"/>
  <c r="BJ32" i="2"/>
  <c r="R32" i="2"/>
  <c r="AT32" i="2"/>
  <c r="J32" i="2"/>
  <c r="V32" i="2"/>
  <c r="AL32" i="2"/>
  <c r="AD32" i="2"/>
  <c r="AX32" i="2"/>
  <c r="BE34" i="2"/>
  <c r="AK35" i="2"/>
  <c r="M37" i="2"/>
  <c r="AG37" i="2"/>
  <c r="BI37" i="2"/>
  <c r="AW35" i="2"/>
  <c r="BA38" i="2"/>
  <c r="Q37" i="2"/>
  <c r="AS37" i="2"/>
  <c r="BF32" i="2"/>
  <c r="AS38" i="2" l="1"/>
  <c r="BE35" i="2"/>
  <c r="BL34" i="2"/>
  <c r="BB33" i="2"/>
  <c r="AH33" i="2"/>
  <c r="AT33" i="2"/>
  <c r="R33" i="2"/>
  <c r="BJ33" i="2"/>
  <c r="N33" i="2"/>
  <c r="J33" i="2"/>
  <c r="V33" i="2"/>
  <c r="AX33" i="2"/>
  <c r="AD33" i="2"/>
  <c r="AL33" i="2"/>
  <c r="AO35" i="2"/>
  <c r="U36" i="2"/>
  <c r="Q38" i="2"/>
  <c r="BA39" i="2"/>
  <c r="AW36" i="2"/>
  <c r="BI38" i="2"/>
  <c r="AG38" i="2"/>
  <c r="M38" i="2"/>
  <c r="AK36" i="2"/>
  <c r="BF33" i="2"/>
  <c r="AP33" i="2"/>
  <c r="AC36" i="2"/>
  <c r="I37" i="2"/>
  <c r="AG39" i="2" l="1"/>
  <c r="BI39" i="2"/>
  <c r="U37" i="2"/>
  <c r="AO36" i="2"/>
  <c r="BL35" i="2"/>
  <c r="BB34" i="2"/>
  <c r="N34" i="2"/>
  <c r="AH34" i="2"/>
  <c r="BJ34" i="2"/>
  <c r="R34" i="2"/>
  <c r="AT34" i="2"/>
  <c r="J34" i="2"/>
  <c r="V34" i="2"/>
  <c r="AD34" i="2"/>
  <c r="AL34" i="2"/>
  <c r="AX34" i="2"/>
  <c r="BE36" i="2"/>
  <c r="I38" i="2"/>
  <c r="AC37" i="2"/>
  <c r="AK37" i="2"/>
  <c r="M39" i="2"/>
  <c r="AW37" i="2"/>
  <c r="BA40" i="2"/>
  <c r="Q39" i="2"/>
  <c r="AP34" i="2"/>
  <c r="BF34" i="2"/>
  <c r="AS39" i="2"/>
  <c r="AK38" i="2" l="1"/>
  <c r="BE37" i="2"/>
  <c r="BL36" i="2"/>
  <c r="BB35" i="2"/>
  <c r="AT35" i="2"/>
  <c r="R35" i="2"/>
  <c r="BJ35" i="2"/>
  <c r="AH35" i="2"/>
  <c r="N35" i="2"/>
  <c r="J35" i="2"/>
  <c r="V35" i="2"/>
  <c r="AX35" i="2"/>
  <c r="AL35" i="2"/>
  <c r="AD35" i="2"/>
  <c r="AO37" i="2"/>
  <c r="AS40" i="2"/>
  <c r="Q40" i="2"/>
  <c r="AW38" i="2"/>
  <c r="M40" i="2"/>
  <c r="AC38" i="2"/>
  <c r="I39" i="2"/>
  <c r="BF35" i="2"/>
  <c r="AP35" i="2"/>
  <c r="U38" i="2"/>
  <c r="BI40" i="2"/>
  <c r="AG40" i="2"/>
  <c r="I40" i="2" l="1"/>
  <c r="AC39" i="2"/>
  <c r="AO38" i="2"/>
  <c r="BL37" i="2"/>
  <c r="BF37" i="2" s="1"/>
  <c r="BB36" i="2"/>
  <c r="AT36" i="2"/>
  <c r="N36" i="2"/>
  <c r="AH36" i="2"/>
  <c r="BJ36" i="2"/>
  <c r="R36" i="2"/>
  <c r="J36" i="2"/>
  <c r="AL36" i="2"/>
  <c r="V36" i="2"/>
  <c r="AD36" i="2"/>
  <c r="AX36" i="2"/>
  <c r="BF36" i="2"/>
  <c r="U39" i="2"/>
  <c r="AW39" i="2"/>
  <c r="AP36" i="2"/>
  <c r="BE38" i="2"/>
  <c r="AK39" i="2"/>
  <c r="BE39" i="2" l="1"/>
  <c r="U40" i="2"/>
  <c r="AO39" i="2"/>
  <c r="AK40" i="2"/>
  <c r="AW40" i="2"/>
  <c r="BL38" i="2"/>
  <c r="BB37" i="2"/>
  <c r="BJ37" i="2"/>
  <c r="AH37" i="2"/>
  <c r="AT37" i="2"/>
  <c r="R37" i="2"/>
  <c r="N37" i="2"/>
  <c r="J37" i="2"/>
  <c r="AD37" i="2"/>
  <c r="AL37" i="2"/>
  <c r="AX37" i="2"/>
  <c r="V37" i="2"/>
  <c r="AP37" i="2"/>
  <c r="AC40" i="2"/>
  <c r="BL39" i="2" l="1"/>
  <c r="AP39" i="2" s="1"/>
  <c r="BB38" i="2"/>
  <c r="AH38" i="2"/>
  <c r="BJ38" i="2"/>
  <c r="N38" i="2"/>
  <c r="R38" i="2"/>
  <c r="AT38" i="2"/>
  <c r="J38" i="2"/>
  <c r="V38" i="2"/>
  <c r="AD38" i="2"/>
  <c r="AX38" i="2"/>
  <c r="AL38" i="2"/>
  <c r="AO40" i="2"/>
  <c r="BE40" i="2"/>
  <c r="AP38" i="2"/>
  <c r="BF38" i="2"/>
  <c r="BF39" i="2" l="1"/>
  <c r="BL40" i="2"/>
  <c r="BF40" i="2" s="1"/>
  <c r="BB39" i="2"/>
  <c r="R39" i="2"/>
  <c r="N39" i="2"/>
  <c r="BJ39" i="2"/>
  <c r="AH39" i="2"/>
  <c r="AT39" i="2"/>
  <c r="J39" i="2"/>
  <c r="AD39" i="2"/>
  <c r="V39" i="2"/>
  <c r="AL39" i="2"/>
  <c r="AX39" i="2"/>
  <c r="BB40" i="2" l="1"/>
  <c r="AH40" i="2"/>
  <c r="N40" i="2"/>
  <c r="AT40" i="2"/>
  <c r="BJ40" i="2"/>
  <c r="R40" i="2"/>
  <c r="J40" i="2"/>
  <c r="AD40" i="2"/>
  <c r="AL40" i="2"/>
  <c r="V40" i="2"/>
  <c r="AX40" i="2"/>
  <c r="AP40" i="2"/>
  <c r="G42" i="16" l="1"/>
  <c r="I37" i="16" s="1"/>
  <c r="F42" i="16"/>
  <c r="C43" i="16"/>
  <c r="G42" i="17" l="1"/>
  <c r="I37" i="17" s="1"/>
  <c r="F42" i="17"/>
  <c r="C43" i="18" l="1"/>
  <c r="C43" i="19" l="1"/>
  <c r="C40" i="24" l="1"/>
  <c r="C43" i="27" l="1"/>
  <c r="C43" i="29" l="1"/>
  <c r="C43" i="30" l="1"/>
  <c r="G42" i="31" l="1"/>
  <c r="I37" i="31" s="1"/>
  <c r="F42" i="31"/>
  <c r="I49" i="4" l="1"/>
  <c r="I49" i="6"/>
  <c r="I49" i="43" l="1"/>
  <c r="I49" i="37"/>
  <c r="C43" i="33" l="1"/>
  <c r="F23" i="33" l="1"/>
  <c r="C38" i="43"/>
  <c r="R24" i="43"/>
  <c r="U24" i="43" s="1"/>
  <c r="R15" i="43"/>
  <c r="U15" i="43" s="1"/>
  <c r="R24" i="4"/>
  <c r="U24" i="4" s="1"/>
  <c r="R15" i="4"/>
  <c r="U15" i="4" s="1"/>
  <c r="S8" i="4"/>
  <c r="R8" i="4"/>
  <c r="R7" i="4"/>
  <c r="U7" i="4" s="1"/>
  <c r="R24" i="37"/>
  <c r="U24" i="37" s="1"/>
  <c r="R15" i="37"/>
  <c r="U15" i="37" s="1"/>
  <c r="S8" i="37"/>
  <c r="R8" i="37"/>
  <c r="R7" i="37"/>
  <c r="U7" i="37" s="1"/>
  <c r="R24" i="6"/>
  <c r="U24" i="6" s="1"/>
  <c r="R15" i="6"/>
  <c r="U15" i="6" s="1"/>
  <c r="S8" i="6"/>
  <c r="R8" i="6"/>
  <c r="R7" i="6"/>
  <c r="U7" i="6" s="1"/>
  <c r="R24" i="13"/>
  <c r="U24" i="13" s="1"/>
  <c r="R15" i="13"/>
  <c r="U15" i="13" s="1"/>
  <c r="S8" i="13"/>
  <c r="R8" i="13"/>
  <c r="R7" i="13"/>
  <c r="U7" i="13" s="1"/>
  <c r="I43" i="30"/>
  <c r="C38" i="30"/>
  <c r="C38" i="31"/>
  <c r="C38" i="32"/>
  <c r="C38" i="33"/>
  <c r="U8" i="6" l="1"/>
  <c r="U8" i="37"/>
  <c r="U8" i="4"/>
  <c r="U8" i="13"/>
  <c r="G42" i="43" l="1"/>
  <c r="I37" i="43" s="1"/>
  <c r="G42" i="4"/>
  <c r="I37" i="4" s="1"/>
  <c r="F42" i="4"/>
  <c r="D38" i="48" s="1"/>
  <c r="E35" i="48"/>
  <c r="D35" i="48"/>
  <c r="D37" i="48"/>
  <c r="G42" i="6"/>
  <c r="I37" i="6" s="1"/>
  <c r="F42" i="6"/>
  <c r="D36" i="48" s="1"/>
  <c r="D34" i="48"/>
  <c r="D33" i="48"/>
  <c r="E32" i="48"/>
  <c r="D32" i="48"/>
  <c r="D31" i="48"/>
  <c r="D30" i="48"/>
  <c r="E29" i="48"/>
  <c r="D29" i="48"/>
  <c r="D12" i="48"/>
  <c r="E12" i="48"/>
  <c r="D13" i="48"/>
  <c r="D17" i="48"/>
  <c r="E17" i="48"/>
  <c r="D25" i="48"/>
  <c r="E25" i="48"/>
  <c r="D28" i="48"/>
  <c r="D27" i="48"/>
  <c r="D26" i="48"/>
  <c r="G42" i="18"/>
  <c r="I37" i="18" s="1"/>
  <c r="F42" i="18"/>
  <c r="D24" i="48" s="1"/>
  <c r="G42" i="19"/>
  <c r="I37" i="19" s="1"/>
  <c r="F42" i="19"/>
  <c r="D23" i="48" s="1"/>
  <c r="D22" i="48"/>
  <c r="D21" i="48"/>
  <c r="D20" i="48"/>
  <c r="I43" i="43"/>
  <c r="I44" i="43" s="1"/>
  <c r="I43" i="4"/>
  <c r="I43" i="37"/>
  <c r="I44" i="37" s="1"/>
  <c r="I43" i="6"/>
  <c r="I44" i="6" s="1"/>
  <c r="I43" i="7"/>
  <c r="I43" i="8"/>
  <c r="I44" i="8" s="1"/>
  <c r="I43" i="9"/>
  <c r="I44" i="9" s="1"/>
  <c r="I43" i="10"/>
  <c r="I44" i="10" s="1"/>
  <c r="I43" i="11"/>
  <c r="I44" i="11" s="1"/>
  <c r="I43" i="12"/>
  <c r="I44" i="12" s="1"/>
  <c r="I43" i="13"/>
  <c r="I44" i="13" s="1"/>
  <c r="I43" i="14"/>
  <c r="I44" i="14" s="1"/>
  <c r="I43" i="15"/>
  <c r="I44" i="15" s="1"/>
  <c r="I43" i="16"/>
  <c r="I44" i="16" s="1"/>
  <c r="I43" i="17"/>
  <c r="I44" i="17" s="1"/>
  <c r="I43" i="18"/>
  <c r="I43" i="19"/>
  <c r="I43" i="20"/>
  <c r="I43" i="22"/>
  <c r="I44" i="22" s="1"/>
  <c r="I43" i="21"/>
  <c r="I44" i="21" s="1"/>
  <c r="I43" i="23"/>
  <c r="I43" i="24"/>
  <c r="I44" i="24" s="1"/>
  <c r="I43" i="25"/>
  <c r="I44" i="25" s="1"/>
  <c r="I43" i="26"/>
  <c r="I44" i="26" s="1"/>
  <c r="I43" i="28"/>
  <c r="I43" i="27"/>
  <c r="I44" i="27" s="1"/>
  <c r="I43" i="29"/>
  <c r="I44" i="29" s="1"/>
  <c r="I44" i="30"/>
  <c r="I43" i="32"/>
  <c r="I44" i="32" s="1"/>
  <c r="J43" i="33"/>
  <c r="C11" i="2" s="1"/>
  <c r="C12" i="2" s="1"/>
  <c r="C13" i="2" s="1"/>
  <c r="C14" i="2" s="1"/>
  <c r="C15" i="2" s="1"/>
  <c r="C16" i="2" s="1"/>
  <c r="C17" i="2" s="1"/>
  <c r="C18" i="2" s="1"/>
  <c r="C19" i="2" s="1"/>
  <c r="C20" i="2" s="1"/>
  <c r="C21" i="2" s="1"/>
  <c r="C22" i="2" s="1"/>
  <c r="C23" i="2" s="1"/>
  <c r="C24" i="2" s="1"/>
  <c r="C25" i="2" s="1"/>
  <c r="C26" i="2" s="1"/>
  <c r="C27" i="2" s="1"/>
  <c r="C28" i="2" s="1"/>
  <c r="C29" i="2" s="1"/>
  <c r="C30" i="2" s="1"/>
  <c r="C31" i="2" s="1"/>
  <c r="C32" i="2" s="1"/>
  <c r="C33" i="2" s="1"/>
  <c r="C34" i="2" s="1"/>
  <c r="C37" i="2" s="1"/>
  <c r="C38" i="2" s="1"/>
  <c r="C39" i="2" s="1"/>
  <c r="C40" i="2" s="1"/>
  <c r="C10" i="2" s="1"/>
  <c r="B11" i="2" s="1"/>
  <c r="B12" i="2" s="1"/>
  <c r="B13" i="2" s="1"/>
  <c r="B15" i="2" s="1"/>
  <c r="B16" i="2" s="1"/>
  <c r="B17" i="2" s="1"/>
  <c r="B18" i="2" s="1"/>
  <c r="B19" i="2" s="1"/>
  <c r="B20" i="2" s="1"/>
  <c r="B21" i="2" s="1"/>
  <c r="B22" i="2" s="1"/>
  <c r="B23" i="2" s="1"/>
  <c r="B24" i="2" s="1"/>
  <c r="B26" i="2" s="1"/>
  <c r="B30" i="2" s="1"/>
  <c r="B31" i="2" s="1"/>
  <c r="B32" i="2" s="1"/>
  <c r="B33" i="2" s="1"/>
  <c r="B34" i="2" s="1"/>
  <c r="B35" i="2" s="1"/>
  <c r="B36" i="2" s="1"/>
  <c r="B37" i="2" s="1"/>
  <c r="B38" i="2" s="1"/>
  <c r="B39" i="2" s="1"/>
  <c r="B40" i="2" s="1"/>
  <c r="B10" i="2" s="1"/>
  <c r="D39" i="1"/>
  <c r="P38" i="48"/>
  <c r="D38" i="1" s="1"/>
  <c r="P37" i="48"/>
  <c r="P36" i="48"/>
  <c r="P35" i="48"/>
  <c r="P34" i="48"/>
  <c r="P33" i="48"/>
  <c r="P32" i="48"/>
  <c r="G32" i="48" s="1"/>
  <c r="P31" i="48"/>
  <c r="AB31" i="48" s="1"/>
  <c r="P30" i="48"/>
  <c r="P29" i="48"/>
  <c r="P28" i="48"/>
  <c r="P27" i="48"/>
  <c r="P26" i="48"/>
  <c r="P25" i="48"/>
  <c r="P24" i="48"/>
  <c r="P23" i="48"/>
  <c r="AB23" i="48" s="1"/>
  <c r="P22" i="48"/>
  <c r="P21" i="48"/>
  <c r="P20" i="48"/>
  <c r="P19" i="48"/>
  <c r="H19" i="48" s="1"/>
  <c r="P18" i="48"/>
  <c r="P17" i="48"/>
  <c r="AB17" i="48" s="1"/>
  <c r="P16" i="48"/>
  <c r="P15" i="48"/>
  <c r="H15" i="48" s="1"/>
  <c r="P14" i="48"/>
  <c r="B13" i="45" s="1"/>
  <c r="P13" i="48"/>
  <c r="B12" i="45" s="1"/>
  <c r="P12" i="48"/>
  <c r="B11" i="45" s="1"/>
  <c r="P11" i="48"/>
  <c r="B10" i="45" s="1"/>
  <c r="P10" i="48"/>
  <c r="B9" i="45" s="1"/>
  <c r="AA9" i="48"/>
  <c r="AA10" i="48" s="1"/>
  <c r="AA11" i="48" s="1"/>
  <c r="AA12" i="48" s="1"/>
  <c r="AA13" i="48" s="1"/>
  <c r="AA14" i="48" s="1"/>
  <c r="AA15" i="48" s="1"/>
  <c r="AA16" i="48" s="1"/>
  <c r="AA17" i="48" s="1"/>
  <c r="AA18" i="48" s="1"/>
  <c r="AA19" i="48" s="1"/>
  <c r="AA20" i="48" s="1"/>
  <c r="AA21" i="48" s="1"/>
  <c r="AA22" i="48" s="1"/>
  <c r="AA23" i="48" s="1"/>
  <c r="AA24" i="48" s="1"/>
  <c r="AA25" i="48" s="1"/>
  <c r="AA26" i="48" s="1"/>
  <c r="AA27" i="48" s="1"/>
  <c r="AA28" i="48" s="1"/>
  <c r="AA29" i="48" s="1"/>
  <c r="AA30" i="48" s="1"/>
  <c r="AA31" i="48" s="1"/>
  <c r="AA32" i="48" s="1"/>
  <c r="AA33" i="48" s="1"/>
  <c r="AA34" i="48" s="1"/>
  <c r="AA35" i="48" s="1"/>
  <c r="AA36" i="48" s="1"/>
  <c r="AA37" i="48" s="1"/>
  <c r="AA38" i="48" s="1"/>
  <c r="A10" i="48"/>
  <c r="D19" i="48"/>
  <c r="D18" i="48"/>
  <c r="D16" i="48"/>
  <c r="D15" i="48"/>
  <c r="D14" i="48"/>
  <c r="E13" i="48"/>
  <c r="D11" i="48"/>
  <c r="P9" i="48"/>
  <c r="D38" i="33"/>
  <c r="L34" i="26"/>
  <c r="D10" i="48"/>
  <c r="D9" i="48"/>
  <c r="I47" i="29"/>
  <c r="H4" i="43"/>
  <c r="C14" i="43"/>
  <c r="V7" i="43" s="1"/>
  <c r="W7" i="43" s="1"/>
  <c r="D14" i="43"/>
  <c r="E14" i="43"/>
  <c r="F14" i="43"/>
  <c r="C23" i="43"/>
  <c r="V15" i="43" s="1"/>
  <c r="W15" i="43" s="1"/>
  <c r="D23" i="43"/>
  <c r="E23" i="43"/>
  <c r="F23" i="43"/>
  <c r="C32" i="43"/>
  <c r="V24" i="43" s="1"/>
  <c r="W24" i="43" s="1"/>
  <c r="D32" i="43"/>
  <c r="E32" i="43"/>
  <c r="F32" i="43"/>
  <c r="K34" i="43"/>
  <c r="L34" i="43"/>
  <c r="C39" i="43"/>
  <c r="C40" i="43"/>
  <c r="C41" i="43"/>
  <c r="C42" i="43"/>
  <c r="C43" i="43"/>
  <c r="C44" i="43"/>
  <c r="C45" i="43"/>
  <c r="C46" i="43"/>
  <c r="C47" i="43"/>
  <c r="C48" i="43"/>
  <c r="C49" i="43"/>
  <c r="C50" i="43"/>
  <c r="C51" i="43"/>
  <c r="H4" i="4"/>
  <c r="C14" i="4"/>
  <c r="V7" i="4" s="1"/>
  <c r="W7" i="4" s="1"/>
  <c r="D14" i="4"/>
  <c r="E14" i="4"/>
  <c r="C23" i="4"/>
  <c r="D23" i="4"/>
  <c r="E23" i="4"/>
  <c r="C32" i="4"/>
  <c r="V24" i="4" s="1"/>
  <c r="W24" i="4" s="1"/>
  <c r="D32" i="4"/>
  <c r="E32" i="4"/>
  <c r="F32" i="4"/>
  <c r="K34" i="4"/>
  <c r="L34" i="4"/>
  <c r="C38" i="4"/>
  <c r="C39" i="4"/>
  <c r="C40" i="4"/>
  <c r="C41" i="4"/>
  <c r="C42" i="4"/>
  <c r="C43" i="4"/>
  <c r="C44" i="4"/>
  <c r="C45" i="4"/>
  <c r="C46" i="4"/>
  <c r="C47" i="4"/>
  <c r="C48" i="4"/>
  <c r="C49" i="4"/>
  <c r="C50" i="4"/>
  <c r="I50" i="4"/>
  <c r="C51" i="4"/>
  <c r="H4" i="37"/>
  <c r="V24" i="37"/>
  <c r="W24" i="37" s="1"/>
  <c r="L34" i="37"/>
  <c r="C38" i="37"/>
  <c r="C39" i="37"/>
  <c r="C40" i="37"/>
  <c r="C41" i="37"/>
  <c r="C42" i="37"/>
  <c r="C43" i="37"/>
  <c r="C44" i="37"/>
  <c r="C45" i="37"/>
  <c r="C46" i="37"/>
  <c r="C47" i="37"/>
  <c r="C48" i="37"/>
  <c r="C49" i="37"/>
  <c r="C50" i="37"/>
  <c r="C51" i="37"/>
  <c r="H4" i="6"/>
  <c r="V7" i="6"/>
  <c r="W7" i="6" s="1"/>
  <c r="V15" i="6"/>
  <c r="W15" i="6" s="1"/>
  <c r="V24" i="6"/>
  <c r="W24" i="6" s="1"/>
  <c r="L34" i="6"/>
  <c r="C38" i="6"/>
  <c r="C39" i="6"/>
  <c r="C40" i="6"/>
  <c r="C41" i="6"/>
  <c r="C42" i="6"/>
  <c r="C43" i="6"/>
  <c r="C44" i="6"/>
  <c r="C45" i="6"/>
  <c r="C46" i="6"/>
  <c r="C47" i="6"/>
  <c r="C48" i="6"/>
  <c r="C49" i="6"/>
  <c r="C50" i="6"/>
  <c r="I50" i="6"/>
  <c r="C51" i="6"/>
  <c r="H4" i="7"/>
  <c r="L34" i="7"/>
  <c r="C38" i="7"/>
  <c r="C39" i="7"/>
  <c r="C40" i="7"/>
  <c r="C41" i="7"/>
  <c r="C42" i="7"/>
  <c r="C43" i="7"/>
  <c r="C44" i="7"/>
  <c r="I44" i="7"/>
  <c r="C45" i="7"/>
  <c r="C46" i="7"/>
  <c r="C47" i="7"/>
  <c r="C48" i="7"/>
  <c r="C49" i="7"/>
  <c r="C50" i="7"/>
  <c r="C51" i="7"/>
  <c r="H4" i="8"/>
  <c r="L34" i="8"/>
  <c r="C38" i="8"/>
  <c r="C39" i="8"/>
  <c r="C40" i="8"/>
  <c r="C41" i="8"/>
  <c r="C42" i="8"/>
  <c r="C43" i="8"/>
  <c r="C44" i="8"/>
  <c r="C45" i="8"/>
  <c r="C46" i="8"/>
  <c r="C47" i="8"/>
  <c r="C48" i="8"/>
  <c r="C49" i="8"/>
  <c r="C50" i="8"/>
  <c r="C51" i="8"/>
  <c r="H4" i="9"/>
  <c r="L34" i="9"/>
  <c r="C38" i="9"/>
  <c r="C39" i="9"/>
  <c r="C40" i="9"/>
  <c r="C41" i="9"/>
  <c r="C42" i="9"/>
  <c r="C43" i="9"/>
  <c r="C44" i="9"/>
  <c r="C45" i="9"/>
  <c r="C46" i="9"/>
  <c r="C47" i="9"/>
  <c r="C48" i="9"/>
  <c r="C49" i="9"/>
  <c r="C50" i="9"/>
  <c r="C51" i="9"/>
  <c r="H4" i="10"/>
  <c r="K34" i="10"/>
  <c r="L34" i="10"/>
  <c r="C38" i="10"/>
  <c r="C39" i="10"/>
  <c r="C40" i="10"/>
  <c r="C41" i="10"/>
  <c r="C42" i="10"/>
  <c r="C43" i="10"/>
  <c r="C44" i="10"/>
  <c r="C45" i="10"/>
  <c r="C46" i="10"/>
  <c r="C47" i="10"/>
  <c r="C48" i="10"/>
  <c r="C49" i="10"/>
  <c r="C50" i="10"/>
  <c r="C51" i="10"/>
  <c r="H4" i="11"/>
  <c r="L34" i="11"/>
  <c r="C38" i="11"/>
  <c r="C39" i="11"/>
  <c r="C40" i="11"/>
  <c r="C41" i="11"/>
  <c r="C42" i="11"/>
  <c r="C43" i="11"/>
  <c r="C44" i="11"/>
  <c r="C45" i="11"/>
  <c r="C46" i="11"/>
  <c r="C47" i="11"/>
  <c r="C48" i="11"/>
  <c r="C49" i="11"/>
  <c r="C50" i="11"/>
  <c r="C51" i="11"/>
  <c r="H4" i="12"/>
  <c r="L34" i="12"/>
  <c r="C38" i="12"/>
  <c r="C39" i="12"/>
  <c r="C40" i="12"/>
  <c r="C41" i="12"/>
  <c r="C42" i="12"/>
  <c r="C43" i="12"/>
  <c r="C44" i="12"/>
  <c r="C45" i="12"/>
  <c r="C46" i="12"/>
  <c r="C47" i="12"/>
  <c r="C48" i="12"/>
  <c r="C49" i="12"/>
  <c r="C50" i="12"/>
  <c r="C51" i="12"/>
  <c r="H4" i="13"/>
  <c r="V7" i="13"/>
  <c r="W7" i="13" s="1"/>
  <c r="V15" i="13"/>
  <c r="W15" i="13" s="1"/>
  <c r="V24" i="13"/>
  <c r="W24" i="13" s="1"/>
  <c r="L34" i="13"/>
  <c r="C38" i="13"/>
  <c r="C39" i="13"/>
  <c r="C40" i="13"/>
  <c r="C41" i="13"/>
  <c r="C42" i="13"/>
  <c r="C43" i="13"/>
  <c r="C44" i="13"/>
  <c r="C45" i="13"/>
  <c r="C46" i="13"/>
  <c r="C47" i="13"/>
  <c r="C48" i="13"/>
  <c r="C49" i="13"/>
  <c r="C50" i="13"/>
  <c r="C51" i="13"/>
  <c r="H4" i="14"/>
  <c r="L34" i="14"/>
  <c r="C38" i="14"/>
  <c r="C39" i="14"/>
  <c r="C40" i="14"/>
  <c r="C41" i="14"/>
  <c r="C42" i="14"/>
  <c r="C43" i="14"/>
  <c r="C44" i="14"/>
  <c r="C45" i="14"/>
  <c r="C46" i="14"/>
  <c r="C47" i="14"/>
  <c r="C48" i="14"/>
  <c r="C49" i="14"/>
  <c r="C50" i="14"/>
  <c r="C51" i="14"/>
  <c r="H4" i="15"/>
  <c r="L34" i="15"/>
  <c r="C38" i="15"/>
  <c r="C39" i="15"/>
  <c r="C40" i="15"/>
  <c r="C41" i="15"/>
  <c r="C42" i="15"/>
  <c r="C43" i="15"/>
  <c r="C44" i="15"/>
  <c r="C45" i="15"/>
  <c r="C46" i="15"/>
  <c r="C47" i="15"/>
  <c r="C48" i="15"/>
  <c r="C49" i="15"/>
  <c r="C50" i="15"/>
  <c r="C51" i="15"/>
  <c r="H4" i="16"/>
  <c r="L34" i="16"/>
  <c r="C38" i="16"/>
  <c r="C39" i="16"/>
  <c r="C40" i="16"/>
  <c r="C41" i="16"/>
  <c r="C42" i="16"/>
  <c r="C44" i="16"/>
  <c r="C45" i="16"/>
  <c r="C46" i="16"/>
  <c r="C47" i="16"/>
  <c r="C48" i="16"/>
  <c r="C49" i="16"/>
  <c r="C50" i="16"/>
  <c r="C51" i="16"/>
  <c r="H4" i="17"/>
  <c r="L34" i="17"/>
  <c r="C38" i="17"/>
  <c r="C39" i="17"/>
  <c r="C40" i="17"/>
  <c r="C41" i="17"/>
  <c r="C42" i="17"/>
  <c r="C43" i="17"/>
  <c r="C44" i="17"/>
  <c r="C45" i="17"/>
  <c r="C46" i="17"/>
  <c r="C47" i="17"/>
  <c r="C48" i="17"/>
  <c r="C49" i="17"/>
  <c r="C50" i="17"/>
  <c r="C51" i="17"/>
  <c r="H4" i="18"/>
  <c r="K34" i="18"/>
  <c r="L34" i="18"/>
  <c r="C38" i="18"/>
  <c r="C39" i="18"/>
  <c r="C40" i="18"/>
  <c r="C41" i="18"/>
  <c r="C42" i="18"/>
  <c r="C44" i="18"/>
  <c r="C45" i="18"/>
  <c r="C46" i="18"/>
  <c r="C47" i="18"/>
  <c r="C48" i="18"/>
  <c r="C49" i="18"/>
  <c r="C50" i="18"/>
  <c r="C51" i="18"/>
  <c r="H4" i="19"/>
  <c r="L34" i="19"/>
  <c r="C38" i="19"/>
  <c r="C39" i="19"/>
  <c r="C40" i="19"/>
  <c r="C41" i="19"/>
  <c r="C42" i="19"/>
  <c r="C44" i="19"/>
  <c r="I44" i="19"/>
  <c r="C45" i="19"/>
  <c r="C46" i="19"/>
  <c r="C47" i="19"/>
  <c r="C48" i="19"/>
  <c r="C49" i="19"/>
  <c r="C50" i="19"/>
  <c r="C51" i="19"/>
  <c r="H4" i="20"/>
  <c r="K34" i="20"/>
  <c r="L34" i="20"/>
  <c r="C38" i="20"/>
  <c r="C39" i="20"/>
  <c r="C40" i="20"/>
  <c r="C41" i="20"/>
  <c r="C42" i="20"/>
  <c r="C43" i="20"/>
  <c r="C44" i="20"/>
  <c r="I44" i="20"/>
  <c r="C45" i="20"/>
  <c r="C46" i="20"/>
  <c r="C47" i="20"/>
  <c r="C48" i="20"/>
  <c r="C49" i="20"/>
  <c r="C50" i="20"/>
  <c r="C51" i="20"/>
  <c r="H4" i="22"/>
  <c r="K34" i="22"/>
  <c r="L34" i="22"/>
  <c r="C38" i="22"/>
  <c r="C39" i="22"/>
  <c r="C40" i="22"/>
  <c r="C41" i="22"/>
  <c r="C42" i="22"/>
  <c r="C43" i="22"/>
  <c r="C44" i="22"/>
  <c r="C45" i="22"/>
  <c r="C46" i="22"/>
  <c r="C47" i="22"/>
  <c r="C48" i="22"/>
  <c r="C49" i="22"/>
  <c r="C50" i="22"/>
  <c r="C51" i="22"/>
  <c r="H4" i="21"/>
  <c r="J32" i="21"/>
  <c r="J32" i="22" s="1"/>
  <c r="J32" i="20" s="1"/>
  <c r="J32" i="19" s="1"/>
  <c r="J32" i="18" s="1"/>
  <c r="J32" i="17" s="1"/>
  <c r="J32" i="16" s="1"/>
  <c r="J32" i="15" s="1"/>
  <c r="J32" i="14" s="1"/>
  <c r="J32" i="13" s="1"/>
  <c r="J32" i="12" s="1"/>
  <c r="J32" i="11" s="1"/>
  <c r="J32" i="10" s="1"/>
  <c r="J32" i="9" s="1"/>
  <c r="J32" i="8" s="1"/>
  <c r="J32" i="7" s="1"/>
  <c r="J32" i="6" s="1"/>
  <c r="J32" i="37" s="1"/>
  <c r="J32" i="4" s="1"/>
  <c r="J32" i="43" s="1"/>
  <c r="L34" i="21"/>
  <c r="C38" i="21"/>
  <c r="C39" i="21"/>
  <c r="C40" i="21"/>
  <c r="C41" i="21"/>
  <c r="C42" i="21"/>
  <c r="C43" i="21"/>
  <c r="C44" i="21"/>
  <c r="C45" i="21"/>
  <c r="C46" i="21"/>
  <c r="C47" i="21"/>
  <c r="C48" i="21"/>
  <c r="C49" i="21"/>
  <c r="C50" i="21"/>
  <c r="C51" i="21"/>
  <c r="H4" i="23"/>
  <c r="L34" i="23"/>
  <c r="C38" i="23"/>
  <c r="C39" i="23"/>
  <c r="C40" i="23"/>
  <c r="C41" i="23"/>
  <c r="C42" i="23"/>
  <c r="C43" i="23"/>
  <c r="C44" i="23"/>
  <c r="I44" i="23"/>
  <c r="C45" i="23"/>
  <c r="C46" i="23"/>
  <c r="C47" i="23"/>
  <c r="C48" i="23"/>
  <c r="C49" i="23"/>
  <c r="C50" i="23"/>
  <c r="C51" i="23"/>
  <c r="H4" i="24"/>
  <c r="L34" i="24"/>
  <c r="C41" i="24"/>
  <c r="C42" i="24"/>
  <c r="C43" i="24"/>
  <c r="C44" i="24"/>
  <c r="C45" i="24"/>
  <c r="C46" i="24"/>
  <c r="C47" i="24"/>
  <c r="C48" i="24"/>
  <c r="C49" i="24"/>
  <c r="C50" i="24"/>
  <c r="C51" i="24"/>
  <c r="H4" i="25"/>
  <c r="L34" i="25"/>
  <c r="C38" i="25"/>
  <c r="C39" i="25"/>
  <c r="C40" i="25"/>
  <c r="C41" i="25"/>
  <c r="C42" i="25"/>
  <c r="C43" i="25"/>
  <c r="C44" i="25"/>
  <c r="C45" i="25"/>
  <c r="C46" i="25"/>
  <c r="C47" i="25"/>
  <c r="C48" i="25"/>
  <c r="C49" i="25"/>
  <c r="C50" i="25"/>
  <c r="C51" i="25"/>
  <c r="H4" i="26"/>
  <c r="C38" i="26"/>
  <c r="C39" i="26"/>
  <c r="C40" i="26"/>
  <c r="C41" i="26"/>
  <c r="C42" i="26"/>
  <c r="C44" i="26"/>
  <c r="C45" i="26"/>
  <c r="C46" i="26"/>
  <c r="C47" i="26"/>
  <c r="C48" i="26"/>
  <c r="C49" i="26"/>
  <c r="C50" i="26"/>
  <c r="C51" i="26"/>
  <c r="H4" i="28"/>
  <c r="L34" i="28"/>
  <c r="C38" i="28"/>
  <c r="C39" i="28"/>
  <c r="C40" i="28"/>
  <c r="C41" i="28"/>
  <c r="C42" i="28"/>
  <c r="C43" i="28"/>
  <c r="C44" i="28"/>
  <c r="I44" i="28"/>
  <c r="C45" i="28"/>
  <c r="C46" i="28"/>
  <c r="C47" i="28"/>
  <c r="C48" i="28"/>
  <c r="C49" i="28"/>
  <c r="C50" i="28"/>
  <c r="C51" i="28"/>
  <c r="H4" i="27"/>
  <c r="L34" i="27"/>
  <c r="C38" i="27"/>
  <c r="C39" i="27"/>
  <c r="C40" i="27"/>
  <c r="C41" i="27"/>
  <c r="C42" i="27"/>
  <c r="C44" i="27"/>
  <c r="C45" i="27"/>
  <c r="C46" i="27"/>
  <c r="C47" i="27"/>
  <c r="C48" i="27"/>
  <c r="C49" i="27"/>
  <c r="C50" i="27"/>
  <c r="C51" i="27"/>
  <c r="H4" i="29"/>
  <c r="L34" i="29"/>
  <c r="C38" i="29"/>
  <c r="C39" i="29"/>
  <c r="C40" i="29"/>
  <c r="C41" i="29"/>
  <c r="C42" i="29"/>
  <c r="C44" i="29"/>
  <c r="C45" i="29"/>
  <c r="C46" i="29"/>
  <c r="C47" i="29"/>
  <c r="C48" i="29"/>
  <c r="C49" i="29"/>
  <c r="C50" i="29"/>
  <c r="C51" i="29"/>
  <c r="H4" i="30"/>
  <c r="L34" i="30"/>
  <c r="C39" i="30"/>
  <c r="C40" i="30"/>
  <c r="C41" i="30"/>
  <c r="C42" i="30"/>
  <c r="C44" i="30"/>
  <c r="C45" i="30"/>
  <c r="C47" i="30"/>
  <c r="C48" i="30"/>
  <c r="C49" i="30"/>
  <c r="C50" i="30"/>
  <c r="C51" i="30"/>
  <c r="H4" i="31"/>
  <c r="L34" i="31"/>
  <c r="C39" i="31"/>
  <c r="C40" i="31"/>
  <c r="C41" i="31"/>
  <c r="C42" i="31"/>
  <c r="C43" i="31"/>
  <c r="C44" i="31"/>
  <c r="I44" i="31"/>
  <c r="C45" i="31"/>
  <c r="C46" i="31"/>
  <c r="C47" i="31"/>
  <c r="C48" i="31"/>
  <c r="C49" i="31"/>
  <c r="C50" i="31"/>
  <c r="C51" i="31"/>
  <c r="H4" i="32"/>
  <c r="J7" i="32"/>
  <c r="J7" i="31" s="1"/>
  <c r="J8" i="32"/>
  <c r="J8" i="31" s="1"/>
  <c r="J9" i="32"/>
  <c r="J9" i="31" s="1"/>
  <c r="J10" i="32"/>
  <c r="J10" i="31" s="1"/>
  <c r="J11" i="32"/>
  <c r="J11" i="31" s="1"/>
  <c r="J12" i="32"/>
  <c r="J12" i="31" s="1"/>
  <c r="J13" i="32"/>
  <c r="J13" i="31" s="1"/>
  <c r="J14" i="32"/>
  <c r="J14" i="31" s="1"/>
  <c r="J15" i="32"/>
  <c r="J15" i="31" s="1"/>
  <c r="J16" i="32"/>
  <c r="J16" i="31" s="1"/>
  <c r="J17" i="32"/>
  <c r="J17" i="31" s="1"/>
  <c r="J18" i="32"/>
  <c r="J18" i="31" s="1"/>
  <c r="J19" i="32"/>
  <c r="J19" i="31" s="1"/>
  <c r="J20" i="32"/>
  <c r="J20" i="31" s="1"/>
  <c r="J21" i="32"/>
  <c r="J21" i="31" s="1"/>
  <c r="J22" i="32"/>
  <c r="J22" i="31" s="1"/>
  <c r="J23" i="32"/>
  <c r="J23" i="31" s="1"/>
  <c r="J24" i="32"/>
  <c r="J25" i="32"/>
  <c r="J26" i="32"/>
  <c r="J27" i="32"/>
  <c r="J28" i="32"/>
  <c r="J29" i="32"/>
  <c r="J30" i="32"/>
  <c r="J31" i="32"/>
  <c r="J32" i="32"/>
  <c r="L34" i="32"/>
  <c r="C39" i="32"/>
  <c r="C40" i="32"/>
  <c r="C41" i="32"/>
  <c r="C42" i="32"/>
  <c r="C43" i="32"/>
  <c r="C44" i="32"/>
  <c r="C45" i="32"/>
  <c r="C46" i="32"/>
  <c r="C47" i="32"/>
  <c r="C48" i="32"/>
  <c r="C49" i="32"/>
  <c r="C50" i="32"/>
  <c r="C51" i="32"/>
  <c r="M8" i="33"/>
  <c r="M9" i="33"/>
  <c r="M9" i="32" s="1"/>
  <c r="M9" i="31" s="1"/>
  <c r="M9" i="30" s="1"/>
  <c r="M9" i="29" s="1"/>
  <c r="M9" i="27" s="1"/>
  <c r="M9" i="28" s="1"/>
  <c r="M10" i="33"/>
  <c r="M10" i="32" s="1"/>
  <c r="M10" i="31" s="1"/>
  <c r="M10" i="30" s="1"/>
  <c r="M10" i="29" s="1"/>
  <c r="M10" i="27" s="1"/>
  <c r="M10" i="28" s="1"/>
  <c r="M10" i="26" s="1"/>
  <c r="M10" i="25" s="1"/>
  <c r="M10" i="24" s="1"/>
  <c r="M10" i="23" s="1"/>
  <c r="M11" i="33"/>
  <c r="M11" i="32" s="1"/>
  <c r="M11" i="31" s="1"/>
  <c r="M11" i="30"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12" i="33"/>
  <c r="M12" i="32" s="1"/>
  <c r="M12" i="31" s="1"/>
  <c r="M12" i="30" s="1"/>
  <c r="M12" i="29" s="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M13" i="33"/>
  <c r="M13" i="32" s="1"/>
  <c r="M13" i="31" s="1"/>
  <c r="M13" i="30"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C14" i="33"/>
  <c r="D14" i="33"/>
  <c r="E14" i="33"/>
  <c r="F14" i="33"/>
  <c r="M14" i="33"/>
  <c r="M14" i="32" s="1"/>
  <c r="M14" i="31" s="1"/>
  <c r="M14" i="30" s="1"/>
  <c r="M14" i="29" s="1"/>
  <c r="M14" i="27" s="1"/>
  <c r="M14" i="28" s="1"/>
  <c r="M14" i="26" s="1"/>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4" i="37" s="1"/>
  <c r="M14" i="4" s="1"/>
  <c r="M14" i="43" s="1"/>
  <c r="M15" i="33"/>
  <c r="M15" i="32" s="1"/>
  <c r="M15" i="31" s="1"/>
  <c r="M15" i="30"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M16" i="33"/>
  <c r="M16" i="32" s="1"/>
  <c r="M16" i="31" s="1"/>
  <c r="M16" i="30"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M17" i="33"/>
  <c r="M17" i="32" s="1"/>
  <c r="M17" i="31" s="1"/>
  <c r="M17" i="30" s="1"/>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8" i="33"/>
  <c r="M18" i="32" s="1"/>
  <c r="M18" i="31" s="1"/>
  <c r="M18" i="30" s="1"/>
  <c r="M18" i="29" s="1"/>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19" i="33"/>
  <c r="M19" i="32" s="1"/>
  <c r="M19" i="31" s="1"/>
  <c r="M19" i="30"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19" i="37" s="1"/>
  <c r="M19" i="4" s="1"/>
  <c r="M19" i="43" s="1"/>
  <c r="M20" i="33"/>
  <c r="M20" i="32" s="1"/>
  <c r="M20" i="31" s="1"/>
  <c r="M20" i="30" s="1"/>
  <c r="M20" i="29" s="1"/>
  <c r="M20" i="27" s="1"/>
  <c r="M20" i="28" s="1"/>
  <c r="M20" i="26" s="1"/>
  <c r="M20" i="25" s="1"/>
  <c r="M20" i="24" s="1"/>
  <c r="M20" i="23" s="1"/>
  <c r="M20" i="21" s="1"/>
  <c r="M20" i="22" s="1"/>
  <c r="M20" i="20" s="1"/>
  <c r="M20" i="19" s="1"/>
  <c r="M20" i="18" s="1"/>
  <c r="M20" i="17" s="1"/>
  <c r="M20" i="16" s="1"/>
  <c r="M20" i="15" s="1"/>
  <c r="M20" i="14" s="1"/>
  <c r="M20" i="13" s="1"/>
  <c r="M20" i="12" s="1"/>
  <c r="M21" i="33"/>
  <c r="M21" i="32" s="1"/>
  <c r="M21" i="31" s="1"/>
  <c r="M21" i="30" s="1"/>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M22" i="33"/>
  <c r="M22" i="32" s="1"/>
  <c r="M22" i="31" s="1"/>
  <c r="M22" i="30" s="1"/>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C23" i="33"/>
  <c r="D23" i="33"/>
  <c r="E23" i="33"/>
  <c r="M23" i="33"/>
  <c r="M23" i="32" s="1"/>
  <c r="M23" i="31" s="1"/>
  <c r="M23" i="30" s="1"/>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M24" i="33"/>
  <c r="M24" i="32" s="1"/>
  <c r="M24" i="31" s="1"/>
  <c r="M24" i="30" s="1"/>
  <c r="M24" i="29" s="1"/>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M25" i="33"/>
  <c r="M25" i="32" s="1"/>
  <c r="M25" i="31" s="1"/>
  <c r="M25" i="30" s="1"/>
  <c r="M25" i="29" s="1"/>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6" i="33"/>
  <c r="M26" i="32" s="1"/>
  <c r="M26" i="31" s="1"/>
  <c r="M26" i="30" s="1"/>
  <c r="M26" i="29" s="1"/>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7" i="33"/>
  <c r="M27" i="32" s="1"/>
  <c r="M27" i="31" s="1"/>
  <c r="M27" i="30" s="1"/>
  <c r="M27" i="29" s="1"/>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8" i="33"/>
  <c r="M28" i="32" s="1"/>
  <c r="M28" i="31" s="1"/>
  <c r="M28" i="30" s="1"/>
  <c r="M28" i="29" s="1"/>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29" i="33"/>
  <c r="M29" i="32" s="1"/>
  <c r="M29" i="31" s="1"/>
  <c r="M29" i="30" s="1"/>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M30" i="33"/>
  <c r="M30" i="32" s="1"/>
  <c r="M30" i="31" s="1"/>
  <c r="M30" i="30"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31" i="33"/>
  <c r="M31" i="32" s="1"/>
  <c r="M31" i="31" s="1"/>
  <c r="M31" i="30" s="1"/>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C32" i="33"/>
  <c r="D32" i="33"/>
  <c r="E32" i="33"/>
  <c r="F32" i="33"/>
  <c r="M32" i="33"/>
  <c r="M32" i="32" s="1"/>
  <c r="M32" i="31" s="1"/>
  <c r="M32" i="30" s="1"/>
  <c r="M32" i="29"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J38" i="33"/>
  <c r="J38" i="32" s="1"/>
  <c r="C39" i="33"/>
  <c r="D39" i="33" s="1"/>
  <c r="E39" i="33" s="1"/>
  <c r="C40" i="33"/>
  <c r="D40" i="33" s="1"/>
  <c r="C41" i="33"/>
  <c r="D41" i="33" s="1"/>
  <c r="C42" i="33"/>
  <c r="D42" i="33" s="1"/>
  <c r="E42" i="33" s="1"/>
  <c r="D43" i="33"/>
  <c r="C44" i="33"/>
  <c r="D44" i="33" s="1"/>
  <c r="C45" i="33"/>
  <c r="D45" i="33" s="1"/>
  <c r="C46" i="33"/>
  <c r="D46" i="33" s="1"/>
  <c r="C47" i="33"/>
  <c r="D47" i="33" s="1"/>
  <c r="C48" i="33"/>
  <c r="D48" i="33" s="1"/>
  <c r="E48" i="33" s="1"/>
  <c r="C49" i="33"/>
  <c r="D49" i="33" s="1"/>
  <c r="C50" i="33"/>
  <c r="D50" i="33" s="1"/>
  <c r="C51" i="33"/>
  <c r="D51" i="33" s="1"/>
  <c r="A4" i="47"/>
  <c r="A10" i="2" s="1"/>
  <c r="J46" i="33"/>
  <c r="I47" i="32"/>
  <c r="AF11" i="48"/>
  <c r="I47" i="27"/>
  <c r="AF15" i="48"/>
  <c r="AF16" i="48"/>
  <c r="AF17" i="48"/>
  <c r="AF19" i="48"/>
  <c r="I47" i="21"/>
  <c r="AF21" i="48"/>
  <c r="AF24" i="48"/>
  <c r="I47" i="17"/>
  <c r="I47" i="16"/>
  <c r="I47" i="15"/>
  <c r="AF29" i="48"/>
  <c r="AF30" i="48"/>
  <c r="AF33" i="48"/>
  <c r="I47" i="43"/>
  <c r="I50" i="37"/>
  <c r="I50" i="43"/>
  <c r="AF18" i="48"/>
  <c r="AB14" i="48"/>
  <c r="Z41" i="48"/>
  <c r="I44" i="33"/>
  <c r="AB21" i="48"/>
  <c r="H21" i="48"/>
  <c r="AB30" i="48"/>
  <c r="AB33" i="48"/>
  <c r="H29" i="48"/>
  <c r="G33" i="48"/>
  <c r="AB37" i="48"/>
  <c r="K7" i="6"/>
  <c r="G37" i="48"/>
  <c r="G29" i="48"/>
  <c r="H37" i="48"/>
  <c r="E28" i="48"/>
  <c r="G21" i="48"/>
  <c r="E18" i="48"/>
  <c r="F18" i="48" s="1"/>
  <c r="E15" i="48"/>
  <c r="AF36" i="48"/>
  <c r="AF34" i="48"/>
  <c r="E30" i="48"/>
  <c r="F30" i="48" s="1"/>
  <c r="Q9" i="48" l="1"/>
  <c r="V9" i="48"/>
  <c r="A11" i="48"/>
  <c r="A9" i="45"/>
  <c r="G23" i="48"/>
  <c r="AB15" i="48"/>
  <c r="G31" i="48"/>
  <c r="G15" i="48"/>
  <c r="F34" i="43"/>
  <c r="AH16" i="48"/>
  <c r="AH21" i="48"/>
  <c r="AH33" i="48"/>
  <c r="AH30" i="48"/>
  <c r="AH29" i="48"/>
  <c r="AH17" i="48"/>
  <c r="AH24" i="48"/>
  <c r="E36" i="48"/>
  <c r="F36" i="48" s="1"/>
  <c r="G17" i="48"/>
  <c r="I40" i="10"/>
  <c r="I48" i="10" s="1"/>
  <c r="C24" i="4"/>
  <c r="AB9" i="48"/>
  <c r="J31" i="31"/>
  <c r="J31" i="30" s="1"/>
  <c r="J31" i="29" s="1"/>
  <c r="J31" i="27" s="1"/>
  <c r="J31" i="28" s="1"/>
  <c r="J31" i="26" s="1"/>
  <c r="J31" i="25" s="1"/>
  <c r="J31" i="24" s="1"/>
  <c r="J30" i="31"/>
  <c r="J30" i="30" s="1"/>
  <c r="J30" i="29" s="1"/>
  <c r="J30" i="27" s="1"/>
  <c r="J30" i="28" s="1"/>
  <c r="J30" i="26" s="1"/>
  <c r="J28" i="31"/>
  <c r="J28" i="30" s="1"/>
  <c r="J28" i="29" s="1"/>
  <c r="J28" i="27" s="1"/>
  <c r="J28" i="28" s="1"/>
  <c r="J28" i="26" s="1"/>
  <c r="J29" i="31"/>
  <c r="J29" i="30" s="1"/>
  <c r="J29" i="29" s="1"/>
  <c r="J29" i="27" s="1"/>
  <c r="J29" i="28" s="1"/>
  <c r="J29" i="26" s="1"/>
  <c r="J27" i="31"/>
  <c r="J27" i="30" s="1"/>
  <c r="J27" i="29" s="1"/>
  <c r="J27" i="27" s="1"/>
  <c r="J27" i="28" s="1"/>
  <c r="J27" i="26" s="1"/>
  <c r="J27" i="25" s="1"/>
  <c r="J27" i="24" s="1"/>
  <c r="J26" i="31"/>
  <c r="J26" i="30" s="1"/>
  <c r="J26" i="29" s="1"/>
  <c r="J26" i="27" s="1"/>
  <c r="J26" i="28" s="1"/>
  <c r="J26" i="26" s="1"/>
  <c r="J25" i="31"/>
  <c r="J25" i="30" s="1"/>
  <c r="J25" i="29" s="1"/>
  <c r="J25" i="27" s="1"/>
  <c r="J25" i="28" s="1"/>
  <c r="J25" i="26" s="1"/>
  <c r="J32" i="31"/>
  <c r="J32" i="30" s="1"/>
  <c r="J32" i="29" s="1"/>
  <c r="J32" i="27" s="1"/>
  <c r="J32" i="28" s="1"/>
  <c r="J32" i="26" s="1"/>
  <c r="J24" i="31"/>
  <c r="J24" i="30" s="1"/>
  <c r="J24" i="29" s="1"/>
  <c r="J24" i="27" s="1"/>
  <c r="J24" i="28" s="1"/>
  <c r="J24" i="26" s="1"/>
  <c r="J24" i="25" s="1"/>
  <c r="J24" i="24" s="1"/>
  <c r="C34" i="4"/>
  <c r="AB32" i="48"/>
  <c r="E33" i="43"/>
  <c r="N12" i="45"/>
  <c r="F12" i="45"/>
  <c r="J12" i="45"/>
  <c r="Q12" i="45"/>
  <c r="N13" i="45"/>
  <c r="J13" i="45"/>
  <c r="F13" i="45"/>
  <c r="Q13" i="45"/>
  <c r="E46" i="33"/>
  <c r="F10" i="45"/>
  <c r="N10" i="45"/>
  <c r="J10" i="45"/>
  <c r="Q10" i="45"/>
  <c r="F11" i="45"/>
  <c r="J11" i="45"/>
  <c r="N11" i="45"/>
  <c r="Q11" i="45"/>
  <c r="F13" i="48"/>
  <c r="F9" i="45"/>
  <c r="J9" i="45"/>
  <c r="N9" i="45"/>
  <c r="Q9" i="45"/>
  <c r="F17" i="48"/>
  <c r="D11" i="1"/>
  <c r="D12" i="2" s="1"/>
  <c r="B18" i="45"/>
  <c r="Q18" i="45" s="1"/>
  <c r="D19" i="1"/>
  <c r="B26" i="45"/>
  <c r="Q26" i="45" s="1"/>
  <c r="D27" i="1"/>
  <c r="B34" i="45"/>
  <c r="Q34" i="45" s="1"/>
  <c r="D35" i="1"/>
  <c r="D12" i="1"/>
  <c r="D13" i="2" s="1"/>
  <c r="B19" i="45"/>
  <c r="Q19" i="45" s="1"/>
  <c r="D20" i="1"/>
  <c r="B27" i="45"/>
  <c r="Q27" i="45" s="1"/>
  <c r="D28" i="1"/>
  <c r="B35" i="45"/>
  <c r="Q35" i="45" s="1"/>
  <c r="D36" i="1"/>
  <c r="B33" i="45"/>
  <c r="Q33" i="45" s="1"/>
  <c r="D34" i="1"/>
  <c r="D13" i="1"/>
  <c r="B20" i="45"/>
  <c r="Q20" i="45" s="1"/>
  <c r="D21" i="1"/>
  <c r="B28" i="45"/>
  <c r="Q28" i="45" s="1"/>
  <c r="D29" i="1"/>
  <c r="B36" i="45"/>
  <c r="Q36" i="45" s="1"/>
  <c r="D37" i="1"/>
  <c r="D10" i="1"/>
  <c r="B8" i="45"/>
  <c r="Q8" i="45" s="1"/>
  <c r="D9" i="1"/>
  <c r="D14" i="1"/>
  <c r="B21" i="45"/>
  <c r="Q21" i="45" s="1"/>
  <c r="D22" i="1"/>
  <c r="B29" i="45"/>
  <c r="Q29" i="45" s="1"/>
  <c r="D30" i="1"/>
  <c r="F12" i="48"/>
  <c r="B25" i="45"/>
  <c r="Q25" i="45" s="1"/>
  <c r="D26" i="1"/>
  <c r="D24" i="4"/>
  <c r="B14" i="45"/>
  <c r="Q14" i="45" s="1"/>
  <c r="D15" i="1"/>
  <c r="B22" i="45"/>
  <c r="Q22" i="45" s="1"/>
  <c r="D23" i="1"/>
  <c r="B30" i="45"/>
  <c r="Q30" i="45" s="1"/>
  <c r="D31" i="1"/>
  <c r="B15" i="45"/>
  <c r="Q15" i="45" s="1"/>
  <c r="D16" i="1"/>
  <c r="B23" i="45"/>
  <c r="Q23" i="45" s="1"/>
  <c r="D24" i="1"/>
  <c r="B31" i="45"/>
  <c r="Q31" i="45" s="1"/>
  <c r="D32" i="1"/>
  <c r="B17" i="45"/>
  <c r="Q17" i="45" s="1"/>
  <c r="D18" i="1"/>
  <c r="B16" i="45"/>
  <c r="Q16" i="45" s="1"/>
  <c r="D17" i="1"/>
  <c r="B24" i="45"/>
  <c r="Q24" i="45" s="1"/>
  <c r="D25" i="1"/>
  <c r="B32" i="45"/>
  <c r="Q32" i="45" s="1"/>
  <c r="D33" i="1"/>
  <c r="AB35" i="48"/>
  <c r="AB11" i="48"/>
  <c r="K34" i="6"/>
  <c r="I40" i="6" s="1"/>
  <c r="I48" i="6" s="1"/>
  <c r="G19" i="48"/>
  <c r="AB19" i="48"/>
  <c r="AH19" i="48"/>
  <c r="K8" i="8"/>
  <c r="K34" i="8" s="1"/>
  <c r="H18" i="48"/>
  <c r="AH34" i="48"/>
  <c r="AB34" i="48"/>
  <c r="AB27" i="48"/>
  <c r="C52" i="37"/>
  <c r="C53" i="37" s="1"/>
  <c r="C33" i="4"/>
  <c r="D34" i="4"/>
  <c r="K7" i="37"/>
  <c r="H27" i="48"/>
  <c r="G27" i="48"/>
  <c r="G11" i="48"/>
  <c r="G35" i="48"/>
  <c r="K7" i="13"/>
  <c r="K34" i="17"/>
  <c r="E33" i="4"/>
  <c r="AB28" i="48"/>
  <c r="AB24" i="48"/>
  <c r="E23" i="48"/>
  <c r="F23" i="48" s="1"/>
  <c r="I40" i="22"/>
  <c r="R21" i="48" s="1"/>
  <c r="E21" i="1" s="1"/>
  <c r="C33" i="43"/>
  <c r="M9" i="26"/>
  <c r="J22" i="30"/>
  <c r="J22" i="29" s="1"/>
  <c r="J22" i="27" s="1"/>
  <c r="J22" i="28" s="1"/>
  <c r="J22" i="26" s="1"/>
  <c r="J22" i="25" s="1"/>
  <c r="J22" i="24" s="1"/>
  <c r="J14" i="30"/>
  <c r="J14" i="29" s="1"/>
  <c r="J14" i="27" s="1"/>
  <c r="J14" i="28" s="1"/>
  <c r="J14" i="26" s="1"/>
  <c r="J14" i="25" s="1"/>
  <c r="J14" i="24" s="1"/>
  <c r="J9" i="29"/>
  <c r="J9" i="27" s="1"/>
  <c r="J9" i="28" s="1"/>
  <c r="J9" i="26" s="1"/>
  <c r="J9" i="25" s="1"/>
  <c r="J9" i="24" s="1"/>
  <c r="J21" i="30"/>
  <c r="J21" i="29" s="1"/>
  <c r="J21" i="27" s="1"/>
  <c r="J21" i="28" s="1"/>
  <c r="J21" i="26" s="1"/>
  <c r="J21" i="25" s="1"/>
  <c r="J21" i="24" s="1"/>
  <c r="J8" i="30"/>
  <c r="J8" i="29" s="1"/>
  <c r="J8" i="27" s="1"/>
  <c r="J8" i="28" s="1"/>
  <c r="J8" i="26" s="1"/>
  <c r="J8" i="25" s="1"/>
  <c r="J8" i="24" s="1"/>
  <c r="J20" i="30"/>
  <c r="J20" i="29" s="1"/>
  <c r="J20" i="27" s="1"/>
  <c r="J20" i="28" s="1"/>
  <c r="J20" i="26" s="1"/>
  <c r="J20" i="25" s="1"/>
  <c r="J20" i="24" s="1"/>
  <c r="J7" i="30"/>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23" i="30"/>
  <c r="J23" i="29" s="1"/>
  <c r="J23" i="27" s="1"/>
  <c r="J23" i="28" s="1"/>
  <c r="J23" i="26" s="1"/>
  <c r="J23" i="25" s="1"/>
  <c r="J23" i="24" s="1"/>
  <c r="J19" i="30"/>
  <c r="J19" i="29" s="1"/>
  <c r="J19" i="27" s="1"/>
  <c r="J19" i="28" s="1"/>
  <c r="J19" i="26" s="1"/>
  <c r="J19" i="25" s="1"/>
  <c r="J19" i="24" s="1"/>
  <c r="J18" i="30"/>
  <c r="J18" i="29" s="1"/>
  <c r="J18" i="27" s="1"/>
  <c r="J18" i="28" s="1"/>
  <c r="J18" i="26" s="1"/>
  <c r="J18" i="25" s="1"/>
  <c r="J18" i="24" s="1"/>
  <c r="J13" i="30"/>
  <c r="J13" i="29" s="1"/>
  <c r="J13" i="27" s="1"/>
  <c r="J13" i="28" s="1"/>
  <c r="J13" i="26" s="1"/>
  <c r="J13" i="25" s="1"/>
  <c r="J13" i="24" s="1"/>
  <c r="J17" i="30"/>
  <c r="J17" i="29" s="1"/>
  <c r="J17" i="27" s="1"/>
  <c r="J17" i="28" s="1"/>
  <c r="J17" i="26" s="1"/>
  <c r="J17" i="25" s="1"/>
  <c r="J17" i="24" s="1"/>
  <c r="J12" i="30"/>
  <c r="J12" i="29" s="1"/>
  <c r="J12" i="27" s="1"/>
  <c r="J12" i="28" s="1"/>
  <c r="J12" i="26" s="1"/>
  <c r="J12" i="25" s="1"/>
  <c r="J12" i="24" s="1"/>
  <c r="J16" i="30"/>
  <c r="J16" i="29" s="1"/>
  <c r="J16" i="27" s="1"/>
  <c r="J16" i="28" s="1"/>
  <c r="J16" i="26" s="1"/>
  <c r="J11" i="30"/>
  <c r="J11" i="29" s="1"/>
  <c r="J11" i="27" s="1"/>
  <c r="J11" i="28" s="1"/>
  <c r="J11" i="26" s="1"/>
  <c r="J11" i="25" s="1"/>
  <c r="J15" i="30"/>
  <c r="J15" i="29" s="1"/>
  <c r="J15" i="27" s="1"/>
  <c r="J15" i="28" s="1"/>
  <c r="J15" i="26" s="1"/>
  <c r="J10" i="30"/>
  <c r="J10" i="29" s="1"/>
  <c r="J10" i="27" s="1"/>
  <c r="J10" i="26" s="1"/>
  <c r="J10" i="25" s="1"/>
  <c r="J10" i="24" s="1"/>
  <c r="AB13" i="48"/>
  <c r="H13" i="48"/>
  <c r="G13" i="48"/>
  <c r="D15" i="33"/>
  <c r="C52" i="6"/>
  <c r="C53" i="6" s="1"/>
  <c r="F34" i="4"/>
  <c r="F29" i="48"/>
  <c r="C52" i="13"/>
  <c r="C53" i="13" s="1"/>
  <c r="C52" i="9"/>
  <c r="C53" i="9" s="1"/>
  <c r="E24" i="33"/>
  <c r="C34" i="43"/>
  <c r="H28" i="48"/>
  <c r="E15" i="43"/>
  <c r="J57" i="23"/>
  <c r="G20" i="48"/>
  <c r="D24" i="43"/>
  <c r="E24" i="43"/>
  <c r="C24" i="43"/>
  <c r="D15" i="43"/>
  <c r="I40" i="43"/>
  <c r="E34" i="4"/>
  <c r="E15" i="33"/>
  <c r="D33" i="4"/>
  <c r="B37" i="45"/>
  <c r="B38" i="45"/>
  <c r="Q38" i="45" s="1"/>
  <c r="E34" i="33"/>
  <c r="J57" i="33" s="1"/>
  <c r="AB25" i="48"/>
  <c r="C24" i="33"/>
  <c r="D24" i="33"/>
  <c r="B27" i="2"/>
  <c r="B29" i="2"/>
  <c r="B25" i="2"/>
  <c r="AH36" i="48"/>
  <c r="V37" i="48"/>
  <c r="B28" i="2"/>
  <c r="B14" i="2"/>
  <c r="AB10" i="48"/>
  <c r="F32" i="48"/>
  <c r="C52" i="7"/>
  <c r="C53" i="7" s="1"/>
  <c r="H31" i="48"/>
  <c r="E33" i="48"/>
  <c r="C52" i="10"/>
  <c r="C53" i="10" s="1"/>
  <c r="C52" i="11"/>
  <c r="C53" i="11" s="1"/>
  <c r="I47" i="18"/>
  <c r="G30" i="48"/>
  <c r="C52" i="14"/>
  <c r="C53" i="14" s="1"/>
  <c r="E27" i="48"/>
  <c r="C52" i="15"/>
  <c r="C53" i="15" s="1"/>
  <c r="AB26" i="48"/>
  <c r="I47" i="24"/>
  <c r="I40" i="18"/>
  <c r="R24" i="48" s="1"/>
  <c r="J24" i="48" s="1"/>
  <c r="F25" i="48"/>
  <c r="H25" i="48"/>
  <c r="G25" i="48"/>
  <c r="C52" i="17"/>
  <c r="C53" i="17" s="1"/>
  <c r="I47" i="26"/>
  <c r="C52" i="19"/>
  <c r="C53" i="19" s="1"/>
  <c r="C52" i="20"/>
  <c r="C53" i="20" s="1"/>
  <c r="H22" i="48"/>
  <c r="G22" i="48"/>
  <c r="I47" i="25"/>
  <c r="K34" i="21"/>
  <c r="C52" i="21"/>
  <c r="C53" i="21" s="1"/>
  <c r="C52" i="23"/>
  <c r="C53" i="23" s="1"/>
  <c r="I47" i="28"/>
  <c r="AH18" i="48"/>
  <c r="I47" i="33"/>
  <c r="G16" i="48"/>
  <c r="C52" i="26"/>
  <c r="C53" i="26" s="1"/>
  <c r="C52" i="28"/>
  <c r="C53" i="28" s="1"/>
  <c r="AF9" i="48"/>
  <c r="C52" i="27"/>
  <c r="C53" i="27" s="1"/>
  <c r="AF10" i="48"/>
  <c r="C34" i="33"/>
  <c r="G10" i="48"/>
  <c r="E33" i="33"/>
  <c r="C52" i="29"/>
  <c r="C53" i="29" s="1"/>
  <c r="AF13" i="48"/>
  <c r="C15" i="33"/>
  <c r="J38" i="31"/>
  <c r="J47" i="33"/>
  <c r="D51" i="32"/>
  <c r="D51" i="31" s="1"/>
  <c r="D49" i="32"/>
  <c r="D49" i="31" s="1"/>
  <c r="E49" i="31" s="1"/>
  <c r="D47" i="32"/>
  <c r="E47" i="32" s="1"/>
  <c r="D45" i="32"/>
  <c r="E49" i="33"/>
  <c r="H10" i="48"/>
  <c r="C52" i="31"/>
  <c r="C53" i="31" s="1"/>
  <c r="J46" i="32"/>
  <c r="J47" i="32" s="1"/>
  <c r="D44" i="32"/>
  <c r="E44" i="32" s="1"/>
  <c r="D40" i="32"/>
  <c r="D34" i="33"/>
  <c r="C33" i="33"/>
  <c r="C52" i="32"/>
  <c r="C53" i="32" s="1"/>
  <c r="F15" i="48"/>
  <c r="C52" i="22"/>
  <c r="C53" i="22" s="1"/>
  <c r="C52" i="18"/>
  <c r="C53" i="18" s="1"/>
  <c r="C52" i="16"/>
  <c r="C53" i="16" s="1"/>
  <c r="C52" i="12"/>
  <c r="C53" i="12" s="1"/>
  <c r="C52" i="8"/>
  <c r="C53" i="8" s="1"/>
  <c r="V15" i="37"/>
  <c r="W15" i="37" s="1"/>
  <c r="V7" i="37"/>
  <c r="W7" i="37" s="1"/>
  <c r="C52" i="4"/>
  <c r="C53" i="4" s="1"/>
  <c r="E24" i="4"/>
  <c r="E15" i="4"/>
  <c r="D15" i="4"/>
  <c r="C52" i="43"/>
  <c r="C53" i="43" s="1"/>
  <c r="E16" i="48"/>
  <c r="AB12" i="48"/>
  <c r="G12" i="48"/>
  <c r="G14" i="48"/>
  <c r="H14" i="48"/>
  <c r="AB18" i="48"/>
  <c r="G18" i="48"/>
  <c r="AB20" i="48"/>
  <c r="H20" i="48"/>
  <c r="AB22" i="48"/>
  <c r="G28" i="48"/>
  <c r="H30" i="48"/>
  <c r="H34" i="48"/>
  <c r="G34" i="48"/>
  <c r="V36" i="48"/>
  <c r="AB36" i="48"/>
  <c r="V38" i="48"/>
  <c r="AB38" i="48"/>
  <c r="G38" i="48"/>
  <c r="H38" i="48"/>
  <c r="J44" i="33"/>
  <c r="J43" i="32"/>
  <c r="I44" i="18"/>
  <c r="I45" i="10"/>
  <c r="I44" i="4"/>
  <c r="C52" i="25"/>
  <c r="C53" i="25" s="1"/>
  <c r="C52" i="30"/>
  <c r="C53" i="30" s="1"/>
  <c r="C52" i="24"/>
  <c r="C53" i="24" s="1"/>
  <c r="D43" i="32"/>
  <c r="D43" i="31" s="1"/>
  <c r="D41" i="32"/>
  <c r="E41" i="32" s="1"/>
  <c r="F34" i="33"/>
  <c r="D33" i="33"/>
  <c r="Z14" i="57" s="1"/>
  <c r="I40" i="20"/>
  <c r="E34" i="43"/>
  <c r="C15" i="43"/>
  <c r="E21" i="48"/>
  <c r="E22" i="48"/>
  <c r="E24" i="48"/>
  <c r="I40" i="4"/>
  <c r="I48" i="4" s="1"/>
  <c r="C15" i="4"/>
  <c r="V15" i="4"/>
  <c r="W15" i="4" s="1"/>
  <c r="D33" i="43"/>
  <c r="D34" i="43"/>
  <c r="E20" i="48"/>
  <c r="E9" i="48"/>
  <c r="J37" i="33"/>
  <c r="E38" i="33"/>
  <c r="D38" i="32"/>
  <c r="E38" i="32" s="1"/>
  <c r="P41" i="48"/>
  <c r="E41" i="33"/>
  <c r="E45" i="33"/>
  <c r="D39" i="32"/>
  <c r="E39" i="32" s="1"/>
  <c r="E43" i="33"/>
  <c r="E47" i="33"/>
  <c r="E44" i="33"/>
  <c r="C52" i="33"/>
  <c r="C53" i="33" s="1"/>
  <c r="E50" i="33"/>
  <c r="D50" i="32"/>
  <c r="E40" i="33"/>
  <c r="D48" i="32"/>
  <c r="E48" i="32" s="1"/>
  <c r="D52" i="33"/>
  <c r="D53" i="33" s="1"/>
  <c r="D42" i="32"/>
  <c r="D46" i="32"/>
  <c r="E51" i="33"/>
  <c r="A11" i="2"/>
  <c r="M20" i="11"/>
  <c r="M20" i="10" s="1"/>
  <c r="M20" i="9" s="1"/>
  <c r="M20" i="8" s="1"/>
  <c r="M20" i="7" s="1"/>
  <c r="M20" i="6" s="1"/>
  <c r="M20" i="37" s="1"/>
  <c r="M20" i="4" s="1"/>
  <c r="M20" i="43" s="1"/>
  <c r="E10" i="48"/>
  <c r="E11" i="48"/>
  <c r="E14" i="48"/>
  <c r="E19" i="48"/>
  <c r="E26" i="48"/>
  <c r="E34" i="48"/>
  <c r="E37" i="48"/>
  <c r="E38" i="48"/>
  <c r="E31" i="48"/>
  <c r="F35" i="48"/>
  <c r="G36" i="48"/>
  <c r="AH15" i="48"/>
  <c r="AB29" i="48"/>
  <c r="F28" i="48"/>
  <c r="H35" i="48"/>
  <c r="H33" i="48"/>
  <c r="H23" i="48"/>
  <c r="G26" i="48"/>
  <c r="H11" i="48"/>
  <c r="Q10" i="48"/>
  <c r="AC9" i="48"/>
  <c r="I47" i="4"/>
  <c r="AF38" i="48"/>
  <c r="I47" i="37"/>
  <c r="AF37" i="48"/>
  <c r="I47" i="6"/>
  <c r="AF35" i="48"/>
  <c r="I47" i="8"/>
  <c r="I47" i="9"/>
  <c r="AF32" i="48"/>
  <c r="AF31" i="48"/>
  <c r="I47" i="12"/>
  <c r="I47" i="13"/>
  <c r="AF28" i="48"/>
  <c r="AF27" i="48"/>
  <c r="AF26" i="48"/>
  <c r="I47" i="19"/>
  <c r="AF23" i="48"/>
  <c r="AF22" i="48"/>
  <c r="I47" i="23"/>
  <c r="I47" i="30"/>
  <c r="AF12" i="48"/>
  <c r="H36" i="48"/>
  <c r="H32" i="48"/>
  <c r="H12" i="48"/>
  <c r="H17" i="48"/>
  <c r="G24" i="48"/>
  <c r="H24" i="48"/>
  <c r="I47" i="22"/>
  <c r="AF25" i="48"/>
  <c r="AF14" i="48"/>
  <c r="AF20" i="48"/>
  <c r="I47" i="20"/>
  <c r="I47" i="14"/>
  <c r="I47" i="10"/>
  <c r="I47" i="11"/>
  <c r="I47" i="7"/>
  <c r="AH11" i="48"/>
  <c r="I47" i="31"/>
  <c r="AB16" i="48"/>
  <c r="H16" i="48"/>
  <c r="H26" i="48"/>
  <c r="D20" i="2" l="1"/>
  <c r="R32" i="48"/>
  <c r="N26" i="45"/>
  <c r="F14" i="45"/>
  <c r="J27" i="45"/>
  <c r="N15" i="45"/>
  <c r="J18" i="45"/>
  <c r="N20" i="45"/>
  <c r="A12" i="48"/>
  <c r="A10" i="45"/>
  <c r="AH10" i="48"/>
  <c r="AH13" i="48"/>
  <c r="AG9" i="48"/>
  <c r="AG10" i="48" s="1"/>
  <c r="AG11" i="48" s="1"/>
  <c r="AG12" i="48" s="1"/>
  <c r="AG13" i="48" s="1"/>
  <c r="AG14" i="48" s="1"/>
  <c r="AG15" i="48" s="1"/>
  <c r="AG16" i="48" s="1"/>
  <c r="AG17" i="48" s="1"/>
  <c r="AG18" i="48" s="1"/>
  <c r="AG19" i="48" s="1"/>
  <c r="AG20" i="48" s="1"/>
  <c r="AG21" i="48" s="1"/>
  <c r="AG22" i="48" s="1"/>
  <c r="AG23" i="48" s="1"/>
  <c r="AG24" i="48" s="1"/>
  <c r="AG25" i="48" s="1"/>
  <c r="AG26" i="48" s="1"/>
  <c r="AG27" i="48" s="1"/>
  <c r="AG28" i="48" s="1"/>
  <c r="AG29" i="48" s="1"/>
  <c r="AG30" i="48" s="1"/>
  <c r="AG31" i="48" s="1"/>
  <c r="AG32" i="48" s="1"/>
  <c r="AG33" i="48" s="1"/>
  <c r="AG34" i="48" s="1"/>
  <c r="AG35" i="48" s="1"/>
  <c r="AG36" i="48" s="1"/>
  <c r="AG37" i="48" s="1"/>
  <c r="AG38" i="48" s="1"/>
  <c r="AH12" i="48"/>
  <c r="N19" i="45"/>
  <c r="F19" i="45"/>
  <c r="J19" i="45"/>
  <c r="I48" i="20"/>
  <c r="AA14" i="57"/>
  <c r="AB14" i="57" s="1"/>
  <c r="N16" i="45"/>
  <c r="N18" i="45"/>
  <c r="J15" i="45"/>
  <c r="D27" i="2"/>
  <c r="D21" i="2"/>
  <c r="F18" i="45"/>
  <c r="D35" i="4"/>
  <c r="D16" i="2"/>
  <c r="D26" i="2"/>
  <c r="D25" i="2" s="1"/>
  <c r="J26" i="25"/>
  <c r="J26" i="24" s="1"/>
  <c r="J26" i="23" s="1"/>
  <c r="J26" i="21" s="1"/>
  <c r="J26" i="22" s="1"/>
  <c r="J26" i="20" s="1"/>
  <c r="J29" i="25"/>
  <c r="J29" i="24" s="1"/>
  <c r="J29" i="23" s="1"/>
  <c r="J29" i="21" s="1"/>
  <c r="J29" i="22" s="1"/>
  <c r="J29" i="20" s="1"/>
  <c r="J28" i="25"/>
  <c r="J28" i="24" s="1"/>
  <c r="J28" i="23" s="1"/>
  <c r="J28" i="21" s="1"/>
  <c r="J28" i="22" s="1"/>
  <c r="J28" i="20" s="1"/>
  <c r="J30" i="25"/>
  <c r="J30" i="24" s="1"/>
  <c r="J30" i="23" s="1"/>
  <c r="J30" i="21" s="1"/>
  <c r="J30" i="22" s="1"/>
  <c r="J30" i="20" s="1"/>
  <c r="J32" i="25"/>
  <c r="J32" i="24" s="1"/>
  <c r="J32" i="23" s="1"/>
  <c r="J25" i="25"/>
  <c r="J25" i="24" s="1"/>
  <c r="D14" i="2"/>
  <c r="D11" i="2"/>
  <c r="D23" i="2"/>
  <c r="D22" i="2" s="1"/>
  <c r="N17" i="45"/>
  <c r="J30" i="45"/>
  <c r="F17" i="45"/>
  <c r="F30" i="45"/>
  <c r="J24" i="23"/>
  <c r="J24" i="21" s="1"/>
  <c r="J24" i="22" s="1"/>
  <c r="J24" i="20" s="1"/>
  <c r="J17" i="45"/>
  <c r="Z14" i="46"/>
  <c r="AA14" i="46" s="1"/>
  <c r="AB14" i="46" s="1"/>
  <c r="D28" i="2"/>
  <c r="J27" i="23"/>
  <c r="J27" i="21" s="1"/>
  <c r="J27" i="22" s="1"/>
  <c r="J27" i="20" s="1"/>
  <c r="N14" i="45"/>
  <c r="J28" i="45"/>
  <c r="J14" i="45"/>
  <c r="F26" i="45"/>
  <c r="D29" i="2"/>
  <c r="N21" i="45"/>
  <c r="J26" i="45"/>
  <c r="F21" i="45"/>
  <c r="J23" i="45"/>
  <c r="F24" i="45"/>
  <c r="F36" i="45"/>
  <c r="J21" i="45"/>
  <c r="N36" i="45"/>
  <c r="F34" i="45"/>
  <c r="F33" i="45"/>
  <c r="N33" i="45"/>
  <c r="D24" i="2"/>
  <c r="D33" i="2"/>
  <c r="J33" i="45"/>
  <c r="N29" i="45"/>
  <c r="J36" i="45"/>
  <c r="D31" i="2"/>
  <c r="N23" i="45"/>
  <c r="N24" i="45"/>
  <c r="D32" i="2"/>
  <c r="J25" i="45"/>
  <c r="D38" i="2"/>
  <c r="J20" i="45"/>
  <c r="F22" i="45"/>
  <c r="F27" i="45"/>
  <c r="J29" i="45"/>
  <c r="J22" i="45"/>
  <c r="F31" i="45"/>
  <c r="D35" i="2"/>
  <c r="N22" i="45"/>
  <c r="J31" i="45"/>
  <c r="E45" i="32"/>
  <c r="F25" i="45"/>
  <c r="N31" i="45"/>
  <c r="D19" i="2"/>
  <c r="N25" i="45"/>
  <c r="F32" i="45"/>
  <c r="D10" i="2"/>
  <c r="F20" i="45"/>
  <c r="N27" i="45"/>
  <c r="J34" i="45"/>
  <c r="N28" i="45"/>
  <c r="J24" i="45"/>
  <c r="N35" i="45"/>
  <c r="F35" i="45"/>
  <c r="N34" i="45"/>
  <c r="F23" i="45"/>
  <c r="F28" i="45"/>
  <c r="M7" i="33"/>
  <c r="M34" i="33" s="1"/>
  <c r="J40" i="33" s="1"/>
  <c r="J48" i="33" s="1"/>
  <c r="N8" i="45"/>
  <c r="F8" i="45"/>
  <c r="J8" i="45"/>
  <c r="D39" i="2" s="1"/>
  <c r="J15" i="25"/>
  <c r="D17" i="2"/>
  <c r="D30" i="2"/>
  <c r="D36" i="2"/>
  <c r="D41" i="1"/>
  <c r="C23" i="45"/>
  <c r="K23" i="45" s="1"/>
  <c r="E24" i="1"/>
  <c r="D37" i="2"/>
  <c r="J16" i="25"/>
  <c r="D18" i="2"/>
  <c r="F16" i="45"/>
  <c r="N30" i="45"/>
  <c r="J35" i="45"/>
  <c r="D15" i="2"/>
  <c r="D40" i="2"/>
  <c r="Q37" i="45"/>
  <c r="J16" i="45"/>
  <c r="JE21" i="1"/>
  <c r="IS21" i="1"/>
  <c r="IG21" i="1"/>
  <c r="HU21" i="1"/>
  <c r="HI21" i="1"/>
  <c r="GW21" i="1"/>
  <c r="GK21" i="1"/>
  <c r="FY21" i="1"/>
  <c r="FM21" i="1"/>
  <c r="FA21" i="1"/>
  <c r="EO21" i="1"/>
  <c r="EC21" i="1"/>
  <c r="DQ21" i="1"/>
  <c r="DE21" i="1"/>
  <c r="CS21" i="1"/>
  <c r="CG21" i="1"/>
  <c r="BU21" i="1"/>
  <c r="BI21" i="1"/>
  <c r="AW21" i="1"/>
  <c r="AK21" i="1"/>
  <c r="Y21" i="1"/>
  <c r="M21" i="1"/>
  <c r="JB21" i="1"/>
  <c r="IA21" i="1"/>
  <c r="GZ21" i="1"/>
  <c r="FJ21" i="1"/>
  <c r="EI21" i="1"/>
  <c r="DH21" i="1"/>
  <c r="BR21" i="1"/>
  <c r="AQ21" i="1"/>
  <c r="P21" i="1"/>
  <c r="IM21" i="1"/>
  <c r="HL21" i="1"/>
  <c r="FV21" i="1"/>
  <c r="EU21" i="1"/>
  <c r="DT21" i="1"/>
  <c r="CD21" i="1"/>
  <c r="BC21" i="1"/>
  <c r="AB21" i="1"/>
  <c r="IY21" i="1"/>
  <c r="HX21" i="1"/>
  <c r="GH21" i="1"/>
  <c r="FG21" i="1"/>
  <c r="EF21" i="1"/>
  <c r="CP21" i="1"/>
  <c r="BO21" i="1"/>
  <c r="AN21" i="1"/>
  <c r="IJ21" i="1"/>
  <c r="GT21" i="1"/>
  <c r="FS21" i="1"/>
  <c r="ER21" i="1"/>
  <c r="DB21" i="1"/>
  <c r="CA21" i="1"/>
  <c r="AZ21" i="1"/>
  <c r="J21" i="1"/>
  <c r="IV21" i="1"/>
  <c r="HF21" i="1"/>
  <c r="GE21" i="1"/>
  <c r="FD21" i="1"/>
  <c r="DN21" i="1"/>
  <c r="CM21" i="1"/>
  <c r="BL21" i="1"/>
  <c r="V21" i="1"/>
  <c r="ID21" i="1"/>
  <c r="HC21" i="1"/>
  <c r="GB21" i="1"/>
  <c r="EL21" i="1"/>
  <c r="DK21" i="1"/>
  <c r="CJ21" i="1"/>
  <c r="AT21" i="1"/>
  <c r="S21" i="1"/>
  <c r="FP21" i="1"/>
  <c r="DZ21" i="1"/>
  <c r="AE21" i="1"/>
  <c r="IP21" i="1"/>
  <c r="G21" i="1"/>
  <c r="JH21" i="1"/>
  <c r="HR21" i="1"/>
  <c r="DW21" i="1"/>
  <c r="CY21" i="1"/>
  <c r="HO21" i="1"/>
  <c r="BX21" i="1"/>
  <c r="AH21" i="1"/>
  <c r="GQ21" i="1"/>
  <c r="EX21" i="1"/>
  <c r="GN21" i="1"/>
  <c r="BF21" i="1"/>
  <c r="CV21" i="1"/>
  <c r="F29" i="45"/>
  <c r="J32" i="45"/>
  <c r="C31" i="45"/>
  <c r="D34" i="2" s="1"/>
  <c r="E32" i="1"/>
  <c r="F15" i="45"/>
  <c r="N32" i="45"/>
  <c r="K34" i="37"/>
  <c r="I40" i="37" s="1"/>
  <c r="I48" i="37" s="1"/>
  <c r="J57" i="21"/>
  <c r="J57" i="22" s="1"/>
  <c r="J57" i="20" s="1"/>
  <c r="J57" i="19" s="1"/>
  <c r="J57" i="18" s="1"/>
  <c r="I40" i="8"/>
  <c r="I74" i="47" s="1"/>
  <c r="K34" i="7"/>
  <c r="K34" i="9"/>
  <c r="I45" i="22"/>
  <c r="K34" i="12"/>
  <c r="K34" i="11"/>
  <c r="J57" i="32"/>
  <c r="J57" i="31" s="1"/>
  <c r="C35" i="13"/>
  <c r="I48" i="22"/>
  <c r="K34" i="16"/>
  <c r="K34" i="13"/>
  <c r="K34" i="14"/>
  <c r="I40" i="17"/>
  <c r="K34" i="15"/>
  <c r="K34" i="19"/>
  <c r="C35" i="4"/>
  <c r="J21" i="23"/>
  <c r="J21" i="21" s="1"/>
  <c r="J21" i="22" s="1"/>
  <c r="J21" i="20" s="1"/>
  <c r="J9" i="23"/>
  <c r="J9" i="21" s="1"/>
  <c r="J9" i="22" s="1"/>
  <c r="J9" i="20" s="1"/>
  <c r="J11" i="23"/>
  <c r="J11" i="21" s="1"/>
  <c r="J11" i="22" s="1"/>
  <c r="J11" i="20" s="1"/>
  <c r="J19" i="23"/>
  <c r="J19" i="21" s="1"/>
  <c r="J19" i="22" s="1"/>
  <c r="J19" i="20" s="1"/>
  <c r="J20" i="23"/>
  <c r="J20" i="21" s="1"/>
  <c r="J20" i="22" s="1"/>
  <c r="J20" i="20" s="1"/>
  <c r="J14" i="23"/>
  <c r="J14" i="21" s="1"/>
  <c r="J14" i="22" s="1"/>
  <c r="J14" i="20" s="1"/>
  <c r="J23" i="23"/>
  <c r="J23" i="21" s="1"/>
  <c r="J23" i="22" s="1"/>
  <c r="J23" i="20" s="1"/>
  <c r="J22" i="23"/>
  <c r="J22" i="21" s="1"/>
  <c r="J22" i="22" s="1"/>
  <c r="J22" i="20" s="1"/>
  <c r="J31" i="23"/>
  <c r="J31" i="21" s="1"/>
  <c r="J31" i="22" s="1"/>
  <c r="J31" i="20" s="1"/>
  <c r="M9" i="25"/>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J12" i="23"/>
  <c r="J12" i="22" s="1"/>
  <c r="J12" i="20" s="1"/>
  <c r="J10" i="23"/>
  <c r="J10" i="21" s="1"/>
  <c r="J10" i="22" s="1"/>
  <c r="J10" i="20" s="1"/>
  <c r="J17" i="23"/>
  <c r="J17" i="21" s="1"/>
  <c r="J17" i="22" s="1"/>
  <c r="J17" i="20" s="1"/>
  <c r="I40" i="21"/>
  <c r="R20" i="48" s="1"/>
  <c r="E20" i="1" s="1"/>
  <c r="J13" i="23"/>
  <c r="J13" i="21" s="1"/>
  <c r="J13" i="22" s="1"/>
  <c r="J13" i="20" s="1"/>
  <c r="K34" i="23"/>
  <c r="J18" i="23"/>
  <c r="J18" i="21" s="1"/>
  <c r="J18" i="22" s="1"/>
  <c r="J18" i="20" s="1"/>
  <c r="J8" i="23"/>
  <c r="J8" i="21" s="1"/>
  <c r="J8" i="22" s="1"/>
  <c r="J8" i="20" s="1"/>
  <c r="BC21" i="48"/>
  <c r="C20" i="45"/>
  <c r="K34" i="24"/>
  <c r="E35" i="4"/>
  <c r="K34" i="25"/>
  <c r="K34" i="26"/>
  <c r="C35" i="25"/>
  <c r="K34" i="28"/>
  <c r="D40" i="31"/>
  <c r="D40" i="30" s="1"/>
  <c r="K34" i="29"/>
  <c r="K34" i="30"/>
  <c r="E35" i="37"/>
  <c r="BC24" i="48"/>
  <c r="BC32" i="48"/>
  <c r="C35" i="37"/>
  <c r="D35" i="37"/>
  <c r="I51" i="43"/>
  <c r="I45" i="43"/>
  <c r="I48" i="43"/>
  <c r="I32" i="48"/>
  <c r="I51" i="6"/>
  <c r="I45" i="6"/>
  <c r="R36" i="48"/>
  <c r="E36" i="1" s="1"/>
  <c r="F38" i="45"/>
  <c r="J38" i="45"/>
  <c r="N38" i="45"/>
  <c r="J37" i="45"/>
  <c r="N37" i="45"/>
  <c r="F37" i="45"/>
  <c r="B40" i="45"/>
  <c r="J32" i="48"/>
  <c r="AD32" i="48"/>
  <c r="J56" i="33"/>
  <c r="J56" i="32" s="1"/>
  <c r="J56" i="31" s="1"/>
  <c r="E35" i="33"/>
  <c r="D35" i="13"/>
  <c r="C35" i="32"/>
  <c r="E35" i="28"/>
  <c r="M10" i="21"/>
  <c r="M10" i="22" s="1"/>
  <c r="M10" i="20" s="1"/>
  <c r="M10" i="19" s="1"/>
  <c r="M10" i="18" s="1"/>
  <c r="M10" i="17" s="1"/>
  <c r="M10" i="16" s="1"/>
  <c r="M10" i="15" s="1"/>
  <c r="M10" i="14" s="1"/>
  <c r="M10" i="13" s="1"/>
  <c r="M10" i="12" s="1"/>
  <c r="M10" i="11" s="1"/>
  <c r="M10" i="10" s="1"/>
  <c r="M10" i="9" s="1"/>
  <c r="M10" i="8" s="1"/>
  <c r="M10" i="7" s="1"/>
  <c r="M10" i="6" s="1"/>
  <c r="M10" i="37" s="1"/>
  <c r="M10" i="4" s="1"/>
  <c r="M10" i="43" s="1"/>
  <c r="F33" i="48"/>
  <c r="F27" i="48"/>
  <c r="AJ24" i="48"/>
  <c r="I45" i="18"/>
  <c r="I48" i="18"/>
  <c r="AD24" i="48"/>
  <c r="I24" i="48"/>
  <c r="AD21" i="48"/>
  <c r="D35" i="25"/>
  <c r="E35" i="25"/>
  <c r="J46" i="31"/>
  <c r="J47" i="31" s="1"/>
  <c r="E35" i="32"/>
  <c r="J38" i="30"/>
  <c r="J38" i="29" s="1"/>
  <c r="J38" i="27" s="1"/>
  <c r="J38" i="28" s="1"/>
  <c r="J38" i="26" s="1"/>
  <c r="J38" i="25" s="1"/>
  <c r="J38" i="24" s="1"/>
  <c r="J38" i="23" s="1"/>
  <c r="J38" i="21" s="1"/>
  <c r="J38" i="22" s="1"/>
  <c r="J38" i="20" s="1"/>
  <c r="J38" i="19" s="1"/>
  <c r="J38" i="18" s="1"/>
  <c r="J38" i="17" s="1"/>
  <c r="J38" i="16" s="1"/>
  <c r="J38" i="15" s="1"/>
  <c r="J38" i="14" s="1"/>
  <c r="J38" i="13" s="1"/>
  <c r="J38" i="12" s="1"/>
  <c r="J38" i="11" s="1"/>
  <c r="J38" i="10" s="1"/>
  <c r="J38" i="9" s="1"/>
  <c r="J38" i="8" s="1"/>
  <c r="J38" i="7" s="1"/>
  <c r="J38" i="6" s="1"/>
  <c r="J38" i="37" s="1"/>
  <c r="J38" i="4" s="1"/>
  <c r="J38" i="43" s="1"/>
  <c r="D47" i="31"/>
  <c r="D47" i="30" s="1"/>
  <c r="D47" i="29" s="1"/>
  <c r="D45" i="31"/>
  <c r="D45" i="30" s="1"/>
  <c r="E45" i="30" s="1"/>
  <c r="E49" i="32"/>
  <c r="D35" i="32"/>
  <c r="M8" i="32"/>
  <c r="C35" i="33"/>
  <c r="E51" i="32"/>
  <c r="D39" i="31"/>
  <c r="D39" i="30" s="1"/>
  <c r="E39" i="30" s="1"/>
  <c r="E40" i="32"/>
  <c r="D41" i="31"/>
  <c r="E41" i="31" s="1"/>
  <c r="D44" i="31"/>
  <c r="D44" i="30" s="1"/>
  <c r="D44" i="29" s="1"/>
  <c r="D49" i="30"/>
  <c r="D49" i="29" s="1"/>
  <c r="AB41" i="48"/>
  <c r="E43" i="32"/>
  <c r="D35" i="33"/>
  <c r="E43" i="31"/>
  <c r="D43" i="30"/>
  <c r="D43" i="29" s="1"/>
  <c r="E43" i="29" s="1"/>
  <c r="F24" i="48"/>
  <c r="F22" i="48"/>
  <c r="F21" i="48"/>
  <c r="R22" i="48"/>
  <c r="E22" i="1" s="1"/>
  <c r="D35" i="28"/>
  <c r="C35" i="29"/>
  <c r="D35" i="29"/>
  <c r="I45" i="20"/>
  <c r="C35" i="28"/>
  <c r="I21" i="48"/>
  <c r="AJ21" i="48"/>
  <c r="J21" i="48"/>
  <c r="E35" i="29"/>
  <c r="F20" i="48"/>
  <c r="D35" i="43"/>
  <c r="C35" i="43"/>
  <c r="I51" i="4"/>
  <c r="R38" i="48"/>
  <c r="E38" i="1" s="1"/>
  <c r="E35" i="43"/>
  <c r="E35" i="13"/>
  <c r="I45" i="4"/>
  <c r="J44" i="32"/>
  <c r="J43" i="31"/>
  <c r="F16" i="48"/>
  <c r="D48" i="31"/>
  <c r="E48" i="31" s="1"/>
  <c r="D52" i="32"/>
  <c r="D38" i="31"/>
  <c r="D38" i="30" s="1"/>
  <c r="E50" i="32"/>
  <c r="D50" i="31"/>
  <c r="E52" i="33"/>
  <c r="E53" i="33" s="1"/>
  <c r="D42" i="31"/>
  <c r="E42" i="32"/>
  <c r="D46" i="31"/>
  <c r="E46" i="32"/>
  <c r="E51" i="31"/>
  <c r="D51" i="30"/>
  <c r="A12" i="2"/>
  <c r="F38" i="48"/>
  <c r="F34" i="48"/>
  <c r="F19" i="48"/>
  <c r="F14" i="48"/>
  <c r="F10" i="48"/>
  <c r="J39" i="33"/>
  <c r="J37" i="32"/>
  <c r="F31" i="48"/>
  <c r="F37" i="48"/>
  <c r="F26" i="48"/>
  <c r="F11" i="48"/>
  <c r="F9" i="48"/>
  <c r="AH14" i="48"/>
  <c r="AF41" i="48"/>
  <c r="AH26" i="48"/>
  <c r="AJ32" i="48"/>
  <c r="AH32" i="48"/>
  <c r="AH35" i="48"/>
  <c r="Q11" i="48"/>
  <c r="AC10" i="48"/>
  <c r="AH20" i="48"/>
  <c r="AH25" i="48"/>
  <c r="AH22" i="48"/>
  <c r="AH27" i="48"/>
  <c r="AH28" i="48"/>
  <c r="AH31" i="48"/>
  <c r="AH37" i="48"/>
  <c r="AH23" i="48"/>
  <c r="AH38" i="48"/>
  <c r="A13" i="48" l="1"/>
  <c r="A11" i="45"/>
  <c r="I48" i="17"/>
  <c r="G23" i="45"/>
  <c r="J16" i="24"/>
  <c r="J16" i="23" s="1"/>
  <c r="J16" i="21" s="1"/>
  <c r="J16" i="22" s="1"/>
  <c r="J16" i="20" s="1"/>
  <c r="J16" i="19" s="1"/>
  <c r="J16" i="18" s="1"/>
  <c r="J16" i="17" s="1"/>
  <c r="J15" i="24"/>
  <c r="J15" i="23" s="1"/>
  <c r="J15" i="21" s="1"/>
  <c r="J15" i="22" s="1"/>
  <c r="J15" i="20" s="1"/>
  <c r="J15" i="19" s="1"/>
  <c r="J15" i="18" s="1"/>
  <c r="J15" i="17" s="1"/>
  <c r="J25" i="23"/>
  <c r="J25" i="21" s="1"/>
  <c r="J25" i="22" s="1"/>
  <c r="J25" i="20" s="1"/>
  <c r="J25" i="19" s="1"/>
  <c r="J25" i="18" s="1"/>
  <c r="J25" i="17" s="1"/>
  <c r="K31" i="45"/>
  <c r="K34" i="33"/>
  <c r="R23" i="45"/>
  <c r="O23" i="45"/>
  <c r="D42" i="2"/>
  <c r="O31" i="45"/>
  <c r="I45" i="37"/>
  <c r="R37" i="48"/>
  <c r="E37" i="1" s="1"/>
  <c r="HX32" i="1"/>
  <c r="DN32" i="1"/>
  <c r="CV32" i="1"/>
  <c r="CD32" i="1"/>
  <c r="ID32" i="1"/>
  <c r="HL32" i="1"/>
  <c r="GT32" i="1"/>
  <c r="AT32" i="1"/>
  <c r="AB32" i="1"/>
  <c r="J32" i="1"/>
  <c r="FJ32" i="1"/>
  <c r="ER32" i="1"/>
  <c r="DZ32" i="1"/>
  <c r="IP32" i="1"/>
  <c r="CP32" i="1"/>
  <c r="BX32" i="1"/>
  <c r="BF32" i="1"/>
  <c r="IS32" i="1"/>
  <c r="HF32" i="1"/>
  <c r="GN32" i="1"/>
  <c r="FV32" i="1"/>
  <c r="V32" i="1"/>
  <c r="JB32" i="1"/>
  <c r="IJ32" i="1"/>
  <c r="HR32" i="1"/>
  <c r="BR32" i="1"/>
  <c r="AZ32" i="1"/>
  <c r="AH32" i="1"/>
  <c r="DT32" i="1"/>
  <c r="EL32" i="1"/>
  <c r="EX32" i="1"/>
  <c r="FP32" i="1"/>
  <c r="DB32" i="1"/>
  <c r="GH32" i="1"/>
  <c r="DH32" i="1"/>
  <c r="FD32" i="1"/>
  <c r="GZ32" i="1"/>
  <c r="AW32" i="1"/>
  <c r="EO32" i="1"/>
  <c r="IG32" i="1"/>
  <c r="BC32" i="1"/>
  <c r="EU32" i="1"/>
  <c r="IM32" i="1"/>
  <c r="IV32" i="1"/>
  <c r="AN32" i="1"/>
  <c r="CJ32" i="1"/>
  <c r="P32" i="1"/>
  <c r="GB32" i="1"/>
  <c r="BU32" i="1"/>
  <c r="FY32" i="1"/>
  <c r="JE32" i="1"/>
  <c r="AQ32" i="1"/>
  <c r="FG32" i="1"/>
  <c r="CG32" i="1"/>
  <c r="GK32" i="1"/>
  <c r="BO32" i="1"/>
  <c r="FS32" i="1"/>
  <c r="CS32" i="1"/>
  <c r="GW32" i="1"/>
  <c r="CA32" i="1"/>
  <c r="GE32" i="1"/>
  <c r="DE32" i="1"/>
  <c r="HI32" i="1"/>
  <c r="CM32" i="1"/>
  <c r="GQ32" i="1"/>
  <c r="EF32" i="1"/>
  <c r="M32" i="1"/>
  <c r="DQ32" i="1"/>
  <c r="HU32" i="1"/>
  <c r="CY32" i="1"/>
  <c r="HC32" i="1"/>
  <c r="BI32" i="1"/>
  <c r="S32" i="1"/>
  <c r="EC32" i="1"/>
  <c r="AE32" i="1"/>
  <c r="FA32" i="1"/>
  <c r="DK32" i="1"/>
  <c r="FM32" i="1"/>
  <c r="DW32" i="1"/>
  <c r="EI32" i="1"/>
  <c r="BL32" i="1"/>
  <c r="Y32" i="1"/>
  <c r="JH32" i="1"/>
  <c r="IA32" i="1"/>
  <c r="AK32" i="1"/>
  <c r="G32" i="1"/>
  <c r="IY32" i="1"/>
  <c r="HO32" i="1"/>
  <c r="HU24" i="1"/>
  <c r="GT24" i="1"/>
  <c r="FS24" i="1"/>
  <c r="EC24" i="1"/>
  <c r="DB24" i="1"/>
  <c r="CA24" i="1"/>
  <c r="IG24" i="1"/>
  <c r="HF24" i="1"/>
  <c r="GE24" i="1"/>
  <c r="EO24" i="1"/>
  <c r="DN24" i="1"/>
  <c r="CM24" i="1"/>
  <c r="AW24" i="1"/>
  <c r="AK24" i="1"/>
  <c r="Y24" i="1"/>
  <c r="M24" i="1"/>
  <c r="IS24" i="1"/>
  <c r="HR24" i="1"/>
  <c r="GQ24" i="1"/>
  <c r="FA24" i="1"/>
  <c r="DZ24" i="1"/>
  <c r="CY24" i="1"/>
  <c r="BI24" i="1"/>
  <c r="JE24" i="1"/>
  <c r="ID24" i="1"/>
  <c r="HC24" i="1"/>
  <c r="FM24" i="1"/>
  <c r="EL24" i="1"/>
  <c r="DK24" i="1"/>
  <c r="BU24" i="1"/>
  <c r="AT24" i="1"/>
  <c r="AH24" i="1"/>
  <c r="V24" i="1"/>
  <c r="J24" i="1"/>
  <c r="IP24" i="1"/>
  <c r="HO24" i="1"/>
  <c r="FY24" i="1"/>
  <c r="EX24" i="1"/>
  <c r="DW24" i="1"/>
  <c r="CG24" i="1"/>
  <c r="BF24" i="1"/>
  <c r="JB24" i="1"/>
  <c r="IA24" i="1"/>
  <c r="GK24" i="1"/>
  <c r="FJ24" i="1"/>
  <c r="EI24" i="1"/>
  <c r="CS24" i="1"/>
  <c r="BR24" i="1"/>
  <c r="AQ24" i="1"/>
  <c r="AE24" i="1"/>
  <c r="S24" i="1"/>
  <c r="G24" i="1"/>
  <c r="BO24" i="1"/>
  <c r="AB24" i="1"/>
  <c r="IM24" i="1"/>
  <c r="GW24" i="1"/>
  <c r="JH24" i="1"/>
  <c r="FG24" i="1"/>
  <c r="DQ24" i="1"/>
  <c r="CD24" i="1"/>
  <c r="AN24" i="1"/>
  <c r="IY24" i="1"/>
  <c r="HI24" i="1"/>
  <c r="FV24" i="1"/>
  <c r="EU24" i="1"/>
  <c r="P24" i="1"/>
  <c r="GH24" i="1"/>
  <c r="BC24" i="1"/>
  <c r="DE24" i="1"/>
  <c r="CP24" i="1"/>
  <c r="AZ24" i="1"/>
  <c r="ER24" i="1"/>
  <c r="IJ24" i="1"/>
  <c r="BL24" i="1"/>
  <c r="FD24" i="1"/>
  <c r="IV24" i="1"/>
  <c r="CJ24" i="1"/>
  <c r="GB24" i="1"/>
  <c r="CV24" i="1"/>
  <c r="HX24" i="1"/>
  <c r="DH24" i="1"/>
  <c r="DT24" i="1"/>
  <c r="EF24" i="1"/>
  <c r="FP24" i="1"/>
  <c r="GZ24" i="1"/>
  <c r="BX24" i="1"/>
  <c r="HL24" i="1"/>
  <c r="GN24" i="1"/>
  <c r="I51" i="37"/>
  <c r="G38" i="1"/>
  <c r="JB38" i="1"/>
  <c r="AW38" i="1"/>
  <c r="EO38" i="1"/>
  <c r="IG38" i="1"/>
  <c r="CJ38" i="1"/>
  <c r="GB38" i="1"/>
  <c r="CM38" i="1"/>
  <c r="GE38" i="1"/>
  <c r="BR38" i="1"/>
  <c r="FJ38" i="1"/>
  <c r="BU38" i="1"/>
  <c r="FM38" i="1"/>
  <c r="JE38" i="1"/>
  <c r="CG38" i="1"/>
  <c r="FY38" i="1"/>
  <c r="AB38" i="1"/>
  <c r="DT38" i="1"/>
  <c r="HL38" i="1"/>
  <c r="AK38" i="1"/>
  <c r="GW38" i="1"/>
  <c r="CV38" i="1"/>
  <c r="HX38" i="1"/>
  <c r="DK38" i="1"/>
  <c r="HO38" i="1"/>
  <c r="AT38" i="1"/>
  <c r="EX38" i="1"/>
  <c r="BI38" i="1"/>
  <c r="HI38" i="1"/>
  <c r="DH38" i="1"/>
  <c r="IJ38" i="1"/>
  <c r="S38" i="1"/>
  <c r="DW38" i="1"/>
  <c r="IA38" i="1"/>
  <c r="BF38" i="1"/>
  <c r="FV38" i="1"/>
  <c r="GH38" i="1"/>
  <c r="CS38" i="1"/>
  <c r="HU38" i="1"/>
  <c r="EF38" i="1"/>
  <c r="IV38" i="1"/>
  <c r="AE38" i="1"/>
  <c r="EI38" i="1"/>
  <c r="IM38" i="1"/>
  <c r="CD38" i="1"/>
  <c r="DE38" i="1"/>
  <c r="IS38" i="1"/>
  <c r="P38" i="1"/>
  <c r="ER38" i="1"/>
  <c r="EU38" i="1"/>
  <c r="CP38" i="1"/>
  <c r="GT38" i="1"/>
  <c r="JH38" i="1"/>
  <c r="AQ38" i="1"/>
  <c r="IY38" i="1"/>
  <c r="DQ38" i="1"/>
  <c r="AN38" i="1"/>
  <c r="FD38" i="1"/>
  <c r="BC38" i="1"/>
  <c r="FG38" i="1"/>
  <c r="DB38" i="1"/>
  <c r="HF38" i="1"/>
  <c r="M38" i="1"/>
  <c r="FA38" i="1"/>
  <c r="BL38" i="1"/>
  <c r="GN38" i="1"/>
  <c r="CA38" i="1"/>
  <c r="GQ38" i="1"/>
  <c r="V38" i="1"/>
  <c r="DZ38" i="1"/>
  <c r="ID38" i="1"/>
  <c r="Y38" i="1"/>
  <c r="GK38" i="1"/>
  <c r="BX38" i="1"/>
  <c r="GZ38" i="1"/>
  <c r="CY38" i="1"/>
  <c r="HC38" i="1"/>
  <c r="FP38" i="1"/>
  <c r="FS38" i="1"/>
  <c r="HR38" i="1"/>
  <c r="IP38" i="1"/>
  <c r="EC38" i="1"/>
  <c r="BO38" i="1"/>
  <c r="AZ38" i="1"/>
  <c r="J38" i="1"/>
  <c r="AH38" i="1"/>
  <c r="EL38" i="1"/>
  <c r="DN38" i="1"/>
  <c r="JH22" i="1"/>
  <c r="IV22" i="1"/>
  <c r="IJ22" i="1"/>
  <c r="HX22" i="1"/>
  <c r="HL22" i="1"/>
  <c r="GZ22" i="1"/>
  <c r="GN22" i="1"/>
  <c r="GB22" i="1"/>
  <c r="FP22" i="1"/>
  <c r="FD22" i="1"/>
  <c r="ER22" i="1"/>
  <c r="EF22" i="1"/>
  <c r="DT22" i="1"/>
  <c r="DH22" i="1"/>
  <c r="CV22" i="1"/>
  <c r="CJ22" i="1"/>
  <c r="BX22" i="1"/>
  <c r="BL22" i="1"/>
  <c r="AZ22" i="1"/>
  <c r="AN22" i="1"/>
  <c r="AB22" i="1"/>
  <c r="P22"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V22" i="1"/>
  <c r="J22" i="1"/>
  <c r="FS22" i="1"/>
  <c r="CA22" i="1"/>
  <c r="HC22" i="1"/>
  <c r="DK22" i="1"/>
  <c r="S22" i="1"/>
  <c r="IM22" i="1"/>
  <c r="EU22" i="1"/>
  <c r="BC22" i="1"/>
  <c r="GE22" i="1"/>
  <c r="CM22" i="1"/>
  <c r="HO22" i="1"/>
  <c r="DW22" i="1"/>
  <c r="AE22" i="1"/>
  <c r="GQ22" i="1"/>
  <c r="CY22" i="1"/>
  <c r="G22" i="1"/>
  <c r="IY22" i="1"/>
  <c r="IA22" i="1"/>
  <c r="FG22" i="1"/>
  <c r="BO22" i="1"/>
  <c r="EI22" i="1"/>
  <c r="AQ22" i="1"/>
  <c r="IY20" i="1"/>
  <c r="IM20" i="1"/>
  <c r="IA20" i="1"/>
  <c r="HO20" i="1"/>
  <c r="HC20" i="1"/>
  <c r="GQ20" i="1"/>
  <c r="GE20" i="1"/>
  <c r="FS20" i="1"/>
  <c r="FG20" i="1"/>
  <c r="EU20" i="1"/>
  <c r="EI20" i="1"/>
  <c r="DW20" i="1"/>
  <c r="DK20" i="1"/>
  <c r="CY20" i="1"/>
  <c r="CM20" i="1"/>
  <c r="CA20" i="1"/>
  <c r="BO20" i="1"/>
  <c r="BC20" i="1"/>
  <c r="AQ20" i="1"/>
  <c r="AE20" i="1"/>
  <c r="S20" i="1"/>
  <c r="G20" i="1"/>
  <c r="JH20" i="1"/>
  <c r="IV20" i="1"/>
  <c r="IJ20" i="1"/>
  <c r="HX20" i="1"/>
  <c r="HL20" i="1"/>
  <c r="GZ20" i="1"/>
  <c r="GN20" i="1"/>
  <c r="GB20" i="1"/>
  <c r="FP20" i="1"/>
  <c r="FD20" i="1"/>
  <c r="ER20" i="1"/>
  <c r="EF20" i="1"/>
  <c r="DT20" i="1"/>
  <c r="DH20" i="1"/>
  <c r="JE20" i="1"/>
  <c r="IS20" i="1"/>
  <c r="IG20" i="1"/>
  <c r="HU20" i="1"/>
  <c r="HI20" i="1"/>
  <c r="GW20" i="1"/>
  <c r="GK20" i="1"/>
  <c r="FY20" i="1"/>
  <c r="FM20" i="1"/>
  <c r="FA20" i="1"/>
  <c r="EO20" i="1"/>
  <c r="EC20" i="1"/>
  <c r="DQ20" i="1"/>
  <c r="DE20" i="1"/>
  <c r="ID20" i="1"/>
  <c r="EL20" i="1"/>
  <c r="BX20" i="1"/>
  <c r="AW20" i="1"/>
  <c r="V20" i="1"/>
  <c r="FV20" i="1"/>
  <c r="CJ20" i="1"/>
  <c r="BI20" i="1"/>
  <c r="AH20" i="1"/>
  <c r="HF20" i="1"/>
  <c r="DN20" i="1"/>
  <c r="CV20" i="1"/>
  <c r="BU20" i="1"/>
  <c r="AT20" i="1"/>
  <c r="IP20" i="1"/>
  <c r="EX20" i="1"/>
  <c r="CG20" i="1"/>
  <c r="BF20" i="1"/>
  <c r="P20" i="1"/>
  <c r="GH20" i="1"/>
  <c r="CS20" i="1"/>
  <c r="BR20" i="1"/>
  <c r="AB20" i="1"/>
  <c r="JB20" i="1"/>
  <c r="FJ20" i="1"/>
  <c r="CP20" i="1"/>
  <c r="AZ20" i="1"/>
  <c r="Y20" i="1"/>
  <c r="DZ20" i="1"/>
  <c r="DB20" i="1"/>
  <c r="BL20" i="1"/>
  <c r="CD20" i="1"/>
  <c r="AN20" i="1"/>
  <c r="AK20" i="1"/>
  <c r="HR20" i="1"/>
  <c r="GT20" i="1"/>
  <c r="M20" i="1"/>
  <c r="J20" i="1"/>
  <c r="R31" i="45"/>
  <c r="GT36" i="1"/>
  <c r="AT36" i="1"/>
  <c r="AE36" i="1"/>
  <c r="HR36" i="1"/>
  <c r="FJ36" i="1"/>
  <c r="EL36" i="1"/>
  <c r="CD36" i="1"/>
  <c r="AQ36" i="1"/>
  <c r="JB36" i="1"/>
  <c r="Y36" i="1"/>
  <c r="J36" i="1"/>
  <c r="ID36" i="1"/>
  <c r="FV36" i="1"/>
  <c r="DN36" i="1"/>
  <c r="HF36" i="1"/>
  <c r="CP36" i="1"/>
  <c r="BR36" i="1"/>
  <c r="IY36" i="1"/>
  <c r="DZ36" i="1"/>
  <c r="V36" i="1"/>
  <c r="GH36" i="1"/>
  <c r="AK36" i="1"/>
  <c r="S36" i="1"/>
  <c r="BF36" i="1"/>
  <c r="G36" i="1"/>
  <c r="EX36" i="1"/>
  <c r="AH36" i="1"/>
  <c r="IP36" i="1"/>
  <c r="DB36" i="1"/>
  <c r="DE36" i="1"/>
  <c r="GW36" i="1"/>
  <c r="CV36" i="1"/>
  <c r="GN36" i="1"/>
  <c r="M36" i="1"/>
  <c r="DQ36" i="1"/>
  <c r="HI36" i="1"/>
  <c r="P36" i="1"/>
  <c r="DH36" i="1"/>
  <c r="GZ36" i="1"/>
  <c r="BO36" i="1"/>
  <c r="FG36" i="1"/>
  <c r="EC36" i="1"/>
  <c r="HU36" i="1"/>
  <c r="DT36" i="1"/>
  <c r="HL36" i="1"/>
  <c r="AW36" i="1"/>
  <c r="EO36" i="1"/>
  <c r="IG36" i="1"/>
  <c r="AN36" i="1"/>
  <c r="EF36" i="1"/>
  <c r="HX36" i="1"/>
  <c r="CM36" i="1"/>
  <c r="GE36" i="1"/>
  <c r="BI36" i="1"/>
  <c r="FA36" i="1"/>
  <c r="IS36" i="1"/>
  <c r="AZ36" i="1"/>
  <c r="ER36" i="1"/>
  <c r="IJ36" i="1"/>
  <c r="CY36" i="1"/>
  <c r="GQ36" i="1"/>
  <c r="BU36" i="1"/>
  <c r="IV36" i="1"/>
  <c r="FS36" i="1"/>
  <c r="CG36" i="1"/>
  <c r="AB36" i="1"/>
  <c r="JH36" i="1"/>
  <c r="HC36" i="1"/>
  <c r="CS36" i="1"/>
  <c r="BL36" i="1"/>
  <c r="BC36" i="1"/>
  <c r="HO36" i="1"/>
  <c r="FM36" i="1"/>
  <c r="BX36" i="1"/>
  <c r="CA36" i="1"/>
  <c r="IA36" i="1"/>
  <c r="FY36" i="1"/>
  <c r="CJ36" i="1"/>
  <c r="DK36" i="1"/>
  <c r="IM36" i="1"/>
  <c r="JE36" i="1"/>
  <c r="FP36" i="1"/>
  <c r="EI36" i="1"/>
  <c r="GB36" i="1"/>
  <c r="EU36" i="1"/>
  <c r="FD36" i="1"/>
  <c r="GK36" i="1"/>
  <c r="DW36" i="1"/>
  <c r="E39" i="1"/>
  <c r="G31" i="45"/>
  <c r="I40" i="9"/>
  <c r="I48" i="9" s="1"/>
  <c r="R34" i="48"/>
  <c r="E34" i="1" s="1"/>
  <c r="I45" i="8"/>
  <c r="I48" i="8"/>
  <c r="I40" i="7"/>
  <c r="BC36" i="48"/>
  <c r="C35" i="45"/>
  <c r="E40" i="31"/>
  <c r="I45" i="17"/>
  <c r="I48" i="21"/>
  <c r="R25" i="48"/>
  <c r="AD25" i="48" s="1"/>
  <c r="I45" i="21"/>
  <c r="I40" i="13"/>
  <c r="I40" i="12"/>
  <c r="I40" i="11"/>
  <c r="I40" i="19"/>
  <c r="I40" i="16"/>
  <c r="I40" i="15"/>
  <c r="I40" i="14"/>
  <c r="J17" i="19"/>
  <c r="J17" i="18" s="1"/>
  <c r="J17" i="17" s="1"/>
  <c r="J29" i="19"/>
  <c r="J29" i="18" s="1"/>
  <c r="J29" i="17" s="1"/>
  <c r="J30" i="19"/>
  <c r="J30" i="18" s="1"/>
  <c r="J30" i="17" s="1"/>
  <c r="J18" i="19"/>
  <c r="J18" i="18" s="1"/>
  <c r="J18" i="17" s="1"/>
  <c r="J14" i="19"/>
  <c r="J14" i="18" s="1"/>
  <c r="J14" i="17" s="1"/>
  <c r="J28" i="19"/>
  <c r="J28" i="18" s="1"/>
  <c r="J28" i="17" s="1"/>
  <c r="J27" i="19"/>
  <c r="J27" i="18" s="1"/>
  <c r="J27" i="17" s="1"/>
  <c r="J20" i="19"/>
  <c r="J20" i="18" s="1"/>
  <c r="J20" i="17" s="1"/>
  <c r="J9" i="19"/>
  <c r="J9" i="18" s="1"/>
  <c r="J9" i="17" s="1"/>
  <c r="J26" i="19"/>
  <c r="J26" i="18" s="1"/>
  <c r="J26" i="17" s="1"/>
  <c r="J19" i="19"/>
  <c r="J19" i="18" s="1"/>
  <c r="J19" i="17" s="1"/>
  <c r="J21" i="19"/>
  <c r="J21" i="18" s="1"/>
  <c r="J21" i="17" s="1"/>
  <c r="J23" i="19"/>
  <c r="J23" i="18" s="1"/>
  <c r="J23" i="17" s="1"/>
  <c r="J10" i="19"/>
  <c r="J10" i="18" s="1"/>
  <c r="J10" i="17" s="1"/>
  <c r="J11" i="19"/>
  <c r="J11" i="18" s="1"/>
  <c r="J11" i="17" s="1"/>
  <c r="K57" i="33"/>
  <c r="J45" i="33"/>
  <c r="J13" i="19"/>
  <c r="J13" i="18" s="1"/>
  <c r="J13" i="17" s="1"/>
  <c r="J24" i="19"/>
  <c r="J24" i="18" s="1"/>
  <c r="J24" i="17" s="1"/>
  <c r="J8" i="19"/>
  <c r="J8" i="18" s="1"/>
  <c r="J8" i="17" s="1"/>
  <c r="J31" i="19"/>
  <c r="J31" i="18" s="1"/>
  <c r="J31" i="17" s="1"/>
  <c r="J12" i="19"/>
  <c r="J12" i="18" s="1"/>
  <c r="J12" i="17" s="1"/>
  <c r="J41" i="33"/>
  <c r="J22" i="19"/>
  <c r="J22" i="18" s="1"/>
  <c r="J22" i="17" s="1"/>
  <c r="I40" i="24"/>
  <c r="R18" i="48" s="1"/>
  <c r="C17" i="45" s="1"/>
  <c r="I40" i="23"/>
  <c r="I40" i="25"/>
  <c r="K56" i="33"/>
  <c r="BC20" i="48"/>
  <c r="C19" i="45"/>
  <c r="BC22" i="48"/>
  <c r="C21" i="45"/>
  <c r="K20" i="45"/>
  <c r="O20" i="45"/>
  <c r="G20" i="45"/>
  <c r="R20" i="45"/>
  <c r="AD20" i="48"/>
  <c r="I40" i="26"/>
  <c r="K34" i="27"/>
  <c r="I40" i="28"/>
  <c r="I40" i="29"/>
  <c r="I40" i="30"/>
  <c r="K34" i="31"/>
  <c r="E25" i="2"/>
  <c r="BM25" i="2" s="1"/>
  <c r="E33" i="2"/>
  <c r="BM33" i="2" s="1"/>
  <c r="AJ38" i="48"/>
  <c r="BC38" i="48"/>
  <c r="C38" i="45"/>
  <c r="M7" i="32"/>
  <c r="M7" i="31" s="1"/>
  <c r="M7" i="30" s="1"/>
  <c r="M7" i="29" s="1"/>
  <c r="M7" i="27" s="1"/>
  <c r="D53" i="32"/>
  <c r="J46" i="30"/>
  <c r="J46" i="29" s="1"/>
  <c r="K34" i="32"/>
  <c r="J40" i="45"/>
  <c r="N40" i="45"/>
  <c r="F40" i="45"/>
  <c r="Q40" i="45"/>
  <c r="AJ20" i="48"/>
  <c r="I36" i="48"/>
  <c r="AD36" i="48"/>
  <c r="AJ36" i="48"/>
  <c r="J36" i="48"/>
  <c r="X36" i="48"/>
  <c r="C37" i="45"/>
  <c r="E22" i="2"/>
  <c r="BM22" i="2" s="1"/>
  <c r="AJ22" i="48"/>
  <c r="I49" i="33"/>
  <c r="J20" i="48"/>
  <c r="I20" i="48"/>
  <c r="E45" i="31"/>
  <c r="D45" i="29"/>
  <c r="D45" i="27" s="1"/>
  <c r="E45" i="27" s="1"/>
  <c r="E47" i="31"/>
  <c r="E47" i="30"/>
  <c r="D39" i="29"/>
  <c r="D39" i="27" s="1"/>
  <c r="E39" i="27" s="1"/>
  <c r="M8" i="31"/>
  <c r="E39" i="31"/>
  <c r="E44" i="31"/>
  <c r="D43" i="27"/>
  <c r="E43" i="27" s="1"/>
  <c r="E43" i="30"/>
  <c r="D41" i="30"/>
  <c r="E41" i="30" s="1"/>
  <c r="E44" i="30"/>
  <c r="E49" i="30"/>
  <c r="D48" i="30"/>
  <c r="E48" i="30" s="1"/>
  <c r="J56" i="30"/>
  <c r="I38" i="48"/>
  <c r="J38" i="48"/>
  <c r="X38" i="48"/>
  <c r="AD38" i="48"/>
  <c r="J43" i="30"/>
  <c r="J44" i="31"/>
  <c r="I22" i="48"/>
  <c r="J22" i="48"/>
  <c r="AD22" i="48"/>
  <c r="L41" i="48"/>
  <c r="H41" i="48" s="1"/>
  <c r="E38" i="31"/>
  <c r="E38" i="30"/>
  <c r="D38" i="29"/>
  <c r="E50" i="31"/>
  <c r="D50" i="30"/>
  <c r="D47" i="27"/>
  <c r="E47" i="29"/>
  <c r="D42" i="30"/>
  <c r="E42" i="31"/>
  <c r="D52" i="31"/>
  <c r="D53" i="31" s="1"/>
  <c r="E46" i="31"/>
  <c r="D46" i="30"/>
  <c r="E52" i="32"/>
  <c r="E53" i="32" s="1"/>
  <c r="D44" i="27"/>
  <c r="E44" i="29"/>
  <c r="D40" i="29"/>
  <c r="E40" i="30"/>
  <c r="D51" i="29"/>
  <c r="E51" i="30"/>
  <c r="A13" i="2" s="1"/>
  <c r="J57" i="30"/>
  <c r="J37" i="31"/>
  <c r="J39" i="32"/>
  <c r="D49" i="27"/>
  <c r="E49" i="29"/>
  <c r="AH41" i="48"/>
  <c r="J57" i="17"/>
  <c r="AC11" i="48"/>
  <c r="Q12" i="48"/>
  <c r="A14" i="48" l="1"/>
  <c r="A12" i="45"/>
  <c r="BC37" i="48"/>
  <c r="J37" i="48"/>
  <c r="AJ37" i="48"/>
  <c r="I40" i="33"/>
  <c r="I51" i="33" s="1"/>
  <c r="X37" i="48"/>
  <c r="AD37" i="48"/>
  <c r="I37" i="48"/>
  <c r="I45" i="9"/>
  <c r="C36" i="45"/>
  <c r="AJ25" i="48"/>
  <c r="J25" i="48"/>
  <c r="I25" i="48"/>
  <c r="R33" i="48"/>
  <c r="E33" i="1" s="1"/>
  <c r="CP33" i="1" s="1"/>
  <c r="C24" i="45"/>
  <c r="O24" i="45" s="1"/>
  <c r="E25" i="1"/>
  <c r="E26" i="2" s="1"/>
  <c r="BM26" i="2" s="1"/>
  <c r="BC18" i="48"/>
  <c r="E18" i="1"/>
  <c r="JB39" i="1"/>
  <c r="BU39" i="1"/>
  <c r="FM39" i="1"/>
  <c r="JE39" i="1"/>
  <c r="P39" i="1"/>
  <c r="DH39" i="1"/>
  <c r="GZ39" i="1"/>
  <c r="S39" i="1"/>
  <c r="DK39" i="1"/>
  <c r="HC39" i="1"/>
  <c r="J39" i="1"/>
  <c r="DB39" i="1"/>
  <c r="GT39" i="1"/>
  <c r="CS39" i="1"/>
  <c r="GK39" i="1"/>
  <c r="M39" i="1"/>
  <c r="DE39" i="1"/>
  <c r="GW39" i="1"/>
  <c r="AZ39" i="1"/>
  <c r="ER39" i="1"/>
  <c r="CG39" i="1"/>
  <c r="IG39" i="1"/>
  <c r="CJ39" i="1"/>
  <c r="HL39" i="1"/>
  <c r="BO39" i="1"/>
  <c r="FS39" i="1"/>
  <c r="V39" i="1"/>
  <c r="DZ39" i="1"/>
  <c r="ID39" i="1"/>
  <c r="DQ39" i="1"/>
  <c r="IS39" i="1"/>
  <c r="CV39" i="1"/>
  <c r="HX39" i="1"/>
  <c r="CA39" i="1"/>
  <c r="GE39" i="1"/>
  <c r="AH39" i="1"/>
  <c r="EL39" i="1"/>
  <c r="IP39" i="1"/>
  <c r="CY39" i="1"/>
  <c r="EC39" i="1"/>
  <c r="DT39" i="1"/>
  <c r="IJ39" i="1"/>
  <c r="CM39" i="1"/>
  <c r="GQ39" i="1"/>
  <c r="AT39" i="1"/>
  <c r="EX39" i="1"/>
  <c r="EF39" i="1"/>
  <c r="IV39" i="1"/>
  <c r="HO39" i="1"/>
  <c r="FJ39" i="1"/>
  <c r="EO39" i="1"/>
  <c r="BF39" i="1"/>
  <c r="Y39" i="1"/>
  <c r="FA39" i="1"/>
  <c r="AB39" i="1"/>
  <c r="FD39" i="1"/>
  <c r="JH39" i="1"/>
  <c r="G39" i="1"/>
  <c r="DW39" i="1"/>
  <c r="IA39" i="1"/>
  <c r="BR39" i="1"/>
  <c r="FV39" i="1"/>
  <c r="AW39" i="1"/>
  <c r="HI39" i="1"/>
  <c r="BL39" i="1"/>
  <c r="GB39" i="1"/>
  <c r="AQ39" i="1"/>
  <c r="EU39" i="1"/>
  <c r="IY39" i="1"/>
  <c r="CP39" i="1"/>
  <c r="HF39" i="1"/>
  <c r="BI39" i="1"/>
  <c r="HU39" i="1"/>
  <c r="BX39" i="1"/>
  <c r="GN39" i="1"/>
  <c r="AN39" i="1"/>
  <c r="AE39" i="1"/>
  <c r="BC39" i="1"/>
  <c r="CD39" i="1"/>
  <c r="IM39" i="1"/>
  <c r="FP39" i="1"/>
  <c r="EI39" i="1"/>
  <c r="DN39" i="1"/>
  <c r="FY39" i="1"/>
  <c r="HR39" i="1"/>
  <c r="AK39" i="1"/>
  <c r="FG39" i="1"/>
  <c r="GH39" i="1"/>
  <c r="IP34" i="1"/>
  <c r="HR34" i="1"/>
  <c r="GE34" i="1"/>
  <c r="EX34" i="1"/>
  <c r="EI34" i="1"/>
  <c r="DB34" i="1"/>
  <c r="CM34" i="1"/>
  <c r="BF34" i="1"/>
  <c r="AQ34" i="1"/>
  <c r="J34" i="1"/>
  <c r="JB34" i="1"/>
  <c r="FJ34" i="1"/>
  <c r="EU34" i="1"/>
  <c r="DN34" i="1"/>
  <c r="CY34" i="1"/>
  <c r="BR34" i="1"/>
  <c r="BC34" i="1"/>
  <c r="V34" i="1"/>
  <c r="G34" i="1"/>
  <c r="ID34" i="1"/>
  <c r="IY34" i="1"/>
  <c r="HF34" i="1"/>
  <c r="DW34" i="1"/>
  <c r="AE34" i="1"/>
  <c r="FG34" i="1"/>
  <c r="EL34" i="1"/>
  <c r="BO34" i="1"/>
  <c r="AT34" i="1"/>
  <c r="FV34" i="1"/>
  <c r="CD34" i="1"/>
  <c r="FS34" i="1"/>
  <c r="CA34" i="1"/>
  <c r="GH34" i="1"/>
  <c r="DK34" i="1"/>
  <c r="CP34" i="1"/>
  <c r="S34" i="1"/>
  <c r="DZ34" i="1"/>
  <c r="AH34" i="1"/>
  <c r="GT34" i="1"/>
  <c r="CS34" i="1"/>
  <c r="GK34" i="1"/>
  <c r="AZ34" i="1"/>
  <c r="ER34" i="1"/>
  <c r="IJ34" i="1"/>
  <c r="M34" i="1"/>
  <c r="DE34" i="1"/>
  <c r="GW34" i="1"/>
  <c r="BL34" i="1"/>
  <c r="FD34" i="1"/>
  <c r="IV34" i="1"/>
  <c r="GQ34" i="1"/>
  <c r="Y34" i="1"/>
  <c r="DQ34" i="1"/>
  <c r="HI34" i="1"/>
  <c r="BX34" i="1"/>
  <c r="FP34" i="1"/>
  <c r="JH34" i="1"/>
  <c r="AK34" i="1"/>
  <c r="EC34" i="1"/>
  <c r="HU34" i="1"/>
  <c r="CJ34" i="1"/>
  <c r="GB34" i="1"/>
  <c r="HO34" i="1"/>
  <c r="AW34" i="1"/>
  <c r="EO34" i="1"/>
  <c r="IG34" i="1"/>
  <c r="CV34" i="1"/>
  <c r="GN34" i="1"/>
  <c r="IA34" i="1"/>
  <c r="JE34" i="1"/>
  <c r="AB34" i="1"/>
  <c r="BI34" i="1"/>
  <c r="AN34" i="1"/>
  <c r="HC34" i="1"/>
  <c r="BU34" i="1"/>
  <c r="DH34" i="1"/>
  <c r="IM34" i="1"/>
  <c r="DT34" i="1"/>
  <c r="CG34" i="1"/>
  <c r="FA34" i="1"/>
  <c r="EF34" i="1"/>
  <c r="FY34" i="1"/>
  <c r="HL34" i="1"/>
  <c r="IS34" i="1"/>
  <c r="P34" i="1"/>
  <c r="HX34" i="1"/>
  <c r="FM34" i="1"/>
  <c r="GZ34" i="1"/>
  <c r="IA33" i="1"/>
  <c r="DN33" i="1"/>
  <c r="GZ33" i="1"/>
  <c r="AN33" i="1"/>
  <c r="AW33" i="1"/>
  <c r="FJ37" i="1"/>
  <c r="DB37" i="1"/>
  <c r="AT37" i="1"/>
  <c r="HF37" i="1"/>
  <c r="BI37" i="1"/>
  <c r="V37" i="1"/>
  <c r="EI37" i="1"/>
  <c r="BX37" i="1"/>
  <c r="EX37" i="1"/>
  <c r="CM37" i="1"/>
  <c r="AK37" i="1"/>
  <c r="M37" i="1"/>
  <c r="BR37" i="1"/>
  <c r="J37" i="1"/>
  <c r="AH37" i="1"/>
  <c r="Y37" i="1"/>
  <c r="AW37" i="1"/>
  <c r="CY37" i="1"/>
  <c r="AB37" i="1"/>
  <c r="IY37" i="1"/>
  <c r="FG37" i="1"/>
  <c r="GB37" i="1"/>
  <c r="CJ37" i="1"/>
  <c r="FY37" i="1"/>
  <c r="CG37" i="1"/>
  <c r="DN37" i="1"/>
  <c r="AN37" i="1"/>
  <c r="IM37" i="1"/>
  <c r="JH37" i="1"/>
  <c r="FP37" i="1"/>
  <c r="JE37" i="1"/>
  <c r="FM37" i="1"/>
  <c r="BU37" i="1"/>
  <c r="G37" i="1"/>
  <c r="BF37" i="1"/>
  <c r="EU37" i="1"/>
  <c r="AZ37" i="1"/>
  <c r="IA37" i="1"/>
  <c r="IV37" i="1"/>
  <c r="FD37" i="1"/>
  <c r="IS37" i="1"/>
  <c r="FA37" i="1"/>
  <c r="CA37" i="1"/>
  <c r="BL37" i="1"/>
  <c r="HO37" i="1"/>
  <c r="IJ37" i="1"/>
  <c r="ER37" i="1"/>
  <c r="IG37" i="1"/>
  <c r="EO37" i="1"/>
  <c r="CP37" i="1"/>
  <c r="AE37" i="1"/>
  <c r="JB37" i="1"/>
  <c r="HC37" i="1"/>
  <c r="HX37" i="1"/>
  <c r="EF37" i="1"/>
  <c r="HU37" i="1"/>
  <c r="EC37" i="1"/>
  <c r="DW37" i="1"/>
  <c r="AQ37" i="1"/>
  <c r="CD37" i="1"/>
  <c r="FS37" i="1"/>
  <c r="GW37" i="1"/>
  <c r="IP37" i="1"/>
  <c r="HL37" i="1"/>
  <c r="GK37" i="1"/>
  <c r="P37" i="1"/>
  <c r="GZ37" i="1"/>
  <c r="DQ37" i="1"/>
  <c r="GN37" i="1"/>
  <c r="DE37" i="1"/>
  <c r="ID37" i="1"/>
  <c r="DT37" i="1"/>
  <c r="CS37" i="1"/>
  <c r="GQ37" i="1"/>
  <c r="CV37" i="1"/>
  <c r="FV37" i="1"/>
  <c r="BC37" i="1"/>
  <c r="DZ37" i="1"/>
  <c r="GH37" i="1"/>
  <c r="GE37" i="1"/>
  <c r="HI37" i="1"/>
  <c r="BO37" i="1"/>
  <c r="GT37" i="1"/>
  <c r="S37" i="1"/>
  <c r="HR37" i="1"/>
  <c r="DH37" i="1"/>
  <c r="EL37" i="1"/>
  <c r="DK37" i="1"/>
  <c r="BC25" i="48"/>
  <c r="G36" i="45"/>
  <c r="O36" i="45"/>
  <c r="K36" i="45"/>
  <c r="R36" i="45"/>
  <c r="C33" i="45"/>
  <c r="I34" i="48"/>
  <c r="J34" i="48"/>
  <c r="BC34" i="48"/>
  <c r="AD34" i="48"/>
  <c r="AJ34" i="48"/>
  <c r="O35" i="45"/>
  <c r="G35" i="45"/>
  <c r="K35" i="45"/>
  <c r="R35" i="45"/>
  <c r="R35" i="48"/>
  <c r="E35" i="1" s="1"/>
  <c r="I48" i="7"/>
  <c r="I45" i="7"/>
  <c r="I48" i="24"/>
  <c r="I48" i="11"/>
  <c r="I45" i="11"/>
  <c r="R31" i="48"/>
  <c r="E31" i="1" s="1"/>
  <c r="I45" i="13"/>
  <c r="R29" i="48"/>
  <c r="E29" i="1" s="1"/>
  <c r="I48" i="13"/>
  <c r="I48" i="12"/>
  <c r="I45" i="12"/>
  <c r="R30" i="48"/>
  <c r="E30" i="1" s="1"/>
  <c r="W150" i="46"/>
  <c r="X150" i="46" s="1"/>
  <c r="F41" i="55" s="1"/>
  <c r="G41" i="55" s="1"/>
  <c r="H41" i="55" s="1"/>
  <c r="J10" i="16"/>
  <c r="J10" i="15" s="1"/>
  <c r="J10" i="14" s="1"/>
  <c r="J10" i="13" s="1"/>
  <c r="J10" i="12" s="1"/>
  <c r="J25" i="16"/>
  <c r="J25" i="15" s="1"/>
  <c r="J25" i="14" s="1"/>
  <c r="J25" i="13" s="1"/>
  <c r="J25" i="12" s="1"/>
  <c r="J25" i="11" s="1"/>
  <c r="J25" i="10" s="1"/>
  <c r="J23" i="16"/>
  <c r="J23" i="15" s="1"/>
  <c r="J23" i="14" s="1"/>
  <c r="J23" i="13" s="1"/>
  <c r="J23" i="12" s="1"/>
  <c r="J23" i="11" s="1"/>
  <c r="J23" i="10" s="1"/>
  <c r="J14" i="16"/>
  <c r="J14" i="15" s="1"/>
  <c r="J14" i="14" s="1"/>
  <c r="J14" i="13" s="1"/>
  <c r="J14" i="12" s="1"/>
  <c r="J28" i="16"/>
  <c r="J28" i="15" s="1"/>
  <c r="J28" i="14" s="1"/>
  <c r="J28" i="13" s="1"/>
  <c r="J28" i="12" s="1"/>
  <c r="J28" i="11" s="1"/>
  <c r="J28" i="10" s="1"/>
  <c r="J28" i="9" s="1"/>
  <c r="J28" i="8" s="1"/>
  <c r="J28" i="7" s="1"/>
  <c r="J28" i="6" s="1"/>
  <c r="J28" i="37" s="1"/>
  <c r="J28" i="4" s="1"/>
  <c r="J28" i="43" s="1"/>
  <c r="J24" i="16"/>
  <c r="J24" i="15" s="1"/>
  <c r="J24" i="14" s="1"/>
  <c r="J24" i="13" s="1"/>
  <c r="J24" i="12" s="1"/>
  <c r="J24" i="11" s="1"/>
  <c r="J24" i="10" s="1"/>
  <c r="J21" i="16"/>
  <c r="J21" i="15" s="1"/>
  <c r="J21" i="14" s="1"/>
  <c r="J21" i="13" s="1"/>
  <c r="J21" i="12" s="1"/>
  <c r="J21" i="11" s="1"/>
  <c r="J21" i="10" s="1"/>
  <c r="J18" i="16"/>
  <c r="J18" i="15" s="1"/>
  <c r="J18" i="14" s="1"/>
  <c r="J18" i="13" s="1"/>
  <c r="J18" i="12" s="1"/>
  <c r="I45" i="16"/>
  <c r="I48" i="16"/>
  <c r="R26" i="48"/>
  <c r="E26" i="1" s="1"/>
  <c r="J31" i="16"/>
  <c r="J31" i="15" s="1"/>
  <c r="J31" i="14" s="1"/>
  <c r="J31" i="13" s="1"/>
  <c r="J31" i="12" s="1"/>
  <c r="J31" i="11" s="1"/>
  <c r="J31" i="10" s="1"/>
  <c r="J31" i="9" s="1"/>
  <c r="J31" i="8" s="1"/>
  <c r="J31" i="7" s="1"/>
  <c r="J31" i="6" s="1"/>
  <c r="J31" i="37" s="1"/>
  <c r="J31" i="4" s="1"/>
  <c r="J31" i="43" s="1"/>
  <c r="J13" i="16"/>
  <c r="J13" i="15" s="1"/>
  <c r="J13" i="14" s="1"/>
  <c r="J13" i="13" s="1"/>
  <c r="J13" i="12" s="1"/>
  <c r="J19" i="16"/>
  <c r="J19" i="15" s="1"/>
  <c r="J19" i="14" s="1"/>
  <c r="J19" i="13" s="1"/>
  <c r="J19" i="12" s="1"/>
  <c r="J30" i="16"/>
  <c r="J30" i="15" s="1"/>
  <c r="J30" i="14" s="1"/>
  <c r="J30" i="13" s="1"/>
  <c r="J30" i="12" s="1"/>
  <c r="J30" i="11" s="1"/>
  <c r="J30" i="10" s="1"/>
  <c r="J30" i="9" s="1"/>
  <c r="J30" i="8" s="1"/>
  <c r="J30" i="7" s="1"/>
  <c r="J30" i="6" s="1"/>
  <c r="J30" i="37" s="1"/>
  <c r="J30" i="4" s="1"/>
  <c r="J30" i="43" s="1"/>
  <c r="J22" i="16"/>
  <c r="J22" i="15" s="1"/>
  <c r="J22" i="14" s="1"/>
  <c r="J22" i="13" s="1"/>
  <c r="J22" i="12" s="1"/>
  <c r="J22" i="11" s="1"/>
  <c r="J22" i="10" s="1"/>
  <c r="J26" i="16"/>
  <c r="J26" i="15" s="1"/>
  <c r="J26" i="14" s="1"/>
  <c r="J26" i="13" s="1"/>
  <c r="J26" i="12" s="1"/>
  <c r="J26" i="11" s="1"/>
  <c r="J26" i="10" s="1"/>
  <c r="J26" i="9" s="1"/>
  <c r="J26" i="8" s="1"/>
  <c r="J26" i="7" s="1"/>
  <c r="J26" i="6" s="1"/>
  <c r="J26" i="37" s="1"/>
  <c r="J26" i="4" s="1"/>
  <c r="J26" i="43" s="1"/>
  <c r="J29" i="16"/>
  <c r="J29" i="15" s="1"/>
  <c r="J29" i="14" s="1"/>
  <c r="J29" i="13" s="1"/>
  <c r="J29" i="12" s="1"/>
  <c r="J29" i="11" s="1"/>
  <c r="J29" i="10" s="1"/>
  <c r="J29" i="9" s="1"/>
  <c r="J29" i="8" s="1"/>
  <c r="J29" i="7" s="1"/>
  <c r="J29" i="6" s="1"/>
  <c r="J29" i="37" s="1"/>
  <c r="J29" i="4" s="1"/>
  <c r="J29" i="43" s="1"/>
  <c r="J8" i="16"/>
  <c r="J8" i="15" s="1"/>
  <c r="J8" i="14" s="1"/>
  <c r="J8" i="13" s="1"/>
  <c r="J8" i="12" s="1"/>
  <c r="J8" i="11" s="1"/>
  <c r="J8" i="10" s="1"/>
  <c r="J9" i="16"/>
  <c r="J9" i="15" s="1"/>
  <c r="J9" i="14" s="1"/>
  <c r="J9" i="13" s="1"/>
  <c r="J9" i="12" s="1"/>
  <c r="J9" i="11" s="1"/>
  <c r="J9" i="10" s="1"/>
  <c r="J17" i="16"/>
  <c r="J17" i="15" s="1"/>
  <c r="J17" i="14" s="1"/>
  <c r="J17" i="13" s="1"/>
  <c r="J17" i="12" s="1"/>
  <c r="I48" i="19"/>
  <c r="R23" i="48"/>
  <c r="E23" i="1" s="1"/>
  <c r="I45" i="19"/>
  <c r="J16" i="16"/>
  <c r="J16" i="15" s="1"/>
  <c r="J16" i="14" s="1"/>
  <c r="J16" i="13" s="1"/>
  <c r="J16" i="12" s="1"/>
  <c r="J20" i="16"/>
  <c r="J20" i="15" s="1"/>
  <c r="J20" i="14" s="1"/>
  <c r="J20" i="13" s="1"/>
  <c r="J20" i="12" s="1"/>
  <c r="J20" i="11" s="1"/>
  <c r="J20" i="10" s="1"/>
  <c r="J15" i="16"/>
  <c r="J15" i="15" s="1"/>
  <c r="J15" i="14" s="1"/>
  <c r="J15" i="13" s="1"/>
  <c r="J15" i="12" s="1"/>
  <c r="I45" i="15"/>
  <c r="R27" i="48"/>
  <c r="E27" i="1" s="1"/>
  <c r="I48" i="15"/>
  <c r="J12" i="16"/>
  <c r="J12" i="15" s="1"/>
  <c r="J12" i="14" s="1"/>
  <c r="J12" i="13" s="1"/>
  <c r="J12" i="12" s="1"/>
  <c r="J11" i="16"/>
  <c r="J11" i="15" s="1"/>
  <c r="J11" i="14" s="1"/>
  <c r="J11" i="13" s="1"/>
  <c r="J11" i="12" s="1"/>
  <c r="J27" i="16"/>
  <c r="J27" i="15" s="1"/>
  <c r="J27" i="14" s="1"/>
  <c r="J27" i="13" s="1"/>
  <c r="J27" i="12" s="1"/>
  <c r="J27" i="11" s="1"/>
  <c r="J27" i="10" s="1"/>
  <c r="J27" i="9" s="1"/>
  <c r="J27" i="8" s="1"/>
  <c r="J27" i="7" s="1"/>
  <c r="J27" i="6" s="1"/>
  <c r="J27" i="37" s="1"/>
  <c r="J27" i="4" s="1"/>
  <c r="J27" i="43" s="1"/>
  <c r="I48" i="14"/>
  <c r="R28" i="48"/>
  <c r="E28" i="1" s="1"/>
  <c r="I45" i="14"/>
  <c r="I45" i="24"/>
  <c r="R17" i="48"/>
  <c r="E17" i="1" s="1"/>
  <c r="I45" i="25"/>
  <c r="I48" i="25"/>
  <c r="G19" i="45"/>
  <c r="O19" i="45"/>
  <c r="K19" i="45"/>
  <c r="R19" i="45"/>
  <c r="AD18" i="48"/>
  <c r="J18" i="48"/>
  <c r="I18" i="48"/>
  <c r="AJ18" i="48"/>
  <c r="R19" i="48"/>
  <c r="E19" i="1" s="1"/>
  <c r="I45" i="23"/>
  <c r="I48" i="23"/>
  <c r="E21" i="2"/>
  <c r="BM21" i="2" s="1"/>
  <c r="O21" i="45"/>
  <c r="G21" i="45"/>
  <c r="K21" i="45"/>
  <c r="R21" i="45"/>
  <c r="O17" i="45"/>
  <c r="K17" i="45"/>
  <c r="G17" i="45"/>
  <c r="R17" i="45"/>
  <c r="I48" i="26"/>
  <c r="R16" i="48"/>
  <c r="E16" i="1" s="1"/>
  <c r="I45" i="26"/>
  <c r="R15" i="48"/>
  <c r="I45" i="28"/>
  <c r="I48" i="28"/>
  <c r="I40" i="27"/>
  <c r="I40" i="32"/>
  <c r="I45" i="32" s="1"/>
  <c r="I40" i="31"/>
  <c r="R11" i="48" s="1"/>
  <c r="I45" i="29"/>
  <c r="R13" i="48"/>
  <c r="I48" i="29"/>
  <c r="I48" i="30"/>
  <c r="R12" i="48"/>
  <c r="I45" i="30"/>
  <c r="M34" i="32"/>
  <c r="J47" i="30"/>
  <c r="E23" i="2"/>
  <c r="BM23" i="2" s="1"/>
  <c r="E40" i="2"/>
  <c r="BM40" i="2" s="1"/>
  <c r="E39" i="2"/>
  <c r="BM39" i="2" s="1"/>
  <c r="R38" i="45"/>
  <c r="G38" i="45"/>
  <c r="O38" i="45"/>
  <c r="K38" i="45"/>
  <c r="E37" i="2"/>
  <c r="BM37" i="2" s="1"/>
  <c r="E38" i="2"/>
  <c r="BM38" i="2" s="1"/>
  <c r="G37" i="45"/>
  <c r="O37" i="45"/>
  <c r="K37" i="45"/>
  <c r="R37" i="45"/>
  <c r="H9" i="48"/>
  <c r="I50" i="33"/>
  <c r="J49" i="33"/>
  <c r="U9" i="48"/>
  <c r="I49" i="31"/>
  <c r="E45" i="29"/>
  <c r="M9" i="48"/>
  <c r="AH9" i="48"/>
  <c r="J5" i="56"/>
  <c r="I49" i="8"/>
  <c r="I49" i="17"/>
  <c r="I49" i="18"/>
  <c r="I49" i="28"/>
  <c r="I49" i="29"/>
  <c r="D45" i="28"/>
  <c r="D45" i="26" s="1"/>
  <c r="I49" i="30"/>
  <c r="E39" i="29"/>
  <c r="D39" i="28"/>
  <c r="E39" i="28" s="1"/>
  <c r="D43" i="28"/>
  <c r="E43" i="28" s="1"/>
  <c r="M8" i="30"/>
  <c r="M34" i="31"/>
  <c r="D48" i="29"/>
  <c r="E48" i="29" s="1"/>
  <c r="D41" i="29"/>
  <c r="J43" i="29"/>
  <c r="J44" i="30"/>
  <c r="J56" i="29"/>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G9" i="48"/>
  <c r="N41" i="48"/>
  <c r="G41" i="48" s="1"/>
  <c r="E52" i="31"/>
  <c r="E53" i="31" s="1"/>
  <c r="D38" i="27"/>
  <c r="E38" i="29"/>
  <c r="D50" i="29"/>
  <c r="E50" i="30"/>
  <c r="D42" i="29"/>
  <c r="E42" i="30"/>
  <c r="D47" i="28"/>
  <c r="E47" i="27"/>
  <c r="D52" i="30"/>
  <c r="D53" i="30" s="1"/>
  <c r="D46" i="29"/>
  <c r="E46" i="30"/>
  <c r="D51" i="27"/>
  <c r="E51" i="29"/>
  <c r="D40" i="27"/>
  <c r="E40" i="29"/>
  <c r="E44" i="27"/>
  <c r="D44" i="28"/>
  <c r="A14" i="2" s="1"/>
  <c r="J39" i="31"/>
  <c r="J37" i="30"/>
  <c r="J57" i="29"/>
  <c r="D49" i="28"/>
  <c r="E49" i="27"/>
  <c r="J57" i="16"/>
  <c r="M7" i="28"/>
  <c r="AC12" i="48"/>
  <c r="Q13" i="48"/>
  <c r="J47" i="29"/>
  <c r="J46" i="27"/>
  <c r="A15" i="48" l="1"/>
  <c r="A13" i="45"/>
  <c r="EU33" i="1"/>
  <c r="BF33" i="1"/>
  <c r="HU33" i="1"/>
  <c r="GN33" i="1"/>
  <c r="CG33" i="1"/>
  <c r="AQ33" i="1"/>
  <c r="CV33" i="1"/>
  <c r="HF33" i="1"/>
  <c r="IP33" i="1"/>
  <c r="J33" i="48"/>
  <c r="DQ33" i="1"/>
  <c r="BO33" i="1"/>
  <c r="FS33" i="1"/>
  <c r="M33" i="1"/>
  <c r="FG33" i="1"/>
  <c r="GH33" i="1"/>
  <c r="EF33" i="1"/>
  <c r="DZ33" i="1"/>
  <c r="BC33" i="48"/>
  <c r="FA33" i="1"/>
  <c r="BI33" i="1"/>
  <c r="BL33" i="1"/>
  <c r="DE33" i="1"/>
  <c r="AB33" i="1"/>
  <c r="BU33" i="1"/>
  <c r="FV33" i="1"/>
  <c r="AH33" i="1"/>
  <c r="HC33" i="1"/>
  <c r="GE33" i="1"/>
  <c r="DW33" i="1"/>
  <c r="IG33" i="1"/>
  <c r="BX33" i="1"/>
  <c r="HI33" i="1"/>
  <c r="HX33" i="1"/>
  <c r="FY33" i="1"/>
  <c r="AK33" i="1"/>
  <c r="GQ33" i="1"/>
  <c r="BC33" i="1"/>
  <c r="J33" i="1"/>
  <c r="GT33" i="1"/>
  <c r="EL33" i="1"/>
  <c r="K24" i="45"/>
  <c r="I33" i="48"/>
  <c r="G24" i="45"/>
  <c r="FP33" i="1"/>
  <c r="IS33" i="1"/>
  <c r="IJ33" i="1"/>
  <c r="GK33" i="1"/>
  <c r="DH33" i="1"/>
  <c r="V33" i="1"/>
  <c r="IY33" i="1"/>
  <c r="HR33" i="1"/>
  <c r="CM33" i="1"/>
  <c r="AE33" i="1"/>
  <c r="HO33" i="1"/>
  <c r="AD33" i="48"/>
  <c r="R24" i="45"/>
  <c r="EO33" i="1"/>
  <c r="Y33" i="1"/>
  <c r="ER33" i="1"/>
  <c r="CS33" i="1"/>
  <c r="P33" i="1"/>
  <c r="G33" i="1"/>
  <c r="BR33" i="1"/>
  <c r="IM33" i="1"/>
  <c r="DB33" i="1"/>
  <c r="AT33" i="1"/>
  <c r="ID33" i="1"/>
  <c r="AJ33" i="48"/>
  <c r="EC33" i="1"/>
  <c r="IV33" i="1"/>
  <c r="AZ33" i="1"/>
  <c r="HL33" i="1"/>
  <c r="JE33" i="1"/>
  <c r="CD33" i="1"/>
  <c r="FJ33" i="1"/>
  <c r="S33" i="1"/>
  <c r="EI33" i="1"/>
  <c r="CA33" i="1"/>
  <c r="JH33" i="1"/>
  <c r="C32" i="45"/>
  <c r="K32" i="45" s="1"/>
  <c r="GB33" i="1"/>
  <c r="CJ33" i="1"/>
  <c r="FD33" i="1"/>
  <c r="GW33" i="1"/>
  <c r="DT33" i="1"/>
  <c r="FM33" i="1"/>
  <c r="CY33" i="1"/>
  <c r="JB33" i="1"/>
  <c r="DK33" i="1"/>
  <c r="EX33" i="1"/>
  <c r="W150" i="57"/>
  <c r="R9" i="48"/>
  <c r="I45" i="33"/>
  <c r="I48" i="33"/>
  <c r="E13" i="1"/>
  <c r="JH13" i="1" s="1"/>
  <c r="C12" i="45"/>
  <c r="E12" i="1"/>
  <c r="CP12" i="1" s="1"/>
  <c r="C11" i="45"/>
  <c r="E11" i="1"/>
  <c r="CY11" i="1" s="1"/>
  <c r="C10" i="45"/>
  <c r="JE16" i="1"/>
  <c r="IS16" i="1"/>
  <c r="IG16" i="1"/>
  <c r="HU16" i="1"/>
  <c r="HI16" i="1"/>
  <c r="GW16" i="1"/>
  <c r="GK16" i="1"/>
  <c r="FY16" i="1"/>
  <c r="FM16" i="1"/>
  <c r="FA16" i="1"/>
  <c r="EO16" i="1"/>
  <c r="EC16" i="1"/>
  <c r="DQ16" i="1"/>
  <c r="DE16" i="1"/>
  <c r="CS16" i="1"/>
  <c r="CG16" i="1"/>
  <c r="BU16" i="1"/>
  <c r="BI16" i="1"/>
  <c r="AW16" i="1"/>
  <c r="AK16" i="1"/>
  <c r="Y16" i="1"/>
  <c r="M16" i="1"/>
  <c r="JB16" i="1"/>
  <c r="IP16" i="1"/>
  <c r="ID16" i="1"/>
  <c r="HR16" i="1"/>
  <c r="HF16" i="1"/>
  <c r="GT16" i="1"/>
  <c r="GH16" i="1"/>
  <c r="FV16" i="1"/>
  <c r="FJ16" i="1"/>
  <c r="EX16" i="1"/>
  <c r="EL16" i="1"/>
  <c r="DZ16" i="1"/>
  <c r="DN16" i="1"/>
  <c r="DB16" i="1"/>
  <c r="CP16" i="1"/>
  <c r="CD16" i="1"/>
  <c r="BR16" i="1"/>
  <c r="BF16" i="1"/>
  <c r="AT16" i="1"/>
  <c r="AH16" i="1"/>
  <c r="V16" i="1"/>
  <c r="J16" i="1"/>
  <c r="IY16" i="1"/>
  <c r="IM16" i="1"/>
  <c r="IA16" i="1"/>
  <c r="HO16" i="1"/>
  <c r="HC16" i="1"/>
  <c r="GQ16" i="1"/>
  <c r="GE16" i="1"/>
  <c r="FS16" i="1"/>
  <c r="FG16" i="1"/>
  <c r="EU16" i="1"/>
  <c r="EI16" i="1"/>
  <c r="DW16" i="1"/>
  <c r="DK16" i="1"/>
  <c r="CY16" i="1"/>
  <c r="CM16" i="1"/>
  <c r="CA16" i="1"/>
  <c r="BO16" i="1"/>
  <c r="BC16" i="1"/>
  <c r="AQ16" i="1"/>
  <c r="AE16" i="1"/>
  <c r="S16" i="1"/>
  <c r="G16" i="1"/>
  <c r="GN16" i="1"/>
  <c r="CV16" i="1"/>
  <c r="HX16" i="1"/>
  <c r="EF16" i="1"/>
  <c r="AN16" i="1"/>
  <c r="JH16" i="1"/>
  <c r="FP16" i="1"/>
  <c r="BX16" i="1"/>
  <c r="GZ16" i="1"/>
  <c r="DH16" i="1"/>
  <c r="P16" i="1"/>
  <c r="IJ16" i="1"/>
  <c r="ER16" i="1"/>
  <c r="AZ16" i="1"/>
  <c r="HL16" i="1"/>
  <c r="DT16" i="1"/>
  <c r="AB16" i="1"/>
  <c r="GB16" i="1"/>
  <c r="FD16" i="1"/>
  <c r="CJ16" i="1"/>
  <c r="BL16" i="1"/>
  <c r="IV16" i="1"/>
  <c r="JB23" i="1"/>
  <c r="IA23" i="1"/>
  <c r="GK23" i="1"/>
  <c r="FJ23" i="1"/>
  <c r="IM23" i="1"/>
  <c r="GW23" i="1"/>
  <c r="FV23" i="1"/>
  <c r="EU23" i="1"/>
  <c r="EI23" i="1"/>
  <c r="DW23" i="1"/>
  <c r="DK23" i="1"/>
  <c r="CY23" i="1"/>
  <c r="CM23" i="1"/>
  <c r="CA23" i="1"/>
  <c r="BO23" i="1"/>
  <c r="BC23" i="1"/>
  <c r="AQ23" i="1"/>
  <c r="AE23" i="1"/>
  <c r="S23" i="1"/>
  <c r="G23" i="1"/>
  <c r="IY23" i="1"/>
  <c r="HI23" i="1"/>
  <c r="GH23" i="1"/>
  <c r="FG23" i="1"/>
  <c r="HU23" i="1"/>
  <c r="GT23" i="1"/>
  <c r="FS23" i="1"/>
  <c r="ER23" i="1"/>
  <c r="EF23" i="1"/>
  <c r="DT23" i="1"/>
  <c r="DH23" i="1"/>
  <c r="CV23" i="1"/>
  <c r="CJ23" i="1"/>
  <c r="BX23" i="1"/>
  <c r="BL23" i="1"/>
  <c r="AZ23" i="1"/>
  <c r="AN23" i="1"/>
  <c r="AB23" i="1"/>
  <c r="P23" i="1"/>
  <c r="IG23" i="1"/>
  <c r="HF23" i="1"/>
  <c r="GE23" i="1"/>
  <c r="IS23" i="1"/>
  <c r="HR23" i="1"/>
  <c r="GQ23" i="1"/>
  <c r="FA23" i="1"/>
  <c r="EO23" i="1"/>
  <c r="EC23" i="1"/>
  <c r="DQ23" i="1"/>
  <c r="DE23" i="1"/>
  <c r="CS23" i="1"/>
  <c r="CG23" i="1"/>
  <c r="BU23" i="1"/>
  <c r="BI23" i="1"/>
  <c r="AW23" i="1"/>
  <c r="AK23" i="1"/>
  <c r="Y23" i="1"/>
  <c r="M23" i="1"/>
  <c r="BR23" i="1"/>
  <c r="JE23" i="1"/>
  <c r="DB23" i="1"/>
  <c r="J23" i="1"/>
  <c r="HO23" i="1"/>
  <c r="FY23" i="1"/>
  <c r="EL23" i="1"/>
  <c r="AT23" i="1"/>
  <c r="CD23" i="1"/>
  <c r="JH23" i="1"/>
  <c r="ID23" i="1"/>
  <c r="DN23" i="1"/>
  <c r="V23" i="1"/>
  <c r="CP23" i="1"/>
  <c r="IP23" i="1"/>
  <c r="EX23" i="1"/>
  <c r="FM23" i="1"/>
  <c r="BF23" i="1"/>
  <c r="DZ23" i="1"/>
  <c r="AH23" i="1"/>
  <c r="HC23" i="1"/>
  <c r="FD23" i="1"/>
  <c r="IV23" i="1"/>
  <c r="FP23" i="1"/>
  <c r="GB23" i="1"/>
  <c r="GZ23" i="1"/>
  <c r="GN23" i="1"/>
  <c r="HL23" i="1"/>
  <c r="IJ23" i="1"/>
  <c r="HX23" i="1"/>
  <c r="JB30" i="1"/>
  <c r="DN30" i="1"/>
  <c r="HL30" i="1"/>
  <c r="AB30" i="1"/>
  <c r="BR30" i="1"/>
  <c r="GN30" i="1"/>
  <c r="HF30" i="1"/>
  <c r="V30" i="1"/>
  <c r="FJ30" i="1"/>
  <c r="DT30" i="1"/>
  <c r="CV30" i="1"/>
  <c r="GW30" i="1"/>
  <c r="DE30" i="1"/>
  <c r="M30" i="1"/>
  <c r="FS30" i="1"/>
  <c r="CA30" i="1"/>
  <c r="GB30" i="1"/>
  <c r="AH30" i="1"/>
  <c r="GT30" i="1"/>
  <c r="GK30" i="1"/>
  <c r="CS30" i="1"/>
  <c r="IY30" i="1"/>
  <c r="FG30" i="1"/>
  <c r="BO30" i="1"/>
  <c r="EF30" i="1"/>
  <c r="IV30" i="1"/>
  <c r="EX30" i="1"/>
  <c r="FY30" i="1"/>
  <c r="CG30" i="1"/>
  <c r="IM30" i="1"/>
  <c r="EU30" i="1"/>
  <c r="BC30" i="1"/>
  <c r="CJ30" i="1"/>
  <c r="GZ30" i="1"/>
  <c r="DB30" i="1"/>
  <c r="FP30" i="1"/>
  <c r="IS30" i="1"/>
  <c r="FA30" i="1"/>
  <c r="BI30" i="1"/>
  <c r="HO30" i="1"/>
  <c r="DW30" i="1"/>
  <c r="AE30" i="1"/>
  <c r="HR30" i="1"/>
  <c r="DH30" i="1"/>
  <c r="J30" i="1"/>
  <c r="AZ30" i="1"/>
  <c r="HU30" i="1"/>
  <c r="EC30" i="1"/>
  <c r="AK30" i="1"/>
  <c r="GQ30" i="1"/>
  <c r="CY30" i="1"/>
  <c r="G30" i="1"/>
  <c r="DZ30" i="1"/>
  <c r="P30" i="1"/>
  <c r="EL30" i="1"/>
  <c r="IG30" i="1"/>
  <c r="IA30" i="1"/>
  <c r="HX30" i="1"/>
  <c r="AT30" i="1"/>
  <c r="ER30" i="1"/>
  <c r="HI30" i="1"/>
  <c r="HC30" i="1"/>
  <c r="AN30" i="1"/>
  <c r="ID30" i="1"/>
  <c r="IJ30" i="1"/>
  <c r="FM30" i="1"/>
  <c r="GE30" i="1"/>
  <c r="FV30" i="1"/>
  <c r="BX30" i="1"/>
  <c r="EO30" i="1"/>
  <c r="EI30" i="1"/>
  <c r="CD30" i="1"/>
  <c r="JH30" i="1"/>
  <c r="DQ30" i="1"/>
  <c r="DK30" i="1"/>
  <c r="FD30" i="1"/>
  <c r="AW30" i="1"/>
  <c r="AQ30" i="1"/>
  <c r="IP30" i="1"/>
  <c r="GH30" i="1"/>
  <c r="JE30" i="1"/>
  <c r="BU30" i="1"/>
  <c r="Y30" i="1"/>
  <c r="CM30" i="1"/>
  <c r="S30" i="1"/>
  <c r="BF30" i="1"/>
  <c r="CP30" i="1"/>
  <c r="BL30" i="1"/>
  <c r="BL11" i="1"/>
  <c r="FM11" i="1"/>
  <c r="JH17" i="1"/>
  <c r="IV17" i="1"/>
  <c r="IJ17" i="1"/>
  <c r="HX17" i="1"/>
  <c r="HL17" i="1"/>
  <c r="GZ17" i="1"/>
  <c r="GN17" i="1"/>
  <c r="GB17" i="1"/>
  <c r="FP17" i="1"/>
  <c r="FD17" i="1"/>
  <c r="ER17" i="1"/>
  <c r="EF17" i="1"/>
  <c r="DT17" i="1"/>
  <c r="DH17" i="1"/>
  <c r="CV17" i="1"/>
  <c r="CJ17" i="1"/>
  <c r="BX17" i="1"/>
  <c r="BL17" i="1"/>
  <c r="AZ17" i="1"/>
  <c r="AN17" i="1"/>
  <c r="AB17" i="1"/>
  <c r="P17" i="1"/>
  <c r="IY17" i="1"/>
  <c r="HI17" i="1"/>
  <c r="GH17" i="1"/>
  <c r="FG17" i="1"/>
  <c r="DQ17" i="1"/>
  <c r="CP17" i="1"/>
  <c r="BO17" i="1"/>
  <c r="Y17" i="1"/>
  <c r="HU17" i="1"/>
  <c r="GT17" i="1"/>
  <c r="FS17" i="1"/>
  <c r="EC17" i="1"/>
  <c r="DB17" i="1"/>
  <c r="CA17" i="1"/>
  <c r="AK17" i="1"/>
  <c r="J17" i="1"/>
  <c r="IG17" i="1"/>
  <c r="HF17" i="1"/>
  <c r="GE17" i="1"/>
  <c r="EO17" i="1"/>
  <c r="DN17" i="1"/>
  <c r="CM17" i="1"/>
  <c r="AW17" i="1"/>
  <c r="V17" i="1"/>
  <c r="IS17" i="1"/>
  <c r="HR17" i="1"/>
  <c r="GQ17" i="1"/>
  <c r="FA17" i="1"/>
  <c r="DZ17" i="1"/>
  <c r="CY17" i="1"/>
  <c r="BI17" i="1"/>
  <c r="AH17" i="1"/>
  <c r="G17" i="1"/>
  <c r="JE17" i="1"/>
  <c r="ID17" i="1"/>
  <c r="HC17" i="1"/>
  <c r="FM17" i="1"/>
  <c r="EL17" i="1"/>
  <c r="DK17" i="1"/>
  <c r="BU17" i="1"/>
  <c r="AT17" i="1"/>
  <c r="S17" i="1"/>
  <c r="JB17" i="1"/>
  <c r="IA17" i="1"/>
  <c r="GK17" i="1"/>
  <c r="FJ17" i="1"/>
  <c r="EI17" i="1"/>
  <c r="CS17" i="1"/>
  <c r="BR17" i="1"/>
  <c r="AQ17" i="1"/>
  <c r="BF17" i="1"/>
  <c r="FV17" i="1"/>
  <c r="EX17" i="1"/>
  <c r="BC17" i="1"/>
  <c r="M17" i="1"/>
  <c r="DW17" i="1"/>
  <c r="AE17" i="1"/>
  <c r="IP17" i="1"/>
  <c r="EU17" i="1"/>
  <c r="DE17" i="1"/>
  <c r="CG17" i="1"/>
  <c r="IM17" i="1"/>
  <c r="GW17" i="1"/>
  <c r="HO17" i="1"/>
  <c r="FY17" i="1"/>
  <c r="CD17" i="1"/>
  <c r="C14" i="45"/>
  <c r="K14" i="45" s="1"/>
  <c r="E15" i="1"/>
  <c r="CM27" i="1"/>
  <c r="V27" i="1"/>
  <c r="IG27" i="1"/>
  <c r="HO27" i="1"/>
  <c r="EO27" i="1"/>
  <c r="DW27" i="1"/>
  <c r="BR27" i="1"/>
  <c r="GQ27" i="1"/>
  <c r="FY27" i="1"/>
  <c r="CY27" i="1"/>
  <c r="AH27" i="1"/>
  <c r="CG27" i="1"/>
  <c r="AW27" i="1"/>
  <c r="HU27" i="1"/>
  <c r="EU27" i="1"/>
  <c r="EC27" i="1"/>
  <c r="AQ27" i="1"/>
  <c r="G27" i="1"/>
  <c r="AE27" i="1"/>
  <c r="FS27" i="1"/>
  <c r="BI27" i="1"/>
  <c r="GK27" i="1"/>
  <c r="BF27" i="1"/>
  <c r="CS27" i="1"/>
  <c r="IV27" i="1"/>
  <c r="FD27" i="1"/>
  <c r="BL27" i="1"/>
  <c r="HR27" i="1"/>
  <c r="DZ27" i="1"/>
  <c r="IY27" i="1"/>
  <c r="J27" i="1"/>
  <c r="IJ27" i="1"/>
  <c r="ER27" i="1"/>
  <c r="AZ27" i="1"/>
  <c r="HF27" i="1"/>
  <c r="DN27" i="1"/>
  <c r="AK27" i="1"/>
  <c r="HX27" i="1"/>
  <c r="EF27" i="1"/>
  <c r="AN27" i="1"/>
  <c r="GT27" i="1"/>
  <c r="S27" i="1"/>
  <c r="CA27" i="1"/>
  <c r="EI27" i="1"/>
  <c r="DE27" i="1"/>
  <c r="GZ27" i="1"/>
  <c r="DH27" i="1"/>
  <c r="P27" i="1"/>
  <c r="FV27" i="1"/>
  <c r="BU27" i="1"/>
  <c r="DQ27" i="1"/>
  <c r="GB27" i="1"/>
  <c r="CJ27" i="1"/>
  <c r="IP27" i="1"/>
  <c r="EX27" i="1"/>
  <c r="FG27" i="1"/>
  <c r="IM27" i="1"/>
  <c r="HI27" i="1"/>
  <c r="DT27" i="1"/>
  <c r="EL27" i="1"/>
  <c r="DB27" i="1"/>
  <c r="Y27" i="1"/>
  <c r="IS27" i="1"/>
  <c r="CV27" i="1"/>
  <c r="AT27" i="1"/>
  <c r="FM27" i="1"/>
  <c r="BO27" i="1"/>
  <c r="BX27" i="1"/>
  <c r="DK27" i="1"/>
  <c r="JE27" i="1"/>
  <c r="CP27" i="1"/>
  <c r="M27" i="1"/>
  <c r="AB27" i="1"/>
  <c r="HC27" i="1"/>
  <c r="GE27" i="1"/>
  <c r="BC27" i="1"/>
  <c r="JH27" i="1"/>
  <c r="JB27" i="1"/>
  <c r="IA27" i="1"/>
  <c r="CD27" i="1"/>
  <c r="GN27" i="1"/>
  <c r="GH27" i="1"/>
  <c r="GW27" i="1"/>
  <c r="HL27" i="1"/>
  <c r="FP27" i="1"/>
  <c r="FJ27" i="1"/>
  <c r="FA27" i="1"/>
  <c r="ID27" i="1"/>
  <c r="JB18" i="1"/>
  <c r="IP18" i="1"/>
  <c r="ID18" i="1"/>
  <c r="HR18" i="1"/>
  <c r="HF18" i="1"/>
  <c r="GT18" i="1"/>
  <c r="GH18" i="1"/>
  <c r="FV18" i="1"/>
  <c r="FJ18" i="1"/>
  <c r="EX18" i="1"/>
  <c r="EL18" i="1"/>
  <c r="DZ18" i="1"/>
  <c r="DN18" i="1"/>
  <c r="DB18" i="1"/>
  <c r="CP18" i="1"/>
  <c r="CD18" i="1"/>
  <c r="BR18" i="1"/>
  <c r="BF18" i="1"/>
  <c r="AT18" i="1"/>
  <c r="AH18" i="1"/>
  <c r="V18" i="1"/>
  <c r="J18" i="1"/>
  <c r="IY18" i="1"/>
  <c r="IM18" i="1"/>
  <c r="IA18" i="1"/>
  <c r="HO18" i="1"/>
  <c r="HC18" i="1"/>
  <c r="GQ18" i="1"/>
  <c r="GE18" i="1"/>
  <c r="FS18" i="1"/>
  <c r="FG18" i="1"/>
  <c r="EU18" i="1"/>
  <c r="EI18" i="1"/>
  <c r="DW18" i="1"/>
  <c r="DK18" i="1"/>
  <c r="CY18" i="1"/>
  <c r="CM18" i="1"/>
  <c r="CA18" i="1"/>
  <c r="BO18" i="1"/>
  <c r="BC18" i="1"/>
  <c r="AQ18" i="1"/>
  <c r="AE18" i="1"/>
  <c r="S18" i="1"/>
  <c r="G18" i="1"/>
  <c r="JH18" i="1"/>
  <c r="IV18" i="1"/>
  <c r="IJ18" i="1"/>
  <c r="HX18" i="1"/>
  <c r="HL18" i="1"/>
  <c r="GZ18" i="1"/>
  <c r="GN18" i="1"/>
  <c r="GB18" i="1"/>
  <c r="FP18" i="1"/>
  <c r="FD18" i="1"/>
  <c r="ER18" i="1"/>
  <c r="EF18" i="1"/>
  <c r="DT18" i="1"/>
  <c r="DH18" i="1"/>
  <c r="CV18" i="1"/>
  <c r="CJ18" i="1"/>
  <c r="BX18" i="1"/>
  <c r="BL18" i="1"/>
  <c r="AZ18" i="1"/>
  <c r="AN18" i="1"/>
  <c r="AB18" i="1"/>
  <c r="P18" i="1"/>
  <c r="JE18" i="1"/>
  <c r="IS18" i="1"/>
  <c r="IG18" i="1"/>
  <c r="HU18" i="1"/>
  <c r="HI18" i="1"/>
  <c r="GW18" i="1"/>
  <c r="GK18" i="1"/>
  <c r="FY18" i="1"/>
  <c r="FM18" i="1"/>
  <c r="FA18" i="1"/>
  <c r="EO18" i="1"/>
  <c r="EC18" i="1"/>
  <c r="DQ18" i="1"/>
  <c r="DE18" i="1"/>
  <c r="CS18" i="1"/>
  <c r="CG18" i="1"/>
  <c r="BU18" i="1"/>
  <c r="BI18" i="1"/>
  <c r="AW18" i="1"/>
  <c r="AK18" i="1"/>
  <c r="Y18" i="1"/>
  <c r="M18" i="1"/>
  <c r="JH31" i="1"/>
  <c r="GT31" i="1"/>
  <c r="GB31" i="1"/>
  <c r="FJ31" i="1"/>
  <c r="J31" i="1"/>
  <c r="DZ31" i="1"/>
  <c r="DH31" i="1"/>
  <c r="CP31" i="1"/>
  <c r="IP31" i="1"/>
  <c r="HX31" i="1"/>
  <c r="HF31" i="1"/>
  <c r="BF31" i="1"/>
  <c r="AN31" i="1"/>
  <c r="V31" i="1"/>
  <c r="JE31" i="1"/>
  <c r="FV31" i="1"/>
  <c r="FD31" i="1"/>
  <c r="EL31" i="1"/>
  <c r="JB31" i="1"/>
  <c r="DB31" i="1"/>
  <c r="CJ31" i="1"/>
  <c r="BR31" i="1"/>
  <c r="EX31" i="1"/>
  <c r="EF31" i="1"/>
  <c r="DN31" i="1"/>
  <c r="AT31" i="1"/>
  <c r="BL31" i="1"/>
  <c r="ID31" i="1"/>
  <c r="CD31" i="1"/>
  <c r="IV31" i="1"/>
  <c r="P31" i="1"/>
  <c r="GH31" i="1"/>
  <c r="AH31" i="1"/>
  <c r="GZ31" i="1"/>
  <c r="HR31" i="1"/>
  <c r="DT31" i="1"/>
  <c r="AZ31" i="1"/>
  <c r="FP31" i="1"/>
  <c r="CV31" i="1"/>
  <c r="HL31" i="1"/>
  <c r="S31" i="1"/>
  <c r="DK31" i="1"/>
  <c r="HC31" i="1"/>
  <c r="Y31" i="1"/>
  <c r="DQ31" i="1"/>
  <c r="HI31" i="1"/>
  <c r="ER31" i="1"/>
  <c r="GN31" i="1"/>
  <c r="AB31" i="1"/>
  <c r="CY31" i="1"/>
  <c r="HO31" i="1"/>
  <c r="CG31" i="1"/>
  <c r="GK31" i="1"/>
  <c r="G31" i="1"/>
  <c r="DW31" i="1"/>
  <c r="IA31" i="1"/>
  <c r="CS31" i="1"/>
  <c r="GW31" i="1"/>
  <c r="AE31" i="1"/>
  <c r="EI31" i="1"/>
  <c r="IM31" i="1"/>
  <c r="DE31" i="1"/>
  <c r="HU31" i="1"/>
  <c r="BX31" i="1"/>
  <c r="AQ31" i="1"/>
  <c r="EU31" i="1"/>
  <c r="IY31" i="1"/>
  <c r="M31" i="1"/>
  <c r="EC31" i="1"/>
  <c r="IG31" i="1"/>
  <c r="BC31" i="1"/>
  <c r="FG31" i="1"/>
  <c r="AK31" i="1"/>
  <c r="EO31" i="1"/>
  <c r="IS31" i="1"/>
  <c r="IJ31" i="1"/>
  <c r="BO31" i="1"/>
  <c r="BU31" i="1"/>
  <c r="CA31" i="1"/>
  <c r="AW31" i="1"/>
  <c r="CM31" i="1"/>
  <c r="BI31" i="1"/>
  <c r="FS31" i="1"/>
  <c r="GE31" i="1"/>
  <c r="FA31" i="1"/>
  <c r="FY31" i="1"/>
  <c r="FM31" i="1"/>
  <c r="GQ31" i="1"/>
  <c r="EI28" i="1"/>
  <c r="IM28" i="1"/>
  <c r="G28" i="1"/>
  <c r="GQ28" i="1"/>
  <c r="CM28" i="1"/>
  <c r="EU28" i="1"/>
  <c r="AQ28" i="1"/>
  <c r="CY28" i="1"/>
  <c r="BC28" i="1"/>
  <c r="IV28" i="1"/>
  <c r="FD28" i="1"/>
  <c r="BL28" i="1"/>
  <c r="HR28" i="1"/>
  <c r="DZ28" i="1"/>
  <c r="AH28" i="1"/>
  <c r="GE28" i="1"/>
  <c r="BI28" i="1"/>
  <c r="AE28" i="1"/>
  <c r="IJ28" i="1"/>
  <c r="ER28" i="1"/>
  <c r="AZ28" i="1"/>
  <c r="HF28" i="1"/>
  <c r="DN28" i="1"/>
  <c r="V28" i="1"/>
  <c r="Y28" i="1"/>
  <c r="IA28" i="1"/>
  <c r="DE28" i="1"/>
  <c r="CA28" i="1"/>
  <c r="HX28" i="1"/>
  <c r="EF28" i="1"/>
  <c r="AN28" i="1"/>
  <c r="GT28" i="1"/>
  <c r="DB28" i="1"/>
  <c r="J28" i="1"/>
  <c r="BU28" i="1"/>
  <c r="FA28" i="1"/>
  <c r="DW28" i="1"/>
  <c r="FG28" i="1"/>
  <c r="HL28" i="1"/>
  <c r="DT28" i="1"/>
  <c r="AB28" i="1"/>
  <c r="GH28" i="1"/>
  <c r="CP28" i="1"/>
  <c r="AK28" i="1"/>
  <c r="GZ28" i="1"/>
  <c r="DH28" i="1"/>
  <c r="P28" i="1"/>
  <c r="FV28" i="1"/>
  <c r="CD28" i="1"/>
  <c r="CG28" i="1"/>
  <c r="FM28" i="1"/>
  <c r="IS28" i="1"/>
  <c r="HO28" i="1"/>
  <c r="GB28" i="1"/>
  <c r="CJ28" i="1"/>
  <c r="IP28" i="1"/>
  <c r="EX28" i="1"/>
  <c r="BF28" i="1"/>
  <c r="FY28" i="1"/>
  <c r="JE28" i="1"/>
  <c r="FP28" i="1"/>
  <c r="AT28" i="1"/>
  <c r="GK28" i="1"/>
  <c r="CV28" i="1"/>
  <c r="EC28" i="1"/>
  <c r="IG28" i="1"/>
  <c r="S28" i="1"/>
  <c r="BX28" i="1"/>
  <c r="HU28" i="1"/>
  <c r="BO28" i="1"/>
  <c r="JB28" i="1"/>
  <c r="FS28" i="1"/>
  <c r="DK28" i="1"/>
  <c r="ID28" i="1"/>
  <c r="DQ28" i="1"/>
  <c r="M28" i="1"/>
  <c r="HC28" i="1"/>
  <c r="JH28" i="1"/>
  <c r="EL28" i="1"/>
  <c r="CS28" i="1"/>
  <c r="GN28" i="1"/>
  <c r="FJ28" i="1"/>
  <c r="IY28" i="1"/>
  <c r="BR28" i="1"/>
  <c r="EO28" i="1"/>
  <c r="HI28" i="1"/>
  <c r="GW28" i="1"/>
  <c r="AW28" i="1"/>
  <c r="IY26" i="1"/>
  <c r="IG26" i="1"/>
  <c r="DN26" i="1"/>
  <c r="AK26" i="1"/>
  <c r="V26" i="1"/>
  <c r="G26" i="1"/>
  <c r="GE26" i="1"/>
  <c r="FJ26" i="1"/>
  <c r="BO26" i="1"/>
  <c r="IP26" i="1"/>
  <c r="HI26" i="1"/>
  <c r="GQ26" i="1"/>
  <c r="DZ26" i="1"/>
  <c r="CS26" i="1"/>
  <c r="CD26" i="1"/>
  <c r="AW26" i="1"/>
  <c r="AH26" i="1"/>
  <c r="DQ26" i="1"/>
  <c r="CY26" i="1"/>
  <c r="J26" i="1"/>
  <c r="FA26" i="1"/>
  <c r="EI26" i="1"/>
  <c r="Y26" i="1"/>
  <c r="HF26" i="1"/>
  <c r="GK26" i="1"/>
  <c r="BI26" i="1"/>
  <c r="AQ26" i="1"/>
  <c r="IS26" i="1"/>
  <c r="GH26" i="1"/>
  <c r="CP26" i="1"/>
  <c r="BC26" i="1"/>
  <c r="HR26" i="1"/>
  <c r="CM26" i="1"/>
  <c r="BR26" i="1"/>
  <c r="DE26" i="1"/>
  <c r="EO26" i="1"/>
  <c r="FG26" i="1"/>
  <c r="M26" i="1"/>
  <c r="CA26" i="1"/>
  <c r="DB26" i="1"/>
  <c r="EC26" i="1"/>
  <c r="EU26" i="1"/>
  <c r="CG26" i="1"/>
  <c r="IJ26" i="1"/>
  <c r="ER26" i="1"/>
  <c r="AZ26" i="1"/>
  <c r="EL26" i="1"/>
  <c r="FS26" i="1"/>
  <c r="GW26" i="1"/>
  <c r="HU26" i="1"/>
  <c r="IA26" i="1"/>
  <c r="IV26" i="1"/>
  <c r="EF26" i="1"/>
  <c r="AB26" i="1"/>
  <c r="ID26" i="1"/>
  <c r="HX26" i="1"/>
  <c r="DT26" i="1"/>
  <c r="P26" i="1"/>
  <c r="JE26" i="1"/>
  <c r="FV26" i="1"/>
  <c r="AE26" i="1"/>
  <c r="HL26" i="1"/>
  <c r="DH26" i="1"/>
  <c r="S26" i="1"/>
  <c r="GT26" i="1"/>
  <c r="IM26" i="1"/>
  <c r="BF26" i="1"/>
  <c r="GZ26" i="1"/>
  <c r="CV26" i="1"/>
  <c r="AT26" i="1"/>
  <c r="DW26" i="1"/>
  <c r="GN26" i="1"/>
  <c r="CJ26" i="1"/>
  <c r="BU26" i="1"/>
  <c r="FY26" i="1"/>
  <c r="FP26" i="1"/>
  <c r="BL26" i="1"/>
  <c r="FM26" i="1"/>
  <c r="JH26" i="1"/>
  <c r="JB26" i="1"/>
  <c r="GB26" i="1"/>
  <c r="FD26" i="1"/>
  <c r="EX26" i="1"/>
  <c r="BX26" i="1"/>
  <c r="HO26" i="1"/>
  <c r="AN26" i="1"/>
  <c r="HC26" i="1"/>
  <c r="DK26" i="1"/>
  <c r="JH29" i="1"/>
  <c r="M29" i="1"/>
  <c r="BO29" i="1"/>
  <c r="AW29" i="1"/>
  <c r="GN29" i="1"/>
  <c r="DZ29" i="1"/>
  <c r="FP29" i="1"/>
  <c r="FV29" i="1"/>
  <c r="BI29" i="1"/>
  <c r="AQ29" i="1"/>
  <c r="S29" i="1"/>
  <c r="HR29" i="1"/>
  <c r="CV29" i="1"/>
  <c r="CA29" i="1"/>
  <c r="HU29" i="1"/>
  <c r="EC29" i="1"/>
  <c r="HC29" i="1"/>
  <c r="DK29" i="1"/>
  <c r="GB29" i="1"/>
  <c r="P29" i="1"/>
  <c r="DH29" i="1"/>
  <c r="AK29" i="1"/>
  <c r="EX29" i="1"/>
  <c r="HI29" i="1"/>
  <c r="DQ29" i="1"/>
  <c r="GQ29" i="1"/>
  <c r="CY29" i="1"/>
  <c r="EF29" i="1"/>
  <c r="JB29" i="1"/>
  <c r="CD29" i="1"/>
  <c r="CG29" i="1"/>
  <c r="IP29" i="1"/>
  <c r="GW29" i="1"/>
  <c r="DE29" i="1"/>
  <c r="GE29" i="1"/>
  <c r="CM29" i="1"/>
  <c r="CJ29" i="1"/>
  <c r="HF29" i="1"/>
  <c r="BR29" i="1"/>
  <c r="DT29" i="1"/>
  <c r="G29" i="1"/>
  <c r="FY29" i="1"/>
  <c r="IY29" i="1"/>
  <c r="FG29" i="1"/>
  <c r="GH29" i="1"/>
  <c r="BL29" i="1"/>
  <c r="DN29" i="1"/>
  <c r="AT29" i="1"/>
  <c r="IS29" i="1"/>
  <c r="FA29" i="1"/>
  <c r="IA29" i="1"/>
  <c r="EI29" i="1"/>
  <c r="EO29" i="1"/>
  <c r="EL29" i="1"/>
  <c r="IV29" i="1"/>
  <c r="ER29" i="1"/>
  <c r="CS29" i="1"/>
  <c r="CP29" i="1"/>
  <c r="GZ29" i="1"/>
  <c r="IJ29" i="1"/>
  <c r="IM29" i="1"/>
  <c r="HX29" i="1"/>
  <c r="FD29" i="1"/>
  <c r="BC29" i="1"/>
  <c r="HO29" i="1"/>
  <c r="BX29" i="1"/>
  <c r="BF29" i="1"/>
  <c r="DB29" i="1"/>
  <c r="JE29" i="1"/>
  <c r="FS29" i="1"/>
  <c r="AZ29" i="1"/>
  <c r="AH29" i="1"/>
  <c r="GT29" i="1"/>
  <c r="AE29" i="1"/>
  <c r="GK29" i="1"/>
  <c r="DW29" i="1"/>
  <c r="AB29" i="1"/>
  <c r="J29" i="1"/>
  <c r="V29" i="1"/>
  <c r="HL29" i="1"/>
  <c r="IG29" i="1"/>
  <c r="Y29" i="1"/>
  <c r="FM29" i="1"/>
  <c r="BU29" i="1"/>
  <c r="EU29" i="1"/>
  <c r="AN29" i="1"/>
  <c r="FJ29" i="1"/>
  <c r="ID29" i="1"/>
  <c r="IS25" i="1"/>
  <c r="HR25" i="1"/>
  <c r="GQ25" i="1"/>
  <c r="FA25" i="1"/>
  <c r="DZ25" i="1"/>
  <c r="CY25" i="1"/>
  <c r="JE25" i="1"/>
  <c r="ID25" i="1"/>
  <c r="HC25" i="1"/>
  <c r="FM25" i="1"/>
  <c r="EL25" i="1"/>
  <c r="DK25" i="1"/>
  <c r="BU25" i="1"/>
  <c r="AT25" i="1"/>
  <c r="S25" i="1"/>
  <c r="GW25" i="1"/>
  <c r="GH25" i="1"/>
  <c r="EO25" i="1"/>
  <c r="CS25" i="1"/>
  <c r="BC25" i="1"/>
  <c r="Y25" i="1"/>
  <c r="J25" i="1"/>
  <c r="IP25" i="1"/>
  <c r="IA25" i="1"/>
  <c r="FS25" i="1"/>
  <c r="DW25" i="1"/>
  <c r="CD25" i="1"/>
  <c r="BO25" i="1"/>
  <c r="AK25" i="1"/>
  <c r="HI25" i="1"/>
  <c r="GT25" i="1"/>
  <c r="GE25" i="1"/>
  <c r="DE25" i="1"/>
  <c r="CP25" i="1"/>
  <c r="V25" i="1"/>
  <c r="G25" i="1"/>
  <c r="JB25" i="1"/>
  <c r="IM25" i="1"/>
  <c r="EX25" i="1"/>
  <c r="EI25" i="1"/>
  <c r="CA25" i="1"/>
  <c r="AW25" i="1"/>
  <c r="AH25" i="1"/>
  <c r="JH25" i="1"/>
  <c r="HU25" i="1"/>
  <c r="HF25" i="1"/>
  <c r="DQ25" i="1"/>
  <c r="DB25" i="1"/>
  <c r="CM25" i="1"/>
  <c r="BI25" i="1"/>
  <c r="IY25" i="1"/>
  <c r="FY25" i="1"/>
  <c r="FJ25" i="1"/>
  <c r="EU25" i="1"/>
  <c r="AE25" i="1"/>
  <c r="HO25" i="1"/>
  <c r="DN25" i="1"/>
  <c r="M25" i="1"/>
  <c r="IG25" i="1"/>
  <c r="FV25" i="1"/>
  <c r="EC25" i="1"/>
  <c r="BR25" i="1"/>
  <c r="GK25" i="1"/>
  <c r="CG25" i="1"/>
  <c r="FG25" i="1"/>
  <c r="AQ25" i="1"/>
  <c r="BF25" i="1"/>
  <c r="CJ25" i="1"/>
  <c r="CV25" i="1"/>
  <c r="GN25" i="1"/>
  <c r="AB25" i="1"/>
  <c r="EF25" i="1"/>
  <c r="IJ25" i="1"/>
  <c r="P25" i="1"/>
  <c r="ER25" i="1"/>
  <c r="IV25" i="1"/>
  <c r="AN25" i="1"/>
  <c r="FD25" i="1"/>
  <c r="AZ25" i="1"/>
  <c r="FP25" i="1"/>
  <c r="BL25" i="1"/>
  <c r="GB25" i="1"/>
  <c r="DH25" i="1"/>
  <c r="HL25" i="1"/>
  <c r="DT25" i="1"/>
  <c r="GZ25" i="1"/>
  <c r="HX25" i="1"/>
  <c r="BX25" i="1"/>
  <c r="JE19" i="1"/>
  <c r="IS19" i="1"/>
  <c r="IG19" i="1"/>
  <c r="HU19" i="1"/>
  <c r="HI19" i="1"/>
  <c r="GW19" i="1"/>
  <c r="GK19" i="1"/>
  <c r="FY19" i="1"/>
  <c r="FM19" i="1"/>
  <c r="FA19" i="1"/>
  <c r="EO19" i="1"/>
  <c r="EC19" i="1"/>
  <c r="DQ19" i="1"/>
  <c r="DE19" i="1"/>
  <c r="CS19" i="1"/>
  <c r="CG19" i="1"/>
  <c r="BU19" i="1"/>
  <c r="BI19" i="1"/>
  <c r="AW19" i="1"/>
  <c r="AK19" i="1"/>
  <c r="Y19" i="1"/>
  <c r="M19" i="1"/>
  <c r="ID19" i="1"/>
  <c r="HC19" i="1"/>
  <c r="GB19" i="1"/>
  <c r="EL19" i="1"/>
  <c r="DK19" i="1"/>
  <c r="CJ19" i="1"/>
  <c r="AT19" i="1"/>
  <c r="S19" i="1"/>
  <c r="IP19" i="1"/>
  <c r="HO19" i="1"/>
  <c r="GN19" i="1"/>
  <c r="EX19" i="1"/>
  <c r="DW19" i="1"/>
  <c r="CV19" i="1"/>
  <c r="BF19" i="1"/>
  <c r="AE19" i="1"/>
  <c r="JB19" i="1"/>
  <c r="IA19" i="1"/>
  <c r="GZ19" i="1"/>
  <c r="FJ19" i="1"/>
  <c r="EI19" i="1"/>
  <c r="DH19" i="1"/>
  <c r="BR19" i="1"/>
  <c r="AQ19" i="1"/>
  <c r="P19" i="1"/>
  <c r="IM19" i="1"/>
  <c r="HL19" i="1"/>
  <c r="FV19" i="1"/>
  <c r="EU19" i="1"/>
  <c r="DT19" i="1"/>
  <c r="CD19" i="1"/>
  <c r="BC19" i="1"/>
  <c r="AB19" i="1"/>
  <c r="IY19" i="1"/>
  <c r="HX19" i="1"/>
  <c r="GH19" i="1"/>
  <c r="FG19" i="1"/>
  <c r="EF19" i="1"/>
  <c r="CP19" i="1"/>
  <c r="BO19" i="1"/>
  <c r="AN19" i="1"/>
  <c r="IV19" i="1"/>
  <c r="HF19" i="1"/>
  <c r="GE19" i="1"/>
  <c r="FD19" i="1"/>
  <c r="DN19" i="1"/>
  <c r="CM19" i="1"/>
  <c r="BL19" i="1"/>
  <c r="V19" i="1"/>
  <c r="AZ19" i="1"/>
  <c r="FP19" i="1"/>
  <c r="DZ19" i="1"/>
  <c r="ER19" i="1"/>
  <c r="DB19" i="1"/>
  <c r="G19" i="1"/>
  <c r="JH19" i="1"/>
  <c r="HR19" i="1"/>
  <c r="IJ19" i="1"/>
  <c r="GT19" i="1"/>
  <c r="CY19" i="1"/>
  <c r="CA19" i="1"/>
  <c r="GQ19" i="1"/>
  <c r="FS19" i="1"/>
  <c r="BX19" i="1"/>
  <c r="AH19" i="1"/>
  <c r="GH35" i="1"/>
  <c r="DN35" i="1"/>
  <c r="CY35" i="1"/>
  <c r="BR35" i="1"/>
  <c r="BC35" i="1"/>
  <c r="HF35" i="1"/>
  <c r="EX35" i="1"/>
  <c r="G35" i="1"/>
  <c r="DZ35" i="1"/>
  <c r="DK35" i="1"/>
  <c r="CD35" i="1"/>
  <c r="BO35" i="1"/>
  <c r="AH35" i="1"/>
  <c r="S35" i="1"/>
  <c r="IY35" i="1"/>
  <c r="IP35" i="1"/>
  <c r="HR35" i="1"/>
  <c r="FJ35" i="1"/>
  <c r="DW35" i="1"/>
  <c r="CP35" i="1"/>
  <c r="CA35" i="1"/>
  <c r="AT35" i="1"/>
  <c r="AE35" i="1"/>
  <c r="JB35" i="1"/>
  <c r="GT35" i="1"/>
  <c r="DB35" i="1"/>
  <c r="CM35" i="1"/>
  <c r="BF35" i="1"/>
  <c r="AQ35" i="1"/>
  <c r="FV35" i="1"/>
  <c r="M35" i="1"/>
  <c r="J35" i="1"/>
  <c r="Y35" i="1"/>
  <c r="ID35" i="1"/>
  <c r="EL35" i="1"/>
  <c r="AW35" i="1"/>
  <c r="EO35" i="1"/>
  <c r="IG35" i="1"/>
  <c r="BX35" i="1"/>
  <c r="FP35" i="1"/>
  <c r="JH35" i="1"/>
  <c r="BI35" i="1"/>
  <c r="FA35" i="1"/>
  <c r="IS35" i="1"/>
  <c r="CJ35" i="1"/>
  <c r="GB35" i="1"/>
  <c r="FS35" i="1"/>
  <c r="BU35" i="1"/>
  <c r="FM35" i="1"/>
  <c r="JE35" i="1"/>
  <c r="CV35" i="1"/>
  <c r="GN35" i="1"/>
  <c r="CG35" i="1"/>
  <c r="FY35" i="1"/>
  <c r="P35" i="1"/>
  <c r="DH35" i="1"/>
  <c r="GZ35" i="1"/>
  <c r="GQ35" i="1"/>
  <c r="CS35" i="1"/>
  <c r="GK35" i="1"/>
  <c r="AB35" i="1"/>
  <c r="DT35" i="1"/>
  <c r="HL35" i="1"/>
  <c r="HC35" i="1"/>
  <c r="AN35" i="1"/>
  <c r="IV35" i="1"/>
  <c r="IA35" i="1"/>
  <c r="EI35" i="1"/>
  <c r="AK35" i="1"/>
  <c r="AZ35" i="1"/>
  <c r="IM35" i="1"/>
  <c r="DE35" i="1"/>
  <c r="BL35" i="1"/>
  <c r="DQ35" i="1"/>
  <c r="EF35" i="1"/>
  <c r="EC35" i="1"/>
  <c r="ER35" i="1"/>
  <c r="EU35" i="1"/>
  <c r="HI35" i="1"/>
  <c r="HX35" i="1"/>
  <c r="GE35" i="1"/>
  <c r="V35" i="1"/>
  <c r="HU35" i="1"/>
  <c r="IJ35" i="1"/>
  <c r="HO35" i="1"/>
  <c r="FG35" i="1"/>
  <c r="GW35" i="1"/>
  <c r="FD35" i="1"/>
  <c r="BC35" i="48"/>
  <c r="I35" i="48"/>
  <c r="AJ35" i="48"/>
  <c r="AD35" i="48"/>
  <c r="C34" i="45"/>
  <c r="J35" i="48"/>
  <c r="E35" i="2"/>
  <c r="BM35" i="2" s="1"/>
  <c r="K33" i="45"/>
  <c r="O33" i="45"/>
  <c r="R33" i="45"/>
  <c r="G33" i="45"/>
  <c r="X155" i="46"/>
  <c r="E34" i="2"/>
  <c r="BM34" i="2" s="1"/>
  <c r="J20" i="9"/>
  <c r="J20" i="8" s="1"/>
  <c r="J9" i="9"/>
  <c r="J9" i="8" s="1"/>
  <c r="J23" i="9"/>
  <c r="J23" i="8" s="1"/>
  <c r="J23" i="7" s="1"/>
  <c r="J23" i="6" s="1"/>
  <c r="J23" i="37" s="1"/>
  <c r="J23" i="4" s="1"/>
  <c r="J23" i="43" s="1"/>
  <c r="R10" i="48"/>
  <c r="C9" i="45" s="1"/>
  <c r="J8" i="9"/>
  <c r="J8" i="8" s="1"/>
  <c r="J22" i="9"/>
  <c r="J22" i="8" s="1"/>
  <c r="J22" i="7" s="1"/>
  <c r="J22" i="6" s="1"/>
  <c r="J22" i="37" s="1"/>
  <c r="J22" i="4" s="1"/>
  <c r="J22" i="43" s="1"/>
  <c r="J25" i="9"/>
  <c r="J25" i="8" s="1"/>
  <c r="J25" i="7" s="1"/>
  <c r="J25" i="6" s="1"/>
  <c r="J25" i="37" s="1"/>
  <c r="J25" i="4" s="1"/>
  <c r="J25" i="43" s="1"/>
  <c r="J40" i="32"/>
  <c r="K57" i="32" s="1"/>
  <c r="I48" i="32"/>
  <c r="J21" i="9"/>
  <c r="J21" i="8" s="1"/>
  <c r="J24" i="9"/>
  <c r="J24" i="8" s="1"/>
  <c r="J24" i="7" s="1"/>
  <c r="J24" i="6" s="1"/>
  <c r="J24" i="37" s="1"/>
  <c r="J24" i="4" s="1"/>
  <c r="J24" i="43" s="1"/>
  <c r="X153" i="46"/>
  <c r="AJ29" i="48"/>
  <c r="I29" i="48"/>
  <c r="BC29" i="48"/>
  <c r="AD29" i="48"/>
  <c r="C28" i="45"/>
  <c r="J29" i="48"/>
  <c r="AJ30" i="48"/>
  <c r="J30" i="48"/>
  <c r="I30" i="48"/>
  <c r="AD30" i="48"/>
  <c r="BC30" i="48"/>
  <c r="C29" i="45"/>
  <c r="AJ31" i="48"/>
  <c r="I31" i="48"/>
  <c r="AD31" i="48"/>
  <c r="J31" i="48"/>
  <c r="C30" i="45"/>
  <c r="BC31" i="48"/>
  <c r="J19" i="11"/>
  <c r="J19" i="10" s="1"/>
  <c r="J18" i="11"/>
  <c r="J18" i="10" s="1"/>
  <c r="J15" i="11"/>
  <c r="J15" i="10" s="1"/>
  <c r="J17" i="11"/>
  <c r="J17" i="10" s="1"/>
  <c r="J14" i="11"/>
  <c r="J14" i="10" s="1"/>
  <c r="J11" i="11"/>
  <c r="J11" i="10" s="1"/>
  <c r="J12" i="11"/>
  <c r="J12" i="10" s="1"/>
  <c r="J16" i="11"/>
  <c r="J16" i="10" s="1"/>
  <c r="J10" i="11"/>
  <c r="J10" i="10" s="1"/>
  <c r="AJ27" i="48"/>
  <c r="I27" i="48"/>
  <c r="C26" i="45"/>
  <c r="BC27" i="48"/>
  <c r="J27" i="48"/>
  <c r="AD27" i="48"/>
  <c r="C22" i="45"/>
  <c r="AD23" i="48"/>
  <c r="BC23" i="48"/>
  <c r="AJ23" i="48"/>
  <c r="I23" i="48"/>
  <c r="J23" i="48"/>
  <c r="C25" i="45"/>
  <c r="J26" i="48"/>
  <c r="I26" i="48"/>
  <c r="AJ26" i="48"/>
  <c r="BC26" i="48"/>
  <c r="AD26" i="48"/>
  <c r="J13" i="11"/>
  <c r="J13" i="10" s="1"/>
  <c r="BC28" i="48"/>
  <c r="C27" i="45"/>
  <c r="J28" i="48"/>
  <c r="AJ28" i="48"/>
  <c r="I28" i="48"/>
  <c r="AD28" i="48"/>
  <c r="E19" i="2"/>
  <c r="BM19" i="2" s="1"/>
  <c r="C18" i="45"/>
  <c r="I19" i="48"/>
  <c r="AD19" i="48"/>
  <c r="AJ19" i="48"/>
  <c r="J19" i="48"/>
  <c r="BC19" i="48"/>
  <c r="C16" i="45"/>
  <c r="BC17" i="48"/>
  <c r="AD17" i="48"/>
  <c r="J17" i="48"/>
  <c r="I17" i="48"/>
  <c r="AJ17" i="48"/>
  <c r="BC16" i="48"/>
  <c r="C15" i="45"/>
  <c r="AJ16" i="48"/>
  <c r="I16" i="48"/>
  <c r="AD16" i="48"/>
  <c r="J16" i="48"/>
  <c r="I45" i="31"/>
  <c r="I48" i="31"/>
  <c r="Z150" i="46"/>
  <c r="Z150" i="57"/>
  <c r="AB150" i="57"/>
  <c r="I48" i="27"/>
  <c r="I45" i="27"/>
  <c r="R14" i="48"/>
  <c r="C13" i="45" s="1"/>
  <c r="BC15" i="48"/>
  <c r="AJ15" i="48"/>
  <c r="I15" i="48"/>
  <c r="J15" i="48"/>
  <c r="AD15" i="48"/>
  <c r="BC13" i="48"/>
  <c r="J13" i="48"/>
  <c r="I13" i="48"/>
  <c r="AD13" i="48"/>
  <c r="AJ13" i="48"/>
  <c r="I12" i="48"/>
  <c r="AJ12" i="48"/>
  <c r="J12" i="48"/>
  <c r="BC12" i="48"/>
  <c r="AD12" i="48"/>
  <c r="BC11" i="48"/>
  <c r="AD11" i="48"/>
  <c r="I11" i="48"/>
  <c r="AJ11" i="48"/>
  <c r="J11" i="48"/>
  <c r="AA150" i="57"/>
  <c r="T3" i="56" s="1"/>
  <c r="N13" i="55" s="1"/>
  <c r="AI9" i="48"/>
  <c r="M10" i="48"/>
  <c r="I50" i="18"/>
  <c r="I51" i="18"/>
  <c r="I50" i="28"/>
  <c r="I51" i="28"/>
  <c r="I50" i="17"/>
  <c r="I51" i="17"/>
  <c r="I50" i="8"/>
  <c r="I51" i="8"/>
  <c r="I50" i="29"/>
  <c r="I51" i="29"/>
  <c r="I50" i="30"/>
  <c r="I51" i="30"/>
  <c r="J50" i="33"/>
  <c r="J51" i="33"/>
  <c r="I50" i="31"/>
  <c r="I51" i="31"/>
  <c r="W9" i="48"/>
  <c r="I49" i="32"/>
  <c r="I51" i="32" s="1"/>
  <c r="V11" i="48"/>
  <c r="X11" i="48"/>
  <c r="I49" i="7"/>
  <c r="I11" i="56"/>
  <c r="V34" i="48"/>
  <c r="X34" i="48"/>
  <c r="V25" i="48"/>
  <c r="X25" i="48"/>
  <c r="X24" i="48"/>
  <c r="V24" i="48"/>
  <c r="I49" i="22"/>
  <c r="X15" i="48"/>
  <c r="V15" i="48"/>
  <c r="V13" i="48"/>
  <c r="X13" i="48"/>
  <c r="D43" i="26"/>
  <c r="D43" i="25" s="1"/>
  <c r="E45" i="28"/>
  <c r="V12" i="48"/>
  <c r="X12" i="48"/>
  <c r="D39" i="26"/>
  <c r="D39" i="25" s="1"/>
  <c r="D48" i="27"/>
  <c r="E48" i="27" s="1"/>
  <c r="M8" i="29"/>
  <c r="M34" i="30"/>
  <c r="E41" i="29"/>
  <c r="D41" i="27"/>
  <c r="J43" i="27"/>
  <c r="J44" i="29"/>
  <c r="J56" i="27"/>
  <c r="D38" i="28"/>
  <c r="E38" i="27"/>
  <c r="D52" i="29"/>
  <c r="D53" i="29" s="1"/>
  <c r="E50" i="29"/>
  <c r="D50" i="27"/>
  <c r="E52" i="30"/>
  <c r="E53" i="30" s="1"/>
  <c r="E46" i="29"/>
  <c r="D46" i="27"/>
  <c r="D47" i="26"/>
  <c r="E47" i="28"/>
  <c r="E42" i="29"/>
  <c r="D42" i="27"/>
  <c r="E45" i="26"/>
  <c r="D45" i="25"/>
  <c r="D51" i="28"/>
  <c r="E51" i="27"/>
  <c r="E44" i="28"/>
  <c r="D44" i="26"/>
  <c r="E40" i="27"/>
  <c r="D40" i="28"/>
  <c r="A15" i="2" s="1"/>
  <c r="E49" i="28"/>
  <c r="D49" i="26"/>
  <c r="J57" i="27"/>
  <c r="J37" i="29"/>
  <c r="J39" i="30"/>
  <c r="J47" i="27"/>
  <c r="J46" i="28"/>
  <c r="AC13" i="48"/>
  <c r="Q14" i="48"/>
  <c r="M7" i="26"/>
  <c r="J57" i="15"/>
  <c r="P11" i="1" l="1"/>
  <c r="HL11" i="1"/>
  <c r="CA11" i="1"/>
  <c r="IG11" i="1"/>
  <c r="IJ11" i="1"/>
  <c r="HI11" i="1"/>
  <c r="CJ11" i="1"/>
  <c r="CP11" i="1"/>
  <c r="Y11" i="1"/>
  <c r="EU11" i="1"/>
  <c r="GW11" i="1"/>
  <c r="AW11" i="1"/>
  <c r="FS11" i="1"/>
  <c r="DN11" i="1"/>
  <c r="DT11" i="1"/>
  <c r="IM11" i="1"/>
  <c r="FJ11" i="1"/>
  <c r="ER11" i="1"/>
  <c r="G11" i="1"/>
  <c r="FA11" i="1"/>
  <c r="EC11" i="1"/>
  <c r="EO11" i="1"/>
  <c r="GT11" i="1"/>
  <c r="AK11" i="1"/>
  <c r="EF11" i="1"/>
  <c r="HX11" i="1"/>
  <c r="BX11" i="1"/>
  <c r="FG11" i="1"/>
  <c r="IY11" i="1"/>
  <c r="DB11" i="1"/>
  <c r="IS11" i="1"/>
  <c r="FY11" i="1"/>
  <c r="V11" i="1"/>
  <c r="IP11" i="1"/>
  <c r="BI11" i="1"/>
  <c r="FD11" i="1"/>
  <c r="IV11" i="1"/>
  <c r="CV11" i="1"/>
  <c r="GE11" i="1"/>
  <c r="S11" i="1"/>
  <c r="R14" i="45"/>
  <c r="GH11" i="1"/>
  <c r="AH11" i="1"/>
  <c r="HF11" i="1"/>
  <c r="FV11" i="1"/>
  <c r="JE11" i="1"/>
  <c r="BU11" i="1"/>
  <c r="FP11" i="1"/>
  <c r="JH11" i="1"/>
  <c r="DH11" i="1"/>
  <c r="GQ11" i="1"/>
  <c r="AE11" i="1"/>
  <c r="G14" i="45"/>
  <c r="BR11" i="1"/>
  <c r="DZ11" i="1"/>
  <c r="HU11" i="1"/>
  <c r="CD11" i="1"/>
  <c r="J11" i="1"/>
  <c r="CG11" i="1"/>
  <c r="GB11" i="1"/>
  <c r="AB11" i="1"/>
  <c r="DK11" i="1"/>
  <c r="HC11" i="1"/>
  <c r="AQ11" i="1"/>
  <c r="O14" i="45"/>
  <c r="EL11" i="1"/>
  <c r="HR11" i="1"/>
  <c r="JB11" i="1"/>
  <c r="DQ11" i="1"/>
  <c r="AT11" i="1"/>
  <c r="CS11" i="1"/>
  <c r="GN11" i="1"/>
  <c r="AN11" i="1"/>
  <c r="DW11" i="1"/>
  <c r="HO11" i="1"/>
  <c r="BC11" i="1"/>
  <c r="GK11" i="1"/>
  <c r="BF11" i="1"/>
  <c r="ID11" i="1"/>
  <c r="EX11" i="1"/>
  <c r="M11" i="1"/>
  <c r="DE11" i="1"/>
  <c r="GZ11" i="1"/>
  <c r="AZ11" i="1"/>
  <c r="EI11" i="1"/>
  <c r="IA11" i="1"/>
  <c r="BO11" i="1"/>
  <c r="A16" i="48"/>
  <c r="A14" i="45"/>
  <c r="S13" i="1"/>
  <c r="ID13" i="1"/>
  <c r="CS13" i="1"/>
  <c r="R32" i="45"/>
  <c r="G32" i="45"/>
  <c r="O32" i="45"/>
  <c r="AQ13" i="1"/>
  <c r="EL13" i="1"/>
  <c r="JE13" i="1"/>
  <c r="DH13" i="1"/>
  <c r="HR13" i="1"/>
  <c r="CG13" i="1"/>
  <c r="CJ13" i="1"/>
  <c r="BF13" i="1"/>
  <c r="GB13" i="1"/>
  <c r="CY13" i="1"/>
  <c r="BR13" i="1"/>
  <c r="GN13" i="1"/>
  <c r="GE13" i="1"/>
  <c r="FA13" i="1"/>
  <c r="GQ13" i="1"/>
  <c r="FM13" i="1"/>
  <c r="AB13" i="1"/>
  <c r="DZ13" i="1"/>
  <c r="IS13" i="1"/>
  <c r="AK12" i="1"/>
  <c r="P12" i="1"/>
  <c r="CA12" i="1"/>
  <c r="DZ12" i="1"/>
  <c r="GZ12" i="1"/>
  <c r="AB12" i="1"/>
  <c r="HF12" i="1"/>
  <c r="HU12" i="1"/>
  <c r="CV12" i="1"/>
  <c r="HR12" i="1"/>
  <c r="IJ12" i="1"/>
  <c r="FG12" i="1"/>
  <c r="V12" i="1"/>
  <c r="HI12" i="1"/>
  <c r="GE12" i="1"/>
  <c r="DB12" i="1"/>
  <c r="HL12" i="1"/>
  <c r="IM12" i="1"/>
  <c r="IS12" i="1"/>
  <c r="AQ12" i="1"/>
  <c r="BX13" i="1"/>
  <c r="AZ13" i="1"/>
  <c r="DK13" i="1"/>
  <c r="HC13" i="1"/>
  <c r="EX13" i="1"/>
  <c r="IP13" i="1"/>
  <c r="CD13" i="1"/>
  <c r="FY13" i="1"/>
  <c r="M13" i="1"/>
  <c r="DE13" i="1"/>
  <c r="GZ13" i="1"/>
  <c r="CM13" i="1"/>
  <c r="BO13" i="1"/>
  <c r="DW13" i="1"/>
  <c r="HO13" i="1"/>
  <c r="FJ13" i="1"/>
  <c r="JB13" i="1"/>
  <c r="CP13" i="1"/>
  <c r="GK13" i="1"/>
  <c r="Y13" i="1"/>
  <c r="DT13" i="1"/>
  <c r="HL13" i="1"/>
  <c r="P13" i="1"/>
  <c r="CV13" i="1"/>
  <c r="EI13" i="1"/>
  <c r="IA13" i="1"/>
  <c r="FV13" i="1"/>
  <c r="J13" i="1"/>
  <c r="DB13" i="1"/>
  <c r="GW13" i="1"/>
  <c r="AK13" i="1"/>
  <c r="EF13" i="1"/>
  <c r="HX13" i="1"/>
  <c r="AE13" i="1"/>
  <c r="G13" i="1"/>
  <c r="EU13" i="1"/>
  <c r="IM13" i="1"/>
  <c r="GH13" i="1"/>
  <c r="V13" i="1"/>
  <c r="DQ13" i="1"/>
  <c r="HI13" i="1"/>
  <c r="AW13" i="1"/>
  <c r="ER13" i="1"/>
  <c r="IJ13" i="1"/>
  <c r="BL13" i="1"/>
  <c r="AN13" i="1"/>
  <c r="FG13" i="1"/>
  <c r="IY13" i="1"/>
  <c r="GT13" i="1"/>
  <c r="AH13" i="1"/>
  <c r="EC13" i="1"/>
  <c r="HU13" i="1"/>
  <c r="BI13" i="1"/>
  <c r="FD13" i="1"/>
  <c r="IV13" i="1"/>
  <c r="CA13" i="1"/>
  <c r="BC13" i="1"/>
  <c r="FS13" i="1"/>
  <c r="DN13" i="1"/>
  <c r="HF13" i="1"/>
  <c r="AT13" i="1"/>
  <c r="EO13" i="1"/>
  <c r="IG13" i="1"/>
  <c r="BU13" i="1"/>
  <c r="FP13" i="1"/>
  <c r="I9" i="48"/>
  <c r="S9" i="48"/>
  <c r="S10" i="48" s="1"/>
  <c r="BD10" i="48" s="1"/>
  <c r="BC9" i="48"/>
  <c r="E9" i="1"/>
  <c r="AJ9" i="48"/>
  <c r="AD9" i="48"/>
  <c r="C8" i="45"/>
  <c r="C40" i="45" s="1"/>
  <c r="G40" i="45" s="1"/>
  <c r="X9" i="48"/>
  <c r="J9" i="48"/>
  <c r="X155" i="57"/>
  <c r="X153" i="57"/>
  <c r="X150" i="57"/>
  <c r="O41" i="55" s="1"/>
  <c r="P41" i="55" s="1"/>
  <c r="Q41" i="55" s="1"/>
  <c r="CM11" i="1"/>
  <c r="O13" i="45"/>
  <c r="R13" i="45"/>
  <c r="K13" i="45"/>
  <c r="G13" i="45"/>
  <c r="O12" i="45"/>
  <c r="G12" i="45"/>
  <c r="K12" i="45"/>
  <c r="R12" i="45"/>
  <c r="EO12" i="1"/>
  <c r="DQ12" i="1"/>
  <c r="M12" i="1"/>
  <c r="BL12" i="1"/>
  <c r="GQ12" i="1"/>
  <c r="CM12" i="1"/>
  <c r="ID12" i="1"/>
  <c r="GK12" i="1"/>
  <c r="GB12" i="1"/>
  <c r="Y12" i="1"/>
  <c r="BX12" i="1"/>
  <c r="HC12" i="1"/>
  <c r="DN12" i="1"/>
  <c r="J12" i="1"/>
  <c r="IG12" i="1"/>
  <c r="JE12" i="1"/>
  <c r="BU12" i="1"/>
  <c r="DH12" i="1"/>
  <c r="IY12" i="1"/>
  <c r="AT12" i="1"/>
  <c r="ER12" i="1"/>
  <c r="DT12" i="1"/>
  <c r="CG12" i="1"/>
  <c r="DK12" i="1"/>
  <c r="S12" i="1"/>
  <c r="FV12" i="1"/>
  <c r="BF12" i="1"/>
  <c r="FY12" i="1"/>
  <c r="FA12" i="1"/>
  <c r="DE12" i="1"/>
  <c r="EU12" i="1"/>
  <c r="AE12" i="1"/>
  <c r="GH12" i="1"/>
  <c r="BR12" i="1"/>
  <c r="FD12" i="1"/>
  <c r="GN12" i="1"/>
  <c r="HX12" i="1"/>
  <c r="JH12" i="1"/>
  <c r="CS12" i="1"/>
  <c r="CJ12" i="1"/>
  <c r="FS12" i="1"/>
  <c r="G12" i="1"/>
  <c r="CY12" i="1"/>
  <c r="GT12" i="1"/>
  <c r="AH12" i="1"/>
  <c r="IV12" i="1"/>
  <c r="EF12" i="1"/>
  <c r="FP12" i="1"/>
  <c r="AW12" i="1"/>
  <c r="AN12" i="1"/>
  <c r="DW12" i="1"/>
  <c r="HO12" i="1"/>
  <c r="BC12" i="1"/>
  <c r="EX12" i="1"/>
  <c r="IP12" i="1"/>
  <c r="CD12" i="1"/>
  <c r="EC12" i="1"/>
  <c r="FM12" i="1"/>
  <c r="GW12" i="1"/>
  <c r="BI12" i="1"/>
  <c r="AZ12" i="1"/>
  <c r="EI12" i="1"/>
  <c r="IA12" i="1"/>
  <c r="BO12" i="1"/>
  <c r="FJ12" i="1"/>
  <c r="JB12" i="1"/>
  <c r="O11" i="45"/>
  <c r="G11" i="45"/>
  <c r="K11" i="45"/>
  <c r="R11" i="45"/>
  <c r="O10" i="45"/>
  <c r="G10" i="45"/>
  <c r="K10" i="45"/>
  <c r="R10" i="45"/>
  <c r="K9" i="45"/>
  <c r="O9" i="45"/>
  <c r="G9" i="45"/>
  <c r="R9" i="45"/>
  <c r="R41" i="48"/>
  <c r="BC41" i="48" s="1"/>
  <c r="E14" i="1"/>
  <c r="E15" i="2" s="1"/>
  <c r="BM15" i="2" s="1"/>
  <c r="F5" i="55"/>
  <c r="G5" i="55" s="1"/>
  <c r="F4" i="55"/>
  <c r="F32" i="55"/>
  <c r="F18" i="55"/>
  <c r="G18" i="55" s="1"/>
  <c r="F27" i="55"/>
  <c r="F29" i="55"/>
  <c r="F7" i="55"/>
  <c r="G7" i="55" s="1"/>
  <c r="F23" i="55"/>
  <c r="F16" i="55"/>
  <c r="F39" i="55"/>
  <c r="F24" i="55"/>
  <c r="F36" i="55"/>
  <c r="F20" i="55"/>
  <c r="F38" i="55"/>
  <c r="F9" i="55"/>
  <c r="G9" i="55" s="1"/>
  <c r="F28" i="55"/>
  <c r="F21" i="55"/>
  <c r="F10" i="55"/>
  <c r="G10" i="55" s="1"/>
  <c r="F17" i="55"/>
  <c r="F6" i="55"/>
  <c r="G6" i="55" s="1"/>
  <c r="F25" i="55"/>
  <c r="F19" i="55"/>
  <c r="F31" i="55"/>
  <c r="F30" i="55"/>
  <c r="F35" i="55"/>
  <c r="F34" i="55"/>
  <c r="F37" i="55"/>
  <c r="F8" i="55"/>
  <c r="G8" i="55" s="1"/>
  <c r="F11" i="55"/>
  <c r="G11" i="55" s="1"/>
  <c r="F26" i="55"/>
  <c r="F33" i="55"/>
  <c r="F22" i="55"/>
  <c r="IY15" i="1"/>
  <c r="IM15" i="1"/>
  <c r="IA15" i="1"/>
  <c r="HO15" i="1"/>
  <c r="HC15" i="1"/>
  <c r="GQ15" i="1"/>
  <c r="GE15" i="1"/>
  <c r="FS15" i="1"/>
  <c r="FG15" i="1"/>
  <c r="EU15" i="1"/>
  <c r="EI15" i="1"/>
  <c r="DW15" i="1"/>
  <c r="DK15" i="1"/>
  <c r="CY15" i="1"/>
  <c r="IP15" i="1"/>
  <c r="GZ15" i="1"/>
  <c r="FY15" i="1"/>
  <c r="EX15" i="1"/>
  <c r="DH15" i="1"/>
  <c r="JB15" i="1"/>
  <c r="HL15" i="1"/>
  <c r="GK15" i="1"/>
  <c r="FJ15" i="1"/>
  <c r="DT15" i="1"/>
  <c r="CS15" i="1"/>
  <c r="CG15" i="1"/>
  <c r="BU15" i="1"/>
  <c r="BI15" i="1"/>
  <c r="AW15" i="1"/>
  <c r="AK15" i="1"/>
  <c r="Y15" i="1"/>
  <c r="M15" i="1"/>
  <c r="HX15" i="1"/>
  <c r="GW15" i="1"/>
  <c r="FV15" i="1"/>
  <c r="EF15" i="1"/>
  <c r="DE15" i="1"/>
  <c r="IJ15" i="1"/>
  <c r="HI15" i="1"/>
  <c r="GH15" i="1"/>
  <c r="ER15" i="1"/>
  <c r="DQ15" i="1"/>
  <c r="CP15" i="1"/>
  <c r="CD15" i="1"/>
  <c r="BR15" i="1"/>
  <c r="BF15" i="1"/>
  <c r="AT15" i="1"/>
  <c r="AH15" i="1"/>
  <c r="V15" i="1"/>
  <c r="J15" i="1"/>
  <c r="IV15" i="1"/>
  <c r="HU15" i="1"/>
  <c r="GT15" i="1"/>
  <c r="FD15" i="1"/>
  <c r="EC15" i="1"/>
  <c r="DB15" i="1"/>
  <c r="IS15" i="1"/>
  <c r="HR15" i="1"/>
  <c r="GB15" i="1"/>
  <c r="FA15" i="1"/>
  <c r="DZ15" i="1"/>
  <c r="IG15" i="1"/>
  <c r="EL15" i="1"/>
  <c r="CV15" i="1"/>
  <c r="BO15" i="1"/>
  <c r="AZ15" i="1"/>
  <c r="S15" i="1"/>
  <c r="DN15" i="1"/>
  <c r="FM15" i="1"/>
  <c r="JE15" i="1"/>
  <c r="ID15" i="1"/>
  <c r="GN15" i="1"/>
  <c r="CA15" i="1"/>
  <c r="BL15" i="1"/>
  <c r="AE15" i="1"/>
  <c r="P15" i="1"/>
  <c r="JH15" i="1"/>
  <c r="HF15" i="1"/>
  <c r="FP15" i="1"/>
  <c r="CM15" i="1"/>
  <c r="BX15" i="1"/>
  <c r="AQ15" i="1"/>
  <c r="AB15" i="1"/>
  <c r="EO15" i="1"/>
  <c r="CJ15" i="1"/>
  <c r="BC15" i="1"/>
  <c r="AN15" i="1"/>
  <c r="G15" i="1"/>
  <c r="I10" i="48"/>
  <c r="E10" i="1"/>
  <c r="E11" i="2" s="1"/>
  <c r="BM11" i="2" s="1"/>
  <c r="G34" i="45"/>
  <c r="K34" i="45"/>
  <c r="R34" i="45"/>
  <c r="O34" i="45"/>
  <c r="E36" i="2"/>
  <c r="BM36" i="2" s="1"/>
  <c r="J20" i="7"/>
  <c r="J20" i="6" s="1"/>
  <c r="J20" i="37" s="1"/>
  <c r="J20" i="4" s="1"/>
  <c r="J20" i="43" s="1"/>
  <c r="K56" i="32"/>
  <c r="J8" i="7"/>
  <c r="J8" i="6" s="1"/>
  <c r="J8" i="37" s="1"/>
  <c r="J8" i="4" s="1"/>
  <c r="J8" i="43" s="1"/>
  <c r="J41" i="32"/>
  <c r="J21" i="7"/>
  <c r="J21" i="6" s="1"/>
  <c r="J21" i="37" s="1"/>
  <c r="J21" i="4" s="1"/>
  <c r="J21" i="43" s="1"/>
  <c r="J9" i="7"/>
  <c r="J9" i="6" s="1"/>
  <c r="J9" i="37" s="1"/>
  <c r="J9" i="4" s="1"/>
  <c r="J9" i="43" s="1"/>
  <c r="J18" i="9"/>
  <c r="J18" i="8" s="1"/>
  <c r="J18" i="7" s="1"/>
  <c r="J18" i="6" s="1"/>
  <c r="J18" i="37" s="1"/>
  <c r="J18" i="4" s="1"/>
  <c r="J18" i="43" s="1"/>
  <c r="J16" i="9"/>
  <c r="J16" i="8" s="1"/>
  <c r="J16" i="7" s="1"/>
  <c r="J16" i="6" s="1"/>
  <c r="J16" i="37" s="1"/>
  <c r="J16" i="4" s="1"/>
  <c r="J16" i="43" s="1"/>
  <c r="J12" i="9"/>
  <c r="J12" i="8" s="1"/>
  <c r="J12" i="7" s="1"/>
  <c r="J12" i="6" s="1"/>
  <c r="J12" i="37" s="1"/>
  <c r="J12" i="4" s="1"/>
  <c r="J12" i="43" s="1"/>
  <c r="J40" i="31"/>
  <c r="J40" i="30" s="1"/>
  <c r="J45" i="30" s="1"/>
  <c r="AJ10" i="48"/>
  <c r="BC10" i="48"/>
  <c r="J11" i="9"/>
  <c r="J11" i="8" s="1"/>
  <c r="J11" i="7" s="1"/>
  <c r="J11" i="6" s="1"/>
  <c r="J11" i="37" s="1"/>
  <c r="J11" i="4" s="1"/>
  <c r="J11" i="43" s="1"/>
  <c r="J19" i="9"/>
  <c r="J19" i="8" s="1"/>
  <c r="J19" i="7" s="1"/>
  <c r="J19" i="6" s="1"/>
  <c r="J19" i="37" s="1"/>
  <c r="J19" i="4" s="1"/>
  <c r="J19" i="43" s="1"/>
  <c r="AD10" i="48"/>
  <c r="J48" i="32"/>
  <c r="J14" i="9"/>
  <c r="J14" i="8" s="1"/>
  <c r="J17" i="9"/>
  <c r="J17" i="8" s="1"/>
  <c r="J17" i="7" s="1"/>
  <c r="J17" i="6" s="1"/>
  <c r="J17" i="37" s="1"/>
  <c r="J17" i="4" s="1"/>
  <c r="J17" i="43" s="1"/>
  <c r="J15" i="9"/>
  <c r="J15" i="8" s="1"/>
  <c r="J15" i="7" s="1"/>
  <c r="J15" i="6" s="1"/>
  <c r="J15" i="37" s="1"/>
  <c r="J15" i="4" s="1"/>
  <c r="J15" i="43" s="1"/>
  <c r="J45" i="32"/>
  <c r="J10" i="48"/>
  <c r="J13" i="9"/>
  <c r="J13" i="8" s="1"/>
  <c r="J13" i="7" s="1"/>
  <c r="J13" i="6" s="1"/>
  <c r="J13" i="37" s="1"/>
  <c r="J13" i="4" s="1"/>
  <c r="J13" i="43" s="1"/>
  <c r="J10" i="9"/>
  <c r="J10" i="8" s="1"/>
  <c r="J10" i="7" s="1"/>
  <c r="J10" i="6" s="1"/>
  <c r="J10" i="37" s="1"/>
  <c r="J10" i="4" s="1"/>
  <c r="J10" i="43" s="1"/>
  <c r="E30" i="2"/>
  <c r="BM30" i="2" s="1"/>
  <c r="G28" i="45"/>
  <c r="K28" i="45"/>
  <c r="R28" i="45"/>
  <c r="O28" i="45"/>
  <c r="G30" i="45"/>
  <c r="O30" i="45"/>
  <c r="K30" i="45"/>
  <c r="R30" i="45"/>
  <c r="E32" i="2"/>
  <c r="BM32" i="2" s="1"/>
  <c r="E31" i="2"/>
  <c r="BM31" i="2" s="1"/>
  <c r="R29" i="45"/>
  <c r="G29" i="45"/>
  <c r="O29" i="45"/>
  <c r="K29" i="45"/>
  <c r="K26" i="45"/>
  <c r="R26" i="45"/>
  <c r="O26" i="45"/>
  <c r="G26" i="45"/>
  <c r="O25" i="45"/>
  <c r="G25" i="45"/>
  <c r="K25" i="45"/>
  <c r="R25" i="45"/>
  <c r="R22" i="45"/>
  <c r="O22" i="45"/>
  <c r="G22" i="45"/>
  <c r="K22" i="45"/>
  <c r="E24" i="2"/>
  <c r="BM24" i="2" s="1"/>
  <c r="E28" i="2"/>
  <c r="BM28" i="2" s="1"/>
  <c r="E27" i="2"/>
  <c r="BM27" i="2" s="1"/>
  <c r="G27" i="45"/>
  <c r="K27" i="45"/>
  <c r="O27" i="45"/>
  <c r="R27" i="45"/>
  <c r="E29" i="2"/>
  <c r="BM29" i="2" s="1"/>
  <c r="G16" i="45"/>
  <c r="K16" i="45"/>
  <c r="O16" i="45"/>
  <c r="R16" i="45"/>
  <c r="K18" i="45"/>
  <c r="G18" i="45"/>
  <c r="O18" i="45"/>
  <c r="R18" i="45"/>
  <c r="E20" i="2"/>
  <c r="BM20" i="2" s="1"/>
  <c r="E18" i="2"/>
  <c r="BM18" i="2" s="1"/>
  <c r="E17" i="2"/>
  <c r="BM17" i="2" s="1"/>
  <c r="K15" i="45"/>
  <c r="G15" i="45"/>
  <c r="O15" i="45"/>
  <c r="R15" i="45"/>
  <c r="AA150" i="46"/>
  <c r="AA151" i="46" s="1"/>
  <c r="X161" i="46" s="1"/>
  <c r="AB150" i="46"/>
  <c r="I4" i="56" s="1"/>
  <c r="E14" i="55" s="1"/>
  <c r="F14" i="55" s="1"/>
  <c r="G14" i="55" s="1"/>
  <c r="T4" i="56"/>
  <c r="N14" i="55" s="1"/>
  <c r="AB151" i="57"/>
  <c r="X162" i="57" s="1"/>
  <c r="T2" i="56"/>
  <c r="N12" i="55" s="1"/>
  <c r="Z151" i="57"/>
  <c r="X159" i="57" s="1"/>
  <c r="E16" i="2"/>
  <c r="BM16" i="2" s="1"/>
  <c r="BC14" i="48"/>
  <c r="J14" i="48"/>
  <c r="AJ14" i="48"/>
  <c r="AD14" i="48"/>
  <c r="I14" i="48"/>
  <c r="Z151" i="46"/>
  <c r="X159" i="46" s="1"/>
  <c r="I2" i="56"/>
  <c r="E12" i="55" s="1"/>
  <c r="E14" i="2"/>
  <c r="BM14" i="2" s="1"/>
  <c r="E13" i="2"/>
  <c r="BM13" i="2" s="1"/>
  <c r="E12" i="2"/>
  <c r="BM12" i="2" s="1"/>
  <c r="AA151" i="57"/>
  <c r="X161" i="57" s="1"/>
  <c r="U3" i="56"/>
  <c r="O13" i="55" s="1"/>
  <c r="P13" i="55" s="1"/>
  <c r="AI10" i="48"/>
  <c r="M11" i="48"/>
  <c r="M12" i="48" s="1"/>
  <c r="J49" i="32"/>
  <c r="J50" i="32" s="1"/>
  <c r="I50" i="22"/>
  <c r="I51" i="22"/>
  <c r="I50" i="7"/>
  <c r="I51" i="7"/>
  <c r="U10" i="48"/>
  <c r="W10" i="48" s="1"/>
  <c r="V10" i="48"/>
  <c r="X10" i="48"/>
  <c r="V35" i="48"/>
  <c r="X35" i="48"/>
  <c r="V21" i="48"/>
  <c r="X21" i="48"/>
  <c r="E43" i="26"/>
  <c r="E39" i="26"/>
  <c r="D48" i="28"/>
  <c r="E48" i="28" s="1"/>
  <c r="M8" i="27"/>
  <c r="M8" i="28" s="1"/>
  <c r="M34" i="29"/>
  <c r="D41" i="28"/>
  <c r="E41" i="28" s="1"/>
  <c r="E41" i="27"/>
  <c r="J56" i="28"/>
  <c r="J56" i="26" s="1"/>
  <c r="J43" i="28"/>
  <c r="J44" i="28" s="1"/>
  <c r="J44" i="27"/>
  <c r="D38" i="26"/>
  <c r="D38" i="25" s="1"/>
  <c r="E38" i="28"/>
  <c r="E52" i="29"/>
  <c r="E53" i="29" s="1"/>
  <c r="E50" i="27"/>
  <c r="D50" i="28"/>
  <c r="E50" i="28" s="1"/>
  <c r="D43" i="24"/>
  <c r="E43" i="24" s="1"/>
  <c r="E43" i="25"/>
  <c r="E42" i="27"/>
  <c r="D42" i="28"/>
  <c r="D42" i="26" s="1"/>
  <c r="D52" i="27"/>
  <c r="D53" i="27" s="1"/>
  <c r="D47" i="25"/>
  <c r="D47" i="24" s="1"/>
  <c r="E47" i="26"/>
  <c r="E46" i="27"/>
  <c r="D46" i="28"/>
  <c r="E46" i="28" s="1"/>
  <c r="D51" i="26"/>
  <c r="E51" i="26" s="1"/>
  <c r="E51" i="28"/>
  <c r="D40" i="26"/>
  <c r="D40" i="25" s="1"/>
  <c r="E40" i="28"/>
  <c r="D44" i="25"/>
  <c r="E44" i="25" s="1"/>
  <c r="E44" i="26"/>
  <c r="D45" i="24"/>
  <c r="D45" i="23" s="1"/>
  <c r="E45" i="25"/>
  <c r="A16" i="2" s="1"/>
  <c r="J37" i="27"/>
  <c r="J39" i="27" s="1"/>
  <c r="J39" i="29"/>
  <c r="J57" i="28"/>
  <c r="J57" i="26" s="1"/>
  <c r="D49" i="25"/>
  <c r="E49" i="25" s="1"/>
  <c r="E49" i="26"/>
  <c r="D39" i="24"/>
  <c r="E39" i="24" s="1"/>
  <c r="E39" i="25"/>
  <c r="M7" i="25"/>
  <c r="M7" i="24" s="1"/>
  <c r="J47" i="28"/>
  <c r="J46" i="26"/>
  <c r="J47" i="26" s="1"/>
  <c r="J57" i="14"/>
  <c r="J57" i="13" s="1"/>
  <c r="AC14" i="48"/>
  <c r="Q15" i="48"/>
  <c r="AC15" i="48" s="1"/>
  <c r="J14" i="7"/>
  <c r="J14" i="6" s="1"/>
  <c r="J14" i="37" s="1"/>
  <c r="J14" i="4" s="1"/>
  <c r="J14" i="43" s="1"/>
  <c r="A17" i="48" l="1"/>
  <c r="A15" i="45"/>
  <c r="J41" i="31"/>
  <c r="O8" i="45"/>
  <c r="R8" i="45"/>
  <c r="K8" i="45"/>
  <c r="G8" i="45"/>
  <c r="FJ9" i="1"/>
  <c r="AN9" i="1"/>
  <c r="IP9" i="1"/>
  <c r="FP9" i="1"/>
  <c r="GT9" i="1"/>
  <c r="DH9" i="1"/>
  <c r="HO9" i="1"/>
  <c r="BC9" i="1"/>
  <c r="Y9" i="1"/>
  <c r="G9" i="1"/>
  <c r="AK9" i="1"/>
  <c r="E10" i="2"/>
  <c r="DN9" i="1"/>
  <c r="HR9" i="1"/>
  <c r="GB9" i="1"/>
  <c r="EX9" i="1"/>
  <c r="EF9" i="1"/>
  <c r="CP9" i="1"/>
  <c r="CG9" i="1"/>
  <c r="EU9" i="1"/>
  <c r="DQ9" i="1"/>
  <c r="CY9" i="1"/>
  <c r="EC9" i="1"/>
  <c r="CV9" i="1"/>
  <c r="GZ9" i="1"/>
  <c r="GN9" i="1"/>
  <c r="AH9" i="1"/>
  <c r="CD9" i="1"/>
  <c r="AB9" i="1"/>
  <c r="FY9" i="1"/>
  <c r="IM9" i="1"/>
  <c r="HI9" i="1"/>
  <c r="GQ9" i="1"/>
  <c r="S9" i="1"/>
  <c r="AZ9" i="1"/>
  <c r="EL9" i="1"/>
  <c r="IV9" i="1"/>
  <c r="BL9" i="1"/>
  <c r="P9" i="1"/>
  <c r="BU9" i="1"/>
  <c r="AQ9" i="1"/>
  <c r="M9" i="1"/>
  <c r="CA9" i="1"/>
  <c r="HU9" i="1"/>
  <c r="CM9" i="1"/>
  <c r="IJ9" i="1"/>
  <c r="DB9" i="1"/>
  <c r="GH9" i="1"/>
  <c r="DZ9" i="1"/>
  <c r="JH9" i="1"/>
  <c r="FM9" i="1"/>
  <c r="EI9" i="1"/>
  <c r="DE9" i="1"/>
  <c r="FS9" i="1"/>
  <c r="DK9" i="1"/>
  <c r="BI9" i="1"/>
  <c r="FV9" i="1"/>
  <c r="CJ9" i="1"/>
  <c r="DT9" i="1"/>
  <c r="BX9" i="1"/>
  <c r="AT9" i="1"/>
  <c r="JE9" i="1"/>
  <c r="IA9" i="1"/>
  <c r="GW9" i="1"/>
  <c r="AW9" i="1"/>
  <c r="IS9" i="1"/>
  <c r="FA9" i="1"/>
  <c r="JB9" i="1"/>
  <c r="FD9" i="1"/>
  <c r="V9" i="1"/>
  <c r="BR9" i="1"/>
  <c r="J9" i="1"/>
  <c r="HX9" i="1"/>
  <c r="AE9" i="1"/>
  <c r="CS9" i="1"/>
  <c r="BO9" i="1"/>
  <c r="EO9" i="1"/>
  <c r="GE9" i="1"/>
  <c r="HF9" i="1"/>
  <c r="BF9" i="1"/>
  <c r="IY9" i="1"/>
  <c r="ID9" i="1"/>
  <c r="HL9" i="1"/>
  <c r="ER9" i="1"/>
  <c r="DW9" i="1"/>
  <c r="GK9" i="1"/>
  <c r="FG9" i="1"/>
  <c r="IG9" i="1"/>
  <c r="HC9" i="1"/>
  <c r="BD9" i="48"/>
  <c r="AK9" i="48"/>
  <c r="AE9" i="48"/>
  <c r="K9" i="48"/>
  <c r="Y9" i="48"/>
  <c r="AI11" i="48"/>
  <c r="J43" i="26"/>
  <c r="J44" i="26" s="1"/>
  <c r="D48" i="26"/>
  <c r="D48" i="25" s="1"/>
  <c r="E48" i="25" s="1"/>
  <c r="J37" i="28"/>
  <c r="J37" i="26" s="1"/>
  <c r="J37" i="25" s="1"/>
  <c r="AE10" i="48"/>
  <c r="AJ41" i="48"/>
  <c r="I41" i="48"/>
  <c r="AD41" i="48"/>
  <c r="J41" i="48"/>
  <c r="J48" i="30"/>
  <c r="J41" i="30"/>
  <c r="K56" i="31"/>
  <c r="J45" i="31"/>
  <c r="K57" i="30"/>
  <c r="D43" i="23"/>
  <c r="E43" i="23" s="1"/>
  <c r="J40" i="29"/>
  <c r="J41" i="29" s="1"/>
  <c r="K57" i="31"/>
  <c r="K56" i="30"/>
  <c r="J48" i="31"/>
  <c r="D46" i="26"/>
  <c r="E46" i="26" s="1"/>
  <c r="D51" i="25"/>
  <c r="E51" i="25" s="1"/>
  <c r="U2" i="56"/>
  <c r="O12" i="55" s="1"/>
  <c r="P12" i="55" s="1"/>
  <c r="AK10" i="48"/>
  <c r="S11" i="48"/>
  <c r="K11" i="48" s="1"/>
  <c r="K10" i="48"/>
  <c r="J46" i="25"/>
  <c r="J46" i="24" s="1"/>
  <c r="J47" i="24" s="1"/>
  <c r="Y10" i="48"/>
  <c r="X181" i="57"/>
  <c r="X184" i="57" s="1"/>
  <c r="G33" i="55"/>
  <c r="G38" i="55"/>
  <c r="H38" i="55" s="1"/>
  <c r="G36" i="55"/>
  <c r="G31" i="55"/>
  <c r="AB151" i="46"/>
  <c r="X162" i="46" s="1"/>
  <c r="X181" i="46" s="1"/>
  <c r="X184" i="46" s="1"/>
  <c r="I3" i="56"/>
  <c r="E13" i="55" s="1"/>
  <c r="F13" i="55" s="1"/>
  <c r="G13" i="55" s="1"/>
  <c r="U11" i="48"/>
  <c r="W11" i="48" s="1"/>
  <c r="E47" i="25"/>
  <c r="E38" i="26"/>
  <c r="D49" i="24"/>
  <c r="E49" i="24" s="1"/>
  <c r="R40" i="45"/>
  <c r="G19" i="55"/>
  <c r="F12" i="55"/>
  <c r="G12" i="55" s="1"/>
  <c r="D44" i="24"/>
  <c r="A17" i="2" s="1"/>
  <c r="N40" i="55"/>
  <c r="G24" i="55"/>
  <c r="J49" i="31"/>
  <c r="J51" i="31" s="1"/>
  <c r="J2" i="56"/>
  <c r="IY10" i="1"/>
  <c r="IM10" i="1"/>
  <c r="IA10" i="1"/>
  <c r="HO10" i="1"/>
  <c r="HC10" i="1"/>
  <c r="GQ10" i="1"/>
  <c r="GE10" i="1"/>
  <c r="FS10" i="1"/>
  <c r="FG10" i="1"/>
  <c r="EU10" i="1"/>
  <c r="EI10" i="1"/>
  <c r="DW10" i="1"/>
  <c r="DK10" i="1"/>
  <c r="DE10" i="1"/>
  <c r="CS10" i="1"/>
  <c r="CG10" i="1"/>
  <c r="BU10" i="1"/>
  <c r="BI10" i="1"/>
  <c r="AW10" i="1"/>
  <c r="AK10" i="1"/>
  <c r="Y10" i="1"/>
  <c r="JE10" i="1"/>
  <c r="IS10" i="1"/>
  <c r="IG10" i="1"/>
  <c r="HU10" i="1"/>
  <c r="HR10" i="1"/>
  <c r="GB10" i="1"/>
  <c r="FA10" i="1"/>
  <c r="DZ10" i="1"/>
  <c r="CV10" i="1"/>
  <c r="BF10" i="1"/>
  <c r="AE10" i="1"/>
  <c r="DN10" i="1"/>
  <c r="AT10" i="1"/>
  <c r="G10" i="1"/>
  <c r="IV10" i="1"/>
  <c r="GN10" i="1"/>
  <c r="FM10" i="1"/>
  <c r="EL10" i="1"/>
  <c r="DH10" i="1"/>
  <c r="BR10" i="1"/>
  <c r="AQ10" i="1"/>
  <c r="P10" i="1"/>
  <c r="HX10" i="1"/>
  <c r="J10" i="1"/>
  <c r="FP10" i="1"/>
  <c r="ID10" i="1"/>
  <c r="GZ10" i="1"/>
  <c r="FY10" i="1"/>
  <c r="EX10" i="1"/>
  <c r="CD10" i="1"/>
  <c r="BC10" i="1"/>
  <c r="AB10" i="1"/>
  <c r="HI10" i="1"/>
  <c r="ER10" i="1"/>
  <c r="CM10" i="1"/>
  <c r="V10" i="1"/>
  <c r="JH10" i="1"/>
  <c r="HL10" i="1"/>
  <c r="GK10" i="1"/>
  <c r="FJ10" i="1"/>
  <c r="DT10" i="1"/>
  <c r="CP10" i="1"/>
  <c r="BO10" i="1"/>
  <c r="AN10" i="1"/>
  <c r="M10" i="1"/>
  <c r="BL10" i="1"/>
  <c r="IP10" i="1"/>
  <c r="GW10" i="1"/>
  <c r="FV10" i="1"/>
  <c r="EF10" i="1"/>
  <c r="DB10" i="1"/>
  <c r="CA10" i="1"/>
  <c r="AZ10" i="1"/>
  <c r="GH10" i="1"/>
  <c r="DQ10" i="1"/>
  <c r="IJ10" i="1"/>
  <c r="HF10" i="1"/>
  <c r="CJ10" i="1"/>
  <c r="S10" i="1"/>
  <c r="JB10" i="1"/>
  <c r="GT10" i="1"/>
  <c r="FD10" i="1"/>
  <c r="EC10" i="1"/>
  <c r="CY10" i="1"/>
  <c r="BX10" i="1"/>
  <c r="AH10" i="1"/>
  <c r="EO10" i="1"/>
  <c r="G4" i="55"/>
  <c r="O40" i="45"/>
  <c r="K40" i="45"/>
  <c r="U4" i="56"/>
  <c r="O14" i="55" s="1"/>
  <c r="P14" i="55" s="1"/>
  <c r="Q14" i="55" s="1"/>
  <c r="Q16" i="48"/>
  <c r="Q17" i="48" s="1"/>
  <c r="E45" i="24"/>
  <c r="D41" i="26"/>
  <c r="D41" i="25" s="1"/>
  <c r="J51" i="32"/>
  <c r="E52" i="27"/>
  <c r="E53" i="27" s="1"/>
  <c r="G16" i="55"/>
  <c r="D39" i="23"/>
  <c r="D39" i="21" s="1"/>
  <c r="E39" i="21" s="1"/>
  <c r="D50" i="26"/>
  <c r="D50" i="25" s="1"/>
  <c r="E50" i="25" s="1"/>
  <c r="M34" i="27"/>
  <c r="JH14" i="1"/>
  <c r="IV14" i="1"/>
  <c r="IJ14" i="1"/>
  <c r="HX14" i="1"/>
  <c r="HL14" i="1"/>
  <c r="GZ14" i="1"/>
  <c r="GN14" i="1"/>
  <c r="GB14" i="1"/>
  <c r="FP14" i="1"/>
  <c r="FD14" i="1"/>
  <c r="ER14" i="1"/>
  <c r="EF14" i="1"/>
  <c r="DT14" i="1"/>
  <c r="JB14" i="1"/>
  <c r="IP14" i="1"/>
  <c r="ID14" i="1"/>
  <c r="HR14" i="1"/>
  <c r="HF14" i="1"/>
  <c r="GT14" i="1"/>
  <c r="GH14" i="1"/>
  <c r="FV14" i="1"/>
  <c r="FJ14" i="1"/>
  <c r="EX14" i="1"/>
  <c r="EL14" i="1"/>
  <c r="DZ14" i="1"/>
  <c r="DN14" i="1"/>
  <c r="IY14" i="1"/>
  <c r="HC14" i="1"/>
  <c r="FG14" i="1"/>
  <c r="DK14" i="1"/>
  <c r="CY14" i="1"/>
  <c r="CM14" i="1"/>
  <c r="CA14" i="1"/>
  <c r="BO14" i="1"/>
  <c r="BC14" i="1"/>
  <c r="AQ14" i="1"/>
  <c r="AE14" i="1"/>
  <c r="S14" i="1"/>
  <c r="G14" i="1"/>
  <c r="IG14" i="1"/>
  <c r="GK14" i="1"/>
  <c r="EO14" i="1"/>
  <c r="HO14" i="1"/>
  <c r="FS14" i="1"/>
  <c r="DW14" i="1"/>
  <c r="DH14" i="1"/>
  <c r="CV14" i="1"/>
  <c r="CJ14" i="1"/>
  <c r="BX14" i="1"/>
  <c r="BL14" i="1"/>
  <c r="AZ14" i="1"/>
  <c r="AN14" i="1"/>
  <c r="AB14" i="1"/>
  <c r="P14" i="1"/>
  <c r="IS14" i="1"/>
  <c r="GW14" i="1"/>
  <c r="FA14" i="1"/>
  <c r="IA14" i="1"/>
  <c r="GE14" i="1"/>
  <c r="EI14" i="1"/>
  <c r="DE14" i="1"/>
  <c r="CS14" i="1"/>
  <c r="CG14" i="1"/>
  <c r="BU14" i="1"/>
  <c r="BI14" i="1"/>
  <c r="AW14" i="1"/>
  <c r="AK14" i="1"/>
  <c r="Y14" i="1"/>
  <c r="M14" i="1"/>
  <c r="IM14" i="1"/>
  <c r="GQ14" i="1"/>
  <c r="EU14" i="1"/>
  <c r="DB14" i="1"/>
  <c r="CP14" i="1"/>
  <c r="CD14" i="1"/>
  <c r="BR14" i="1"/>
  <c r="BF14" i="1"/>
  <c r="AT14" i="1"/>
  <c r="AH14" i="1"/>
  <c r="V14" i="1"/>
  <c r="J14" i="1"/>
  <c r="HI14" i="1"/>
  <c r="FY14" i="1"/>
  <c r="FM14" i="1"/>
  <c r="HU14" i="1"/>
  <c r="EC14" i="1"/>
  <c r="DQ14" i="1"/>
  <c r="JE14" i="1"/>
  <c r="J4" i="56"/>
  <c r="E40" i="26"/>
  <c r="E42" i="28"/>
  <c r="E52" i="28" s="1"/>
  <c r="E53" i="28" s="1"/>
  <c r="D52" i="28"/>
  <c r="D53" i="28" s="1"/>
  <c r="E42" i="2"/>
  <c r="BM42" i="2" s="1"/>
  <c r="AI12" i="48"/>
  <c r="M13" i="48"/>
  <c r="AI13" i="48" s="1"/>
  <c r="E48" i="26"/>
  <c r="M8" i="26"/>
  <c r="M8" i="25" s="1"/>
  <c r="M34" i="28"/>
  <c r="J56" i="25"/>
  <c r="J56" i="24" s="1"/>
  <c r="D38" i="24"/>
  <c r="E38" i="24" s="1"/>
  <c r="E38" i="25"/>
  <c r="E42" i="26"/>
  <c r="D42" i="25"/>
  <c r="D42" i="24" s="1"/>
  <c r="D47" i="23"/>
  <c r="E47" i="23" s="1"/>
  <c r="E47" i="24"/>
  <c r="D40" i="24"/>
  <c r="E40" i="24" s="1"/>
  <c r="E40" i="25"/>
  <c r="E45" i="23"/>
  <c r="D45" i="21"/>
  <c r="A18" i="2" s="1"/>
  <c r="J57" i="25"/>
  <c r="M7" i="23"/>
  <c r="M7" i="21" s="1"/>
  <c r="J57" i="12"/>
  <c r="J57" i="11" s="1"/>
  <c r="A18" i="48" l="1"/>
  <c r="A16" i="45"/>
  <c r="J43" i="25"/>
  <c r="J43" i="24" s="1"/>
  <c r="J44" i="24" s="1"/>
  <c r="D48" i="24"/>
  <c r="D48" i="23" s="1"/>
  <c r="D48" i="21" s="1"/>
  <c r="F10" i="2"/>
  <c r="BM10" i="2"/>
  <c r="J39" i="28"/>
  <c r="D44" i="23"/>
  <c r="D44" i="21" s="1"/>
  <c r="D44" i="22" s="1"/>
  <c r="E44" i="24"/>
  <c r="D51" i="24"/>
  <c r="E51" i="24" s="1"/>
  <c r="D43" i="21"/>
  <c r="D43" i="22" s="1"/>
  <c r="E43" i="22" s="1"/>
  <c r="K56" i="29"/>
  <c r="K57" i="29"/>
  <c r="J40" i="27"/>
  <c r="J45" i="27" s="1"/>
  <c r="J48" i="29"/>
  <c r="J45" i="29"/>
  <c r="M34" i="26"/>
  <c r="D46" i="25"/>
  <c r="E46" i="25" s="1"/>
  <c r="J47" i="25"/>
  <c r="BD11" i="48"/>
  <c r="AK11" i="48"/>
  <c r="S12" i="48"/>
  <c r="AE11" i="48"/>
  <c r="Y11" i="48"/>
  <c r="E39" i="23"/>
  <c r="D49" i="23"/>
  <c r="E49" i="23" s="1"/>
  <c r="J46" i="23"/>
  <c r="J47" i="23" s="1"/>
  <c r="J3" i="56"/>
  <c r="R144" i="56" s="1"/>
  <c r="E40" i="55"/>
  <c r="F40" i="55"/>
  <c r="F42" i="55" s="1"/>
  <c r="O40" i="55"/>
  <c r="O42" i="55" s="1"/>
  <c r="J49" i="30"/>
  <c r="J51" i="30" s="1"/>
  <c r="U12" i="48"/>
  <c r="J50" i="31"/>
  <c r="J44" i="25"/>
  <c r="H24" i="55"/>
  <c r="H14" i="55"/>
  <c r="H12" i="55"/>
  <c r="D45" i="22"/>
  <c r="E45" i="22" s="1"/>
  <c r="E41" i="26"/>
  <c r="D47" i="21"/>
  <c r="D47" i="22" s="1"/>
  <c r="E42" i="25"/>
  <c r="Q18" i="48"/>
  <c r="AC18" i="48" s="1"/>
  <c r="AC17" i="48"/>
  <c r="AC16" i="48"/>
  <c r="G145" i="56" s="1"/>
  <c r="J39" i="26"/>
  <c r="D52" i="26"/>
  <c r="D53" i="26" s="1"/>
  <c r="E50" i="26"/>
  <c r="E41" i="25"/>
  <c r="D41" i="24"/>
  <c r="D41" i="23" s="1"/>
  <c r="D50" i="24"/>
  <c r="E50" i="24" s="1"/>
  <c r="D38" i="23"/>
  <c r="E38" i="23" s="1"/>
  <c r="M14" i="48"/>
  <c r="M15" i="48" s="1"/>
  <c r="H4" i="55"/>
  <c r="G40" i="55"/>
  <c r="G42" i="55" s="1"/>
  <c r="Q12" i="55"/>
  <c r="Q40" i="55" s="1"/>
  <c r="Q42" i="55" s="1"/>
  <c r="R15" i="56" s="1"/>
  <c r="P40" i="55"/>
  <c r="P42" i="55" s="1"/>
  <c r="E45" i="21"/>
  <c r="D40" i="23"/>
  <c r="D40" i="21" s="1"/>
  <c r="D39" i="22"/>
  <c r="D39" i="20" s="1"/>
  <c r="M8" i="24"/>
  <c r="M34" i="25"/>
  <c r="J56" i="23"/>
  <c r="E42" i="24"/>
  <c r="D42" i="23"/>
  <c r="E48" i="23"/>
  <c r="J37" i="24"/>
  <c r="J39" i="25"/>
  <c r="M7" i="22"/>
  <c r="J57" i="10"/>
  <c r="A19" i="48" l="1"/>
  <c r="A17" i="45"/>
  <c r="J43" i="23"/>
  <c r="E48" i="24"/>
  <c r="BN10" i="2"/>
  <c r="F11" i="2"/>
  <c r="E44" i="21"/>
  <c r="A20" i="2" s="1"/>
  <c r="E44" i="23"/>
  <c r="A19" i="2" s="1"/>
  <c r="D51" i="23"/>
  <c r="E51" i="23" s="1"/>
  <c r="Q19" i="48"/>
  <c r="Q20" i="48" s="1"/>
  <c r="J48" i="27"/>
  <c r="D43" i="20"/>
  <c r="D43" i="19" s="1"/>
  <c r="E43" i="21"/>
  <c r="D52" i="25"/>
  <c r="D53" i="25" s="1"/>
  <c r="D49" i="21"/>
  <c r="D49" i="22" s="1"/>
  <c r="E49" i="22" s="1"/>
  <c r="D46" i="24"/>
  <c r="D46" i="23" s="1"/>
  <c r="E46" i="23" s="1"/>
  <c r="Y12" i="48"/>
  <c r="K56" i="27"/>
  <c r="J41" i="27"/>
  <c r="J40" i="28"/>
  <c r="J45" i="28" s="1"/>
  <c r="K57" i="27"/>
  <c r="E52" i="25"/>
  <c r="E53" i="25" s="1"/>
  <c r="BD12" i="48"/>
  <c r="AE12" i="48"/>
  <c r="AK12" i="48"/>
  <c r="S13" i="48"/>
  <c r="K12" i="48"/>
  <c r="D50" i="23"/>
  <c r="D45" i="20"/>
  <c r="E45" i="20" s="1"/>
  <c r="E52" i="26"/>
  <c r="E53" i="26" s="1"/>
  <c r="E47" i="21"/>
  <c r="D38" i="21"/>
  <c r="D38" i="22" s="1"/>
  <c r="J49" i="29"/>
  <c r="J51" i="29" s="1"/>
  <c r="J50" i="30"/>
  <c r="J46" i="21"/>
  <c r="J47" i="21" s="1"/>
  <c r="U13" i="48"/>
  <c r="W12" i="48"/>
  <c r="AI14" i="48"/>
  <c r="H40" i="55"/>
  <c r="H42" i="55" s="1"/>
  <c r="G15" i="56" s="1"/>
  <c r="E39" i="22"/>
  <c r="E41" i="24"/>
  <c r="E40" i="23"/>
  <c r="AI15" i="48"/>
  <c r="M16" i="48"/>
  <c r="M8" i="23"/>
  <c r="M34" i="24"/>
  <c r="E41" i="23"/>
  <c r="D41" i="21"/>
  <c r="J44" i="23"/>
  <c r="J43" i="21"/>
  <c r="J56" i="21"/>
  <c r="D47" i="20"/>
  <c r="E47" i="22"/>
  <c r="E48" i="21"/>
  <c r="D48" i="22"/>
  <c r="D42" i="21"/>
  <c r="E42" i="23"/>
  <c r="D44" i="20"/>
  <c r="E44" i="22"/>
  <c r="D40" i="22"/>
  <c r="E40" i="21"/>
  <c r="A21" i="2" s="1"/>
  <c r="J39" i="24"/>
  <c r="J37" i="23"/>
  <c r="E39" i="20"/>
  <c r="D39" i="19"/>
  <c r="J57" i="9"/>
  <c r="M7" i="20"/>
  <c r="A20" i="48" l="1"/>
  <c r="A18" i="45"/>
  <c r="AC19" i="48"/>
  <c r="D51" i="21"/>
  <c r="D51" i="22" s="1"/>
  <c r="D51" i="20" s="1"/>
  <c r="BN11" i="2"/>
  <c r="F12" i="2"/>
  <c r="E43" i="20"/>
  <c r="D49" i="20"/>
  <c r="E49" i="20" s="1"/>
  <c r="E49" i="21"/>
  <c r="D46" i="21"/>
  <c r="D46" i="22" s="1"/>
  <c r="D52" i="24"/>
  <c r="D53" i="24" s="1"/>
  <c r="E46" i="24"/>
  <c r="E52" i="24" s="1"/>
  <c r="E53" i="24" s="1"/>
  <c r="D52" i="23"/>
  <c r="D53" i="23" s="1"/>
  <c r="K56" i="28"/>
  <c r="J48" i="28"/>
  <c r="J41" i="28"/>
  <c r="J40" i="26"/>
  <c r="J40" i="25" s="1"/>
  <c r="K57" i="28"/>
  <c r="Y13" i="48"/>
  <c r="E50" i="23"/>
  <c r="E52" i="23" s="1"/>
  <c r="E53" i="23" s="1"/>
  <c r="D50" i="21"/>
  <c r="D50" i="22" s="1"/>
  <c r="D45" i="19"/>
  <c r="E45" i="19" s="1"/>
  <c r="W13" i="48"/>
  <c r="BD13" i="48"/>
  <c r="AE13" i="48"/>
  <c r="S14" i="48"/>
  <c r="K13" i="48"/>
  <c r="AK13" i="48"/>
  <c r="J50" i="29"/>
  <c r="E38" i="21"/>
  <c r="J46" i="22"/>
  <c r="J47" i="22" s="1"/>
  <c r="AI16" i="48"/>
  <c r="M17" i="48"/>
  <c r="M18" i="48" s="1"/>
  <c r="M19" i="48" s="1"/>
  <c r="M8" i="21"/>
  <c r="M34" i="23"/>
  <c r="D41" i="22"/>
  <c r="E41" i="21"/>
  <c r="J56" i="22"/>
  <c r="J43" i="22"/>
  <c r="J44" i="21"/>
  <c r="E38" i="22"/>
  <c r="D38" i="20"/>
  <c r="E43" i="19"/>
  <c r="D43" i="18"/>
  <c r="E48" i="22"/>
  <c r="D48" i="20"/>
  <c r="D47" i="19"/>
  <c r="E47" i="20"/>
  <c r="E42" i="21"/>
  <c r="D42" i="22"/>
  <c r="E40" i="22"/>
  <c r="D40" i="20"/>
  <c r="D44" i="19"/>
  <c r="E44" i="20"/>
  <c r="J37" i="21"/>
  <c r="J39" i="23"/>
  <c r="M7" i="19"/>
  <c r="J57" i="8"/>
  <c r="Q21" i="48"/>
  <c r="AC20" i="48"/>
  <c r="D39" i="18"/>
  <c r="E39" i="19"/>
  <c r="A21" i="48" l="1"/>
  <c r="A19" i="45"/>
  <c r="E51" i="22"/>
  <c r="A22" i="2" s="1"/>
  <c r="E51" i="21"/>
  <c r="E50" i="21"/>
  <c r="D49" i="19"/>
  <c r="D49" i="18" s="1"/>
  <c r="BN12" i="2"/>
  <c r="F13" i="2"/>
  <c r="E46" i="21"/>
  <c r="J48" i="26"/>
  <c r="D45" i="18"/>
  <c r="E45" i="18" s="1"/>
  <c r="K57" i="26"/>
  <c r="J45" i="26"/>
  <c r="J48" i="25"/>
  <c r="K57" i="25"/>
  <c r="J41" i="25"/>
  <c r="J45" i="25"/>
  <c r="J40" i="24"/>
  <c r="J41" i="24" s="1"/>
  <c r="K56" i="25"/>
  <c r="K56" i="26"/>
  <c r="J41" i="26"/>
  <c r="D52" i="21"/>
  <c r="D53" i="21" s="1"/>
  <c r="BD14" i="48"/>
  <c r="AK14" i="48"/>
  <c r="S15" i="48"/>
  <c r="AE14" i="48"/>
  <c r="K14" i="48"/>
  <c r="J46" i="20"/>
  <c r="J47" i="20" s="1"/>
  <c r="AI18" i="48"/>
  <c r="AI17" i="48"/>
  <c r="M8" i="22"/>
  <c r="M34" i="21"/>
  <c r="E41" i="22"/>
  <c r="D41" i="20"/>
  <c r="J43" i="20"/>
  <c r="J44" i="22"/>
  <c r="J56" i="20"/>
  <c r="E38" i="20"/>
  <c r="D38" i="19"/>
  <c r="E50" i="22"/>
  <c r="D50" i="20"/>
  <c r="D43" i="17"/>
  <c r="E43" i="18"/>
  <c r="E42" i="22"/>
  <c r="D42" i="20"/>
  <c r="E46" i="22"/>
  <c r="D46" i="20"/>
  <c r="E47" i="19"/>
  <c r="D47" i="18"/>
  <c r="D52" i="22"/>
  <c r="D53" i="22" s="1"/>
  <c r="D48" i="19"/>
  <c r="E48" i="20"/>
  <c r="D44" i="18"/>
  <c r="E44" i="19"/>
  <c r="D40" i="19"/>
  <c r="E40" i="20"/>
  <c r="E51" i="20"/>
  <c r="D51" i="19"/>
  <c r="J39" i="21"/>
  <c r="J37" i="22"/>
  <c r="D39" i="17"/>
  <c r="E39" i="18"/>
  <c r="Q22" i="48"/>
  <c r="AC21" i="48"/>
  <c r="M20" i="48"/>
  <c r="AI19" i="48"/>
  <c r="M7" i="18"/>
  <c r="J57" i="7"/>
  <c r="E52" i="21" l="1"/>
  <c r="E53" i="21" s="1"/>
  <c r="A22" i="48"/>
  <c r="A20" i="45"/>
  <c r="E49" i="19"/>
  <c r="F14" i="2"/>
  <c r="BN13" i="2"/>
  <c r="K56" i="24"/>
  <c r="K57" i="24"/>
  <c r="J48" i="24"/>
  <c r="J45" i="24"/>
  <c r="J40" i="23"/>
  <c r="J45" i="23" s="1"/>
  <c r="D45" i="17"/>
  <c r="A23" i="2" s="1"/>
  <c r="J46" i="19"/>
  <c r="J47" i="19" s="1"/>
  <c r="AK15" i="48"/>
  <c r="K15" i="48"/>
  <c r="BD15" i="48"/>
  <c r="S16" i="48"/>
  <c r="AE15" i="48"/>
  <c r="D52" i="20"/>
  <c r="D53" i="20" s="1"/>
  <c r="M8" i="20"/>
  <c r="M34" i="22"/>
  <c r="D41" i="19"/>
  <c r="E41" i="20"/>
  <c r="J56" i="19"/>
  <c r="J43" i="19"/>
  <c r="J44" i="20"/>
  <c r="E38" i="19"/>
  <c r="D38" i="18"/>
  <c r="E52" i="22"/>
  <c r="E53" i="22" s="1"/>
  <c r="E50" i="20"/>
  <c r="D50" i="19"/>
  <c r="D43" i="16"/>
  <c r="E43" i="17"/>
  <c r="D48" i="18"/>
  <c r="E48" i="19"/>
  <c r="D47" i="17"/>
  <c r="E47" i="18"/>
  <c r="D46" i="19"/>
  <c r="E46" i="20"/>
  <c r="D42" i="19"/>
  <c r="E42" i="20"/>
  <c r="D51" i="18"/>
  <c r="E51" i="19"/>
  <c r="D40" i="18"/>
  <c r="E40" i="19"/>
  <c r="D44" i="17"/>
  <c r="E44" i="18"/>
  <c r="A24" i="2" s="1"/>
  <c r="J39" i="22"/>
  <c r="J37" i="20"/>
  <c r="D49" i="17"/>
  <c r="E49" i="18"/>
  <c r="Q23" i="48"/>
  <c r="AC22" i="48"/>
  <c r="J57" i="6"/>
  <c r="M7" i="17"/>
  <c r="M21" i="48"/>
  <c r="AI20" i="48"/>
  <c r="D39" i="16"/>
  <c r="E39" i="17"/>
  <c r="A23" i="48" l="1"/>
  <c r="A21" i="45"/>
  <c r="BN14" i="2"/>
  <c r="F15" i="2"/>
  <c r="J40" i="21"/>
  <c r="J48" i="21" s="1"/>
  <c r="K56" i="23"/>
  <c r="K57" i="23"/>
  <c r="J48" i="23"/>
  <c r="D45" i="16"/>
  <c r="D45" i="15" s="1"/>
  <c r="J41" i="23"/>
  <c r="E45" i="17"/>
  <c r="J46" i="18"/>
  <c r="J47" i="18" s="1"/>
  <c r="BD16" i="48"/>
  <c r="AK16" i="48"/>
  <c r="K16" i="48"/>
  <c r="S17" i="48"/>
  <c r="AE16" i="48"/>
  <c r="M8" i="19"/>
  <c r="M34" i="20"/>
  <c r="D41" i="18"/>
  <c r="E41" i="19"/>
  <c r="J44" i="19"/>
  <c r="J43" i="18"/>
  <c r="J56" i="18"/>
  <c r="E38" i="18"/>
  <c r="D38" i="17"/>
  <c r="D52" i="19"/>
  <c r="D53" i="19" s="1"/>
  <c r="E52" i="20"/>
  <c r="E53" i="20" s="1"/>
  <c r="D50" i="18"/>
  <c r="E50" i="19"/>
  <c r="E43" i="16"/>
  <c r="D43" i="15"/>
  <c r="E42" i="19"/>
  <c r="D42" i="18"/>
  <c r="D46" i="18"/>
  <c r="E46" i="19"/>
  <c r="D47" i="16"/>
  <c r="E47" i="17"/>
  <c r="D48" i="17"/>
  <c r="E48" i="18"/>
  <c r="D40" i="17"/>
  <c r="E40" i="18"/>
  <c r="D51" i="17"/>
  <c r="E51" i="18"/>
  <c r="D44" i="16"/>
  <c r="E44" i="17"/>
  <c r="A25" i="2" s="1"/>
  <c r="J37" i="19"/>
  <c r="J39" i="20"/>
  <c r="E49" i="17"/>
  <c r="D49" i="16"/>
  <c r="J57" i="37"/>
  <c r="D39" i="15"/>
  <c r="E39" i="16"/>
  <c r="AI21" i="48"/>
  <c r="M22" i="48"/>
  <c r="M7" i="16"/>
  <c r="Q24" i="48"/>
  <c r="AC23" i="48"/>
  <c r="J45" i="21" l="1"/>
  <c r="A24" i="48"/>
  <c r="A22" i="45"/>
  <c r="K56" i="21"/>
  <c r="J41" i="21"/>
  <c r="K57" i="21"/>
  <c r="J40" i="22"/>
  <c r="J41" i="22" s="1"/>
  <c r="F16" i="2"/>
  <c r="BN15" i="2"/>
  <c r="E45" i="16"/>
  <c r="J46" i="17"/>
  <c r="J46" i="16" s="1"/>
  <c r="AK17" i="48"/>
  <c r="K17" i="48"/>
  <c r="BD17" i="48"/>
  <c r="S18" i="48"/>
  <c r="AE17" i="48"/>
  <c r="M8" i="18"/>
  <c r="M34" i="19"/>
  <c r="D41" i="17"/>
  <c r="E41" i="18"/>
  <c r="J56" i="17"/>
  <c r="J43" i="17"/>
  <c r="J44" i="18"/>
  <c r="E52" i="19"/>
  <c r="E53" i="19" s="1"/>
  <c r="E38" i="17"/>
  <c r="D38" i="16"/>
  <c r="E50" i="18"/>
  <c r="D50" i="17"/>
  <c r="D43" i="14"/>
  <c r="E43" i="15"/>
  <c r="D48" i="16"/>
  <c r="E48" i="17"/>
  <c r="E47" i="16"/>
  <c r="D47" i="15"/>
  <c r="E46" i="18"/>
  <c r="D46" i="17"/>
  <c r="D52" i="18"/>
  <c r="D53" i="18" s="1"/>
  <c r="E42" i="18"/>
  <c r="D42" i="17"/>
  <c r="D45" i="14"/>
  <c r="E45" i="15"/>
  <c r="E40" i="17"/>
  <c r="D40" i="16"/>
  <c r="E44" i="16"/>
  <c r="D44" i="15"/>
  <c r="D51" i="16"/>
  <c r="E51" i="17"/>
  <c r="A26" i="2" s="1"/>
  <c r="D49" i="15"/>
  <c r="E49" i="16"/>
  <c r="J37" i="18"/>
  <c r="J39" i="19"/>
  <c r="Q25" i="48"/>
  <c r="AC24" i="48"/>
  <c r="M7" i="15"/>
  <c r="E39" i="15"/>
  <c r="D39" i="14"/>
  <c r="J57" i="4"/>
  <c r="AI22" i="48"/>
  <c r="M23" i="48"/>
  <c r="K57" i="22" l="1"/>
  <c r="A25" i="48"/>
  <c r="A23" i="45"/>
  <c r="J45" i="22"/>
  <c r="J48" i="22"/>
  <c r="J47" i="17"/>
  <c r="J40" i="20"/>
  <c r="J48" i="20" s="1"/>
  <c r="K56" i="22"/>
  <c r="BN16" i="2"/>
  <c r="F17" i="2"/>
  <c r="S19" i="48"/>
  <c r="BD18" i="48"/>
  <c r="AK18" i="48"/>
  <c r="AE18" i="48"/>
  <c r="K18" i="48"/>
  <c r="K56" i="20"/>
  <c r="M8" i="17"/>
  <c r="M34" i="18"/>
  <c r="E41" i="17"/>
  <c r="D41" i="16"/>
  <c r="J43" i="16"/>
  <c r="J44" i="17"/>
  <c r="J56" i="16"/>
  <c r="D38" i="15"/>
  <c r="E38" i="16"/>
  <c r="E50" i="17"/>
  <c r="D50" i="16"/>
  <c r="E52" i="18"/>
  <c r="E53" i="18" s="1"/>
  <c r="E43" i="14"/>
  <c r="D43" i="13"/>
  <c r="E42" i="17"/>
  <c r="D42" i="16"/>
  <c r="D48" i="15"/>
  <c r="E48" i="16"/>
  <c r="D52" i="17"/>
  <c r="D53" i="17" s="1"/>
  <c r="E46" i="17"/>
  <c r="D46" i="16"/>
  <c r="E47" i="15"/>
  <c r="D47" i="14"/>
  <c r="E44" i="15"/>
  <c r="D44" i="14"/>
  <c r="D45" i="13"/>
  <c r="E45" i="14"/>
  <c r="E51" i="16"/>
  <c r="D51" i="15"/>
  <c r="D40" i="15"/>
  <c r="E40" i="16"/>
  <c r="A27" i="2" s="1"/>
  <c r="J37" i="17"/>
  <c r="J39" i="18"/>
  <c r="D49" i="14"/>
  <c r="E49" i="15"/>
  <c r="J57" i="43"/>
  <c r="E39" i="14"/>
  <c r="D39" i="13"/>
  <c r="J47" i="16"/>
  <c r="J46" i="15"/>
  <c r="Q26" i="48"/>
  <c r="AC25" i="48"/>
  <c r="AI23" i="48"/>
  <c r="M24" i="48"/>
  <c r="M7" i="14"/>
  <c r="J41" i="20" l="1"/>
  <c r="A26" i="48"/>
  <c r="A24" i="45"/>
  <c r="J40" i="19"/>
  <c r="J40" i="18" s="1"/>
  <c r="K57" i="20"/>
  <c r="J45" i="20"/>
  <c r="BN17" i="2"/>
  <c r="F18" i="2"/>
  <c r="AK19" i="48"/>
  <c r="K19" i="48"/>
  <c r="S20" i="48"/>
  <c r="BD19" i="48"/>
  <c r="AE19" i="48"/>
  <c r="J48" i="19"/>
  <c r="K56" i="19"/>
  <c r="J41" i="19"/>
  <c r="M8" i="16"/>
  <c r="M34" i="17"/>
  <c r="D41" i="15"/>
  <c r="E41" i="16"/>
  <c r="J56" i="15"/>
  <c r="J43" i="15"/>
  <c r="J44" i="16"/>
  <c r="E38" i="15"/>
  <c r="D38" i="14"/>
  <c r="D52" i="16"/>
  <c r="D53" i="16" s="1"/>
  <c r="E52" i="17"/>
  <c r="E53" i="17" s="1"/>
  <c r="D50" i="15"/>
  <c r="E50" i="16"/>
  <c r="D43" i="12"/>
  <c r="E43" i="13"/>
  <c r="E47" i="14"/>
  <c r="D47" i="13"/>
  <c r="D46" i="15"/>
  <c r="E46" i="16"/>
  <c r="E48" i="15"/>
  <c r="D48" i="14"/>
  <c r="E42" i="16"/>
  <c r="D42" i="15"/>
  <c r="E51" i="15"/>
  <c r="D51" i="14"/>
  <c r="E40" i="15"/>
  <c r="D40" i="14"/>
  <c r="D45" i="12"/>
  <c r="E45" i="13"/>
  <c r="E44" i="14"/>
  <c r="D44" i="13"/>
  <c r="A28" i="2" s="1"/>
  <c r="J39" i="17"/>
  <c r="J37" i="16"/>
  <c r="E49" i="14"/>
  <c r="D49" i="13"/>
  <c r="M7" i="13"/>
  <c r="M25" i="48"/>
  <c r="AI24" i="48"/>
  <c r="D39" i="12"/>
  <c r="E39" i="13"/>
  <c r="AC26" i="48"/>
  <c r="Q27" i="48"/>
  <c r="J47" i="15"/>
  <c r="J46" i="14"/>
  <c r="J45" i="19" l="1"/>
  <c r="K57" i="19"/>
  <c r="A27" i="48"/>
  <c r="A25" i="45"/>
  <c r="BN18" i="2"/>
  <c r="F19" i="2"/>
  <c r="BD20" i="48"/>
  <c r="AK20" i="48"/>
  <c r="AE20" i="48"/>
  <c r="K20" i="48"/>
  <c r="S21" i="48"/>
  <c r="J48" i="18"/>
  <c r="J41" i="18"/>
  <c r="K56" i="18"/>
  <c r="J45" i="18"/>
  <c r="K57" i="18"/>
  <c r="J40" i="17"/>
  <c r="M8" i="15"/>
  <c r="M34" i="16"/>
  <c r="D41" i="14"/>
  <c r="E41" i="15"/>
  <c r="J43" i="14"/>
  <c r="J44" i="15"/>
  <c r="J56" i="14"/>
  <c r="D52" i="15"/>
  <c r="D53" i="15" s="1"/>
  <c r="E38" i="14"/>
  <c r="D38" i="13"/>
  <c r="E52" i="16"/>
  <c r="E53" i="16" s="1"/>
  <c r="D50" i="14"/>
  <c r="E50" i="15"/>
  <c r="E43" i="12"/>
  <c r="D43" i="11"/>
  <c r="E42" i="15"/>
  <c r="D42" i="14"/>
  <c r="E46" i="15"/>
  <c r="D46" i="14"/>
  <c r="E48" i="14"/>
  <c r="D48" i="13"/>
  <c r="D47" i="12"/>
  <c r="E47" i="13"/>
  <c r="D45" i="11"/>
  <c r="E45" i="12"/>
  <c r="D40" i="13"/>
  <c r="E40" i="14"/>
  <c r="D51" i="13"/>
  <c r="E51" i="14"/>
  <c r="E44" i="13"/>
  <c r="D44" i="12"/>
  <c r="A29" i="2" s="1"/>
  <c r="D49" i="12"/>
  <c r="E49" i="13"/>
  <c r="J37" i="15"/>
  <c r="J39" i="16"/>
  <c r="J47" i="14"/>
  <c r="J46" i="13"/>
  <c r="D39" i="11"/>
  <c r="E39" i="12"/>
  <c r="M26" i="48"/>
  <c r="AI25" i="48"/>
  <c r="AC27" i="48"/>
  <c r="Q28" i="48"/>
  <c r="M7" i="12"/>
  <c r="A28" i="48" l="1"/>
  <c r="A26" i="45"/>
  <c r="F20" i="2"/>
  <c r="BN19" i="2"/>
  <c r="AK21" i="48"/>
  <c r="BD21" i="48"/>
  <c r="K21" i="48"/>
  <c r="AE21" i="48"/>
  <c r="S22" i="48"/>
  <c r="J48" i="17"/>
  <c r="J45" i="17"/>
  <c r="J41" i="17"/>
  <c r="K57" i="17"/>
  <c r="J40" i="16"/>
  <c r="K56" i="17"/>
  <c r="M8" i="14"/>
  <c r="M34" i="15"/>
  <c r="D41" i="13"/>
  <c r="E41" i="14"/>
  <c r="J56" i="13"/>
  <c r="J43" i="13"/>
  <c r="J44" i="14"/>
  <c r="E38" i="13"/>
  <c r="D38" i="12"/>
  <c r="E52" i="15"/>
  <c r="E53" i="15" s="1"/>
  <c r="E50" i="14"/>
  <c r="D50" i="13"/>
  <c r="D43" i="10"/>
  <c r="E43" i="11"/>
  <c r="E48" i="13"/>
  <c r="D48" i="12"/>
  <c r="E46" i="14"/>
  <c r="D46" i="13"/>
  <c r="D42" i="13"/>
  <c r="E42" i="14"/>
  <c r="D52" i="14"/>
  <c r="D53" i="14" s="1"/>
  <c r="D47" i="11"/>
  <c r="E47" i="12"/>
  <c r="E51" i="13"/>
  <c r="D51" i="12"/>
  <c r="E44" i="12"/>
  <c r="D44" i="11"/>
  <c r="D40" i="12"/>
  <c r="E40" i="13"/>
  <c r="D45" i="10"/>
  <c r="E45" i="11"/>
  <c r="A30" i="2" s="1"/>
  <c r="J39" i="15"/>
  <c r="J37" i="14"/>
  <c r="D49" i="11"/>
  <c r="E49" i="12"/>
  <c r="M7" i="11"/>
  <c r="AC28" i="48"/>
  <c r="Q29" i="48"/>
  <c r="M27" i="48"/>
  <c r="AI26" i="48"/>
  <c r="E39" i="11"/>
  <c r="D39" i="10"/>
  <c r="J47" i="13"/>
  <c r="J46" i="12"/>
  <c r="A29" i="48" l="1"/>
  <c r="A27" i="45"/>
  <c r="F21" i="2"/>
  <c r="BN20" i="2"/>
  <c r="S23" i="48"/>
  <c r="K22" i="48"/>
  <c r="AK22" i="48"/>
  <c r="BD22" i="48"/>
  <c r="AE22" i="48"/>
  <c r="J48" i="16"/>
  <c r="K56" i="16"/>
  <c r="K57" i="16"/>
  <c r="J45" i="16"/>
  <c r="J41" i="16"/>
  <c r="J40" i="15"/>
  <c r="M8" i="13"/>
  <c r="M34" i="14"/>
  <c r="E41" i="13"/>
  <c r="D41" i="12"/>
  <c r="J56" i="12"/>
  <c r="J44" i="13"/>
  <c r="J43" i="12"/>
  <c r="E38" i="12"/>
  <c r="D38" i="11"/>
  <c r="E50" i="13"/>
  <c r="D50" i="12"/>
  <c r="D52" i="13"/>
  <c r="D53" i="13" s="1"/>
  <c r="E43" i="10"/>
  <c r="D43" i="9"/>
  <c r="E52" i="14"/>
  <c r="E53" i="14" s="1"/>
  <c r="D47" i="10"/>
  <c r="E47" i="11"/>
  <c r="D46" i="12"/>
  <c r="E46" i="13"/>
  <c r="E48" i="12"/>
  <c r="D48" i="11"/>
  <c r="E42" i="13"/>
  <c r="D42" i="12"/>
  <c r="E45" i="10"/>
  <c r="D45" i="9"/>
  <c r="E44" i="11"/>
  <c r="D44" i="10"/>
  <c r="D51" i="11"/>
  <c r="E51" i="12"/>
  <c r="D40" i="11"/>
  <c r="E40" i="12"/>
  <c r="A31" i="2" s="1"/>
  <c r="D49" i="10"/>
  <c r="E49" i="11"/>
  <c r="J37" i="13"/>
  <c r="J39" i="14"/>
  <c r="J47" i="12"/>
  <c r="J46" i="11"/>
  <c r="M28" i="48"/>
  <c r="AI27" i="48"/>
  <c r="D39" i="9"/>
  <c r="E39" i="10"/>
  <c r="AC29" i="48"/>
  <c r="Q30" i="48"/>
  <c r="M7" i="10"/>
  <c r="A30" i="48" l="1"/>
  <c r="A28" i="45"/>
  <c r="F22" i="2"/>
  <c r="BN21" i="2"/>
  <c r="BD23" i="48"/>
  <c r="S24" i="48"/>
  <c r="AE23" i="48"/>
  <c r="K23" i="48"/>
  <c r="AK23" i="48"/>
  <c r="J48" i="15"/>
  <c r="J45" i="15"/>
  <c r="J40" i="14"/>
  <c r="J41" i="15"/>
  <c r="K57" i="15"/>
  <c r="K56" i="15"/>
  <c r="M8" i="12"/>
  <c r="M34" i="13"/>
  <c r="E41" i="12"/>
  <c r="D41" i="11"/>
  <c r="J44" i="12"/>
  <c r="J43" i="11"/>
  <c r="J56" i="11"/>
  <c r="D38" i="10"/>
  <c r="E38" i="11"/>
  <c r="E52" i="13"/>
  <c r="E53" i="13" s="1"/>
  <c r="E50" i="12"/>
  <c r="D50" i="11"/>
  <c r="D43" i="8"/>
  <c r="E43" i="9"/>
  <c r="E42" i="12"/>
  <c r="D42" i="11"/>
  <c r="E46" i="12"/>
  <c r="D46" i="11"/>
  <c r="D47" i="9"/>
  <c r="E47" i="10"/>
  <c r="D52" i="12"/>
  <c r="D53" i="12" s="1"/>
  <c r="E48" i="11"/>
  <c r="D48" i="10"/>
  <c r="D44" i="9"/>
  <c r="E44" i="10"/>
  <c r="E45" i="9"/>
  <c r="D45" i="8"/>
  <c r="D40" i="10"/>
  <c r="E40" i="11"/>
  <c r="D51" i="10"/>
  <c r="E51" i="11"/>
  <c r="A32" i="2" s="1"/>
  <c r="J39" i="13"/>
  <c r="J37" i="12"/>
  <c r="E49" i="10"/>
  <c r="D49" i="9"/>
  <c r="Q31" i="48"/>
  <c r="AC30" i="48"/>
  <c r="D39" i="8"/>
  <c r="E39" i="9"/>
  <c r="M29" i="48"/>
  <c r="AI28" i="48"/>
  <c r="M7" i="9"/>
  <c r="J47" i="11"/>
  <c r="J46" i="10"/>
  <c r="A31" i="48" l="1"/>
  <c r="A29" i="45"/>
  <c r="BN22" i="2"/>
  <c r="F23" i="2"/>
  <c r="AK24" i="48"/>
  <c r="S25" i="48"/>
  <c r="K24" i="48"/>
  <c r="BD24" i="48"/>
  <c r="AE24" i="48"/>
  <c r="J48" i="14"/>
  <c r="J41" i="14"/>
  <c r="K56" i="14"/>
  <c r="J45" i="14"/>
  <c r="K57" i="14"/>
  <c r="J40" i="13"/>
  <c r="M8" i="11"/>
  <c r="M34" i="12"/>
  <c r="D41" i="10"/>
  <c r="E41" i="11"/>
  <c r="J44" i="11"/>
  <c r="J43" i="10"/>
  <c r="J56" i="10"/>
  <c r="D38" i="9"/>
  <c r="E38" i="10"/>
  <c r="E52" i="12"/>
  <c r="E53" i="12" s="1"/>
  <c r="D52" i="11"/>
  <c r="D53" i="11" s="1"/>
  <c r="E50" i="11"/>
  <c r="D50" i="10"/>
  <c r="E43" i="8"/>
  <c r="D43" i="7"/>
  <c r="E46" i="11"/>
  <c r="D46" i="10"/>
  <c r="D42" i="10"/>
  <c r="E42" i="11"/>
  <c r="E48" i="10"/>
  <c r="D48" i="9"/>
  <c r="D47" i="8"/>
  <c r="E47" i="9"/>
  <c r="D40" i="9"/>
  <c r="E40" i="10"/>
  <c r="D44" i="8"/>
  <c r="E44" i="9"/>
  <c r="E51" i="10"/>
  <c r="D51" i="9"/>
  <c r="D45" i="7"/>
  <c r="E45" i="8"/>
  <c r="A33" i="2" s="1"/>
  <c r="D49" i="8"/>
  <c r="E49" i="9"/>
  <c r="J37" i="11"/>
  <c r="J39" i="12"/>
  <c r="J47" i="10"/>
  <c r="J46" i="9"/>
  <c r="M30" i="48"/>
  <c r="AI29" i="48"/>
  <c r="M7" i="8"/>
  <c r="D39" i="7"/>
  <c r="E39" i="8"/>
  <c r="Q32" i="48"/>
  <c r="AC31" i="48"/>
  <c r="A32" i="48" l="1"/>
  <c r="A30" i="45"/>
  <c r="BN23" i="2"/>
  <c r="F24" i="2"/>
  <c r="AE25" i="48"/>
  <c r="AK25" i="48"/>
  <c r="S26" i="48"/>
  <c r="K25" i="48"/>
  <c r="BD25" i="48"/>
  <c r="J48" i="13"/>
  <c r="K56" i="13"/>
  <c r="K57" i="13"/>
  <c r="J40" i="12"/>
  <c r="J41" i="13"/>
  <c r="J45" i="13"/>
  <c r="M8" i="10"/>
  <c r="M34" i="11"/>
  <c r="E41" i="10"/>
  <c r="D41" i="9"/>
  <c r="J56" i="9"/>
  <c r="J43" i="9"/>
  <c r="J44" i="10"/>
  <c r="E38" i="9"/>
  <c r="D38" i="8"/>
  <c r="D52" i="10"/>
  <c r="D53" i="10" s="1"/>
  <c r="E50" i="10"/>
  <c r="D50" i="9"/>
  <c r="D43" i="6"/>
  <c r="E43" i="7"/>
  <c r="E52" i="11"/>
  <c r="E53" i="11" s="1"/>
  <c r="E47" i="8"/>
  <c r="D47" i="7"/>
  <c r="E42" i="10"/>
  <c r="D42" i="9"/>
  <c r="D48" i="8"/>
  <c r="E48" i="9"/>
  <c r="D46" i="9"/>
  <c r="E46" i="10"/>
  <c r="D45" i="6"/>
  <c r="E45" i="7"/>
  <c r="E51" i="9"/>
  <c r="D51" i="8"/>
  <c r="D40" i="8"/>
  <c r="E40" i="9"/>
  <c r="D44" i="7"/>
  <c r="E44" i="8"/>
  <c r="A34" i="2" s="1"/>
  <c r="J39" i="11"/>
  <c r="J37" i="10"/>
  <c r="E49" i="8"/>
  <c r="D49" i="7"/>
  <c r="D39" i="6"/>
  <c r="E39" i="7"/>
  <c r="M7" i="7"/>
  <c r="J47" i="9"/>
  <c r="J46" i="8"/>
  <c r="Q33" i="48"/>
  <c r="AC32" i="48"/>
  <c r="M31" i="48"/>
  <c r="AI30" i="48"/>
  <c r="A33" i="48" l="1"/>
  <c r="A31" i="45"/>
  <c r="F25" i="2"/>
  <c r="BN24" i="2"/>
  <c r="AK26" i="48"/>
  <c r="BD26" i="48"/>
  <c r="S27" i="48"/>
  <c r="K26" i="48"/>
  <c r="AE26" i="48"/>
  <c r="J48" i="12"/>
  <c r="J41" i="12"/>
  <c r="J40" i="11"/>
  <c r="K56" i="12"/>
  <c r="J45" i="12"/>
  <c r="K57" i="12"/>
  <c r="M8" i="9"/>
  <c r="M34" i="10"/>
  <c r="D41" i="8"/>
  <c r="E41" i="9"/>
  <c r="J56" i="8"/>
  <c r="J43" i="8"/>
  <c r="J44" i="9"/>
  <c r="D52" i="9"/>
  <c r="D53" i="9" s="1"/>
  <c r="D38" i="7"/>
  <c r="E38" i="8"/>
  <c r="E52" i="10"/>
  <c r="E53" i="10" s="1"/>
  <c r="E50" i="9"/>
  <c r="D50" i="8"/>
  <c r="D43" i="37"/>
  <c r="E43" i="6"/>
  <c r="D46" i="8"/>
  <c r="E46" i="9"/>
  <c r="D48" i="7"/>
  <c r="E48" i="8"/>
  <c r="E42" i="9"/>
  <c r="D42" i="8"/>
  <c r="E47" i="7"/>
  <c r="D47" i="6"/>
  <c r="D40" i="7"/>
  <c r="E40" i="8"/>
  <c r="E45" i="6"/>
  <c r="D45" i="37"/>
  <c r="E44" i="7"/>
  <c r="D44" i="6"/>
  <c r="E51" i="8"/>
  <c r="D51" i="7"/>
  <c r="A35" i="2" s="1"/>
  <c r="D49" i="6"/>
  <c r="E49" i="7"/>
  <c r="J37" i="9"/>
  <c r="J39" i="10"/>
  <c r="M32" i="48"/>
  <c r="AI31" i="48"/>
  <c r="Q34" i="48"/>
  <c r="AC33" i="48"/>
  <c r="J47" i="8"/>
  <c r="J46" i="7"/>
  <c r="D39" i="37"/>
  <c r="E39" i="6"/>
  <c r="M7" i="6"/>
  <c r="A34" i="48" l="1"/>
  <c r="A32" i="45"/>
  <c r="F26" i="2"/>
  <c r="BN25" i="2"/>
  <c r="S28" i="48"/>
  <c r="K27" i="48"/>
  <c r="BD27" i="48"/>
  <c r="AE27" i="48"/>
  <c r="AK27" i="48"/>
  <c r="J48" i="11"/>
  <c r="K56" i="11"/>
  <c r="J40" i="10"/>
  <c r="K57" i="11"/>
  <c r="J41" i="11"/>
  <c r="J45" i="11"/>
  <c r="M8" i="8"/>
  <c r="M34" i="9"/>
  <c r="D41" i="7"/>
  <c r="E41" i="8"/>
  <c r="J56" i="7"/>
  <c r="J43" i="7"/>
  <c r="J44" i="8"/>
  <c r="D52" i="8"/>
  <c r="D53" i="8" s="1"/>
  <c r="D38" i="6"/>
  <c r="E38" i="7"/>
  <c r="E52" i="9"/>
  <c r="E53" i="9" s="1"/>
  <c r="D50" i="7"/>
  <c r="E50" i="8"/>
  <c r="D43" i="4"/>
  <c r="E43" i="37"/>
  <c r="D48" i="6"/>
  <c r="E48" i="7"/>
  <c r="D46" i="7"/>
  <c r="E46" i="8"/>
  <c r="E47" i="6"/>
  <c r="D47" i="37"/>
  <c r="E42" i="8"/>
  <c r="D42" i="7"/>
  <c r="D51" i="6"/>
  <c r="E51" i="7"/>
  <c r="D44" i="37"/>
  <c r="E44" i="6"/>
  <c r="D45" i="4"/>
  <c r="E45" i="37"/>
  <c r="D40" i="6"/>
  <c r="E40" i="7"/>
  <c r="A36" i="2" s="1"/>
  <c r="J39" i="9"/>
  <c r="J37" i="8"/>
  <c r="D49" i="37"/>
  <c r="E49" i="6"/>
  <c r="J47" i="7"/>
  <c r="J46" i="6"/>
  <c r="AC34" i="48"/>
  <c r="Q35" i="48"/>
  <c r="M7" i="37"/>
  <c r="E39" i="37"/>
  <c r="D39" i="4"/>
  <c r="M33" i="48"/>
  <c r="AI32" i="48"/>
  <c r="A35" i="48" l="1"/>
  <c r="A33" i="45"/>
  <c r="BN26" i="2"/>
  <c r="F27" i="2"/>
  <c r="AE28" i="48"/>
  <c r="AK28" i="48"/>
  <c r="S29" i="48"/>
  <c r="K28" i="48"/>
  <c r="BD28" i="48"/>
  <c r="J48" i="10"/>
  <c r="J40" i="9"/>
  <c r="K57" i="10"/>
  <c r="J41" i="10"/>
  <c r="J45" i="10"/>
  <c r="K56" i="10"/>
  <c r="M8" i="7"/>
  <c r="M34" i="8"/>
  <c r="E41" i="7"/>
  <c r="D41" i="6"/>
  <c r="J56" i="6"/>
  <c r="J43" i="6"/>
  <c r="J44" i="7"/>
  <c r="D38" i="37"/>
  <c r="E38" i="6"/>
  <c r="E52" i="8"/>
  <c r="E53" i="8" s="1"/>
  <c r="E50" i="7"/>
  <c r="D50" i="6"/>
  <c r="E43" i="4"/>
  <c r="D43" i="43"/>
  <c r="E43" i="43" s="1"/>
  <c r="E42" i="7"/>
  <c r="D42" i="6"/>
  <c r="E47" i="37"/>
  <c r="D47" i="4"/>
  <c r="E46" i="7"/>
  <c r="D46" i="6"/>
  <c r="D48" i="37"/>
  <c r="E48" i="6"/>
  <c r="D52" i="7"/>
  <c r="D53" i="7" s="1"/>
  <c r="E51" i="6"/>
  <c r="D51" i="37"/>
  <c r="D40" i="37"/>
  <c r="E40" i="6"/>
  <c r="E45" i="4"/>
  <c r="D45" i="43"/>
  <c r="E45" i="43" s="1"/>
  <c r="D44" i="4"/>
  <c r="E44" i="37"/>
  <c r="A37" i="2" s="1"/>
  <c r="E49" i="37"/>
  <c r="D49" i="4"/>
  <c r="J39" i="8"/>
  <c r="J37" i="7"/>
  <c r="M34" i="48"/>
  <c r="AI33" i="48"/>
  <c r="J47" i="6"/>
  <c r="J46" i="37"/>
  <c r="D39" i="43"/>
  <c r="E39" i="43" s="1"/>
  <c r="E39" i="4"/>
  <c r="M7" i="4"/>
  <c r="Q36" i="48"/>
  <c r="AC35" i="48"/>
  <c r="A36" i="48" l="1"/>
  <c r="A34" i="45"/>
  <c r="F28" i="2"/>
  <c r="BN27" i="2"/>
  <c r="AE29" i="48"/>
  <c r="AK29" i="48"/>
  <c r="BD29" i="48"/>
  <c r="K29" i="48"/>
  <c r="S30" i="48"/>
  <c r="J48" i="9"/>
  <c r="K57" i="9"/>
  <c r="J45" i="9"/>
  <c r="J40" i="8"/>
  <c r="K56" i="9"/>
  <c r="J41" i="9"/>
  <c r="D52" i="6"/>
  <c r="D53" i="6" s="1"/>
  <c r="M8" i="6"/>
  <c r="M34" i="7"/>
  <c r="D41" i="37"/>
  <c r="E41" i="6"/>
  <c r="J44" i="6"/>
  <c r="J43" i="37"/>
  <c r="J56" i="37"/>
  <c r="E38" i="37"/>
  <c r="D38" i="4"/>
  <c r="D50" i="37"/>
  <c r="E50" i="6"/>
  <c r="E52" i="7"/>
  <c r="E53" i="7" s="1"/>
  <c r="D46" i="37"/>
  <c r="E46" i="6"/>
  <c r="E47" i="4"/>
  <c r="D47" i="43"/>
  <c r="E47" i="43" s="1"/>
  <c r="E42" i="6"/>
  <c r="D42" i="37"/>
  <c r="E48" i="37"/>
  <c r="D48" i="4"/>
  <c r="D40" i="4"/>
  <c r="E40" i="37"/>
  <c r="D44" i="43"/>
  <c r="E44" i="43" s="1"/>
  <c r="E44" i="4"/>
  <c r="E51" i="37"/>
  <c r="D51" i="4"/>
  <c r="A38" i="2" s="1"/>
  <c r="J39" i="7"/>
  <c r="J37" i="6"/>
  <c r="D49" i="43"/>
  <c r="E49" i="43" s="1"/>
  <c r="E49" i="4"/>
  <c r="M7" i="43"/>
  <c r="M35" i="48"/>
  <c r="AI34" i="48"/>
  <c r="AC36" i="48"/>
  <c r="Q37" i="48"/>
  <c r="J47" i="37"/>
  <c r="J46" i="4"/>
  <c r="A37" i="48" l="1"/>
  <c r="A35" i="45"/>
  <c r="BN28" i="2"/>
  <c r="F29" i="2"/>
  <c r="AK30" i="48"/>
  <c r="BD30" i="48"/>
  <c r="K30" i="48"/>
  <c r="S31" i="48"/>
  <c r="AE30" i="48"/>
  <c r="J48" i="8"/>
  <c r="K57" i="8"/>
  <c r="J41" i="8"/>
  <c r="J40" i="7"/>
  <c r="K56" i="8"/>
  <c r="J45" i="8"/>
  <c r="M8" i="37"/>
  <c r="M34" i="6"/>
  <c r="E41" i="37"/>
  <c r="D41" i="4"/>
  <c r="J43" i="4"/>
  <c r="J44" i="37"/>
  <c r="J56" i="4"/>
  <c r="Z154" i="46" s="1"/>
  <c r="E38" i="4"/>
  <c r="D38" i="43"/>
  <c r="E38" i="43" s="1"/>
  <c r="D52" i="37"/>
  <c r="D53" i="37" s="1"/>
  <c r="E50" i="37"/>
  <c r="D50" i="4"/>
  <c r="E52" i="6"/>
  <c r="E53" i="6" s="1"/>
  <c r="D46" i="4"/>
  <c r="E46" i="37"/>
  <c r="D48" i="43"/>
  <c r="E48" i="43" s="1"/>
  <c r="E48" i="4"/>
  <c r="E42" i="37"/>
  <c r="D42" i="4"/>
  <c r="E40" i="4"/>
  <c r="D40" i="43"/>
  <c r="D51" i="43"/>
  <c r="E51" i="43" s="1"/>
  <c r="E51" i="4"/>
  <c r="A39" i="2" s="1"/>
  <c r="J39" i="6"/>
  <c r="J37" i="37"/>
  <c r="M36" i="48"/>
  <c r="AI35" i="48"/>
  <c r="J47" i="4"/>
  <c r="J46" i="43"/>
  <c r="AC37" i="48"/>
  <c r="Q38" i="48"/>
  <c r="A38" i="48" l="1"/>
  <c r="A37" i="45" s="1"/>
  <c r="A36" i="45"/>
  <c r="F30" i="2"/>
  <c r="BN29" i="2"/>
  <c r="AK31" i="48"/>
  <c r="AE31" i="48"/>
  <c r="K31" i="48"/>
  <c r="S32" i="48"/>
  <c r="BD31" i="48"/>
  <c r="J48" i="7"/>
  <c r="K56" i="7"/>
  <c r="J41" i="7"/>
  <c r="J40" i="6"/>
  <c r="J45" i="7"/>
  <c r="K57" i="7"/>
  <c r="M8" i="4"/>
  <c r="M34" i="37"/>
  <c r="D41" i="43"/>
  <c r="E41" i="43" s="1"/>
  <c r="E41" i="4"/>
  <c r="J56" i="43"/>
  <c r="J43" i="43"/>
  <c r="J44" i="4"/>
  <c r="D52" i="4"/>
  <c r="D53" i="4" s="1"/>
  <c r="E52" i="37"/>
  <c r="E53" i="37" s="1"/>
  <c r="E50" i="4"/>
  <c r="D50" i="43"/>
  <c r="E50" i="43" s="1"/>
  <c r="D46" i="43"/>
  <c r="E46" i="43" s="1"/>
  <c r="E46" i="4"/>
  <c r="D42" i="43"/>
  <c r="E42" i="43" s="1"/>
  <c r="E42" i="4"/>
  <c r="E40" i="43"/>
  <c r="A40" i="2" s="1"/>
  <c r="J37" i="4"/>
  <c r="J39" i="37"/>
  <c r="AC38" i="48"/>
  <c r="J47" i="43"/>
  <c r="M37" i="48"/>
  <c r="AI36" i="48"/>
  <c r="F31" i="2" l="1"/>
  <c r="BN30" i="2"/>
  <c r="AK32" i="48"/>
  <c r="K32" i="48"/>
  <c r="S33" i="48"/>
  <c r="BD32" i="48"/>
  <c r="AE32" i="48"/>
  <c r="J48" i="6"/>
  <c r="J41" i="6"/>
  <c r="K57" i="6"/>
  <c r="K56" i="6"/>
  <c r="J45" i="6"/>
  <c r="J40" i="37"/>
  <c r="M8" i="43"/>
  <c r="M34" i="43" s="1"/>
  <c r="M34" i="4"/>
  <c r="J44" i="43"/>
  <c r="E52" i="43"/>
  <c r="E53" i="43" s="1"/>
  <c r="E52" i="4"/>
  <c r="E53" i="4" s="1"/>
  <c r="D52" i="43"/>
  <c r="J37" i="43"/>
  <c r="J39" i="43" s="1"/>
  <c r="J39" i="4"/>
  <c r="M38" i="48"/>
  <c r="AI37" i="48"/>
  <c r="F32" i="2" l="1"/>
  <c r="BN31" i="2"/>
  <c r="AK33" i="48"/>
  <c r="K33" i="48"/>
  <c r="BD33" i="48"/>
  <c r="S34" i="48"/>
  <c r="AE33" i="48"/>
  <c r="D53" i="43"/>
  <c r="J48" i="37"/>
  <c r="K57" i="37"/>
  <c r="J40" i="4"/>
  <c r="K56" i="37"/>
  <c r="J41" i="37"/>
  <c r="J45" i="37"/>
  <c r="AI38" i="48"/>
  <c r="BN32" i="2" l="1"/>
  <c r="F33" i="2"/>
  <c r="BD34" i="48"/>
  <c r="AE34" i="48"/>
  <c r="S35" i="48"/>
  <c r="AK34" i="48"/>
  <c r="K34" i="48"/>
  <c r="J48" i="4"/>
  <c r="K57" i="4"/>
  <c r="J41" i="4"/>
  <c r="J40" i="43"/>
  <c r="K56" i="4"/>
  <c r="J45" i="4"/>
  <c r="F34" i="2" l="1"/>
  <c r="BN33" i="2"/>
  <c r="AE35" i="48"/>
  <c r="S36" i="48"/>
  <c r="K35" i="48"/>
  <c r="AK35" i="48"/>
  <c r="BD35" i="48"/>
  <c r="J48" i="43"/>
  <c r="J45" i="43"/>
  <c r="J41" i="43"/>
  <c r="K56" i="43"/>
  <c r="K57" i="43"/>
  <c r="I49" i="27"/>
  <c r="BN34" i="2" l="1"/>
  <c r="F35" i="2"/>
  <c r="AK36" i="48"/>
  <c r="S37" i="48"/>
  <c r="K36" i="48"/>
  <c r="BD36" i="48"/>
  <c r="AE36" i="48"/>
  <c r="I50" i="27"/>
  <c r="I51" i="27"/>
  <c r="J49" i="27"/>
  <c r="X14" i="48"/>
  <c r="V14" i="48"/>
  <c r="U14" i="48"/>
  <c r="F36" i="2" l="1"/>
  <c r="BN35" i="2"/>
  <c r="AK37" i="48"/>
  <c r="S38" i="48"/>
  <c r="K37" i="48"/>
  <c r="BD37" i="48"/>
  <c r="AE37" i="48"/>
  <c r="J50" i="27"/>
  <c r="J49" i="28"/>
  <c r="J51" i="27"/>
  <c r="Y14" i="48"/>
  <c r="W14" i="48"/>
  <c r="U15" i="48"/>
  <c r="BN36" i="2" l="1"/>
  <c r="F37" i="2"/>
  <c r="K38" i="48"/>
  <c r="AE38" i="48"/>
  <c r="AK38" i="48"/>
  <c r="BD38" i="48"/>
  <c r="J50" i="28"/>
  <c r="J51" i="28"/>
  <c r="Y15" i="48"/>
  <c r="W15" i="48"/>
  <c r="F38" i="2" l="1"/>
  <c r="BN37" i="2"/>
  <c r="I49" i="26"/>
  <c r="F39" i="2" l="1"/>
  <c r="BN38" i="2"/>
  <c r="I50" i="26"/>
  <c r="I51" i="26"/>
  <c r="J49" i="26"/>
  <c r="X16" i="48"/>
  <c r="V16" i="48"/>
  <c r="U16" i="48"/>
  <c r="F40" i="2" l="1"/>
  <c r="BN40" i="2" s="1"/>
  <c r="BN39" i="2"/>
  <c r="J50" i="26"/>
  <c r="J51" i="26"/>
  <c r="Y16" i="48"/>
  <c r="W16" i="48"/>
  <c r="I49" i="24" l="1"/>
  <c r="I49" i="25"/>
  <c r="I50" i="25" l="1"/>
  <c r="I51" i="25"/>
  <c r="J49" i="25"/>
  <c r="J49" i="24" s="1"/>
  <c r="I50" i="24"/>
  <c r="I51" i="24"/>
  <c r="X18" i="48"/>
  <c r="V18" i="48"/>
  <c r="X17" i="48"/>
  <c r="V17" i="48"/>
  <c r="U17" i="48"/>
  <c r="J50" i="25" l="1"/>
  <c r="J51" i="25"/>
  <c r="J50" i="24"/>
  <c r="J51" i="24"/>
  <c r="W17" i="48"/>
  <c r="U18" i="48"/>
  <c r="Y17" i="48"/>
  <c r="W18" i="48" l="1"/>
  <c r="Y18" i="48"/>
  <c r="I49" i="23" l="1"/>
  <c r="I50" i="23" l="1"/>
  <c r="I51" i="23"/>
  <c r="J49" i="23"/>
  <c r="X19" i="48"/>
  <c r="V19" i="48"/>
  <c r="U19" i="48"/>
  <c r="J50" i="23" l="1"/>
  <c r="J51" i="23"/>
  <c r="W19" i="48"/>
  <c r="Y19" i="48"/>
  <c r="I49" i="21" l="1"/>
  <c r="I50" i="21" l="1"/>
  <c r="I51" i="21"/>
  <c r="J49" i="21"/>
  <c r="X20" i="48"/>
  <c r="V20" i="48"/>
  <c r="U20" i="48"/>
  <c r="J49" i="22" l="1"/>
  <c r="J50" i="21"/>
  <c r="J51" i="21"/>
  <c r="W20" i="48"/>
  <c r="Y20" i="48"/>
  <c r="U21" i="48"/>
  <c r="J50" i="22" l="1"/>
  <c r="J51" i="22"/>
  <c r="W21" i="48"/>
  <c r="Y21" i="48"/>
  <c r="I49" i="20" l="1"/>
  <c r="I50" i="20" l="1"/>
  <c r="I51" i="20"/>
  <c r="J49" i="20"/>
  <c r="X22" i="48"/>
  <c r="V22" i="48"/>
  <c r="U22" i="48"/>
  <c r="J50" i="20" l="1"/>
  <c r="J51" i="20"/>
  <c r="W22" i="48"/>
  <c r="Y22" i="48"/>
  <c r="I49" i="19" l="1"/>
  <c r="I50" i="19" l="1"/>
  <c r="I51" i="19"/>
  <c r="J49" i="19"/>
  <c r="X23" i="48"/>
  <c r="V23" i="48"/>
  <c r="U23" i="48"/>
  <c r="J50" i="19" l="1"/>
  <c r="J49" i="18"/>
  <c r="J51" i="19"/>
  <c r="W23" i="48"/>
  <c r="Y23" i="48"/>
  <c r="U24" i="48"/>
  <c r="J49" i="17" l="1"/>
  <c r="J50" i="18"/>
  <c r="J51" i="18"/>
  <c r="U25" i="48"/>
  <c r="W24" i="48"/>
  <c r="Y24" i="48"/>
  <c r="J50" i="17" l="1"/>
  <c r="J51" i="17"/>
  <c r="W25" i="48"/>
  <c r="Y25" i="48"/>
  <c r="I49" i="16" l="1"/>
  <c r="I50" i="16" l="1"/>
  <c r="I51" i="16"/>
  <c r="J49" i="16"/>
  <c r="V26" i="48"/>
  <c r="X26" i="48"/>
  <c r="U26" i="48"/>
  <c r="J50" i="16" l="1"/>
  <c r="J51" i="16"/>
  <c r="W26" i="48"/>
  <c r="Y26" i="48"/>
  <c r="I49" i="15" l="1"/>
  <c r="I50" i="15" l="1"/>
  <c r="I51" i="15"/>
  <c r="J49" i="15"/>
  <c r="V27" i="48"/>
  <c r="X27" i="48"/>
  <c r="U27" i="48"/>
  <c r="J50" i="15" l="1"/>
  <c r="J51" i="15"/>
  <c r="W27" i="48"/>
  <c r="Y27" i="48"/>
  <c r="I49" i="14" l="1"/>
  <c r="I50" i="14" l="1"/>
  <c r="I51" i="14"/>
  <c r="J49" i="14"/>
  <c r="X28" i="48"/>
  <c r="V28" i="48"/>
  <c r="U28" i="48"/>
  <c r="J50" i="14" l="1"/>
  <c r="J51" i="14"/>
  <c r="Y28" i="48"/>
  <c r="W28" i="48"/>
  <c r="I49" i="13" l="1"/>
  <c r="I50" i="13" l="1"/>
  <c r="I51" i="13"/>
  <c r="J49" i="13"/>
  <c r="V29" i="48"/>
  <c r="X29" i="48"/>
  <c r="U29" i="48"/>
  <c r="J50" i="13" l="1"/>
  <c r="J51" i="13"/>
  <c r="W29" i="48"/>
  <c r="Y29" i="48"/>
  <c r="I49" i="12" l="1"/>
  <c r="I50" i="12" l="1"/>
  <c r="I51" i="12"/>
  <c r="J49" i="12"/>
  <c r="V30" i="48"/>
  <c r="X30" i="48"/>
  <c r="U30" i="48"/>
  <c r="J50" i="12" l="1"/>
  <c r="J51" i="12"/>
  <c r="W30" i="48"/>
  <c r="Y30" i="48"/>
  <c r="I49" i="10" l="1"/>
  <c r="I50" i="10" l="1"/>
  <c r="I51" i="10"/>
  <c r="V32" i="48"/>
  <c r="X32" i="48"/>
  <c r="I49" i="11"/>
  <c r="I50" i="11" l="1"/>
  <c r="I51" i="11"/>
  <c r="J49" i="11"/>
  <c r="X31" i="48"/>
  <c r="V31" i="48"/>
  <c r="U31" i="48"/>
  <c r="J50" i="11" l="1"/>
  <c r="J51" i="11"/>
  <c r="J49" i="10"/>
  <c r="W31" i="48"/>
  <c r="U32" i="48"/>
  <c r="Y31" i="48"/>
  <c r="J50" i="10" l="1"/>
  <c r="J51" i="10"/>
  <c r="W32" i="48"/>
  <c r="Y32" i="48"/>
  <c r="I49" i="9" l="1"/>
  <c r="I50" i="9" l="1"/>
  <c r="I51" i="9"/>
  <c r="J49" i="9"/>
  <c r="V33" i="48"/>
  <c r="X33" i="48"/>
  <c r="T41" i="48"/>
  <c r="U33" i="48"/>
  <c r="J49" i="8" l="1"/>
  <c r="J50" i="9"/>
  <c r="J51" i="9"/>
  <c r="U34" i="48"/>
  <c r="Y33" i="48"/>
  <c r="W33" i="48"/>
  <c r="X41" i="48"/>
  <c r="V41" i="48"/>
  <c r="J50" i="8" l="1"/>
  <c r="J49" i="7"/>
  <c r="J51" i="8"/>
  <c r="W34" i="48"/>
  <c r="Y34" i="48"/>
  <c r="U35" i="48"/>
  <c r="J50" i="7" l="1"/>
  <c r="J49" i="6"/>
  <c r="J51" i="7"/>
  <c r="Y35" i="48"/>
  <c r="U36" i="48"/>
  <c r="W35" i="48"/>
  <c r="J49" i="37" l="1"/>
  <c r="J50" i="6"/>
  <c r="J51" i="6"/>
  <c r="U37" i="48"/>
  <c r="Y36" i="48"/>
  <c r="W36" i="48"/>
  <c r="J49" i="4" l="1"/>
  <c r="J50" i="37"/>
  <c r="J51" i="37"/>
  <c r="U38" i="48"/>
  <c r="Y37" i="48"/>
  <c r="W37" i="48"/>
  <c r="J49" i="43" l="1"/>
  <c r="J50" i="4"/>
  <c r="J51" i="4"/>
  <c r="Y38" i="48"/>
  <c r="W38" i="48"/>
  <c r="J50" i="43" l="1"/>
  <c r="J51" i="43"/>
  <c r="EM12" i="1" l="1"/>
  <c r="KT12" i="1" s="1"/>
  <c r="EL12" i="1"/>
  <c r="EK41" i="1"/>
  <c r="EM41" i="1" l="1"/>
  <c r="EL41" i="1"/>
  <c r="KV19" i="1" l="1"/>
  <c r="K19" i="1"/>
  <c r="KT19" i="1" s="1"/>
  <c r="J19" i="1"/>
  <c r="I41" i="1"/>
  <c r="J41" i="1" s="1"/>
  <c r="KV41" i="1" l="1"/>
  <c r="K41" i="1"/>
  <c r="KT41" i="1" s="1"/>
</calcChain>
</file>

<file path=xl/comments1.xml><?xml version="1.0" encoding="utf-8"?>
<comments xmlns="http://schemas.openxmlformats.org/spreadsheetml/2006/main">
  <authors>
    <author>win10</author>
  </authors>
  <commentList>
    <comment ref="H98" authorId="0" shapeId="0">
      <text>
        <r>
          <rPr>
            <b/>
            <sz val="9"/>
            <color indexed="81"/>
            <rFont val="Tahoma"/>
            <family val="2"/>
          </rPr>
          <t>win10:</t>
        </r>
        <r>
          <rPr>
            <sz val="9"/>
            <color indexed="81"/>
            <rFont val="Tahoma"/>
            <family val="2"/>
          </rPr>
          <t xml:space="preserve">
HB</t>
        </r>
      </text>
    </comment>
    <comment ref="H103" authorId="0" shapeId="0">
      <text>
        <r>
          <rPr>
            <b/>
            <sz val="9"/>
            <color indexed="81"/>
            <rFont val="Tahoma"/>
            <family val="2"/>
          </rPr>
          <t>win10:</t>
        </r>
        <r>
          <rPr>
            <sz val="9"/>
            <color indexed="81"/>
            <rFont val="Tahoma"/>
            <family val="2"/>
          </rPr>
          <t xml:space="preserve">
HB</t>
        </r>
      </text>
    </comment>
    <comment ref="H108" authorId="0" shapeId="0">
      <text>
        <r>
          <rPr>
            <b/>
            <sz val="9"/>
            <color indexed="81"/>
            <rFont val="Tahoma"/>
            <family val="2"/>
          </rPr>
          <t>win10:</t>
        </r>
        <r>
          <rPr>
            <sz val="9"/>
            <color indexed="81"/>
            <rFont val="Tahoma"/>
            <family val="2"/>
          </rPr>
          <t xml:space="preserve">
HB</t>
        </r>
      </text>
    </comment>
    <comment ref="H113" authorId="0" shapeId="0">
      <text>
        <r>
          <rPr>
            <b/>
            <sz val="9"/>
            <color indexed="81"/>
            <rFont val="Tahoma"/>
            <family val="2"/>
          </rPr>
          <t>win10:</t>
        </r>
        <r>
          <rPr>
            <sz val="9"/>
            <color indexed="81"/>
            <rFont val="Tahoma"/>
            <family val="2"/>
          </rPr>
          <t xml:space="preserve">
HB</t>
        </r>
      </text>
    </comment>
    <comment ref="H118" authorId="0" shapeId="0">
      <text>
        <r>
          <rPr>
            <b/>
            <sz val="9"/>
            <color indexed="81"/>
            <rFont val="Tahoma"/>
            <family val="2"/>
          </rPr>
          <t>win10:</t>
        </r>
        <r>
          <rPr>
            <sz val="9"/>
            <color indexed="81"/>
            <rFont val="Tahoma"/>
            <family val="2"/>
          </rPr>
          <t xml:space="preserve">
HB</t>
        </r>
      </text>
    </comment>
    <comment ref="H123" authorId="0" shapeId="0">
      <text>
        <r>
          <rPr>
            <b/>
            <sz val="9"/>
            <color indexed="81"/>
            <rFont val="Tahoma"/>
            <family val="2"/>
          </rPr>
          <t>win10:</t>
        </r>
        <r>
          <rPr>
            <sz val="9"/>
            <color indexed="81"/>
            <rFont val="Tahoma"/>
            <family val="2"/>
          </rPr>
          <t xml:space="preserve">
HB</t>
        </r>
      </text>
    </comment>
    <comment ref="H128" authorId="0" shapeId="0">
      <text>
        <r>
          <rPr>
            <b/>
            <sz val="9"/>
            <color indexed="81"/>
            <rFont val="Tahoma"/>
            <family val="2"/>
          </rPr>
          <t>win10:</t>
        </r>
        <r>
          <rPr>
            <sz val="9"/>
            <color indexed="81"/>
            <rFont val="Tahoma"/>
            <family val="2"/>
          </rPr>
          <t xml:space="preserve">
HB</t>
        </r>
      </text>
    </comment>
  </commentList>
</comments>
</file>

<file path=xl/comments2.xml><?xml version="1.0" encoding="utf-8"?>
<comments xmlns="http://schemas.openxmlformats.org/spreadsheetml/2006/main">
  <authors>
    <author>win10</author>
  </authors>
  <commentList>
    <comment ref="H98" authorId="0" shapeId="0">
      <text>
        <r>
          <rPr>
            <b/>
            <sz val="9"/>
            <color indexed="81"/>
            <rFont val="Tahoma"/>
            <family val="2"/>
          </rPr>
          <t>win10:</t>
        </r>
        <r>
          <rPr>
            <sz val="9"/>
            <color indexed="81"/>
            <rFont val="Tahoma"/>
            <family val="2"/>
          </rPr>
          <t xml:space="preserve">
HB</t>
        </r>
      </text>
    </comment>
    <comment ref="H103" authorId="0" shapeId="0">
      <text>
        <r>
          <rPr>
            <b/>
            <sz val="9"/>
            <color indexed="81"/>
            <rFont val="Tahoma"/>
            <family val="2"/>
          </rPr>
          <t>win10:</t>
        </r>
        <r>
          <rPr>
            <sz val="9"/>
            <color indexed="81"/>
            <rFont val="Tahoma"/>
            <family val="2"/>
          </rPr>
          <t xml:space="preserve">
HB</t>
        </r>
      </text>
    </comment>
    <comment ref="H108" authorId="0" shapeId="0">
      <text>
        <r>
          <rPr>
            <b/>
            <sz val="9"/>
            <color indexed="81"/>
            <rFont val="Tahoma"/>
            <family val="2"/>
          </rPr>
          <t>win10:</t>
        </r>
        <r>
          <rPr>
            <sz val="9"/>
            <color indexed="81"/>
            <rFont val="Tahoma"/>
            <family val="2"/>
          </rPr>
          <t xml:space="preserve">
HB</t>
        </r>
      </text>
    </comment>
    <comment ref="H113" authorId="0" shapeId="0">
      <text>
        <r>
          <rPr>
            <b/>
            <sz val="9"/>
            <color indexed="81"/>
            <rFont val="Tahoma"/>
            <family val="2"/>
          </rPr>
          <t>win10:</t>
        </r>
        <r>
          <rPr>
            <sz val="9"/>
            <color indexed="81"/>
            <rFont val="Tahoma"/>
            <family val="2"/>
          </rPr>
          <t xml:space="preserve">
HB</t>
        </r>
      </text>
    </comment>
    <comment ref="H118" authorId="0" shapeId="0">
      <text>
        <r>
          <rPr>
            <b/>
            <sz val="9"/>
            <color indexed="81"/>
            <rFont val="Tahoma"/>
            <family val="2"/>
          </rPr>
          <t>win10:</t>
        </r>
        <r>
          <rPr>
            <sz val="9"/>
            <color indexed="81"/>
            <rFont val="Tahoma"/>
            <family val="2"/>
          </rPr>
          <t xml:space="preserve">
HB</t>
        </r>
      </text>
    </comment>
    <comment ref="H123" authorId="0" shapeId="0">
      <text>
        <r>
          <rPr>
            <b/>
            <sz val="9"/>
            <color indexed="81"/>
            <rFont val="Tahoma"/>
            <family val="2"/>
          </rPr>
          <t>win10:</t>
        </r>
        <r>
          <rPr>
            <sz val="9"/>
            <color indexed="81"/>
            <rFont val="Tahoma"/>
            <family val="2"/>
          </rPr>
          <t xml:space="preserve">
HB</t>
        </r>
      </text>
    </comment>
    <comment ref="H128" authorId="0" shapeId="0">
      <text>
        <r>
          <rPr>
            <b/>
            <sz val="9"/>
            <color indexed="81"/>
            <rFont val="Tahoma"/>
            <family val="2"/>
          </rPr>
          <t>win10:</t>
        </r>
        <r>
          <rPr>
            <sz val="9"/>
            <color indexed="81"/>
            <rFont val="Tahoma"/>
            <family val="2"/>
          </rPr>
          <t xml:space="preserve">
HB</t>
        </r>
      </text>
    </comment>
  </commentList>
</comments>
</file>

<file path=xl/comments3.xml><?xml version="1.0" encoding="utf-8"?>
<comments xmlns="http://schemas.openxmlformats.org/spreadsheetml/2006/main">
  <authors>
    <author>win10</author>
  </authors>
  <commentList>
    <comment ref="U12" authorId="0" shapeId="0">
      <text>
        <r>
          <rPr>
            <b/>
            <sz val="9"/>
            <color indexed="81"/>
            <rFont val="Tahoma"/>
            <family val="2"/>
          </rPr>
          <t>win10:</t>
        </r>
        <r>
          <rPr>
            <sz val="9"/>
            <color indexed="81"/>
            <rFont val="Tahoma"/>
            <family val="2"/>
          </rPr>
          <t xml:space="preserve">
trail rewinder suzhou 3ply</t>
        </r>
      </text>
    </comment>
    <comment ref="X22" authorId="0" shapeId="0">
      <text>
        <r>
          <rPr>
            <b/>
            <sz val="9"/>
            <color indexed="81"/>
            <rFont val="Tahoma"/>
            <family val="2"/>
          </rPr>
          <t>win10:</t>
        </r>
        <r>
          <rPr>
            <sz val="9"/>
            <color indexed="81"/>
            <rFont val="Tahoma"/>
            <family val="2"/>
          </rPr>
          <t xml:space="preserve">
refiner aus nbkp bypass mdt&lt;std tissue putus2 soping
info pak agus iku loss proses</t>
        </r>
      </text>
    </comment>
  </commentList>
</comments>
</file>

<file path=xl/comments4.xml><?xml version="1.0" encoding="utf-8"?>
<comments xmlns="http://schemas.openxmlformats.org/spreadsheetml/2006/main">
  <authors>
    <author>win10</author>
  </authors>
  <commentList>
    <comment ref="J8" authorId="0" shapeId="0">
      <text>
        <r>
          <rPr>
            <b/>
            <sz val="9"/>
            <color indexed="81"/>
            <rFont val="Tahoma"/>
            <family val="2"/>
          </rPr>
          <t>win10:</t>
        </r>
        <r>
          <rPr>
            <sz val="9"/>
            <color indexed="81"/>
            <rFont val="Tahoma"/>
            <family val="2"/>
          </rPr>
          <t xml:space="preserve">
HB</t>
        </r>
      </text>
    </comment>
  </commentList>
</comments>
</file>

<file path=xl/sharedStrings.xml><?xml version="1.0" encoding="utf-8"?>
<sst xmlns="http://schemas.openxmlformats.org/spreadsheetml/2006/main" count="5738" uniqueCount="630">
  <si>
    <t xml:space="preserve"> </t>
  </si>
  <si>
    <t>Efficiency</t>
  </si>
  <si>
    <t>Total</t>
  </si>
  <si>
    <t>PRODUCTION DAILY REPORT</t>
  </si>
  <si>
    <t>GRADE</t>
  </si>
  <si>
    <t>GSM</t>
  </si>
  <si>
    <t>LOSS</t>
  </si>
  <si>
    <t>Facial</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</si>
  <si>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</si>
  <si>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</si>
  <si>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</si>
  <si>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</si>
  <si>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</si>
  <si>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</si>
  <si>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</si>
  <si>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</si>
  <si>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</si>
  <si>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</si>
  <si>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</si>
  <si>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</si>
  <si>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</si>
  <si>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</si>
  <si>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</si>
  <si>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</si>
  <si>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</si>
  <si>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</si>
  <si>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</si>
  <si>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</si>
  <si>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</si>
  <si>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</si>
  <si>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</si>
  <si>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GAS HOOD</t>
  </si>
  <si>
    <t>STEAM (TON)</t>
  </si>
  <si>
    <t>POWER (kWh)</t>
  </si>
  <si>
    <t>/TON PM.</t>
  </si>
  <si>
    <t>/TON FG.</t>
  </si>
  <si>
    <t>CONSUMPTION</t>
  </si>
  <si>
    <t>TODAY</t>
  </si>
  <si>
    <t>TODATE</t>
  </si>
  <si>
    <t>REW PROD (TON)</t>
  </si>
  <si>
    <t>Kg/ton</t>
  </si>
  <si>
    <t>REEL PROD (TON)</t>
  </si>
  <si>
    <t>NBKP Albacell</t>
  </si>
  <si>
    <t>TOTAL NBKP</t>
  </si>
  <si>
    <t>BROKE FROM OUTSIDE</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</si>
  <si>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</si>
  <si>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</si>
  <si>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</si>
  <si>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</si>
  <si>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</si>
  <si>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</si>
  <si>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</si>
  <si>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</si>
  <si>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</si>
  <si>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</si>
  <si>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</si>
  <si>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</si>
  <si>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</si>
  <si>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</si>
  <si>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</si>
  <si>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</si>
  <si>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</si>
  <si>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</si>
  <si>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</si>
  <si>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</si>
  <si>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</si>
  <si>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</si>
  <si>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</si>
  <si>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</si>
  <si>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</si>
  <si>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</si>
  <si>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</si>
  <si>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</si>
  <si>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</si>
  <si>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</si>
  <si>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</si>
  <si>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</si>
  <si>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</si>
  <si>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</si>
  <si>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</si>
  <si>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</si>
  <si>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</si>
  <si>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M3</t>
  </si>
  <si>
    <t xml:space="preserve">Gas ConsumptionHood per ton paper </t>
  </si>
  <si>
    <t>Planned shut</t>
  </si>
  <si>
    <t>Gas Hood per ton paper Accepted PHP</t>
  </si>
  <si>
    <t>Remarks :</t>
  </si>
  <si>
    <t>Reject =</t>
  </si>
  <si>
    <t>RMG =</t>
  </si>
  <si>
    <t>TOTAL LBKP</t>
  </si>
  <si>
    <t>TOTAL EBKP</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</si>
  <si>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</si>
  <si>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</si>
  <si>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</si>
  <si>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</si>
  <si>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</si>
  <si>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</si>
  <si>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</si>
  <si>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</si>
  <si>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</si>
  <si>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</si>
  <si>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</si>
  <si>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</si>
  <si>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</si>
  <si>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</si>
  <si>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</si>
  <si>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</si>
  <si>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</si>
  <si>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</si>
  <si>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</si>
  <si>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</si>
  <si>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</si>
  <si>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</si>
  <si>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</si>
  <si>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</si>
  <si>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</si>
  <si>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</si>
  <si>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</si>
  <si>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</si>
  <si>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</si>
  <si>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</si>
  <si>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</si>
  <si>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</si>
  <si>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</si>
  <si>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</si>
  <si>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</si>
  <si>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</si>
  <si>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</si>
  <si>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</si>
  <si>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</si>
  <si>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</si>
  <si>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</si>
  <si>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</si>
  <si>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</si>
  <si>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</si>
  <si>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Selisih</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</si>
  <si>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</si>
  <si>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</si>
  <si>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</si>
  <si>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</si>
  <si>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</si>
  <si>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</si>
  <si>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</si>
  <si>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</si>
  <si>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</si>
  <si>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</si>
  <si>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NBKP BOTNIA</t>
  </si>
  <si>
    <t>EBKP DOUBLE A</t>
  </si>
  <si>
    <t>EBKP MONDE</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</si>
  <si>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</si>
  <si>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</si>
  <si>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</si>
  <si>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</si>
  <si>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</si>
  <si>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</si>
  <si>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</si>
  <si>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</si>
  <si>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</si>
  <si>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</si>
  <si>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</si>
  <si>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</si>
  <si>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</si>
  <si>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</si>
  <si>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</si>
  <si>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</si>
  <si>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</si>
  <si>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</si>
  <si>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</si>
  <si>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</si>
  <si>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</si>
  <si>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</si>
  <si>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</si>
  <si>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Off Reel</t>
  </si>
  <si>
    <t>Off Rewinder</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</si>
  <si>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</si>
  <si>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</si>
  <si>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</si>
  <si>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</si>
  <si>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</si>
  <si>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</si>
  <si>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</si>
  <si>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</si>
  <si>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</si>
  <si>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</si>
  <si>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</si>
  <si>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TISSUE MACHINE 14</t>
  </si>
  <si>
    <t>PAPER MACHINE 14 DAILY REPORT 1</t>
  </si>
  <si>
    <t>Total PM14</t>
  </si>
  <si>
    <t>PM 14</t>
  </si>
  <si>
    <t xml:space="preserve">PM14 Efficiency Report </t>
  </si>
  <si>
    <t>trim</t>
  </si>
  <si>
    <t>Eff</t>
  </si>
  <si>
    <t>yankee</t>
  </si>
  <si>
    <t>reel</t>
  </si>
  <si>
    <t>creeping</t>
  </si>
  <si>
    <t>time</t>
  </si>
  <si>
    <t>Teori</t>
  </si>
  <si>
    <t>Accept</t>
  </si>
  <si>
    <t>Baklog</t>
  </si>
  <si>
    <t>Sisa spool popereel</t>
  </si>
  <si>
    <t xml:space="preserve">Sisa Spool seset </t>
  </si>
  <si>
    <t>Pending</t>
  </si>
  <si>
    <t>Ngelokor</t>
  </si>
  <si>
    <t>Keriput</t>
  </si>
  <si>
    <t>Start up</t>
  </si>
  <si>
    <t>Potongan jelek</t>
  </si>
  <si>
    <t>Hole</t>
  </si>
  <si>
    <t>Trim</t>
  </si>
  <si>
    <t>Kertas sobek pinggir</t>
  </si>
  <si>
    <t>Joint</t>
  </si>
  <si>
    <t>Formasi jelek</t>
  </si>
  <si>
    <t>Lembab</t>
  </si>
  <si>
    <t>Diameter &lt; std</t>
  </si>
  <si>
    <t>Gelembung</t>
  </si>
  <si>
    <t>soping</t>
  </si>
  <si>
    <t>Bw &lt; std</t>
  </si>
  <si>
    <t>crushing</t>
  </si>
  <si>
    <t>White spot</t>
  </si>
  <si>
    <t>Thickness &lt; std</t>
  </si>
  <si>
    <t>Bulky &lt; std</t>
  </si>
  <si>
    <t>Bw &gt; std</t>
  </si>
  <si>
    <t>Kertas melipat</t>
  </si>
  <si>
    <t>Sisa Spool rewinder</t>
  </si>
  <si>
    <t>Change Grade</t>
  </si>
  <si>
    <t>Loss time sheet break</t>
  </si>
  <si>
    <t>Loss time change blade</t>
  </si>
  <si>
    <t>Loss time change grade</t>
  </si>
  <si>
    <t>NGR 900</t>
  </si>
  <si>
    <t>total</t>
  </si>
  <si>
    <t>LBKP CAKRAWALA</t>
  </si>
  <si>
    <t>-</t>
  </si>
  <si>
    <t>Category</t>
  </si>
  <si>
    <t>Problem Category</t>
  </si>
  <si>
    <t>Detailed Problem</t>
  </si>
  <si>
    <t>LT/DT in Mins</t>
  </si>
  <si>
    <t>LT/DT in Ton</t>
  </si>
  <si>
    <t>Percentage LT/DT</t>
  </si>
  <si>
    <t>Total Percentage</t>
  </si>
  <si>
    <t>Actual Percentage</t>
  </si>
  <si>
    <t>X-Factor</t>
  </si>
  <si>
    <t>Down Time Marketing</t>
  </si>
  <si>
    <t>Estimasi RBP &amp; Backlog</t>
  </si>
  <si>
    <t>Reject Broke Plant</t>
  </si>
  <si>
    <t>Basic Weight Estimation</t>
  </si>
  <si>
    <t>Loss Speed</t>
  </si>
  <si>
    <t>Down Time Process</t>
  </si>
  <si>
    <t>Loss Time Change Grade</t>
  </si>
  <si>
    <t>Loss Time Process</t>
  </si>
  <si>
    <t>Change Blade</t>
  </si>
  <si>
    <t>Change Spool</t>
  </si>
  <si>
    <t>Sheet Breaks</t>
  </si>
  <si>
    <t>Maintenance</t>
  </si>
  <si>
    <t>Down Time EID</t>
  </si>
  <si>
    <t>Down Time Mekanik</t>
  </si>
  <si>
    <t>Loss Time EID</t>
  </si>
  <si>
    <t>Loss Time Mekanik</t>
  </si>
  <si>
    <t>Scheduled Shut Down</t>
  </si>
  <si>
    <t>Tonase</t>
  </si>
  <si>
    <t>Prosentase</t>
  </si>
  <si>
    <t>Downtime / Losstime</t>
  </si>
  <si>
    <t>Klasifikasi Detail</t>
  </si>
  <si>
    <t>Klasifikasi Awal</t>
  </si>
  <si>
    <t>Jenis Reject</t>
  </si>
  <si>
    <t>Reject in Ton</t>
  </si>
  <si>
    <t>Reject Percentage</t>
  </si>
  <si>
    <t>Estimasi Basic Weight</t>
  </si>
  <si>
    <t>Theory with Available Time (ton)</t>
  </si>
  <si>
    <t>Total LT/DT (mins)</t>
  </si>
  <si>
    <t>Total LT/DT (ton)</t>
  </si>
  <si>
    <t>LT/DT Percentage</t>
  </si>
  <si>
    <t>PM 14 Summary</t>
  </si>
  <si>
    <t>Gas ConsumptionHood PM 14</t>
  </si>
  <si>
    <t>Gas ConsumptionHood PM14</t>
  </si>
  <si>
    <t>Gas based on report DCS</t>
  </si>
  <si>
    <t>Flowmeter</t>
  </si>
  <si>
    <t>% pengali</t>
  </si>
  <si>
    <t>Adjust</t>
  </si>
  <si>
    <t>PGN</t>
  </si>
  <si>
    <t>Total Prosentase</t>
  </si>
  <si>
    <t>creeping mark</t>
  </si>
  <si>
    <t>Warisan</t>
  </si>
  <si>
    <t>Dirt</t>
  </si>
  <si>
    <t>kertas lembab</t>
  </si>
  <si>
    <t>Seset Change Grade</t>
  </si>
  <si>
    <t>potongan lari lari</t>
  </si>
  <si>
    <t>Potongan serabut</t>
  </si>
  <si>
    <t>UNKNOWN</t>
  </si>
  <si>
    <t>Sinergy</t>
  </si>
  <si>
    <t>MDT rendah</t>
  </si>
  <si>
    <t>PEMAKAIAN GAS</t>
  </si>
  <si>
    <t>PULP AND BROKE DAILY REPORT PM 14</t>
  </si>
  <si>
    <t>CHEMICAL DAILY REPORT PM 14</t>
  </si>
  <si>
    <t>Marketing</t>
  </si>
  <si>
    <t>Loss time</t>
  </si>
  <si>
    <t>Down Time</t>
  </si>
  <si>
    <t>SINERGY</t>
  </si>
  <si>
    <t>Backlog</t>
  </si>
  <si>
    <t>sheet break</t>
  </si>
  <si>
    <t>change blade</t>
  </si>
  <si>
    <t>change spool</t>
  </si>
  <si>
    <t>awal bulan produksi MG mengikuti real speed karea usia felt sudah 7minggu</t>
  </si>
  <si>
    <t>NB : info pak hartono untuk napkin + towel speed 1600mpm, gsm tinggi 92ton(&gt;17)</t>
  </si>
  <si>
    <t>Loss time change spool</t>
  </si>
  <si>
    <t>Loss Time Marketing</t>
  </si>
  <si>
    <t>VP OW</t>
  </si>
  <si>
    <t>Trafo (2500 A)</t>
  </si>
  <si>
    <t>Trafo (2500 B)</t>
  </si>
  <si>
    <t>Kehilangan Effisiensi PM 14 terdiri dari:</t>
  </si>
  <si>
    <t>MANAGEMENT</t>
  </si>
  <si>
    <t>Down Time Sinergy</t>
  </si>
  <si>
    <t>Loss Time Sinergy</t>
  </si>
  <si>
    <t>Paper Mill's Chemicals</t>
  </si>
  <si>
    <t>Deinking's Chemicals</t>
  </si>
  <si>
    <t>Paper mill's Chemicals</t>
  </si>
  <si>
    <t>AMIBOND DS 947</t>
  </si>
  <si>
    <t>AMIBOND WS 418</t>
  </si>
  <si>
    <t>WSR RESIN P-5500</t>
  </si>
  <si>
    <t>AMICIDE BX 9127</t>
  </si>
  <si>
    <t>AMICIDE BX 9160</t>
  </si>
  <si>
    <t>AMICIDE BX 9193</t>
  </si>
  <si>
    <t>AMICIDE BX 9226</t>
  </si>
  <si>
    <t>AMICIDE BX 9347</t>
  </si>
  <si>
    <t>AMICLEAN AP 1797</t>
  </si>
  <si>
    <t>AMICLEAN AP 1817</t>
  </si>
  <si>
    <t>AMICLEAN AP 2048</t>
  </si>
  <si>
    <t>AMICOAT TC 6101</t>
  </si>
  <si>
    <t>AMICOAT TC 6218</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</si>
  <si>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</si>
  <si>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</si>
  <si>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</si>
  <si>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</si>
  <si>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</si>
  <si>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</si>
  <si>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</si>
  <si>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</si>
  <si>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</si>
  <si>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</si>
  <si>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</si>
  <si>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</si>
  <si>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</si>
  <si>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</si>
  <si>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</si>
  <si>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</si>
  <si>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</si>
  <si>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</si>
  <si>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</si>
  <si>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</si>
  <si>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</si>
  <si>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</si>
  <si>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</si>
  <si>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</si>
  <si>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</si>
  <si>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</si>
  <si>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</si>
  <si>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</si>
  <si>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</si>
  <si>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</si>
  <si>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</si>
  <si>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ELTEXIN</t>
  </si>
  <si>
    <t>ELTEBRIGHT BL 1000</t>
  </si>
  <si>
    <t>SOLMIX  L40</t>
  </si>
  <si>
    <t>CHEMBRIGHT C LIQUID</t>
  </si>
  <si>
    <t>K-Bright Liquid</t>
  </si>
  <si>
    <t>NGR 200</t>
  </si>
  <si>
    <t>ANEDIR YELLOW BKL</t>
  </si>
  <si>
    <t>ANEDIR RED BKL</t>
  </si>
  <si>
    <t>ANEDIR BLACK L LIQ</t>
  </si>
  <si>
    <t>ANEDIR BROWN CC-04 LIQ</t>
  </si>
  <si>
    <t>Anedir Brown cc-03</t>
  </si>
  <si>
    <t>DEKAWET NA30</t>
  </si>
  <si>
    <t>Burstrong Fixing Agent</t>
  </si>
  <si>
    <t>DI N40</t>
  </si>
  <si>
    <t>CHROMACLEAR</t>
  </si>
  <si>
    <t>Price</t>
  </si>
  <si>
    <t>Running</t>
  </si>
  <si>
    <t>PM 14 Running Time</t>
  </si>
  <si>
    <t>Down Time PLN</t>
  </si>
  <si>
    <t xml:space="preserve">Kapasitas Running (ton) </t>
  </si>
  <si>
    <t>Eff FG vs Target  Running(%)</t>
  </si>
  <si>
    <t>SCA</t>
  </si>
  <si>
    <t>Sample QC</t>
  </si>
  <si>
    <t>Change Grade/Cleaning</t>
  </si>
  <si>
    <t>TEL PELITA</t>
  </si>
  <si>
    <t>EPOSTRONG</t>
  </si>
  <si>
    <t>DFR 810S</t>
  </si>
  <si>
    <t>0</t>
  </si>
  <si>
    <t>- Change Spool (10x)</t>
  </si>
  <si>
    <t>12</t>
  </si>
  <si>
    <t>- Change Blade (5x)</t>
  </si>
  <si>
    <t>F 12</t>
  </si>
  <si>
    <t>Ariko P</t>
  </si>
  <si>
    <t>F 12 VP OW</t>
  </si>
  <si>
    <t>Hadi F</t>
  </si>
  <si>
    <t>Erwin R</t>
  </si>
  <si>
    <t>SUZANO</t>
  </si>
  <si>
    <t>SS</t>
  </si>
  <si>
    <t>PHP PM</t>
  </si>
  <si>
    <t xml:space="preserve">PM14 Efficiency Running Report </t>
  </si>
  <si>
    <t>Steam, &amp; gangguan sinergy (X)</t>
  </si>
  <si>
    <t>Freq, Trip PLN (X)</t>
  </si>
  <si>
    <t>Cleaning Holes (X)</t>
  </si>
  <si>
    <t>Per hari</t>
  </si>
  <si>
    <t>- Sheet Breaks (3x)</t>
  </si>
  <si>
    <t>- Awal Shift PM Produksi F12 Speed 1230mpm/-23% amisoft off</t>
  </si>
  <si>
    <t>1230/947</t>
  </si>
  <si>
    <t>- Change Spool (9x)</t>
  </si>
  <si>
    <t>- Change Blade (2x)</t>
  </si>
  <si>
    <t>- Sheet Breaks (2x)</t>
  </si>
  <si>
    <t>- Change Blade (3x)</t>
  </si>
  <si>
    <t>- Change Spool (8x)</t>
  </si>
  <si>
    <t>SEPTEMBER</t>
  </si>
  <si>
    <t>- Sheet Breaks (7x)</t>
  </si>
  <si>
    <t>- Change Blade (10x)</t>
  </si>
  <si>
    <t>- Change Spool (27x)</t>
  </si>
  <si>
    <t>EBKP GHN</t>
  </si>
  <si>
    <t>F 13 VP OW</t>
  </si>
  <si>
    <t>140+122,5</t>
  </si>
  <si>
    <t>F 13</t>
  </si>
  <si>
    <t>- Awal Shift PM Produksi F13 *Speed 1230mpm/-23% *</t>
  </si>
  <si>
    <t>23:02 coba trim cutter dimatikan , kertas soping-soping bagian DS
23:11 trim cutter on lagi , kertas aman
00:43 jumbo roll muncul hole acak  area DS dan C, speed down 1170 mpm, amiclean on
01:55 hole acak hilang, speed up 1195mpm</t>
  </si>
  <si>
    <t>- Awal Shift PM Produksi F12 *Speed 1230mpm/-23% *</t>
  </si>
  <si>
    <t>- 15:00 awal shift kertas marking bagian DS
- adjust temperatur hood dan yankee
16:45 Speed down 1200mpm, marking hilang DS dan muncul hole bagian DS
- adjust flow Coating release 
- adjust temperatur hood dan yankee
16:48 hole Blade hilang , speed up 1230mpm , muncul marking bagian DS ke arah center
- HPP felt up 15bar
17:48 Speed down 1180mpm, marking berkurang , muncul Brosot bagian DS
18:54 kertas bagian DS masih sering Brosot , kertas ditrim bagian DS yang Brosot.
19:19 Change grade F13
           Speed 1200mpm/-23%
20:17 coba ganti ceramic Blade
- kertas mulai membaik , tidak Brosot</t>
  </si>
  <si>
    <t>- Awal Shift PM Produksi F 12
Speed 1230/23%</t>
  </si>
  <si>
    <t>- 11:27 new blade no 2 tiba2 kertas brosot rata 
- seting temperatur hud 
- hpp up 14 bar indikasi felt kotor 
11:37 kertas sambung 
12:48 kertas bagian ds sering brosot ( indikasi felt bagian DS kotor 
- bagian felt DS klucur air + siram air soda
13:42 pm masih blum lancar bagian DS brosot + hole garis 
- seting temperatur hud + kalibrasi coating release 
14:12 pm mulai lancar kertas jarang brosot</t>
  </si>
  <si>
    <t>STOP</t>
  </si>
  <si>
    <t>f 12</t>
  </si>
  <si>
    <t>f 13</t>
  </si>
  <si>
    <t>1246,96/960,16</t>
  </si>
  <si>
    <t>1230/947,1</t>
  </si>
  <si>
    <t>1303,13/1003,41</t>
  </si>
  <si>
    <t>1207,76/929,976</t>
  </si>
  <si>
    <t>- Change Blade (4x)</t>
  </si>
  <si>
    <t>- Change Blade (0x)</t>
  </si>
  <si>
    <t>- Sheet Breaks (8x)</t>
  </si>
  <si>
    <t>12/13</t>
  </si>
  <si>
    <t>- Sheet Breaks (13x)</t>
  </si>
  <si>
    <t>- Change Spool (30x)</t>
  </si>
  <si>
    <t>180+77,5</t>
  </si>
  <si>
    <t>80*3</t>
  </si>
  <si>
    <t>SODIUM HYPOCHLORID</t>
  </si>
  <si>
    <t>Detac DC779F</t>
  </si>
  <si>
    <t>CHEMZYME CL</t>
  </si>
  <si>
    <t>- Awal Shift PM Produksi F12
Speed aktual 1200mpm/-23%
*Speed target 1230mpm/-23% *
Lost Speed 10mpm(0,8%)</t>
  </si>
  <si>
    <t>01:00 jumbo roll turun ada hole acak bagian DS, speed down 1200mpm, amiclean on.
01:50 jumbo roll turun hole acak hilang
Nb : sprai Coating release sering buntu dan kertas masih gelombang</t>
  </si>
  <si>
    <t>- Awal Shift PM Produksi  F12
*Speed 1230mpm/-23% *</t>
  </si>
  <si>
    <t>15:00 awal shift kertas kriput dan gelombang
- adjust temperatur hood dan steam
15:10 jumbo roll turun kertas nglipet bagian Center , indikasi kertas lembab , status pending
- speed down 1170mpm
- adjust temperatur hood
15:30 Speed up 1220mpm kertas mulai panas
16:19 jumbo roll turun kriput
- adjust temperatur hood
17:03 jumbo roll turun ACC QC
Nb : sprai Coating release sering buntu dan kertas masih gelombang</t>
  </si>
  <si>
    <t>- Awal Shift PM Produksi  F 13/2ply &amp; f12/3ply
Speed 1230/23%</t>
  </si>
  <si>
    <t>- 09:52 change grade F 12 speed 1220 
11:20 rew A stop ganti pot 3 ply 
- geser bottom + ganti sliter 
Rew A jalan +- 12:30
14:08 kertas tiba2 nglokor  ganti blade ceramic kertas tiba2 gelombang + kriput 
- seting temperatur hud + yankee 
- kertas gelombang + kertas geser karna kriput 
- turun speed 1170
NB : akhir shift pm masih belum lancar karna permukaan kertas masih kriput dan tidak rata</t>
  </si>
  <si>
    <t>1223,5/942,095</t>
  </si>
  <si>
    <t>1218,13/937,956</t>
  </si>
  <si>
    <t>1203,75/926,888</t>
  </si>
  <si>
    <t>1215,13/935,65</t>
  </si>
  <si>
    <t>- Change Blade (1x)</t>
  </si>
  <si>
    <t>- Sheet Breaks (4x)</t>
  </si>
  <si>
    <t>13/12</t>
  </si>
  <si>
    <t>- Sheet Breaks (9x)</t>
  </si>
  <si>
    <t>F 12,5</t>
  </si>
  <si>
    <t>120*2</t>
  </si>
  <si>
    <t>F 12,5 VP OW</t>
  </si>
  <si>
    <t>.9.25</t>
  </si>
  <si>
    <t>-Shower coating masih sering buntu</t>
  </si>
  <si>
    <t>- Awal Shift PM Produksi F 12
Speed 1230 /23%
Speed aktual 1210/23%</t>
  </si>
  <si>
    <t>- 13:31 change gride F 14 speed 1220</t>
  </si>
  <si>
    <t>F 14</t>
  </si>
  <si>
    <t>1211,85/933,128</t>
  </si>
  <si>
    <t>1223,95/942,44</t>
  </si>
  <si>
    <t>- Sheet Breaks (0x)</t>
  </si>
  <si>
    <t>- Change Spool (11x)</t>
  </si>
  <si>
    <t>14</t>
  </si>
  <si>
    <t>12/14</t>
  </si>
  <si>
    <t>- Sheet Breaks (6x)</t>
  </si>
  <si>
    <t>F 14 VP OW</t>
  </si>
  <si>
    <t>257,5*1</t>
  </si>
  <si>
    <t>- Awal Shift PM Produksi T12
*Speed 1230mpm/-23% *</t>
  </si>
  <si>
    <t># 00.39 jumbo turun muncul cutter mark
#setiap jumbo ganti blade menghindari cutter mark
- 05.05 pm14 stop ganti felt &amp; boil out
- flushing jalur machine Chest to silo tank, broke dump chest
- tutup hider steam
- tutup sealing water
- isi soda ke water tray
- 06.00 mulai proses boil out line approach
- 07.00 selesai boil out proses drain</t>
  </si>
  <si>
    <t xml:space="preserve">- Awal Shift PM Produksi  T12
Speed 1230/-23% </t>
  </si>
  <si>
    <t>18:10 jumbo turun kertas hole blade, ds, coba ganti blade hole hilang
18.57 jumbo turun muncul hole blade ds lagi, ganti blade lagi
#pm turun speed 1180 mpm set temp, turunkan hpp
# lenght 25 rb muncul jumbo hole blade, coba ganti pakai blade ceramik. Kertas oke
Speed up 1200 mpm</t>
  </si>
  <si>
    <t>11.00 Amisoft dan WSR off
11.10 Change grade F12 
           Speed 1230/-23%
14.00 Change grade T12 
            speed 1230/-23%
- Amisoft on 120ml/mnt</t>
  </si>
  <si>
    <t>length baca terus saat kertas putus</t>
  </si>
  <si>
    <t>- sensor length baca terus saat kertas putus
Awal shift PM 14 stop, eid perbaikan turbo vacuum
16.01 turbo vacuum belum bisa, coba pakai lama, buka Valve ke jalur vacuum lama
16.42 turbo vacuum ready
16.47 pm persiapan jalan
16.55 pm start up
17.10 pm on reel prod F14 speed 1100mpm speed akhir 1210 mpm</t>
  </si>
  <si>
    <t>- 08.35 Pm stop, Turbo vacuum trip
- Eid perbaikan turbo vacuum 
- cleaning area pm
- drin dan cleaning couch pit tank
11.51  turbo vacuum ready, tes jalan
11.54  turbo vacuum stop lagi, teknisi tunning parameter .
13.52  teknisi sanggu cina pasang lagi reaktor dan kapasitor 
Nb : akhir shift pm masih stop</t>
  </si>
  <si>
    <t>1230/922,5</t>
  </si>
  <si>
    <t>1155/866,25</t>
  </si>
  <si>
    <t>1210/907,5</t>
  </si>
  <si>
    <t>- Change Spool (4x)</t>
  </si>
  <si>
    <t>- Awal Shift PM Produksi F14
*Speed 1230mpm/-25% *</t>
  </si>
  <si>
    <t>T 12</t>
  </si>
  <si>
    <t>1230/934,288</t>
  </si>
  <si>
    <t>1209,69/931,459</t>
  </si>
  <si>
    <t>1222,64/936,79</t>
  </si>
  <si>
    <t>Facial/Toilet</t>
  </si>
  <si>
    <t>14/12/12</t>
  </si>
  <si>
    <t>- Change Spool (23x)</t>
  </si>
  <si>
    <t>- 08.35 Pm stop, Turbo vacuum trip</t>
  </si>
  <si>
    <t>Toilet</t>
  </si>
  <si>
    <t>- 05.05 pm14 stop ganti felt &amp; boil out</t>
  </si>
  <si>
    <t>- Awal Shift PM Produksi F 14
Speed 1230 /25%
Kap : 15.273 kg</t>
  </si>
  <si>
    <t xml:space="preserve">- Awal Shift PM Produksi F14
Speed 1230/-25% </t>
  </si>
  <si>
    <t>- Awal Shift PM Produksi F14
*Speed 1230mpm/-22% *
Act speed 1210 mpm</t>
  </si>
  <si>
    <t>- Awal Shift PM Produksi F14
*Speed 1230mpm/-22% *</t>
  </si>
  <si>
    <t>122,5*2</t>
  </si>
  <si>
    <t>251*1</t>
  </si>
  <si>
    <t>T 12,5 VP OW</t>
  </si>
  <si>
    <t>Awal shift PM14 stop
*23.09 lanjut pemasangan felt baru
*00.57 amplas ulang permukaan yankee
02.00 cuci felt menggunakan detergent
03.00 cleaning permukaan yankee lanjut spray map
04.00 PM14 Blank run
04.30 perbaikan sensor suction press oleh EID
05.37 PM14 on Reel</t>
  </si>
  <si>
    <t>15.00 Awal shift PM14 stop
- pasang felt belum selesai, amplas yankee
- EID repair turbo vacum
17.12  EID selesai repair turbo vacum
19.16  amplas yankee dengan bantuan shower
21.20  buka strecher roll
21.30 cleaning permukaan yankee dengan release dan mulai heating up yankee (permukaan yankee kuning berkarat)
22.30  pasang felt baru</t>
  </si>
  <si>
    <t>- 07:00 awal shift PM 14 stop
- proses boil out approach selesai , drain silo tank dan couchpit tank
08:24 isi silo tank , proses bilas/flushing
- sirkulasi jalur Coating release dengan soda cair
08:51 bilas selesai , proses potong felt lama
- drain silo tank
- cleaning water tray
- proses amplas yankee
09:00 proses pasang felt baru
- cleaning couch pit tank
- cleaning silo tank
- ganti spray Coating release
15:00 akhir shift pasang felt belum selesai , tinggal bagian Spr dan strecher roll , nunggu amplas yankee</t>
  </si>
  <si>
    <t>Planned Shut</t>
  </si>
  <si>
    <t>- Change Spool (0x)</t>
  </si>
  <si>
    <t>- pm14 stop ganti felt &amp; boil out</t>
  </si>
  <si>
    <t>- Awal Shift PM Produksi F12
*Speed target 1230mpm/-23% *
Speed aktual 1000mpm/-23%
Lost speed 230mpm(18,6%) felt baru</t>
  </si>
  <si>
    <t>08:02 Speed up 1020mpm
08:13 jumbo roll turun ada hole blade bagian center , indikasi kertas lembab
- adjust temperatur hood
- adjust pressure steam</t>
  </si>
  <si>
    <t>08:48 Speed up 1060mpm
12:04 Speed up 1100mpm
12:49 Change grade F13
           Speed 1100mpm/-23%</t>
  </si>
  <si>
    <t>13:52 pulper stop , rubber coupling pecah , MED proses perbaikan
- Speed down 1050mpm, buburan minim , sementara masak di utm
14:32 MED selesai perbaikan rubber coupling , speed up perlahan sampai 1140mpm</t>
  </si>
  <si>
    <t>1061/817</t>
  </si>
  <si>
    <t>1140/877</t>
  </si>
  <si>
    <t>1170/900</t>
  </si>
  <si>
    <t>- 04.15 change grade F12 speed 1170/-23%</t>
  </si>
  <si>
    <t>1123/865</t>
  </si>
  <si>
    <t>- Awal Shift PM Produksi F13 Speed 1140mpm/-23%
felt baru</t>
  </si>
  <si>
    <t>- Awal Shift PM Produksi F13 Speed 1170mpm/-23%
felt baru</t>
  </si>
  <si>
    <t>- Change Blade (9x)</t>
  </si>
  <si>
    <t>- Change Blade (13x)</t>
  </si>
  <si>
    <t>- Change Spool (28x)</t>
  </si>
  <si>
    <t>PM stop ganti felt &amp; boil out</t>
  </si>
  <si>
    <t>PM stop, Turbo vacuum trip</t>
  </si>
  <si>
    <t>122,5+140</t>
  </si>
  <si>
    <t>133*2</t>
  </si>
  <si>
    <t>140+60*2</t>
  </si>
  <si>
    <t>- Awal Shift PM Produksi F 12,5 Speed 1230/23%</t>
  </si>
  <si>
    <t>- Awal Shift PM Produksi F 12
Speed 1230 /23%
Speed aktual / 23%</t>
  </si>
  <si>
    <t>- 10.15 trim fs hilang kertas putus, wire geser ke fs palm guide roll maslah, pengecekan eid, 
- 10.25 wire bisa geser ke ds, kertas onreel
- 11.15 kertas putus trim fs hilang lagi, geser wire ke ds
- 11.25 onreel
- 12.00 kertas putus, wire geser lagi ke fs setting eid
- 12. 15 kertas onreel</t>
  </si>
  <si>
    <t>20:00 muncul hole bagian TS indikasi wire cacat 
- tension wire 9,5
20:05 Rew A stop ganti size  potongan pengalian supaya hole bisa dibuang ( habis kan jumbo di parkiran 
20:35 change grade F 12,5 
20:37 tambor turun hole masih ada bagian TS</t>
  </si>
  <si>
    <t>120/947,1</t>
  </si>
  <si>
    <t>12/12,5</t>
  </si>
  <si>
    <t xml:space="preserve">- 10.15 trim fs hilang kertas putus, wire geser ke fs palm guide roll maslah, pengecekan eid, </t>
  </si>
  <si>
    <t>132*2</t>
  </si>
  <si>
    <t>132+130</t>
  </si>
  <si>
    <t>120+140</t>
  </si>
  <si>
    <t>- Awal Shift PM Produksi F 12,5 &amp; f12 
Speed :1230/23%
Speed actual : 1210/23%</t>
  </si>
  <si>
    <t>- 01:23 change gride F 12</t>
  </si>
  <si>
    <t>- Awal Shift PM Produksi F 12,5
Speed 1230 /23%
Speed aktual 1200/23%</t>
  </si>
  <si>
    <t>15:45 tim MEID selsai ganti pisau refiner</t>
  </si>
  <si>
    <t>- Awal Shift PM Produksi F12,5
*Speed 1230mpm/-23% *</t>
  </si>
  <si>
    <t>- 08.07 Tambor turun terdapat hole sisi fS, indikasi ada lipatan di wire
08.25, pm stop 
- perbaikan wire di setrika by pak polo
- adjust tention wire, garis wire miring, by med
- change rifainer dr bruno ke overmekanika, indikasi pisau habis
09.25 setrika selesai pm start up speed 1120 naik bertahap 
09.47 on reel
09.52 su hole lipatan wire sudah hilang,
#Med ganti pisau rifainer bruno</t>
  </si>
  <si>
    <t>F12</t>
  </si>
  <si>
    <t>1144,61/881,346</t>
  </si>
  <si>
    <t>1200/924</t>
  </si>
  <si>
    <t>+1195,04/920,18</t>
  </si>
  <si>
    <t>12,5/12</t>
  </si>
  <si>
    <t>- 08.25, pm stop ,perbaikan wire di setrika by pak polo</t>
  </si>
  <si>
    <t>- Sheet Breaks (5x)</t>
  </si>
  <si>
    <t>- Awal Shift PM Produksi F13,5
*Speed 1230mpm/-23% *</t>
  </si>
  <si>
    <t>00:39 Change grade F13
           Speed 1230mpm/-23%</t>
  </si>
  <si>
    <t>- Awal Shift PM Produksi F12
*Speed 1230mpm/-23% *</t>
  </si>
  <si>
    <t>18:25 Change grade F13,5
           Speed 1230mpm/-23%</t>
  </si>
  <si>
    <t xml:space="preserve">- Awal Shift PM Produksi F12
Speed 1230/-23% </t>
  </si>
  <si>
    <t>Awal shift pm speed 1200, pm naik speed bertahap
8.25 pm speed 1230 mpm</t>
  </si>
  <si>
    <t>F 13,5</t>
  </si>
  <si>
    <t>1224,69/943,009</t>
  </si>
  <si>
    <t>1228,23/945,74</t>
  </si>
  <si>
    <t>12/13,5/13</t>
  </si>
  <si>
    <t>- Sheet Breaks (11x)</t>
  </si>
  <si>
    <t>F 13,5 VP OW</t>
  </si>
  <si>
    <t>40*3+45*3</t>
  </si>
  <si>
    <t>Shift 3/C
23:00 awal shift pm 14 stop
- Buka breast roll
- lepas wire 
- cleaning frame wire
- cleaning frame head box
- cleaning bak coating release
- seset sisa spool pm 14</t>
  </si>
  <si>
    <t>- cleaning area bawah rwd A ( belum selesai)
- cleaning frame area wire sblh DS
- bantu pm 15 ganti wire
- basahi felt setiap 1 jam</t>
  </si>
  <si>
    <t>awal shift pm stop 
-cleaning Rew A bagian bawah kolong masih banyak kotoran
-cleaning area hud 
-cleaning area utm
-cleaning area water tray 
-cleaning area silo
-cleaning area approach
downtime : 480 mnt</t>
  </si>
  <si>
    <t>23:00 awal shift pm stop 
- drain dan cleaning krofta
- clening ww tank dan cw tank
- drain dan cleaning machine chest
- drain dan cleaning dump chest (belum selesai)</t>
  </si>
  <si>
    <t>15:00 awal shift pm stop , boil out all dump 
- line approach
- line dump chest
- line broke dump
- line utm
- machine chest
18:10 boild out selesai , mulai proses drain ww tank , silo tank 
20:05 Proses flushing/ bilas dumb chest, cm chest sampai silo.
- cleaning ww tank
21:07 proses / bilas selesai
- drain dan cleaning cw tank
- buka manhole dan cleaning broke dump
22:58 cleaning broke dump selesai
Nb: setiap 1,5jam sekali siram/ basahi felt.</t>
  </si>
  <si>
    <t xml:space="preserve">- Awal Shift PM Produksi  F13
Speed 1230/-23% </t>
  </si>
  <si>
    <t>11:50 change grade F 12 speed 1230/-23%
14:30 pm stop. Tidak ada order</t>
  </si>
  <si>
    <t>- 14:30 pm stop. Tidak ada order</t>
  </si>
  <si>
    <t xml:space="preserve">- bongkar sower hpp,10 bar + 3 bar area wire cleaning nozzel2 yang buntu + ganti nozzel baru sebagian yang rusak </t>
  </si>
  <si>
    <t>- cleaning frame area wire menggunakan kacer</t>
  </si>
  <si>
    <t>- cleaning area pm bagian wire</t>
  </si>
  <si>
    <t xml:space="preserve">- awal shift pm stop </t>
  </si>
  <si>
    <t>- lanjut cleaning shower 10bar dan 3bar</t>
  </si>
  <si>
    <t>- 15:00 awal shift pm 14 stop</t>
  </si>
  <si>
    <t>- MED proses pemasangan alat grinding yankee</t>
  </si>
  <si>
    <t>- 21:02 MED selesai pasang alat grinding</t>
  </si>
  <si>
    <t>- tutup felt atas spr dan blindril dengan felt bekas.</t>
  </si>
  <si>
    <t>23:00 awal shift pm 14 stop</t>
  </si>
  <si>
    <t>- cleaning bak utm dan holder doctor blade
- 04:50 heating up yankee</t>
  </si>
  <si>
    <t>- cleaning bagian atas water tray</t>
  </si>
  <si>
    <t>- cleaning area approach</t>
  </si>
  <si>
    <t>- cleaning area Ds head box</t>
  </si>
  <si>
    <t>- PM stop. Tidak ada order</t>
  </si>
  <si>
    <t>PM stop ,perbaikan wire di setrika</t>
  </si>
  <si>
    <t>PM stop. Tidak ada order</t>
  </si>
  <si>
    <t xml:space="preserve">Trim fs hilang kertas putus, wire geser ke fs palm guide roll maslah, pengecekan eid, </t>
  </si>
  <si>
    <t>08.37 MED persiapan grinding (crowning)</t>
  </si>
  <si>
    <t>13.40 MED grinding yankee</t>
  </si>
  <si>
    <t>Awal shift PM stop</t>
  </si>
  <si>
    <t>- Cleaning area vacuum
- Cleaning walkway crofta dan chest
- Cleaning jalur pipa atas
- Cleaning area coating release</t>
  </si>
  <si>
    <t>Awal shift pm stop</t>
  </si>
  <si>
    <t>- cleaning area approach
- cleaning area atas vacum</t>
  </si>
  <si>
    <t>- cleaning pipa atas bagian ds</t>
  </si>
  <si>
    <t>- cleaning tray kabel atas vacum sampai atas couch pit</t>
  </si>
  <si>
    <t xml:space="preserve">-cleaning frame area wire menggunakan kacer
-buka fine screen&amp; cleanning
-cleanning walk way pm
-cleaning area pm bagian wire </t>
  </si>
  <si>
    <t>- Flushing headbox (silo to headbox
- Cleaning area tangki oli lubrikasi 
- Cleaning spool
- Cleaning tangga dan walkway krofta
- Cleaning dinding tangki fenopol
- Cleaning area DS yankee dan PM (area flash tank dan dekat motor SPR)
- Buka manhole tangki sand filter timur. Mur &amp; baut si sebelah motor, packing di mekanik
- drain silo 
- drain dump&amp;mc chest
- drain dan cleaning couch pit
- cleaning area bawah yankee
- cleaning rew A</t>
  </si>
  <si>
    <t>- Awal shift pm stop
- drain dan cleaning UTM
- cleaning cat holder doctor blade
- cleaning tangga change blade
- cleaning area pm&amp;rewinder</t>
  </si>
  <si>
    <t>- cat frame rewinder
- cat panel rwd A
- cat holder doctor blade
- basahi felt tiap 2 jam
- cleaning area pm/ rwd</t>
  </si>
  <si>
    <t>- lap yankee dgn release
- cleanning area pm 
- semprot felt utk pembasahan</t>
  </si>
  <si>
    <t>- siram felt 2 jam sekali 
- cleaning Rewinder B
- Cat rumah keong pumpa
- Cat refiner
- EID pasang piston holder doktor blade
- MED pasang bak utm dan setting sudut doktor blade</t>
  </si>
  <si>
    <t>- Awal shift pm stop</t>
  </si>
  <si>
    <t>- Awal shift pm stop
- cat handling tangga krofta 
- cat handling walkway 
- cat frame pagar Rew A
- cat handling tangga stock
- tutup mesin pm dengan terpal</t>
  </si>
  <si>
    <t>- awal shift pm stop 
-cleaning &amp; cat  pagar rwd  
-cat handle &amp; walkway area chest</t>
  </si>
  <si>
    <t>- 07:00 awal shift pm 14 stop
- basahi felt tiap 2 jam
- cat area krofta 
- cat tangga krofta
- cat area Ds secondary arm
- cat area penopol
- MED pasang holder doktor blade
- lepas felt bekas pelindung yankee</t>
  </si>
  <si>
    <t>- cat frame mesin area yankee
- cat rew B 
- basahi felt 
06:00 heating yankee</t>
  </si>
  <si>
    <t>- cat keongan pompa couch pit&amp;cleaning arean approach
- cat rewind A 
- 8.30 spray permukaan yankee dg map
- 10.00 selesai
- setting stick out doctor blade no 1,2,3  utk persiapan setting profile doctor blade
- 11.00 cat rew A stop setting pot persiapan gulung 3 ply(sliting) 
- cat rewind B, med ganti belting unwind 1 dan repair hidrolik table yg rembes olinya
- cat arae backlog parkiran spool
- cat handle &amp; tangga walk way area stock prep</t>
  </si>
  <si>
    <t>- Awal shift pm stop 
- cleaning HA'E hood 
- cat frame yankee
- basahi felt</t>
  </si>
  <si>
    <t>- cat frame yanke fs
-  med setting profile doctor blade
- cat bagian bawah walk way area machine chest
- cleaning lbkp dump&amp;storage
- basahi felt
- cleaning area pm</t>
  </si>
  <si>
    <t>- cek &amp; cleaning bagian dalam Hood exhaust
- cek &amp; cleaning bagian dalam Hood wet dan dry
- cleaning area Hood &amp;duckting lantai 1</t>
  </si>
  <si>
    <t>- cleaning dan ganti packing mainhole hood wet, ditemukan banyak pasir silica</t>
  </si>
  <si>
    <t>- cat cover pop reel
- lanjut cat rewind A</t>
  </si>
  <si>
    <t>- 2 jam sekali siram</t>
  </si>
  <si>
    <t>- copot dan cleaning tutup manhole hood dry.
- cleaning salam hood dry</t>
  </si>
  <si>
    <t>- ganti/las roda troli dan cat troli</t>
  </si>
  <si>
    <t>- cleaning area pm &amp; rwd</t>
  </si>
  <si>
    <t xml:space="preserve"> awal shift pm stop.
- basahi felt 2 jam sekali 
- cat tangga krofta
- cat ulang rwd A
- cleaning area pm &amp; rwd</t>
  </si>
  <si>
    <t>- cleaning work way depan machine chest sampai crofta dari debu
- cleaning lantai depan machine chest sampai crofta dari debu
- cek ulang man hole dry Hood, ada yang jatuh
- cleaning bawah table rewind A
- lanjut cat rewind A
- basahi felt
- bantu seset pm 15</t>
  </si>
  <si>
    <t>- basahi felt 2 jam sekali
- putar yankee 1/4 putaran, 1 x
- flushing selesai , buka valve drain  dan cleaning all dump , krofta , silo dan reject tank 
- tutup valve drain all dump , krofta , silo dan reject tank , isi krofta dan silo tank
- cleaning area wire
- pasang wire baru
- tutup breast roll</t>
  </si>
  <si>
    <t>- basahi felt 2 jam sekali
- putar yankee 1/4 putaran, 2x/shift
- cleaning cover hood ( kerok dg kapi)
- lepas terpal penutup mesin pm 14
- flushing jalur bubur mulai dr pulper sampai head box
- drain sisa air flushing</t>
  </si>
  <si>
    <t>- cat cover coupling + gear box motor pop reel 
- cat doctor blade no 2 
- cleaning cover hud 
- basahi felt</t>
  </si>
  <si>
    <t>Awal shift pm stop
Siram felt dan wire 2 jm sekali
Putat Yankee 1/4 putaran
Cleaning area pm
Bantu pm 15</t>
  </si>
  <si>
    <t>Awal shift pm stop 
- putar yankee manual 
- cleaning area pm
- basahi felt</t>
  </si>
  <si>
    <t>- awal shift pm msh stop
- basahi felt 2 jam sekali
- putar yankee 2x
- cleaning cover hood wet ( kerok dg kapi)</t>
  </si>
  <si>
    <t>- Awal shift pm stop 
- lanjut cat gear box pop reel
- pasang cocer coupling pop reep
08:40 tension felt + wire + basahi felt coba putar dengan speed rendah 
- cuci felt + wire dengan amiclean 
- cleaning felt bagian TS terkena cat
10:35 bilas felt + wire 
11:26 felt + wire stop 
- drain crofta
- akhir shift putar yankee</t>
  </si>
  <si>
    <t>- Awal shift pm stop 
- cleaning area pm 
- putar yankee 
- basahi felt</t>
  </si>
  <si>
    <t>Keluar</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</si>
</sst>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_);[Red]\(0\)"/>
    <numFmt numFmtId="178" formatCode="_(* #,##0.00_);_(* \(#,##0.00\);_(* &quot;-&quot;_);_(@_)"/>
    <numFmt numFmtId="179" formatCode="[$-409]mmm\-yy;@"/>
    <numFmt numFmtId="180" formatCode="_(* #,##0.000_);_(* \(#,##0.000\);_(* &quot;-&quot;_);_(@_)"/>
    <numFmt numFmtId="181" formatCode="_(* #,##0.0_);_(* \(#,##0.0\);_(* &quot;-&quot;_);_(@_)"/>
  </numFmts>
  <fonts count="6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sz val="10"/>
      <color indexed="12"/>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s>
  <fills count="41">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39997558519241921"/>
        <bgColor indexed="64"/>
      </patternFill>
    </fill>
    <fill>
      <patternFill patternType="solid">
        <fgColor rgb="FFBC3441"/>
        <bgColor indexed="64"/>
      </patternFill>
    </fill>
    <fill>
      <patternFill patternType="solid">
        <fgColor rgb="FFC41FD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s>
  <borders count="8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
      <left style="medium">
        <color indexed="64"/>
      </left>
      <right style="medium">
        <color indexed="64"/>
      </right>
      <top/>
      <bottom/>
      <diagonal/>
    </border>
  </borders>
  <cellStyleXfs count="61">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0" fillId="3" borderId="0" applyNumberFormat="0" applyBorder="0" applyAlignment="0" applyProtection="0"/>
    <xf numFmtId="0" fontId="13" fillId="20" borderId="1" applyNumberFormat="0" applyAlignment="0" applyProtection="0"/>
    <xf numFmtId="0" fontId="18" fillId="21" borderId="2" applyNumberFormat="0" applyAlignment="0" applyProtection="0"/>
    <xf numFmtId="165" fontId="46" fillId="0" borderId="0" applyFont="0" applyFill="0" applyBorder="0" applyAlignment="0" applyProtection="0"/>
    <xf numFmtId="164" fontId="46" fillId="0" borderId="0" applyFont="0" applyFill="0" applyBorder="0" applyAlignment="0" applyProtection="0"/>
    <xf numFmtId="165" fontId="6" fillId="0" borderId="0" applyFont="0" applyFill="0" applyBorder="0" applyAlignment="0" applyProtection="0">
      <alignment vertical="center"/>
    </xf>
    <xf numFmtId="165" fontId="6" fillId="0" borderId="0" applyFont="0" applyFill="0" applyBorder="0" applyAlignment="0" applyProtection="0">
      <alignment vertical="center"/>
    </xf>
    <xf numFmtId="0" fontId="12" fillId="0" borderId="0" applyNumberFormat="0" applyFill="0" applyBorder="0" applyAlignment="0" applyProtection="0"/>
    <xf numFmtId="0" fontId="15" fillId="4"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9" fillId="0" borderId="5" applyNumberFormat="0" applyFill="0" applyAlignment="0" applyProtection="0"/>
    <xf numFmtId="0" fontId="19" fillId="0" borderId="0" applyNumberFormat="0" applyFill="0" applyBorder="0" applyAlignment="0" applyProtection="0"/>
    <xf numFmtId="0" fontId="20" fillId="7" borderId="1" applyNumberFormat="0" applyAlignment="0" applyProtection="0"/>
    <xf numFmtId="0" fontId="9" fillId="0" borderId="6" applyNumberFormat="0" applyFill="0" applyAlignment="0" applyProtection="0"/>
    <xf numFmtId="0" fontId="4" fillId="22" borderId="0" applyNumberFormat="0" applyBorder="0" applyAlignment="0" applyProtection="0"/>
    <xf numFmtId="0" fontId="49" fillId="0" borderId="0"/>
    <xf numFmtId="0" fontId="49" fillId="0" borderId="0"/>
    <xf numFmtId="0" fontId="46" fillId="0" borderId="0"/>
    <xf numFmtId="0" fontId="46" fillId="0" borderId="0"/>
    <xf numFmtId="0" fontId="46" fillId="0" borderId="0"/>
    <xf numFmtId="0" fontId="46" fillId="0" borderId="0"/>
    <xf numFmtId="0" fontId="46" fillId="0" borderId="0"/>
    <xf numFmtId="0" fontId="46" fillId="23" borderId="7" applyNumberFormat="0" applyFont="0" applyAlignment="0" applyProtection="0"/>
    <xf numFmtId="0" fontId="14" fillId="20" borderId="8" applyNumberFormat="0" applyAlignment="0" applyProtection="0"/>
    <xf numFmtId="9" fontId="46" fillId="0" borderId="0" applyFont="0" applyFill="0" applyBorder="0" applyAlignment="0" applyProtection="0"/>
    <xf numFmtId="9" fontId="50" fillId="0" borderId="0" applyFont="0" applyFill="0" applyBorder="0" applyAlignment="0" applyProtection="0">
      <alignment vertical="center"/>
    </xf>
    <xf numFmtId="0" fontId="7" fillId="0" borderId="0" applyNumberFormat="0" applyFill="0" applyBorder="0" applyAlignment="0" applyProtection="0"/>
    <xf numFmtId="0" fontId="5" fillId="0" borderId="9" applyNumberFormat="0" applyFill="0" applyAlignment="0" applyProtection="0"/>
    <xf numFmtId="0" fontId="8" fillId="0" borderId="0" applyNumberFormat="0" applyFill="0" applyBorder="0" applyAlignment="0" applyProtection="0"/>
    <xf numFmtId="0" fontId="46" fillId="0" borderId="0"/>
    <xf numFmtId="0" fontId="46" fillId="0" borderId="0"/>
    <xf numFmtId="0" fontId="3" fillId="0" borderId="0"/>
    <xf numFmtId="165" fontId="3" fillId="0" borderId="0" applyFont="0" applyFill="0" applyBorder="0" applyAlignment="0" applyProtection="0"/>
    <xf numFmtId="9" fontId="3" fillId="0" borderId="0" applyFont="0" applyFill="0" applyBorder="0" applyAlignment="0" applyProtection="0"/>
    <xf numFmtId="164" fontId="2" fillId="0" borderId="0" applyFont="0" applyFill="0" applyBorder="0" applyAlignment="0" applyProtection="0"/>
  </cellStyleXfs>
  <cellXfs count="774">
    <xf numFmtId="0" fontId="0" fillId="0" borderId="0" xfId="0"/>
    <xf numFmtId="0" fontId="0" fillId="0" borderId="0" xfId="0" applyAlignment="1">
      <alignment horizontal="center"/>
    </xf>
    <xf numFmtId="0" fontId="29" fillId="0" borderId="11" xfId="0" applyFont="1" applyBorder="1" applyAlignment="1">
      <alignment horizontal="center" vertical="center" wrapText="1"/>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9" fillId="0" borderId="16" xfId="0" applyFont="1" applyBorder="1" applyAlignment="1">
      <alignment horizontal="center" vertical="center" wrapText="1"/>
    </xf>
    <xf numFmtId="165" fontId="0" fillId="0" borderId="11" xfId="28" applyFont="1" applyBorder="1"/>
    <xf numFmtId="0" fontId="29" fillId="0" borderId="18" xfId="0" applyFont="1" applyBorder="1"/>
    <xf numFmtId="165" fontId="29"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9" fillId="0" borderId="11" xfId="0" applyNumberFormat="1" applyFont="1" applyBorder="1"/>
    <xf numFmtId="165" fontId="29" fillId="0" borderId="18" xfId="28" applyFont="1" applyFill="1" applyBorder="1"/>
    <xf numFmtId="0" fontId="29" fillId="0" borderId="0" xfId="0" applyFont="1"/>
    <xf numFmtId="0" fontId="29" fillId="0" borderId="18" xfId="28" applyNumberFormat="1" applyFont="1" applyBorder="1"/>
    <xf numFmtId="0" fontId="28" fillId="24" borderId="11" xfId="0" quotePrefix="1" applyFont="1" applyFill="1" applyBorder="1"/>
    <xf numFmtId="0" fontId="42" fillId="0" borderId="0" xfId="0" applyFont="1"/>
    <xf numFmtId="0" fontId="43" fillId="0" borderId="0" xfId="0" applyFont="1" applyAlignment="1">
      <alignment horizontal="center" vertical="center" wrapText="1"/>
    </xf>
    <xf numFmtId="164" fontId="43" fillId="0" borderId="0" xfId="29" applyFont="1" applyFill="1" applyBorder="1" applyAlignment="1">
      <alignment horizontal="center" vertical="center" wrapText="1"/>
    </xf>
    <xf numFmtId="177" fontId="43" fillId="0" borderId="0" xfId="0" applyNumberFormat="1" applyFont="1" applyAlignment="1">
      <alignment horizontal="center" vertical="center" wrapText="1"/>
    </xf>
    <xf numFmtId="178" fontId="43" fillId="0" borderId="0" xfId="29" applyNumberFormat="1" applyFont="1" applyFill="1" applyBorder="1" applyAlignment="1">
      <alignment horizontal="center" vertical="center" wrapText="1"/>
    </xf>
    <xf numFmtId="166" fontId="43" fillId="0" borderId="0" xfId="50" applyNumberFormat="1" applyFont="1" applyFill="1" applyBorder="1" applyAlignment="1">
      <alignment horizontal="center" vertical="center" wrapText="1"/>
    </xf>
    <xf numFmtId="0" fontId="44" fillId="0" borderId="0" xfId="0" applyFont="1"/>
    <xf numFmtId="178" fontId="43" fillId="0" borderId="11" xfId="29" applyNumberFormat="1" applyFont="1" applyFill="1" applyBorder="1" applyAlignment="1">
      <alignment horizontal="center"/>
    </xf>
    <xf numFmtId="0" fontId="43" fillId="0" borderId="0" xfId="0" applyFont="1"/>
    <xf numFmtId="0" fontId="44" fillId="25" borderId="14" xfId="0" applyFont="1" applyFill="1" applyBorder="1" applyAlignment="1">
      <alignment horizontal="center" vertical="center" wrapText="1"/>
    </xf>
    <xf numFmtId="177" fontId="44" fillId="0" borderId="14" xfId="0" applyNumberFormat="1" applyFont="1" applyBorder="1" applyAlignment="1">
      <alignment horizontal="center" vertical="center" wrapText="1"/>
    </xf>
    <xf numFmtId="0" fontId="44" fillId="0" borderId="0" xfId="0" applyFont="1" applyAlignment="1">
      <alignment horizontal="center" vertical="center" wrapText="1"/>
    </xf>
    <xf numFmtId="0" fontId="43" fillId="0" borderId="11" xfId="0" applyFont="1" applyBorder="1"/>
    <xf numFmtId="164" fontId="43" fillId="0" borderId="11" xfId="29" applyFont="1" applyFill="1" applyBorder="1" applyAlignment="1">
      <alignment vertical="center"/>
    </xf>
    <xf numFmtId="177" fontId="43" fillId="0" borderId="11" xfId="0" applyNumberFormat="1" applyFont="1" applyBorder="1"/>
    <xf numFmtId="164" fontId="43" fillId="0" borderId="11" xfId="29" applyFont="1" applyFill="1" applyBorder="1" applyAlignment="1">
      <alignment horizontal="center"/>
    </xf>
    <xf numFmtId="178" fontId="43" fillId="0" borderId="11" xfId="29" applyNumberFormat="1" applyFont="1" applyFill="1" applyBorder="1" applyAlignment="1">
      <alignment vertical="center"/>
    </xf>
    <xf numFmtId="166" fontId="43" fillId="0" borderId="11" xfId="50" applyNumberFormat="1" applyFont="1" applyFill="1" applyBorder="1" applyAlignment="1">
      <alignment vertical="center"/>
    </xf>
    <xf numFmtId="0" fontId="43" fillId="0" borderId="11" xfId="0" applyFont="1" applyBorder="1" applyAlignment="1">
      <alignment wrapText="1"/>
    </xf>
    <xf numFmtId="173" fontId="40" fillId="0" borderId="11" xfId="44" applyNumberFormat="1" applyFont="1" applyBorder="1" applyAlignment="1">
      <alignment horizontal="center"/>
    </xf>
    <xf numFmtId="0" fontId="40" fillId="0" borderId="11" xfId="44" applyFont="1" applyBorder="1" applyAlignment="1">
      <alignment horizontal="center"/>
    </xf>
    <xf numFmtId="0" fontId="40" fillId="0" borderId="11" xfId="31" applyNumberFormat="1" applyFont="1" applyFill="1" applyBorder="1" applyAlignment="1">
      <alignment horizontal="center"/>
    </xf>
    <xf numFmtId="0" fontId="43" fillId="0" borderId="11" xfId="0" applyFont="1" applyBorder="1" applyAlignment="1">
      <alignment horizontal="center" vertical="center" wrapText="1"/>
    </xf>
    <xf numFmtId="9" fontId="43" fillId="0" borderId="11" xfId="0" applyNumberFormat="1" applyFont="1" applyBorder="1" applyAlignment="1">
      <alignment horizontal="center" vertical="center" wrapText="1"/>
    </xf>
    <xf numFmtId="9" fontId="43" fillId="0" borderId="11" xfId="29" applyNumberFormat="1" applyFont="1" applyFill="1" applyBorder="1" applyAlignment="1">
      <alignment vertical="center"/>
    </xf>
    <xf numFmtId="9" fontId="43" fillId="0" borderId="11" xfId="50" applyFont="1" applyFill="1" applyBorder="1" applyAlignment="1">
      <alignment vertical="center"/>
    </xf>
    <xf numFmtId="164" fontId="40" fillId="0" borderId="11" xfId="29" applyFont="1" applyFill="1" applyBorder="1" applyAlignment="1">
      <alignment horizontal="center"/>
    </xf>
    <xf numFmtId="178" fontId="40" fillId="0" borderId="11" xfId="29" applyNumberFormat="1" applyFont="1" applyFill="1" applyBorder="1" applyAlignment="1">
      <alignment horizontal="center"/>
    </xf>
    <xf numFmtId="178" fontId="43" fillId="0" borderId="11" xfId="29" applyNumberFormat="1" applyFont="1" applyBorder="1" applyAlignment="1">
      <alignment vertical="center"/>
    </xf>
    <xf numFmtId="2" fontId="43" fillId="0" borderId="11" xfId="0" applyNumberFormat="1" applyFont="1" applyBorder="1"/>
    <xf numFmtId="2" fontId="40" fillId="0" borderId="11" xfId="46" applyNumberFormat="1" applyFont="1" applyBorder="1"/>
    <xf numFmtId="178" fontId="44" fillId="0" borderId="11" xfId="29" applyNumberFormat="1" applyFont="1" applyFill="1" applyBorder="1" applyAlignment="1">
      <alignment vertical="center"/>
    </xf>
    <xf numFmtId="178" fontId="43" fillId="0" borderId="0" xfId="29" applyNumberFormat="1" applyFont="1" applyFill="1" applyBorder="1" applyAlignment="1">
      <alignment vertical="center"/>
    </xf>
    <xf numFmtId="0" fontId="43" fillId="0" borderId="0" xfId="0" applyFont="1" applyAlignment="1">
      <alignment horizontal="center"/>
    </xf>
    <xf numFmtId="177" fontId="43" fillId="0" borderId="0" xfId="0" applyNumberFormat="1" applyFont="1"/>
    <xf numFmtId="173" fontId="40" fillId="0" borderId="11" xfId="43" applyNumberFormat="1" applyFont="1" applyBorder="1" applyAlignment="1">
      <alignment horizontal="center"/>
    </xf>
    <xf numFmtId="0" fontId="40" fillId="0" borderId="11" xfId="43" applyFont="1" applyBorder="1" applyAlignment="1">
      <alignment horizontal="center"/>
    </xf>
    <xf numFmtId="0" fontId="40" fillId="0" borderId="11" xfId="30" applyNumberFormat="1" applyFont="1" applyFill="1" applyBorder="1" applyAlignment="1">
      <alignment horizontal="center"/>
    </xf>
    <xf numFmtId="164" fontId="44" fillId="0" borderId="11" xfId="29" applyFont="1" applyFill="1" applyBorder="1" applyAlignment="1">
      <alignment vertical="center"/>
    </xf>
    <xf numFmtId="9" fontId="44" fillId="25" borderId="11" xfId="29" applyNumberFormat="1" applyFont="1" applyFill="1" applyBorder="1" applyAlignment="1">
      <alignment vertical="center"/>
    </xf>
    <xf numFmtId="178" fontId="44" fillId="25" borderId="11" xfId="29" applyNumberFormat="1" applyFont="1" applyFill="1" applyBorder="1" applyAlignment="1">
      <alignment vertical="center"/>
    </xf>
    <xf numFmtId="177" fontId="44" fillId="0" borderId="11" xfId="0" applyNumberFormat="1" applyFont="1" applyBorder="1"/>
    <xf numFmtId="0" fontId="44" fillId="0" borderId="11" xfId="0" applyFont="1" applyBorder="1"/>
    <xf numFmtId="164" fontId="44" fillId="25" borderId="11" xfId="29" applyFont="1" applyFill="1" applyBorder="1" applyAlignment="1">
      <alignment horizontal="center"/>
    </xf>
    <xf numFmtId="0" fontId="43" fillId="0" borderId="11" xfId="47" applyFont="1" applyBorder="1"/>
    <xf numFmtId="10" fontId="44" fillId="25" borderId="11" xfId="50" applyNumberFormat="1" applyFont="1" applyFill="1" applyBorder="1" applyAlignment="1">
      <alignment vertical="center"/>
    </xf>
    <xf numFmtId="166" fontId="44" fillId="25" borderId="11" xfId="50" applyNumberFormat="1" applyFont="1" applyFill="1" applyBorder="1" applyAlignment="1">
      <alignment vertical="center"/>
    </xf>
    <xf numFmtId="165" fontId="44" fillId="0" borderId="11" xfId="0" applyNumberFormat="1" applyFont="1" applyBorder="1" applyAlignment="1">
      <alignment horizontal="right"/>
    </xf>
    <xf numFmtId="173" fontId="40" fillId="0" borderId="0" xfId="43" applyNumberFormat="1" applyFont="1" applyAlignment="1">
      <alignment horizontal="center"/>
    </xf>
    <xf numFmtId="0" fontId="40" fillId="0" borderId="0" xfId="43" applyFont="1" applyAlignment="1">
      <alignment horizontal="center"/>
    </xf>
    <xf numFmtId="0" fontId="40" fillId="0" borderId="0" xfId="30" applyNumberFormat="1" applyFont="1" applyFill="1" applyBorder="1" applyAlignment="1">
      <alignment horizontal="center"/>
    </xf>
    <xf numFmtId="164" fontId="43" fillId="0" borderId="0" xfId="29" applyFont="1" applyFill="1" applyBorder="1" applyAlignment="1">
      <alignment vertical="center"/>
    </xf>
    <xf numFmtId="164" fontId="43" fillId="0" borderId="0" xfId="29" applyFont="1" applyFill="1" applyBorder="1" applyAlignment="1">
      <alignment horizontal="center"/>
    </xf>
    <xf numFmtId="178" fontId="43" fillId="0" borderId="0" xfId="29" applyNumberFormat="1" applyFont="1" applyFill="1" applyBorder="1" applyAlignment="1">
      <alignment horizontal="center"/>
    </xf>
    <xf numFmtId="165" fontId="44" fillId="0" borderId="0" xfId="0" applyNumberFormat="1" applyFont="1" applyAlignment="1">
      <alignment horizontal="right"/>
    </xf>
    <xf numFmtId="178" fontId="44" fillId="0" borderId="0" xfId="29" applyNumberFormat="1" applyFont="1" applyFill="1" applyBorder="1" applyAlignment="1">
      <alignment horizontal="right"/>
    </xf>
    <xf numFmtId="166" fontId="44" fillId="0" borderId="0" xfId="50" applyNumberFormat="1" applyFont="1" applyFill="1" applyBorder="1" applyAlignment="1">
      <alignment vertical="center"/>
    </xf>
    <xf numFmtId="0" fontId="43" fillId="0" borderId="0" xfId="0" applyFont="1" applyAlignment="1">
      <alignment wrapText="1"/>
    </xf>
    <xf numFmtId="0" fontId="44" fillId="0" borderId="0" xfId="50" applyNumberFormat="1" applyFont="1" applyFill="1" applyBorder="1" applyAlignment="1">
      <alignment vertical="center"/>
    </xf>
    <xf numFmtId="165" fontId="43" fillId="0" borderId="0" xfId="29" applyNumberFormat="1" applyFont="1" applyFill="1" applyBorder="1" applyAlignment="1">
      <alignment horizontal="center" vertical="center" wrapText="1"/>
    </xf>
    <xf numFmtId="165" fontId="44" fillId="0" borderId="14" xfId="0" applyNumberFormat="1" applyFont="1" applyBorder="1" applyAlignment="1">
      <alignment horizontal="center" vertical="center" wrapText="1"/>
    </xf>
    <xf numFmtId="165" fontId="43" fillId="0" borderId="11" xfId="29" applyNumberFormat="1" applyFont="1" applyFill="1" applyBorder="1" applyAlignment="1">
      <alignment vertical="center"/>
    </xf>
    <xf numFmtId="165" fontId="43" fillId="0" borderId="0" xfId="0" applyNumberFormat="1" applyFont="1"/>
    <xf numFmtId="165" fontId="44" fillId="25" borderId="11" xfId="29" applyNumberFormat="1" applyFont="1" applyFill="1" applyBorder="1" applyAlignment="1">
      <alignment vertical="center"/>
    </xf>
    <xf numFmtId="165" fontId="44" fillId="0" borderId="11" xfId="29" applyNumberFormat="1" applyFont="1" applyFill="1" applyBorder="1" applyAlignment="1">
      <alignment vertical="center"/>
    </xf>
    <xf numFmtId="165" fontId="43"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3" fillId="0" borderId="0" xfId="0" applyNumberFormat="1" applyFont="1"/>
    <xf numFmtId="15" fontId="44"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8" fillId="24" borderId="32" xfId="28" applyFont="1" applyFill="1" applyBorder="1" applyAlignment="1" applyProtection="1">
      <alignment horizontal="center" vertical="center"/>
    </xf>
    <xf numFmtId="165" fontId="28" fillId="24" borderId="33" xfId="28" applyFont="1" applyFill="1" applyBorder="1" applyAlignment="1" applyProtection="1">
      <alignment horizontal="center" vertical="center"/>
    </xf>
    <xf numFmtId="165" fontId="28" fillId="24" borderId="34" xfId="28" applyFont="1" applyFill="1" applyBorder="1" applyAlignment="1" applyProtection="1">
      <alignment horizontal="center" vertical="center"/>
    </xf>
    <xf numFmtId="165" fontId="28" fillId="24" borderId="35" xfId="28" applyFont="1" applyFill="1" applyBorder="1" applyAlignment="1" applyProtection="1">
      <alignment horizontal="center" vertical="center"/>
    </xf>
    <xf numFmtId="166" fontId="28" fillId="24" borderId="36" xfId="50" applyNumberFormat="1" applyFont="1" applyFill="1" applyBorder="1" applyAlignment="1" applyProtection="1">
      <alignment horizontal="center" vertical="center"/>
    </xf>
    <xf numFmtId="166" fontId="28" fillId="24" borderId="29" xfId="50" applyNumberFormat="1" applyFont="1" applyFill="1" applyBorder="1" applyAlignment="1" applyProtection="1">
      <alignment horizontal="center" vertical="center"/>
    </xf>
    <xf numFmtId="166" fontId="28" fillId="24" borderId="37" xfId="50" applyNumberFormat="1" applyFont="1" applyFill="1" applyBorder="1" applyAlignment="1" applyProtection="1">
      <alignment horizontal="center" vertical="center"/>
    </xf>
    <xf numFmtId="165" fontId="28" fillId="24" borderId="38" xfId="28" applyFont="1" applyFill="1" applyBorder="1" applyAlignment="1" applyProtection="1">
      <alignment horizontal="center" vertical="center"/>
    </xf>
    <xf numFmtId="165" fontId="28" fillId="24" borderId="38" xfId="28" applyFont="1" applyFill="1" applyBorder="1" applyAlignment="1" applyProtection="1">
      <alignment horizontal="center"/>
    </xf>
    <xf numFmtId="165" fontId="28" fillId="24" borderId="39" xfId="28" applyFont="1" applyFill="1" applyBorder="1" applyAlignment="1" applyProtection="1">
      <alignment horizontal="center"/>
    </xf>
    <xf numFmtId="166" fontId="28" fillId="24" borderId="40" xfId="50" applyNumberFormat="1" applyFont="1" applyFill="1" applyBorder="1" applyAlignment="1" applyProtection="1">
      <alignment horizontal="center" vertical="center"/>
    </xf>
    <xf numFmtId="165" fontId="24" fillId="24" borderId="0" xfId="28" applyFont="1" applyFill="1" applyProtection="1"/>
    <xf numFmtId="165" fontId="28" fillId="24" borderId="15" xfId="28" applyFont="1" applyFill="1" applyBorder="1" applyAlignment="1" applyProtection="1">
      <alignment horizontal="center" vertical="center"/>
    </xf>
    <xf numFmtId="165" fontId="28" fillId="24" borderId="41" xfId="28" applyFont="1" applyFill="1" applyBorder="1" applyAlignment="1" applyProtection="1">
      <alignment horizontal="center" vertical="center"/>
    </xf>
    <xf numFmtId="166" fontId="28" fillId="24" borderId="35" xfId="50" applyNumberFormat="1" applyFont="1" applyFill="1" applyBorder="1" applyAlignment="1" applyProtection="1">
      <alignment horizontal="center" vertical="center"/>
    </xf>
    <xf numFmtId="166" fontId="28" fillId="24" borderId="15" xfId="50" applyNumberFormat="1" applyFont="1" applyFill="1" applyBorder="1" applyAlignment="1" applyProtection="1">
      <alignment horizontal="center" vertical="center"/>
    </xf>
    <xf numFmtId="166" fontId="28" fillId="24" borderId="34" xfId="50" applyNumberFormat="1" applyFont="1" applyFill="1" applyBorder="1" applyAlignment="1" applyProtection="1">
      <alignment horizontal="center" vertical="center"/>
    </xf>
    <xf numFmtId="165" fontId="28" fillId="24" borderId="35" xfId="28" applyFont="1" applyFill="1" applyBorder="1" applyAlignment="1" applyProtection="1">
      <alignment horizontal="center"/>
    </xf>
    <xf numFmtId="165" fontId="28" fillId="24" borderId="42" xfId="28" applyFont="1" applyFill="1" applyBorder="1" applyAlignment="1" applyProtection="1">
      <alignment horizontal="center"/>
    </xf>
    <xf numFmtId="165" fontId="28" fillId="24" borderId="11" xfId="28" applyFont="1" applyFill="1" applyBorder="1" applyAlignment="1" applyProtection="1">
      <alignment horizontal="center"/>
    </xf>
    <xf numFmtId="165" fontId="28" fillId="24" borderId="43" xfId="28" applyFont="1" applyFill="1" applyBorder="1" applyAlignment="1" applyProtection="1">
      <alignment horizontal="center"/>
    </xf>
    <xf numFmtId="165" fontId="28" fillId="24" borderId="37" xfId="28" applyFont="1" applyFill="1" applyBorder="1" applyAlignment="1" applyProtection="1">
      <alignment horizontal="center"/>
    </xf>
    <xf numFmtId="0" fontId="28" fillId="24" borderId="44" xfId="0" applyFont="1" applyFill="1" applyBorder="1" applyAlignment="1">
      <alignment horizontal="left"/>
    </xf>
    <xf numFmtId="0" fontId="28" fillId="24" borderId="45" xfId="0" applyFont="1" applyFill="1" applyBorder="1" applyAlignment="1">
      <alignment horizontal="left"/>
    </xf>
    <xf numFmtId="0" fontId="28" fillId="24" borderId="46" xfId="0" applyFont="1" applyFill="1" applyBorder="1" applyAlignment="1">
      <alignment horizontal="left"/>
    </xf>
    <xf numFmtId="165" fontId="28" fillId="24" borderId="26" xfId="0" applyNumberFormat="1" applyFont="1" applyFill="1" applyBorder="1" applyAlignment="1">
      <alignment horizontal="left"/>
    </xf>
    <xf numFmtId="165" fontId="28" fillId="24" borderId="21" xfId="28" applyFont="1" applyFill="1" applyBorder="1" applyAlignment="1" applyProtection="1">
      <alignment horizontal="right" vertical="center"/>
    </xf>
    <xf numFmtId="0" fontId="28" fillId="24" borderId="47" xfId="0" applyFont="1" applyFill="1" applyBorder="1" applyAlignment="1">
      <alignment horizontal="center"/>
    </xf>
    <xf numFmtId="165" fontId="28" fillId="24" borderId="17" xfId="28" applyFont="1" applyFill="1" applyBorder="1" applyAlignment="1" applyProtection="1">
      <alignment horizontal="right" vertical="center"/>
    </xf>
    <xf numFmtId="0" fontId="28" fillId="24" borderId="48" xfId="0" applyFont="1" applyFill="1" applyBorder="1" applyAlignment="1">
      <alignment horizontal="center"/>
    </xf>
    <xf numFmtId="165" fontId="28" fillId="0" borderId="11" xfId="28" applyFont="1" applyFill="1" applyBorder="1" applyAlignment="1" applyProtection="1">
      <alignment horizontal="right"/>
    </xf>
    <xf numFmtId="0" fontId="28" fillId="24" borderId="49" xfId="0" applyFont="1" applyFill="1" applyBorder="1" applyAlignment="1">
      <alignment horizontal="center"/>
    </xf>
    <xf numFmtId="165" fontId="28" fillId="24" borderId="11" xfId="28" applyFont="1" applyFill="1" applyBorder="1" applyAlignment="1" applyProtection="1">
      <alignment horizontal="right" vertical="center"/>
    </xf>
    <xf numFmtId="165" fontId="24" fillId="20" borderId="11" xfId="28" applyFont="1" applyFill="1" applyBorder="1" applyAlignment="1" applyProtection="1">
      <alignment horizontal="right"/>
    </xf>
    <xf numFmtId="165" fontId="28" fillId="24" borderId="11" xfId="28" applyFont="1" applyFill="1" applyBorder="1" applyAlignment="1" applyProtection="1">
      <alignment horizontal="right"/>
    </xf>
    <xf numFmtId="175" fontId="28" fillId="24" borderId="11" xfId="28" applyNumberFormat="1" applyFont="1" applyFill="1" applyBorder="1" applyAlignment="1" applyProtection="1">
      <alignment horizontal="right"/>
    </xf>
    <xf numFmtId="39" fontId="28" fillId="24" borderId="11" xfId="28" applyNumberFormat="1" applyFont="1" applyFill="1" applyBorder="1" applyAlignment="1" applyProtection="1">
      <alignment horizontal="right"/>
    </xf>
    <xf numFmtId="165" fontId="28" fillId="24" borderId="14" xfId="28" applyFont="1" applyFill="1" applyBorder="1" applyAlignment="1" applyProtection="1">
      <alignment horizontal="right"/>
    </xf>
    <xf numFmtId="0" fontId="28" fillId="24" borderId="50" xfId="0" applyFont="1" applyFill="1" applyBorder="1" applyAlignment="1">
      <alignment horizontal="center"/>
    </xf>
    <xf numFmtId="165" fontId="28" fillId="24" borderId="23" xfId="0" applyNumberFormat="1" applyFont="1" applyFill="1" applyBorder="1" applyAlignment="1">
      <alignment horizontal="right"/>
    </xf>
    <xf numFmtId="0" fontId="28" fillId="24" borderId="24" xfId="0" applyFont="1" applyFill="1" applyBorder="1" applyAlignment="1">
      <alignment horizontal="center"/>
    </xf>
    <xf numFmtId="165" fontId="28" fillId="24" borderId="11" xfId="28" applyFont="1" applyFill="1" applyBorder="1" applyProtection="1"/>
    <xf numFmtId="165" fontId="28" fillId="24" borderId="14" xfId="28" applyFont="1" applyFill="1" applyBorder="1" applyProtection="1"/>
    <xf numFmtId="165" fontId="24" fillId="20" borderId="11" xfId="28" applyFont="1" applyFill="1" applyBorder="1" applyProtection="1"/>
    <xf numFmtId="165" fontId="28" fillId="24" borderId="49" xfId="28" applyFont="1" applyFill="1" applyBorder="1" applyAlignment="1" applyProtection="1">
      <alignment horizontal="center"/>
    </xf>
    <xf numFmtId="165" fontId="28" fillId="24" borderId="21" xfId="28" applyFont="1" applyFill="1" applyBorder="1" applyAlignment="1" applyProtection="1">
      <alignment horizontal="center"/>
    </xf>
    <xf numFmtId="165" fontId="28" fillId="24" borderId="47" xfId="28" applyFont="1" applyFill="1" applyBorder="1" applyAlignment="1" applyProtection="1">
      <alignment horizontal="center"/>
    </xf>
    <xf numFmtId="166" fontId="28" fillId="24" borderId="23" xfId="50" applyNumberFormat="1" applyFont="1" applyFill="1" applyBorder="1" applyProtection="1"/>
    <xf numFmtId="166" fontId="28" fillId="24" borderId="24" xfId="50" applyNumberFormat="1" applyFont="1" applyFill="1" applyBorder="1" applyProtection="1"/>
    <xf numFmtId="0" fontId="21" fillId="0" borderId="0" xfId="0" applyFont="1"/>
    <xf numFmtId="0" fontId="24" fillId="24" borderId="0" xfId="0" applyFont="1" applyFill="1"/>
    <xf numFmtId="0" fontId="22" fillId="0" borderId="0" xfId="0" applyFont="1"/>
    <xf numFmtId="0" fontId="23" fillId="0" borderId="0" xfId="0" applyFont="1"/>
    <xf numFmtId="0" fontId="25" fillId="24" borderId="0" xfId="0" applyFont="1" applyFill="1"/>
    <xf numFmtId="165" fontId="26" fillId="24" borderId="0" xfId="28" applyFont="1" applyFill="1" applyAlignment="1" applyProtection="1">
      <alignment horizontal="right"/>
    </xf>
    <xf numFmtId="0" fontId="27" fillId="24" borderId="0" xfId="0" applyFont="1" applyFill="1"/>
    <xf numFmtId="165" fontId="24" fillId="24" borderId="0" xfId="0" applyNumberFormat="1" applyFont="1" applyFill="1"/>
    <xf numFmtId="0" fontId="28" fillId="24" borderId="32" xfId="0" applyFont="1" applyFill="1" applyBorder="1" applyAlignment="1">
      <alignment horizontal="center" vertical="center"/>
    </xf>
    <xf numFmtId="0" fontId="28" fillId="24" borderId="15" xfId="0" applyFont="1" applyFill="1" applyBorder="1" applyAlignment="1">
      <alignment horizontal="center" vertical="center"/>
    </xf>
    <xf numFmtId="0" fontId="28" fillId="24" borderId="41" xfId="0" applyFont="1" applyFill="1" applyBorder="1" applyAlignment="1">
      <alignment horizontal="center" vertical="center"/>
    </xf>
    <xf numFmtId="0" fontId="28" fillId="24" borderId="51" xfId="0" applyFont="1" applyFill="1" applyBorder="1" applyAlignment="1">
      <alignment horizontal="center"/>
    </xf>
    <xf numFmtId="0" fontId="28" fillId="24" borderId="41" xfId="0" applyFont="1" applyFill="1" applyBorder="1" applyAlignment="1">
      <alignment horizontal="center" wrapText="1"/>
    </xf>
    <xf numFmtId="0" fontId="28" fillId="24" borderId="32" xfId="0" applyFont="1" applyFill="1" applyBorder="1" applyAlignment="1">
      <alignment horizontal="center"/>
    </xf>
    <xf numFmtId="0" fontId="28" fillId="24" borderId="15" xfId="0" applyFont="1" applyFill="1" applyBorder="1" applyAlignment="1">
      <alignment horizontal="center"/>
    </xf>
    <xf numFmtId="0" fontId="28" fillId="24" borderId="34" xfId="0" applyFont="1" applyFill="1" applyBorder="1" applyAlignment="1">
      <alignment horizontal="center"/>
    </xf>
    <xf numFmtId="165" fontId="28" fillId="24" borderId="11" xfId="0" applyNumberFormat="1" applyFont="1" applyFill="1" applyBorder="1" applyAlignment="1">
      <alignment horizontal="center"/>
    </xf>
    <xf numFmtId="0" fontId="28" fillId="24" borderId="52" xfId="0" applyFont="1" applyFill="1" applyBorder="1" applyAlignment="1">
      <alignment horizontal="left" vertical="center"/>
    </xf>
    <xf numFmtId="0" fontId="28" fillId="24" borderId="53" xfId="0" quotePrefix="1" applyFont="1" applyFill="1" applyBorder="1"/>
    <xf numFmtId="0" fontId="28" fillId="24" borderId="34" xfId="0" applyFont="1" applyFill="1" applyBorder="1" applyAlignment="1">
      <alignment vertical="center" wrapText="1"/>
    </xf>
    <xf numFmtId="0" fontId="28" fillId="24" borderId="29" xfId="0" applyFont="1" applyFill="1" applyBorder="1" applyAlignment="1">
      <alignment horizontal="left" vertical="center"/>
    </xf>
    <xf numFmtId="0" fontId="28" fillId="24" borderId="40" xfId="0" applyFont="1" applyFill="1" applyBorder="1" applyAlignment="1">
      <alignment vertical="center" wrapText="1"/>
    </xf>
    <xf numFmtId="0" fontId="28" fillId="24" borderId="54" xfId="0" applyFont="1" applyFill="1" applyBorder="1" applyAlignment="1">
      <alignment horizontal="left" vertical="center"/>
    </xf>
    <xf numFmtId="0" fontId="28" fillId="24" borderId="53" xfId="0" applyFont="1" applyFill="1" applyBorder="1" applyAlignment="1">
      <alignment horizontal="center"/>
    </xf>
    <xf numFmtId="0" fontId="28" fillId="24" borderId="53" xfId="0" applyFont="1" applyFill="1" applyBorder="1"/>
    <xf numFmtId="0" fontId="28" fillId="24" borderId="55" xfId="0" applyFont="1" applyFill="1" applyBorder="1" applyAlignment="1">
      <alignment horizontal="center" vertical="center"/>
    </xf>
    <xf numFmtId="0" fontId="28" fillId="24" borderId="45" xfId="0" applyFont="1" applyFill="1" applyBorder="1" applyAlignment="1">
      <alignment horizontal="left" vertical="center"/>
    </xf>
    <xf numFmtId="0" fontId="28" fillId="24" borderId="28" xfId="0" applyFont="1" applyFill="1" applyBorder="1" applyAlignment="1">
      <alignment horizontal="center"/>
    </xf>
    <xf numFmtId="0" fontId="28" fillId="24" borderId="0" xfId="0" applyFont="1" applyFill="1"/>
    <xf numFmtId="0" fontId="28" fillId="24" borderId="0" xfId="0" applyFont="1" applyFill="1" applyAlignment="1">
      <alignment horizontal="center" vertical="center" wrapText="1"/>
    </xf>
    <xf numFmtId="0" fontId="28" fillId="24" borderId="0" xfId="0" applyFont="1" applyFill="1" applyAlignment="1">
      <alignment horizontal="center"/>
    </xf>
    <xf numFmtId="0" fontId="28" fillId="24" borderId="36" xfId="0" applyFont="1" applyFill="1" applyBorder="1" applyAlignment="1">
      <alignment horizontal="center"/>
    </xf>
    <xf numFmtId="0" fontId="28" fillId="24" borderId="40" xfId="0" applyFont="1" applyFill="1" applyBorder="1" applyAlignment="1">
      <alignment horizontal="center"/>
    </xf>
    <xf numFmtId="0" fontId="24" fillId="24" borderId="32" xfId="0" applyFont="1" applyFill="1" applyBorder="1"/>
    <xf numFmtId="0" fontId="24" fillId="24" borderId="41" xfId="0" applyFont="1" applyFill="1" applyBorder="1"/>
    <xf numFmtId="0" fontId="28" fillId="24" borderId="15" xfId="0" applyFont="1" applyFill="1" applyBorder="1"/>
    <xf numFmtId="0" fontId="28" fillId="24" borderId="41" xfId="0" applyFont="1" applyFill="1" applyBorder="1" applyAlignment="1">
      <alignment horizontal="center"/>
    </xf>
    <xf numFmtId="165" fontId="24" fillId="24" borderId="0" xfId="28" applyFont="1" applyFill="1" applyBorder="1" applyProtection="1"/>
    <xf numFmtId="0" fontId="24" fillId="24" borderId="56" xfId="0" applyFont="1" applyFill="1" applyBorder="1" applyAlignment="1">
      <alignment horizontal="center"/>
    </xf>
    <xf numFmtId="0" fontId="24" fillId="24" borderId="10" xfId="0" applyFont="1" applyFill="1" applyBorder="1" applyAlignment="1">
      <alignment horizontal="center"/>
    </xf>
    <xf numFmtId="0" fontId="28" fillId="24" borderId="10" xfId="0" applyFont="1" applyFill="1" applyBorder="1" applyAlignment="1">
      <alignment horizontal="center"/>
    </xf>
    <xf numFmtId="165" fontId="28" fillId="24" borderId="0" xfId="28" applyFont="1" applyFill="1" applyBorder="1" applyProtection="1"/>
    <xf numFmtId="0" fontId="28" fillId="24" borderId="12" xfId="0" applyFont="1" applyFill="1" applyBorder="1" applyAlignment="1">
      <alignment horizontal="center"/>
    </xf>
    <xf numFmtId="0" fontId="28" fillId="24" borderId="57" xfId="0" applyFont="1" applyFill="1" applyBorder="1" applyAlignment="1">
      <alignment horizontal="center"/>
    </xf>
    <xf numFmtId="165" fontId="28" fillId="24" borderId="23" xfId="0" applyNumberFormat="1" applyFont="1" applyFill="1" applyBorder="1"/>
    <xf numFmtId="2" fontId="24" fillId="24" borderId="0" xfId="0" applyNumberFormat="1" applyFont="1" applyFill="1"/>
    <xf numFmtId="0" fontId="28" fillId="24" borderId="58" xfId="0" applyFont="1" applyFill="1" applyBorder="1"/>
    <xf numFmtId="0" fontId="28" fillId="24" borderId="59" xfId="0" applyFont="1" applyFill="1" applyBorder="1" applyAlignment="1">
      <alignment horizontal="left"/>
    </xf>
    <xf numFmtId="0" fontId="24" fillId="24" borderId="59" xfId="0" applyFont="1" applyFill="1" applyBorder="1"/>
    <xf numFmtId="165" fontId="24" fillId="24" borderId="59" xfId="28" applyFont="1" applyFill="1" applyBorder="1" applyProtection="1"/>
    <xf numFmtId="0" fontId="24" fillId="24" borderId="31" xfId="0" applyFont="1" applyFill="1" applyBorder="1"/>
    <xf numFmtId="0" fontId="24" fillId="24" borderId="11" xfId="0" applyFont="1" applyFill="1" applyBorder="1"/>
    <xf numFmtId="165" fontId="24" fillId="24" borderId="11" xfId="0" applyNumberFormat="1" applyFont="1" applyFill="1" applyBorder="1"/>
    <xf numFmtId="166" fontId="24" fillId="24" borderId="11" xfId="50" applyNumberFormat="1" applyFont="1" applyFill="1" applyBorder="1" applyProtection="1"/>
    <xf numFmtId="0" fontId="28" fillId="24" borderId="28" xfId="0" applyFont="1" applyFill="1" applyBorder="1"/>
    <xf numFmtId="0" fontId="28" fillId="24" borderId="0" xfId="0" applyFont="1" applyFill="1" applyAlignment="1">
      <alignment horizontal="left"/>
    </xf>
    <xf numFmtId="0" fontId="24" fillId="24" borderId="60" xfId="0" applyFont="1" applyFill="1" applyBorder="1"/>
    <xf numFmtId="0" fontId="24" fillId="24" borderId="28" xfId="0" applyFont="1" applyFill="1" applyBorder="1"/>
    <xf numFmtId="0" fontId="24" fillId="24" borderId="30" xfId="0" applyFont="1" applyFill="1" applyBorder="1"/>
    <xf numFmtId="0" fontId="28" fillId="24" borderId="61" xfId="0" applyFont="1" applyFill="1" applyBorder="1"/>
    <xf numFmtId="165" fontId="28" fillId="24" borderId="61" xfId="28" applyFont="1" applyFill="1" applyBorder="1" applyProtection="1"/>
    <xf numFmtId="0" fontId="24" fillId="24" borderId="16" xfId="0" applyFont="1" applyFill="1" applyBorder="1"/>
    <xf numFmtId="0" fontId="28" fillId="24" borderId="15" xfId="0" applyFont="1" applyFill="1" applyBorder="1" applyAlignment="1">
      <alignment horizontal="center" wrapText="1"/>
    </xf>
    <xf numFmtId="2" fontId="43" fillId="0" borderId="11" xfId="50" applyNumberFormat="1" applyFont="1" applyFill="1" applyBorder="1" applyAlignment="1">
      <alignment vertical="center"/>
    </xf>
    <xf numFmtId="165" fontId="28" fillId="24" borderId="17" xfId="0" applyNumberFormat="1" applyFont="1" applyFill="1" applyBorder="1" applyAlignment="1">
      <alignment horizontal="left"/>
    </xf>
    <xf numFmtId="0" fontId="28" fillId="24" borderId="14" xfId="0" applyFont="1" applyFill="1" applyBorder="1" applyAlignment="1">
      <alignment horizontal="left"/>
    </xf>
    <xf numFmtId="165" fontId="28" fillId="24" borderId="10" xfId="0" applyNumberFormat="1" applyFont="1" applyFill="1" applyBorder="1" applyAlignment="1">
      <alignment horizontal="left"/>
    </xf>
    <xf numFmtId="0" fontId="28" fillId="24" borderId="62" xfId="0" applyFont="1" applyFill="1" applyBorder="1" applyAlignment="1" applyProtection="1">
      <alignment horizontal="left" vertical="center"/>
      <protection locked="0"/>
    </xf>
    <xf numFmtId="165" fontId="28" fillId="24" borderId="60" xfId="28" applyFont="1" applyFill="1" applyBorder="1" applyAlignment="1" applyProtection="1">
      <alignment horizontal="center" vertical="center"/>
      <protection locked="0"/>
    </xf>
    <xf numFmtId="165" fontId="28" fillId="24" borderId="62" xfId="28" applyFont="1" applyFill="1" applyBorder="1" applyAlignment="1" applyProtection="1">
      <alignment horizontal="center" vertical="center"/>
      <protection locked="0"/>
    </xf>
    <xf numFmtId="165" fontId="28" fillId="24" borderId="42" xfId="28" applyFont="1" applyFill="1" applyBorder="1" applyAlignment="1" applyProtection="1">
      <alignment horizontal="center" vertical="center"/>
      <protection locked="0"/>
    </xf>
    <xf numFmtId="165" fontId="28" fillId="24" borderId="43" xfId="28" applyFont="1" applyFill="1" applyBorder="1" applyAlignment="1" applyProtection="1">
      <protection locked="0"/>
    </xf>
    <xf numFmtId="165" fontId="28" fillId="24" borderId="43" xfId="28" applyFont="1" applyFill="1" applyBorder="1" applyAlignment="1" applyProtection="1">
      <alignment horizontal="center"/>
      <protection locked="0"/>
    </xf>
    <xf numFmtId="0" fontId="28" fillId="24" borderId="63" xfId="0" applyFont="1" applyFill="1" applyBorder="1" applyAlignment="1" applyProtection="1">
      <alignment horizontal="left" vertical="center"/>
      <protection locked="0"/>
    </xf>
    <xf numFmtId="165" fontId="28" fillId="24" borderId="55" xfId="50" applyNumberFormat="1" applyFont="1" applyFill="1" applyBorder="1" applyAlignment="1" applyProtection="1">
      <alignment horizontal="center" vertical="center"/>
      <protection locked="0"/>
    </xf>
    <xf numFmtId="165" fontId="28" fillId="24" borderId="54" xfId="50" applyNumberFormat="1" applyFont="1" applyFill="1" applyBorder="1" applyAlignment="1" applyProtection="1">
      <alignment horizontal="center" vertical="center"/>
      <protection locked="0"/>
    </xf>
    <xf numFmtId="165" fontId="28" fillId="24" borderId="64" xfId="50" applyNumberFormat="1" applyFont="1" applyFill="1" applyBorder="1" applyAlignment="1" applyProtection="1">
      <alignment horizontal="center" vertical="center"/>
      <protection locked="0"/>
    </xf>
    <xf numFmtId="165" fontId="28" fillId="24" borderId="43" xfId="28" applyFont="1" applyFill="1" applyBorder="1" applyAlignment="1" applyProtection="1">
      <alignment horizontal="center" vertical="center"/>
      <protection locked="0"/>
    </xf>
    <xf numFmtId="165" fontId="28" fillId="24" borderId="0" xfId="28" applyFont="1" applyFill="1" applyBorder="1" applyAlignment="1" applyProtection="1">
      <alignment horizontal="center" vertical="center"/>
      <protection locked="0"/>
    </xf>
    <xf numFmtId="165" fontId="24" fillId="24" borderId="43" xfId="28" applyFont="1" applyFill="1" applyBorder="1" applyProtection="1">
      <protection locked="0"/>
    </xf>
    <xf numFmtId="165" fontId="28" fillId="24" borderId="10" xfId="28" applyFont="1" applyFill="1" applyBorder="1" applyAlignment="1" applyProtection="1">
      <alignment horizontal="center"/>
      <protection locked="0"/>
    </xf>
    <xf numFmtId="165" fontId="28" fillId="24" borderId="11" xfId="0" applyNumberFormat="1" applyFont="1" applyFill="1" applyBorder="1" applyAlignment="1" applyProtection="1">
      <alignment horizontal="center"/>
      <protection locked="0"/>
    </xf>
    <xf numFmtId="0" fontId="28" fillId="24" borderId="11" xfId="0" quotePrefix="1" applyFont="1" applyFill="1" applyBorder="1" applyAlignment="1" applyProtection="1">
      <alignment wrapText="1"/>
      <protection locked="0"/>
    </xf>
    <xf numFmtId="165" fontId="28" fillId="24" borderId="27" xfId="28" applyFont="1" applyFill="1" applyBorder="1" applyAlignment="1" applyProtection="1">
      <alignment horizontal="center"/>
      <protection locked="0"/>
    </xf>
    <xf numFmtId="0" fontId="28" fillId="24" borderId="14" xfId="0" applyFont="1" applyFill="1" applyBorder="1" applyAlignment="1" applyProtection="1">
      <alignment horizontal="center"/>
      <protection locked="0"/>
    </xf>
    <xf numFmtId="0" fontId="28" fillId="24" borderId="13" xfId="0" quotePrefix="1" applyFont="1" applyFill="1" applyBorder="1" applyAlignment="1" applyProtection="1">
      <alignment wrapText="1"/>
      <protection locked="0"/>
    </xf>
    <xf numFmtId="0" fontId="47" fillId="24" borderId="14" xfId="0" quotePrefix="1" applyFont="1" applyFill="1" applyBorder="1" applyAlignment="1" applyProtection="1">
      <alignment wrapText="1"/>
      <protection locked="0"/>
    </xf>
    <xf numFmtId="2" fontId="28" fillId="24" borderId="0" xfId="0" applyNumberFormat="1" applyFont="1" applyFill="1" applyAlignment="1" applyProtection="1">
      <alignment horizontal="right"/>
      <protection locked="0"/>
    </xf>
    <xf numFmtId="165" fontId="28" fillId="24" borderId="12" xfId="28" applyFont="1" applyFill="1" applyBorder="1" applyAlignment="1" applyProtection="1">
      <alignment horizontal="center"/>
      <protection locked="0"/>
    </xf>
    <xf numFmtId="0" fontId="28" fillId="24" borderId="11" xfId="0" applyFont="1" applyFill="1" applyBorder="1" applyAlignment="1" applyProtection="1">
      <alignment horizontal="center"/>
      <protection locked="0"/>
    </xf>
    <xf numFmtId="165" fontId="28" fillId="24" borderId="21" xfId="0" applyNumberFormat="1" applyFont="1" applyFill="1" applyBorder="1" applyAlignment="1" applyProtection="1">
      <alignment horizontal="left"/>
      <protection locked="0"/>
    </xf>
    <xf numFmtId="165" fontId="28" fillId="24" borderId="11" xfId="0" applyNumberFormat="1" applyFont="1" applyFill="1" applyBorder="1" applyAlignment="1" applyProtection="1">
      <alignment horizontal="left"/>
      <protection locked="0"/>
    </xf>
    <xf numFmtId="165" fontId="28" fillId="24" borderId="11" xfId="0" applyNumberFormat="1" applyFont="1" applyFill="1" applyBorder="1" applyAlignment="1" applyProtection="1">
      <alignment horizontal="right"/>
      <protection locked="0"/>
    </xf>
    <xf numFmtId="165" fontId="28" fillId="24" borderId="23" xfId="0" applyNumberFormat="1" applyFont="1" applyFill="1" applyBorder="1" applyAlignment="1" applyProtection="1">
      <alignment horizontal="left"/>
      <protection locked="0"/>
    </xf>
    <xf numFmtId="165" fontId="28" fillId="24" borderId="63" xfId="0" applyNumberFormat="1" applyFont="1" applyFill="1" applyBorder="1" applyAlignment="1" applyProtection="1">
      <alignment horizontal="left"/>
      <protection locked="0"/>
    </xf>
    <xf numFmtId="165" fontId="28" fillId="24" borderId="14" xfId="0" applyNumberFormat="1" applyFont="1" applyFill="1" applyBorder="1" applyAlignment="1" applyProtection="1">
      <alignment horizontal="left"/>
      <protection locked="0"/>
    </xf>
    <xf numFmtId="165" fontId="28" fillId="24" borderId="54" xfId="28" applyFont="1" applyFill="1" applyBorder="1" applyAlignment="1" applyProtection="1">
      <alignment horizontal="center"/>
      <protection locked="0"/>
    </xf>
    <xf numFmtId="165" fontId="28" fillId="24" borderId="11" xfId="28" applyFont="1" applyFill="1" applyBorder="1" applyAlignment="1" applyProtection="1">
      <alignment horizontal="center"/>
      <protection locked="0"/>
    </xf>
    <xf numFmtId="49" fontId="28" fillId="0" borderId="11" xfId="28" applyNumberFormat="1" applyFont="1" applyFill="1" applyBorder="1" applyAlignment="1" applyProtection="1">
      <alignment horizontal="center"/>
      <protection locked="0"/>
    </xf>
    <xf numFmtId="178" fontId="43" fillId="0" borderId="17" xfId="29" applyNumberFormat="1" applyFont="1" applyBorder="1" applyAlignment="1">
      <alignment vertical="center"/>
    </xf>
    <xf numFmtId="178" fontId="43" fillId="0" borderId="17" xfId="29" applyNumberFormat="1" applyFont="1" applyFill="1" applyBorder="1" applyAlignment="1">
      <alignment vertical="center"/>
    </xf>
    <xf numFmtId="0" fontId="28" fillId="24" borderId="10" xfId="0" applyFont="1" applyFill="1" applyBorder="1" applyAlignment="1" applyProtection="1">
      <alignment horizontal="left"/>
      <protection locked="0"/>
    </xf>
    <xf numFmtId="0" fontId="28" fillId="24" borderId="25" xfId="0" applyFont="1" applyFill="1" applyBorder="1" applyAlignment="1" applyProtection="1">
      <alignment horizontal="left"/>
      <protection locked="0"/>
    </xf>
    <xf numFmtId="0" fontId="28" fillId="24" borderId="57" xfId="0" applyFont="1" applyFill="1" applyBorder="1" applyAlignment="1" applyProtection="1">
      <alignment horizontal="left"/>
      <protection locked="0"/>
    </xf>
    <xf numFmtId="165" fontId="35" fillId="0" borderId="0" xfId="28" applyFont="1" applyBorder="1" applyAlignment="1" applyProtection="1">
      <alignment horizontal="center"/>
    </xf>
    <xf numFmtId="0" fontId="30" fillId="0" borderId="0" xfId="0" applyFont="1"/>
    <xf numFmtId="0" fontId="0" fillId="0" borderId="65" xfId="0" applyBorder="1"/>
    <xf numFmtId="165" fontId="0" fillId="0" borderId="65" xfId="0" applyNumberFormat="1" applyBorder="1"/>
    <xf numFmtId="0" fontId="52" fillId="0" borderId="0" xfId="41" applyFont="1"/>
    <xf numFmtId="0" fontId="52" fillId="0" borderId="0" xfId="41" applyFont="1" applyAlignment="1">
      <alignment horizontal="center"/>
    </xf>
    <xf numFmtId="2" fontId="52" fillId="0" borderId="0" xfId="41" applyNumberFormat="1" applyFont="1" applyAlignment="1">
      <alignment horizontal="center"/>
    </xf>
    <xf numFmtId="0" fontId="49" fillId="0" borderId="0" xfId="41"/>
    <xf numFmtId="0" fontId="49" fillId="0" borderId="0" xfId="41" applyAlignment="1">
      <alignment horizontal="center"/>
    </xf>
    <xf numFmtId="2" fontId="49" fillId="0" borderId="0" xfId="41" applyNumberFormat="1" applyAlignment="1">
      <alignment horizontal="center"/>
    </xf>
    <xf numFmtId="2" fontId="49" fillId="0" borderId="0" xfId="41" applyNumberFormat="1"/>
    <xf numFmtId="16" fontId="49" fillId="0" borderId="10" xfId="41" applyNumberFormat="1" applyBorder="1"/>
    <xf numFmtId="0" fontId="49" fillId="0" borderId="11" xfId="41" applyBorder="1"/>
    <xf numFmtId="2" fontId="49" fillId="0" borderId="11" xfId="41" applyNumberFormat="1" applyBorder="1" applyAlignment="1">
      <alignment horizontal="center"/>
    </xf>
    <xf numFmtId="0" fontId="49" fillId="0" borderId="10" xfId="41" applyBorder="1"/>
    <xf numFmtId="0" fontId="49" fillId="0" borderId="11" xfId="41" applyBorder="1" applyAlignment="1">
      <alignment horizontal="left"/>
    </xf>
    <xf numFmtId="0" fontId="49" fillId="0" borderId="11" xfId="41" applyBorder="1" applyAlignment="1">
      <alignment horizontal="right"/>
    </xf>
    <xf numFmtId="0" fontId="49" fillId="0" borderId="0" xfId="42" applyAlignment="1">
      <alignment horizontal="center"/>
    </xf>
    <xf numFmtId="39" fontId="49" fillId="0" borderId="0" xfId="42" quotePrefix="1" applyNumberFormat="1" applyAlignment="1">
      <alignment horizontal="left"/>
    </xf>
    <xf numFmtId="0" fontId="49" fillId="0" borderId="0" xfId="41" quotePrefix="1"/>
    <xf numFmtId="39" fontId="49" fillId="0" borderId="0" xfId="42" applyNumberFormat="1"/>
    <xf numFmtId="39" fontId="49" fillId="0" borderId="0" xfId="42" quotePrefix="1" applyNumberFormat="1"/>
    <xf numFmtId="169" fontId="31" fillId="0" borderId="0" xfId="0" applyNumberFormat="1" applyFont="1"/>
    <xf numFmtId="0" fontId="32" fillId="0" borderId="0" xfId="0" applyFont="1" applyAlignment="1">
      <alignment horizontal="center"/>
    </xf>
    <xf numFmtId="0" fontId="32" fillId="0" borderId="0" xfId="0" applyFont="1"/>
    <xf numFmtId="171" fontId="32" fillId="0" borderId="0" xfId="0" applyNumberFormat="1" applyFont="1"/>
    <xf numFmtId="4" fontId="32" fillId="0" borderId="0" xfId="0" applyNumberFormat="1" applyFont="1"/>
    <xf numFmtId="168" fontId="32" fillId="0" borderId="0" xfId="0" applyNumberFormat="1" applyFont="1"/>
    <xf numFmtId="2" fontId="32" fillId="0" borderId="0" xfId="0" applyNumberFormat="1" applyFont="1"/>
    <xf numFmtId="171" fontId="32" fillId="0" borderId="11" xfId="0" applyNumberFormat="1" applyFont="1" applyBorder="1" applyAlignment="1">
      <alignment horizontal="center"/>
    </xf>
    <xf numFmtId="4" fontId="33" fillId="0" borderId="11" xfId="0" applyNumberFormat="1" applyFont="1" applyBorder="1" applyAlignment="1">
      <alignment horizontal="center"/>
    </xf>
    <xf numFmtId="0" fontId="33" fillId="0" borderId="11" xfId="0" applyFont="1" applyBorder="1" applyAlignment="1">
      <alignment horizontal="center"/>
    </xf>
    <xf numFmtId="168" fontId="32" fillId="0" borderId="11" xfId="0" applyNumberFormat="1" applyFont="1" applyBorder="1" applyAlignment="1">
      <alignment horizontal="center"/>
    </xf>
    <xf numFmtId="2" fontId="32" fillId="0" borderId="11" xfId="0" applyNumberFormat="1" applyFont="1" applyBorder="1" applyAlignment="1">
      <alignment horizontal="center"/>
    </xf>
    <xf numFmtId="4" fontId="32" fillId="0" borderId="11" xfId="0" applyNumberFormat="1" applyFont="1" applyBorder="1" applyAlignment="1">
      <alignment horizontal="center"/>
    </xf>
    <xf numFmtId="170" fontId="32" fillId="0" borderId="11" xfId="0" applyNumberFormat="1" applyFont="1" applyBorder="1" applyAlignment="1">
      <alignment horizontal="center"/>
    </xf>
    <xf numFmtId="2" fontId="33"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9" fillId="0" borderId="66" xfId="0" applyNumberFormat="1" applyFont="1" applyBorder="1"/>
    <xf numFmtId="4" fontId="29" fillId="0" borderId="66" xfId="0" applyNumberFormat="1" applyFont="1" applyBorder="1" applyAlignment="1">
      <alignment vertical="justify"/>
    </xf>
    <xf numFmtId="171" fontId="34" fillId="0" borderId="0" xfId="0" applyNumberFormat="1" applyFont="1" applyAlignment="1">
      <alignment horizontal="center"/>
    </xf>
    <xf numFmtId="168" fontId="34" fillId="0" borderId="0" xfId="0" applyNumberFormat="1" applyFont="1" applyAlignment="1">
      <alignment horizontal="center"/>
    </xf>
    <xf numFmtId="172" fontId="37" fillId="0" borderId="0" xfId="28" applyNumberFormat="1" applyFont="1" applyBorder="1" applyAlignment="1" applyProtection="1">
      <alignment horizontal="right"/>
    </xf>
    <xf numFmtId="0" fontId="32" fillId="0" borderId="11" xfId="0" applyFont="1" applyBorder="1" applyAlignment="1">
      <alignment horizontal="center"/>
    </xf>
    <xf numFmtId="169" fontId="36" fillId="0" borderId="0" xfId="0" applyNumberFormat="1" applyFont="1" applyAlignment="1">
      <alignment vertical="justify" wrapText="1"/>
    </xf>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5" fontId="0" fillId="0" borderId="11" xfId="28" applyFont="1" applyBorder="1" applyAlignment="1" applyProtection="1">
      <alignment vertical="center"/>
    </xf>
    <xf numFmtId="167" fontId="29"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9" fillId="0" borderId="11" xfId="0" applyNumberFormat="1" applyFont="1" applyBorder="1" applyAlignment="1">
      <alignment horizontal="center"/>
    </xf>
    <xf numFmtId="2" fontId="29" fillId="0" borderId="17" xfId="0" applyNumberFormat="1" applyFont="1" applyBorder="1" applyAlignment="1">
      <alignment horizontal="center"/>
    </xf>
    <xf numFmtId="165" fontId="29" fillId="0" borderId="11" xfId="28" applyFont="1" applyBorder="1" applyProtection="1"/>
    <xf numFmtId="174" fontId="29" fillId="0" borderId="17" xfId="28" applyNumberFormat="1" applyFont="1" applyBorder="1" applyProtection="1"/>
    <xf numFmtId="0" fontId="29" fillId="0" borderId="11" xfId="0" applyFont="1" applyBorder="1"/>
    <xf numFmtId="172" fontId="29" fillId="0" borderId="11" xfId="28" applyNumberFormat="1" applyFont="1" applyBorder="1" applyProtection="1"/>
    <xf numFmtId="174" fontId="32" fillId="0" borderId="0" xfId="28" applyNumberFormat="1" applyFont="1" applyBorder="1" applyProtection="1"/>
    <xf numFmtId="174" fontId="0" fillId="0" borderId="0" xfId="0" applyNumberFormat="1"/>
    <xf numFmtId="165" fontId="24" fillId="24" borderId="0" xfId="28" applyFont="1" applyFill="1" applyBorder="1" applyProtection="1">
      <protection locked="0"/>
    </xf>
    <xf numFmtId="0" fontId="24" fillId="24" borderId="0" xfId="0" applyFont="1" applyFill="1" applyProtection="1">
      <protection locked="0"/>
    </xf>
    <xf numFmtId="165" fontId="24" fillId="24" borderId="0" xfId="0" applyNumberFormat="1" applyFont="1" applyFill="1" applyProtection="1">
      <protection locked="0"/>
    </xf>
    <xf numFmtId="0" fontId="28" fillId="24" borderId="0" xfId="0" applyFont="1" applyFill="1" applyProtection="1">
      <protection locked="0"/>
    </xf>
    <xf numFmtId="179" fontId="0" fillId="0" borderId="0" xfId="0" applyNumberFormat="1" applyAlignment="1">
      <alignment horizontal="right" vertical="center"/>
    </xf>
    <xf numFmtId="165" fontId="47" fillId="24" borderId="10" xfId="0" applyNumberFormat="1" applyFont="1" applyFill="1" applyBorder="1" applyAlignment="1">
      <alignment horizontal="left"/>
    </xf>
    <xf numFmtId="173" fontId="48" fillId="0" borderId="11" xfId="44" applyNumberFormat="1" applyFont="1" applyBorder="1" applyAlignment="1">
      <alignment horizontal="center"/>
    </xf>
    <xf numFmtId="16" fontId="24" fillId="24" borderId="0" xfId="28" applyNumberFormat="1" applyFont="1" applyFill="1" applyBorder="1" applyProtection="1">
      <protection locked="0"/>
    </xf>
    <xf numFmtId="173" fontId="49" fillId="0" borderId="67" xfId="0" applyNumberFormat="1" applyFont="1" applyBorder="1"/>
    <xf numFmtId="0" fontId="0" fillId="0" borderId="45" xfId="0" applyBorder="1"/>
    <xf numFmtId="164" fontId="43" fillId="0" borderId="11" xfId="29" applyFont="1" applyFill="1" applyBorder="1"/>
    <xf numFmtId="164" fontId="43" fillId="0" borderId="0" xfId="29" applyFont="1" applyFill="1"/>
    <xf numFmtId="164" fontId="44" fillId="25" borderId="11" xfId="29" applyFont="1" applyFill="1" applyBorder="1" applyAlignment="1">
      <alignment vertical="center"/>
    </xf>
    <xf numFmtId="178" fontId="44" fillId="0" borderId="0" xfId="29" applyNumberFormat="1" applyFont="1" applyFill="1" applyBorder="1" applyAlignment="1">
      <alignment vertical="center"/>
    </xf>
    <xf numFmtId="178" fontId="28" fillId="24" borderId="21" xfId="29" applyNumberFormat="1" applyFont="1" applyFill="1" applyBorder="1" applyAlignment="1" applyProtection="1">
      <alignment horizontal="right" vertical="center"/>
    </xf>
    <xf numFmtId="178" fontId="28" fillId="24" borderId="17" xfId="29" applyNumberFormat="1" applyFont="1" applyFill="1" applyBorder="1" applyAlignment="1" applyProtection="1">
      <alignment horizontal="right" vertical="center"/>
    </xf>
    <xf numFmtId="178" fontId="28" fillId="0" borderId="11" xfId="29" applyNumberFormat="1" applyFont="1" applyFill="1" applyBorder="1" applyAlignment="1" applyProtection="1">
      <alignment horizontal="right"/>
    </xf>
    <xf numFmtId="178" fontId="28" fillId="24" borderId="11" xfId="29" applyNumberFormat="1" applyFont="1" applyFill="1" applyBorder="1" applyAlignment="1" applyProtection="1">
      <alignment horizontal="right" vertical="center"/>
    </xf>
    <xf numFmtId="178" fontId="24" fillId="20" borderId="11" xfId="29" applyNumberFormat="1" applyFont="1" applyFill="1" applyBorder="1" applyAlignment="1" applyProtection="1">
      <alignment horizontal="right"/>
    </xf>
    <xf numFmtId="178" fontId="28" fillId="24" borderId="11" xfId="29" applyNumberFormat="1" applyFont="1" applyFill="1" applyBorder="1" applyAlignment="1" applyProtection="1">
      <alignment horizontal="right"/>
    </xf>
    <xf numFmtId="178" fontId="28" fillId="24" borderId="14" xfId="29" applyNumberFormat="1" applyFont="1" applyFill="1" applyBorder="1" applyAlignment="1" applyProtection="1">
      <alignment horizontal="right"/>
    </xf>
    <xf numFmtId="178" fontId="28" fillId="24" borderId="23" xfId="29" applyNumberFormat="1" applyFont="1" applyFill="1" applyBorder="1" applyAlignment="1" applyProtection="1">
      <alignment horizontal="right"/>
    </xf>
    <xf numFmtId="10" fontId="43" fillId="0" borderId="0" xfId="50" applyNumberFormat="1" applyFont="1" applyFill="1" applyBorder="1"/>
    <xf numFmtId="10" fontId="44" fillId="0" borderId="11" xfId="50" applyNumberFormat="1" applyFont="1" applyFill="1" applyBorder="1"/>
    <xf numFmtId="10" fontId="43" fillId="0" borderId="0" xfId="50" applyNumberFormat="1" applyFont="1" applyFill="1" applyBorder="1" applyAlignment="1">
      <alignment vertical="center"/>
    </xf>
    <xf numFmtId="10" fontId="44" fillId="27" borderId="0" xfId="50" applyNumberFormat="1" applyFont="1" applyFill="1" applyBorder="1"/>
    <xf numFmtId="10" fontId="44" fillId="0" borderId="11" xfId="50" applyNumberFormat="1" applyFont="1" applyFill="1" applyBorder="1" applyAlignment="1">
      <alignment vertical="center"/>
    </xf>
    <xf numFmtId="0" fontId="43" fillId="28" borderId="0" xfId="0" applyFont="1" applyFill="1"/>
    <xf numFmtId="0" fontId="51" fillId="28" borderId="0" xfId="0" applyFont="1" applyFill="1"/>
    <xf numFmtId="178" fontId="43" fillId="28" borderId="0" xfId="29" applyNumberFormat="1" applyFont="1" applyFill="1" applyBorder="1" applyAlignment="1">
      <alignment vertical="center"/>
    </xf>
    <xf numFmtId="0" fontId="43" fillId="28" borderId="0" xfId="0" applyFont="1" applyFill="1" applyAlignment="1">
      <alignment horizontal="right"/>
    </xf>
    <xf numFmtId="166" fontId="43" fillId="28" borderId="0" xfId="0" applyNumberFormat="1" applyFont="1" applyFill="1" applyAlignment="1">
      <alignment horizontal="right"/>
    </xf>
    <xf numFmtId="166" fontId="43" fillId="28" borderId="0" xfId="0" applyNumberFormat="1" applyFont="1" applyFill="1"/>
    <xf numFmtId="10" fontId="43" fillId="28" borderId="0" xfId="0" applyNumberFormat="1" applyFont="1" applyFill="1"/>
    <xf numFmtId="165" fontId="44" fillId="28" borderId="0" xfId="0" applyNumberFormat="1" applyFont="1" applyFill="1" applyAlignment="1">
      <alignment horizontal="right"/>
    </xf>
    <xf numFmtId="166" fontId="44" fillId="28" borderId="0" xfId="50" applyNumberFormat="1" applyFont="1" applyFill="1" applyBorder="1" applyAlignment="1">
      <alignment vertical="center"/>
    </xf>
    <xf numFmtId="178" fontId="44" fillId="25" borderId="13" xfId="29" applyNumberFormat="1" applyFont="1" applyFill="1" applyBorder="1" applyAlignment="1">
      <alignment vertical="center"/>
    </xf>
    <xf numFmtId="178" fontId="44" fillId="25" borderId="19" xfId="29" applyNumberFormat="1" applyFont="1" applyFill="1" applyBorder="1" applyAlignment="1">
      <alignment vertical="center"/>
    </xf>
    <xf numFmtId="166" fontId="44" fillId="25" borderId="19" xfId="50" applyNumberFormat="1" applyFont="1" applyFill="1" applyBorder="1" applyAlignment="1">
      <alignment vertical="center"/>
    </xf>
    <xf numFmtId="165" fontId="44" fillId="0" borderId="17" xfId="0" applyNumberFormat="1" applyFont="1" applyBorder="1" applyAlignment="1">
      <alignment horizontal="right"/>
    </xf>
    <xf numFmtId="0" fontId="43" fillId="0" borderId="17" xfId="0" applyFont="1" applyBorder="1"/>
    <xf numFmtId="178" fontId="44" fillId="4" borderId="11" xfId="29" applyNumberFormat="1" applyFont="1" applyFill="1" applyBorder="1" applyAlignment="1">
      <alignment horizontal="center"/>
    </xf>
    <xf numFmtId="0" fontId="46" fillId="0" borderId="0" xfId="0" applyFont="1"/>
    <xf numFmtId="0" fontId="46" fillId="0" borderId="45" xfId="0" applyFont="1" applyBorder="1"/>
    <xf numFmtId="0" fontId="0" fillId="0" borderId="55" xfId="0" applyBorder="1" applyAlignment="1">
      <alignment horizontal="center" vertical="center"/>
    </xf>
    <xf numFmtId="167" fontId="0" fillId="0" borderId="55" xfId="28" applyNumberFormat="1" applyFont="1" applyBorder="1" applyAlignment="1">
      <alignment horizontal="center" vertical="center" wrapText="1"/>
    </xf>
    <xf numFmtId="1" fontId="49" fillId="0" borderId="67" xfId="0" applyNumberFormat="1" applyFont="1" applyBorder="1" applyAlignment="1">
      <alignment horizontal="center" vertical="center"/>
    </xf>
    <xf numFmtId="0" fontId="0" fillId="0" borderId="68" xfId="0" applyBorder="1"/>
    <xf numFmtId="0" fontId="0" fillId="0" borderId="26" xfId="0" applyBorder="1"/>
    <xf numFmtId="0" fontId="46" fillId="0" borderId="26" xfId="0" applyFont="1" applyBorder="1"/>
    <xf numFmtId="167" fontId="34" fillId="30" borderId="11" xfId="28" applyNumberFormat="1" applyFont="1" applyFill="1" applyBorder="1" applyAlignment="1" applyProtection="1">
      <alignment horizontal="center"/>
    </xf>
    <xf numFmtId="168" fontId="38" fillId="30" borderId="13" xfId="0" applyNumberFormat="1" applyFont="1" applyFill="1" applyBorder="1" applyAlignment="1">
      <alignment horizontal="center" vertical="center" wrapText="1"/>
    </xf>
    <xf numFmtId="167" fontId="34" fillId="31" borderId="11" xfId="28" applyNumberFormat="1" applyFont="1" applyFill="1" applyBorder="1" applyAlignment="1" applyProtection="1">
      <alignment horizontal="center"/>
    </xf>
    <xf numFmtId="168" fontId="38" fillId="31" borderId="13" xfId="0" applyNumberFormat="1" applyFont="1" applyFill="1" applyBorder="1" applyAlignment="1">
      <alignment horizontal="center" vertical="center" wrapText="1"/>
    </xf>
    <xf numFmtId="167" fontId="34" fillId="32" borderId="11" xfId="28" applyNumberFormat="1" applyFont="1" applyFill="1" applyBorder="1" applyAlignment="1" applyProtection="1">
      <alignment horizontal="center"/>
    </xf>
    <xf numFmtId="168" fontId="38" fillId="32" borderId="13" xfId="0" applyNumberFormat="1" applyFont="1" applyFill="1" applyBorder="1" applyAlignment="1">
      <alignment horizontal="center" vertical="center" wrapText="1"/>
    </xf>
    <xf numFmtId="167" fontId="34" fillId="27" borderId="17" xfId="28" applyNumberFormat="1" applyFont="1" applyFill="1" applyBorder="1" applyAlignment="1" applyProtection="1">
      <alignment horizontal="center"/>
    </xf>
    <xf numFmtId="0" fontId="29" fillId="27" borderId="11" xfId="0" applyFont="1" applyFill="1" applyBorder="1"/>
    <xf numFmtId="173" fontId="46" fillId="0" borderId="55" xfId="0" applyNumberFormat="1" applyFont="1" applyBorder="1" applyAlignment="1">
      <alignment horizontal="center" vertical="center"/>
    </xf>
    <xf numFmtId="0" fontId="29" fillId="0" borderId="11" xfId="28" applyNumberFormat="1" applyFont="1" applyBorder="1" applyProtection="1"/>
    <xf numFmtId="178" fontId="53" fillId="0" borderId="0" xfId="29" applyNumberFormat="1" applyFont="1" applyProtection="1"/>
    <xf numFmtId="0" fontId="46" fillId="0" borderId="55" xfId="0" applyFont="1" applyBorder="1"/>
    <xf numFmtId="0" fontId="46" fillId="0" borderId="36" xfId="0" applyFont="1" applyBorder="1"/>
    <xf numFmtId="2" fontId="0" fillId="0" borderId="64" xfId="0" applyNumberFormat="1" applyBorder="1" applyAlignment="1">
      <alignment vertical="center"/>
    </xf>
    <xf numFmtId="2" fontId="0" fillId="0" borderId="40" xfId="0" applyNumberFormat="1" applyBorder="1" applyAlignment="1">
      <alignment vertical="center"/>
    </xf>
    <xf numFmtId="0" fontId="0" fillId="0" borderId="11" xfId="0" applyBorder="1" applyAlignment="1" applyProtection="1">
      <alignment horizontal="center" vertical="center"/>
      <protection locked="0"/>
    </xf>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6"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9" fillId="0" borderId="66" xfId="0" applyNumberFormat="1" applyFont="1" applyBorder="1" applyAlignment="1">
      <alignment vertical="center"/>
    </xf>
    <xf numFmtId="0" fontId="29" fillId="0" borderId="66" xfId="0" applyFont="1" applyBorder="1" applyAlignment="1">
      <alignment horizontal="center" vertical="center"/>
    </xf>
    <xf numFmtId="4" fontId="29" fillId="0" borderId="66" xfId="0" applyNumberFormat="1" applyFont="1" applyBorder="1" applyAlignment="1">
      <alignment vertical="center"/>
    </xf>
    <xf numFmtId="171" fontId="29" fillId="0" borderId="66" xfId="0" applyNumberFormat="1" applyFont="1" applyBorder="1" applyAlignment="1">
      <alignment vertical="center"/>
    </xf>
    <xf numFmtId="168" fontId="29" fillId="0" borderId="66" xfId="0" applyNumberFormat="1" applyFont="1" applyBorder="1" applyAlignment="1">
      <alignment vertical="center"/>
    </xf>
    <xf numFmtId="2" fontId="29" fillId="0" borderId="66" xfId="0" applyNumberFormat="1" applyFont="1" applyBorder="1" applyAlignment="1">
      <alignment vertical="center" wrapText="1"/>
    </xf>
    <xf numFmtId="4" fontId="29"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9" fillId="0" borderId="66" xfId="50" applyFont="1" applyFill="1" applyBorder="1" applyAlignment="1" applyProtection="1">
      <alignment horizontal="center" vertical="center"/>
    </xf>
    <xf numFmtId="10" fontId="46" fillId="0" borderId="11" xfId="50" applyNumberFormat="1" applyFont="1" applyFill="1" applyBorder="1" applyAlignment="1" applyProtection="1">
      <alignment horizontal="center" vertical="center"/>
      <protection locked="0"/>
    </xf>
    <xf numFmtId="10" fontId="46" fillId="27" borderId="11" xfId="50" applyNumberFormat="1" applyFont="1" applyFill="1" applyBorder="1" applyAlignment="1" applyProtection="1">
      <alignment horizontal="center" vertical="center"/>
      <protection locked="0"/>
    </xf>
    <xf numFmtId="2" fontId="40" fillId="0" borderId="11" xfId="44" applyNumberFormat="1" applyFont="1" applyBorder="1" applyAlignment="1">
      <alignment horizontal="center"/>
    </xf>
    <xf numFmtId="165" fontId="44" fillId="31" borderId="11" xfId="29" applyNumberFormat="1" applyFont="1" applyFill="1" applyBorder="1" applyAlignment="1">
      <alignment vertical="center"/>
    </xf>
    <xf numFmtId="0" fontId="46" fillId="0" borderId="11" xfId="0" applyFont="1" applyBorder="1" applyAlignment="1" applyProtection="1">
      <alignment horizontal="center" vertical="center"/>
      <protection locked="0"/>
    </xf>
    <xf numFmtId="173" fontId="46" fillId="0" borderId="0" xfId="0" applyNumberFormat="1" applyFont="1" applyAlignment="1">
      <alignment vertical="center"/>
    </xf>
    <xf numFmtId="0" fontId="39" fillId="27" borderId="11" xfId="0" applyFont="1" applyFill="1" applyBorder="1" applyAlignment="1">
      <alignment horizontal="center" vertical="center" wrapText="1"/>
    </xf>
    <xf numFmtId="10" fontId="46" fillId="27" borderId="62" xfId="50" applyNumberFormat="1" applyFont="1" applyFill="1" applyBorder="1" applyAlignment="1" applyProtection="1">
      <alignment horizontal="center" vertical="center"/>
      <protection locked="0"/>
    </xf>
    <xf numFmtId="0" fontId="39" fillId="27" borderId="11" xfId="0" applyFont="1" applyFill="1" applyBorder="1" applyAlignment="1">
      <alignment vertical="center" wrapText="1"/>
    </xf>
    <xf numFmtId="0" fontId="54" fillId="0" borderId="0" xfId="0" applyFont="1"/>
    <xf numFmtId="0" fontId="24" fillId="24" borderId="15" xfId="0" applyFont="1" applyFill="1" applyBorder="1"/>
    <xf numFmtId="0" fontId="24" fillId="24" borderId="15" xfId="0" applyFont="1" applyFill="1" applyBorder="1" applyAlignment="1">
      <alignment horizontal="center" wrapText="1"/>
    </xf>
    <xf numFmtId="0" fontId="24" fillId="24" borderId="56" xfId="0" applyFont="1" applyFill="1" applyBorder="1"/>
    <xf numFmtId="9" fontId="24" fillId="0" borderId="21" xfId="50" applyFont="1" applyFill="1" applyBorder="1" applyAlignment="1">
      <alignment vertical="center"/>
    </xf>
    <xf numFmtId="0" fontId="24" fillId="24" borderId="21" xfId="0" applyFont="1" applyFill="1" applyBorder="1"/>
    <xf numFmtId="2" fontId="24" fillId="24" borderId="21" xfId="0" applyNumberFormat="1" applyFont="1" applyFill="1" applyBorder="1"/>
    <xf numFmtId="165" fontId="24" fillId="0" borderId="11" xfId="29" applyNumberFormat="1" applyFont="1" applyFill="1" applyBorder="1" applyAlignment="1">
      <alignment vertical="center"/>
    </xf>
    <xf numFmtId="165" fontId="24" fillId="24" borderId="21" xfId="0" applyNumberFormat="1" applyFont="1" applyFill="1" applyBorder="1"/>
    <xf numFmtId="10" fontId="43" fillId="0" borderId="13" xfId="50" applyNumberFormat="1" applyFont="1" applyFill="1" applyBorder="1" applyAlignment="1">
      <alignment vertical="center"/>
    </xf>
    <xf numFmtId="10" fontId="43" fillId="0" borderId="30" xfId="50" applyNumberFormat="1" applyFont="1" applyFill="1" applyBorder="1" applyAlignment="1">
      <alignment vertical="center"/>
    </xf>
    <xf numFmtId="0" fontId="24" fillId="24" borderId="69" xfId="0" applyFont="1" applyFill="1" applyBorder="1"/>
    <xf numFmtId="0" fontId="24" fillId="24" borderId="36" xfId="0" applyFont="1" applyFill="1" applyBorder="1"/>
    <xf numFmtId="0" fontId="24" fillId="24" borderId="26" xfId="0" applyFont="1" applyFill="1" applyBorder="1"/>
    <xf numFmtId="0" fontId="24" fillId="24" borderId="25" xfId="0" applyFont="1" applyFill="1" applyBorder="1"/>
    <xf numFmtId="0" fontId="24" fillId="24" borderId="17" xfId="0" applyFont="1" applyFill="1" applyBorder="1"/>
    <xf numFmtId="0" fontId="24" fillId="24" borderId="55" xfId="0" applyFont="1" applyFill="1" applyBorder="1"/>
    <xf numFmtId="0" fontId="24" fillId="24" borderId="45" xfId="0" applyFont="1" applyFill="1" applyBorder="1"/>
    <xf numFmtId="0" fontId="40" fillId="0" borderId="11" xfId="56" applyFont="1" applyBorder="1" applyAlignment="1">
      <alignment horizontal="left"/>
    </xf>
    <xf numFmtId="0" fontId="46" fillId="0" borderId="11" xfId="0" applyFont="1" applyBorder="1"/>
    <xf numFmtId="0" fontId="40" fillId="0" borderId="19" xfId="56" applyFont="1" applyBorder="1" applyAlignment="1">
      <alignment horizontal="left"/>
    </xf>
    <xf numFmtId="0" fontId="32" fillId="0" borderId="11" xfId="56" applyFont="1" applyBorder="1" applyAlignment="1">
      <alignment horizontal="left"/>
    </xf>
    <xf numFmtId="178" fontId="44" fillId="0" borderId="17" xfId="29" applyNumberFormat="1" applyFont="1" applyFill="1" applyBorder="1" applyAlignment="1">
      <alignment vertical="center" wrapText="1"/>
    </xf>
    <xf numFmtId="0" fontId="28" fillId="24" borderId="14" xfId="0" quotePrefix="1" applyFont="1" applyFill="1" applyBorder="1" applyAlignment="1" applyProtection="1">
      <alignment wrapText="1"/>
      <protection locked="0"/>
    </xf>
    <xf numFmtId="0" fontId="55" fillId="34" borderId="0" xfId="0" applyFont="1" applyFill="1"/>
    <xf numFmtId="180" fontId="44" fillId="25" borderId="11" xfId="29" applyNumberFormat="1" applyFont="1" applyFill="1" applyBorder="1" applyAlignment="1">
      <alignment vertical="center"/>
    </xf>
    <xf numFmtId="4" fontId="0" fillId="0" borderId="0" xfId="0" applyNumberFormat="1" applyAlignment="1">
      <alignment horizontal="center" vertical="center"/>
    </xf>
    <xf numFmtId="4" fontId="0" fillId="0" borderId="0" xfId="0" applyNumberFormat="1" applyAlignment="1">
      <alignment vertical="center"/>
    </xf>
    <xf numFmtId="0" fontId="0" fillId="27" borderId="0" xfId="0" applyFill="1"/>
    <xf numFmtId="0" fontId="0" fillId="27" borderId="0" xfId="0" applyFill="1" applyAlignment="1">
      <alignment vertical="center"/>
    </xf>
    <xf numFmtId="2" fontId="0" fillId="0" borderId="0" xfId="0" applyNumberFormat="1" applyAlignment="1">
      <alignment vertical="center"/>
    </xf>
    <xf numFmtId="0" fontId="0" fillId="0" borderId="0" xfId="0" applyAlignment="1">
      <alignment horizontal="right"/>
    </xf>
    <xf numFmtId="2" fontId="54" fillId="27" borderId="11" xfId="0" applyNumberFormat="1" applyFont="1" applyFill="1" applyBorder="1" applyAlignment="1">
      <alignment horizontal="center" vertical="center" wrapText="1"/>
    </xf>
    <xf numFmtId="0" fontId="54" fillId="27" borderId="11" xfId="0" applyFont="1" applyFill="1" applyBorder="1" applyAlignment="1">
      <alignment horizontal="center" vertical="center" wrapText="1"/>
    </xf>
    <xf numFmtId="9" fontId="54" fillId="27" borderId="11" xfId="50" applyFont="1" applyFill="1" applyBorder="1" applyAlignment="1">
      <alignment horizontal="center" vertical="center" wrapText="1"/>
    </xf>
    <xf numFmtId="10" fontId="0" fillId="0" borderId="11" xfId="50" applyNumberFormat="1" applyFont="1" applyBorder="1" applyAlignment="1">
      <alignment horizontal="center"/>
    </xf>
    <xf numFmtId="2" fontId="54" fillId="33" borderId="11" xfId="0" applyNumberFormat="1" applyFont="1" applyFill="1" applyBorder="1" applyAlignment="1">
      <alignment horizontal="center"/>
    </xf>
    <xf numFmtId="10" fontId="54" fillId="33" borderId="11" xfId="50" applyNumberFormat="1" applyFont="1" applyFill="1" applyBorder="1" applyAlignment="1">
      <alignment horizontal="center"/>
    </xf>
    <xf numFmtId="10" fontId="0" fillId="0" borderId="11" xfId="50" applyNumberFormat="1" applyFont="1" applyBorder="1"/>
    <xf numFmtId="10" fontId="29" fillId="0" borderId="11" xfId="0" applyNumberFormat="1" applyFont="1" applyBorder="1"/>
    <xf numFmtId="0" fontId="54" fillId="27" borderId="11" xfId="0" applyFont="1" applyFill="1" applyBorder="1" applyAlignment="1">
      <alignment horizontal="center" vertical="center"/>
    </xf>
    <xf numFmtId="14" fontId="54" fillId="27" borderId="0" xfId="0" applyNumberFormat="1" applyFont="1" applyFill="1" applyAlignment="1">
      <alignment horizontal="center" vertical="center"/>
    </xf>
    <xf numFmtId="2" fontId="54" fillId="27" borderId="0" xfId="0" applyNumberFormat="1" applyFont="1" applyFill="1" applyAlignment="1">
      <alignment horizontal="center" vertical="center" wrapText="1"/>
    </xf>
    <xf numFmtId="0" fontId="54" fillId="27" borderId="0" xfId="0" applyFont="1" applyFill="1" applyAlignment="1">
      <alignment horizontal="center" vertical="center"/>
    </xf>
    <xf numFmtId="2" fontId="0" fillId="0" borderId="0" xfId="0" applyNumberFormat="1" applyAlignment="1">
      <alignment horizontal="center"/>
    </xf>
    <xf numFmtId="10" fontId="0" fillId="0" borderId="0" xfId="50" applyNumberFormat="1" applyFont="1" applyBorder="1" applyAlignment="1">
      <alignment horizontal="center"/>
    </xf>
    <xf numFmtId="0" fontId="0" fillId="27" borderId="11" xfId="0" applyFill="1" applyBorder="1"/>
    <xf numFmtId="0" fontId="0" fillId="0" borderId="0" xfId="0" quotePrefix="1"/>
    <xf numFmtId="14" fontId="0" fillId="0" borderId="0" xfId="0" applyNumberFormat="1" applyAlignment="1">
      <alignment horizontal="center"/>
    </xf>
    <xf numFmtId="10" fontId="0" fillId="0" borderId="11" xfId="0" applyNumberFormat="1" applyBorder="1" applyAlignment="1">
      <alignment horizontal="right"/>
    </xf>
    <xf numFmtId="0" fontId="0" fillId="0" borderId="62" xfId="0" applyBorder="1"/>
    <xf numFmtId="10" fontId="0" fillId="0" borderId="11" xfId="0" applyNumberFormat="1" applyBorder="1" applyAlignment="1">
      <alignment horizontal="center"/>
    </xf>
    <xf numFmtId="0" fontId="0" fillId="35" borderId="0" xfId="0" applyFill="1"/>
    <xf numFmtId="0" fontId="46" fillId="27" borderId="0" xfId="0" applyFont="1" applyFill="1"/>
    <xf numFmtId="0" fontId="46" fillId="35" borderId="0" xfId="0" applyFont="1" applyFill="1"/>
    <xf numFmtId="0" fontId="46" fillId="27" borderId="0" xfId="0" applyFont="1" applyFill="1" applyAlignment="1">
      <alignment horizontal="center"/>
    </xf>
    <xf numFmtId="0" fontId="46" fillId="35" borderId="0" xfId="0" applyFont="1" applyFill="1" applyAlignment="1">
      <alignment horizontal="center"/>
    </xf>
    <xf numFmtId="4" fontId="0" fillId="34" borderId="0" xfId="0" applyNumberFormat="1" applyFill="1" applyAlignment="1">
      <alignment horizontal="center" vertical="center"/>
    </xf>
    <xf numFmtId="4" fontId="0" fillId="34" borderId="0" xfId="0" applyNumberFormat="1" applyFill="1" applyAlignment="1">
      <alignment vertical="center"/>
    </xf>
    <xf numFmtId="4" fontId="0" fillId="35" borderId="0" xfId="0" applyNumberFormat="1" applyFill="1" applyAlignment="1">
      <alignment vertical="center"/>
    </xf>
    <xf numFmtId="0" fontId="0" fillId="35" borderId="0" xfId="0" applyFill="1" applyAlignment="1">
      <alignment vertical="center"/>
    </xf>
    <xf numFmtId="4" fontId="46" fillId="0" borderId="0" xfId="0" applyNumberFormat="1" applyFont="1" applyAlignment="1">
      <alignment horizontal="center" vertical="center"/>
    </xf>
    <xf numFmtId="4" fontId="46" fillId="0" borderId="0" xfId="0" applyNumberFormat="1" applyFont="1" applyAlignment="1">
      <alignment vertical="center"/>
    </xf>
    <xf numFmtId="0" fontId="29" fillId="33" borderId="11" xfId="0" applyFont="1" applyFill="1" applyBorder="1"/>
    <xf numFmtId="0" fontId="40" fillId="38" borderId="11" xfId="56" applyFont="1" applyFill="1" applyBorder="1" applyAlignment="1">
      <alignment horizontal="left"/>
    </xf>
    <xf numFmtId="0" fontId="0" fillId="39" borderId="11" xfId="0" applyFill="1" applyBorder="1"/>
    <xf numFmtId="0" fontId="46" fillId="39" borderId="11" xfId="0" applyFont="1" applyFill="1" applyBorder="1"/>
    <xf numFmtId="10" fontId="0" fillId="38" borderId="17" xfId="50" applyNumberFormat="1" applyFont="1" applyFill="1" applyBorder="1"/>
    <xf numFmtId="10" fontId="0" fillId="0" borderId="17" xfId="50" applyNumberFormat="1" applyFont="1" applyBorder="1"/>
    <xf numFmtId="0" fontId="59" fillId="0" borderId="11" xfId="56" applyFont="1" applyBorder="1" applyAlignment="1">
      <alignment horizontal="left"/>
    </xf>
    <xf numFmtId="10" fontId="58" fillId="27" borderId="11" xfId="50" applyNumberFormat="1" applyFont="1" applyFill="1" applyBorder="1"/>
    <xf numFmtId="0" fontId="23" fillId="0" borderId="0" xfId="41" applyFont="1"/>
    <xf numFmtId="0" fontId="44" fillId="0" borderId="14" xfId="0" applyFont="1" applyBorder="1" applyAlignment="1">
      <alignment horizontal="center" vertical="center" wrapText="1"/>
    </xf>
    <xf numFmtId="164" fontId="44" fillId="0" borderId="14" xfId="29" applyFont="1" applyFill="1" applyBorder="1" applyAlignment="1">
      <alignment horizontal="center" vertical="center" wrapText="1"/>
    </xf>
    <xf numFmtId="10" fontId="44" fillId="29" borderId="11" xfId="50" applyNumberFormat="1" applyFont="1" applyFill="1" applyBorder="1" applyAlignment="1">
      <alignment vertical="center"/>
    </xf>
    <xf numFmtId="10" fontId="44" fillId="4" borderId="11" xfId="50" applyNumberFormat="1" applyFont="1" applyFill="1" applyBorder="1" applyAlignment="1">
      <alignment vertical="center"/>
    </xf>
    <xf numFmtId="10" fontId="44" fillId="25" borderId="11" xfId="50" applyNumberFormat="1" applyFont="1" applyFill="1" applyBorder="1"/>
    <xf numFmtId="166" fontId="44" fillId="0" borderId="0" xfId="51" applyNumberFormat="1" applyFont="1" applyFill="1" applyBorder="1" applyAlignment="1">
      <alignment vertical="center"/>
    </xf>
    <xf numFmtId="177" fontId="43" fillId="0" borderId="11" xfId="0" applyNumberFormat="1" applyFont="1" applyBorder="1" applyAlignment="1">
      <alignment horizontal="center" vertical="center" wrapText="1"/>
    </xf>
    <xf numFmtId="2" fontId="40" fillId="0" borderId="11" xfId="45" applyNumberFormat="1" applyFont="1" applyBorder="1" applyAlignment="1">
      <alignment horizontal="center"/>
    </xf>
    <xf numFmtId="10" fontId="43" fillId="0" borderId="11" xfId="50" applyNumberFormat="1" applyFont="1" applyFill="1" applyBorder="1" applyAlignment="1">
      <alignment vertical="center"/>
    </xf>
    <xf numFmtId="178" fontId="43" fillId="0" borderId="19" xfId="29" applyNumberFormat="1" applyFont="1" applyFill="1" applyBorder="1" applyAlignment="1">
      <alignment vertical="center"/>
    </xf>
    <xf numFmtId="2" fontId="37" fillId="0" borderId="11" xfId="46" applyNumberFormat="1" applyFont="1" applyBorder="1"/>
    <xf numFmtId="2" fontId="43" fillId="0" borderId="0" xfId="0" applyNumberFormat="1" applyFont="1"/>
    <xf numFmtId="181" fontId="44" fillId="0" borderId="11" xfId="29" applyNumberFormat="1" applyFont="1" applyFill="1" applyBorder="1" applyAlignment="1">
      <alignment vertical="center"/>
    </xf>
    <xf numFmtId="10" fontId="43" fillId="28" borderId="0" xfId="0" applyNumberFormat="1" applyFont="1" applyFill="1" applyAlignment="1">
      <alignment horizontal="right"/>
    </xf>
    <xf numFmtId="167" fontId="34" fillId="30" borderId="13" xfId="28" applyNumberFormat="1" applyFont="1" applyFill="1" applyBorder="1" applyAlignment="1" applyProtection="1">
      <alignment horizontal="center"/>
    </xf>
    <xf numFmtId="167" fontId="34" fillId="31" borderId="13" xfId="28" applyNumberFormat="1" applyFont="1" applyFill="1" applyBorder="1" applyAlignment="1" applyProtection="1">
      <alignment horizontal="center"/>
    </xf>
    <xf numFmtId="167" fontId="34" fillId="32" borderId="13" xfId="28" applyNumberFormat="1" applyFont="1" applyFill="1" applyBorder="1" applyAlignment="1" applyProtection="1">
      <alignment horizontal="center"/>
    </xf>
    <xf numFmtId="165" fontId="28" fillId="24" borderId="17" xfId="0" applyNumberFormat="1" applyFont="1" applyFill="1" applyBorder="1" applyAlignment="1" applyProtection="1">
      <alignment horizontal="left"/>
      <protection locked="0"/>
    </xf>
    <xf numFmtId="2" fontId="0" fillId="0" borderId="11" xfId="28" applyNumberFormat="1" applyFont="1" applyBorder="1" applyAlignment="1">
      <alignment horizontal="center"/>
    </xf>
    <xf numFmtId="10" fontId="0" fillId="0" borderId="0" xfId="0" applyNumberFormat="1"/>
    <xf numFmtId="178" fontId="44" fillId="40" borderId="11" xfId="60" applyNumberFormat="1" applyFont="1" applyFill="1" applyBorder="1" applyAlignment="1">
      <alignment horizontal="center" vertical="center" wrapText="1"/>
    </xf>
    <xf numFmtId="178" fontId="44" fillId="26" borderId="14" xfId="60" applyNumberFormat="1" applyFont="1" applyFill="1" applyBorder="1" applyAlignment="1">
      <alignment horizontal="center" vertical="center" wrapText="1"/>
    </xf>
    <xf numFmtId="178" fontId="44" fillId="26" borderId="11" xfId="60" applyNumberFormat="1" applyFont="1" applyFill="1" applyBorder="1" applyAlignment="1">
      <alignment horizontal="center" vertical="center" wrapText="1"/>
    </xf>
    <xf numFmtId="178" fontId="44" fillId="40" borderId="14" xfId="60" applyNumberFormat="1" applyFont="1" applyFill="1" applyBorder="1" applyAlignment="1">
      <alignment horizontal="center" vertical="center" wrapText="1"/>
    </xf>
    <xf numFmtId="178" fontId="44" fillId="4" borderId="14" xfId="29" applyNumberFormat="1" applyFont="1" applyFill="1" applyBorder="1" applyAlignment="1">
      <alignment horizontal="center" vertical="center" wrapText="1"/>
    </xf>
    <xf numFmtId="178" fontId="44" fillId="0" borderId="17" xfId="29" applyNumberFormat="1" applyFont="1" applyFill="1" applyBorder="1" applyAlignment="1">
      <alignment horizontal="center" vertical="center" wrapText="1"/>
    </xf>
    <xf numFmtId="10" fontId="44" fillId="28" borderId="0" xfId="0" applyNumberFormat="1" applyFont="1" applyFill="1"/>
    <xf numFmtId="2" fontId="0" fillId="0" borderId="0" xfId="28" applyNumberFormat="1" applyFont="1" applyAlignment="1"/>
    <xf numFmtId="2" fontId="29" fillId="0" borderId="20" xfId="28" applyNumberFormat="1" applyFont="1" applyFill="1" applyBorder="1" applyAlignment="1" applyProtection="1">
      <alignment horizontal="center" vertical="center"/>
    </xf>
    <xf numFmtId="2" fontId="29" fillId="0" borderId="11"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3" xfId="28" applyNumberFormat="1" applyFont="1" applyBorder="1" applyAlignment="1"/>
    <xf numFmtId="2" fontId="0" fillId="0" borderId="83" xfId="28" applyNumberFormat="1" applyFont="1" applyBorder="1" applyAlignment="1" applyProtection="1">
      <alignment horizontal="center" vertical="center"/>
      <protection hidden="1"/>
    </xf>
    <xf numFmtId="0" fontId="29" fillId="0" borderId="0" xfId="41" applyFont="1"/>
    <xf numFmtId="178" fontId="44" fillId="0" borderId="17" xfId="29" applyNumberFormat="1" applyFont="1" applyFill="1" applyBorder="1" applyAlignment="1">
      <alignment horizontal="center" vertical="center" wrapText="1"/>
    </xf>
    <xf numFmtId="0" fontId="44" fillId="0" borderId="14" xfId="0" applyFont="1" applyBorder="1" applyAlignment="1">
      <alignment horizontal="center" vertical="center" wrapText="1"/>
    </xf>
    <xf numFmtId="164" fontId="44" fillId="0" borderId="14" xfId="29" applyFont="1" applyFill="1" applyBorder="1" applyAlignment="1">
      <alignment horizontal="center" vertical="center" wrapText="1"/>
    </xf>
    <xf numFmtId="178" fontId="44" fillId="4" borderId="14" xfId="29" applyNumberFormat="1" applyFont="1" applyFill="1" applyBorder="1" applyAlignment="1">
      <alignment horizontal="center" vertical="center" wrapText="1"/>
    </xf>
    <xf numFmtId="0" fontId="54" fillId="27" borderId="11" xfId="0" applyFont="1" applyFill="1" applyBorder="1" applyAlignment="1">
      <alignment horizontal="center" vertical="center"/>
    </xf>
    <xf numFmtId="0" fontId="46" fillId="0" borderId="11" xfId="0" applyFont="1" applyBorder="1" applyAlignment="1">
      <alignment wrapText="1"/>
    </xf>
    <xf numFmtId="0" fontId="46" fillId="27" borderId="0" xfId="0" applyFont="1" applyFill="1" applyAlignment="1">
      <alignment horizontal="center"/>
    </xf>
    <xf numFmtId="2" fontId="29" fillId="0" borderId="84" xfId="28" applyNumberFormat="1" applyFont="1" applyBorder="1" applyAlignment="1">
      <alignment horizontal="center" vertical="center"/>
    </xf>
    <xf numFmtId="2" fontId="29" fillId="0" borderId="84" xfId="28" applyNumberFormat="1" applyFont="1" applyFill="1" applyBorder="1" applyAlignment="1" applyProtection="1">
      <alignment horizontal="center" vertical="center"/>
    </xf>
    <xf numFmtId="0" fontId="29" fillId="0" borderId="19" xfId="0" applyFont="1" applyBorder="1" applyAlignment="1">
      <alignment horizontal="center" vertical="center" wrapText="1"/>
    </xf>
    <xf numFmtId="0" fontId="29" fillId="0" borderId="82" xfId="0" applyFont="1" applyBorder="1" applyAlignment="1">
      <alignment horizontal="center" vertical="center"/>
    </xf>
    <xf numFmtId="0" fontId="29" fillId="0" borderId="17" xfId="0" applyFont="1" applyBorder="1" applyAlignment="1">
      <alignment horizontal="center" vertical="center"/>
    </xf>
    <xf numFmtId="0" fontId="29" fillId="0" borderId="82" xfId="0" applyFont="1" applyBorder="1" applyAlignment="1">
      <alignment horizontal="center" vertical="center" wrapText="1"/>
    </xf>
    <xf numFmtId="0" fontId="29" fillId="0" borderId="17" xfId="0" applyFont="1" applyBorder="1" applyAlignment="1">
      <alignment horizontal="center" vertical="center" wrapText="1"/>
    </xf>
    <xf numFmtId="10" fontId="0" fillId="0" borderId="11" xfId="0" applyNumberFormat="1" applyBorder="1" applyAlignment="1">
      <alignment horizontal="center" vertical="center"/>
    </xf>
    <xf numFmtId="0" fontId="54" fillId="0" borderId="11" xfId="0" applyFont="1" applyBorder="1" applyAlignment="1">
      <alignment horizontal="left" vertical="center"/>
    </xf>
    <xf numFmtId="0" fontId="54" fillId="27" borderId="11" xfId="0" applyFont="1" applyFill="1" applyBorder="1" applyAlignment="1">
      <alignment horizontal="center" vertical="center" wrapText="1"/>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6" fillId="0" borderId="11" xfId="0" applyFont="1" applyBorder="1" applyAlignment="1">
      <alignment vertical="top" wrapText="1"/>
    </xf>
    <xf numFmtId="0" fontId="54" fillId="0" borderId="60" xfId="0" applyFont="1" applyBorder="1" applyAlignment="1">
      <alignment vertical="center"/>
    </xf>
    <xf numFmtId="10" fontId="54" fillId="0" borderId="11" xfId="50" applyNumberFormat="1" applyFont="1" applyBorder="1" applyAlignment="1">
      <alignment horizontal="center"/>
    </xf>
    <xf numFmtId="0" fontId="21" fillId="0" borderId="0" xfId="41" applyFont="1"/>
    <xf numFmtId="0" fontId="22" fillId="0" borderId="0" xfId="41" applyFont="1"/>
    <xf numFmtId="165" fontId="46" fillId="11" borderId="11" xfId="28" applyFont="1" applyFill="1" applyBorder="1" applyAlignment="1" applyProtection="1">
      <alignment horizontal="center"/>
    </xf>
    <xf numFmtId="165" fontId="29" fillId="0" borderId="23" xfId="28" applyFont="1" applyBorder="1" applyProtection="1"/>
    <xf numFmtId="1" fontId="46" fillId="27" borderId="39" xfId="0" applyNumberFormat="1" applyFont="1" applyFill="1" applyBorder="1" applyAlignment="1">
      <alignment horizontal="center" vertical="center"/>
    </xf>
    <xf numFmtId="2" fontId="0" fillId="0" borderId="70" xfId="0" applyNumberFormat="1" applyBorder="1" applyAlignment="1">
      <alignment vertical="center"/>
    </xf>
    <xf numFmtId="0" fontId="28" fillId="24" borderId="84" xfId="0" applyFont="1" applyFill="1" applyBorder="1" applyAlignment="1" applyProtection="1">
      <alignment horizontal="center"/>
      <protection locked="0"/>
    </xf>
    <xf numFmtId="173" fontId="49" fillId="0" borderId="85" xfId="0" applyNumberFormat="1" applyFont="1" applyBorder="1"/>
    <xf numFmtId="0" fontId="46" fillId="0" borderId="69" xfId="0" applyFont="1" applyBorder="1"/>
    <xf numFmtId="0" fontId="0" fillId="0" borderId="0" xfId="0" applyBorder="1"/>
    <xf numFmtId="0" fontId="46" fillId="0" borderId="0" xfId="0" applyFont="1" applyBorder="1"/>
    <xf numFmtId="0" fontId="46" fillId="27" borderId="0" xfId="0" applyFont="1" applyFill="1" applyAlignment="1">
      <alignment horizontal="center"/>
    </xf>
    <xf numFmtId="0" fontId="0" fillId="0" borderId="0" xfId="0" applyFill="1" applyBorder="1"/>
    <xf numFmtId="0" fontId="46" fillId="0" borderId="0" xfId="0" applyFont="1" applyFill="1" applyBorder="1"/>
    <xf numFmtId="0" fontId="46" fillId="27" borderId="0" xfId="0" applyFont="1" applyFill="1" applyAlignment="1">
      <alignment horizontal="center"/>
    </xf>
    <xf numFmtId="0" fontId="46" fillId="27" borderId="0" xfId="0" applyFont="1" applyFill="1" applyAlignment="1">
      <alignment horizontal="center"/>
    </xf>
    <xf numFmtId="173" fontId="46" fillId="0" borderId="67" xfId="0" applyNumberFormat="1" applyFont="1" applyBorder="1"/>
    <xf numFmtId="0" fontId="46" fillId="27" borderId="0" xfId="0" applyFont="1" applyFill="1" applyAlignment="1">
      <alignment horizontal="center"/>
    </xf>
    <xf numFmtId="0" fontId="46" fillId="27" borderId="0" xfId="0" applyFont="1" applyFill="1" applyAlignment="1">
      <alignment horizontal="center"/>
    </xf>
    <xf numFmtId="0" fontId="28" fillId="24" borderId="54" xfId="28" applyNumberFormat="1" applyFont="1" applyFill="1" applyBorder="1" applyAlignment="1" applyProtection="1">
      <alignment horizontal="center"/>
      <protection locked="0"/>
    </xf>
    <xf numFmtId="0" fontId="46" fillId="27" borderId="0" xfId="0" applyFont="1" applyFill="1" applyAlignment="1">
      <alignment horizontal="center"/>
    </xf>
    <xf numFmtId="0" fontId="24" fillId="24" borderId="0" xfId="0" quotePrefix="1" applyFont="1" applyFill="1"/>
    <xf numFmtId="174" fontId="24" fillId="24" borderId="0" xfId="0" applyNumberFormat="1" applyFont="1" applyFill="1"/>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0" fontId="46" fillId="27" borderId="0" xfId="0" applyFont="1" applyFill="1" applyAlignment="1">
      <alignment horizontal="center"/>
    </xf>
    <xf numFmtId="43" fontId="43" fillId="0" borderId="0" xfId="0" applyNumberFormat="1" applyFont="1"/>
    <xf numFmtId="0" fontId="46" fillId="27" borderId="0" xfId="0" applyFont="1" applyFill="1" applyAlignment="1">
      <alignment horizontal="center"/>
    </xf>
    <xf numFmtId="1" fontId="44" fillId="0" borderId="0" xfId="50" applyNumberFormat="1" applyFont="1" applyFill="1" applyBorder="1" applyAlignment="1">
      <alignment vertical="center"/>
    </xf>
    <xf numFmtId="0" fontId="0" fillId="0" borderId="0" xfId="0" applyAlignment="1">
      <alignment wrapText="1"/>
    </xf>
    <xf numFmtId="169" fontId="36" fillId="0" borderId="0" xfId="0" applyNumberFormat="1" applyFont="1" applyAlignment="1">
      <alignment horizontal="center" vertical="center"/>
    </xf>
    <xf numFmtId="168" fontId="39" fillId="0" borderId="11" xfId="0" applyNumberFormat="1" applyFont="1" applyBorder="1" applyAlignment="1">
      <alignment horizontal="center" vertical="center" wrapText="1"/>
    </xf>
    <xf numFmtId="0" fontId="39" fillId="0" borderId="11" xfId="0" applyFont="1" applyBorder="1" applyAlignment="1">
      <alignment horizontal="center" vertical="center" wrapText="1"/>
    </xf>
    <xf numFmtId="0" fontId="39" fillId="0" borderId="71" xfId="0" applyFont="1" applyBorder="1" applyAlignment="1">
      <alignment horizontal="center" vertical="center" wrapText="1"/>
    </xf>
    <xf numFmtId="0" fontId="39" fillId="0" borderId="72" xfId="0" applyFont="1" applyBorder="1" applyAlignment="1">
      <alignment horizontal="center" vertical="center" wrapText="1"/>
    </xf>
    <xf numFmtId="0" fontId="39" fillId="0" borderId="73" xfId="0" applyFont="1" applyBorder="1" applyAlignment="1">
      <alignment horizontal="center" vertical="center" wrapText="1"/>
    </xf>
    <xf numFmtId="0" fontId="39" fillId="27" borderId="58" xfId="0" applyFont="1" applyFill="1" applyBorder="1" applyAlignment="1">
      <alignment horizontal="center" vertical="center" wrapText="1"/>
    </xf>
    <xf numFmtId="0" fontId="39" fillId="27" borderId="31" xfId="0" applyFont="1" applyFill="1" applyBorder="1" applyAlignment="1">
      <alignment horizontal="center" vertical="center" wrapText="1"/>
    </xf>
    <xf numFmtId="0" fontId="39" fillId="27" borderId="28" xfId="0" applyFont="1" applyFill="1" applyBorder="1" applyAlignment="1">
      <alignment horizontal="center" vertical="center" wrapText="1"/>
    </xf>
    <xf numFmtId="0" fontId="39" fillId="27" borderId="60" xfId="0" applyFont="1" applyFill="1" applyBorder="1" applyAlignment="1">
      <alignment horizontal="center" vertical="center" wrapText="1"/>
    </xf>
    <xf numFmtId="171" fontId="39" fillId="0" borderId="11" xfId="0" applyNumberFormat="1" applyFont="1" applyBorder="1" applyAlignment="1">
      <alignment horizontal="center" vertical="center" wrapText="1"/>
    </xf>
    <xf numFmtId="2" fontId="39" fillId="0" borderId="11" xfId="0" applyNumberFormat="1" applyFont="1" applyBorder="1" applyAlignment="1">
      <alignment horizontal="center" vertical="center" wrapText="1"/>
    </xf>
    <xf numFmtId="4" fontId="39" fillId="0" borderId="11" xfId="0" applyNumberFormat="1" applyFont="1" applyBorder="1" applyAlignment="1">
      <alignment horizontal="center" vertical="center" wrapText="1"/>
    </xf>
    <xf numFmtId="0" fontId="46" fillId="36" borderId="0" xfId="0" applyFont="1" applyFill="1" applyAlignment="1">
      <alignment horizontal="center"/>
    </xf>
    <xf numFmtId="0" fontId="0" fillId="36" borderId="0" xfId="0" applyFill="1" applyAlignment="1">
      <alignment horizontal="center"/>
    </xf>
    <xf numFmtId="0" fontId="46" fillId="37" borderId="0" xfId="0" applyFont="1" applyFill="1" applyAlignment="1">
      <alignment horizontal="center"/>
    </xf>
    <xf numFmtId="0" fontId="0" fillId="37" borderId="0" xfId="0" applyFill="1" applyAlignment="1">
      <alignment horizontal="center"/>
    </xf>
    <xf numFmtId="0" fontId="46" fillId="27" borderId="0" xfId="0" applyFont="1" applyFill="1" applyAlignment="1">
      <alignment horizontal="center"/>
    </xf>
    <xf numFmtId="0" fontId="46" fillId="32" borderId="0" xfId="0" applyFont="1" applyFill="1" applyAlignment="1">
      <alignment horizontal="center"/>
    </xf>
    <xf numFmtId="0" fontId="0" fillId="32" borderId="0" xfId="0" applyFill="1" applyAlignment="1">
      <alignment horizontal="center"/>
    </xf>
    <xf numFmtId="0" fontId="0" fillId="0" borderId="0" xfId="0" applyAlignment="1">
      <alignment horizontal="center" vertical="center"/>
    </xf>
    <xf numFmtId="169" fontId="36" fillId="0" borderId="0" xfId="0" applyNumberFormat="1" applyFont="1" applyAlignment="1">
      <alignment horizontal="center" vertical="justify" wrapText="1"/>
    </xf>
    <xf numFmtId="167" fontId="34" fillId="0" borderId="20" xfId="28" applyNumberFormat="1" applyFont="1" applyFill="1" applyBorder="1" applyAlignment="1" applyProtection="1">
      <alignment horizontal="center"/>
    </xf>
    <xf numFmtId="167" fontId="34" fillId="27" borderId="58" xfId="28" applyNumberFormat="1" applyFont="1" applyFill="1" applyBorder="1" applyAlignment="1" applyProtection="1">
      <alignment horizontal="center"/>
    </xf>
    <xf numFmtId="167" fontId="34" fillId="27" borderId="59" xfId="28" applyNumberFormat="1" applyFont="1" applyFill="1" applyBorder="1" applyAlignment="1" applyProtection="1">
      <alignment horizontal="center"/>
    </xf>
    <xf numFmtId="167" fontId="34" fillId="27" borderId="31" xfId="28" applyNumberFormat="1" applyFont="1" applyFill="1" applyBorder="1" applyAlignment="1" applyProtection="1">
      <alignment horizontal="center"/>
    </xf>
    <xf numFmtId="167" fontId="34" fillId="27" borderId="30" xfId="28" applyNumberFormat="1" applyFont="1" applyFill="1" applyBorder="1" applyAlignment="1" applyProtection="1">
      <alignment horizontal="center"/>
    </xf>
    <xf numFmtId="167" fontId="34" fillId="27" borderId="61" xfId="28" applyNumberFormat="1" applyFont="1" applyFill="1" applyBorder="1" applyAlignment="1" applyProtection="1">
      <alignment horizontal="center"/>
    </xf>
    <xf numFmtId="167" fontId="34" fillId="27" borderId="16" xfId="28" applyNumberFormat="1" applyFont="1" applyFill="1" applyBorder="1" applyAlignment="1" applyProtection="1">
      <alignment horizontal="center"/>
    </xf>
    <xf numFmtId="0" fontId="41" fillId="4" borderId="14" xfId="0" applyFont="1" applyFill="1" applyBorder="1" applyAlignment="1">
      <alignment horizontal="center" vertical="center"/>
    </xf>
    <xf numFmtId="0" fontId="41" fillId="4" borderId="62" xfId="0" applyFont="1" applyFill="1" applyBorder="1" applyAlignment="1">
      <alignment horizontal="center" vertical="center"/>
    </xf>
    <xf numFmtId="0" fontId="41" fillId="4" borderId="17" xfId="0" applyFont="1" applyFill="1" applyBorder="1" applyAlignment="1">
      <alignment horizontal="center" vertical="center"/>
    </xf>
    <xf numFmtId="0" fontId="34" fillId="4" borderId="14" xfId="0" applyFont="1" applyFill="1" applyBorder="1" applyAlignment="1">
      <alignment horizontal="center" vertical="center" wrapText="1"/>
    </xf>
    <xf numFmtId="0" fontId="34" fillId="4" borderId="62" xfId="0" applyFont="1" applyFill="1" applyBorder="1" applyAlignment="1">
      <alignment horizontal="center" vertical="center" wrapText="1"/>
    </xf>
    <xf numFmtId="0" fontId="34" fillId="4" borderId="17" xfId="0" applyFont="1" applyFill="1" applyBorder="1" applyAlignment="1">
      <alignment horizontal="center" vertical="center" wrapText="1"/>
    </xf>
    <xf numFmtId="167" fontId="34" fillId="30" borderId="13" xfId="28" applyNumberFormat="1" applyFont="1" applyFill="1" applyBorder="1" applyAlignment="1" applyProtection="1">
      <alignment horizontal="center"/>
    </xf>
    <xf numFmtId="167" fontId="34" fillId="30" borderId="20" xfId="28" applyNumberFormat="1" applyFont="1" applyFill="1" applyBorder="1" applyAlignment="1" applyProtection="1">
      <alignment horizontal="center"/>
    </xf>
    <xf numFmtId="167" fontId="34" fillId="30" borderId="19" xfId="28" applyNumberFormat="1" applyFont="1" applyFill="1" applyBorder="1" applyAlignment="1" applyProtection="1">
      <alignment horizontal="center"/>
    </xf>
    <xf numFmtId="167" fontId="34" fillId="31" borderId="13" xfId="28" applyNumberFormat="1" applyFont="1" applyFill="1" applyBorder="1" applyAlignment="1" applyProtection="1">
      <alignment horizontal="center"/>
    </xf>
    <xf numFmtId="167" fontId="34" fillId="31" borderId="20" xfId="28" applyNumberFormat="1" applyFont="1" applyFill="1" applyBorder="1" applyAlignment="1" applyProtection="1">
      <alignment horizontal="center"/>
    </xf>
    <xf numFmtId="167" fontId="34" fillId="31" borderId="19" xfId="28" applyNumberFormat="1" applyFont="1" applyFill="1" applyBorder="1" applyAlignment="1" applyProtection="1">
      <alignment horizontal="center"/>
    </xf>
    <xf numFmtId="167" fontId="34" fillId="32" borderId="13" xfId="28" applyNumberFormat="1" applyFont="1" applyFill="1" applyBorder="1" applyAlignment="1" applyProtection="1">
      <alignment horizontal="center"/>
    </xf>
    <xf numFmtId="167" fontId="34" fillId="32" borderId="20" xfId="28" applyNumberFormat="1" applyFont="1" applyFill="1" applyBorder="1" applyAlignment="1" applyProtection="1">
      <alignment horizontal="center"/>
    </xf>
    <xf numFmtId="167" fontId="34" fillId="32" borderId="19" xfId="28" applyNumberFormat="1" applyFont="1" applyFill="1" applyBorder="1" applyAlignment="1" applyProtection="1">
      <alignment horizontal="center"/>
    </xf>
    <xf numFmtId="178" fontId="44" fillId="0" borderId="62" xfId="29" applyNumberFormat="1" applyFont="1" applyFill="1" applyBorder="1" applyAlignment="1">
      <alignment horizontal="center" vertical="center" wrapText="1"/>
    </xf>
    <xf numFmtId="178" fontId="44" fillId="0" borderId="17" xfId="29" applyNumberFormat="1" applyFont="1" applyFill="1" applyBorder="1" applyAlignment="1">
      <alignment horizontal="center" vertical="center" wrapText="1"/>
    </xf>
    <xf numFmtId="0" fontId="44" fillId="0" borderId="14" xfId="0" applyFont="1" applyBorder="1" applyAlignment="1">
      <alignment horizontal="center" vertical="center" wrapText="1"/>
    </xf>
    <xf numFmtId="0" fontId="44" fillId="0" borderId="62" xfId="0" applyFont="1" applyBorder="1" applyAlignment="1">
      <alignment horizontal="center" vertical="center" wrapText="1"/>
    </xf>
    <xf numFmtId="178" fontId="44" fillId="40" borderId="58" xfId="60" applyNumberFormat="1" applyFont="1" applyFill="1" applyBorder="1" applyAlignment="1">
      <alignment horizontal="center" vertical="center" wrapText="1"/>
    </xf>
    <xf numFmtId="178" fontId="44" fillId="40" borderId="31" xfId="60" applyNumberFormat="1" applyFont="1" applyFill="1" applyBorder="1" applyAlignment="1">
      <alignment horizontal="center" vertical="center" wrapText="1"/>
    </xf>
    <xf numFmtId="178" fontId="44" fillId="26" borderId="13" xfId="60" applyNumberFormat="1" applyFont="1" applyFill="1" applyBorder="1" applyAlignment="1">
      <alignment horizontal="center" vertical="center" wrapText="1"/>
    </xf>
    <xf numFmtId="178" fontId="44" fillId="26" borderId="19" xfId="60" applyNumberFormat="1" applyFont="1" applyFill="1" applyBorder="1" applyAlignment="1">
      <alignment horizontal="center" vertical="center" wrapText="1"/>
    </xf>
    <xf numFmtId="178" fontId="45" fillId="25" borderId="11" xfId="29" applyNumberFormat="1" applyFont="1" applyFill="1" applyBorder="1" applyAlignment="1">
      <alignment horizontal="center"/>
    </xf>
    <xf numFmtId="178" fontId="44" fillId="4" borderId="11" xfId="29" applyNumberFormat="1" applyFont="1" applyFill="1" applyBorder="1" applyAlignment="1">
      <alignment horizontal="center" vertical="center" wrapText="1"/>
    </xf>
    <xf numFmtId="178" fontId="44" fillId="4" borderId="14" xfId="29" applyNumberFormat="1" applyFont="1" applyFill="1" applyBorder="1" applyAlignment="1">
      <alignment horizontal="center" vertical="center" wrapText="1"/>
    </xf>
    <xf numFmtId="178" fontId="44" fillId="0" borderId="11" xfId="29" applyNumberFormat="1" applyFont="1" applyFill="1" applyBorder="1" applyAlignment="1">
      <alignment horizontal="center" vertical="center" wrapText="1"/>
    </xf>
    <xf numFmtId="178" fontId="44" fillId="0" borderId="14" xfId="29" applyNumberFormat="1" applyFont="1" applyFill="1" applyBorder="1" applyAlignment="1">
      <alignment horizontal="center" vertical="center" wrapText="1"/>
    </xf>
    <xf numFmtId="178" fontId="44" fillId="26" borderId="14" xfId="29" applyNumberFormat="1" applyFont="1" applyFill="1" applyBorder="1" applyAlignment="1">
      <alignment horizontal="center" vertical="center" wrapText="1"/>
    </xf>
    <xf numFmtId="178" fontId="44" fillId="26" borderId="62" xfId="29" applyNumberFormat="1" applyFont="1" applyFill="1" applyBorder="1" applyAlignment="1">
      <alignment horizontal="center" vertical="center" wrapText="1"/>
    </xf>
    <xf numFmtId="178" fontId="44" fillId="26" borderId="17" xfId="29" applyNumberFormat="1" applyFont="1" applyFill="1" applyBorder="1" applyAlignment="1">
      <alignment horizontal="center" vertical="center" wrapText="1"/>
    </xf>
    <xf numFmtId="178" fontId="44" fillId="0" borderId="13" xfId="29" applyNumberFormat="1" applyFont="1" applyFill="1" applyBorder="1" applyAlignment="1">
      <alignment horizontal="right"/>
    </xf>
    <xf numFmtId="178" fontId="44" fillId="0" borderId="19" xfId="29" applyNumberFormat="1" applyFont="1" applyFill="1" applyBorder="1" applyAlignment="1">
      <alignment horizontal="right"/>
    </xf>
    <xf numFmtId="178" fontId="44" fillId="25" borderId="11" xfId="29" applyNumberFormat="1" applyFont="1" applyFill="1" applyBorder="1" applyAlignment="1">
      <alignment horizontal="center" vertical="center" wrapText="1"/>
    </xf>
    <xf numFmtId="178" fontId="44" fillId="25" borderId="14" xfId="29" applyNumberFormat="1" applyFont="1" applyFill="1" applyBorder="1" applyAlignment="1">
      <alignment horizontal="center" vertical="center" wrapText="1"/>
    </xf>
    <xf numFmtId="178" fontId="44" fillId="4" borderId="58" xfId="29" applyNumberFormat="1" applyFont="1" applyFill="1" applyBorder="1" applyAlignment="1">
      <alignment horizontal="center" vertical="center" wrapText="1"/>
    </xf>
    <xf numFmtId="178" fontId="44" fillId="4" borderId="31" xfId="29" applyNumberFormat="1" applyFont="1" applyFill="1" applyBorder="1" applyAlignment="1">
      <alignment horizontal="center" vertical="center" wrapText="1"/>
    </xf>
    <xf numFmtId="178" fontId="44" fillId="4" borderId="30" xfId="29" applyNumberFormat="1" applyFont="1" applyFill="1" applyBorder="1" applyAlignment="1">
      <alignment horizontal="center" vertical="center" wrapText="1"/>
    </xf>
    <xf numFmtId="178" fontId="44" fillId="4" borderId="16" xfId="29" applyNumberFormat="1" applyFont="1" applyFill="1" applyBorder="1" applyAlignment="1">
      <alignment horizontal="center" vertical="center" wrapText="1"/>
    </xf>
    <xf numFmtId="178" fontId="44" fillId="22" borderId="14" xfId="29" applyNumberFormat="1" applyFont="1" applyFill="1" applyBorder="1" applyAlignment="1">
      <alignment horizontal="center" vertical="center" wrapText="1"/>
    </xf>
    <xf numFmtId="178" fontId="44" fillId="22" borderId="62" xfId="29" applyNumberFormat="1" applyFont="1" applyFill="1" applyBorder="1" applyAlignment="1">
      <alignment horizontal="center" vertical="center" wrapText="1"/>
    </xf>
    <xf numFmtId="178" fontId="44" fillId="22" borderId="17" xfId="29" applyNumberFormat="1" applyFont="1" applyFill="1" applyBorder="1" applyAlignment="1">
      <alignment horizontal="center" vertical="center" wrapText="1"/>
    </xf>
    <xf numFmtId="164" fontId="44" fillId="0" borderId="14" xfId="29" applyFont="1" applyFill="1" applyBorder="1" applyAlignment="1">
      <alignment horizontal="center" vertical="center" wrapText="1"/>
    </xf>
    <xf numFmtId="164" fontId="44" fillId="0" borderId="62" xfId="29" applyFont="1" applyFill="1" applyBorder="1" applyAlignment="1">
      <alignment horizontal="center" vertical="center" wrapText="1"/>
    </xf>
    <xf numFmtId="0" fontId="44" fillId="0" borderId="17" xfId="0" applyFont="1" applyBorder="1" applyAlignment="1">
      <alignment horizontal="center" vertical="center" wrapText="1"/>
    </xf>
    <xf numFmtId="0" fontId="51" fillId="22" borderId="11" xfId="0" applyFont="1" applyFill="1" applyBorder="1" applyAlignment="1">
      <alignment horizontal="center"/>
    </xf>
    <xf numFmtId="164" fontId="44" fillId="0" borderId="58" xfId="29" applyFont="1" applyFill="1" applyBorder="1" applyAlignment="1">
      <alignment horizontal="center" vertical="center"/>
    </xf>
    <xf numFmtId="164" fontId="44" fillId="0" borderId="59" xfId="29" applyFont="1" applyFill="1" applyBorder="1" applyAlignment="1">
      <alignment horizontal="center" vertical="center"/>
    </xf>
    <xf numFmtId="164" fontId="44" fillId="0" borderId="31" xfId="29" applyFont="1" applyFill="1" applyBorder="1" applyAlignment="1">
      <alignment horizontal="center" vertical="center"/>
    </xf>
    <xf numFmtId="164" fontId="44" fillId="0" borderId="30" xfId="29" applyFont="1" applyFill="1" applyBorder="1" applyAlignment="1">
      <alignment horizontal="center" vertical="center"/>
    </xf>
    <xf numFmtId="164" fontId="44" fillId="0" borderId="61" xfId="29" applyFont="1" applyFill="1" applyBorder="1" applyAlignment="1">
      <alignment horizontal="center" vertical="center"/>
    </xf>
    <xf numFmtId="164" fontId="44" fillId="0" borderId="16" xfId="29" applyFont="1" applyFill="1" applyBorder="1" applyAlignment="1">
      <alignment horizontal="center" vertical="center"/>
    </xf>
    <xf numFmtId="177" fontId="44" fillId="0" borderId="58" xfId="0" applyNumberFormat="1" applyFont="1" applyBorder="1" applyAlignment="1">
      <alignment horizontal="center" vertical="center"/>
    </xf>
    <xf numFmtId="177" fontId="44" fillId="0" borderId="59" xfId="0" applyNumberFormat="1" applyFont="1" applyBorder="1" applyAlignment="1">
      <alignment horizontal="center" vertical="center"/>
    </xf>
    <xf numFmtId="0" fontId="44" fillId="0" borderId="31" xfId="0" applyFont="1" applyBorder="1" applyAlignment="1">
      <alignment horizontal="center" vertical="center"/>
    </xf>
    <xf numFmtId="177" fontId="44" fillId="0" borderId="30" xfId="0" applyNumberFormat="1" applyFont="1" applyBorder="1" applyAlignment="1">
      <alignment horizontal="center" vertical="center"/>
    </xf>
    <xf numFmtId="177" fontId="44" fillId="0" borderId="61" xfId="0" applyNumberFormat="1" applyFont="1" applyBorder="1" applyAlignment="1">
      <alignment horizontal="center" vertical="center"/>
    </xf>
    <xf numFmtId="0" fontId="44" fillId="0" borderId="16" xfId="0" applyFont="1" applyBorder="1" applyAlignment="1">
      <alignment horizontal="center" vertical="center"/>
    </xf>
    <xf numFmtId="178" fontId="44" fillId="25" borderId="62" xfId="29" applyNumberFormat="1" applyFont="1" applyFill="1" applyBorder="1" applyAlignment="1">
      <alignment horizontal="center" vertical="center" wrapText="1"/>
    </xf>
    <xf numFmtId="178" fontId="44" fillId="40" borderId="84" xfId="60" applyNumberFormat="1" applyFont="1" applyFill="1" applyBorder="1" applyAlignment="1">
      <alignment horizontal="center" vertical="center" wrapText="1"/>
    </xf>
    <xf numFmtId="178" fontId="44" fillId="40" borderId="62" xfId="60" applyNumberFormat="1" applyFont="1" applyFill="1" applyBorder="1" applyAlignment="1">
      <alignment horizontal="center" vertical="center" wrapText="1"/>
    </xf>
    <xf numFmtId="178" fontId="44" fillId="40" borderId="17" xfId="60" applyNumberFormat="1" applyFont="1" applyFill="1" applyBorder="1" applyAlignment="1">
      <alignment horizontal="center" vertical="center" wrapText="1"/>
    </xf>
    <xf numFmtId="178" fontId="44" fillId="26" borderId="84" xfId="60" applyNumberFormat="1" applyFont="1" applyFill="1" applyBorder="1" applyAlignment="1">
      <alignment horizontal="center" vertical="center" wrapText="1"/>
    </xf>
    <xf numFmtId="178" fontId="44" fillId="26" borderId="62" xfId="60" applyNumberFormat="1" applyFont="1" applyFill="1" applyBorder="1" applyAlignment="1">
      <alignment horizontal="center" vertical="center" wrapText="1"/>
    </xf>
    <xf numFmtId="178" fontId="44" fillId="26" borderId="17" xfId="60" applyNumberFormat="1" applyFont="1" applyFill="1" applyBorder="1" applyAlignment="1">
      <alignment horizontal="center" vertical="center" wrapText="1"/>
    </xf>
    <xf numFmtId="0" fontId="44" fillId="0" borderId="11" xfId="0" applyFont="1" applyBorder="1" applyAlignment="1">
      <alignment horizontal="center" vertical="center" wrapText="1"/>
    </xf>
    <xf numFmtId="0" fontId="44" fillId="0" borderId="84" xfId="0" applyFont="1" applyBorder="1" applyAlignment="1">
      <alignment horizontal="center" vertical="center" wrapText="1"/>
    </xf>
    <xf numFmtId="178" fontId="44" fillId="0" borderId="13" xfId="29" applyNumberFormat="1" applyFont="1" applyFill="1" applyBorder="1" applyAlignment="1">
      <alignment horizontal="center" vertical="center" wrapText="1"/>
    </xf>
    <xf numFmtId="178" fontId="44" fillId="0" borderId="20" xfId="29" applyNumberFormat="1" applyFont="1" applyFill="1" applyBorder="1" applyAlignment="1">
      <alignment horizontal="center" vertical="center" wrapText="1"/>
    </xf>
    <xf numFmtId="178" fontId="44" fillId="0" borderId="19" xfId="29" applyNumberFormat="1" applyFont="1" applyFill="1" applyBorder="1" applyAlignment="1">
      <alignment horizontal="center" vertical="center" wrapText="1"/>
    </xf>
    <xf numFmtId="166" fontId="44" fillId="25" borderId="14" xfId="50" applyNumberFormat="1" applyFont="1" applyFill="1" applyBorder="1" applyAlignment="1">
      <alignment horizontal="center" vertical="center" wrapText="1"/>
    </xf>
    <xf numFmtId="166" fontId="44" fillId="25" borderId="62" xfId="50" applyNumberFormat="1" applyFont="1" applyFill="1" applyBorder="1" applyAlignment="1">
      <alignment horizontal="center" vertical="center" wrapText="1"/>
    </xf>
    <xf numFmtId="166" fontId="44" fillId="25" borderId="17" xfId="50" applyNumberFormat="1" applyFont="1" applyFill="1" applyBorder="1" applyAlignment="1">
      <alignment horizontal="center" vertical="center" wrapText="1"/>
    </xf>
    <xf numFmtId="2" fontId="29" fillId="0" borderId="13" xfId="28" applyNumberFormat="1" applyFont="1" applyBorder="1" applyAlignment="1">
      <alignment horizontal="center" vertical="center"/>
    </xf>
    <xf numFmtId="2" fontId="29" fillId="0" borderId="19" xfId="28" applyNumberFormat="1" applyFont="1" applyBorder="1" applyAlignment="1">
      <alignment horizontal="center" vertical="center"/>
    </xf>
    <xf numFmtId="2" fontId="29" fillId="0" borderId="11" xfId="28" applyNumberFormat="1" applyFont="1" applyBorder="1" applyAlignment="1">
      <alignment horizontal="center" vertical="center"/>
    </xf>
    <xf numFmtId="0" fontId="29" fillId="0" borderId="77" xfId="41" applyFont="1" applyBorder="1" applyAlignment="1">
      <alignment horizontal="center"/>
    </xf>
    <xf numFmtId="0" fontId="29" fillId="0" borderId="78" xfId="41" applyFont="1" applyBorder="1" applyAlignment="1">
      <alignment horizontal="center"/>
    </xf>
    <xf numFmtId="0" fontId="29" fillId="0" borderId="22" xfId="41" applyFont="1" applyBorder="1" applyAlignment="1">
      <alignment horizontal="center"/>
    </xf>
    <xf numFmtId="2" fontId="29" fillId="0" borderId="30" xfId="28" applyNumberFormat="1" applyFont="1" applyBorder="1" applyAlignment="1">
      <alignment horizontal="center" vertical="center"/>
    </xf>
    <xf numFmtId="2" fontId="29" fillId="0" borderId="61" xfId="28" applyNumberFormat="1" applyFont="1" applyBorder="1" applyAlignment="1">
      <alignment horizontal="center" vertical="center"/>
    </xf>
    <xf numFmtId="2" fontId="29" fillId="0" borderId="16" xfId="28" applyNumberFormat="1" applyFont="1" applyBorder="1" applyAlignment="1">
      <alignment horizontal="center" vertical="center"/>
    </xf>
    <xf numFmtId="2" fontId="29" fillId="0" borderId="20" xfId="28" applyNumberFormat="1" applyFont="1" applyBorder="1" applyAlignment="1">
      <alignment horizontal="center" vertical="center"/>
    </xf>
    <xf numFmtId="2" fontId="0" fillId="0" borderId="13" xfId="28" applyNumberFormat="1" applyFont="1" applyBorder="1" applyAlignment="1">
      <alignment horizontal="center"/>
    </xf>
    <xf numFmtId="2" fontId="0" fillId="0" borderId="20" xfId="28" applyNumberFormat="1" applyFont="1" applyBorder="1" applyAlignment="1">
      <alignment horizontal="center"/>
    </xf>
    <xf numFmtId="2" fontId="0" fillId="0" borderId="19" xfId="28" applyNumberFormat="1" applyFont="1" applyBorder="1" applyAlignment="1">
      <alignment horizontal="center"/>
    </xf>
    <xf numFmtId="2" fontId="0" fillId="0" borderId="11" xfId="28" applyNumberFormat="1" applyFont="1" applyBorder="1" applyAlignment="1">
      <alignment horizontal="center" vertical="center"/>
    </xf>
    <xf numFmtId="0" fontId="29" fillId="0" borderId="44" xfId="41" applyFont="1" applyBorder="1" applyAlignment="1">
      <alignment horizontal="center" vertical="center"/>
    </xf>
    <xf numFmtId="0" fontId="29" fillId="0" borderId="75" xfId="41" applyFont="1" applyBorder="1" applyAlignment="1">
      <alignment horizontal="center" vertical="center"/>
    </xf>
    <xf numFmtId="0" fontId="29" fillId="0" borderId="46" xfId="41" applyFont="1" applyBorder="1" applyAlignment="1">
      <alignment horizontal="center" vertical="center"/>
    </xf>
    <xf numFmtId="0" fontId="29" fillId="0" borderId="54" xfId="41" applyFont="1" applyBorder="1" applyAlignment="1">
      <alignment horizontal="center" vertical="center"/>
    </xf>
    <xf numFmtId="0" fontId="29" fillId="0" borderId="62" xfId="41" applyFont="1" applyBorder="1" applyAlignment="1">
      <alignment horizontal="center" vertical="center"/>
    </xf>
    <xf numFmtId="0" fontId="29" fillId="0" borderId="29" xfId="41" applyFont="1" applyBorder="1" applyAlignment="1">
      <alignment horizontal="center" vertical="center"/>
    </xf>
    <xf numFmtId="0" fontId="29" fillId="0" borderId="54" xfId="0" applyFont="1" applyBorder="1" applyAlignment="1">
      <alignment horizontal="center" vertical="center" wrapText="1"/>
    </xf>
    <xf numFmtId="0" fontId="29" fillId="0" borderId="62" xfId="0" applyFont="1" applyBorder="1" applyAlignment="1">
      <alignment horizontal="center" vertical="center" wrapText="1"/>
    </xf>
    <xf numFmtId="0" fontId="29" fillId="0" borderId="29" xfId="0" applyFont="1" applyBorder="1" applyAlignment="1">
      <alignment horizontal="center" vertical="center" wrapText="1"/>
    </xf>
    <xf numFmtId="0" fontId="29" fillId="11" borderId="54" xfId="41" applyFont="1" applyFill="1" applyBorder="1" applyAlignment="1">
      <alignment horizontal="center" vertical="center" wrapText="1"/>
    </xf>
    <xf numFmtId="0" fontId="29" fillId="11" borderId="62" xfId="41" applyFont="1" applyFill="1" applyBorder="1" applyAlignment="1">
      <alignment horizontal="center" vertical="center" wrapText="1"/>
    </xf>
    <xf numFmtId="0" fontId="29" fillId="11" borderId="29" xfId="41" applyFont="1" applyFill="1" applyBorder="1" applyAlignment="1">
      <alignment horizontal="center" vertical="center" wrapText="1"/>
    </xf>
    <xf numFmtId="10" fontId="58" fillId="27" borderId="11" xfId="0" applyNumberFormat="1" applyFont="1" applyFill="1" applyBorder="1" applyAlignment="1">
      <alignment horizontal="center" vertical="center"/>
    </xf>
    <xf numFmtId="0" fontId="58" fillId="27" borderId="11" xfId="0" applyFont="1" applyFill="1" applyBorder="1" applyAlignment="1">
      <alignment horizontal="center" vertical="center"/>
    </xf>
    <xf numFmtId="0" fontId="29" fillId="0" borderId="79" xfId="0" applyFont="1" applyBorder="1" applyAlignment="1">
      <alignment horizontal="center" vertical="center" wrapText="1"/>
    </xf>
    <xf numFmtId="0" fontId="29" fillId="0" borderId="81" xfId="0" applyFont="1" applyBorder="1" applyAlignment="1">
      <alignment horizontal="center" vertical="center" wrapText="1"/>
    </xf>
    <xf numFmtId="0" fontId="29" fillId="0" borderId="80" xfId="0" applyFont="1" applyBorder="1" applyAlignment="1">
      <alignment horizontal="center" vertical="center" wrapText="1"/>
    </xf>
    <xf numFmtId="10" fontId="54" fillId="0" borderId="84" xfId="50" applyNumberFormat="1" applyFont="1" applyFill="1" applyBorder="1" applyAlignment="1">
      <alignment horizontal="center" vertical="center"/>
    </xf>
    <xf numFmtId="10" fontId="54" fillId="0" borderId="17" xfId="50" applyNumberFormat="1" applyFont="1" applyFill="1" applyBorder="1" applyAlignment="1">
      <alignment horizontal="center" vertical="center"/>
    </xf>
    <xf numFmtId="0" fontId="54" fillId="27" borderId="11" xfId="0" applyFont="1" applyFill="1" applyBorder="1" applyAlignment="1">
      <alignment horizontal="center"/>
    </xf>
    <xf numFmtId="0" fontId="54" fillId="0" borderId="11" xfId="0" applyFont="1" applyBorder="1" applyAlignment="1">
      <alignment horizontal="center" vertical="center"/>
    </xf>
    <xf numFmtId="10" fontId="1" fillId="0" borderId="84"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4" fillId="0" borderId="84" xfId="0" applyFont="1" applyBorder="1" applyAlignment="1">
      <alignment horizontal="left" vertical="center"/>
    </xf>
    <xf numFmtId="0" fontId="54" fillId="0" borderId="17" xfId="0" applyFont="1" applyBorder="1" applyAlignment="1">
      <alignment horizontal="left" vertical="center"/>
    </xf>
    <xf numFmtId="10" fontId="1" fillId="0" borderId="11" xfId="50" applyNumberFormat="1" applyFont="1" applyFill="1" applyBorder="1" applyAlignment="1">
      <alignment horizontal="center" vertical="center"/>
    </xf>
    <xf numFmtId="10" fontId="57" fillId="0" borderId="11" xfId="0" applyNumberFormat="1" applyFont="1" applyBorder="1" applyAlignment="1">
      <alignment horizontal="center" vertical="center"/>
    </xf>
    <xf numFmtId="0" fontId="54" fillId="0" borderId="11" xfId="0" applyFont="1" applyBorder="1" applyAlignment="1">
      <alignment horizontal="left" vertical="center"/>
    </xf>
    <xf numFmtId="10" fontId="56" fillId="0" borderId="11" xfId="0" applyNumberFormat="1" applyFont="1" applyBorder="1" applyAlignment="1">
      <alignment horizontal="center" vertical="center"/>
    </xf>
    <xf numFmtId="0" fontId="56" fillId="0" borderId="11" xfId="0" applyFont="1" applyBorder="1" applyAlignment="1">
      <alignment horizontal="center" vertical="center"/>
    </xf>
    <xf numFmtId="0" fontId="54" fillId="0" borderId="84" xfId="0" applyFont="1" applyBorder="1" applyAlignment="1">
      <alignment horizontal="center" vertical="center"/>
    </xf>
    <xf numFmtId="0" fontId="54" fillId="0" borderId="62" xfId="0" applyFont="1" applyBorder="1" applyAlignment="1">
      <alignment horizontal="center" vertical="center"/>
    </xf>
    <xf numFmtId="0" fontId="54" fillId="0" borderId="62" xfId="0" applyFont="1" applyBorder="1" applyAlignment="1">
      <alignment horizontal="left" vertical="center"/>
    </xf>
    <xf numFmtId="10" fontId="1" fillId="0" borderId="62" xfId="50" applyNumberFormat="1" applyFont="1" applyFill="1" applyBorder="1" applyAlignment="1">
      <alignment horizontal="center" vertical="center"/>
    </xf>
    <xf numFmtId="10" fontId="54" fillId="0" borderId="11" xfId="0" applyNumberFormat="1" applyFont="1" applyBorder="1" applyAlignment="1">
      <alignment horizontal="center" vertical="center"/>
    </xf>
    <xf numFmtId="0" fontId="54" fillId="27" borderId="11" xfId="0" applyFont="1" applyFill="1" applyBorder="1" applyAlignment="1">
      <alignment horizontal="center" vertical="top" wrapText="1"/>
    </xf>
    <xf numFmtId="0" fontId="54" fillId="27" borderId="11" xfId="0" applyFont="1" applyFill="1" applyBorder="1" applyAlignment="1">
      <alignment horizontal="center" vertical="center"/>
    </xf>
    <xf numFmtId="0" fontId="54" fillId="27" borderId="84" xfId="0" applyFont="1" applyFill="1" applyBorder="1" applyAlignment="1">
      <alignment horizontal="center" vertical="center" wrapText="1"/>
    </xf>
    <xf numFmtId="0" fontId="54" fillId="27" borderId="17" xfId="0" applyFont="1" applyFill="1" applyBorder="1" applyAlignment="1">
      <alignment horizontal="center" vertical="center" wrapText="1"/>
    </xf>
    <xf numFmtId="0" fontId="28" fillId="24" borderId="77" xfId="0" applyFont="1" applyFill="1" applyBorder="1" applyAlignment="1">
      <alignment horizontal="center"/>
    </xf>
    <xf numFmtId="0" fontId="28" fillId="24" borderId="22" xfId="0" applyFont="1" applyFill="1" applyBorder="1" applyAlignment="1">
      <alignment horizontal="center"/>
    </xf>
    <xf numFmtId="0" fontId="28" fillId="24" borderId="76" xfId="0" applyFont="1" applyFill="1" applyBorder="1" applyAlignment="1">
      <alignment horizontal="center"/>
    </xf>
    <xf numFmtId="0" fontId="28" fillId="24" borderId="74" xfId="0" applyFont="1" applyFill="1" applyBorder="1" applyAlignment="1">
      <alignment horizontal="center"/>
    </xf>
    <xf numFmtId="0" fontId="24" fillId="24" borderId="77" xfId="0" applyFont="1" applyFill="1" applyBorder="1" applyAlignment="1">
      <alignment horizontal="center"/>
    </xf>
    <xf numFmtId="0" fontId="24" fillId="24" borderId="22" xfId="0" applyFont="1" applyFill="1" applyBorder="1" applyAlignment="1">
      <alignment horizontal="center"/>
    </xf>
    <xf numFmtId="0" fontId="28" fillId="24" borderId="27" xfId="0" applyFont="1" applyFill="1" applyBorder="1" applyAlignment="1">
      <alignment horizontal="center"/>
    </xf>
    <xf numFmtId="0" fontId="28" fillId="24" borderId="19" xfId="0" applyFont="1" applyFill="1" applyBorder="1" applyAlignment="1">
      <alignment horizontal="center"/>
    </xf>
    <xf numFmtId="0" fontId="28" fillId="24" borderId="69" xfId="0" applyFont="1" applyFill="1" applyBorder="1" applyAlignment="1">
      <alignment horizontal="center"/>
    </xf>
    <xf numFmtId="0" fontId="28" fillId="24" borderId="70" xfId="0" applyFont="1" applyFill="1" applyBorder="1" applyAlignment="1">
      <alignment horizontal="center"/>
    </xf>
    <xf numFmtId="0" fontId="28" fillId="24" borderId="35" xfId="0" applyFont="1" applyFill="1" applyBorder="1" applyAlignment="1">
      <alignment horizontal="center"/>
    </xf>
    <xf numFmtId="0" fontId="28" fillId="24" borderId="33" xfId="0" applyFont="1" applyFill="1" applyBorder="1" applyAlignment="1">
      <alignment horizontal="center"/>
    </xf>
    <xf numFmtId="0" fontId="28" fillId="24" borderId="44" xfId="0" applyFont="1" applyFill="1" applyBorder="1" applyAlignment="1" applyProtection="1">
      <alignment horizontal="center" vertical="center" textRotation="180" wrapText="1"/>
      <protection locked="0"/>
    </xf>
    <xf numFmtId="0" fontId="46" fillId="0" borderId="75" xfId="0" applyFont="1" applyBorder="1" applyAlignment="1" applyProtection="1">
      <alignment horizontal="center" vertical="center" textRotation="180" wrapText="1"/>
      <protection locked="0"/>
    </xf>
    <xf numFmtId="0" fontId="46" fillId="0" borderId="46" xfId="0" applyFont="1" applyBorder="1" applyAlignment="1" applyProtection="1">
      <alignment horizontal="center" vertical="center" textRotation="180" wrapText="1"/>
      <protection locked="0"/>
    </xf>
    <xf numFmtId="0" fontId="28"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75" xfId="0" applyBorder="1" applyAlignment="1" applyProtection="1">
      <alignment horizontal="center" vertical="center" textRotation="180" wrapText="1"/>
      <protection locked="0"/>
    </xf>
    <xf numFmtId="0" fontId="0" fillId="0" borderId="46" xfId="0" applyBorder="1" applyAlignment="1" applyProtection="1">
      <alignment horizontal="center" vertical="center" textRotation="180" wrapText="1"/>
      <protection locked="0"/>
    </xf>
    <xf numFmtId="0" fontId="47" fillId="24" borderId="27" xfId="0" applyFont="1" applyFill="1" applyBorder="1" applyAlignment="1">
      <alignment horizontal="center"/>
    </xf>
  </cellXfs>
  <cellStyles count="6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60"/>
    <cellStyle name="Comma 2" xfId="58"/>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5"/>
    <cellStyle name="Normal 5" xfId="57"/>
    <cellStyle name="Normal_April_3" xfId="43"/>
    <cellStyle name="Normal_DES 11_1" xfId="56"/>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 2" xfId="59"/>
    <cellStyle name="Percent_Okt_6" xfId="51"/>
    <cellStyle name="Title" xfId="52" builtinId="15" customBuiltin="1"/>
    <cellStyle name="Total" xfId="53" builtinId="25" customBuiltin="1"/>
    <cellStyle name="Warning Text" xfId="54" builtinId="11" customBuiltin="1"/>
  </cellStyles>
  <dxfs count="139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[2]Report1!$A$9:$A$39</c:f>
              <c:numCache>
                <c:formatCode>General</c:formatCode>
                <c:ptCount val="31"/>
                <c:pt idx="0">
                  <c:v>45444</c:v>
                </c:pt>
                <c:pt idx="1">
                  <c:v>45445</c:v>
                </c:pt>
                <c:pt idx="2">
                  <c:v>45446</c:v>
                </c:pt>
                <c:pt idx="3">
                  <c:v>45447</c:v>
                </c:pt>
                <c:pt idx="4">
                  <c:v>45448</c:v>
                </c:pt>
                <c:pt idx="5">
                  <c:v>45449</c:v>
                </c:pt>
                <c:pt idx="6">
                  <c:v>45450</c:v>
                </c:pt>
                <c:pt idx="7">
                  <c:v>45451</c:v>
                </c:pt>
                <c:pt idx="8">
                  <c:v>45452</c:v>
                </c:pt>
                <c:pt idx="9">
                  <c:v>45453</c:v>
                </c:pt>
                <c:pt idx="10">
                  <c:v>45454</c:v>
                </c:pt>
                <c:pt idx="11">
                  <c:v>45455</c:v>
                </c:pt>
                <c:pt idx="12">
                  <c:v>45456</c:v>
                </c:pt>
                <c:pt idx="13">
                  <c:v>45457</c:v>
                </c:pt>
                <c:pt idx="14">
                  <c:v>45458</c:v>
                </c:pt>
                <c:pt idx="15">
                  <c:v>45459</c:v>
                </c:pt>
                <c:pt idx="16">
                  <c:v>45460</c:v>
                </c:pt>
                <c:pt idx="17">
                  <c:v>45461</c:v>
                </c:pt>
                <c:pt idx="18">
                  <c:v>45462</c:v>
                </c:pt>
                <c:pt idx="19">
                  <c:v>45463</c:v>
                </c:pt>
                <c:pt idx="20">
                  <c:v>45464</c:v>
                </c:pt>
                <c:pt idx="21">
                  <c:v>45465</c:v>
                </c:pt>
                <c:pt idx="22">
                  <c:v>45466</c:v>
                </c:pt>
                <c:pt idx="23">
                  <c:v>45467</c:v>
                </c:pt>
                <c:pt idx="24">
                  <c:v>45468</c:v>
                </c:pt>
                <c:pt idx="25">
                  <c:v>45469</c:v>
                </c:pt>
                <c:pt idx="26">
                  <c:v>45470</c:v>
                </c:pt>
                <c:pt idx="27">
                  <c:v>45471</c:v>
                </c:pt>
                <c:pt idx="28">
                  <c:v>45472</c:v>
                </c:pt>
                <c:pt idx="29">
                  <c:v>45473</c:v>
                </c:pt>
                <c:pt idx="30">
                  <c:v>45474</c:v>
                </c:pt>
              </c:numCache>
            </c:numRef>
          </c:cat>
          <c:val>
            <c:numRef>
              <c:f>Report1!$R$9:$R$39</c:f>
              <c:numCache>
                <c:formatCode>#,##0.00</c:formatCode>
                <c:ptCount val="31"/>
                <c:pt idx="0">
                  <c:v>41.481999999999999</c:v>
                </c:pt>
                <c:pt idx="1">
                  <c:v>31.631</c:v>
                </c:pt>
                <c:pt idx="2">
                  <c:v>31.742999999999999</c:v>
                </c:pt>
                <c:pt idx="3">
                  <c:v>40.655999999999999</c:v>
                </c:pt>
                <c:pt idx="4">
                  <c:v>41.62</c:v>
                </c:pt>
                <c:pt idx="5">
                  <c:v>22.628</c:v>
                </c:pt>
                <c:pt idx="6">
                  <c:v>34.488999999999997</c:v>
                </c:pt>
                <c:pt idx="7">
                  <c:v>0</c:v>
                </c:pt>
                <c:pt idx="8">
                  <c:v>34.527999999999999</c:v>
                </c:pt>
                <c:pt idx="9">
                  <c:v>37.357999999999997</c:v>
                </c:pt>
                <c:pt idx="10">
                  <c:v>38.933999999999997</c:v>
                </c:pt>
                <c:pt idx="11">
                  <c:v>39.984000000000002</c:v>
                </c:pt>
                <c:pt idx="12">
                  <c:v>18.619</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xmlns:c16r2="http://schemas.microsoft.com/office/drawing/2015/06/chart">
            <c:ext xmlns:c16="http://schemas.microsoft.com/office/drawing/2014/chart" uri="{C3380CC4-5D6E-409C-BE32-E72D297353CC}">
              <c16:uniqueId val="{00000000-584D-4D4B-98D9-68728F9C0EDF}"/>
            </c:ext>
          </c:extLst>
        </c:ser>
        <c:dLbls>
          <c:showLegendKey val="0"/>
          <c:showVal val="0"/>
          <c:showCatName val="0"/>
          <c:showSerName val="0"/>
          <c:showPercent val="0"/>
          <c:showBubbleSize val="0"/>
        </c:dLbls>
        <c:marker val="1"/>
        <c:smooth val="0"/>
        <c:axId val="326908800"/>
        <c:axId val="326906448"/>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584D-4D4B-98D9-68728F9C0EDF}"/>
              </c:ext>
            </c:extLst>
          </c:dPt>
          <c:cat>
            <c:numRef>
              <c:f>[2]Report1!$A$9</c:f>
              <c:numCache>
                <c:formatCode>General</c:formatCode>
                <c:ptCount val="1"/>
                <c:pt idx="0">
                  <c:v>45444</c:v>
                </c:pt>
              </c:numCache>
            </c:numRef>
          </c:cat>
          <c:val>
            <c:numRef>
              <c:f>Report1!$J$9:$J$39</c:f>
              <c:numCache>
                <c:formatCode>0.00%</c:formatCode>
                <c:ptCount val="31"/>
                <c:pt idx="0">
                  <c:v>0.96558565393253748</c:v>
                </c:pt>
                <c:pt idx="1">
                  <c:v>0.73741505056736756</c:v>
                </c:pt>
                <c:pt idx="2">
                  <c:v>0.75118846449180465</c:v>
                </c:pt>
                <c:pt idx="3">
                  <c:v>0.93365626458741036</c:v>
                </c:pt>
                <c:pt idx="4">
                  <c:v>0.93246798870105096</c:v>
                </c:pt>
                <c:pt idx="5">
                  <c:v>0.50696505642305101</c:v>
                </c:pt>
                <c:pt idx="6">
                  <c:v>0.8294654519238559</c:v>
                </c:pt>
                <c:pt idx="7">
                  <c:v>0</c:v>
                </c:pt>
                <c:pt idx="8">
                  <c:v>0.75825127882432952</c:v>
                </c:pt>
                <c:pt idx="9">
                  <c:v>0.85091417551168358</c:v>
                </c:pt>
                <c:pt idx="10">
                  <c:v>0.87485288103060255</c:v>
                </c:pt>
                <c:pt idx="11">
                  <c:v>0.88333888551721618</c:v>
                </c:pt>
                <c:pt idx="12">
                  <c:v>0.4257918480315484</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xmlns:c16r2="http://schemas.microsoft.com/office/drawing/2015/06/chart">
            <c:ext xmlns:c16="http://schemas.microsoft.com/office/drawing/2014/chart" uri="{C3380CC4-5D6E-409C-BE32-E72D297353CC}">
              <c16:uniqueId val="{00000002-584D-4D4B-98D9-68728F9C0EDF}"/>
            </c:ext>
          </c:extLst>
        </c:ser>
        <c:ser>
          <c:idx val="1"/>
          <c:order val="2"/>
          <c:tx>
            <c:v>EFF TARGET TODATE</c:v>
          </c:tx>
          <c:marker>
            <c:symbol val="square"/>
            <c:size val="5"/>
          </c:marker>
          <c:cat>
            <c:numRef>
              <c:f>[2]Report1!$A$9</c:f>
              <c:numCache>
                <c:formatCode>General</c:formatCode>
                <c:ptCount val="1"/>
                <c:pt idx="0">
                  <c:v>45444</c:v>
                </c:pt>
              </c:numCache>
            </c:numRef>
          </c:cat>
          <c:val>
            <c:numRef>
              <c:f>Report1!$K$9:$K$39</c:f>
              <c:numCache>
                <c:formatCode>0.00%</c:formatCode>
                <c:ptCount val="31"/>
                <c:pt idx="0">
                  <c:v>0.96558565393253748</c:v>
                </c:pt>
                <c:pt idx="1">
                  <c:v>0.85158808549660114</c:v>
                </c:pt>
                <c:pt idx="2">
                  <c:v>0.81847180376833528</c:v>
                </c:pt>
                <c:pt idx="3">
                  <c:v>0.84769114097064213</c:v>
                </c:pt>
                <c:pt idx="4">
                  <c:v>0.86518585137669168</c:v>
                </c:pt>
                <c:pt idx="5">
                  <c:v>0.80390811997871192</c:v>
                </c:pt>
                <c:pt idx="6">
                  <c:v>0.80742101416242806</c:v>
                </c:pt>
                <c:pt idx="7">
                  <c:v>0.71088685189563416</c:v>
                </c:pt>
                <c:pt idx="8">
                  <c:v>0.71642962568792634</c:v>
                </c:pt>
                <c:pt idx="9">
                  <c:v>0.7300647484123769</c:v>
                </c:pt>
                <c:pt idx="10">
                  <c:v>0.74355839367154164</c:v>
                </c:pt>
                <c:pt idx="11">
                  <c:v>0.75566094878963064</c:v>
                </c:pt>
                <c:pt idx="12">
                  <c:v>0.7301993334815845</c:v>
                </c:pt>
                <c:pt idx="13">
                  <c:v>0.67845643269066969</c:v>
                </c:pt>
                <c:pt idx="14">
                  <c:v>0.63356142338050958</c:v>
                </c:pt>
                <c:pt idx="15">
                  <c:v>0.5942392566581356</c:v>
                </c:pt>
                <c:pt idx="16">
                  <c:v>0.5595129303411005</c:v>
                </c:pt>
                <c:pt idx="17">
                  <c:v>0.52862121047032884</c:v>
                </c:pt>
                <c:pt idx="18">
                  <c:v>0.50096218314773333</c:v>
                </c:pt>
                <c:pt idx="19">
                  <c:v>0.47605364646081938</c:v>
                </c:pt>
                <c:pt idx="20">
                  <c:v>0.4535047589290378</c:v>
                </c:pt>
                <c:pt idx="21">
                  <c:v>0.43299538100363333</c:v>
                </c:pt>
                <c:pt idx="22">
                  <c:v>0.41426077960990954</c:v>
                </c:pt>
                <c:pt idx="23">
                  <c:v>0.39708013878138448</c:v>
                </c:pt>
                <c:pt idx="24">
                  <c:v>0.38126781543604787</c:v>
                </c:pt>
                <c:pt idx="25">
                  <c:v>0.366666604389975</c:v>
                </c:pt>
                <c:pt idx="26">
                  <c:v>0.35314249384810936</c:v>
                </c:pt>
                <c:pt idx="27">
                  <c:v>0.3405805402383581</c:v>
                </c:pt>
                <c:pt idx="28">
                  <c:v>0.32888159324277566</c:v>
                </c:pt>
                <c:pt idx="29">
                  <c:v>0.31795967338482251</c:v>
                </c:pt>
              </c:numCache>
            </c:numRef>
          </c:val>
          <c:smooth val="0"/>
          <c:extLst xmlns:c16r2="http://schemas.microsoft.com/office/drawing/2015/06/chart">
            <c:ext xmlns:c16="http://schemas.microsoft.com/office/drawing/2014/chart" uri="{C3380CC4-5D6E-409C-BE32-E72D297353CC}">
              <c16:uniqueId val="{00000003-584D-4D4B-98D9-68728F9C0EDF}"/>
            </c:ext>
          </c:extLst>
        </c:ser>
        <c:dLbls>
          <c:showLegendKey val="0"/>
          <c:showVal val="0"/>
          <c:showCatName val="0"/>
          <c:showSerName val="0"/>
          <c:showPercent val="0"/>
          <c:showBubbleSize val="0"/>
        </c:dLbls>
        <c:marker val="1"/>
        <c:smooth val="0"/>
        <c:axId val="326910760"/>
        <c:axId val="326912720"/>
      </c:lineChart>
      <c:catAx>
        <c:axId val="326908800"/>
        <c:scaling>
          <c:orientation val="minMax"/>
        </c:scaling>
        <c:delete val="0"/>
        <c:axPos val="b"/>
        <c:numFmt formatCode="General" sourceLinked="1"/>
        <c:majorTickMark val="out"/>
        <c:minorTickMark val="none"/>
        <c:tickLblPos val="nextTo"/>
        <c:crossAx val="326906448"/>
        <c:crosses val="autoZero"/>
        <c:auto val="1"/>
        <c:lblAlgn val="ctr"/>
        <c:lblOffset val="100"/>
        <c:noMultiLvlLbl val="0"/>
      </c:catAx>
      <c:valAx>
        <c:axId val="326906448"/>
        <c:scaling>
          <c:orientation val="minMax"/>
        </c:scaling>
        <c:delete val="0"/>
        <c:axPos val="l"/>
        <c:majorGridlines/>
        <c:numFmt formatCode="#,##0.00" sourceLinked="1"/>
        <c:majorTickMark val="out"/>
        <c:minorTickMark val="none"/>
        <c:tickLblPos val="nextTo"/>
        <c:crossAx val="326908800"/>
        <c:crosses val="autoZero"/>
        <c:crossBetween val="between"/>
      </c:valAx>
      <c:valAx>
        <c:axId val="326912720"/>
        <c:scaling>
          <c:orientation val="minMax"/>
        </c:scaling>
        <c:delete val="0"/>
        <c:axPos val="r"/>
        <c:numFmt formatCode="0.00%" sourceLinked="1"/>
        <c:majorTickMark val="out"/>
        <c:minorTickMark val="none"/>
        <c:tickLblPos val="nextTo"/>
        <c:crossAx val="326910760"/>
        <c:crosses val="max"/>
        <c:crossBetween val="between"/>
      </c:valAx>
      <c:catAx>
        <c:axId val="326910760"/>
        <c:scaling>
          <c:orientation val="minMax"/>
        </c:scaling>
        <c:delete val="1"/>
        <c:axPos val="b"/>
        <c:numFmt formatCode="General" sourceLinked="1"/>
        <c:majorTickMark val="out"/>
        <c:minorTickMark val="none"/>
        <c:tickLblPos val="none"/>
        <c:crossAx val="326912720"/>
        <c:crosses val="autoZero"/>
        <c:auto val="1"/>
        <c:lblAlgn val="ctr"/>
        <c:lblOffset val="100"/>
        <c:noMultiLvlLbl val="0"/>
      </c:cat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17</xdr:col>
      <xdr:colOff>504824</xdr:colOff>
      <xdr:row>28</xdr:row>
      <xdr:rowOff>95249</xdr:rowOff>
    </xdr:to>
    <xdr:graphicFrame macro="">
      <xdr:nvGraphicFramePr>
        <xdr:cNvPr id="2" name="Chart 1">
          <a:extLst>
            <a:ext uri="{FF2B5EF4-FFF2-40B4-BE49-F238E27FC236}">
              <a16:creationId xmlns:a16="http://schemas.microsoft.com/office/drawing/2014/main" xmlns=""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aporan%20Gas%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win7/Documents/PM%2014/5.%20MEI/DAILY%20REPORT%20PM%201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Feb"/>
      <sheetName val="Mar"/>
      <sheetName val="Apr"/>
      <sheetName val="Mei"/>
      <sheetName val="Jun"/>
      <sheetName val="Jul"/>
      <sheetName val="Aug"/>
      <sheetName val="Sept"/>
      <sheetName val="Okt"/>
      <sheetName val="%error"/>
      <sheetName val="P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4">
          <cell r="N4">
            <v>11943</v>
          </cell>
        </row>
        <row r="5">
          <cell r="N5">
            <v>12803</v>
          </cell>
        </row>
        <row r="6">
          <cell r="N6">
            <v>12889</v>
          </cell>
        </row>
        <row r="7">
          <cell r="N7">
            <v>12825</v>
          </cell>
        </row>
        <row r="8">
          <cell r="N8">
            <v>12312</v>
          </cell>
        </row>
        <row r="9">
          <cell r="N9">
            <v>10298</v>
          </cell>
        </row>
        <row r="10">
          <cell r="N10">
            <v>11677</v>
          </cell>
        </row>
        <row r="11">
          <cell r="N11">
            <v>9805</v>
          </cell>
        </row>
        <row r="12">
          <cell r="N12">
            <v>10937</v>
          </cell>
        </row>
        <row r="13">
          <cell r="N13">
            <v>9489</v>
          </cell>
        </row>
        <row r="14">
          <cell r="N14">
            <v>10815</v>
          </cell>
        </row>
        <row r="15">
          <cell r="N15">
            <v>13853</v>
          </cell>
        </row>
        <row r="16">
          <cell r="N16">
            <v>11517</v>
          </cell>
        </row>
        <row r="17">
          <cell r="N17">
            <v>8962</v>
          </cell>
        </row>
        <row r="18">
          <cell r="N18">
            <v>9595</v>
          </cell>
        </row>
        <row r="19">
          <cell r="N19">
            <v>9071</v>
          </cell>
        </row>
        <row r="20">
          <cell r="N20">
            <v>10291</v>
          </cell>
        </row>
        <row r="21">
          <cell r="N21">
            <v>9231</v>
          </cell>
        </row>
        <row r="22">
          <cell r="N22">
            <v>9557</v>
          </cell>
        </row>
        <row r="23">
          <cell r="N23">
            <v>9331</v>
          </cell>
        </row>
        <row r="24">
          <cell r="N24">
            <v>9789</v>
          </cell>
        </row>
        <row r="25">
          <cell r="N25">
            <v>9757</v>
          </cell>
        </row>
        <row r="26">
          <cell r="N26">
            <v>9236</v>
          </cell>
        </row>
        <row r="27">
          <cell r="N27">
            <v>9716</v>
          </cell>
        </row>
        <row r="28">
          <cell r="N28">
            <v>9519</v>
          </cell>
        </row>
        <row r="29">
          <cell r="N29">
            <v>9800</v>
          </cell>
        </row>
        <row r="30">
          <cell r="N30">
            <v>9530</v>
          </cell>
        </row>
        <row r="31">
          <cell r="N31">
            <v>9290</v>
          </cell>
        </row>
        <row r="32">
          <cell r="N32">
            <v>9399</v>
          </cell>
        </row>
        <row r="33">
          <cell r="N33">
            <v>8671</v>
          </cell>
        </row>
      </sheetData>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sheetName val="master"/>
      <sheetName val="VERSI PAK VENTJE"/>
      <sheetName val="Report1"/>
      <sheetName val="GRAFIK"/>
      <sheetName val="Listrik"/>
      <sheetName val="Trim Rwd"/>
      <sheetName val="Efficiency1"/>
      <sheetName val="Efficiency2"/>
      <sheetName val="Efficiency"/>
      <sheetName val="Problem"/>
      <sheetName val="prod"/>
      <sheetName val="BB"/>
      <sheetName val="Chem"/>
      <sheetName val="RBP"/>
      <sheetName val="Sheet1"/>
      <sheetName val="summary"/>
      <sheetName val="1"/>
      <sheetName val="2"/>
      <sheetName val="3"/>
      <sheetName val="4"/>
      <sheetName val="5"/>
      <sheetName val="29"/>
      <sheetName val="30"/>
      <sheetName val="31"/>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s>
    <sheetDataSet>
      <sheetData sheetId="0"/>
      <sheetData sheetId="1"/>
      <sheetData sheetId="2"/>
      <sheetData sheetId="3">
        <row r="9">
          <cell r="A9">
            <v>45444</v>
          </cell>
        </row>
        <row r="10">
          <cell r="A10">
            <v>45445</v>
          </cell>
        </row>
        <row r="11">
          <cell r="A11">
            <v>45446</v>
          </cell>
        </row>
        <row r="12">
          <cell r="A12">
            <v>45447</v>
          </cell>
        </row>
        <row r="13">
          <cell r="A13">
            <v>45448</v>
          </cell>
        </row>
        <row r="14">
          <cell r="A14">
            <v>45449</v>
          </cell>
        </row>
        <row r="15">
          <cell r="A15">
            <v>45450</v>
          </cell>
        </row>
        <row r="16">
          <cell r="A16">
            <v>45451</v>
          </cell>
        </row>
        <row r="17">
          <cell r="A17">
            <v>45452</v>
          </cell>
        </row>
        <row r="18">
          <cell r="A18">
            <v>45453</v>
          </cell>
        </row>
        <row r="19">
          <cell r="A19">
            <v>45454</v>
          </cell>
        </row>
        <row r="20">
          <cell r="A20">
            <v>45455</v>
          </cell>
        </row>
        <row r="21">
          <cell r="A21">
            <v>45456</v>
          </cell>
        </row>
        <row r="22">
          <cell r="A22">
            <v>45457</v>
          </cell>
        </row>
        <row r="23">
          <cell r="A23">
            <v>45458</v>
          </cell>
        </row>
        <row r="24">
          <cell r="A24">
            <v>45459</v>
          </cell>
        </row>
        <row r="25">
          <cell r="A25">
            <v>45460</v>
          </cell>
        </row>
        <row r="26">
          <cell r="A26">
            <v>45461</v>
          </cell>
        </row>
        <row r="27">
          <cell r="A27">
            <v>45462</v>
          </cell>
        </row>
        <row r="28">
          <cell r="A28">
            <v>45463</v>
          </cell>
        </row>
        <row r="29">
          <cell r="A29">
            <v>45464</v>
          </cell>
        </row>
        <row r="30">
          <cell r="A30">
            <v>45465</v>
          </cell>
        </row>
        <row r="31">
          <cell r="A31">
            <v>45466</v>
          </cell>
        </row>
        <row r="32">
          <cell r="A32">
            <v>45467</v>
          </cell>
        </row>
        <row r="33">
          <cell r="A33">
            <v>45468</v>
          </cell>
        </row>
        <row r="34">
          <cell r="A34">
            <v>45469</v>
          </cell>
        </row>
        <row r="35">
          <cell r="A35">
            <v>45470</v>
          </cell>
        </row>
        <row r="36">
          <cell r="A36">
            <v>45471</v>
          </cell>
        </row>
        <row r="37">
          <cell r="A37">
            <v>45472</v>
          </cell>
        </row>
        <row r="38">
          <cell r="A38">
            <v>45473</v>
          </cell>
        </row>
        <row r="39">
          <cell r="A39">
            <v>45474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7">
          <cell r="D7">
            <v>328.49000000022352</v>
          </cell>
          <cell r="AH7">
            <v>4400.0000000014552</v>
          </cell>
          <cell r="AI7">
            <v>7908.5</v>
          </cell>
          <cell r="AJ7">
            <v>23068.5</v>
          </cell>
        </row>
        <row r="8">
          <cell r="AH8">
            <v>4199.9999999989086</v>
          </cell>
          <cell r="AI8">
            <v>8026.15</v>
          </cell>
          <cell r="AJ8">
            <v>23186.15</v>
          </cell>
        </row>
        <row r="9">
          <cell r="AH9">
            <v>4399.9999999996362</v>
          </cell>
          <cell r="AI9">
            <v>6530.05</v>
          </cell>
          <cell r="AJ9">
            <v>22690.05</v>
          </cell>
        </row>
        <row r="10">
          <cell r="AH10">
            <v>4300.0000000010914</v>
          </cell>
          <cell r="AI10">
            <v>9514.9599999999991</v>
          </cell>
          <cell r="AJ10">
            <v>23674.959999999999</v>
          </cell>
        </row>
        <row r="11">
          <cell r="AH11">
            <v>4399.9999999996362</v>
          </cell>
          <cell r="AI11">
            <v>7769.73</v>
          </cell>
          <cell r="AJ11">
            <v>21929.73</v>
          </cell>
        </row>
        <row r="12">
          <cell r="AH12">
            <v>3000</v>
          </cell>
          <cell r="AI12">
            <v>4803.1000000000004</v>
          </cell>
          <cell r="AJ12">
            <v>15963.1</v>
          </cell>
        </row>
        <row r="13">
          <cell r="AH13">
            <v>4299.9999999992724</v>
          </cell>
          <cell r="AI13">
            <v>8732.7900000000009</v>
          </cell>
          <cell r="AJ13">
            <v>22892.79</v>
          </cell>
        </row>
        <row r="14">
          <cell r="AH14">
            <v>700.0000000007276</v>
          </cell>
          <cell r="AI14">
            <v>938.85</v>
          </cell>
          <cell r="AJ14">
            <v>5098.8500000000004</v>
          </cell>
        </row>
        <row r="15">
          <cell r="AH15">
            <v>4399.9999999996362</v>
          </cell>
          <cell r="AI15">
            <v>8049.8099999999995</v>
          </cell>
          <cell r="AJ15">
            <v>23209.81</v>
          </cell>
        </row>
        <row r="16">
          <cell r="AH16">
            <v>4600.0000000003638</v>
          </cell>
          <cell r="AI16">
            <v>6211.57</v>
          </cell>
          <cell r="AJ16">
            <v>23371.57</v>
          </cell>
        </row>
        <row r="17">
          <cell r="AH17">
            <v>4299.9999999992724</v>
          </cell>
          <cell r="AI17">
            <v>7879.48</v>
          </cell>
          <cell r="AJ17">
            <v>25039.48</v>
          </cell>
        </row>
        <row r="18">
          <cell r="AH18">
            <v>4600.0000000003638</v>
          </cell>
          <cell r="AI18">
            <v>8055.3</v>
          </cell>
          <cell r="AJ18">
            <v>27215.3</v>
          </cell>
        </row>
        <row r="19">
          <cell r="AH19">
            <v>2200.0000000007276</v>
          </cell>
          <cell r="AI19">
            <v>4875.43</v>
          </cell>
          <cell r="AJ19">
            <v>14035.43</v>
          </cell>
        </row>
        <row r="20">
          <cell r="AH20">
            <v>500</v>
          </cell>
          <cell r="AI20">
            <v>65.87</v>
          </cell>
          <cell r="AJ20">
            <v>6225.87</v>
          </cell>
        </row>
        <row r="21">
          <cell r="AH21">
            <v>799.9999999992724</v>
          </cell>
          <cell r="AI21">
            <v>527.53</v>
          </cell>
          <cell r="AJ21">
            <v>4687.53</v>
          </cell>
        </row>
        <row r="22">
          <cell r="AH22">
            <v>600.0000000003638</v>
          </cell>
          <cell r="AI22">
            <v>1852.21</v>
          </cell>
          <cell r="AJ22">
            <v>6012.21</v>
          </cell>
        </row>
        <row r="23">
          <cell r="AH23">
            <v>399.9999999996362</v>
          </cell>
          <cell r="AI23">
            <v>895.36</v>
          </cell>
          <cell r="AJ23">
            <v>6055.3600000000006</v>
          </cell>
        </row>
        <row r="24">
          <cell r="AH24">
            <v>399.9999999996362</v>
          </cell>
          <cell r="AI24">
            <v>-204.07</v>
          </cell>
          <cell r="AJ24">
            <v>4955.93</v>
          </cell>
        </row>
        <row r="25">
          <cell r="AH25">
            <v>400.00000000145519</v>
          </cell>
          <cell r="AI25">
            <v>1293.55</v>
          </cell>
          <cell r="AJ25">
            <v>5453.55</v>
          </cell>
        </row>
        <row r="26">
          <cell r="AH26">
            <v>299.9999999992724</v>
          </cell>
          <cell r="AI26">
            <v>464.54</v>
          </cell>
          <cell r="AJ26">
            <v>5624.54</v>
          </cell>
        </row>
        <row r="27">
          <cell r="AH27">
            <v>399.9999999996362</v>
          </cell>
          <cell r="AI27">
            <v>1802.74</v>
          </cell>
          <cell r="AJ27">
            <v>6962.74</v>
          </cell>
        </row>
        <row r="28">
          <cell r="AH28">
            <v>399.9999999996362</v>
          </cell>
          <cell r="AI28">
            <v>428.80999999999995</v>
          </cell>
          <cell r="AJ28">
            <v>4588.8099999999995</v>
          </cell>
        </row>
        <row r="29">
          <cell r="AH29">
            <v>400.00000000145519</v>
          </cell>
          <cell r="AI29">
            <v>939.95</v>
          </cell>
          <cell r="AJ29">
            <v>6099.95</v>
          </cell>
        </row>
        <row r="30">
          <cell r="AH30">
            <v>399.9999999996362</v>
          </cell>
          <cell r="AI30">
            <v>769.45</v>
          </cell>
          <cell r="AJ30">
            <v>5929.45</v>
          </cell>
        </row>
        <row r="31">
          <cell r="AH31">
            <v>299.9999999992724</v>
          </cell>
          <cell r="AI31">
            <v>1252.9100000000001</v>
          </cell>
          <cell r="AJ31">
            <v>6412.91</v>
          </cell>
        </row>
        <row r="32">
          <cell r="AH32">
            <v>399.9999999996362</v>
          </cell>
          <cell r="AI32">
            <v>497.91</v>
          </cell>
          <cell r="AJ32">
            <v>4657.91</v>
          </cell>
        </row>
        <row r="33">
          <cell r="AH33">
            <v>400.00000000145519</v>
          </cell>
          <cell r="AI33">
            <v>235.15</v>
          </cell>
          <cell r="AJ33">
            <v>5395.15</v>
          </cell>
        </row>
        <row r="34">
          <cell r="AH34">
            <v>299.9999999992724</v>
          </cell>
          <cell r="AI34">
            <v>1773.7</v>
          </cell>
          <cell r="AJ34">
            <v>6933.7</v>
          </cell>
        </row>
        <row r="35">
          <cell r="AH35">
            <v>299.9999999992724</v>
          </cell>
          <cell r="AI35">
            <v>151.51999999999998</v>
          </cell>
          <cell r="AJ35">
            <v>4311.5200000000004</v>
          </cell>
        </row>
        <row r="36">
          <cell r="AH36">
            <v>300.00000000109139</v>
          </cell>
          <cell r="AI36">
            <v>939.33</v>
          </cell>
          <cell r="AJ36">
            <v>5099.33</v>
          </cell>
        </row>
      </sheetData>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65536"/>
  <sheetViews>
    <sheetView zoomScaleNormal="100" workbookViewId="0">
      <pane xSplit="3" ySplit="8" topLeftCell="T27" activePane="bottomRight" state="frozen"/>
      <selection pane="topRight" activeCell="E1" sqref="E1"/>
      <selection pane="bottomLeft" activeCell="A9" sqref="A9"/>
      <selection pane="bottomRight" activeCell="AQ38" sqref="AQ38"/>
    </sheetView>
  </sheetViews>
  <sheetFormatPr defaultColWidth="9.140625" defaultRowHeight="12.75"/>
  <cols>
    <col min="1" max="1" width="7.5703125" style="276" customWidth="1"/>
    <col min="2" max="2" width="12" style="275" customWidth="1"/>
    <col min="3" max="3" width="12.28515625" style="275" bestFit="1" customWidth="1"/>
    <col min="4" max="4" width="8.28515625" style="275" customWidth="1"/>
    <col min="5" max="5" width="8" style="275" customWidth="1"/>
    <col min="6" max="6" width="6.85546875" style="275" customWidth="1"/>
    <col min="7" max="11" width="8.7109375" style="275" customWidth="1"/>
    <col min="12" max="12" width="8.7109375" style="277" customWidth="1"/>
    <col min="13" max="15" width="8.7109375" style="278" customWidth="1"/>
    <col min="16" max="16" width="8.7109375" style="277" customWidth="1"/>
    <col min="17" max="17" width="8.7109375" style="278" customWidth="1"/>
    <col min="18" max="18" width="8.7109375" style="277" customWidth="1"/>
    <col min="19" max="19" width="8.7109375" style="279" customWidth="1"/>
    <col min="20" max="20" width="10.7109375" style="279" bestFit="1" customWidth="1"/>
    <col min="21" max="21" width="9.140625" style="279" bestFit="1" customWidth="1"/>
    <col min="22" max="25" width="8.7109375" style="279" customWidth="1"/>
    <col min="26" max="27" width="7.7109375" style="279" customWidth="1"/>
    <col min="28" max="29" width="7.7109375" style="280" customWidth="1"/>
    <col min="30" max="30" width="7.7109375" style="279" customWidth="1"/>
    <col min="31" max="31" width="7.7109375" style="280" customWidth="1"/>
    <col min="32" max="32" width="8.85546875" style="279" customWidth="1"/>
    <col min="33" max="33" width="11.140625" style="279" customWidth="1"/>
    <col min="34" max="37" width="7.5703125" style="280" customWidth="1"/>
    <col min="38" max="38" width="10.140625" bestFit="1" customWidth="1"/>
    <col min="42" max="42" width="10.28515625" style="450" bestFit="1" customWidth="1"/>
    <col min="43" max="43" width="9.7109375" style="474" bestFit="1" customWidth="1"/>
    <col min="50" max="52" width="9.5703125" bestFit="1" customWidth="1"/>
    <col min="53" max="53" width="8.7109375" style="277" customWidth="1"/>
    <col min="54" max="54" width="8.7109375" style="278" customWidth="1"/>
    <col min="55" max="56" width="8.7109375" style="275" customWidth="1"/>
  </cols>
  <sheetData>
    <row r="1" spans="1:56" ht="12.75" customHeight="1">
      <c r="A1" s="274"/>
    </row>
    <row r="2" spans="1:56">
      <c r="A2" s="274"/>
    </row>
    <row r="3" spans="1:56" ht="12.75" customHeight="1">
      <c r="A3" s="598" t="s">
        <v>186</v>
      </c>
      <c r="B3" s="598"/>
      <c r="C3" s="598"/>
      <c r="D3" s="598"/>
      <c r="E3" s="598"/>
      <c r="F3" s="598"/>
      <c r="G3" s="598"/>
      <c r="H3" s="598"/>
      <c r="I3" s="598"/>
      <c r="J3" s="598"/>
      <c r="K3" s="598"/>
      <c r="L3" s="598"/>
      <c r="M3" s="598"/>
      <c r="N3" s="598"/>
      <c r="O3" s="598"/>
      <c r="P3" s="598"/>
      <c r="Q3" s="598"/>
      <c r="R3" s="598"/>
      <c r="S3" s="598"/>
      <c r="T3" s="598"/>
      <c r="U3" s="598"/>
      <c r="V3" s="598"/>
      <c r="W3" s="598"/>
      <c r="X3" s="598"/>
      <c r="Y3" s="598"/>
      <c r="Z3" s="598"/>
      <c r="AA3" s="598"/>
      <c r="AB3" s="598"/>
      <c r="AC3" s="598"/>
      <c r="AD3" s="598"/>
      <c r="AE3" s="598"/>
      <c r="AF3" s="598"/>
      <c r="AG3" s="598"/>
      <c r="AH3" s="598"/>
      <c r="AI3" s="598"/>
      <c r="AJ3" s="598"/>
      <c r="AK3" s="598"/>
      <c r="BA3"/>
      <c r="BB3"/>
      <c r="BC3"/>
      <c r="BD3"/>
    </row>
    <row r="4" spans="1:56" ht="12.75" customHeight="1">
      <c r="A4" s="598"/>
      <c r="B4" s="598"/>
      <c r="C4" s="598"/>
      <c r="D4" s="598"/>
      <c r="E4" s="598"/>
      <c r="F4" s="598"/>
      <c r="G4" s="598"/>
      <c r="H4" s="598"/>
      <c r="I4" s="598"/>
      <c r="J4" s="598"/>
      <c r="K4" s="598"/>
      <c r="L4" s="598"/>
      <c r="M4" s="598"/>
      <c r="N4" s="598"/>
      <c r="O4" s="598"/>
      <c r="P4" s="598"/>
      <c r="Q4" s="598"/>
      <c r="R4" s="598"/>
      <c r="S4" s="598"/>
      <c r="T4" s="598"/>
      <c r="U4" s="598"/>
      <c r="V4" s="598"/>
      <c r="W4" s="598"/>
      <c r="X4" s="598"/>
      <c r="Y4" s="598"/>
      <c r="Z4" s="598"/>
      <c r="AA4" s="598"/>
      <c r="AB4" s="598"/>
      <c r="AC4" s="598"/>
      <c r="AD4" s="598"/>
      <c r="AE4" s="598"/>
      <c r="AF4" s="598"/>
      <c r="AG4" s="598"/>
      <c r="AH4" s="598"/>
      <c r="AI4" s="598"/>
      <c r="AJ4" s="598"/>
      <c r="AK4" s="598"/>
      <c r="AL4" s="448"/>
      <c r="AM4" s="449"/>
      <c r="AN4" s="449"/>
      <c r="BA4"/>
      <c r="BB4"/>
      <c r="BC4"/>
      <c r="BD4"/>
    </row>
    <row r="5" spans="1:56">
      <c r="H5" s="277"/>
      <c r="I5" s="278"/>
      <c r="J5" s="278"/>
      <c r="K5" s="278"/>
      <c r="BC5" s="278"/>
      <c r="BD5" s="278"/>
    </row>
    <row r="6" spans="1:56" ht="22.7" customHeight="1">
      <c r="A6" s="601" t="s">
        <v>8</v>
      </c>
      <c r="B6" s="600" t="s">
        <v>9</v>
      </c>
      <c r="C6" s="600" t="s">
        <v>5</v>
      </c>
      <c r="D6" s="600" t="s">
        <v>179</v>
      </c>
      <c r="E6" s="600" t="s">
        <v>180</v>
      </c>
      <c r="F6" s="600" t="s">
        <v>176</v>
      </c>
      <c r="G6" s="600" t="s">
        <v>175</v>
      </c>
      <c r="H6" s="600" t="s">
        <v>177</v>
      </c>
      <c r="I6" s="600" t="s">
        <v>178</v>
      </c>
      <c r="J6" s="604" t="s">
        <v>182</v>
      </c>
      <c r="K6" s="605"/>
      <c r="L6" s="608" t="s">
        <v>181</v>
      </c>
      <c r="M6" s="608"/>
      <c r="N6" s="608" t="s">
        <v>183</v>
      </c>
      <c r="O6" s="608"/>
      <c r="P6" s="610" t="s">
        <v>30</v>
      </c>
      <c r="Q6" s="610"/>
      <c r="R6" s="599" t="s">
        <v>23</v>
      </c>
      <c r="S6" s="599"/>
      <c r="T6" s="599" t="s">
        <v>31</v>
      </c>
      <c r="U6" s="599"/>
      <c r="V6" s="599"/>
      <c r="W6" s="599"/>
      <c r="X6" s="599"/>
      <c r="Y6" s="599"/>
      <c r="Z6" s="599" t="s">
        <v>32</v>
      </c>
      <c r="AA6" s="599"/>
      <c r="AB6" s="599"/>
      <c r="AC6" s="599"/>
      <c r="AD6" s="599"/>
      <c r="AE6" s="599"/>
      <c r="AF6" s="599" t="s">
        <v>33</v>
      </c>
      <c r="AG6" s="599"/>
      <c r="AH6" s="599"/>
      <c r="AI6" s="599"/>
      <c r="AJ6" s="599"/>
      <c r="AK6" s="599"/>
      <c r="BA6" s="608" t="s">
        <v>377</v>
      </c>
      <c r="BB6" s="608"/>
      <c r="BC6" s="604" t="s">
        <v>378</v>
      </c>
      <c r="BD6" s="605"/>
    </row>
    <row r="7" spans="1:56" ht="22.7" customHeight="1">
      <c r="A7" s="602"/>
      <c r="B7" s="600"/>
      <c r="C7" s="600"/>
      <c r="D7" s="600"/>
      <c r="E7" s="600"/>
      <c r="F7" s="600"/>
      <c r="G7" s="600"/>
      <c r="H7" s="600"/>
      <c r="I7" s="600"/>
      <c r="J7" s="606"/>
      <c r="K7" s="607"/>
      <c r="L7" s="608"/>
      <c r="M7" s="608"/>
      <c r="N7" s="608"/>
      <c r="O7" s="608"/>
      <c r="P7" s="610"/>
      <c r="Q7" s="610"/>
      <c r="R7" s="599"/>
      <c r="S7" s="599"/>
      <c r="T7" s="599" t="s">
        <v>36</v>
      </c>
      <c r="U7" s="599"/>
      <c r="V7" s="599" t="s">
        <v>34</v>
      </c>
      <c r="W7" s="599"/>
      <c r="X7" s="599" t="s">
        <v>35</v>
      </c>
      <c r="Y7" s="599"/>
      <c r="Z7" s="599" t="s">
        <v>36</v>
      </c>
      <c r="AA7" s="599"/>
      <c r="AB7" s="609" t="s">
        <v>34</v>
      </c>
      <c r="AC7" s="609"/>
      <c r="AD7" s="599" t="s">
        <v>35</v>
      </c>
      <c r="AE7" s="599"/>
      <c r="AF7" s="599" t="s">
        <v>36</v>
      </c>
      <c r="AG7" s="599"/>
      <c r="AH7" s="599" t="s">
        <v>26</v>
      </c>
      <c r="AI7" s="599"/>
      <c r="AJ7" s="599" t="s">
        <v>27</v>
      </c>
      <c r="AK7" s="599"/>
      <c r="AL7" s="616" t="s">
        <v>273</v>
      </c>
      <c r="AM7" s="617"/>
      <c r="AN7" s="617"/>
      <c r="AO7" s="618" t="s">
        <v>228</v>
      </c>
      <c r="AP7" s="475" t="s">
        <v>274</v>
      </c>
      <c r="AQ7" s="476" t="s">
        <v>135</v>
      </c>
      <c r="AR7" s="611" t="s">
        <v>275</v>
      </c>
      <c r="AS7" s="612"/>
      <c r="AT7" s="612"/>
      <c r="AU7" s="613" t="s">
        <v>276</v>
      </c>
      <c r="AV7" s="614"/>
      <c r="AW7" s="614"/>
      <c r="AX7" s="615" t="s">
        <v>289</v>
      </c>
      <c r="AY7" s="615"/>
      <c r="AZ7" s="615"/>
      <c r="BA7" s="608"/>
      <c r="BB7" s="608"/>
      <c r="BC7" s="606"/>
      <c r="BD7" s="607"/>
    </row>
    <row r="8" spans="1:56" s="1" customFormat="1">
      <c r="A8" s="603"/>
      <c r="B8" s="600"/>
      <c r="C8" s="600"/>
      <c r="D8" s="600"/>
      <c r="E8" s="600"/>
      <c r="F8" s="600"/>
      <c r="G8" s="600"/>
      <c r="H8" s="600"/>
      <c r="I8" s="600"/>
      <c r="J8" s="421" t="s">
        <v>37</v>
      </c>
      <c r="K8" s="419" t="s">
        <v>38</v>
      </c>
      <c r="L8" s="281" t="s">
        <v>37</v>
      </c>
      <c r="M8" s="282" t="s">
        <v>38</v>
      </c>
      <c r="N8" s="281" t="s">
        <v>37</v>
      </c>
      <c r="O8" s="282" t="s">
        <v>38</v>
      </c>
      <c r="P8" s="281" t="s">
        <v>37</v>
      </c>
      <c r="Q8" s="282" t="s">
        <v>38</v>
      </c>
      <c r="R8" s="281" t="s">
        <v>37</v>
      </c>
      <c r="S8" s="283" t="s">
        <v>38</v>
      </c>
      <c r="T8" s="286" t="s">
        <v>37</v>
      </c>
      <c r="U8" s="282" t="s">
        <v>38</v>
      </c>
      <c r="V8" s="287" t="s">
        <v>37</v>
      </c>
      <c r="W8" s="282" t="s">
        <v>38</v>
      </c>
      <c r="X8" s="287" t="s">
        <v>37</v>
      </c>
      <c r="Y8" s="282" t="s">
        <v>38</v>
      </c>
      <c r="Z8" s="284" t="s">
        <v>37</v>
      </c>
      <c r="AA8" s="283" t="s">
        <v>38</v>
      </c>
      <c r="AB8" s="285" t="s">
        <v>37</v>
      </c>
      <c r="AC8" s="288" t="s">
        <v>38</v>
      </c>
      <c r="AD8" s="284" t="s">
        <v>37</v>
      </c>
      <c r="AE8" s="288" t="s">
        <v>38</v>
      </c>
      <c r="AF8" s="284" t="s">
        <v>37</v>
      </c>
      <c r="AG8" s="283" t="s">
        <v>38</v>
      </c>
      <c r="AH8" s="285" t="s">
        <v>37</v>
      </c>
      <c r="AI8" s="288" t="s">
        <v>38</v>
      </c>
      <c r="AJ8" s="285" t="s">
        <v>37</v>
      </c>
      <c r="AK8" s="288" t="s">
        <v>38</v>
      </c>
      <c r="AL8" s="1">
        <v>14</v>
      </c>
      <c r="AM8" s="1">
        <v>15</v>
      </c>
      <c r="AN8" s="1">
        <v>17</v>
      </c>
      <c r="AO8" s="618"/>
      <c r="AP8" s="477" t="s">
        <v>277</v>
      </c>
      <c r="AQ8" s="478"/>
      <c r="AU8" s="1">
        <v>14</v>
      </c>
      <c r="AV8" s="1">
        <v>15</v>
      </c>
      <c r="AW8" s="1">
        <v>17</v>
      </c>
      <c r="AX8" s="1">
        <v>14</v>
      </c>
      <c r="AY8" s="1">
        <v>15</v>
      </c>
      <c r="AZ8" s="1">
        <v>17</v>
      </c>
      <c r="BA8" s="281" t="s">
        <v>37</v>
      </c>
      <c r="BB8" s="282" t="s">
        <v>38</v>
      </c>
      <c r="BC8" s="421" t="s">
        <v>37</v>
      </c>
      <c r="BD8" s="419" t="s">
        <v>38</v>
      </c>
    </row>
    <row r="9" spans="1:56" s="395" customFormat="1" ht="12.75" customHeight="1">
      <c r="A9" s="409">
        <v>45901</v>
      </c>
      <c r="B9" s="417" t="s">
        <v>7</v>
      </c>
      <c r="C9" s="396" t="s">
        <v>387</v>
      </c>
      <c r="D9" s="388">
        <f>+'1'!F42</f>
        <v>1230</v>
      </c>
      <c r="E9" s="388">
        <f>+'1'!G42</f>
        <v>947.0999999999998</v>
      </c>
      <c r="F9" s="46">
        <f t="shared" ref="F9:F38" si="0">1-(E9/D9)</f>
        <v>0.2300000000000002</v>
      </c>
      <c r="G9" s="413">
        <f>+P9/N9</f>
        <v>0.93239233773496288</v>
      </c>
      <c r="H9" s="410">
        <f>+P9/L9</f>
        <v>0.93239233773496288</v>
      </c>
      <c r="I9" s="410">
        <f>+R9/P9</f>
        <v>1.0356001597763129</v>
      </c>
      <c r="J9" s="414">
        <f>+R9/L9</f>
        <v>0.96558565393253748</v>
      </c>
      <c r="K9" s="414">
        <f>+S9/M9</f>
        <v>0.96558565393253748</v>
      </c>
      <c r="L9" s="389">
        <f>+Efficiency1!K6</f>
        <v>42.960455999999994</v>
      </c>
      <c r="M9" s="390">
        <f>L9</f>
        <v>42.960455999999994</v>
      </c>
      <c r="N9" s="389">
        <f>+Efficiency1!C6</f>
        <v>42.960455999999994</v>
      </c>
      <c r="O9" s="390">
        <f>N9</f>
        <v>42.960455999999994</v>
      </c>
      <c r="P9" s="390">
        <f>'1'!I38</f>
        <v>40.056000000000004</v>
      </c>
      <c r="Q9" s="390">
        <f>P9</f>
        <v>40.056000000000004</v>
      </c>
      <c r="R9" s="390">
        <f>'1'!I40</f>
        <v>41.481999999999999</v>
      </c>
      <c r="S9" s="390">
        <f>R9</f>
        <v>41.481999999999999</v>
      </c>
      <c r="T9" s="95">
        <f t="shared" ref="T9:T38" si="1">+AX9</f>
        <v>3426.7025538496359</v>
      </c>
      <c r="U9" s="289">
        <f>T9</f>
        <v>3426.7025538496359</v>
      </c>
      <c r="V9" s="289">
        <f>T9/P9</f>
        <v>85.547796930538141</v>
      </c>
      <c r="W9" s="289">
        <f>U9/Q9</f>
        <v>85.547796930538141</v>
      </c>
      <c r="X9" s="290">
        <f>IF(AND(R9&gt;0,T9&gt;0),(T9/(R9*1000))*1000,0)</f>
        <v>82.606975407396845</v>
      </c>
      <c r="Y9" s="289">
        <f>IF(AND(S9&gt;0,U9&gt;0),U9/S9,0)</f>
        <v>82.606975407396845</v>
      </c>
      <c r="Z9" s="392">
        <v>59</v>
      </c>
      <c r="AA9" s="393">
        <f>Z9</f>
        <v>59</v>
      </c>
      <c r="AB9" s="394">
        <f t="shared" ref="AB9:AB38" si="2">Z9/(P9)</f>
        <v>1.4729378869582583</v>
      </c>
      <c r="AC9" s="394">
        <f t="shared" ref="AC9:AC38" si="3">AA9/(Q9)</f>
        <v>1.4729378869582583</v>
      </c>
      <c r="AD9" s="389">
        <f t="shared" ref="AD9:AD38" si="4">IF(AND(R9&gt;0,Z9&gt;0),Z9/(R9),0)</f>
        <v>1.4223036497758064</v>
      </c>
      <c r="AE9" s="394">
        <f t="shared" ref="AE9:AE38" si="5">IF(AND(S9&gt;0,AA9&gt;0),AA9/(S9),0)</f>
        <v>1.4223036497758064</v>
      </c>
      <c r="AF9" s="393">
        <f>'1'!I46</f>
        <v>35377.000000001455</v>
      </c>
      <c r="AG9" s="393">
        <f>AF9</f>
        <v>35377.000000001455</v>
      </c>
      <c r="AH9" s="394">
        <f t="shared" ref="AH9:AH38" si="6">IF(AND(L9&gt;0,AF9&gt;0),(AF9/(P9*1000)*1000),0)</f>
        <v>883.18853604956678</v>
      </c>
      <c r="AI9" s="394">
        <f t="shared" ref="AI9:AI38" si="7">IF(AND(M9&gt;0,AG9&gt;0),(AG9/(Q9*1000)*1000),0)</f>
        <v>883.18853604956678</v>
      </c>
      <c r="AJ9" s="394">
        <f t="shared" ref="AJ9:AJ38" si="8">IF(AND(R9&gt;0,AF9&gt;0),(AF9/(R9*1000)*1000),0)</f>
        <v>852.82773251052163</v>
      </c>
      <c r="AK9" s="394">
        <f t="shared" ref="AK9:AK38" si="9">IF(AND(S9&gt;0,AG9&gt;0),(AG9/(S9*1000)*1000),0)</f>
        <v>852.82773251052163</v>
      </c>
      <c r="AL9" s="479">
        <v>3803</v>
      </c>
      <c r="AM9" s="480">
        <v>5530.7</v>
      </c>
      <c r="AN9" s="449">
        <v>3920.8</v>
      </c>
      <c r="AO9" s="449">
        <f>SUM(AL9:AN9)</f>
        <v>13254.5</v>
      </c>
      <c r="AP9" s="536">
        <f>+[1]Sept!N4</f>
        <v>11943</v>
      </c>
      <c r="AQ9" s="481">
        <f t="shared" ref="AQ9:AQ38" si="10">+AP9-AO9</f>
        <v>-1311.5</v>
      </c>
      <c r="AR9" s="452">
        <f t="shared" ref="AR9:AR37" si="11">+AL9/AO9</f>
        <v>0.28692142291297296</v>
      </c>
      <c r="AS9" s="452">
        <f t="shared" ref="AS9:AS37" si="12">+AM9/AO9</f>
        <v>0.41726960654871931</v>
      </c>
      <c r="AT9" s="452">
        <f>1-AR9-AS9</f>
        <v>0.29580897053830774</v>
      </c>
      <c r="AU9" s="452">
        <f>+AR9*AQ9</f>
        <v>-376.29744615036401</v>
      </c>
      <c r="AV9" s="452">
        <f>+AS9*AQ9</f>
        <v>-547.24908898864533</v>
      </c>
      <c r="AW9" s="452">
        <f>+AT9*AQ9</f>
        <v>-387.95346486099061</v>
      </c>
      <c r="AX9" s="395">
        <f t="shared" ref="AX9:AX37" si="13">+AL9+AU9</f>
        <v>3426.7025538496359</v>
      </c>
      <c r="AY9" s="395">
        <f t="shared" ref="AY9:AY37" si="14">+AM9+AV9</f>
        <v>4983.450911011354</v>
      </c>
      <c r="AZ9" s="395">
        <f t="shared" ref="AZ9:AZ37" si="15">+AN9+AW9</f>
        <v>3532.8465351390096</v>
      </c>
      <c r="BA9" s="389">
        <f>+Efficiency2!K6</f>
        <v>42.960455999999994</v>
      </c>
      <c r="BB9" s="390">
        <f>BA9</f>
        <v>42.960455999999994</v>
      </c>
      <c r="BC9" s="414">
        <f>+R9/BA9</f>
        <v>0.96558565393253748</v>
      </c>
      <c r="BD9" s="414">
        <f>+S9/BB9</f>
        <v>0.96558565393253748</v>
      </c>
    </row>
    <row r="10" spans="1:56" s="395" customFormat="1" ht="12.75" customHeight="1">
      <c r="A10" s="409">
        <f t="shared" ref="A10:A38" si="16">A9+1</f>
        <v>45902</v>
      </c>
      <c r="B10" s="417" t="s">
        <v>7</v>
      </c>
      <c r="C10" s="396" t="s">
        <v>434</v>
      </c>
      <c r="D10" s="388">
        <f>+'2'!F42</f>
        <v>1246.9618055555557</v>
      </c>
      <c r="E10" s="388">
        <f>+'2'!G42</f>
        <v>960.16059027777783</v>
      </c>
      <c r="F10" s="46">
        <f t="shared" si="0"/>
        <v>0.22999999999999998</v>
      </c>
      <c r="G10" s="413">
        <f t="shared" ref="G10:G41" si="17">+P10/N10</f>
        <v>0.9142751188203293</v>
      </c>
      <c r="H10" s="410">
        <f t="shared" ref="H10:H41" si="18">+P10/L10</f>
        <v>0.89729594009950409</v>
      </c>
      <c r="I10" s="410">
        <f t="shared" ref="I10:I41" si="19">+R10/P10</f>
        <v>0.82181922107615157</v>
      </c>
      <c r="J10" s="414">
        <f t="shared" ref="J10:J41" si="20">+R10/L10</f>
        <v>0.73741505056736756</v>
      </c>
      <c r="K10" s="414">
        <f t="shared" ref="K10:K38" si="21">+S10/M10</f>
        <v>0.85158808549660114</v>
      </c>
      <c r="L10" s="389">
        <f>+SUM(Efficiency1!K10:K11)</f>
        <v>42.894432349411758</v>
      </c>
      <c r="M10" s="390">
        <f t="shared" ref="M10:O38" si="22">M9+L10</f>
        <v>85.854888349411752</v>
      </c>
      <c r="N10" s="389">
        <f>+SUM(Efficiency1!C10:C11)</f>
        <v>42.097831612941171</v>
      </c>
      <c r="O10" s="390">
        <f t="shared" si="22"/>
        <v>85.058287612941172</v>
      </c>
      <c r="P10" s="390">
        <f>'2'!I38</f>
        <v>38.489000000000004</v>
      </c>
      <c r="Q10" s="390">
        <f t="shared" ref="Q10:Q38" si="23">Q9+P10</f>
        <v>78.545000000000016</v>
      </c>
      <c r="R10" s="390">
        <f>'2'!I40</f>
        <v>31.631</v>
      </c>
      <c r="S10" s="390">
        <f t="shared" ref="S10:S38" si="24">S9+R10</f>
        <v>73.113</v>
      </c>
      <c r="T10" s="95">
        <f t="shared" si="1"/>
        <v>3753.1046344250376</v>
      </c>
      <c r="U10" s="12">
        <f t="shared" ref="U10:U38" si="25">T10+U9</f>
        <v>7179.8071882746735</v>
      </c>
      <c r="V10" s="289">
        <f t="shared" ref="V10:V38" si="26">T10/P10</f>
        <v>97.511097571384994</v>
      </c>
      <c r="W10" s="289">
        <f t="shared" ref="W10:W38" si="27">U10/Q10</f>
        <v>91.410111251825981</v>
      </c>
      <c r="X10" s="290">
        <f t="shared" ref="X10:X38" si="28">IF(AND(R10&gt;0,T10&gt;0),(T10/(R10*1000))*1000,0)</f>
        <v>118.65273416664152</v>
      </c>
      <c r="Y10" s="289">
        <f t="shared" ref="Y10:Y38" si="29">IF(AND(S10&gt;0,U10&gt;0),U10/S10,0)</f>
        <v>98.201512566502174</v>
      </c>
      <c r="Z10" s="392">
        <v>58.8</v>
      </c>
      <c r="AA10" s="391">
        <f t="shared" ref="AA10:AA38" si="30">Z10+AA9</f>
        <v>117.8</v>
      </c>
      <c r="AB10" s="394">
        <f t="shared" si="2"/>
        <v>1.5277092156200471</v>
      </c>
      <c r="AC10" s="394">
        <f t="shared" si="3"/>
        <v>1.499777197784709</v>
      </c>
      <c r="AD10" s="389">
        <f t="shared" si="4"/>
        <v>1.8589358540672125</v>
      </c>
      <c r="AE10" s="394">
        <f t="shared" si="5"/>
        <v>1.6112045737420158</v>
      </c>
      <c r="AF10" s="393">
        <f>'2'!I46</f>
        <v>35412.299999998912</v>
      </c>
      <c r="AG10" s="391">
        <f t="shared" ref="AG10:AG38" si="31">AF10+AG9</f>
        <v>70789.300000000367</v>
      </c>
      <c r="AH10" s="394">
        <f t="shared" si="6"/>
        <v>920.06287510714503</v>
      </c>
      <c r="AI10" s="394">
        <f t="shared" si="7"/>
        <v>901.25787764975939</v>
      </c>
      <c r="AJ10" s="394">
        <f t="shared" si="8"/>
        <v>1119.5441181119443</v>
      </c>
      <c r="AK10" s="394">
        <f t="shared" si="9"/>
        <v>968.21769042441656</v>
      </c>
      <c r="AL10" s="448">
        <v>3950.8</v>
      </c>
      <c r="AM10" s="449">
        <v>5561</v>
      </c>
      <c r="AN10" s="449">
        <v>3965.6</v>
      </c>
      <c r="AO10" s="449">
        <f t="shared" ref="AO10:AO11" si="32">SUM(AL10:AN10)</f>
        <v>13477.4</v>
      </c>
      <c r="AP10" s="565">
        <f>+[1]Sept!N5</f>
        <v>12803</v>
      </c>
      <c r="AQ10" s="481">
        <f t="shared" si="10"/>
        <v>-674.39999999999964</v>
      </c>
      <c r="AR10" s="452">
        <f t="shared" si="11"/>
        <v>0.29314259426892431</v>
      </c>
      <c r="AS10" s="452">
        <f t="shared" si="12"/>
        <v>0.41261667680709929</v>
      </c>
      <c r="AT10" s="452">
        <f t="shared" ref="AT10:AT37" si="33">1-AR10-AS10</f>
        <v>0.2942407289239764</v>
      </c>
      <c r="AU10" s="452">
        <f t="shared" ref="AU10:AU37" si="34">+AR10*AQ10</f>
        <v>-197.69536557496244</v>
      </c>
      <c r="AV10" s="452">
        <f t="shared" ref="AV10:AV37" si="35">+AS10*AQ10</f>
        <v>-278.26868683870759</v>
      </c>
      <c r="AW10" s="452">
        <f>+AT10*AQ10</f>
        <v>-198.43594758632958</v>
      </c>
      <c r="AX10" s="395">
        <f t="shared" si="13"/>
        <v>3753.1046344250376</v>
      </c>
      <c r="AY10" s="395">
        <f t="shared" si="14"/>
        <v>5282.7313131612927</v>
      </c>
      <c r="AZ10" s="395">
        <f t="shared" si="15"/>
        <v>3767.1640524136701</v>
      </c>
      <c r="BA10" s="389">
        <f>+SUM(Efficiency2!K10:K11)</f>
        <v>42.894432349411758</v>
      </c>
      <c r="BB10" s="390">
        <f t="shared" ref="BB10:BB38" si="36">BB9+BA10</f>
        <v>85.854888349411752</v>
      </c>
      <c r="BC10" s="414">
        <f t="shared" ref="BC10:BC41" si="37">+R10/BA10</f>
        <v>0.73741505056736756</v>
      </c>
      <c r="BD10" s="414">
        <f t="shared" ref="BD10:BD38" si="38">+S10/BB10</f>
        <v>0.85158808549660114</v>
      </c>
    </row>
    <row r="11" spans="1:56" s="395" customFormat="1" ht="12.75" customHeight="1">
      <c r="A11" s="409">
        <f t="shared" si="16"/>
        <v>45903</v>
      </c>
      <c r="B11" s="417" t="s">
        <v>7</v>
      </c>
      <c r="C11" s="396" t="s">
        <v>454</v>
      </c>
      <c r="D11" s="388">
        <f>+'3'!F42</f>
        <v>1215.125</v>
      </c>
      <c r="E11" s="388">
        <f>+'3'!G42</f>
        <v>935.6462499999999</v>
      </c>
      <c r="F11" s="46">
        <f t="shared" si="0"/>
        <v>0.23000000000000009</v>
      </c>
      <c r="G11" s="413">
        <f t="shared" si="17"/>
        <v>0.91546860009757991</v>
      </c>
      <c r="H11" s="410">
        <f>+P11/L11</f>
        <v>0.90299749324507095</v>
      </c>
      <c r="I11" s="410">
        <f t="shared" si="19"/>
        <v>0.83188322239111057</v>
      </c>
      <c r="J11" s="414">
        <f t="shared" si="20"/>
        <v>0.75118846449180465</v>
      </c>
      <c r="K11" s="414">
        <f t="shared" si="21"/>
        <v>0.81847180376833528</v>
      </c>
      <c r="L11" s="389">
        <f>+SUM(Efficiency1!K14:K15)</f>
        <v>42.257038680000001</v>
      </c>
      <c r="M11" s="390">
        <f t="shared" si="22"/>
        <v>128.11192702941176</v>
      </c>
      <c r="N11" s="389">
        <f>+SUM(Efficiency1!C14:C15)</f>
        <v>41.681385899999995</v>
      </c>
      <c r="O11" s="390">
        <f t="shared" si="22"/>
        <v>126.73967351294117</v>
      </c>
      <c r="P11" s="390">
        <f>'3'!I38</f>
        <v>38.158000000000001</v>
      </c>
      <c r="Q11" s="390">
        <f t="shared" si="23"/>
        <v>116.70300000000002</v>
      </c>
      <c r="R11" s="390">
        <f>'3'!I40</f>
        <v>31.742999999999999</v>
      </c>
      <c r="S11" s="390">
        <f t="shared" si="24"/>
        <v>104.85599999999999</v>
      </c>
      <c r="T11" s="95">
        <f t="shared" si="1"/>
        <v>3801.134578235673</v>
      </c>
      <c r="U11" s="12">
        <f t="shared" si="25"/>
        <v>10980.941766510346</v>
      </c>
      <c r="V11" s="289">
        <f t="shared" si="26"/>
        <v>99.615665869166961</v>
      </c>
      <c r="W11" s="289">
        <f t="shared" si="27"/>
        <v>94.093054733043232</v>
      </c>
      <c r="X11" s="290">
        <f t="shared" si="28"/>
        <v>119.74717506964285</v>
      </c>
      <c r="Y11" s="289">
        <f t="shared" si="29"/>
        <v>104.72401928845605</v>
      </c>
      <c r="Z11" s="392">
        <v>55.3</v>
      </c>
      <c r="AA11" s="391">
        <f t="shared" si="30"/>
        <v>173.1</v>
      </c>
      <c r="AB11" s="394">
        <f t="shared" si="2"/>
        <v>1.4492373814141202</v>
      </c>
      <c r="AC11" s="394">
        <f t="shared" si="3"/>
        <v>1.4832523585511939</v>
      </c>
      <c r="AD11" s="389">
        <f t="shared" si="4"/>
        <v>1.7421163721135369</v>
      </c>
      <c r="AE11" s="394">
        <f t="shared" si="5"/>
        <v>1.6508354314488443</v>
      </c>
      <c r="AF11" s="393">
        <f>'3'!I46</f>
        <v>33620.099999999635</v>
      </c>
      <c r="AG11" s="391">
        <f t="shared" si="31"/>
        <v>104409.4</v>
      </c>
      <c r="AH11" s="394">
        <f t="shared" si="6"/>
        <v>881.07605220398432</v>
      </c>
      <c r="AI11" s="394">
        <f t="shared" si="7"/>
        <v>894.65909188281341</v>
      </c>
      <c r="AJ11" s="394">
        <f t="shared" si="8"/>
        <v>1059.1342973253829</v>
      </c>
      <c r="AK11" s="394">
        <f t="shared" si="9"/>
        <v>995.74082551308447</v>
      </c>
      <c r="AL11" s="448">
        <v>3893</v>
      </c>
      <c r="AM11" s="449">
        <v>5447.5</v>
      </c>
      <c r="AN11" s="449">
        <v>3860</v>
      </c>
      <c r="AO11" s="449">
        <f t="shared" si="32"/>
        <v>13200.5</v>
      </c>
      <c r="AP11" s="568">
        <f>+[1]Sept!N6</f>
        <v>12889</v>
      </c>
      <c r="AQ11" s="481">
        <f t="shared" si="10"/>
        <v>-311.5</v>
      </c>
      <c r="AR11" s="452">
        <f t="shared" si="11"/>
        <v>0.29491307147456536</v>
      </c>
      <c r="AS11" s="452">
        <f t="shared" si="12"/>
        <v>0.41267376235748648</v>
      </c>
      <c r="AT11" s="452">
        <f t="shared" si="33"/>
        <v>0.29241316616794816</v>
      </c>
      <c r="AU11" s="452">
        <f t="shared" si="34"/>
        <v>-91.86542176432711</v>
      </c>
      <c r="AV11" s="452">
        <f t="shared" si="35"/>
        <v>-128.54787697435705</v>
      </c>
      <c r="AW11" s="452">
        <f t="shared" ref="AW11:AW37" si="39">+AT11*AQ11</f>
        <v>-91.086701261315852</v>
      </c>
      <c r="AX11" s="395">
        <f t="shared" si="13"/>
        <v>3801.134578235673</v>
      </c>
      <c r="AY11" s="395">
        <f t="shared" si="14"/>
        <v>5318.9521230256432</v>
      </c>
      <c r="AZ11" s="395">
        <f t="shared" si="15"/>
        <v>3768.9132987386843</v>
      </c>
      <c r="BA11" s="389">
        <f>+SUM(Efficiency2!K14:K15)</f>
        <v>42.257038680000001</v>
      </c>
      <c r="BB11" s="390">
        <f t="shared" si="36"/>
        <v>128.11192702941176</v>
      </c>
      <c r="BC11" s="414">
        <f t="shared" si="37"/>
        <v>0.75118846449180465</v>
      </c>
      <c r="BD11" s="414">
        <f t="shared" si="38"/>
        <v>0.81847180376833528</v>
      </c>
    </row>
    <row r="12" spans="1:56" s="395" customFormat="1" ht="12.75" customHeight="1">
      <c r="A12" s="409">
        <f t="shared" si="16"/>
        <v>45904</v>
      </c>
      <c r="B12" s="417" t="s">
        <v>7</v>
      </c>
      <c r="C12" s="396" t="s">
        <v>469</v>
      </c>
      <c r="D12" s="388">
        <f>+'4'!F42</f>
        <v>1223.9513888888889</v>
      </c>
      <c r="E12" s="388">
        <f>+'4'!G42</f>
        <v>924.53451388888891</v>
      </c>
      <c r="F12" s="46">
        <f t="shared" si="0"/>
        <v>0.24463134542607334</v>
      </c>
      <c r="G12" s="413">
        <f t="shared" si="17"/>
        <v>0.95909033624695494</v>
      </c>
      <c r="H12" s="410">
        <f t="shared" si="18"/>
        <v>0.95464607730466966</v>
      </c>
      <c r="I12" s="410">
        <f t="shared" si="19"/>
        <v>0.97801299013711807</v>
      </c>
      <c r="J12" s="414">
        <f t="shared" si="20"/>
        <v>0.93365626458741036</v>
      </c>
      <c r="K12" s="414">
        <f t="shared" si="21"/>
        <v>0.84769114097064213</v>
      </c>
      <c r="L12" s="389">
        <f>+SUM(Efficiency1!K18:K19)</f>
        <v>43.544933549999996</v>
      </c>
      <c r="M12" s="390">
        <f t="shared" si="22"/>
        <v>171.65686057941176</v>
      </c>
      <c r="N12" s="389">
        <f>+SUM(Efficiency1!C18:C19)</f>
        <v>43.34315385</v>
      </c>
      <c r="O12" s="390">
        <f t="shared" si="22"/>
        <v>170.08282736294117</v>
      </c>
      <c r="P12" s="390">
        <f>'4'!I38</f>
        <v>41.57</v>
      </c>
      <c r="Q12" s="390">
        <f t="shared" si="23"/>
        <v>158.27300000000002</v>
      </c>
      <c r="R12" s="390">
        <f>'4'!I40</f>
        <v>40.655999999999999</v>
      </c>
      <c r="S12" s="390">
        <f t="shared" si="24"/>
        <v>145.512</v>
      </c>
      <c r="T12" s="95">
        <f t="shared" si="1"/>
        <v>3768.5010450991913</v>
      </c>
      <c r="U12" s="12">
        <f t="shared" si="25"/>
        <v>14749.442811609537</v>
      </c>
      <c r="V12" s="289">
        <f t="shared" si="26"/>
        <v>90.654343158508325</v>
      </c>
      <c r="W12" s="289">
        <f t="shared" si="27"/>
        <v>93.189885903530822</v>
      </c>
      <c r="X12" s="290">
        <f t="shared" si="28"/>
        <v>92.692371239157595</v>
      </c>
      <c r="Y12" s="289">
        <f t="shared" si="29"/>
        <v>101.36238118924581</v>
      </c>
      <c r="Z12" s="392">
        <v>59.7</v>
      </c>
      <c r="AA12" s="391">
        <f t="shared" si="30"/>
        <v>232.8</v>
      </c>
      <c r="AB12" s="394">
        <f t="shared" si="2"/>
        <v>1.4361318258359395</v>
      </c>
      <c r="AC12" s="394">
        <f t="shared" si="3"/>
        <v>1.4708762707473795</v>
      </c>
      <c r="AD12" s="389">
        <f t="shared" si="4"/>
        <v>1.468417945690673</v>
      </c>
      <c r="AE12" s="394">
        <f t="shared" si="5"/>
        <v>1.5998680521194129</v>
      </c>
      <c r="AF12" s="393">
        <f>'4'!I46</f>
        <v>37489.92000000109</v>
      </c>
      <c r="AG12" s="391">
        <f t="shared" si="31"/>
        <v>141899.32000000108</v>
      </c>
      <c r="AH12" s="394">
        <f t="shared" si="6"/>
        <v>901.85037286507304</v>
      </c>
      <c r="AI12" s="394">
        <f t="shared" si="7"/>
        <v>896.54786350167785</v>
      </c>
      <c r="AJ12" s="394">
        <f t="shared" si="8"/>
        <v>922.12514757971985</v>
      </c>
      <c r="AK12" s="394">
        <f t="shared" si="9"/>
        <v>975.17263181044234</v>
      </c>
      <c r="AL12" s="448">
        <v>3950.3</v>
      </c>
      <c r="AM12" s="449">
        <v>5547.2</v>
      </c>
      <c r="AN12" s="449">
        <v>3946.2</v>
      </c>
      <c r="AO12" s="449">
        <f>SUM(AL12:AN12)</f>
        <v>13443.7</v>
      </c>
      <c r="AP12" s="569">
        <f>+[1]Sept!N7</f>
        <v>12825</v>
      </c>
      <c r="AQ12" s="481">
        <f t="shared" si="10"/>
        <v>-618.70000000000073</v>
      </c>
      <c r="AR12" s="452">
        <f t="shared" si="11"/>
        <v>0.29384023743463483</v>
      </c>
      <c r="AS12" s="452">
        <f t="shared" si="12"/>
        <v>0.412624500695493</v>
      </c>
      <c r="AT12" s="452">
        <f t="shared" si="33"/>
        <v>0.29353526186987217</v>
      </c>
      <c r="AU12" s="452">
        <f t="shared" si="34"/>
        <v>-181.79895490080878</v>
      </c>
      <c r="AV12" s="452">
        <f t="shared" si="35"/>
        <v>-255.29077858030183</v>
      </c>
      <c r="AW12" s="452">
        <f t="shared" si="39"/>
        <v>-181.61026651889011</v>
      </c>
      <c r="AX12" s="395">
        <f t="shared" si="13"/>
        <v>3768.5010450991913</v>
      </c>
      <c r="AY12" s="395">
        <f t="shared" si="14"/>
        <v>5291.909221419698</v>
      </c>
      <c r="AZ12" s="395">
        <f t="shared" si="15"/>
        <v>3764.5897334811098</v>
      </c>
      <c r="BA12" s="389">
        <f>+SUM(Efficiency2!K18:K19)</f>
        <v>43.544933549999996</v>
      </c>
      <c r="BB12" s="390">
        <f t="shared" si="36"/>
        <v>171.65686057941176</v>
      </c>
      <c r="BC12" s="414">
        <f t="shared" si="37"/>
        <v>0.93365626458741036</v>
      </c>
      <c r="BD12" s="414">
        <f t="shared" si="38"/>
        <v>0.84769114097064213</v>
      </c>
    </row>
    <row r="13" spans="1:56" s="395" customFormat="1" ht="12.75" customHeight="1">
      <c r="A13" s="409">
        <f t="shared" si="16"/>
        <v>45905</v>
      </c>
      <c r="B13" s="417" t="s">
        <v>7</v>
      </c>
      <c r="C13" s="396" t="s">
        <v>468</v>
      </c>
      <c r="D13" s="388">
        <f>+'5'!F42</f>
        <v>1230</v>
      </c>
      <c r="E13" s="388">
        <f>+'5'!G42</f>
        <v>922.5</v>
      </c>
      <c r="F13" s="46">
        <f t="shared" si="0"/>
        <v>0.25</v>
      </c>
      <c r="G13" s="413">
        <f t="shared" si="17"/>
        <v>0.95901711331928141</v>
      </c>
      <c r="H13" s="410">
        <f t="shared" si="18"/>
        <v>0.95901711331928141</v>
      </c>
      <c r="I13" s="410">
        <f t="shared" si="19"/>
        <v>0.9723163181871276</v>
      </c>
      <c r="J13" s="414">
        <f t="shared" si="20"/>
        <v>0.93246798870105096</v>
      </c>
      <c r="K13" s="414">
        <f t="shared" si="21"/>
        <v>0.86518585137669168</v>
      </c>
      <c r="L13" s="389">
        <f>+Efficiency1!K22</f>
        <v>44.634239999999998</v>
      </c>
      <c r="M13" s="390">
        <f t="shared" si="22"/>
        <v>216.29110057941176</v>
      </c>
      <c r="N13" s="389">
        <f>+Efficiency1!C22</f>
        <v>44.634239999999998</v>
      </c>
      <c r="O13" s="390">
        <f t="shared" si="22"/>
        <v>214.71706736294118</v>
      </c>
      <c r="P13" s="390">
        <f>'5'!I38</f>
        <v>42.805</v>
      </c>
      <c r="Q13" s="390">
        <f t="shared" si="23"/>
        <v>201.07800000000003</v>
      </c>
      <c r="R13" s="390">
        <f>'5'!I40</f>
        <v>41.62</v>
      </c>
      <c r="S13" s="390">
        <f t="shared" si="24"/>
        <v>187.13200000000001</v>
      </c>
      <c r="T13" s="95">
        <f t="shared" si="1"/>
        <v>3742.2735549144122</v>
      </c>
      <c r="U13" s="12">
        <f t="shared" si="25"/>
        <v>18491.71636652395</v>
      </c>
      <c r="V13" s="289">
        <f t="shared" si="26"/>
        <v>87.426084684368931</v>
      </c>
      <c r="W13" s="289">
        <f t="shared" si="27"/>
        <v>91.962901791961059</v>
      </c>
      <c r="X13" s="290">
        <f t="shared" si="28"/>
        <v>89.915270420817208</v>
      </c>
      <c r="Y13" s="289">
        <f t="shared" si="29"/>
        <v>98.816431003377019</v>
      </c>
      <c r="Z13" s="392">
        <v>60.9</v>
      </c>
      <c r="AA13" s="391">
        <f t="shared" si="30"/>
        <v>293.7</v>
      </c>
      <c r="AB13" s="394">
        <f t="shared" si="2"/>
        <v>1.4227309893704005</v>
      </c>
      <c r="AC13" s="394">
        <f t="shared" si="3"/>
        <v>1.4606272192880372</v>
      </c>
      <c r="AD13" s="389">
        <f t="shared" si="4"/>
        <v>1.4632388274867854</v>
      </c>
      <c r="AE13" s="394">
        <f t="shared" si="5"/>
        <v>1.5694803667999058</v>
      </c>
      <c r="AF13" s="393">
        <f>'5'!I46</f>
        <v>34099.459999999635</v>
      </c>
      <c r="AG13" s="391">
        <f t="shared" si="31"/>
        <v>175998.78000000073</v>
      </c>
      <c r="AH13" s="394">
        <f t="shared" si="6"/>
        <v>796.62329167152518</v>
      </c>
      <c r="AI13" s="394">
        <f t="shared" si="7"/>
        <v>875.27616148957463</v>
      </c>
      <c r="AJ13" s="394">
        <f t="shared" si="8"/>
        <v>819.30466122055827</v>
      </c>
      <c r="AK13" s="394">
        <f t="shared" si="9"/>
        <v>940.50605989355495</v>
      </c>
      <c r="AL13" s="448">
        <v>3929.6</v>
      </c>
      <c r="AM13" s="449">
        <v>5566.6</v>
      </c>
      <c r="AN13" s="449">
        <v>3432.1</v>
      </c>
      <c r="AO13" s="449">
        <f t="shared" ref="AO13:AO38" si="40">SUM(AL13:AN13)</f>
        <v>12928.300000000001</v>
      </c>
      <c r="AP13" s="569">
        <f>+[1]Sept!N8</f>
        <v>12312</v>
      </c>
      <c r="AQ13" s="481">
        <f t="shared" si="10"/>
        <v>-616.30000000000109</v>
      </c>
      <c r="AR13" s="452">
        <f t="shared" si="11"/>
        <v>0.30395334266686258</v>
      </c>
      <c r="AS13" s="452">
        <f t="shared" si="12"/>
        <v>0.4305747855479839</v>
      </c>
      <c r="AT13" s="452">
        <f t="shared" si="33"/>
        <v>0.26547187178515352</v>
      </c>
      <c r="AU13" s="452">
        <f t="shared" si="34"/>
        <v>-187.32644508558775</v>
      </c>
      <c r="AV13" s="452">
        <f t="shared" si="35"/>
        <v>-265.36324033322296</v>
      </c>
      <c r="AW13" s="452">
        <f t="shared" si="39"/>
        <v>-163.61031458119041</v>
      </c>
      <c r="AX13" s="395">
        <f t="shared" si="13"/>
        <v>3742.2735549144122</v>
      </c>
      <c r="AY13" s="395">
        <f t="shared" si="14"/>
        <v>5301.2367596667773</v>
      </c>
      <c r="AZ13" s="395">
        <f t="shared" si="15"/>
        <v>3268.4896854188096</v>
      </c>
      <c r="BA13" s="389">
        <f>+Efficiency2!K22</f>
        <v>44.634239999999998</v>
      </c>
      <c r="BB13" s="390">
        <f t="shared" si="36"/>
        <v>216.29110057941176</v>
      </c>
      <c r="BC13" s="414">
        <f t="shared" si="37"/>
        <v>0.93246798870105096</v>
      </c>
      <c r="BD13" s="414">
        <f t="shared" si="38"/>
        <v>0.86518585137669168</v>
      </c>
    </row>
    <row r="14" spans="1:56" s="395" customFormat="1" ht="12.75" customHeight="1">
      <c r="A14" s="409">
        <f t="shared" si="16"/>
        <v>45906</v>
      </c>
      <c r="B14" s="417" t="s">
        <v>7</v>
      </c>
      <c r="C14" s="396" t="s">
        <v>468</v>
      </c>
      <c r="D14" s="388">
        <f>+'6'!F42</f>
        <v>1191.2432432432433</v>
      </c>
      <c r="E14" s="388">
        <f>+'6'!G42</f>
        <v>893.43243243243239</v>
      </c>
      <c r="F14" s="46">
        <f t="shared" si="0"/>
        <v>0.25000000000000011</v>
      </c>
      <c r="G14" s="413">
        <f t="shared" si="17"/>
        <v>0.61253423380794658</v>
      </c>
      <c r="H14" s="410">
        <f t="shared" si="18"/>
        <v>0.61253423380794658</v>
      </c>
      <c r="I14" s="410">
        <f t="shared" si="19"/>
        <v>0.82765179224579377</v>
      </c>
      <c r="J14" s="414">
        <f t="shared" si="20"/>
        <v>0.50696505642305101</v>
      </c>
      <c r="K14" s="414">
        <f t="shared" si="21"/>
        <v>0.80390811997871192</v>
      </c>
      <c r="L14" s="389">
        <f>+Efficiency1!K26</f>
        <v>44.634239999999998</v>
      </c>
      <c r="M14" s="390">
        <f t="shared" si="22"/>
        <v>260.92534057941174</v>
      </c>
      <c r="N14" s="389">
        <f>+Efficiency1!C26</f>
        <v>44.634239999999998</v>
      </c>
      <c r="O14" s="390">
        <f t="shared" si="22"/>
        <v>259.35130736294116</v>
      </c>
      <c r="P14" s="390">
        <f>'6'!I38</f>
        <v>27.34</v>
      </c>
      <c r="Q14" s="390">
        <f t="shared" si="23"/>
        <v>228.41800000000003</v>
      </c>
      <c r="R14" s="390">
        <f>'6'!I40</f>
        <v>22.628</v>
      </c>
      <c r="S14" s="390">
        <f t="shared" si="24"/>
        <v>209.76</v>
      </c>
      <c r="T14" s="95">
        <f t="shared" si="1"/>
        <v>2573.5487363287029</v>
      </c>
      <c r="U14" s="12">
        <f t="shared" si="25"/>
        <v>21065.265102852652</v>
      </c>
      <c r="V14" s="289">
        <f t="shared" si="26"/>
        <v>94.131263216119351</v>
      </c>
      <c r="W14" s="289">
        <f t="shared" si="27"/>
        <v>92.222439137251214</v>
      </c>
      <c r="X14" s="290">
        <f t="shared" si="28"/>
        <v>113.73292983598651</v>
      </c>
      <c r="Y14" s="289">
        <f t="shared" si="29"/>
        <v>100.42555827065529</v>
      </c>
      <c r="Z14" s="392">
        <v>45.5</v>
      </c>
      <c r="AA14" s="391">
        <f t="shared" si="30"/>
        <v>339.2</v>
      </c>
      <c r="AB14" s="394">
        <f t="shared" si="2"/>
        <v>1.664228237015362</v>
      </c>
      <c r="AC14" s="394">
        <f t="shared" si="3"/>
        <v>1.484996804104755</v>
      </c>
      <c r="AD14" s="389">
        <f t="shared" si="4"/>
        <v>2.0107831005833479</v>
      </c>
      <c r="AE14" s="394">
        <f t="shared" si="5"/>
        <v>1.6170861937452328</v>
      </c>
      <c r="AF14" s="393">
        <f>'6'!I46</f>
        <v>23766.2</v>
      </c>
      <c r="AG14" s="391">
        <f t="shared" si="31"/>
        <v>199764.98000000074</v>
      </c>
      <c r="AH14" s="394">
        <f t="shared" si="6"/>
        <v>869.28310168251642</v>
      </c>
      <c r="AI14" s="394">
        <f t="shared" si="7"/>
        <v>874.5588351180761</v>
      </c>
      <c r="AJ14" s="394">
        <f t="shared" si="8"/>
        <v>1050.3005126392079</v>
      </c>
      <c r="AK14" s="394">
        <f t="shared" si="9"/>
        <v>952.35020976354281</v>
      </c>
      <c r="AL14" s="448">
        <v>2705.4</v>
      </c>
      <c r="AM14" s="449">
        <v>4755.3999999999996</v>
      </c>
      <c r="AN14" s="449">
        <v>3364.8</v>
      </c>
      <c r="AO14" s="449">
        <f t="shared" si="40"/>
        <v>10825.599999999999</v>
      </c>
      <c r="AP14" s="571">
        <f>+[1]Sept!N9</f>
        <v>10298</v>
      </c>
      <c r="AQ14" s="481">
        <f t="shared" si="10"/>
        <v>-527.59999999999854</v>
      </c>
      <c r="AR14" s="452">
        <f t="shared" si="11"/>
        <v>0.24990762636712982</v>
      </c>
      <c r="AS14" s="452">
        <f t="shared" si="12"/>
        <v>0.43927357375110848</v>
      </c>
      <c r="AT14" s="452">
        <f>1-AR14-AS14</f>
        <v>0.3108187998817617</v>
      </c>
      <c r="AU14" s="452">
        <f t="shared" si="34"/>
        <v>-131.85126367129732</v>
      </c>
      <c r="AV14" s="452">
        <f t="shared" si="35"/>
        <v>-231.76073751108419</v>
      </c>
      <c r="AW14" s="452">
        <f t="shared" si="39"/>
        <v>-163.98799881761701</v>
      </c>
      <c r="AX14" s="395">
        <f t="shared" si="13"/>
        <v>2573.5487363287029</v>
      </c>
      <c r="AY14" s="395">
        <f t="shared" si="14"/>
        <v>4523.6392624889158</v>
      </c>
      <c r="AZ14" s="395">
        <f t="shared" si="15"/>
        <v>3200.812001182383</v>
      </c>
      <c r="BA14" s="389">
        <f>+Efficiency2!K26</f>
        <v>44.634239999999998</v>
      </c>
      <c r="BB14" s="390">
        <f t="shared" si="36"/>
        <v>260.92534057941174</v>
      </c>
      <c r="BC14" s="414">
        <f t="shared" si="37"/>
        <v>0.50696505642305101</v>
      </c>
      <c r="BD14" s="414">
        <f t="shared" si="38"/>
        <v>0.80390811997871192</v>
      </c>
    </row>
    <row r="15" spans="1:56" s="395" customFormat="1" ht="12.75" customHeight="1">
      <c r="A15" s="409">
        <f t="shared" si="16"/>
        <v>45907</v>
      </c>
      <c r="B15" s="417" t="s">
        <v>490</v>
      </c>
      <c r="C15" s="396" t="s">
        <v>491</v>
      </c>
      <c r="D15" s="388">
        <f>+'7'!F42</f>
        <v>1222.6415094339623</v>
      </c>
      <c r="E15" s="388">
        <f>+'7'!G42</f>
        <v>936.79245283018872</v>
      </c>
      <c r="F15" s="46">
        <f t="shared" si="0"/>
        <v>0.23379629629629628</v>
      </c>
      <c r="G15" s="413">
        <f t="shared" si="17"/>
        <v>0.84512180420608984</v>
      </c>
      <c r="H15" s="410">
        <f t="shared" si="18"/>
        <v>0.83994169509872418</v>
      </c>
      <c r="I15" s="410">
        <f t="shared" si="19"/>
        <v>0.98752741620519635</v>
      </c>
      <c r="J15" s="414">
        <f t="shared" si="20"/>
        <v>0.8294654519238559</v>
      </c>
      <c r="K15" s="414">
        <f t="shared" si="21"/>
        <v>0.80742101416242806</v>
      </c>
      <c r="L15" s="389">
        <f>+SUM(Efficiency1!K31:K33)</f>
        <v>41.579790839999994</v>
      </c>
      <c r="M15" s="390">
        <f t="shared" si="22"/>
        <v>302.50513141941173</v>
      </c>
      <c r="N15" s="389">
        <f>+SUM(Efficiency1!C31:C33)</f>
        <v>41.324930709613248</v>
      </c>
      <c r="O15" s="390">
        <f t="shared" si="22"/>
        <v>300.67623807255438</v>
      </c>
      <c r="P15" s="390">
        <f>'7'!I38</f>
        <v>34.924599999999998</v>
      </c>
      <c r="Q15" s="390">
        <f t="shared" si="23"/>
        <v>263.34260000000006</v>
      </c>
      <c r="R15" s="390">
        <f>'7'!I40</f>
        <v>34.488999999999997</v>
      </c>
      <c r="S15" s="390">
        <f t="shared" si="24"/>
        <v>244.249</v>
      </c>
      <c r="T15" s="95">
        <f t="shared" si="1"/>
        <v>3180.2114622037657</v>
      </c>
      <c r="U15" s="12">
        <f t="shared" si="25"/>
        <v>24245.476565056419</v>
      </c>
      <c r="V15" s="289">
        <f t="shared" si="26"/>
        <v>91.059352496628904</v>
      </c>
      <c r="W15" s="289">
        <f t="shared" si="27"/>
        <v>92.06819012592878</v>
      </c>
      <c r="X15" s="290">
        <f t="shared" si="28"/>
        <v>92.209442494817651</v>
      </c>
      <c r="Y15" s="289">
        <f t="shared" si="29"/>
        <v>99.265407698931909</v>
      </c>
      <c r="Z15" s="392">
        <v>55.1</v>
      </c>
      <c r="AA15" s="391">
        <f t="shared" si="30"/>
        <v>394.3</v>
      </c>
      <c r="AB15" s="394">
        <f t="shared" si="2"/>
        <v>1.5776844974602431</v>
      </c>
      <c r="AC15" s="394">
        <f t="shared" si="3"/>
        <v>1.4972890827386072</v>
      </c>
      <c r="AD15" s="389">
        <f t="shared" si="4"/>
        <v>1.5976108324393286</v>
      </c>
      <c r="AE15" s="394">
        <f t="shared" si="5"/>
        <v>1.6143361897080439</v>
      </c>
      <c r="AF15" s="393">
        <f>'7'!I46</f>
        <v>35925.579999999274</v>
      </c>
      <c r="AG15" s="391">
        <f t="shared" si="31"/>
        <v>235690.56</v>
      </c>
      <c r="AH15" s="394">
        <f t="shared" si="6"/>
        <v>1028.6611729267986</v>
      </c>
      <c r="AI15" s="394">
        <f t="shared" si="7"/>
        <v>894.99594824384644</v>
      </c>
      <c r="AJ15" s="394">
        <f t="shared" si="8"/>
        <v>1041.6532807561621</v>
      </c>
      <c r="AK15" s="394">
        <f t="shared" si="9"/>
        <v>964.96018407444865</v>
      </c>
      <c r="AL15" s="448">
        <v>3489</v>
      </c>
      <c r="AM15" s="449">
        <v>5166.8999999999996</v>
      </c>
      <c r="AN15" s="449">
        <v>4154.8999999999996</v>
      </c>
      <c r="AO15" s="449">
        <f t="shared" si="40"/>
        <v>12810.8</v>
      </c>
      <c r="AP15" s="571">
        <f>+[1]Sept!N10</f>
        <v>11677</v>
      </c>
      <c r="AQ15" s="481">
        <f t="shared" si="10"/>
        <v>-1133.7999999999993</v>
      </c>
      <c r="AR15" s="452">
        <f t="shared" si="11"/>
        <v>0.27234833109563805</v>
      </c>
      <c r="AS15" s="452">
        <f t="shared" si="12"/>
        <v>0.40332375807912074</v>
      </c>
      <c r="AT15" s="452">
        <f>1-AR15-AS15</f>
        <v>0.32432791082524121</v>
      </c>
      <c r="AU15" s="452">
        <f t="shared" si="34"/>
        <v>-308.78853779623421</v>
      </c>
      <c r="AV15" s="452">
        <f t="shared" si="35"/>
        <v>-457.28847691010679</v>
      </c>
      <c r="AW15" s="452">
        <f t="shared" si="39"/>
        <v>-367.72298529365827</v>
      </c>
      <c r="AX15" s="395">
        <f t="shared" si="13"/>
        <v>3180.2114622037657</v>
      </c>
      <c r="AY15" s="395">
        <f t="shared" si="14"/>
        <v>4709.6115230898931</v>
      </c>
      <c r="AZ15" s="395">
        <f t="shared" si="15"/>
        <v>3787.1770147063412</v>
      </c>
      <c r="BA15" s="389">
        <f>+SUM(Efficiency2!K31:K33)</f>
        <v>41.579790839999994</v>
      </c>
      <c r="BB15" s="390">
        <f t="shared" si="36"/>
        <v>302.50513141941173</v>
      </c>
      <c r="BC15" s="414">
        <f t="shared" si="37"/>
        <v>0.8294654519238559</v>
      </c>
      <c r="BD15" s="414">
        <f t="shared" si="38"/>
        <v>0.80742101416242806</v>
      </c>
    </row>
    <row r="16" spans="1:56" s="395" customFormat="1" ht="12.75" customHeight="1">
      <c r="A16" s="409">
        <f t="shared" si="16"/>
        <v>45908</v>
      </c>
      <c r="B16" s="417" t="s">
        <v>424</v>
      </c>
      <c r="C16" s="396" t="s">
        <v>387</v>
      </c>
      <c r="D16" s="388">
        <f>+'8'!F42</f>
        <v>0</v>
      </c>
      <c r="E16" s="388">
        <f>+'8'!G42</f>
        <v>0</v>
      </c>
      <c r="F16" s="46" t="e">
        <f t="shared" si="0"/>
        <v>#DIV/0!</v>
      </c>
      <c r="G16" s="413">
        <f t="shared" si="17"/>
        <v>0</v>
      </c>
      <c r="H16" s="410">
        <f t="shared" si="18"/>
        <v>0</v>
      </c>
      <c r="I16" s="410" t="e">
        <f t="shared" si="19"/>
        <v>#DIV/0!</v>
      </c>
      <c r="J16" s="414">
        <f t="shared" si="20"/>
        <v>0</v>
      </c>
      <c r="K16" s="414">
        <f t="shared" si="21"/>
        <v>0.71088685189563416</v>
      </c>
      <c r="L16" s="389">
        <f>+Efficiency1!K36</f>
        <v>41.078378879999995</v>
      </c>
      <c r="M16" s="390">
        <f t="shared" si="22"/>
        <v>343.58351029941173</v>
      </c>
      <c r="N16" s="389">
        <f>+Efficiency1!C36</f>
        <v>40.718576342983418</v>
      </c>
      <c r="O16" s="390">
        <f t="shared" si="22"/>
        <v>341.39481441553778</v>
      </c>
      <c r="P16" s="390">
        <f>'8'!I38</f>
        <v>0</v>
      </c>
      <c r="Q16" s="390">
        <f t="shared" si="23"/>
        <v>263.34260000000006</v>
      </c>
      <c r="R16" s="390">
        <f>'8'!I40</f>
        <v>0</v>
      </c>
      <c r="S16" s="390">
        <f t="shared" si="24"/>
        <v>244.249</v>
      </c>
      <c r="T16" s="95">
        <f t="shared" si="1"/>
        <v>288.79703992096023</v>
      </c>
      <c r="U16" s="12">
        <f t="shared" si="25"/>
        <v>24534.273604977378</v>
      </c>
      <c r="V16" s="289" t="e">
        <f t="shared" si="26"/>
        <v>#DIV/0!</v>
      </c>
      <c r="W16" s="289">
        <f t="shared" si="27"/>
        <v>93.16484915458939</v>
      </c>
      <c r="X16" s="290">
        <f t="shared" si="28"/>
        <v>0</v>
      </c>
      <c r="Y16" s="289">
        <f t="shared" si="29"/>
        <v>100.44779550777027</v>
      </c>
      <c r="Z16" s="392">
        <v>15.8</v>
      </c>
      <c r="AA16" s="391">
        <f t="shared" si="30"/>
        <v>410.1</v>
      </c>
      <c r="AB16" s="394" t="e">
        <f t="shared" si="2"/>
        <v>#DIV/0!</v>
      </c>
      <c r="AC16" s="394">
        <f t="shared" si="3"/>
        <v>1.5572869714204991</v>
      </c>
      <c r="AD16" s="389">
        <f t="shared" si="4"/>
        <v>0</v>
      </c>
      <c r="AE16" s="394">
        <f t="shared" si="5"/>
        <v>1.6790242744084931</v>
      </c>
      <c r="AF16" s="393">
        <f>'8'!I46</f>
        <v>6737.7000000007283</v>
      </c>
      <c r="AG16" s="391">
        <f t="shared" si="31"/>
        <v>242428.26000000074</v>
      </c>
      <c r="AH16" s="394" t="e">
        <f t="shared" si="6"/>
        <v>#DIV/0!</v>
      </c>
      <c r="AI16" s="394">
        <f t="shared" si="7"/>
        <v>920.58125043194946</v>
      </c>
      <c r="AJ16" s="394">
        <f t="shared" si="8"/>
        <v>0</v>
      </c>
      <c r="AK16" s="394">
        <f t="shared" si="9"/>
        <v>992.54555801661729</v>
      </c>
      <c r="AL16" s="448">
        <v>301.10000000000002</v>
      </c>
      <c r="AM16" s="449">
        <v>5838.5</v>
      </c>
      <c r="AN16" s="449">
        <v>4083.1</v>
      </c>
      <c r="AO16" s="449">
        <f t="shared" si="40"/>
        <v>10222.700000000001</v>
      </c>
      <c r="AP16" s="572">
        <f>+[1]Sept!N11</f>
        <v>9805</v>
      </c>
      <c r="AQ16" s="481">
        <f t="shared" si="10"/>
        <v>-417.70000000000073</v>
      </c>
      <c r="AR16" s="452">
        <f t="shared" si="11"/>
        <v>2.9454058125544132E-2</v>
      </c>
      <c r="AS16" s="452">
        <f t="shared" si="12"/>
        <v>0.57113091453334242</v>
      </c>
      <c r="AT16" s="452">
        <f>1-AR16-AS16</f>
        <v>0.39941502734111345</v>
      </c>
      <c r="AU16" s="452">
        <f>+AR16*AQ16</f>
        <v>-12.302960079039806</v>
      </c>
      <c r="AV16" s="452">
        <f t="shared" si="35"/>
        <v>-238.56138300057754</v>
      </c>
      <c r="AW16" s="452">
        <f t="shared" si="39"/>
        <v>-166.83565692038337</v>
      </c>
      <c r="AX16" s="395">
        <f t="shared" si="13"/>
        <v>288.79703992096023</v>
      </c>
      <c r="AY16" s="395">
        <f t="shared" si="14"/>
        <v>5599.9386169994223</v>
      </c>
      <c r="AZ16" s="395">
        <f t="shared" si="15"/>
        <v>3916.2643430796165</v>
      </c>
      <c r="BA16" s="389">
        <f>+Efficiency2!K36</f>
        <v>41.078378879999995</v>
      </c>
      <c r="BB16" s="390">
        <f t="shared" si="36"/>
        <v>343.58351029941173</v>
      </c>
      <c r="BC16" s="414">
        <f t="shared" si="37"/>
        <v>0</v>
      </c>
      <c r="BD16" s="414">
        <f t="shared" si="38"/>
        <v>0.71088685189563416</v>
      </c>
    </row>
    <row r="17" spans="1:56" s="395" customFormat="1" ht="12.75" customHeight="1">
      <c r="A17" s="409">
        <f t="shared" si="16"/>
        <v>45909</v>
      </c>
      <c r="B17" s="417" t="s">
        <v>7</v>
      </c>
      <c r="C17" s="396" t="s">
        <v>434</v>
      </c>
      <c r="D17" s="388">
        <f>+'9'!F42</f>
        <v>1123.75</v>
      </c>
      <c r="E17" s="388">
        <f>+'9'!G42</f>
        <v>865.28750000000002</v>
      </c>
      <c r="F17" s="46">
        <f t="shared" si="0"/>
        <v>0.22999999999999998</v>
      </c>
      <c r="G17" s="413">
        <f t="shared" si="17"/>
        <v>0.97413663468551925</v>
      </c>
      <c r="H17" s="410">
        <f t="shared" si="18"/>
        <v>0.88305265792415188</v>
      </c>
      <c r="I17" s="410">
        <f t="shared" si="19"/>
        <v>0.85867051304369446</v>
      </c>
      <c r="J17" s="414">
        <f t="shared" si="20"/>
        <v>0.75825127882432952</v>
      </c>
      <c r="K17" s="414">
        <f t="shared" si="21"/>
        <v>0.71642962568792634</v>
      </c>
      <c r="L17" s="389">
        <f>+SUM(Efficiency1!K41:K42)</f>
        <v>45.536355775800004</v>
      </c>
      <c r="M17" s="390">
        <f t="shared" si="22"/>
        <v>389.11986607521175</v>
      </c>
      <c r="N17" s="389">
        <f>+SUM(Efficiency1!C41:C42)</f>
        <v>41.278603604699995</v>
      </c>
      <c r="O17" s="390">
        <f t="shared" si="22"/>
        <v>382.67341802023776</v>
      </c>
      <c r="P17" s="390">
        <f>'9'!I38</f>
        <v>40.210999999999999</v>
      </c>
      <c r="Q17" s="390">
        <f t="shared" si="23"/>
        <v>303.55360000000007</v>
      </c>
      <c r="R17" s="390">
        <f>'9'!I40</f>
        <v>34.527999999999999</v>
      </c>
      <c r="S17" s="390">
        <f t="shared" si="24"/>
        <v>278.77699999999999</v>
      </c>
      <c r="T17" s="95">
        <f t="shared" si="1"/>
        <v>3682.1389944484831</v>
      </c>
      <c r="U17" s="12">
        <f t="shared" si="25"/>
        <v>28216.412599425861</v>
      </c>
      <c r="V17" s="289">
        <f t="shared" si="26"/>
        <v>91.570440786065589</v>
      </c>
      <c r="W17" s="289">
        <f t="shared" si="27"/>
        <v>92.953641793165531</v>
      </c>
      <c r="X17" s="290">
        <f t="shared" si="28"/>
        <v>106.64211638231241</v>
      </c>
      <c r="Y17" s="289">
        <f t="shared" si="29"/>
        <v>101.21499477871511</v>
      </c>
      <c r="Z17" s="392">
        <v>64.5</v>
      </c>
      <c r="AA17" s="391">
        <f t="shared" si="30"/>
        <v>474.6</v>
      </c>
      <c r="AB17" s="394">
        <f t="shared" si="2"/>
        <v>1.604038695879237</v>
      </c>
      <c r="AC17" s="394">
        <f t="shared" si="3"/>
        <v>1.5634800575582035</v>
      </c>
      <c r="AD17" s="389">
        <f t="shared" si="4"/>
        <v>1.8680491195551436</v>
      </c>
      <c r="AE17" s="394">
        <f t="shared" si="5"/>
        <v>1.7024359972307617</v>
      </c>
      <c r="AF17" s="393">
        <f>'9'!I46</f>
        <v>35659.619999999639</v>
      </c>
      <c r="AG17" s="391">
        <f t="shared" si="31"/>
        <v>278087.88000000035</v>
      </c>
      <c r="AH17" s="394">
        <f t="shared" si="6"/>
        <v>886.81256372633459</v>
      </c>
      <c r="AI17" s="394">
        <f t="shared" si="7"/>
        <v>916.10799542486166</v>
      </c>
      <c r="AJ17" s="394">
        <f t="shared" si="8"/>
        <v>1032.7739805375243</v>
      </c>
      <c r="AK17" s="394">
        <f t="shared" si="9"/>
        <v>997.52806006234493</v>
      </c>
      <c r="AL17" s="448">
        <v>4075.3</v>
      </c>
      <c r="AM17" s="449">
        <v>4405.6000000000004</v>
      </c>
      <c r="AN17" s="449">
        <v>3623.9</v>
      </c>
      <c r="AO17" s="449">
        <f t="shared" si="40"/>
        <v>12104.800000000001</v>
      </c>
      <c r="AP17" s="574">
        <f>+[1]Sept!N12</f>
        <v>10937</v>
      </c>
      <c r="AQ17" s="481">
        <f t="shared" si="10"/>
        <v>-1167.8000000000011</v>
      </c>
      <c r="AR17" s="452">
        <f t="shared" si="11"/>
        <v>0.33666809860551183</v>
      </c>
      <c r="AS17" s="452">
        <f t="shared" si="12"/>
        <v>0.36395479479214854</v>
      </c>
      <c r="AT17" s="452">
        <f>1-AR17-AS17</f>
        <v>0.29937710660233963</v>
      </c>
      <c r="AU17" s="452">
        <f>+AR17*AQ17</f>
        <v>-393.16100555151706</v>
      </c>
      <c r="AV17" s="452">
        <f>+AS17*AQ17</f>
        <v>-425.02640935827145</v>
      </c>
      <c r="AW17" s="452">
        <f t="shared" si="39"/>
        <v>-349.61258509021252</v>
      </c>
      <c r="AX17" s="395">
        <f t="shared" si="13"/>
        <v>3682.1389944484831</v>
      </c>
      <c r="AY17" s="395">
        <f t="shared" si="14"/>
        <v>3980.573590641729</v>
      </c>
      <c r="AZ17" s="395">
        <f t="shared" si="15"/>
        <v>3274.2874149097875</v>
      </c>
      <c r="BA17" s="389">
        <f>+SUM(Efficiency2!K41:K42)</f>
        <v>45.536355775800004</v>
      </c>
      <c r="BB17" s="390">
        <f t="shared" si="36"/>
        <v>389.11986607521175</v>
      </c>
      <c r="BC17" s="414">
        <f t="shared" si="37"/>
        <v>0.75825127882432952</v>
      </c>
      <c r="BD17" s="414">
        <f t="shared" si="38"/>
        <v>0.71642962568792634</v>
      </c>
    </row>
    <row r="18" spans="1:56" s="395" customFormat="1" ht="12.75" customHeight="1">
      <c r="A18" s="409">
        <f t="shared" si="16"/>
        <v>45910</v>
      </c>
      <c r="B18" s="417" t="s">
        <v>7</v>
      </c>
      <c r="C18" s="396" t="s">
        <v>533</v>
      </c>
      <c r="D18" s="388">
        <f>+'10'!F42</f>
        <v>1230</v>
      </c>
      <c r="E18" s="388">
        <f>+'10'!G42</f>
        <v>947.0999999999998</v>
      </c>
      <c r="F18" s="46">
        <f t="shared" si="0"/>
        <v>0.2300000000000002</v>
      </c>
      <c r="G18" s="413">
        <f t="shared" si="17"/>
        <v>0.90498988906933464</v>
      </c>
      <c r="H18" s="410">
        <f t="shared" si="18"/>
        <v>0.89983980453355572</v>
      </c>
      <c r="I18" s="410">
        <f>+R18/P18</f>
        <v>0.94562851212474042</v>
      </c>
      <c r="J18" s="414">
        <f t="shared" si="20"/>
        <v>0.85091417551168358</v>
      </c>
      <c r="K18" s="414">
        <f t="shared" si="21"/>
        <v>0.7300647484123769</v>
      </c>
      <c r="L18" s="389">
        <f>+SUM(Efficiency1!K45:K46)</f>
        <v>43.903370134285709</v>
      </c>
      <c r="M18" s="390">
        <f t="shared" si="22"/>
        <v>433.02323620949744</v>
      </c>
      <c r="N18" s="389">
        <f>+SUM(Efficiency1!C45:C46)</f>
        <v>43.653526384285712</v>
      </c>
      <c r="O18" s="390">
        <f t="shared" si="22"/>
        <v>426.32694440452349</v>
      </c>
      <c r="P18" s="390">
        <f>'10'!I38</f>
        <v>39.506</v>
      </c>
      <c r="Q18" s="390">
        <f t="shared" si="23"/>
        <v>343.05960000000005</v>
      </c>
      <c r="R18" s="390">
        <f>'10'!I40</f>
        <v>37.357999999999997</v>
      </c>
      <c r="S18" s="390">
        <f t="shared" si="24"/>
        <v>316.13499999999999</v>
      </c>
      <c r="T18" s="95">
        <f t="shared" si="1"/>
        <v>4248.9100974169896</v>
      </c>
      <c r="U18" s="12">
        <f t="shared" si="25"/>
        <v>32465.32269684285</v>
      </c>
      <c r="V18" s="289">
        <f t="shared" si="26"/>
        <v>107.55100737652482</v>
      </c>
      <c r="W18" s="289">
        <f t="shared" si="27"/>
        <v>94.634642775899124</v>
      </c>
      <c r="X18" s="290">
        <f t="shared" si="28"/>
        <v>113.73494559176052</v>
      </c>
      <c r="Y18" s="289">
        <f t="shared" si="29"/>
        <v>102.69449031851219</v>
      </c>
      <c r="Z18" s="392">
        <v>58.4</v>
      </c>
      <c r="AA18" s="391">
        <f t="shared" si="30"/>
        <v>533</v>
      </c>
      <c r="AB18" s="394">
        <f t="shared" si="2"/>
        <v>1.4782564673720446</v>
      </c>
      <c r="AC18" s="394">
        <f t="shared" si="3"/>
        <v>1.5536658936231487</v>
      </c>
      <c r="AD18" s="389">
        <f t="shared" si="4"/>
        <v>1.5632528507950105</v>
      </c>
      <c r="AE18" s="394">
        <f t="shared" si="5"/>
        <v>1.685988580827811</v>
      </c>
      <c r="AF18" s="393">
        <f>'10'!I46</f>
        <v>34183.140000000363</v>
      </c>
      <c r="AG18" s="391">
        <f t="shared" si="31"/>
        <v>312271.02000000072</v>
      </c>
      <c r="AH18" s="394">
        <f t="shared" si="6"/>
        <v>865.26451678227011</v>
      </c>
      <c r="AI18" s="394">
        <f t="shared" si="7"/>
        <v>910.25297062085042</v>
      </c>
      <c r="AJ18" s="394">
        <f t="shared" si="8"/>
        <v>915.01525777612187</v>
      </c>
      <c r="AK18" s="394">
        <f t="shared" si="9"/>
        <v>987.7774368545106</v>
      </c>
      <c r="AL18" s="448">
        <v>4141.3999999999996</v>
      </c>
      <c r="AM18" s="449">
        <v>1817.1</v>
      </c>
      <c r="AN18" s="449">
        <v>3290.4</v>
      </c>
      <c r="AO18" s="449">
        <f t="shared" si="40"/>
        <v>9248.9</v>
      </c>
      <c r="AP18" s="577">
        <f>+[1]Sept!N13</f>
        <v>9489</v>
      </c>
      <c r="AQ18" s="481">
        <f t="shared" si="10"/>
        <v>240.10000000000036</v>
      </c>
      <c r="AR18" s="452">
        <f t="shared" si="11"/>
        <v>0.44777216750100007</v>
      </c>
      <c r="AS18" s="452">
        <f t="shared" si="12"/>
        <v>0.1964666068397323</v>
      </c>
      <c r="AT18" s="452">
        <f t="shared" si="33"/>
        <v>0.35576122565926771</v>
      </c>
      <c r="AU18" s="452">
        <f t="shared" si="34"/>
        <v>107.51009741699028</v>
      </c>
      <c r="AV18" s="452">
        <f t="shared" si="35"/>
        <v>47.171632302219798</v>
      </c>
      <c r="AW18" s="452">
        <f t="shared" si="39"/>
        <v>85.41827028079031</v>
      </c>
      <c r="AX18" s="452">
        <f>+AL18+AU18</f>
        <v>4248.9100974169896</v>
      </c>
      <c r="AY18" s="395">
        <f t="shared" si="14"/>
        <v>1864.2716323022198</v>
      </c>
      <c r="AZ18" s="395">
        <f t="shared" si="15"/>
        <v>3375.8182702807903</v>
      </c>
      <c r="BA18" s="389">
        <f>+SUM(Efficiency2!K45:K46)</f>
        <v>43.903370134285709</v>
      </c>
      <c r="BB18" s="390">
        <f t="shared" si="36"/>
        <v>433.02323620949744</v>
      </c>
      <c r="BC18" s="414">
        <f t="shared" si="37"/>
        <v>0.85091417551168358</v>
      </c>
      <c r="BD18" s="414">
        <f t="shared" si="38"/>
        <v>0.7300647484123769</v>
      </c>
    </row>
    <row r="19" spans="1:56" s="395" customFormat="1" ht="12.75" customHeight="1">
      <c r="A19" s="409">
        <f t="shared" si="16"/>
        <v>45911</v>
      </c>
      <c r="B19" s="417" t="s">
        <v>7</v>
      </c>
      <c r="C19" s="396" t="s">
        <v>548</v>
      </c>
      <c r="D19" s="388">
        <f>+'11'!F42</f>
        <v>1195.0373134328358</v>
      </c>
      <c r="E19" s="388">
        <f>+'11'!G42</f>
        <v>920.17873134328363</v>
      </c>
      <c r="F19" s="46">
        <f t="shared" si="0"/>
        <v>0.22999999999999998</v>
      </c>
      <c r="G19" s="413">
        <f t="shared" si="17"/>
        <v>0.93065184467944728</v>
      </c>
      <c r="H19" s="410">
        <f t="shared" si="18"/>
        <v>0.89446932334682283</v>
      </c>
      <c r="I19" s="410">
        <f t="shared" si="19"/>
        <v>0.97806918381189223</v>
      </c>
      <c r="J19" s="414">
        <f t="shared" si="20"/>
        <v>0.87485288103060255</v>
      </c>
      <c r="K19" s="414">
        <f t="shared" si="21"/>
        <v>0.74355839367154164</v>
      </c>
      <c r="L19" s="389">
        <f>+SUM(Efficiency1!K50:K51)</f>
        <v>44.503482636000001</v>
      </c>
      <c r="M19" s="390">
        <f t="shared" si="22"/>
        <v>477.52671884549744</v>
      </c>
      <c r="N19" s="389">
        <f>+SUM(Efficiency1!C50:C51)</f>
        <v>42.773245685351952</v>
      </c>
      <c r="O19" s="390">
        <f t="shared" si="22"/>
        <v>469.10019008987547</v>
      </c>
      <c r="P19" s="390">
        <f>'11'!I38</f>
        <v>39.807000000000002</v>
      </c>
      <c r="Q19" s="390">
        <f t="shared" si="23"/>
        <v>382.86660000000006</v>
      </c>
      <c r="R19" s="390">
        <f>'11'!I40</f>
        <v>38.933999999999997</v>
      </c>
      <c r="S19" s="390">
        <f t="shared" si="24"/>
        <v>355.06899999999996</v>
      </c>
      <c r="T19" s="95">
        <f t="shared" si="1"/>
        <v>3443.8709691013601</v>
      </c>
      <c r="U19" s="12">
        <f t="shared" si="25"/>
        <v>35909.193665944207</v>
      </c>
      <c r="V19" s="289">
        <f t="shared" si="26"/>
        <v>86.514205267951866</v>
      </c>
      <c r="W19" s="289">
        <f t="shared" si="27"/>
        <v>93.790353261277431</v>
      </c>
      <c r="X19" s="290">
        <f t="shared" si="28"/>
        <v>88.454075335217553</v>
      </c>
      <c r="Y19" s="289">
        <f t="shared" si="29"/>
        <v>101.13300137703999</v>
      </c>
      <c r="Z19" s="392">
        <v>60.2</v>
      </c>
      <c r="AA19" s="391">
        <f t="shared" si="30"/>
        <v>593.20000000000005</v>
      </c>
      <c r="AB19" s="394">
        <f t="shared" si="2"/>
        <v>1.5122968322154395</v>
      </c>
      <c r="AC19" s="394">
        <f t="shared" si="3"/>
        <v>1.5493647134537198</v>
      </c>
      <c r="AD19" s="389">
        <f t="shared" si="4"/>
        <v>1.5462064005753329</v>
      </c>
      <c r="AE19" s="394">
        <f t="shared" si="5"/>
        <v>1.6706611954296211</v>
      </c>
      <c r="AF19" s="393">
        <f>'11'!I46</f>
        <v>37218.959999999272</v>
      </c>
      <c r="AG19" s="391">
        <f t="shared" si="31"/>
        <v>349489.98</v>
      </c>
      <c r="AH19" s="394">
        <f t="shared" si="6"/>
        <v>934.98530409222678</v>
      </c>
      <c r="AI19" s="394">
        <f t="shared" si="7"/>
        <v>912.82441456110291</v>
      </c>
      <c r="AJ19" s="394">
        <f t="shared" si="8"/>
        <v>955.95006934810885</v>
      </c>
      <c r="AK19" s="394">
        <f t="shared" si="9"/>
        <v>984.28750468218857</v>
      </c>
      <c r="AL19" s="448">
        <v>3778.1</v>
      </c>
      <c r="AM19" s="449">
        <v>4791.6000000000004</v>
      </c>
      <c r="AN19" s="449">
        <v>3294.9</v>
      </c>
      <c r="AO19" s="449">
        <f t="shared" si="40"/>
        <v>11864.6</v>
      </c>
      <c r="AP19" s="578">
        <f>+[1]Sept!N14</f>
        <v>10815</v>
      </c>
      <c r="AQ19" s="481">
        <f t="shared" si="10"/>
        <v>-1049.6000000000004</v>
      </c>
      <c r="AR19" s="452">
        <f t="shared" si="11"/>
        <v>0.3184346712067832</v>
      </c>
      <c r="AS19" s="452">
        <f t="shared" si="12"/>
        <v>0.40385685147413314</v>
      </c>
      <c r="AT19" s="452">
        <f>1-AR19-AS19</f>
        <v>0.27770847731908371</v>
      </c>
      <c r="AU19" s="452">
        <f t="shared" si="34"/>
        <v>-334.22903089863979</v>
      </c>
      <c r="AV19" s="452">
        <f t="shared" si="35"/>
        <v>-423.88815130725027</v>
      </c>
      <c r="AW19" s="452">
        <f>+AT19*AQ19</f>
        <v>-291.48281779411036</v>
      </c>
      <c r="AX19" s="395">
        <f t="shared" si="13"/>
        <v>3443.8709691013601</v>
      </c>
      <c r="AY19" s="395">
        <f t="shared" si="14"/>
        <v>4367.7118486927502</v>
      </c>
      <c r="AZ19" s="395">
        <f t="shared" si="15"/>
        <v>3003.4171822058897</v>
      </c>
      <c r="BA19" s="389">
        <f>+SUM(Efficiency2!K50:K51)</f>
        <v>44.503482636000001</v>
      </c>
      <c r="BB19" s="390">
        <f t="shared" si="36"/>
        <v>477.52671884549744</v>
      </c>
      <c r="BC19" s="414">
        <f t="shared" si="37"/>
        <v>0.87485288103060255</v>
      </c>
      <c r="BD19" s="414">
        <f t="shared" si="38"/>
        <v>0.74355839367154164</v>
      </c>
    </row>
    <row r="20" spans="1:56" s="395" customFormat="1" ht="12.75" customHeight="1">
      <c r="A20" s="409">
        <f t="shared" si="16"/>
        <v>45912</v>
      </c>
      <c r="B20" s="417" t="s">
        <v>7</v>
      </c>
      <c r="C20" s="396" t="s">
        <v>560</v>
      </c>
      <c r="D20" s="388">
        <f>+'12'!F42</f>
        <v>1228.2291666666667</v>
      </c>
      <c r="E20" s="388">
        <f>+'12'!G42</f>
        <v>945.7364583333333</v>
      </c>
      <c r="F20" s="46">
        <f t="shared" si="0"/>
        <v>0.23000000000000009</v>
      </c>
      <c r="G20" s="413">
        <f t="shared" si="17"/>
        <v>0.98942646173435267</v>
      </c>
      <c r="H20" s="410">
        <f t="shared" si="18"/>
        <v>0.98114153773272028</v>
      </c>
      <c r="I20" s="410">
        <f t="shared" si="19"/>
        <v>0.90031748891040508</v>
      </c>
      <c r="J20" s="414">
        <f t="shared" si="20"/>
        <v>0.88333888551721618</v>
      </c>
      <c r="K20" s="414">
        <f t="shared" si="21"/>
        <v>0.75566094878963064</v>
      </c>
      <c r="L20" s="389">
        <f>+SUM(Efficiency1!K55:K57)</f>
        <v>45.264621149999989</v>
      </c>
      <c r="M20" s="390">
        <f t="shared" si="22"/>
        <v>522.79133999549742</v>
      </c>
      <c r="N20" s="389">
        <f>+SUM(Efficiency1!C55:C57)</f>
        <v>44.885599604999996</v>
      </c>
      <c r="O20" s="390">
        <f t="shared" si="22"/>
        <v>513.98578969487551</v>
      </c>
      <c r="P20" s="390">
        <f>'12'!I38</f>
        <v>44.411000000000001</v>
      </c>
      <c r="Q20" s="390">
        <f t="shared" si="23"/>
        <v>427.27760000000006</v>
      </c>
      <c r="R20" s="390">
        <f>'12'!I40</f>
        <v>39.984000000000002</v>
      </c>
      <c r="S20" s="390">
        <f t="shared" si="24"/>
        <v>395.05299999999994</v>
      </c>
      <c r="T20" s="95">
        <f t="shared" si="1"/>
        <v>4051.9973679196687</v>
      </c>
      <c r="U20" s="12">
        <f t="shared" si="25"/>
        <v>39961.191033863877</v>
      </c>
      <c r="V20" s="289">
        <f t="shared" si="26"/>
        <v>91.238597823054391</v>
      </c>
      <c r="W20" s="289">
        <f t="shared" si="27"/>
        <v>93.525125196977029</v>
      </c>
      <c r="X20" s="290">
        <f t="shared" si="28"/>
        <v>101.34047038614617</v>
      </c>
      <c r="Y20" s="289">
        <f t="shared" si="29"/>
        <v>101.15399967564829</v>
      </c>
      <c r="Z20" s="392">
        <v>60.8</v>
      </c>
      <c r="AA20" s="391">
        <f t="shared" si="30"/>
        <v>654</v>
      </c>
      <c r="AB20" s="394">
        <f t="shared" si="2"/>
        <v>1.3690301952219044</v>
      </c>
      <c r="AC20" s="394">
        <f t="shared" si="3"/>
        <v>1.530620842281458</v>
      </c>
      <c r="AD20" s="389">
        <f t="shared" si="4"/>
        <v>1.5206082432973187</v>
      </c>
      <c r="AE20" s="394">
        <f t="shared" si="5"/>
        <v>1.6554740756303588</v>
      </c>
      <c r="AF20" s="393">
        <f>'12'!I46</f>
        <v>39870.600000000362</v>
      </c>
      <c r="AG20" s="391">
        <f t="shared" si="31"/>
        <v>389360.58000000037</v>
      </c>
      <c r="AH20" s="394">
        <f t="shared" si="6"/>
        <v>897.76406746077237</v>
      </c>
      <c r="AI20" s="394">
        <f t="shared" si="7"/>
        <v>911.25905032232049</v>
      </c>
      <c r="AJ20" s="394">
        <f t="shared" si="8"/>
        <v>997.16386554622761</v>
      </c>
      <c r="AK20" s="394">
        <f t="shared" si="9"/>
        <v>985.59074352049072</v>
      </c>
      <c r="AL20" s="448">
        <v>4145.1000000000004</v>
      </c>
      <c r="AM20" s="449">
        <v>6415.6</v>
      </c>
      <c r="AN20" s="449">
        <v>3610.6</v>
      </c>
      <c r="AO20" s="449">
        <f t="shared" si="40"/>
        <v>14171.300000000001</v>
      </c>
      <c r="AP20" s="579">
        <f>+[1]Sept!N15</f>
        <v>13853</v>
      </c>
      <c r="AQ20" s="481">
        <f t="shared" si="10"/>
        <v>-318.30000000000109</v>
      </c>
      <c r="AR20" s="452">
        <f t="shared" si="11"/>
        <v>0.29249962953292924</v>
      </c>
      <c r="AS20" s="452">
        <f t="shared" si="12"/>
        <v>0.45271781699632352</v>
      </c>
      <c r="AT20" s="452">
        <f t="shared" si="33"/>
        <v>0.2547825534707473</v>
      </c>
      <c r="AU20" s="452">
        <f t="shared" si="34"/>
        <v>-93.102632080331702</v>
      </c>
      <c r="AV20" s="452">
        <f t="shared" si="35"/>
        <v>-144.10008114993028</v>
      </c>
      <c r="AW20" s="452">
        <f t="shared" si="39"/>
        <v>-81.097286769739142</v>
      </c>
      <c r="AX20" s="395">
        <f t="shared" si="13"/>
        <v>4051.9973679196687</v>
      </c>
      <c r="AY20" s="395">
        <f t="shared" si="14"/>
        <v>6271.4999188500697</v>
      </c>
      <c r="AZ20" s="395">
        <f t="shared" si="15"/>
        <v>3529.5027132302607</v>
      </c>
      <c r="BA20" s="389">
        <f>+SUM(Efficiency2!K55:K57)</f>
        <v>45.264621149999989</v>
      </c>
      <c r="BB20" s="390">
        <f t="shared" si="36"/>
        <v>522.79133999549742</v>
      </c>
      <c r="BC20" s="414">
        <f t="shared" si="37"/>
        <v>0.88333888551721618</v>
      </c>
      <c r="BD20" s="414">
        <f t="shared" si="38"/>
        <v>0.75566094878963064</v>
      </c>
    </row>
    <row r="21" spans="1:56" s="395" customFormat="1" ht="12.75" customHeight="1">
      <c r="A21" s="409">
        <f t="shared" si="16"/>
        <v>45913</v>
      </c>
      <c r="B21" s="417" t="s">
        <v>7</v>
      </c>
      <c r="C21" s="396" t="s">
        <v>454</v>
      </c>
      <c r="D21" s="388">
        <f>+'13'!F42</f>
        <v>1230</v>
      </c>
      <c r="E21" s="388">
        <f>+'13'!G42</f>
        <v>947.1</v>
      </c>
      <c r="F21" s="46">
        <f t="shared" si="0"/>
        <v>0.22999999999999998</v>
      </c>
      <c r="G21" s="413">
        <f t="shared" si="17"/>
        <v>0.31265984799221153</v>
      </c>
      <c r="H21" s="410">
        <f t="shared" si="18"/>
        <v>0.31181437498846143</v>
      </c>
      <c r="I21" s="410">
        <f t="shared" si="19"/>
        <v>1.3655298863219654</v>
      </c>
      <c r="J21" s="414">
        <f t="shared" si="20"/>
        <v>0.4257918480315484</v>
      </c>
      <c r="K21" s="414">
        <f t="shared" si="21"/>
        <v>0.7301993334815845</v>
      </c>
      <c r="L21" s="389">
        <f>+SUM(Efficiency1!K59:K60)</f>
        <v>43.727939099999993</v>
      </c>
      <c r="M21" s="390">
        <f t="shared" si="22"/>
        <v>566.51927909549738</v>
      </c>
      <c r="N21" s="389">
        <f>+SUM(Efficiency1!C59:C60)</f>
        <v>43.609693049999997</v>
      </c>
      <c r="O21" s="390">
        <f t="shared" si="22"/>
        <v>557.59548274487554</v>
      </c>
      <c r="P21" s="390">
        <f>'13'!I38</f>
        <v>13.635000000000002</v>
      </c>
      <c r="Q21" s="390">
        <f t="shared" si="23"/>
        <v>440.91260000000005</v>
      </c>
      <c r="R21" s="390">
        <f>'13'!I40</f>
        <v>18.619</v>
      </c>
      <c r="S21" s="390">
        <f t="shared" si="24"/>
        <v>413.67199999999991</v>
      </c>
      <c r="T21" s="95">
        <f t="shared" si="1"/>
        <v>1108.2831257846699</v>
      </c>
      <c r="U21" s="12">
        <f t="shared" si="25"/>
        <v>41069.474159648547</v>
      </c>
      <c r="V21" s="289">
        <f t="shared" si="26"/>
        <v>81.282224113287114</v>
      </c>
      <c r="W21" s="289">
        <f t="shared" si="27"/>
        <v>93.146519649582572</v>
      </c>
      <c r="X21" s="290">
        <f t="shared" si="28"/>
        <v>59.524309886925721</v>
      </c>
      <c r="Y21" s="289">
        <f t="shared" si="29"/>
        <v>99.280285249300306</v>
      </c>
      <c r="Z21" s="392">
        <v>19.2</v>
      </c>
      <c r="AA21" s="391">
        <f t="shared" si="30"/>
        <v>673.2</v>
      </c>
      <c r="AB21" s="394">
        <f t="shared" si="2"/>
        <v>1.408140814081408</v>
      </c>
      <c r="AC21" s="394">
        <f t="shared" si="3"/>
        <v>1.5268332091212633</v>
      </c>
      <c r="AD21" s="389">
        <f t="shared" si="4"/>
        <v>1.0312046833879371</v>
      </c>
      <c r="AE21" s="394">
        <f t="shared" si="5"/>
        <v>1.6273762787909265</v>
      </c>
      <c r="AF21" s="393">
        <f>'13'!I46</f>
        <v>21110.860000000728</v>
      </c>
      <c r="AG21" s="391">
        <f t="shared" si="31"/>
        <v>410471.44000000111</v>
      </c>
      <c r="AH21" s="394">
        <f t="shared" si="6"/>
        <v>1548.2845617895655</v>
      </c>
      <c r="AI21" s="394">
        <f t="shared" si="7"/>
        <v>930.95874329742685</v>
      </c>
      <c r="AJ21" s="394">
        <f t="shared" si="8"/>
        <v>1133.8342553306154</v>
      </c>
      <c r="AK21" s="394">
        <f t="shared" si="9"/>
        <v>992.26304898567275</v>
      </c>
      <c r="AL21" s="448">
        <v>1134.4000000000001</v>
      </c>
      <c r="AM21" s="449">
        <v>6869.1</v>
      </c>
      <c r="AN21" s="449">
        <v>3784.9</v>
      </c>
      <c r="AO21" s="449">
        <f t="shared" si="40"/>
        <v>11788.4</v>
      </c>
      <c r="AP21" s="580">
        <f>+[1]Sept!N16</f>
        <v>11517</v>
      </c>
      <c r="AQ21" s="481">
        <f t="shared" si="10"/>
        <v>-271.39999999999964</v>
      </c>
      <c r="AR21" s="452">
        <f t="shared" si="11"/>
        <v>9.6230192392521466E-2</v>
      </c>
      <c r="AS21" s="452">
        <f t="shared" si="12"/>
        <v>0.58269994231617528</v>
      </c>
      <c r="AT21" s="452">
        <f t="shared" si="33"/>
        <v>0.32106986529130321</v>
      </c>
      <c r="AU21" s="452">
        <f t="shared" si="34"/>
        <v>-26.116874215330292</v>
      </c>
      <c r="AV21" s="452">
        <f t="shared" si="35"/>
        <v>-158.14476434460977</v>
      </c>
      <c r="AW21" s="452">
        <f t="shared" si="39"/>
        <v>-87.138361440059569</v>
      </c>
      <c r="AX21" s="395">
        <f t="shared" si="13"/>
        <v>1108.2831257846699</v>
      </c>
      <c r="AY21" s="395">
        <f t="shared" si="14"/>
        <v>6710.9552356553904</v>
      </c>
      <c r="AZ21" s="395">
        <f t="shared" si="15"/>
        <v>3697.7616385599404</v>
      </c>
      <c r="BA21" s="389">
        <f>+SUM(Efficiency2!K59:K60)</f>
        <v>14.023852379999997</v>
      </c>
      <c r="BB21" s="390">
        <f t="shared" si="36"/>
        <v>536.81519237549742</v>
      </c>
      <c r="BC21" s="414">
        <f t="shared" si="37"/>
        <v>1.3276665708884197</v>
      </c>
      <c r="BD21" s="414">
        <f t="shared" si="38"/>
        <v>0.77060412200599582</v>
      </c>
    </row>
    <row r="22" spans="1:56" s="395" customFormat="1" ht="12.75" customHeight="1">
      <c r="A22" s="409">
        <f t="shared" si="16"/>
        <v>45914</v>
      </c>
      <c r="B22" s="417" t="s">
        <v>424</v>
      </c>
      <c r="C22" s="396" t="s">
        <v>387</v>
      </c>
      <c r="D22" s="388">
        <f>+'14'!F42</f>
        <v>0</v>
      </c>
      <c r="E22" s="388">
        <f>+'14'!G42</f>
        <v>0</v>
      </c>
      <c r="F22" s="46" t="e">
        <f t="shared" si="0"/>
        <v>#DIV/0!</v>
      </c>
      <c r="G22" s="413">
        <f t="shared" si="17"/>
        <v>0</v>
      </c>
      <c r="H22" s="410">
        <f t="shared" si="18"/>
        <v>0</v>
      </c>
      <c r="I22" s="410" t="e">
        <f t="shared" si="19"/>
        <v>#DIV/0!</v>
      </c>
      <c r="J22" s="414">
        <f t="shared" si="20"/>
        <v>0</v>
      </c>
      <c r="K22" s="414">
        <f t="shared" si="21"/>
        <v>0.67845643269066969</v>
      </c>
      <c r="L22" s="389">
        <f>+Efficiency1!K64</f>
        <v>43.20594432</v>
      </c>
      <c r="M22" s="390">
        <f t="shared" si="22"/>
        <v>609.72522341549734</v>
      </c>
      <c r="N22" s="389">
        <f>+Efficiency1!C64</f>
        <v>43.20594432</v>
      </c>
      <c r="O22" s="390">
        <f t="shared" si="22"/>
        <v>600.8014270648755</v>
      </c>
      <c r="P22" s="390">
        <f>'14'!I38</f>
        <v>0</v>
      </c>
      <c r="Q22" s="390">
        <f t="shared" si="23"/>
        <v>440.91260000000005</v>
      </c>
      <c r="R22" s="390">
        <f>'14'!I40</f>
        <v>0</v>
      </c>
      <c r="S22" s="390">
        <f t="shared" si="24"/>
        <v>413.67199999999991</v>
      </c>
      <c r="T22" s="95">
        <f t="shared" si="1"/>
        <v>0</v>
      </c>
      <c r="U22" s="12">
        <f t="shared" si="25"/>
        <v>41069.474159648547</v>
      </c>
      <c r="V22" s="289" t="e">
        <f t="shared" si="26"/>
        <v>#DIV/0!</v>
      </c>
      <c r="W22" s="289">
        <f t="shared" si="27"/>
        <v>93.146519649582572</v>
      </c>
      <c r="X22" s="290">
        <f t="shared" si="28"/>
        <v>0</v>
      </c>
      <c r="Y22" s="289">
        <f t="shared" si="29"/>
        <v>99.280285249300306</v>
      </c>
      <c r="Z22" s="392">
        <v>2</v>
      </c>
      <c r="AA22" s="391">
        <f t="shared" si="30"/>
        <v>675.2</v>
      </c>
      <c r="AB22" s="394" t="e">
        <f t="shared" si="2"/>
        <v>#DIV/0!</v>
      </c>
      <c r="AC22" s="394">
        <f t="shared" si="3"/>
        <v>1.5313692554941727</v>
      </c>
      <c r="AD22" s="389">
        <f t="shared" si="4"/>
        <v>0</v>
      </c>
      <c r="AE22" s="394">
        <f t="shared" si="5"/>
        <v>1.6322110270939298</v>
      </c>
      <c r="AF22" s="393">
        <f>'14'!I46</f>
        <v>6791.74</v>
      </c>
      <c r="AG22" s="391">
        <f t="shared" si="31"/>
        <v>417263.1800000011</v>
      </c>
      <c r="AH22" s="394" t="e">
        <f t="shared" si="6"/>
        <v>#DIV/0!</v>
      </c>
      <c r="AI22" s="394">
        <f t="shared" si="7"/>
        <v>946.36256709379825</v>
      </c>
      <c r="AJ22" s="394">
        <f t="shared" si="8"/>
        <v>0</v>
      </c>
      <c r="AK22" s="394">
        <f t="shared" si="9"/>
        <v>1008.6812257053928</v>
      </c>
      <c r="AL22" s="448">
        <v>0</v>
      </c>
      <c r="AM22" s="449">
        <v>5705.8</v>
      </c>
      <c r="AN22" s="449">
        <v>4068.3</v>
      </c>
      <c r="AO22" s="449">
        <f t="shared" si="40"/>
        <v>9774.1</v>
      </c>
      <c r="AP22" s="580">
        <f>+[1]Sept!N17</f>
        <v>8962</v>
      </c>
      <c r="AQ22" s="481">
        <f t="shared" si="10"/>
        <v>-812.10000000000036</v>
      </c>
      <c r="AR22" s="452">
        <f t="shared" si="11"/>
        <v>0</v>
      </c>
      <c r="AS22" s="452">
        <f t="shared" si="12"/>
        <v>0.58376730338343175</v>
      </c>
      <c r="AT22" s="452">
        <f t="shared" si="33"/>
        <v>0.41623269661656825</v>
      </c>
      <c r="AU22" s="452">
        <f t="shared" si="34"/>
        <v>0</v>
      </c>
      <c r="AV22" s="452">
        <f t="shared" si="35"/>
        <v>-474.07742707768512</v>
      </c>
      <c r="AW22" s="452">
        <f t="shared" si="39"/>
        <v>-338.02257292231525</v>
      </c>
      <c r="AX22" s="395">
        <f t="shared" si="13"/>
        <v>0</v>
      </c>
      <c r="AY22" s="395">
        <f t="shared" si="14"/>
        <v>5231.7225729223155</v>
      </c>
      <c r="AZ22" s="395">
        <f t="shared" si="15"/>
        <v>3730.2774270776849</v>
      </c>
      <c r="BA22" s="389">
        <f>+Efficiency2!K64</f>
        <v>0</v>
      </c>
      <c r="BB22" s="390">
        <f t="shared" si="36"/>
        <v>536.81519237549742</v>
      </c>
      <c r="BC22" s="414" t="e">
        <f t="shared" si="37"/>
        <v>#DIV/0!</v>
      </c>
      <c r="BD22" s="414">
        <f t="shared" si="38"/>
        <v>0.77060412200599582</v>
      </c>
    </row>
    <row r="23" spans="1:56" s="395" customFormat="1" ht="12.75" customHeight="1">
      <c r="A23" s="409">
        <f t="shared" si="16"/>
        <v>45915</v>
      </c>
      <c r="B23" s="417" t="s">
        <v>424</v>
      </c>
      <c r="C23" s="396" t="s">
        <v>387</v>
      </c>
      <c r="D23" s="388">
        <f>+'15'!F42</f>
        <v>0</v>
      </c>
      <c r="E23" s="388">
        <f>+'15'!G42</f>
        <v>0</v>
      </c>
      <c r="F23" s="46" t="e">
        <f t="shared" si="0"/>
        <v>#DIV/0!</v>
      </c>
      <c r="G23" s="413">
        <f t="shared" si="17"/>
        <v>0</v>
      </c>
      <c r="H23" s="410">
        <f t="shared" si="18"/>
        <v>0</v>
      </c>
      <c r="I23" s="410" t="e">
        <f t="shared" si="19"/>
        <v>#DIV/0!</v>
      </c>
      <c r="J23" s="414">
        <f t="shared" si="20"/>
        <v>0</v>
      </c>
      <c r="K23" s="414">
        <f t="shared" si="21"/>
        <v>0.63356142338050958</v>
      </c>
      <c r="L23" s="389">
        <f>+Efficiency1!K69</f>
        <v>43.20594432</v>
      </c>
      <c r="M23" s="390">
        <f t="shared" si="22"/>
        <v>652.9311677354973</v>
      </c>
      <c r="N23" s="389">
        <f>+Efficiency1!C69</f>
        <v>43.20594432</v>
      </c>
      <c r="O23" s="390">
        <f t="shared" si="22"/>
        <v>644.00737138487546</v>
      </c>
      <c r="P23" s="390">
        <f>'15'!I38</f>
        <v>0</v>
      </c>
      <c r="Q23" s="390">
        <f t="shared" si="23"/>
        <v>440.91260000000005</v>
      </c>
      <c r="R23" s="390">
        <f>'15'!I40</f>
        <v>0</v>
      </c>
      <c r="S23" s="390">
        <f t="shared" si="24"/>
        <v>413.67199999999991</v>
      </c>
      <c r="T23" s="95">
        <f t="shared" si="1"/>
        <v>0</v>
      </c>
      <c r="U23" s="12">
        <f t="shared" si="25"/>
        <v>41069.474159648547</v>
      </c>
      <c r="V23" s="289" t="e">
        <f t="shared" si="26"/>
        <v>#DIV/0!</v>
      </c>
      <c r="W23" s="289">
        <f t="shared" si="27"/>
        <v>93.146519649582572</v>
      </c>
      <c r="X23" s="290">
        <f t="shared" si="28"/>
        <v>0</v>
      </c>
      <c r="Y23" s="289">
        <f t="shared" si="29"/>
        <v>99.280285249300306</v>
      </c>
      <c r="Z23" s="392">
        <v>2.6</v>
      </c>
      <c r="AA23" s="391">
        <f t="shared" si="30"/>
        <v>677.80000000000007</v>
      </c>
      <c r="AB23" s="394" t="e">
        <f t="shared" si="2"/>
        <v>#DIV/0!</v>
      </c>
      <c r="AC23" s="394">
        <f t="shared" si="3"/>
        <v>1.5372661157789549</v>
      </c>
      <c r="AD23" s="389">
        <f t="shared" si="4"/>
        <v>0</v>
      </c>
      <c r="AE23" s="394">
        <f t="shared" si="5"/>
        <v>1.6384961998878345</v>
      </c>
      <c r="AF23" s="393">
        <f>'15'!I46</f>
        <v>6015.0599999992719</v>
      </c>
      <c r="AG23" s="391">
        <f t="shared" si="31"/>
        <v>423278.2400000004</v>
      </c>
      <c r="AH23" s="394" t="e">
        <f t="shared" si="6"/>
        <v>#DIV/0!</v>
      </c>
      <c r="AI23" s="394">
        <f t="shared" si="7"/>
        <v>960.00486264171263</v>
      </c>
      <c r="AJ23" s="394">
        <f t="shared" si="8"/>
        <v>0</v>
      </c>
      <c r="AK23" s="394">
        <f t="shared" si="9"/>
        <v>1023.2218762691227</v>
      </c>
      <c r="AL23" s="448">
        <v>0</v>
      </c>
      <c r="AM23" s="449">
        <v>6410.1</v>
      </c>
      <c r="AN23" s="449">
        <v>3956.6</v>
      </c>
      <c r="AO23" s="449">
        <f t="shared" si="40"/>
        <v>10366.700000000001</v>
      </c>
      <c r="AP23" s="581">
        <f>+[1]Sept!N18</f>
        <v>9595</v>
      </c>
      <c r="AQ23" s="481">
        <f t="shared" si="10"/>
        <v>-771.70000000000073</v>
      </c>
      <c r="AR23" s="452">
        <f t="shared" si="11"/>
        <v>0</v>
      </c>
      <c r="AS23" s="452">
        <f t="shared" si="12"/>
        <v>0.61833563236131073</v>
      </c>
      <c r="AT23" s="452">
        <f t="shared" si="33"/>
        <v>0.38166436763868927</v>
      </c>
      <c r="AU23" s="452">
        <f t="shared" si="34"/>
        <v>0</v>
      </c>
      <c r="AV23" s="452">
        <f t="shared" si="35"/>
        <v>-477.16960749322396</v>
      </c>
      <c r="AW23" s="452">
        <f t="shared" si="39"/>
        <v>-294.53039250677676</v>
      </c>
      <c r="AX23" s="395">
        <f t="shared" si="13"/>
        <v>0</v>
      </c>
      <c r="AY23" s="395">
        <f t="shared" si="14"/>
        <v>5932.9303925067761</v>
      </c>
      <c r="AZ23" s="395">
        <f t="shared" si="15"/>
        <v>3662.069607493223</v>
      </c>
      <c r="BA23" s="389">
        <f>+Efficiency2!K69</f>
        <v>0</v>
      </c>
      <c r="BB23" s="390">
        <f t="shared" si="36"/>
        <v>536.81519237549742</v>
      </c>
      <c r="BC23" s="414" t="e">
        <f t="shared" si="37"/>
        <v>#DIV/0!</v>
      </c>
      <c r="BD23" s="414">
        <f t="shared" si="38"/>
        <v>0.77060412200599582</v>
      </c>
    </row>
    <row r="24" spans="1:56" s="395" customFormat="1" ht="12.75" customHeight="1">
      <c r="A24" s="409">
        <f t="shared" si="16"/>
        <v>45916</v>
      </c>
      <c r="B24" s="417" t="s">
        <v>424</v>
      </c>
      <c r="C24" s="396" t="s">
        <v>387</v>
      </c>
      <c r="D24" s="388">
        <f>+'16'!F42</f>
        <v>0</v>
      </c>
      <c r="E24" s="388">
        <f>+'16'!G42</f>
        <v>0</v>
      </c>
      <c r="F24" s="46" t="e">
        <f t="shared" si="0"/>
        <v>#DIV/0!</v>
      </c>
      <c r="G24" s="413">
        <f t="shared" si="17"/>
        <v>0</v>
      </c>
      <c r="H24" s="410">
        <f t="shared" si="18"/>
        <v>0</v>
      </c>
      <c r="I24" s="410" t="e">
        <f t="shared" si="19"/>
        <v>#DIV/0!</v>
      </c>
      <c r="J24" s="414">
        <f>+R24/L24</f>
        <v>0</v>
      </c>
      <c r="K24" s="414">
        <f t="shared" si="21"/>
        <v>0.5942392566581356</v>
      </c>
      <c r="L24" s="389">
        <f>+Efficiency1!K74</f>
        <v>43.20594432</v>
      </c>
      <c r="M24" s="390">
        <f t="shared" si="22"/>
        <v>696.13711205549725</v>
      </c>
      <c r="N24" s="389">
        <f>+Efficiency1!C74</f>
        <v>43.20594432</v>
      </c>
      <c r="O24" s="390">
        <f t="shared" si="22"/>
        <v>687.21331570487541</v>
      </c>
      <c r="P24" s="390">
        <f>'16'!I38</f>
        <v>0</v>
      </c>
      <c r="Q24" s="390">
        <f t="shared" si="23"/>
        <v>440.91260000000005</v>
      </c>
      <c r="R24" s="390">
        <f>'16'!I40</f>
        <v>0</v>
      </c>
      <c r="S24" s="390">
        <f t="shared" si="24"/>
        <v>413.67199999999991</v>
      </c>
      <c r="T24" s="95">
        <f t="shared" si="1"/>
        <v>0</v>
      </c>
      <c r="U24" s="12">
        <f t="shared" si="25"/>
        <v>41069.474159648547</v>
      </c>
      <c r="V24" s="289" t="e">
        <f t="shared" si="26"/>
        <v>#DIV/0!</v>
      </c>
      <c r="W24" s="289">
        <f t="shared" si="27"/>
        <v>93.146519649582572</v>
      </c>
      <c r="X24" s="290">
        <f t="shared" si="28"/>
        <v>0</v>
      </c>
      <c r="Y24" s="289">
        <f t="shared" si="29"/>
        <v>99.280285249300306</v>
      </c>
      <c r="Z24" s="392">
        <v>15.3</v>
      </c>
      <c r="AA24" s="391">
        <f t="shared" si="30"/>
        <v>693.1</v>
      </c>
      <c r="AB24" s="394" t="e">
        <f t="shared" si="2"/>
        <v>#DIV/0!</v>
      </c>
      <c r="AC24" s="394">
        <f t="shared" si="3"/>
        <v>1.5719668705317107</v>
      </c>
      <c r="AD24" s="389">
        <f t="shared" si="4"/>
        <v>0</v>
      </c>
      <c r="AE24" s="394">
        <f t="shared" si="5"/>
        <v>1.67548202440581</v>
      </c>
      <c r="AF24" s="393">
        <f>'16'!I46</f>
        <v>8464.4200000003639</v>
      </c>
      <c r="AG24" s="391">
        <f t="shared" si="31"/>
        <v>431742.66000000079</v>
      </c>
      <c r="AH24" s="394" t="e">
        <f t="shared" si="6"/>
        <v>#DIV/0!</v>
      </c>
      <c r="AI24" s="394">
        <f t="shared" si="7"/>
        <v>979.2023634616038</v>
      </c>
      <c r="AJ24" s="394">
        <f t="shared" si="8"/>
        <v>0</v>
      </c>
      <c r="AK24" s="394">
        <f t="shared" si="9"/>
        <v>1043.6835463845775</v>
      </c>
      <c r="AL24" s="448">
        <v>0</v>
      </c>
      <c r="AM24" s="449">
        <v>6261.7</v>
      </c>
      <c r="AN24" s="449">
        <v>3554</v>
      </c>
      <c r="AO24" s="449">
        <f t="shared" si="40"/>
        <v>9815.7000000000007</v>
      </c>
      <c r="AP24" s="582">
        <f>+[1]Sept!N19</f>
        <v>9071</v>
      </c>
      <c r="AQ24" s="481">
        <f t="shared" si="10"/>
        <v>-744.70000000000073</v>
      </c>
      <c r="AR24" s="452">
        <f t="shared" si="11"/>
        <v>0</v>
      </c>
      <c r="AS24" s="452">
        <f t="shared" si="12"/>
        <v>0.63792699450879709</v>
      </c>
      <c r="AT24" s="452">
        <f t="shared" si="33"/>
        <v>0.36207300549120291</v>
      </c>
      <c r="AU24" s="452">
        <f t="shared" si="34"/>
        <v>0</v>
      </c>
      <c r="AV24" s="452">
        <f t="shared" si="35"/>
        <v>-475.06423281070164</v>
      </c>
      <c r="AW24" s="452">
        <f t="shared" si="39"/>
        <v>-269.63576718929909</v>
      </c>
      <c r="AX24" s="395">
        <f t="shared" si="13"/>
        <v>0</v>
      </c>
      <c r="AY24" s="395">
        <f t="shared" si="14"/>
        <v>5786.6357671892983</v>
      </c>
      <c r="AZ24" s="395">
        <f t="shared" si="15"/>
        <v>3284.3642328107007</v>
      </c>
      <c r="BA24" s="389">
        <f>+Efficiency2!K74</f>
        <v>0</v>
      </c>
      <c r="BB24" s="390">
        <f t="shared" si="36"/>
        <v>536.81519237549742</v>
      </c>
      <c r="BC24" s="414" t="e">
        <f t="shared" si="37"/>
        <v>#DIV/0!</v>
      </c>
      <c r="BD24" s="414">
        <f t="shared" si="38"/>
        <v>0.77060412200599582</v>
      </c>
    </row>
    <row r="25" spans="1:56" s="395" customFormat="1" ht="12.75" customHeight="1">
      <c r="A25" s="409">
        <f t="shared" si="16"/>
        <v>45917</v>
      </c>
      <c r="B25" s="417" t="s">
        <v>424</v>
      </c>
      <c r="C25" s="396" t="s">
        <v>387</v>
      </c>
      <c r="D25" s="388">
        <f>+'17'!F42</f>
        <v>0</v>
      </c>
      <c r="E25" s="388">
        <f>+'17'!G42</f>
        <v>0</v>
      </c>
      <c r="F25" s="46" t="e">
        <f t="shared" si="0"/>
        <v>#DIV/0!</v>
      </c>
      <c r="G25" s="413">
        <f t="shared" si="17"/>
        <v>0</v>
      </c>
      <c r="H25" s="410">
        <f t="shared" si="18"/>
        <v>0</v>
      </c>
      <c r="I25" s="410" t="e">
        <f t="shared" si="19"/>
        <v>#DIV/0!</v>
      </c>
      <c r="J25" s="414">
        <f t="shared" si="20"/>
        <v>0</v>
      </c>
      <c r="K25" s="414">
        <f t="shared" si="21"/>
        <v>0.5595129303411005</v>
      </c>
      <c r="L25" s="389">
        <f>+Efficiency1!K79</f>
        <v>43.20594432</v>
      </c>
      <c r="M25" s="390">
        <f t="shared" si="22"/>
        <v>739.34305637549721</v>
      </c>
      <c r="N25" s="389">
        <f>+Efficiency1!M79</f>
        <v>947.09999999999991</v>
      </c>
      <c r="O25" s="390">
        <f t="shared" si="22"/>
        <v>1634.3133157048753</v>
      </c>
      <c r="P25" s="390">
        <f>'17'!I38</f>
        <v>0</v>
      </c>
      <c r="Q25" s="390">
        <f t="shared" si="23"/>
        <v>440.91260000000005</v>
      </c>
      <c r="R25" s="390">
        <f>'17'!I40</f>
        <v>0</v>
      </c>
      <c r="S25" s="390">
        <f t="shared" si="24"/>
        <v>413.67199999999991</v>
      </c>
      <c r="T25" s="95">
        <f t="shared" si="1"/>
        <v>0</v>
      </c>
      <c r="U25" s="12">
        <f t="shared" si="25"/>
        <v>41069.474159648547</v>
      </c>
      <c r="V25" s="289" t="e">
        <f t="shared" si="26"/>
        <v>#DIV/0!</v>
      </c>
      <c r="W25" s="289">
        <f t="shared" si="27"/>
        <v>93.146519649582572</v>
      </c>
      <c r="X25" s="290">
        <f t="shared" si="28"/>
        <v>0</v>
      </c>
      <c r="Y25" s="289">
        <f t="shared" si="29"/>
        <v>99.280285249300306</v>
      </c>
      <c r="Z25" s="392">
        <v>5.5</v>
      </c>
      <c r="AA25" s="391">
        <f t="shared" si="30"/>
        <v>698.6</v>
      </c>
      <c r="AB25" s="394" t="e">
        <f t="shared" si="2"/>
        <v>#DIV/0!</v>
      </c>
      <c r="AC25" s="394">
        <f t="shared" si="3"/>
        <v>1.5844409980572112</v>
      </c>
      <c r="AD25" s="389">
        <f t="shared" si="4"/>
        <v>0</v>
      </c>
      <c r="AE25" s="394">
        <f t="shared" si="5"/>
        <v>1.6887775822390692</v>
      </c>
      <c r="AF25" s="393">
        <f>'17'!I46</f>
        <v>7350.7199999996374</v>
      </c>
      <c r="AG25" s="391">
        <f t="shared" si="31"/>
        <v>439093.38000000041</v>
      </c>
      <c r="AH25" s="394" t="e">
        <f t="shared" si="6"/>
        <v>#DIV/0!</v>
      </c>
      <c r="AI25" s="394">
        <f t="shared" si="7"/>
        <v>995.87396685873887</v>
      </c>
      <c r="AJ25" s="394">
        <f t="shared" si="8"/>
        <v>0</v>
      </c>
      <c r="AK25" s="394">
        <f t="shared" si="9"/>
        <v>1061.4529869075029</v>
      </c>
      <c r="AL25" s="448">
        <v>0</v>
      </c>
      <c r="AM25" s="449">
        <v>6367</v>
      </c>
      <c r="AN25" s="449">
        <v>3841.6</v>
      </c>
      <c r="AO25" s="449">
        <f t="shared" si="40"/>
        <v>10208.6</v>
      </c>
      <c r="AP25" s="583">
        <f>+[1]Sept!N20</f>
        <v>10291</v>
      </c>
      <c r="AQ25" s="481">
        <f t="shared" si="10"/>
        <v>82.399999999999636</v>
      </c>
      <c r="AR25" s="452">
        <f t="shared" si="11"/>
        <v>0</v>
      </c>
      <c r="AS25" s="452">
        <f t="shared" si="12"/>
        <v>0.62368983014321255</v>
      </c>
      <c r="AT25" s="452">
        <f t="shared" si="33"/>
        <v>0.37631016985678745</v>
      </c>
      <c r="AU25" s="452">
        <f t="shared" si="34"/>
        <v>0</v>
      </c>
      <c r="AV25" s="452">
        <f>+AS25*AQ25</f>
        <v>51.392042003800491</v>
      </c>
      <c r="AW25" s="452">
        <f t="shared" si="39"/>
        <v>31.007957996199149</v>
      </c>
      <c r="AX25" s="395">
        <f t="shared" si="13"/>
        <v>0</v>
      </c>
      <c r="AY25" s="395">
        <f t="shared" si="14"/>
        <v>6418.3920420038003</v>
      </c>
      <c r="AZ25" s="395">
        <f t="shared" si="15"/>
        <v>3872.6079579961993</v>
      </c>
      <c r="BA25" s="389">
        <f>+Efficiency2!K79</f>
        <v>0</v>
      </c>
      <c r="BB25" s="390">
        <f t="shared" si="36"/>
        <v>536.81519237549742</v>
      </c>
      <c r="BC25" s="414" t="e">
        <f t="shared" si="37"/>
        <v>#DIV/0!</v>
      </c>
      <c r="BD25" s="414">
        <f t="shared" si="38"/>
        <v>0.77060412200599582</v>
      </c>
    </row>
    <row r="26" spans="1:56" s="395" customFormat="1" ht="12.75" customHeight="1">
      <c r="A26" s="409">
        <f t="shared" si="16"/>
        <v>45918</v>
      </c>
      <c r="B26" s="417" t="s">
        <v>424</v>
      </c>
      <c r="C26" s="396" t="s">
        <v>387</v>
      </c>
      <c r="D26" s="388">
        <f>+'18'!F42</f>
        <v>0</v>
      </c>
      <c r="E26" s="388">
        <f>+'18'!G42</f>
        <v>0</v>
      </c>
      <c r="F26" s="46" t="e">
        <f t="shared" si="0"/>
        <v>#DIV/0!</v>
      </c>
      <c r="G26" s="413">
        <f t="shared" si="17"/>
        <v>0</v>
      </c>
      <c r="H26" s="410">
        <f t="shared" si="18"/>
        <v>0</v>
      </c>
      <c r="I26" s="410" t="e">
        <f t="shared" si="19"/>
        <v>#DIV/0!</v>
      </c>
      <c r="J26" s="414">
        <f t="shared" si="20"/>
        <v>0</v>
      </c>
      <c r="K26" s="414">
        <f t="shared" si="21"/>
        <v>0.52862121047032884</v>
      </c>
      <c r="L26" s="389">
        <f>+Efficiency1!K84</f>
        <v>43.20594432</v>
      </c>
      <c r="M26" s="390">
        <f t="shared" si="22"/>
        <v>782.54900069549717</v>
      </c>
      <c r="N26" s="389">
        <f>+Efficiency1!C84</f>
        <v>43.20594432</v>
      </c>
      <c r="O26" s="390">
        <f t="shared" si="22"/>
        <v>1677.5192600248754</v>
      </c>
      <c r="P26" s="390">
        <f>'18'!I38</f>
        <v>0</v>
      </c>
      <c r="Q26" s="390">
        <f t="shared" si="23"/>
        <v>440.91260000000005</v>
      </c>
      <c r="R26" s="390">
        <f>'18'!I40</f>
        <v>0</v>
      </c>
      <c r="S26" s="390">
        <f t="shared" si="24"/>
        <v>413.67199999999991</v>
      </c>
      <c r="T26" s="95">
        <f t="shared" si="1"/>
        <v>0</v>
      </c>
      <c r="U26" s="12">
        <f t="shared" si="25"/>
        <v>41069.474159648547</v>
      </c>
      <c r="V26" s="289" t="e">
        <f t="shared" si="26"/>
        <v>#DIV/0!</v>
      </c>
      <c r="W26" s="289">
        <f t="shared" si="27"/>
        <v>93.146519649582572</v>
      </c>
      <c r="X26" s="290">
        <f t="shared" si="28"/>
        <v>0</v>
      </c>
      <c r="Y26" s="289">
        <f t="shared" si="29"/>
        <v>99.280285249300306</v>
      </c>
      <c r="Z26" s="392">
        <v>2.7</v>
      </c>
      <c r="AA26" s="391">
        <f t="shared" si="30"/>
        <v>701.30000000000007</v>
      </c>
      <c r="AB26" s="394" t="e">
        <f t="shared" si="2"/>
        <v>#DIV/0!</v>
      </c>
      <c r="AC26" s="394">
        <f t="shared" si="3"/>
        <v>1.5905646606606387</v>
      </c>
      <c r="AD26" s="389">
        <f t="shared" si="4"/>
        <v>0</v>
      </c>
      <c r="AE26" s="394">
        <f t="shared" si="5"/>
        <v>1.6953044924481238</v>
      </c>
      <c r="AF26" s="393">
        <f>'18'!I46</f>
        <v>5151.8599999996368</v>
      </c>
      <c r="AG26" s="391">
        <f t="shared" si="31"/>
        <v>444245.24000000005</v>
      </c>
      <c r="AH26" s="394" t="e">
        <f t="shared" si="6"/>
        <v>#DIV/0!</v>
      </c>
      <c r="AI26" s="394">
        <f t="shared" si="7"/>
        <v>1007.5585047921063</v>
      </c>
      <c r="AJ26" s="394">
        <f t="shared" si="8"/>
        <v>0</v>
      </c>
      <c r="AK26" s="394">
        <f t="shared" si="9"/>
        <v>1073.9069601036574</v>
      </c>
      <c r="AL26" s="448">
        <v>0</v>
      </c>
      <c r="AM26" s="449">
        <v>6018</v>
      </c>
      <c r="AN26" s="449">
        <v>3472.3</v>
      </c>
      <c r="AO26" s="449">
        <f t="shared" si="40"/>
        <v>9490.2999999999993</v>
      </c>
      <c r="AP26" s="584">
        <f>+[1]Sept!N21</f>
        <v>9231</v>
      </c>
      <c r="AQ26" s="481">
        <f t="shared" si="10"/>
        <v>-259.29999999999927</v>
      </c>
      <c r="AR26" s="452">
        <f t="shared" si="11"/>
        <v>0</v>
      </c>
      <c r="AS26" s="452">
        <f t="shared" si="12"/>
        <v>0.6341211552848699</v>
      </c>
      <c r="AT26" s="452">
        <f t="shared" si="33"/>
        <v>0.3658788447151301</v>
      </c>
      <c r="AU26" s="452">
        <f t="shared" si="34"/>
        <v>0</v>
      </c>
      <c r="AV26" s="452">
        <f t="shared" si="35"/>
        <v>-164.4276155653663</v>
      </c>
      <c r="AW26" s="452">
        <f t="shared" si="39"/>
        <v>-94.872384434632963</v>
      </c>
      <c r="AX26" s="395">
        <f t="shared" si="13"/>
        <v>0</v>
      </c>
      <c r="AY26" s="395">
        <f t="shared" si="14"/>
        <v>5853.5723844346339</v>
      </c>
      <c r="AZ26" s="395">
        <f t="shared" si="15"/>
        <v>3377.4276155653674</v>
      </c>
      <c r="BA26" s="389">
        <f>+Efficiency2!K84</f>
        <v>0</v>
      </c>
      <c r="BB26" s="390">
        <f t="shared" si="36"/>
        <v>536.81519237549742</v>
      </c>
      <c r="BC26" s="414" t="e">
        <f t="shared" si="37"/>
        <v>#DIV/0!</v>
      </c>
      <c r="BD26" s="414">
        <f t="shared" si="38"/>
        <v>0.77060412200599582</v>
      </c>
    </row>
    <row r="27" spans="1:56" s="395" customFormat="1" ht="12.75" customHeight="1">
      <c r="A27" s="409">
        <f t="shared" si="16"/>
        <v>45919</v>
      </c>
      <c r="B27" s="417" t="s">
        <v>424</v>
      </c>
      <c r="C27" s="396" t="s">
        <v>387</v>
      </c>
      <c r="D27" s="388">
        <f>+'19'!F42</f>
        <v>0</v>
      </c>
      <c r="E27" s="388">
        <f>+'19'!G42</f>
        <v>0</v>
      </c>
      <c r="F27" s="46" t="e">
        <f t="shared" si="0"/>
        <v>#DIV/0!</v>
      </c>
      <c r="G27" s="413">
        <f t="shared" si="17"/>
        <v>0</v>
      </c>
      <c r="H27" s="410">
        <f t="shared" si="18"/>
        <v>0</v>
      </c>
      <c r="I27" s="410" t="e">
        <f t="shared" si="19"/>
        <v>#DIV/0!</v>
      </c>
      <c r="J27" s="414">
        <f t="shared" si="20"/>
        <v>0</v>
      </c>
      <c r="K27" s="414">
        <f t="shared" si="21"/>
        <v>0.50096218314773333</v>
      </c>
      <c r="L27" s="389">
        <f>+Efficiency1!K89</f>
        <v>43.20594432</v>
      </c>
      <c r="M27" s="390">
        <f t="shared" si="22"/>
        <v>825.75494501549713</v>
      </c>
      <c r="N27" s="389">
        <f>+Efficiency1!C89</f>
        <v>43.20594432</v>
      </c>
      <c r="O27" s="390">
        <f t="shared" si="22"/>
        <v>1720.7252043448755</v>
      </c>
      <c r="P27" s="390">
        <f>'19'!I38</f>
        <v>0</v>
      </c>
      <c r="Q27" s="390">
        <f t="shared" si="23"/>
        <v>440.91260000000005</v>
      </c>
      <c r="R27" s="390">
        <f>'19'!I40</f>
        <v>0</v>
      </c>
      <c r="S27" s="390">
        <f t="shared" si="24"/>
        <v>413.67199999999991</v>
      </c>
      <c r="T27" s="95">
        <f t="shared" si="1"/>
        <v>0</v>
      </c>
      <c r="U27" s="12">
        <f t="shared" si="25"/>
        <v>41069.474159648547</v>
      </c>
      <c r="V27" s="289" t="e">
        <f t="shared" si="26"/>
        <v>#DIV/0!</v>
      </c>
      <c r="W27" s="289">
        <f t="shared" si="27"/>
        <v>93.146519649582572</v>
      </c>
      <c r="X27" s="290">
        <f t="shared" si="28"/>
        <v>0</v>
      </c>
      <c r="Y27" s="289">
        <f t="shared" si="29"/>
        <v>99.280285249300306</v>
      </c>
      <c r="Z27" s="392">
        <v>3.9</v>
      </c>
      <c r="AA27" s="391">
        <f t="shared" si="30"/>
        <v>705.2</v>
      </c>
      <c r="AB27" s="394" t="e">
        <f t="shared" si="2"/>
        <v>#DIV/0!</v>
      </c>
      <c r="AC27" s="394">
        <f t="shared" si="3"/>
        <v>1.5994099510878119</v>
      </c>
      <c r="AD27" s="389">
        <f t="shared" si="4"/>
        <v>0</v>
      </c>
      <c r="AE27" s="394">
        <f t="shared" si="5"/>
        <v>1.7047322516389802</v>
      </c>
      <c r="AF27" s="393">
        <f>'19'!I46</f>
        <v>7147.1000000014556</v>
      </c>
      <c r="AG27" s="391">
        <f t="shared" si="31"/>
        <v>451392.34000000148</v>
      </c>
      <c r="AH27" s="394" t="e">
        <f t="shared" si="6"/>
        <v>#DIV/0!</v>
      </c>
      <c r="AI27" s="394">
        <f t="shared" si="7"/>
        <v>1023.7682933080195</v>
      </c>
      <c r="AJ27" s="394">
        <f t="shared" si="8"/>
        <v>0</v>
      </c>
      <c r="AK27" s="394">
        <f t="shared" si="9"/>
        <v>1091.1841749018586</v>
      </c>
      <c r="AL27" s="448">
        <v>0</v>
      </c>
      <c r="AM27" s="449">
        <v>6275.7</v>
      </c>
      <c r="AN27" s="449">
        <v>3535.4</v>
      </c>
      <c r="AO27" s="449">
        <f t="shared" si="40"/>
        <v>9811.1</v>
      </c>
      <c r="AP27" s="585">
        <f>+[1]Sept!N22</f>
        <v>9557</v>
      </c>
      <c r="AQ27" s="481">
        <f t="shared" si="10"/>
        <v>-254.10000000000036</v>
      </c>
      <c r="AR27" s="452">
        <f t="shared" si="11"/>
        <v>0</v>
      </c>
      <c r="AS27" s="452">
        <f t="shared" si="12"/>
        <v>0.63965304603968964</v>
      </c>
      <c r="AT27" s="452">
        <f t="shared" si="33"/>
        <v>0.36034695396031036</v>
      </c>
      <c r="AU27" s="452">
        <f t="shared" si="34"/>
        <v>0</v>
      </c>
      <c r="AV27" s="452">
        <f t="shared" si="35"/>
        <v>-162.53583899868536</v>
      </c>
      <c r="AW27" s="452">
        <f>+AT27*AQ27</f>
        <v>-91.564161001314986</v>
      </c>
      <c r="AX27" s="395">
        <f t="shared" si="13"/>
        <v>0</v>
      </c>
      <c r="AY27" s="395">
        <f t="shared" si="14"/>
        <v>6113.1641610013148</v>
      </c>
      <c r="AZ27" s="395">
        <f t="shared" si="15"/>
        <v>3443.8358389986852</v>
      </c>
      <c r="BA27" s="389">
        <f>+Efficiency2!K89</f>
        <v>0</v>
      </c>
      <c r="BB27" s="390">
        <f t="shared" si="36"/>
        <v>536.81519237549742</v>
      </c>
      <c r="BC27" s="414" t="e">
        <f t="shared" si="37"/>
        <v>#DIV/0!</v>
      </c>
      <c r="BD27" s="414">
        <f t="shared" si="38"/>
        <v>0.77060412200599582</v>
      </c>
    </row>
    <row r="28" spans="1:56" s="395" customFormat="1" ht="12.75" customHeight="1">
      <c r="A28" s="409">
        <f t="shared" si="16"/>
        <v>45920</v>
      </c>
      <c r="B28" s="417" t="s">
        <v>424</v>
      </c>
      <c r="C28" s="396" t="s">
        <v>387</v>
      </c>
      <c r="D28" s="388">
        <f>+'20'!F42</f>
        <v>0</v>
      </c>
      <c r="E28" s="388">
        <f>+'20'!G42</f>
        <v>0</v>
      </c>
      <c r="F28" s="46" t="e">
        <f t="shared" si="0"/>
        <v>#DIV/0!</v>
      </c>
      <c r="G28" s="413">
        <f t="shared" si="17"/>
        <v>0</v>
      </c>
      <c r="H28" s="410">
        <f t="shared" si="18"/>
        <v>0</v>
      </c>
      <c r="I28" s="410" t="e">
        <f t="shared" si="19"/>
        <v>#DIV/0!</v>
      </c>
      <c r="J28" s="414">
        <f t="shared" si="20"/>
        <v>0</v>
      </c>
      <c r="K28" s="414">
        <f t="shared" si="21"/>
        <v>0.47605364646081938</v>
      </c>
      <c r="L28" s="389">
        <f>+Efficiency1!K94</f>
        <v>43.20594432</v>
      </c>
      <c r="M28" s="390">
        <f t="shared" si="22"/>
        <v>868.96088933549709</v>
      </c>
      <c r="N28" s="389">
        <f>+Efficiency1!C94</f>
        <v>43.20594432</v>
      </c>
      <c r="O28" s="390">
        <f t="shared" si="22"/>
        <v>1763.9311486648755</v>
      </c>
      <c r="P28" s="390">
        <f>'20'!I38</f>
        <v>0</v>
      </c>
      <c r="Q28" s="390">
        <f t="shared" si="23"/>
        <v>440.91260000000005</v>
      </c>
      <c r="R28" s="390">
        <f>'20'!I40</f>
        <v>0</v>
      </c>
      <c r="S28" s="390">
        <f t="shared" si="24"/>
        <v>413.67199999999991</v>
      </c>
      <c r="T28" s="95">
        <f t="shared" si="1"/>
        <v>0</v>
      </c>
      <c r="U28" s="12">
        <f t="shared" si="25"/>
        <v>41069.474159648547</v>
      </c>
      <c r="V28" s="289" t="e">
        <f t="shared" si="26"/>
        <v>#DIV/0!</v>
      </c>
      <c r="W28" s="289">
        <f t="shared" si="27"/>
        <v>93.146519649582572</v>
      </c>
      <c r="X28" s="290">
        <f t="shared" si="28"/>
        <v>0</v>
      </c>
      <c r="Y28" s="289">
        <f t="shared" si="29"/>
        <v>99.280285249300306</v>
      </c>
      <c r="Z28" s="392">
        <v>1.6</v>
      </c>
      <c r="AA28" s="391">
        <f t="shared" si="30"/>
        <v>706.80000000000007</v>
      </c>
      <c r="AB28" s="394" t="e">
        <f t="shared" si="2"/>
        <v>#DIV/0!</v>
      </c>
      <c r="AC28" s="394">
        <f t="shared" si="3"/>
        <v>1.6030387881861394</v>
      </c>
      <c r="AD28" s="389">
        <f t="shared" si="4"/>
        <v>0</v>
      </c>
      <c r="AE28" s="394">
        <f t="shared" si="5"/>
        <v>1.708600050281383</v>
      </c>
      <c r="AF28" s="393">
        <f>'20'!I46</f>
        <v>6389.0799999992723</v>
      </c>
      <c r="AG28" s="391">
        <f t="shared" si="31"/>
        <v>457781.42000000074</v>
      </c>
      <c r="AH28" s="394" t="e">
        <f t="shared" si="6"/>
        <v>#DIV/0!</v>
      </c>
      <c r="AI28" s="394">
        <f t="shared" si="7"/>
        <v>1038.2588748881315</v>
      </c>
      <c r="AJ28" s="394">
        <f t="shared" si="8"/>
        <v>0</v>
      </c>
      <c r="AK28" s="394">
        <f t="shared" si="9"/>
        <v>1106.628971745733</v>
      </c>
      <c r="AL28" s="448">
        <v>0</v>
      </c>
      <c r="AM28" s="484">
        <v>6260.9</v>
      </c>
      <c r="AN28" s="449">
        <v>3285.9</v>
      </c>
      <c r="AO28" s="449">
        <f t="shared" si="40"/>
        <v>9546.7999999999993</v>
      </c>
      <c r="AP28" s="586">
        <f>+[1]Sept!N23</f>
        <v>9331</v>
      </c>
      <c r="AQ28" s="481">
        <f t="shared" si="10"/>
        <v>-215.79999999999927</v>
      </c>
      <c r="AR28" s="452">
        <f t="shared" si="11"/>
        <v>0</v>
      </c>
      <c r="AS28" s="452">
        <f t="shared" si="12"/>
        <v>0.65581137134956213</v>
      </c>
      <c r="AT28" s="452">
        <f t="shared" si="33"/>
        <v>0.34418862865043787</v>
      </c>
      <c r="AU28" s="452">
        <f t="shared" si="34"/>
        <v>0</v>
      </c>
      <c r="AV28" s="452">
        <f t="shared" si="35"/>
        <v>-141.52409393723502</v>
      </c>
      <c r="AW28" s="452">
        <f t="shared" si="39"/>
        <v>-74.275906062764236</v>
      </c>
      <c r="AX28" s="395">
        <f t="shared" si="13"/>
        <v>0</v>
      </c>
      <c r="AY28" s="395">
        <f t="shared" si="14"/>
        <v>6119.3759060627644</v>
      </c>
      <c r="AZ28" s="395">
        <f t="shared" si="15"/>
        <v>3211.624093937236</v>
      </c>
      <c r="BA28" s="389">
        <f>+Efficiency2!K94</f>
        <v>0</v>
      </c>
      <c r="BB28" s="390">
        <f t="shared" si="36"/>
        <v>536.81519237549742</v>
      </c>
      <c r="BC28" s="414" t="e">
        <f t="shared" si="37"/>
        <v>#DIV/0!</v>
      </c>
      <c r="BD28" s="414">
        <f t="shared" si="38"/>
        <v>0.77060412200599582</v>
      </c>
    </row>
    <row r="29" spans="1:56" s="395" customFormat="1" ht="12.75" customHeight="1">
      <c r="A29" s="409">
        <f t="shared" si="16"/>
        <v>45921</v>
      </c>
      <c r="B29" s="417" t="s">
        <v>424</v>
      </c>
      <c r="C29" s="396" t="s">
        <v>387</v>
      </c>
      <c r="D29" s="388">
        <f>+'21'!F42</f>
        <v>0</v>
      </c>
      <c r="E29" s="388">
        <f>+'21'!G42</f>
        <v>0</v>
      </c>
      <c r="F29" s="46" t="e">
        <f t="shared" si="0"/>
        <v>#DIV/0!</v>
      </c>
      <c r="G29" s="413">
        <f t="shared" si="17"/>
        <v>0</v>
      </c>
      <c r="H29" s="410">
        <f t="shared" si="18"/>
        <v>0</v>
      </c>
      <c r="I29" s="410" t="e">
        <f t="shared" si="19"/>
        <v>#DIV/0!</v>
      </c>
      <c r="J29" s="414">
        <f t="shared" si="20"/>
        <v>0</v>
      </c>
      <c r="K29" s="414">
        <f t="shared" si="21"/>
        <v>0.4535047589290378</v>
      </c>
      <c r="L29" s="389">
        <f>+Efficiency1!K99</f>
        <v>43.20594432</v>
      </c>
      <c r="M29" s="390">
        <f t="shared" si="22"/>
        <v>912.16683365549704</v>
      </c>
      <c r="N29" s="389">
        <f>+Efficiency1!C99</f>
        <v>43.20594432</v>
      </c>
      <c r="O29" s="390">
        <f t="shared" si="22"/>
        <v>1807.1370929848756</v>
      </c>
      <c r="P29" s="390">
        <f>'21'!I38</f>
        <v>0</v>
      </c>
      <c r="Q29" s="390">
        <f t="shared" si="23"/>
        <v>440.91260000000005</v>
      </c>
      <c r="R29" s="390">
        <f>'21'!I40</f>
        <v>0</v>
      </c>
      <c r="S29" s="390">
        <f t="shared" si="24"/>
        <v>413.67199999999991</v>
      </c>
      <c r="T29" s="95">
        <f t="shared" si="1"/>
        <v>0</v>
      </c>
      <c r="U29" s="12">
        <f t="shared" si="25"/>
        <v>41069.474159648547</v>
      </c>
      <c r="V29" s="289" t="e">
        <f t="shared" si="26"/>
        <v>#DIV/0!</v>
      </c>
      <c r="W29" s="289">
        <f t="shared" si="27"/>
        <v>93.146519649582572</v>
      </c>
      <c r="X29" s="290">
        <f t="shared" si="28"/>
        <v>0</v>
      </c>
      <c r="Y29" s="289">
        <f t="shared" si="29"/>
        <v>99.280285249300306</v>
      </c>
      <c r="Z29" s="392">
        <v>7.3</v>
      </c>
      <c r="AA29" s="391">
        <f t="shared" si="30"/>
        <v>714.1</v>
      </c>
      <c r="AB29" s="394" t="e">
        <f t="shared" si="2"/>
        <v>#DIV/0!</v>
      </c>
      <c r="AC29" s="394">
        <f t="shared" si="3"/>
        <v>1.6195953574472581</v>
      </c>
      <c r="AD29" s="389">
        <f t="shared" si="4"/>
        <v>0</v>
      </c>
      <c r="AE29" s="394">
        <f t="shared" si="5"/>
        <v>1.7262468815873451</v>
      </c>
      <c r="AF29" s="393">
        <f>'21'!I46</f>
        <v>9165.4799999996358</v>
      </c>
      <c r="AG29" s="391">
        <f t="shared" si="31"/>
        <v>466946.90000000037</v>
      </c>
      <c r="AH29" s="394" t="e">
        <f t="shared" si="6"/>
        <v>#DIV/0!</v>
      </c>
      <c r="AI29" s="394">
        <f t="shared" si="7"/>
        <v>1059.0463960431168</v>
      </c>
      <c r="AJ29" s="394">
        <f t="shared" si="8"/>
        <v>0</v>
      </c>
      <c r="AK29" s="394">
        <f t="shared" si="9"/>
        <v>1128.7853661838376</v>
      </c>
      <c r="AL29" s="448">
        <v>0</v>
      </c>
      <c r="AM29" s="484">
        <v>6251.9</v>
      </c>
      <c r="AN29" s="484">
        <v>3791.6</v>
      </c>
      <c r="AO29" s="449">
        <f t="shared" si="40"/>
        <v>10043.5</v>
      </c>
      <c r="AP29" s="586">
        <f>+[1]Sept!N24</f>
        <v>9789</v>
      </c>
      <c r="AQ29" s="481">
        <f t="shared" si="10"/>
        <v>-254.5</v>
      </c>
      <c r="AR29" s="452">
        <f t="shared" si="11"/>
        <v>0</v>
      </c>
      <c r="AS29" s="452">
        <f t="shared" si="12"/>
        <v>0.62248220241947527</v>
      </c>
      <c r="AT29" s="452">
        <f t="shared" si="33"/>
        <v>0.37751779758052473</v>
      </c>
      <c r="AU29" s="452">
        <f t="shared" si="34"/>
        <v>0</v>
      </c>
      <c r="AV29" s="452">
        <f t="shared" si="35"/>
        <v>-158.42172051575645</v>
      </c>
      <c r="AW29" s="452">
        <f t="shared" si="39"/>
        <v>-96.078279484243538</v>
      </c>
      <c r="AX29" s="395">
        <f t="shared" si="13"/>
        <v>0</v>
      </c>
      <c r="AY29" s="395">
        <f t="shared" si="14"/>
        <v>6093.4782794842431</v>
      </c>
      <c r="AZ29" s="395">
        <f t="shared" si="15"/>
        <v>3695.5217205157564</v>
      </c>
      <c r="BA29" s="389">
        <f>+Efficiency2!K99</f>
        <v>0</v>
      </c>
      <c r="BB29" s="390">
        <f t="shared" si="36"/>
        <v>536.81519237549742</v>
      </c>
      <c r="BC29" s="414" t="e">
        <f t="shared" si="37"/>
        <v>#DIV/0!</v>
      </c>
      <c r="BD29" s="414">
        <f t="shared" si="38"/>
        <v>0.77060412200599582</v>
      </c>
    </row>
    <row r="30" spans="1:56" s="395" customFormat="1" ht="12.75" customHeight="1">
      <c r="A30" s="409">
        <f t="shared" si="16"/>
        <v>45922</v>
      </c>
      <c r="B30" s="417" t="s">
        <v>424</v>
      </c>
      <c r="C30" s="396" t="s">
        <v>387</v>
      </c>
      <c r="D30" s="388">
        <f>+'22'!F42</f>
        <v>0</v>
      </c>
      <c r="E30" s="388">
        <f>+'22'!G42</f>
        <v>0</v>
      </c>
      <c r="F30" s="46" t="e">
        <f t="shared" si="0"/>
        <v>#DIV/0!</v>
      </c>
      <c r="G30" s="413">
        <f t="shared" si="17"/>
        <v>0</v>
      </c>
      <c r="H30" s="410">
        <f t="shared" si="18"/>
        <v>0</v>
      </c>
      <c r="I30" s="410" t="e">
        <f t="shared" si="19"/>
        <v>#DIV/0!</v>
      </c>
      <c r="J30" s="414">
        <f t="shared" si="20"/>
        <v>0</v>
      </c>
      <c r="K30" s="414">
        <f t="shared" si="21"/>
        <v>0.43299538100363333</v>
      </c>
      <c r="L30" s="389">
        <f>+Efficiency1!K104</f>
        <v>43.20594432</v>
      </c>
      <c r="M30" s="390">
        <f t="shared" si="22"/>
        <v>955.372777975497</v>
      </c>
      <c r="N30" s="389">
        <f>+Efficiency1!C104</f>
        <v>43.20594432</v>
      </c>
      <c r="O30" s="390">
        <f t="shared" si="22"/>
        <v>1850.3430373048757</v>
      </c>
      <c r="P30" s="390">
        <f>'22'!I38</f>
        <v>0</v>
      </c>
      <c r="Q30" s="390">
        <f t="shared" si="23"/>
        <v>440.91260000000005</v>
      </c>
      <c r="R30" s="390">
        <f>'22'!I40</f>
        <v>0</v>
      </c>
      <c r="S30" s="390">
        <f t="shared" si="24"/>
        <v>413.67199999999991</v>
      </c>
      <c r="T30" s="95">
        <f t="shared" si="1"/>
        <v>0</v>
      </c>
      <c r="U30" s="12">
        <f t="shared" si="25"/>
        <v>41069.474159648547</v>
      </c>
      <c r="V30" s="289" t="e">
        <f t="shared" si="26"/>
        <v>#DIV/0!</v>
      </c>
      <c r="W30" s="289">
        <f t="shared" si="27"/>
        <v>93.146519649582572</v>
      </c>
      <c r="X30" s="290">
        <f t="shared" si="28"/>
        <v>0</v>
      </c>
      <c r="Y30" s="289">
        <f t="shared" si="29"/>
        <v>99.280285249300306</v>
      </c>
      <c r="Z30" s="392">
        <v>18.2</v>
      </c>
      <c r="AA30" s="391">
        <f t="shared" si="30"/>
        <v>732.30000000000007</v>
      </c>
      <c r="AB30" s="394" t="e">
        <f t="shared" si="2"/>
        <v>#DIV/0!</v>
      </c>
      <c r="AC30" s="394">
        <f t="shared" si="3"/>
        <v>1.6608733794407327</v>
      </c>
      <c r="AD30" s="389">
        <f t="shared" si="4"/>
        <v>0</v>
      </c>
      <c r="AE30" s="394">
        <f t="shared" si="5"/>
        <v>1.7702430911446756</v>
      </c>
      <c r="AF30" s="393">
        <f>'22'!I46</f>
        <v>5417.6199999996352</v>
      </c>
      <c r="AG30" s="391">
        <f t="shared" si="31"/>
        <v>472364.52</v>
      </c>
      <c r="AH30" s="394" t="e">
        <f t="shared" si="6"/>
        <v>#DIV/0!</v>
      </c>
      <c r="AI30" s="394">
        <f t="shared" si="7"/>
        <v>1071.3336838185164</v>
      </c>
      <c r="AJ30" s="394">
        <f t="shared" si="8"/>
        <v>0</v>
      </c>
      <c r="AK30" s="394">
        <f t="shared" si="9"/>
        <v>1141.8817807344954</v>
      </c>
      <c r="AL30" s="483">
        <v>0</v>
      </c>
      <c r="AM30" s="449">
        <v>6289.2</v>
      </c>
      <c r="AN30" s="449">
        <v>3690</v>
      </c>
      <c r="AO30" s="449">
        <f t="shared" si="40"/>
        <v>9979.2000000000007</v>
      </c>
      <c r="AP30" s="587">
        <f>+[1]Sept!N25</f>
        <v>9757</v>
      </c>
      <c r="AQ30" s="481">
        <f t="shared" si="10"/>
        <v>-222.20000000000073</v>
      </c>
      <c r="AR30" s="452">
        <f>+AL30/AO30</f>
        <v>0</v>
      </c>
      <c r="AS30" s="452">
        <f t="shared" si="12"/>
        <v>0.63023088023088014</v>
      </c>
      <c r="AT30" s="452">
        <f t="shared" si="33"/>
        <v>0.36976911976911986</v>
      </c>
      <c r="AU30" s="452">
        <f t="shared" si="34"/>
        <v>0</v>
      </c>
      <c r="AV30" s="452">
        <f t="shared" si="35"/>
        <v>-140.03730158730204</v>
      </c>
      <c r="AW30" s="452">
        <f t="shared" si="39"/>
        <v>-82.162698412698703</v>
      </c>
      <c r="AX30" s="452">
        <f>+AL30+AU30</f>
        <v>0</v>
      </c>
      <c r="AY30" s="395">
        <f t="shared" si="14"/>
        <v>6149.1626984126979</v>
      </c>
      <c r="AZ30" s="395">
        <f t="shared" si="15"/>
        <v>3607.8373015873012</v>
      </c>
      <c r="BA30" s="389">
        <f>+Efficiency2!K104</f>
        <v>0</v>
      </c>
      <c r="BB30" s="390">
        <f t="shared" si="36"/>
        <v>536.81519237549742</v>
      </c>
      <c r="BC30" s="414" t="e">
        <f t="shared" si="37"/>
        <v>#DIV/0!</v>
      </c>
      <c r="BD30" s="414">
        <f t="shared" si="38"/>
        <v>0.77060412200599582</v>
      </c>
    </row>
    <row r="31" spans="1:56" s="395" customFormat="1" ht="12.75" customHeight="1">
      <c r="A31" s="409">
        <f t="shared" si="16"/>
        <v>45923</v>
      </c>
      <c r="B31" s="417" t="s">
        <v>424</v>
      </c>
      <c r="C31" s="396" t="s">
        <v>387</v>
      </c>
      <c r="D31" s="388">
        <f>+'23'!F42</f>
        <v>0</v>
      </c>
      <c r="E31" s="388">
        <f>+'23'!G42</f>
        <v>0</v>
      </c>
      <c r="F31" s="46" t="e">
        <f t="shared" si="0"/>
        <v>#DIV/0!</v>
      </c>
      <c r="G31" s="413">
        <f t="shared" si="17"/>
        <v>0</v>
      </c>
      <c r="H31" s="410">
        <f t="shared" si="18"/>
        <v>0</v>
      </c>
      <c r="I31" s="410" t="e">
        <f t="shared" si="19"/>
        <v>#DIV/0!</v>
      </c>
      <c r="J31" s="414">
        <f t="shared" si="20"/>
        <v>0</v>
      </c>
      <c r="K31" s="414">
        <f t="shared" si="21"/>
        <v>0.41426077960990954</v>
      </c>
      <c r="L31" s="389">
        <f>+Efficiency1!K109</f>
        <v>43.20594432</v>
      </c>
      <c r="M31" s="390">
        <f t="shared" si="22"/>
        <v>998.57872229549696</v>
      </c>
      <c r="N31" s="389">
        <f>+Efficiency1!C109</f>
        <v>43.20594432</v>
      </c>
      <c r="O31" s="390">
        <f t="shared" si="22"/>
        <v>1893.5489816248758</v>
      </c>
      <c r="P31" s="390">
        <f>'23'!I38</f>
        <v>0</v>
      </c>
      <c r="Q31" s="390">
        <f t="shared" si="23"/>
        <v>440.91260000000005</v>
      </c>
      <c r="R31" s="390">
        <f>'23'!I40</f>
        <v>0</v>
      </c>
      <c r="S31" s="390">
        <f t="shared" si="24"/>
        <v>413.67199999999991</v>
      </c>
      <c r="T31" s="95">
        <f t="shared" si="1"/>
        <v>0</v>
      </c>
      <c r="U31" s="12">
        <f t="shared" si="25"/>
        <v>41069.474159648547</v>
      </c>
      <c r="V31" s="289" t="e">
        <f t="shared" si="26"/>
        <v>#DIV/0!</v>
      </c>
      <c r="W31" s="289">
        <f t="shared" si="27"/>
        <v>93.146519649582572</v>
      </c>
      <c r="X31" s="290">
        <f t="shared" si="28"/>
        <v>0</v>
      </c>
      <c r="Y31" s="289">
        <f t="shared" si="29"/>
        <v>99.280285249300306</v>
      </c>
      <c r="Z31" s="392">
        <v>21.1</v>
      </c>
      <c r="AA31" s="391">
        <f t="shared" si="30"/>
        <v>753.40000000000009</v>
      </c>
      <c r="AB31" s="394" t="e">
        <f t="shared" si="2"/>
        <v>#DIV/0!</v>
      </c>
      <c r="AC31" s="394">
        <f t="shared" si="3"/>
        <v>1.7087286686749257</v>
      </c>
      <c r="AD31" s="389">
        <f t="shared" si="4"/>
        <v>0</v>
      </c>
      <c r="AE31" s="394">
        <f t="shared" si="5"/>
        <v>1.8212496857413609</v>
      </c>
      <c r="AF31" s="393">
        <f>'23'!I46</f>
        <v>7439.9000000014548</v>
      </c>
      <c r="AG31" s="391">
        <f t="shared" si="31"/>
        <v>479804.4200000015</v>
      </c>
      <c r="AH31" s="394" t="e">
        <f t="shared" si="6"/>
        <v>#DIV/0!</v>
      </c>
      <c r="AI31" s="394">
        <f t="shared" si="7"/>
        <v>1088.2075495234235</v>
      </c>
      <c r="AJ31" s="394">
        <f t="shared" si="8"/>
        <v>0</v>
      </c>
      <c r="AK31" s="394">
        <f t="shared" si="9"/>
        <v>1159.8668026842563</v>
      </c>
      <c r="AL31" s="448">
        <v>0</v>
      </c>
      <c r="AM31" s="449">
        <v>6222.9</v>
      </c>
      <c r="AN31" s="449">
        <v>3621.7</v>
      </c>
      <c r="AO31" s="449">
        <f>SUM(AL31:AN31)</f>
        <v>9844.5999999999985</v>
      </c>
      <c r="AP31" s="588">
        <f>+[1]Sept!N26</f>
        <v>9236</v>
      </c>
      <c r="AQ31" s="481">
        <f t="shared" si="10"/>
        <v>-608.59999999999854</v>
      </c>
      <c r="AR31" s="452">
        <f>+AL31/AO31</f>
        <v>0</v>
      </c>
      <c r="AS31" s="452">
        <f t="shared" si="12"/>
        <v>0.63211303658858664</v>
      </c>
      <c r="AT31" s="452">
        <f t="shared" si="33"/>
        <v>0.36788696341141336</v>
      </c>
      <c r="AU31" s="452">
        <f t="shared" si="34"/>
        <v>0</v>
      </c>
      <c r="AV31" s="452">
        <f t="shared" si="35"/>
        <v>-384.70399406781291</v>
      </c>
      <c r="AW31" s="452">
        <f t="shared" si="39"/>
        <v>-223.89600593218563</v>
      </c>
      <c r="AX31" s="452">
        <f>+AL31+AU31</f>
        <v>0</v>
      </c>
      <c r="AY31" s="395">
        <f t="shared" si="14"/>
        <v>5838.1960059321864</v>
      </c>
      <c r="AZ31" s="395">
        <f t="shared" si="15"/>
        <v>3397.8039940678141</v>
      </c>
      <c r="BA31" s="389">
        <f>+Efficiency2!K109</f>
        <v>0</v>
      </c>
      <c r="BB31" s="390">
        <f t="shared" si="36"/>
        <v>536.81519237549742</v>
      </c>
      <c r="BC31" s="414" t="e">
        <f t="shared" si="37"/>
        <v>#DIV/0!</v>
      </c>
      <c r="BD31" s="414">
        <f t="shared" si="38"/>
        <v>0.77060412200599582</v>
      </c>
    </row>
    <row r="32" spans="1:56" s="395" customFormat="1" ht="12.75" customHeight="1">
      <c r="A32" s="409">
        <f t="shared" si="16"/>
        <v>45924</v>
      </c>
      <c r="B32" s="417" t="s">
        <v>424</v>
      </c>
      <c r="C32" s="396" t="s">
        <v>387</v>
      </c>
      <c r="D32" s="388">
        <f>+'24'!F42</f>
        <v>0</v>
      </c>
      <c r="E32" s="388">
        <f>+'24'!G42</f>
        <v>0</v>
      </c>
      <c r="F32" s="46" t="e">
        <f t="shared" si="0"/>
        <v>#DIV/0!</v>
      </c>
      <c r="G32" s="413">
        <f t="shared" si="17"/>
        <v>0</v>
      </c>
      <c r="H32" s="410">
        <f t="shared" si="18"/>
        <v>0</v>
      </c>
      <c r="I32" s="410" t="e">
        <f t="shared" si="19"/>
        <v>#DIV/0!</v>
      </c>
      <c r="J32" s="414">
        <f t="shared" si="20"/>
        <v>0</v>
      </c>
      <c r="K32" s="414">
        <f t="shared" si="21"/>
        <v>0.39708013878138448</v>
      </c>
      <c r="L32" s="389">
        <f>+Efficiency1!K114</f>
        <v>43.20594432</v>
      </c>
      <c r="M32" s="390">
        <f t="shared" si="22"/>
        <v>1041.7846666154969</v>
      </c>
      <c r="N32" s="389">
        <f>+Efficiency1!C114</f>
        <v>43.20594432</v>
      </c>
      <c r="O32" s="390">
        <f t="shared" si="22"/>
        <v>1936.7549259448758</v>
      </c>
      <c r="P32" s="390">
        <f>'24'!I38</f>
        <v>0</v>
      </c>
      <c r="Q32" s="390">
        <f t="shared" si="23"/>
        <v>440.91260000000005</v>
      </c>
      <c r="R32" s="390">
        <f>'24'!I40</f>
        <v>0</v>
      </c>
      <c r="S32" s="390">
        <f t="shared" si="24"/>
        <v>413.67199999999991</v>
      </c>
      <c r="T32" s="95">
        <f t="shared" si="1"/>
        <v>0</v>
      </c>
      <c r="U32" s="12">
        <f t="shared" si="25"/>
        <v>41069.474159648547</v>
      </c>
      <c r="V32" s="289" t="e">
        <f t="shared" si="26"/>
        <v>#DIV/0!</v>
      </c>
      <c r="W32" s="289">
        <f t="shared" si="27"/>
        <v>93.146519649582572</v>
      </c>
      <c r="X32" s="290">
        <f t="shared" si="28"/>
        <v>0</v>
      </c>
      <c r="Y32" s="289">
        <f t="shared" si="29"/>
        <v>99.280285249300306</v>
      </c>
      <c r="Z32" s="392">
        <v>3.7</v>
      </c>
      <c r="AA32" s="391">
        <f t="shared" si="30"/>
        <v>757.10000000000014</v>
      </c>
      <c r="AB32" s="394" t="e">
        <f t="shared" si="2"/>
        <v>#DIV/0!</v>
      </c>
      <c r="AC32" s="394">
        <f t="shared" si="3"/>
        <v>1.7171203544648079</v>
      </c>
      <c r="AD32" s="389">
        <f t="shared" si="4"/>
        <v>0</v>
      </c>
      <c r="AE32" s="394">
        <f t="shared" si="5"/>
        <v>1.8301939701019172</v>
      </c>
      <c r="AF32" s="393">
        <f>+'24'!I46</f>
        <v>7098.8999999996358</v>
      </c>
      <c r="AG32" s="391">
        <f t="shared" si="31"/>
        <v>486903.32000000111</v>
      </c>
      <c r="AH32" s="394" t="e">
        <f t="shared" si="6"/>
        <v>#DIV/0!</v>
      </c>
      <c r="AI32" s="394">
        <f t="shared" si="7"/>
        <v>1104.3080193217456</v>
      </c>
      <c r="AJ32" s="394">
        <f t="shared" si="8"/>
        <v>0</v>
      </c>
      <c r="AK32" s="394">
        <f t="shared" si="9"/>
        <v>1177.0275000483505</v>
      </c>
      <c r="AL32" s="448">
        <v>0</v>
      </c>
      <c r="AM32" s="449">
        <v>5878.3</v>
      </c>
      <c r="AN32" s="449">
        <v>4024</v>
      </c>
      <c r="AO32" s="449">
        <f t="shared" si="40"/>
        <v>9902.2999999999993</v>
      </c>
      <c r="AP32" s="589">
        <f>+[1]Sept!N27</f>
        <v>9716</v>
      </c>
      <c r="AQ32" s="481">
        <f t="shared" si="10"/>
        <v>-186.29999999999927</v>
      </c>
      <c r="AR32" s="452">
        <f t="shared" si="11"/>
        <v>0</v>
      </c>
      <c r="AS32" s="452">
        <f t="shared" si="12"/>
        <v>0.593629762782384</v>
      </c>
      <c r="AT32" s="452">
        <f t="shared" si="33"/>
        <v>0.406370237217616</v>
      </c>
      <c r="AU32" s="452">
        <f t="shared" si="34"/>
        <v>0</v>
      </c>
      <c r="AV32" s="452">
        <f t="shared" si="35"/>
        <v>-110.59322480635771</v>
      </c>
      <c r="AW32" s="452">
        <f t="shared" si="39"/>
        <v>-75.706775193641562</v>
      </c>
      <c r="AX32" s="395">
        <f t="shared" si="13"/>
        <v>0</v>
      </c>
      <c r="AY32" s="395">
        <f t="shared" si="14"/>
        <v>5767.7067751936429</v>
      </c>
      <c r="AZ32" s="395">
        <f t="shared" si="15"/>
        <v>3948.2932248063585</v>
      </c>
      <c r="BA32" s="389">
        <f>+Efficiency2!K114</f>
        <v>0</v>
      </c>
      <c r="BB32" s="390">
        <f t="shared" si="36"/>
        <v>536.81519237549742</v>
      </c>
      <c r="BC32" s="414" t="e">
        <f t="shared" si="37"/>
        <v>#DIV/0!</v>
      </c>
      <c r="BD32" s="414">
        <f t="shared" si="38"/>
        <v>0.77060412200599582</v>
      </c>
    </row>
    <row r="33" spans="1:56" s="395" customFormat="1" ht="12.75" customHeight="1">
      <c r="A33" s="409">
        <f t="shared" si="16"/>
        <v>45925</v>
      </c>
      <c r="B33" s="417" t="s">
        <v>424</v>
      </c>
      <c r="C33" s="396" t="s">
        <v>387</v>
      </c>
      <c r="D33" s="388">
        <f>+'25'!F42</f>
        <v>0</v>
      </c>
      <c r="E33" s="388">
        <f>+'25'!G42</f>
        <v>0</v>
      </c>
      <c r="F33" s="46" t="e">
        <f t="shared" si="0"/>
        <v>#DIV/0!</v>
      </c>
      <c r="G33" s="413">
        <f t="shared" si="17"/>
        <v>0</v>
      </c>
      <c r="H33" s="410">
        <f t="shared" si="18"/>
        <v>0</v>
      </c>
      <c r="I33" s="410" t="e">
        <f t="shared" si="19"/>
        <v>#DIV/0!</v>
      </c>
      <c r="J33" s="414">
        <f t="shared" si="20"/>
        <v>0</v>
      </c>
      <c r="K33" s="414">
        <f t="shared" si="21"/>
        <v>0.38126781543604787</v>
      </c>
      <c r="L33" s="389">
        <f>+Efficiency1!K119</f>
        <v>43.20594432</v>
      </c>
      <c r="M33" s="390">
        <f t="shared" si="22"/>
        <v>1084.990610935497</v>
      </c>
      <c r="N33" s="389">
        <f>+Efficiency1!C119</f>
        <v>43.20594432</v>
      </c>
      <c r="O33" s="390">
        <f t="shared" si="22"/>
        <v>1979.9608702648759</v>
      </c>
      <c r="P33" s="390">
        <f>'25'!I38</f>
        <v>0</v>
      </c>
      <c r="Q33" s="390">
        <f t="shared" si="23"/>
        <v>440.91260000000005</v>
      </c>
      <c r="R33" s="390">
        <f>'25'!I40</f>
        <v>0</v>
      </c>
      <c r="S33" s="390">
        <f t="shared" si="24"/>
        <v>413.67199999999991</v>
      </c>
      <c r="T33" s="95">
        <f t="shared" si="1"/>
        <v>0</v>
      </c>
      <c r="U33" s="12">
        <f t="shared" si="25"/>
        <v>41069.474159648547</v>
      </c>
      <c r="V33" s="289" t="e">
        <f t="shared" si="26"/>
        <v>#DIV/0!</v>
      </c>
      <c r="W33" s="289">
        <f t="shared" si="27"/>
        <v>93.146519649582572</v>
      </c>
      <c r="X33" s="290">
        <f t="shared" si="28"/>
        <v>0</v>
      </c>
      <c r="Y33" s="289">
        <f t="shared" si="29"/>
        <v>99.280285249300306</v>
      </c>
      <c r="Z33" s="392">
        <v>4.5999999999999996</v>
      </c>
      <c r="AA33" s="391">
        <f t="shared" si="30"/>
        <v>761.70000000000016</v>
      </c>
      <c r="AB33" s="394" t="e">
        <f t="shared" si="2"/>
        <v>#DIV/0!</v>
      </c>
      <c r="AC33" s="394">
        <f t="shared" si="3"/>
        <v>1.7275532611224993</v>
      </c>
      <c r="AD33" s="389">
        <f t="shared" si="4"/>
        <v>0</v>
      </c>
      <c r="AE33" s="394">
        <f t="shared" si="5"/>
        <v>1.8413138911988249</v>
      </c>
      <c r="AF33" s="393">
        <f>+'25'!I46</f>
        <v>7965.8199999992721</v>
      </c>
      <c r="AG33" s="391">
        <f t="shared" si="31"/>
        <v>494869.14000000036</v>
      </c>
      <c r="AH33" s="394" t="e">
        <f t="shared" si="6"/>
        <v>#DIV/0!</v>
      </c>
      <c r="AI33" s="394">
        <f t="shared" si="7"/>
        <v>1122.3746837808678</v>
      </c>
      <c r="AJ33" s="394">
        <f t="shared" si="8"/>
        <v>0</v>
      </c>
      <c r="AK33" s="394">
        <f t="shared" si="9"/>
        <v>1196.2838674118636</v>
      </c>
      <c r="AL33" s="448">
        <v>0</v>
      </c>
      <c r="AM33" s="449">
        <v>6118.5</v>
      </c>
      <c r="AN33" s="449">
        <v>3643.9</v>
      </c>
      <c r="AO33" s="449">
        <f t="shared" si="40"/>
        <v>9762.4</v>
      </c>
      <c r="AP33" s="590">
        <f>+[1]Sept!N28</f>
        <v>9519</v>
      </c>
      <c r="AQ33" s="481">
        <f t="shared" si="10"/>
        <v>-243.39999999999964</v>
      </c>
      <c r="AR33" s="452">
        <f t="shared" si="11"/>
        <v>0</v>
      </c>
      <c r="AS33" s="452">
        <f t="shared" si="12"/>
        <v>0.62674137507170369</v>
      </c>
      <c r="AT33" s="452">
        <f t="shared" si="33"/>
        <v>0.37325862492829631</v>
      </c>
      <c r="AU33" s="452">
        <f t="shared" si="34"/>
        <v>0</v>
      </c>
      <c r="AV33" s="452">
        <f t="shared" si="35"/>
        <v>-152.54885069245245</v>
      </c>
      <c r="AW33" s="452">
        <f>+AT33*AQ33</f>
        <v>-90.851149307547189</v>
      </c>
      <c r="AX33" s="395">
        <f t="shared" si="13"/>
        <v>0</v>
      </c>
      <c r="AY33" s="395">
        <f t="shared" si="14"/>
        <v>5965.9511493075479</v>
      </c>
      <c r="AZ33" s="395">
        <f t="shared" si="15"/>
        <v>3553.048850692453</v>
      </c>
      <c r="BA33" s="389">
        <f>+Efficiency2!K119</f>
        <v>0</v>
      </c>
      <c r="BB33" s="390">
        <f t="shared" si="36"/>
        <v>536.81519237549742</v>
      </c>
      <c r="BC33" s="414" t="e">
        <f t="shared" si="37"/>
        <v>#DIV/0!</v>
      </c>
      <c r="BD33" s="414">
        <f t="shared" si="38"/>
        <v>0.77060412200599582</v>
      </c>
    </row>
    <row r="34" spans="1:56" s="395" customFormat="1" ht="12.75" customHeight="1">
      <c r="A34" s="409">
        <f t="shared" si="16"/>
        <v>45926</v>
      </c>
      <c r="B34" s="417" t="s">
        <v>424</v>
      </c>
      <c r="C34" s="396" t="s">
        <v>387</v>
      </c>
      <c r="D34" s="388">
        <f>+'26'!F42</f>
        <v>0</v>
      </c>
      <c r="E34" s="388">
        <f>+'26'!G42</f>
        <v>0</v>
      </c>
      <c r="F34" s="46" t="e">
        <f t="shared" si="0"/>
        <v>#DIV/0!</v>
      </c>
      <c r="G34" s="413">
        <f t="shared" si="17"/>
        <v>0</v>
      </c>
      <c r="H34" s="410">
        <f t="shared" si="18"/>
        <v>0</v>
      </c>
      <c r="I34" s="410" t="e">
        <f t="shared" si="19"/>
        <v>#DIV/0!</v>
      </c>
      <c r="J34" s="414">
        <f t="shared" si="20"/>
        <v>0</v>
      </c>
      <c r="K34" s="414">
        <f t="shared" si="21"/>
        <v>0.366666604389975</v>
      </c>
      <c r="L34" s="389">
        <f>+Efficiency1!K124</f>
        <v>43.20594432</v>
      </c>
      <c r="M34" s="390">
        <f t="shared" si="22"/>
        <v>1128.1965552554971</v>
      </c>
      <c r="N34" s="389">
        <f>+Efficiency1!C124</f>
        <v>43.20594432</v>
      </c>
      <c r="O34" s="390">
        <f t="shared" si="22"/>
        <v>2023.166814584876</v>
      </c>
      <c r="P34" s="390">
        <f>'26'!I38</f>
        <v>0</v>
      </c>
      <c r="Q34" s="390">
        <f t="shared" si="23"/>
        <v>440.91260000000005</v>
      </c>
      <c r="R34" s="390">
        <f>'26'!I40</f>
        <v>0</v>
      </c>
      <c r="S34" s="390">
        <f t="shared" si="24"/>
        <v>413.67199999999991</v>
      </c>
      <c r="T34" s="95">
        <f t="shared" si="1"/>
        <v>0</v>
      </c>
      <c r="U34" s="12">
        <f t="shared" si="25"/>
        <v>41069.474159648547</v>
      </c>
      <c r="V34" s="289" t="e">
        <f t="shared" si="26"/>
        <v>#DIV/0!</v>
      </c>
      <c r="W34" s="289">
        <f t="shared" si="27"/>
        <v>93.146519649582572</v>
      </c>
      <c r="X34" s="290">
        <f t="shared" si="28"/>
        <v>0</v>
      </c>
      <c r="Y34" s="289">
        <f t="shared" si="29"/>
        <v>99.280285249300306</v>
      </c>
      <c r="Z34" s="392">
        <v>4</v>
      </c>
      <c r="AA34" s="391">
        <f t="shared" si="30"/>
        <v>765.70000000000016</v>
      </c>
      <c r="AB34" s="394" t="e">
        <f t="shared" si="2"/>
        <v>#DIV/0!</v>
      </c>
      <c r="AC34" s="394">
        <f t="shared" si="3"/>
        <v>1.7366253538683178</v>
      </c>
      <c r="AD34" s="389">
        <f t="shared" si="4"/>
        <v>0</v>
      </c>
      <c r="AE34" s="394">
        <f t="shared" si="5"/>
        <v>1.8509833878048316</v>
      </c>
      <c r="AF34" s="393">
        <f>'26'!I46</f>
        <v>5555.8199999996359</v>
      </c>
      <c r="AG34" s="391">
        <f t="shared" si="31"/>
        <v>500424.96000000002</v>
      </c>
      <c r="AH34" s="394" t="e">
        <f t="shared" si="6"/>
        <v>#DIV/0!</v>
      </c>
      <c r="AI34" s="394">
        <f t="shared" si="7"/>
        <v>1134.9754123606358</v>
      </c>
      <c r="AJ34" s="394">
        <f t="shared" si="8"/>
        <v>0</v>
      </c>
      <c r="AK34" s="394">
        <f t="shared" si="9"/>
        <v>1209.714363070259</v>
      </c>
      <c r="AL34" s="448">
        <v>0</v>
      </c>
      <c r="AM34" s="449">
        <v>5867.5</v>
      </c>
      <c r="AN34" s="449">
        <v>4044.2</v>
      </c>
      <c r="AO34" s="449">
        <f t="shared" si="40"/>
        <v>9911.7000000000007</v>
      </c>
      <c r="AP34" s="591">
        <f>+[1]Sept!N29</f>
        <v>9800</v>
      </c>
      <c r="AQ34" s="481">
        <f t="shared" si="10"/>
        <v>-111.70000000000073</v>
      </c>
      <c r="AR34" s="452">
        <f t="shared" si="11"/>
        <v>0</v>
      </c>
      <c r="AS34" s="452">
        <f t="shared" si="12"/>
        <v>0.59197715830785835</v>
      </c>
      <c r="AT34" s="452">
        <f t="shared" si="33"/>
        <v>0.40802284169214165</v>
      </c>
      <c r="AU34" s="452">
        <f t="shared" si="34"/>
        <v>0</v>
      </c>
      <c r="AV34" s="452">
        <f t="shared" si="35"/>
        <v>-66.123848582988202</v>
      </c>
      <c r="AW34" s="452">
        <f>+AT34*AQ34</f>
        <v>-45.576151417012518</v>
      </c>
      <c r="AX34" s="395">
        <f t="shared" si="13"/>
        <v>0</v>
      </c>
      <c r="AY34" s="395">
        <f t="shared" si="14"/>
        <v>5801.3761514170119</v>
      </c>
      <c r="AZ34" s="395">
        <f t="shared" si="15"/>
        <v>3998.6238485829872</v>
      </c>
      <c r="BA34" s="389">
        <f>+Efficiency2!K124</f>
        <v>0</v>
      </c>
      <c r="BB34" s="390">
        <f t="shared" si="36"/>
        <v>536.81519237549742</v>
      </c>
      <c r="BC34" s="414" t="e">
        <f t="shared" si="37"/>
        <v>#DIV/0!</v>
      </c>
      <c r="BD34" s="414">
        <f t="shared" si="38"/>
        <v>0.77060412200599582</v>
      </c>
    </row>
    <row r="35" spans="1:56" s="395" customFormat="1" ht="12.75" customHeight="1">
      <c r="A35" s="409">
        <f t="shared" si="16"/>
        <v>45927</v>
      </c>
      <c r="B35" s="417" t="s">
        <v>424</v>
      </c>
      <c r="C35" s="396" t="s">
        <v>387</v>
      </c>
      <c r="D35" s="388">
        <f>+'27'!F42</f>
        <v>0</v>
      </c>
      <c r="E35" s="388">
        <f>+'27'!G42</f>
        <v>0</v>
      </c>
      <c r="F35" s="46" t="e">
        <f t="shared" si="0"/>
        <v>#DIV/0!</v>
      </c>
      <c r="G35" s="413">
        <f t="shared" si="17"/>
        <v>0</v>
      </c>
      <c r="H35" s="410">
        <f t="shared" si="18"/>
        <v>0</v>
      </c>
      <c r="I35" s="410" t="e">
        <f t="shared" si="19"/>
        <v>#DIV/0!</v>
      </c>
      <c r="J35" s="414">
        <f t="shared" si="20"/>
        <v>0</v>
      </c>
      <c r="K35" s="414">
        <f t="shared" si="21"/>
        <v>0.35314249384810936</v>
      </c>
      <c r="L35" s="389">
        <f>+Efficiency1!K129</f>
        <v>43.20594432</v>
      </c>
      <c r="M35" s="390">
        <f t="shared" si="22"/>
        <v>1171.4024995754971</v>
      </c>
      <c r="N35" s="389">
        <f>+Efficiency1!C129</f>
        <v>43.20594432</v>
      </c>
      <c r="O35" s="390">
        <f t="shared" si="22"/>
        <v>2066.3727589048758</v>
      </c>
      <c r="P35" s="390">
        <f>'27'!I38</f>
        <v>0</v>
      </c>
      <c r="Q35" s="390">
        <f t="shared" si="23"/>
        <v>440.91260000000005</v>
      </c>
      <c r="R35" s="390">
        <f>'27'!I40</f>
        <v>0</v>
      </c>
      <c r="S35" s="390">
        <f t="shared" si="24"/>
        <v>413.67199999999991</v>
      </c>
      <c r="T35" s="95">
        <f t="shared" si="1"/>
        <v>0</v>
      </c>
      <c r="U35" s="12">
        <f t="shared" si="25"/>
        <v>41069.474159648547</v>
      </c>
      <c r="V35" s="289" t="e">
        <f t="shared" si="26"/>
        <v>#DIV/0!</v>
      </c>
      <c r="W35" s="289">
        <f t="shared" si="27"/>
        <v>93.146519649582572</v>
      </c>
      <c r="X35" s="290">
        <f t="shared" si="28"/>
        <v>0</v>
      </c>
      <c r="Y35" s="289">
        <f t="shared" si="29"/>
        <v>99.280285249300306</v>
      </c>
      <c r="Z35" s="392">
        <v>3.6</v>
      </c>
      <c r="AA35" s="391">
        <f t="shared" si="30"/>
        <v>769.30000000000018</v>
      </c>
      <c r="AB35" s="394" t="e">
        <f t="shared" si="2"/>
        <v>#DIV/0!</v>
      </c>
      <c r="AC35" s="394">
        <f t="shared" si="3"/>
        <v>1.7447902373395545</v>
      </c>
      <c r="AD35" s="389">
        <f t="shared" si="4"/>
        <v>0</v>
      </c>
      <c r="AE35" s="394">
        <f t="shared" si="5"/>
        <v>1.8596859347502377</v>
      </c>
      <c r="AF35" s="393">
        <f>'27'!I46</f>
        <v>6030.3000000014545</v>
      </c>
      <c r="AG35" s="391">
        <f t="shared" si="31"/>
        <v>506455.26000000146</v>
      </c>
      <c r="AH35" s="394" t="e">
        <f t="shared" si="6"/>
        <v>#DIV/0!</v>
      </c>
      <c r="AI35" s="394">
        <f t="shared" si="7"/>
        <v>1148.6522725819163</v>
      </c>
      <c r="AJ35" s="394">
        <f t="shared" si="8"/>
        <v>0</v>
      </c>
      <c r="AK35" s="394">
        <f t="shared" si="9"/>
        <v>1224.291854416063</v>
      </c>
      <c r="AL35" s="448">
        <v>0</v>
      </c>
      <c r="AM35" s="449">
        <v>5910.5</v>
      </c>
      <c r="AN35" s="449">
        <v>3593</v>
      </c>
      <c r="AO35" s="449">
        <f t="shared" si="40"/>
        <v>9503.5</v>
      </c>
      <c r="AP35" s="592">
        <f>+[1]Sept!N30</f>
        <v>9530</v>
      </c>
      <c r="AQ35" s="481">
        <f t="shared" si="10"/>
        <v>26.5</v>
      </c>
      <c r="AR35" s="452">
        <f t="shared" si="11"/>
        <v>0</v>
      </c>
      <c r="AS35" s="452">
        <f t="shared" si="12"/>
        <v>0.62192876308728362</v>
      </c>
      <c r="AT35" s="452">
        <f t="shared" si="33"/>
        <v>0.37807123691271638</v>
      </c>
      <c r="AU35" s="452">
        <f t="shared" si="34"/>
        <v>0</v>
      </c>
      <c r="AV35" s="452">
        <f t="shared" si="35"/>
        <v>16.481112221813017</v>
      </c>
      <c r="AW35" s="452">
        <f>+AT35*AQ35</f>
        <v>10.018887778186985</v>
      </c>
      <c r="AX35" s="395">
        <f t="shared" si="13"/>
        <v>0</v>
      </c>
      <c r="AY35" s="395">
        <f t="shared" si="14"/>
        <v>5926.9811122218134</v>
      </c>
      <c r="AZ35" s="395">
        <f t="shared" si="15"/>
        <v>3603.018887778187</v>
      </c>
      <c r="BA35" s="389">
        <f>+Efficiency2!K129</f>
        <v>0</v>
      </c>
      <c r="BB35" s="390">
        <f t="shared" si="36"/>
        <v>536.81519237549742</v>
      </c>
      <c r="BC35" s="414" t="e">
        <f t="shared" si="37"/>
        <v>#DIV/0!</v>
      </c>
      <c r="BD35" s="414">
        <f t="shared" si="38"/>
        <v>0.77060412200599582</v>
      </c>
    </row>
    <row r="36" spans="1:56" s="395" customFormat="1" ht="12.75" customHeight="1">
      <c r="A36" s="409">
        <f t="shared" si="16"/>
        <v>45928</v>
      </c>
      <c r="B36" s="417" t="s">
        <v>424</v>
      </c>
      <c r="C36" s="396" t="s">
        <v>387</v>
      </c>
      <c r="D36" s="388">
        <f>+'28'!F42</f>
        <v>0</v>
      </c>
      <c r="E36" s="388">
        <f>+'28'!G42</f>
        <v>0</v>
      </c>
      <c r="F36" s="46" t="e">
        <f t="shared" si="0"/>
        <v>#DIV/0!</v>
      </c>
      <c r="G36" s="413">
        <f t="shared" si="17"/>
        <v>0</v>
      </c>
      <c r="H36" s="410">
        <f t="shared" si="18"/>
        <v>0</v>
      </c>
      <c r="I36" s="410" t="e">
        <f t="shared" si="19"/>
        <v>#DIV/0!</v>
      </c>
      <c r="J36" s="414">
        <f t="shared" si="20"/>
        <v>0</v>
      </c>
      <c r="K36" s="414">
        <f t="shared" si="21"/>
        <v>0.3405805402383581</v>
      </c>
      <c r="L36" s="389">
        <f>+Efficiency1!K134</f>
        <v>43.20594432</v>
      </c>
      <c r="M36" s="390">
        <f t="shared" si="22"/>
        <v>1214.6084438954972</v>
      </c>
      <c r="N36" s="389">
        <f>+Efficiency1!C134</f>
        <v>43.20594432</v>
      </c>
      <c r="O36" s="390">
        <f t="shared" si="22"/>
        <v>2109.5787032248759</v>
      </c>
      <c r="P36" s="390">
        <f>'28'!I38</f>
        <v>0</v>
      </c>
      <c r="Q36" s="390">
        <f t="shared" si="23"/>
        <v>440.91260000000005</v>
      </c>
      <c r="R36" s="390">
        <f>'28'!I40</f>
        <v>0</v>
      </c>
      <c r="S36" s="390">
        <f t="shared" si="24"/>
        <v>413.67199999999991</v>
      </c>
      <c r="T36" s="95">
        <f t="shared" si="1"/>
        <v>0</v>
      </c>
      <c r="U36" s="12">
        <f t="shared" si="25"/>
        <v>41069.474159648547</v>
      </c>
      <c r="V36" s="289" t="e">
        <f t="shared" si="26"/>
        <v>#DIV/0!</v>
      </c>
      <c r="W36" s="289">
        <f t="shared" si="27"/>
        <v>93.146519649582572</v>
      </c>
      <c r="X36" s="290">
        <f t="shared" si="28"/>
        <v>0</v>
      </c>
      <c r="Y36" s="289">
        <f t="shared" si="29"/>
        <v>99.280285249300306</v>
      </c>
      <c r="Z36" s="392">
        <v>4.4000000000000004</v>
      </c>
      <c r="AA36" s="391">
        <f t="shared" si="30"/>
        <v>773.70000000000016</v>
      </c>
      <c r="AB36" s="394" t="e">
        <f t="shared" si="2"/>
        <v>#DIV/0!</v>
      </c>
      <c r="AC36" s="394">
        <f t="shared" si="3"/>
        <v>1.7547695393599549</v>
      </c>
      <c r="AD36" s="389">
        <f t="shared" si="4"/>
        <v>0</v>
      </c>
      <c r="AE36" s="394">
        <f t="shared" si="5"/>
        <v>1.870322381016845</v>
      </c>
      <c r="AF36" s="393">
        <f>'28'!I46</f>
        <v>9007.399999999272</v>
      </c>
      <c r="AG36" s="391">
        <f t="shared" si="31"/>
        <v>515462.66000000073</v>
      </c>
      <c r="AH36" s="394" t="e">
        <f t="shared" si="6"/>
        <v>#DIV/0!</v>
      </c>
      <c r="AI36" s="394">
        <f t="shared" si="7"/>
        <v>1169.0812646315862</v>
      </c>
      <c r="AJ36" s="394">
        <f t="shared" si="8"/>
        <v>0</v>
      </c>
      <c r="AK36" s="394">
        <f t="shared" si="9"/>
        <v>1246.0661103482973</v>
      </c>
      <c r="AL36" s="448">
        <v>0</v>
      </c>
      <c r="AM36" s="484">
        <v>6117.6</v>
      </c>
      <c r="AN36" s="449">
        <v>3584.6</v>
      </c>
      <c r="AO36" s="449">
        <f t="shared" si="40"/>
        <v>9702.2000000000007</v>
      </c>
      <c r="AP36" s="592">
        <f>+[1]Sept!N31</f>
        <v>9290</v>
      </c>
      <c r="AQ36" s="481">
        <f t="shared" si="10"/>
        <v>-412.20000000000073</v>
      </c>
      <c r="AR36" s="452">
        <f t="shared" si="11"/>
        <v>0</v>
      </c>
      <c r="AS36" s="452">
        <f t="shared" si="12"/>
        <v>0.63053740388777801</v>
      </c>
      <c r="AT36" s="452">
        <f t="shared" si="33"/>
        <v>0.36946259611222199</v>
      </c>
      <c r="AU36" s="452">
        <f>+AR36*AQ36</f>
        <v>0</v>
      </c>
      <c r="AV36" s="452">
        <f t="shared" si="35"/>
        <v>-259.90751788254255</v>
      </c>
      <c r="AW36" s="452">
        <f>+AT36*AQ36</f>
        <v>-152.29248211745818</v>
      </c>
      <c r="AX36" s="395">
        <f t="shared" si="13"/>
        <v>0</v>
      </c>
      <c r="AY36" s="395">
        <f t="shared" si="14"/>
        <v>5857.692482117458</v>
      </c>
      <c r="AZ36" s="395">
        <f t="shared" si="15"/>
        <v>3432.3075178825416</v>
      </c>
      <c r="BA36" s="389">
        <f>+Efficiency2!K134</f>
        <v>0</v>
      </c>
      <c r="BB36" s="390">
        <f t="shared" si="36"/>
        <v>536.81519237549742</v>
      </c>
      <c r="BC36" s="414" t="e">
        <f t="shared" si="37"/>
        <v>#DIV/0!</v>
      </c>
      <c r="BD36" s="414">
        <f t="shared" si="38"/>
        <v>0.77060412200599582</v>
      </c>
    </row>
    <row r="37" spans="1:56" s="395" customFormat="1" ht="12.75" customHeight="1">
      <c r="A37" s="409">
        <f t="shared" si="16"/>
        <v>45929</v>
      </c>
      <c r="B37" s="417" t="s">
        <v>424</v>
      </c>
      <c r="C37" s="396" t="s">
        <v>387</v>
      </c>
      <c r="D37" s="388">
        <f>+'29'!F42</f>
        <v>0</v>
      </c>
      <c r="E37" s="388">
        <f>+'29'!G42</f>
        <v>0</v>
      </c>
      <c r="F37" s="46" t="e">
        <f t="shared" si="0"/>
        <v>#DIV/0!</v>
      </c>
      <c r="G37" s="413">
        <f t="shared" si="17"/>
        <v>0</v>
      </c>
      <c r="H37" s="410">
        <f t="shared" si="18"/>
        <v>0</v>
      </c>
      <c r="I37" s="410" t="e">
        <f t="shared" si="19"/>
        <v>#DIV/0!</v>
      </c>
      <c r="J37" s="414">
        <f t="shared" si="20"/>
        <v>0</v>
      </c>
      <c r="K37" s="414">
        <f t="shared" si="21"/>
        <v>0.32888159324277566</v>
      </c>
      <c r="L37" s="389">
        <f>+Efficiency1!K139</f>
        <v>43.20594432</v>
      </c>
      <c r="M37" s="390">
        <f t="shared" si="22"/>
        <v>1257.8143882154973</v>
      </c>
      <c r="N37" s="389">
        <f>+Efficiency1!C139</f>
        <v>43.20594432</v>
      </c>
      <c r="O37" s="390">
        <f t="shared" si="22"/>
        <v>2152.784647544876</v>
      </c>
      <c r="P37" s="390">
        <f>'29'!I38</f>
        <v>0</v>
      </c>
      <c r="Q37" s="390">
        <f t="shared" si="23"/>
        <v>440.91260000000005</v>
      </c>
      <c r="R37" s="390">
        <f>'29'!I40</f>
        <v>0</v>
      </c>
      <c r="S37" s="390">
        <f t="shared" si="24"/>
        <v>413.67199999999991</v>
      </c>
      <c r="T37" s="95">
        <f t="shared" si="1"/>
        <v>0</v>
      </c>
      <c r="U37" s="12">
        <f t="shared" si="25"/>
        <v>41069.474159648547</v>
      </c>
      <c r="V37" s="289" t="e">
        <f t="shared" si="26"/>
        <v>#DIV/0!</v>
      </c>
      <c r="W37" s="289">
        <f t="shared" si="27"/>
        <v>93.146519649582572</v>
      </c>
      <c r="X37" s="290">
        <f t="shared" si="28"/>
        <v>0</v>
      </c>
      <c r="Y37" s="289">
        <f t="shared" si="29"/>
        <v>99.280285249300306</v>
      </c>
      <c r="Z37" s="392">
        <v>5.0999999999999996</v>
      </c>
      <c r="AA37" s="391">
        <f t="shared" si="30"/>
        <v>778.80000000000018</v>
      </c>
      <c r="AB37" s="394" t="e">
        <f t="shared" si="2"/>
        <v>#DIV/0!</v>
      </c>
      <c r="AC37" s="394">
        <f t="shared" si="3"/>
        <v>1.7663364576108735</v>
      </c>
      <c r="AD37" s="389">
        <f t="shared" si="4"/>
        <v>0</v>
      </c>
      <c r="AE37" s="394">
        <f t="shared" si="5"/>
        <v>1.8826509891895036</v>
      </c>
      <c r="AF37" s="393">
        <f>'29'!I46</f>
        <v>4763.0399999992733</v>
      </c>
      <c r="AG37" s="391">
        <f t="shared" si="31"/>
        <v>520225.7</v>
      </c>
      <c r="AH37" s="394" t="e">
        <f t="shared" si="6"/>
        <v>#DIV/0!</v>
      </c>
      <c r="AI37" s="394">
        <f t="shared" si="7"/>
        <v>1179.8839497895954</v>
      </c>
      <c r="AJ37" s="394">
        <f t="shared" si="8"/>
        <v>0</v>
      </c>
      <c r="AK37" s="394">
        <f t="shared" si="9"/>
        <v>1257.580160126864</v>
      </c>
      <c r="AL37" s="448">
        <v>0</v>
      </c>
      <c r="AM37" s="449">
        <v>5779.9</v>
      </c>
      <c r="AN37" s="449">
        <v>3840.3</v>
      </c>
      <c r="AO37" s="449">
        <f t="shared" si="40"/>
        <v>9620.2000000000007</v>
      </c>
      <c r="AP37" s="593">
        <f>+[1]Sept!N32</f>
        <v>9399</v>
      </c>
      <c r="AQ37" s="481">
        <f t="shared" si="10"/>
        <v>-221.20000000000073</v>
      </c>
      <c r="AR37" s="452">
        <f t="shared" si="11"/>
        <v>0</v>
      </c>
      <c r="AS37" s="452">
        <f t="shared" si="12"/>
        <v>0.60080871499553012</v>
      </c>
      <c r="AT37" s="452">
        <f t="shared" si="33"/>
        <v>0.39919128500446988</v>
      </c>
      <c r="AU37" s="452">
        <f t="shared" si="34"/>
        <v>0</v>
      </c>
      <c r="AV37" s="452">
        <f t="shared" si="35"/>
        <v>-132.89888775701169</v>
      </c>
      <c r="AW37" s="452">
        <f t="shared" si="39"/>
        <v>-88.301112242989021</v>
      </c>
      <c r="AX37" s="395">
        <f t="shared" si="13"/>
        <v>0</v>
      </c>
      <c r="AY37" s="395">
        <f t="shared" si="14"/>
        <v>5647.0011122429878</v>
      </c>
      <c r="AZ37" s="395">
        <f t="shared" si="15"/>
        <v>3751.9988877570113</v>
      </c>
      <c r="BA37" s="389">
        <f>+Efficiency2!K139</f>
        <v>0</v>
      </c>
      <c r="BB37" s="390">
        <f t="shared" si="36"/>
        <v>536.81519237549742</v>
      </c>
      <c r="BC37" s="414" t="e">
        <f t="shared" si="37"/>
        <v>#DIV/0!</v>
      </c>
      <c r="BD37" s="414">
        <f t="shared" si="38"/>
        <v>0.77060412200599582</v>
      </c>
    </row>
    <row r="38" spans="1:56" s="395" customFormat="1" ht="12.75" customHeight="1">
      <c r="A38" s="409">
        <f t="shared" si="16"/>
        <v>45930</v>
      </c>
      <c r="B38" s="417" t="s">
        <v>424</v>
      </c>
      <c r="C38" s="396" t="s">
        <v>387</v>
      </c>
      <c r="D38" s="388">
        <f>+'30'!F42</f>
        <v>0</v>
      </c>
      <c r="E38" s="388">
        <f>+'30'!G42</f>
        <v>0</v>
      </c>
      <c r="F38" s="46" t="e">
        <f t="shared" si="0"/>
        <v>#DIV/0!</v>
      </c>
      <c r="G38" s="413">
        <f t="shared" si="17"/>
        <v>0</v>
      </c>
      <c r="H38" s="410">
        <f t="shared" si="18"/>
        <v>0</v>
      </c>
      <c r="I38" s="410" t="e">
        <f t="shared" si="19"/>
        <v>#DIV/0!</v>
      </c>
      <c r="J38" s="414">
        <f t="shared" si="20"/>
        <v>0</v>
      </c>
      <c r="K38" s="414">
        <f t="shared" si="21"/>
        <v>0.31795967338482251</v>
      </c>
      <c r="L38" s="389">
        <f>+Efficiency1!K144</f>
        <v>43.20594432</v>
      </c>
      <c r="M38" s="390">
        <f t="shared" si="22"/>
        <v>1301.0203325354973</v>
      </c>
      <c r="N38" s="389">
        <f>+Efficiency1!C144</f>
        <v>43.20594432</v>
      </c>
      <c r="O38" s="390">
        <f t="shared" si="22"/>
        <v>2195.990591864876</v>
      </c>
      <c r="P38" s="390">
        <f>'30'!I38</f>
        <v>0</v>
      </c>
      <c r="Q38" s="390">
        <f t="shared" si="23"/>
        <v>440.91260000000005</v>
      </c>
      <c r="R38" s="390">
        <f>'30'!I40</f>
        <v>0</v>
      </c>
      <c r="S38" s="390">
        <f t="shared" si="24"/>
        <v>413.67199999999991</v>
      </c>
      <c r="T38" s="95">
        <f t="shared" si="1"/>
        <v>0</v>
      </c>
      <c r="U38" s="12">
        <f t="shared" si="25"/>
        <v>41069.474159648547</v>
      </c>
      <c r="V38" s="289" t="e">
        <f t="shared" si="26"/>
        <v>#DIV/0!</v>
      </c>
      <c r="W38" s="289">
        <f t="shared" si="27"/>
        <v>93.146519649582572</v>
      </c>
      <c r="X38" s="290">
        <f t="shared" si="28"/>
        <v>0</v>
      </c>
      <c r="Y38" s="289">
        <f t="shared" si="29"/>
        <v>99.280285249300306</v>
      </c>
      <c r="Z38" s="392">
        <v>5</v>
      </c>
      <c r="AA38" s="391">
        <f t="shared" si="30"/>
        <v>783.80000000000018</v>
      </c>
      <c r="AB38" s="394" t="e">
        <f t="shared" si="2"/>
        <v>#DIV/0!</v>
      </c>
      <c r="AC38" s="394">
        <f t="shared" si="3"/>
        <v>1.7776765735431468</v>
      </c>
      <c r="AD38" s="389">
        <f t="shared" si="4"/>
        <v>0</v>
      </c>
      <c r="AE38" s="394">
        <f t="shared" si="5"/>
        <v>1.8947378599470119</v>
      </c>
      <c r="AF38" s="393">
        <f>'30'!I46</f>
        <v>6338.6600000010912</v>
      </c>
      <c r="AG38" s="391">
        <f t="shared" si="31"/>
        <v>526564.36000000115</v>
      </c>
      <c r="AH38" s="394" t="e">
        <f t="shared" si="6"/>
        <v>#DIV/0!</v>
      </c>
      <c r="AI38" s="394">
        <f t="shared" si="7"/>
        <v>1194.2601776406505</v>
      </c>
      <c r="AJ38" s="394">
        <f t="shared" si="8"/>
        <v>0</v>
      </c>
      <c r="AK38" s="394">
        <f t="shared" si="9"/>
        <v>1272.9030729660244</v>
      </c>
      <c r="AL38" s="448">
        <v>0</v>
      </c>
      <c r="AM38" s="449">
        <v>5693.7</v>
      </c>
      <c r="AN38" s="449">
        <v>3441.7</v>
      </c>
      <c r="AO38" s="449">
        <f t="shared" si="40"/>
        <v>9135.4</v>
      </c>
      <c r="AP38" s="595">
        <f>+[1]Sept!N33</f>
        <v>8671</v>
      </c>
      <c r="AQ38" s="481">
        <f t="shared" si="10"/>
        <v>-464.39999999999964</v>
      </c>
      <c r="AR38" s="452">
        <f t="shared" ref="AR38" si="41">+AL38/AO38</f>
        <v>0</v>
      </c>
      <c r="AS38" s="452">
        <f t="shared" ref="AS38" si="42">+AM38/AO38</f>
        <v>0.62325678131225781</v>
      </c>
      <c r="AT38" s="452">
        <f t="shared" ref="AT38" si="43">1-AR38-AS38</f>
        <v>0.37674321868774219</v>
      </c>
      <c r="AU38" s="452">
        <f t="shared" ref="AU38" si="44">+AR38*AQ38</f>
        <v>0</v>
      </c>
      <c r="AV38" s="452">
        <f t="shared" ref="AV38" si="45">+AS38*AQ38</f>
        <v>-289.4404492414123</v>
      </c>
      <c r="AW38" s="452">
        <f t="shared" ref="AW38" si="46">+AT38*AQ38</f>
        <v>-174.95955075858734</v>
      </c>
      <c r="AX38" s="395">
        <f t="shared" ref="AX38" si="47">+AL38+AU38</f>
        <v>0</v>
      </c>
      <c r="AY38" s="395">
        <f t="shared" ref="AY38" si="48">+AM38+AV38</f>
        <v>5404.2595507585875</v>
      </c>
      <c r="AZ38" s="395">
        <f t="shared" ref="AZ38" si="49">+AN38+AW38</f>
        <v>3266.7404492414125</v>
      </c>
      <c r="BA38" s="389"/>
      <c r="BB38" s="390">
        <f t="shared" si="36"/>
        <v>536.81519237549742</v>
      </c>
      <c r="BC38" s="414" t="e">
        <f t="shared" si="37"/>
        <v>#DIV/0!</v>
      </c>
      <c r="BD38" s="414">
        <f t="shared" si="38"/>
        <v>0.77060412200599582</v>
      </c>
    </row>
    <row r="39" spans="1:56" s="395" customFormat="1" ht="12.75" customHeight="1">
      <c r="A39" s="409"/>
      <c r="B39" s="417"/>
      <c r="C39" s="387"/>
      <c r="D39" s="388"/>
      <c r="E39" s="388"/>
      <c r="F39" s="46"/>
      <c r="G39" s="413"/>
      <c r="H39" s="410"/>
      <c r="I39" s="410"/>
      <c r="J39" s="414"/>
      <c r="K39" s="414"/>
      <c r="L39" s="389"/>
      <c r="M39" s="390"/>
      <c r="N39" s="390"/>
      <c r="O39" s="390"/>
      <c r="P39" s="390"/>
      <c r="Q39" s="390"/>
      <c r="R39" s="390"/>
      <c r="S39" s="390"/>
      <c r="T39" s="95"/>
      <c r="U39" s="12"/>
      <c r="V39" s="289"/>
      <c r="W39" s="289"/>
      <c r="X39" s="290"/>
      <c r="Y39" s="289"/>
      <c r="Z39" s="392"/>
      <c r="AA39" s="391"/>
      <c r="AB39" s="394"/>
      <c r="AC39" s="394"/>
      <c r="AD39" s="389"/>
      <c r="AE39" s="394"/>
      <c r="AF39" s="393"/>
      <c r="AG39" s="391"/>
      <c r="AH39" s="394"/>
      <c r="AI39" s="394"/>
      <c r="AJ39" s="394"/>
      <c r="AK39" s="394"/>
      <c r="AL39" s="448"/>
      <c r="AM39" s="449"/>
      <c r="AN39" s="449"/>
      <c r="AO39" s="449"/>
      <c r="AP39" s="451"/>
      <c r="AQ39" s="481"/>
      <c r="AR39" s="452"/>
      <c r="AS39" s="452"/>
      <c r="AT39" s="452"/>
      <c r="AU39" s="452"/>
      <c r="AV39" s="452"/>
      <c r="AW39" s="452"/>
      <c r="BA39" s="389"/>
      <c r="BB39" s="390"/>
      <c r="BC39" s="414"/>
      <c r="BD39" s="414"/>
    </row>
    <row r="40" spans="1:56" s="395" customFormat="1" ht="12.75" customHeight="1" thickBot="1">
      <c r="A40" s="409"/>
      <c r="B40" s="397"/>
      <c r="C40" s="397"/>
      <c r="D40" s="397"/>
      <c r="E40" s="397"/>
      <c r="F40" s="411"/>
      <c r="G40" s="413"/>
      <c r="H40" s="410"/>
      <c r="I40" s="410"/>
      <c r="J40" s="414"/>
      <c r="K40" s="420"/>
      <c r="L40" s="398"/>
      <c r="M40" s="399"/>
      <c r="N40" s="399"/>
      <c r="O40" s="399"/>
      <c r="P40" s="399"/>
      <c r="Q40" s="399"/>
      <c r="R40" s="399"/>
      <c r="S40" s="399"/>
      <c r="T40" s="292"/>
      <c r="U40" s="291"/>
      <c r="V40" s="293"/>
      <c r="W40" s="293"/>
      <c r="X40" s="290"/>
      <c r="Y40" s="293"/>
      <c r="Z40" s="400"/>
      <c r="AA40" s="400"/>
      <c r="AB40" s="401"/>
      <c r="AC40" s="401"/>
      <c r="AD40" s="398"/>
      <c r="AE40" s="401"/>
      <c r="AF40" s="400"/>
      <c r="AG40" s="400"/>
      <c r="AH40" s="401"/>
      <c r="AI40" s="401"/>
      <c r="AJ40" s="401"/>
      <c r="AK40" s="401"/>
      <c r="AP40" s="451"/>
      <c r="AQ40" s="482"/>
      <c r="AX40" s="452"/>
      <c r="AY40" s="452"/>
      <c r="AZ40" s="452"/>
      <c r="BA40" s="398"/>
      <c r="BB40" s="399"/>
      <c r="BC40" s="414"/>
      <c r="BD40" s="420"/>
    </row>
    <row r="41" spans="1:56" s="395" customFormat="1" ht="12.75" customHeight="1" thickTop="1" thickBot="1">
      <c r="A41" s="402"/>
      <c r="B41" s="403"/>
      <c r="C41" s="403"/>
      <c r="D41" s="403"/>
      <c r="E41" s="403"/>
      <c r="F41" s="412"/>
      <c r="G41" s="413">
        <f t="shared" si="17"/>
        <v>0.20078073268318006</v>
      </c>
      <c r="H41" s="410">
        <f t="shared" si="18"/>
        <v>0.33889754754310891</v>
      </c>
      <c r="I41" s="410">
        <f t="shared" si="19"/>
        <v>0.93821768758706348</v>
      </c>
      <c r="J41" s="414">
        <f t="shared" si="20"/>
        <v>0.31795967338482251</v>
      </c>
      <c r="K41" s="420"/>
      <c r="L41" s="404">
        <f>SUM(L9:L39)</f>
        <v>1301.0203325354973</v>
      </c>
      <c r="M41" s="405"/>
      <c r="N41" s="404">
        <f>SUM(N9:N39)</f>
        <v>2195.990591864876</v>
      </c>
      <c r="O41" s="405"/>
      <c r="P41" s="404">
        <f>SUM(P9:P39)</f>
        <v>440.91260000000005</v>
      </c>
      <c r="Q41" s="405"/>
      <c r="R41" s="404">
        <f>SUM(R9:R39)</f>
        <v>413.67199999999991</v>
      </c>
      <c r="S41" s="405"/>
      <c r="T41" s="294">
        <f>SUM(T9:T39)</f>
        <v>41069.474159648547</v>
      </c>
      <c r="U41" s="294"/>
      <c r="V41" s="295">
        <f>T41/P41</f>
        <v>93.146519649582572</v>
      </c>
      <c r="W41" s="295"/>
      <c r="X41" s="290">
        <f>IF(AND(R41&gt;0,T41&gt;0),(T41/(R41*1000))*1000,0)</f>
        <v>99.280285249300306</v>
      </c>
      <c r="Y41" s="295"/>
      <c r="Z41" s="406">
        <f>SUM(Z9:Z40)</f>
        <v>783.80000000000018</v>
      </c>
      <c r="AA41" s="406"/>
      <c r="AB41" s="407">
        <f>Z41/P41</f>
        <v>1.7776765735431468</v>
      </c>
      <c r="AC41" s="407"/>
      <c r="AD41" s="408">
        <f>Z41/R41</f>
        <v>1.8947378599470119</v>
      </c>
      <c r="AE41" s="407"/>
      <c r="AF41" s="406">
        <f>SUM(AF9:AF39)</f>
        <v>526564.36000000115</v>
      </c>
      <c r="AG41" s="406"/>
      <c r="AH41" s="407">
        <f>AF41/P41</f>
        <v>1194.2601776406505</v>
      </c>
      <c r="AI41" s="407"/>
      <c r="AJ41" s="407">
        <f>AF41/R41</f>
        <v>1272.9030729660244</v>
      </c>
      <c r="AK41" s="407"/>
      <c r="AP41" s="451">
        <f>SUM(AP9:AP40)</f>
        <v>311908</v>
      </c>
      <c r="AQ41" s="482"/>
      <c r="AX41" s="452">
        <f>SUM(AX9:AX39)</f>
        <v>41069.474159648547</v>
      </c>
      <c r="AY41" s="452">
        <f>SUM(AY9:AY39)</f>
        <v>164114.08050021422</v>
      </c>
      <c r="AZ41" s="452">
        <f>SUM(AZ9:AZ39)</f>
        <v>106724.44534013722</v>
      </c>
      <c r="BA41" s="404">
        <f>SUM(BA9:BA39)</f>
        <v>536.81519237549742</v>
      </c>
      <c r="BB41" s="405"/>
      <c r="BC41" s="414">
        <f t="shared" si="37"/>
        <v>0.77060412200599582</v>
      </c>
      <c r="BD41" s="420"/>
    </row>
    <row r="42" spans="1:56" ht="12.75" customHeight="1" thickTop="1">
      <c r="S42" s="278"/>
      <c r="T42" s="278"/>
      <c r="U42" s="278"/>
      <c r="V42" s="278"/>
      <c r="W42" s="278"/>
      <c r="X42" s="278"/>
      <c r="Y42" s="278"/>
      <c r="Z42" s="278"/>
      <c r="AA42" s="278"/>
      <c r="AD42" s="278"/>
      <c r="AF42" s="278"/>
      <c r="AG42" s="278"/>
    </row>
    <row r="43" spans="1:56" ht="12.75" customHeight="1">
      <c r="S43" s="278"/>
      <c r="T43" s="278"/>
      <c r="U43" s="278"/>
      <c r="V43" s="278"/>
      <c r="W43" s="278"/>
      <c r="X43" s="278"/>
      <c r="Y43" s="278"/>
      <c r="Z43" s="278"/>
      <c r="AA43" s="278"/>
      <c r="AD43" s="278"/>
      <c r="AF43" s="278"/>
      <c r="AG43" s="278"/>
      <c r="AY43" s="3">
        <f>SUM(AX41:AZ41)</f>
        <v>311908</v>
      </c>
    </row>
    <row r="44" spans="1:56">
      <c r="S44" s="278"/>
      <c r="T44" s="278"/>
      <c r="U44" s="278"/>
      <c r="V44" s="278"/>
      <c r="W44" s="278"/>
      <c r="X44" s="278"/>
      <c r="Y44" s="278"/>
      <c r="Z44" s="278"/>
      <c r="AA44" s="278"/>
      <c r="AD44" s="278"/>
      <c r="AF44" s="278"/>
      <c r="AG44" s="278"/>
    </row>
    <row r="45" spans="1:56">
      <c r="R45" s="296"/>
      <c r="S45" s="297"/>
      <c r="T45" s="297"/>
      <c r="U45" s="297"/>
      <c r="V45" s="297"/>
      <c r="W45" s="297"/>
      <c r="X45" s="297"/>
      <c r="Y45" s="297"/>
    </row>
    <row r="46" spans="1:56">
      <c r="R46" s="298"/>
    </row>
    <row r="47" spans="1:56">
      <c r="R47" s="298"/>
    </row>
    <row r="48" spans="1:56">
      <c r="R48" s="298"/>
    </row>
    <row r="49" spans="18:56">
      <c r="R49" s="298"/>
      <c r="BC49"/>
      <c r="BD49"/>
    </row>
    <row r="50" spans="18:56">
      <c r="R50" s="298"/>
      <c r="BC50"/>
      <c r="BD50"/>
    </row>
    <row r="51" spans="18:56">
      <c r="R51" s="298"/>
      <c r="BC51"/>
      <c r="BD51"/>
    </row>
    <row r="52" spans="18:56">
      <c r="R52" s="298"/>
      <c r="BC52"/>
      <c r="BD52"/>
    </row>
    <row r="53" spans="18:56">
      <c r="R53" s="298"/>
      <c r="BC53"/>
      <c r="BD53"/>
    </row>
    <row r="54" spans="18:56">
      <c r="R54" s="298"/>
      <c r="BC54"/>
      <c r="BD54"/>
    </row>
    <row r="55" spans="18:56">
      <c r="R55" s="298"/>
      <c r="BC55"/>
      <c r="BD55"/>
    </row>
    <row r="56" spans="18:56">
      <c r="R56" s="298"/>
      <c r="BC56"/>
      <c r="BD56"/>
    </row>
    <row r="57" spans="18:56">
      <c r="R57" s="298"/>
      <c r="BC57"/>
      <c r="BD57"/>
    </row>
    <row r="58" spans="18:56">
      <c r="R58" s="298"/>
      <c r="BC58"/>
      <c r="BD58"/>
    </row>
    <row r="59" spans="18:56">
      <c r="R59" s="298"/>
      <c r="BC59"/>
      <c r="BD59"/>
    </row>
    <row r="60" spans="18:56">
      <c r="BC60"/>
      <c r="BD60"/>
    </row>
    <row r="65536" spans="3:54">
      <c r="C65536" s="299"/>
      <c r="BA65536"/>
      <c r="BB65536"/>
    </row>
  </sheetData>
  <mergeCells count="34">
    <mergeCell ref="AL7:AN7"/>
    <mergeCell ref="AO7:AO8"/>
    <mergeCell ref="F6:F8"/>
    <mergeCell ref="G6:G8"/>
    <mergeCell ref="BA6:BB7"/>
    <mergeCell ref="BC6:BD7"/>
    <mergeCell ref="N6:O7"/>
    <mergeCell ref="Z7:AA7"/>
    <mergeCell ref="AB7:AC7"/>
    <mergeCell ref="AD7:AE7"/>
    <mergeCell ref="Z6:AE6"/>
    <mergeCell ref="P6:Q7"/>
    <mergeCell ref="R6:S7"/>
    <mergeCell ref="T6:Y6"/>
    <mergeCell ref="T7:U7"/>
    <mergeCell ref="V7:W7"/>
    <mergeCell ref="X7:Y7"/>
    <mergeCell ref="AF6:AK6"/>
    <mergeCell ref="AR7:AT7"/>
    <mergeCell ref="AU7:AW7"/>
    <mergeCell ref="AX7:AZ7"/>
    <mergeCell ref="A3:AK4"/>
    <mergeCell ref="AF7:AG7"/>
    <mergeCell ref="AH7:AI7"/>
    <mergeCell ref="AJ7:AK7"/>
    <mergeCell ref="D6:D8"/>
    <mergeCell ref="A6:A8"/>
    <mergeCell ref="B6:B8"/>
    <mergeCell ref="C6:C8"/>
    <mergeCell ref="J6:K7"/>
    <mergeCell ref="L6:M7"/>
    <mergeCell ref="H6:H8"/>
    <mergeCell ref="I6:I8"/>
    <mergeCell ref="E6:E8"/>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34" sqref="I34:I35"/>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W44"/>
  <sheetViews>
    <sheetView zoomScaleNormal="100" workbookViewId="0">
      <pane xSplit="3" ySplit="6" topLeftCell="D25" activePane="bottomRight" state="frozen"/>
      <selection pane="topRight" activeCell="D1" sqref="D1"/>
      <selection pane="bottomLeft" activeCell="A7" sqref="A7"/>
      <selection pane="bottomRight" activeCell="E46" sqref="E46"/>
    </sheetView>
  </sheetViews>
  <sheetFormatPr defaultColWidth="9.140625" defaultRowHeight="12.75"/>
  <cols>
    <col min="1" max="3" width="10.85546875" customWidth="1"/>
    <col min="4" max="4" width="18.85546875" customWidth="1"/>
    <col min="5" max="5" width="12.85546875" customWidth="1"/>
    <col min="6" max="6" width="11.5703125" customWidth="1"/>
    <col min="7" max="7" width="12" customWidth="1"/>
    <col min="8" max="8" width="12.28515625" customWidth="1"/>
    <col min="9" max="9" width="13" customWidth="1"/>
    <col min="10" max="11" width="11" customWidth="1"/>
    <col min="12" max="12" width="13.5703125" customWidth="1"/>
    <col min="13" max="13" width="12.42578125" customWidth="1"/>
    <col min="14" max="15" width="13.140625" customWidth="1"/>
    <col min="16" max="16" width="16.28515625" bestFit="1" customWidth="1"/>
    <col min="17" max="18" width="10.85546875" bestFit="1" customWidth="1"/>
    <col min="21" max="21" width="39" bestFit="1" customWidth="1"/>
  </cols>
  <sheetData>
    <row r="2" spans="1:23" ht="24.75" customHeight="1">
      <c r="A2" s="619" t="s">
        <v>21</v>
      </c>
      <c r="B2" s="619"/>
      <c r="C2" s="619"/>
      <c r="D2" s="619"/>
      <c r="E2" s="619"/>
      <c r="F2" s="619"/>
      <c r="G2" s="619"/>
      <c r="H2" s="619"/>
      <c r="I2" s="619"/>
      <c r="J2" s="619"/>
      <c r="K2" s="619"/>
      <c r="L2" s="619"/>
      <c r="M2" s="619"/>
      <c r="N2" s="619"/>
      <c r="O2" s="619"/>
      <c r="P2" s="619"/>
      <c r="Q2" s="300"/>
      <c r="R2" s="300"/>
      <c r="S2" s="300"/>
      <c r="T2" s="300"/>
      <c r="U2" s="300"/>
    </row>
    <row r="3" spans="1:23" ht="12.75" customHeight="1">
      <c r="A3" s="300"/>
      <c r="B3" s="300"/>
      <c r="C3" s="300"/>
      <c r="D3" s="301"/>
      <c r="E3" s="302"/>
      <c r="F3" s="302"/>
      <c r="G3" s="302"/>
      <c r="H3" s="303"/>
      <c r="I3" s="302"/>
      <c r="J3" s="302"/>
      <c r="K3" s="302"/>
      <c r="L3" s="304"/>
      <c r="M3" s="302"/>
      <c r="N3" s="302"/>
      <c r="O3" s="302"/>
      <c r="P3" s="302"/>
      <c r="Q3" s="5"/>
      <c r="R3" s="5"/>
      <c r="S3" s="300"/>
      <c r="T3" s="300"/>
      <c r="U3" s="300"/>
    </row>
    <row r="4" spans="1:23">
      <c r="A4" s="627" t="s">
        <v>8</v>
      </c>
      <c r="B4" s="630" t="s">
        <v>22</v>
      </c>
      <c r="C4" s="630" t="s">
        <v>23</v>
      </c>
      <c r="D4" s="620"/>
      <c r="E4" s="620"/>
      <c r="F4" s="620"/>
      <c r="G4" s="620"/>
      <c r="H4" s="620"/>
      <c r="I4" s="620"/>
      <c r="J4" s="620"/>
      <c r="K4" s="620"/>
      <c r="L4" s="620"/>
      <c r="M4" s="620"/>
      <c r="N4" s="620"/>
      <c r="O4" s="620"/>
      <c r="P4" s="621" t="s">
        <v>187</v>
      </c>
      <c r="Q4" s="622"/>
      <c r="R4" s="623"/>
      <c r="U4" s="364" t="s">
        <v>0</v>
      </c>
    </row>
    <row r="5" spans="1:23" ht="14.25" customHeight="1">
      <c r="A5" s="628"/>
      <c r="B5" s="631"/>
      <c r="C5" s="631"/>
      <c r="D5" s="633" t="s">
        <v>305</v>
      </c>
      <c r="E5" s="634"/>
      <c r="F5" s="634"/>
      <c r="G5" s="635"/>
      <c r="H5" s="636" t="s">
        <v>306</v>
      </c>
      <c r="I5" s="637"/>
      <c r="J5" s="637"/>
      <c r="K5" s="638"/>
      <c r="L5" s="639" t="s">
        <v>305</v>
      </c>
      <c r="M5" s="640"/>
      <c r="N5" s="640"/>
      <c r="O5" s="641"/>
      <c r="P5" s="624"/>
      <c r="Q5" s="625"/>
      <c r="R5" s="626"/>
    </row>
    <row r="6" spans="1:23" ht="14.25" customHeight="1">
      <c r="A6" s="629"/>
      <c r="B6" s="632"/>
      <c r="C6" s="632"/>
      <c r="D6" s="508" t="s">
        <v>24</v>
      </c>
      <c r="E6" s="372" t="s">
        <v>25</v>
      </c>
      <c r="F6" s="373" t="s">
        <v>26</v>
      </c>
      <c r="G6" s="373" t="s">
        <v>27</v>
      </c>
      <c r="H6" s="509" t="s">
        <v>24</v>
      </c>
      <c r="I6" s="374" t="s">
        <v>25</v>
      </c>
      <c r="J6" s="375" t="s">
        <v>26</v>
      </c>
      <c r="K6" s="375" t="s">
        <v>27</v>
      </c>
      <c r="L6" s="510" t="s">
        <v>24</v>
      </c>
      <c r="M6" s="376" t="s">
        <v>25</v>
      </c>
      <c r="N6" s="377" t="s">
        <v>26</v>
      </c>
      <c r="O6" s="377" t="s">
        <v>27</v>
      </c>
      <c r="P6" s="378" t="s">
        <v>25</v>
      </c>
      <c r="Q6" s="379" t="s">
        <v>26</v>
      </c>
      <c r="R6" s="379" t="s">
        <v>27</v>
      </c>
      <c r="T6" s="364"/>
    </row>
    <row r="7" spans="1:23">
      <c r="A7" s="305">
        <f>A8-1</f>
        <v>45900</v>
      </c>
      <c r="B7" s="306">
        <v>0</v>
      </c>
      <c r="C7" s="306">
        <v>0</v>
      </c>
      <c r="D7" s="98"/>
      <c r="E7" s="98"/>
      <c r="F7" s="98"/>
      <c r="G7" s="98"/>
      <c r="H7" s="98"/>
      <c r="I7" s="98"/>
      <c r="J7" s="98"/>
      <c r="K7" s="98"/>
      <c r="L7" s="98"/>
      <c r="M7" s="98"/>
      <c r="N7" s="98"/>
      <c r="O7" s="98"/>
      <c r="P7" s="309"/>
      <c r="Q7" s="98"/>
      <c r="R7" s="98"/>
    </row>
    <row r="8" spans="1:23" ht="15">
      <c r="A8" s="305">
        <f>+Report1!A9</f>
        <v>45901</v>
      </c>
      <c r="B8" s="312">
        <f>+Report1!P9</f>
        <v>40.056000000000004</v>
      </c>
      <c r="C8" s="312">
        <f>+Report1!R9</f>
        <v>41.481999999999999</v>
      </c>
      <c r="D8" s="313">
        <f t="shared" ref="D8" si="0">+D7+E8</f>
        <v>4400.0000000014552</v>
      </c>
      <c r="E8" s="313">
        <f>+[3]DailySep!AH7</f>
        <v>4400.0000000014552</v>
      </c>
      <c r="F8" s="313">
        <f t="shared" ref="F8:F38" si="1">E8/B8</f>
        <v>109.8462152986183</v>
      </c>
      <c r="G8" s="313">
        <f t="shared" ref="G8:G38" si="2">E8/C8</f>
        <v>106.07010269517997</v>
      </c>
      <c r="H8" s="313">
        <f t="shared" ref="H8" si="3">+H7+I8</f>
        <v>7908.5</v>
      </c>
      <c r="I8" s="313">
        <f>+[3]DailySep!AI7</f>
        <v>7908.5</v>
      </c>
      <c r="J8" s="313">
        <f t="shared" ref="J8:J38" si="4">I8/B8</f>
        <v>197.43608947473535</v>
      </c>
      <c r="K8" s="313">
        <f t="shared" ref="K8:K38" si="5">I8/C8</f>
        <v>190.64895617376212</v>
      </c>
      <c r="L8" s="313">
        <f t="shared" ref="L8" si="6">+L7+M8</f>
        <v>23068.5</v>
      </c>
      <c r="M8" s="313">
        <f>+[3]DailySep!AJ7</f>
        <v>23068.5</v>
      </c>
      <c r="N8" s="313">
        <f t="shared" ref="N8:N38" si="7">M8/B8</f>
        <v>575.90623127621325</v>
      </c>
      <c r="O8" s="313">
        <f t="shared" ref="O8:O38" si="8">M8/C8</f>
        <v>556.10867364157946</v>
      </c>
      <c r="P8" s="313">
        <f t="shared" ref="P8" si="9">+E8+I8+M8</f>
        <v>35377.000000001455</v>
      </c>
      <c r="Q8" s="6">
        <f t="shared" ref="Q8:Q38" si="10">P8/B8</f>
        <v>883.18853604956689</v>
      </c>
      <c r="R8" s="311">
        <f t="shared" ref="R8:R38" si="11">P8/C8</f>
        <v>852.82773251052151</v>
      </c>
      <c r="V8" s="382" t="s">
        <v>172</v>
      </c>
      <c r="W8" s="382" t="s">
        <v>173</v>
      </c>
    </row>
    <row r="9" spans="1:23" ht="15">
      <c r="A9" s="305">
        <f>+Report1!A10</f>
        <v>45902</v>
      </c>
      <c r="B9" s="312">
        <f>+Report1!P10</f>
        <v>38.489000000000004</v>
      </c>
      <c r="C9" s="312">
        <f>+Report1!R10</f>
        <v>31.631</v>
      </c>
      <c r="D9" s="313">
        <f t="shared" ref="D9" si="12">+D8+E9</f>
        <v>8600.0000000003638</v>
      </c>
      <c r="E9" s="313">
        <f>+[3]DailySep!AH8</f>
        <v>4199.9999999989086</v>
      </c>
      <c r="F9" s="313">
        <f t="shared" ref="F9" si="13">E9/B9</f>
        <v>109.122086829975</v>
      </c>
      <c r="G9" s="313">
        <f t="shared" ref="G9" si="14">E9/C9</f>
        <v>132.78113243333783</v>
      </c>
      <c r="H9" s="313">
        <f t="shared" ref="H9" si="15">+H8+I9</f>
        <v>15934.65</v>
      </c>
      <c r="I9" s="313">
        <f>+[3]DailySep!AI8</f>
        <v>8026.15</v>
      </c>
      <c r="J9" s="313">
        <f t="shared" ref="J9" si="16">I9/B9</f>
        <v>208.53100885967416</v>
      </c>
      <c r="K9" s="313">
        <f t="shared" ref="K9" si="17">I9/C9</f>
        <v>253.74316335240744</v>
      </c>
      <c r="L9" s="313">
        <f t="shared" ref="L9" si="18">+L8+M9</f>
        <v>46254.65</v>
      </c>
      <c r="M9" s="313">
        <f>+[3]DailySep!AJ8</f>
        <v>23186.15</v>
      </c>
      <c r="N9" s="313">
        <f t="shared" ref="N9" si="19">M9/B9</f>
        <v>602.40977941749588</v>
      </c>
      <c r="O9" s="313">
        <f t="shared" ref="O9" si="20">M9/C9</f>
        <v>733.01982232619901</v>
      </c>
      <c r="P9" s="313">
        <f t="shared" ref="P9" si="21">+E9+I9+M9</f>
        <v>35412.299999998912</v>
      </c>
      <c r="Q9" s="6">
        <f t="shared" ref="Q9" si="22">P9/B9</f>
        <v>920.06287510714515</v>
      </c>
      <c r="R9" s="311">
        <f t="shared" ref="R9" si="23">P9/C9</f>
        <v>1119.5441181119443</v>
      </c>
      <c r="V9" s="382" t="s">
        <v>172</v>
      </c>
      <c r="W9" s="382" t="s">
        <v>173</v>
      </c>
    </row>
    <row r="10" spans="1:23" ht="15">
      <c r="A10" s="305">
        <f>+Report1!A11</f>
        <v>45903</v>
      </c>
      <c r="B10" s="312">
        <f>+Report1!P11</f>
        <v>38.158000000000001</v>
      </c>
      <c r="C10" s="312">
        <f>+Report1!R11</f>
        <v>31.742999999999999</v>
      </c>
      <c r="D10" s="313">
        <f t="shared" ref="D10" si="24">+D9+E10</f>
        <v>13000</v>
      </c>
      <c r="E10" s="313">
        <f>+[3]DailySep!AH9</f>
        <v>4399.9999999996362</v>
      </c>
      <c r="F10" s="313">
        <f t="shared" ref="F10" si="25">E10/B10</f>
        <v>115.31002673095121</v>
      </c>
      <c r="G10" s="313">
        <f t="shared" ref="G10" si="26">E10/C10</f>
        <v>138.61323756417593</v>
      </c>
      <c r="H10" s="313">
        <f t="shared" ref="H10" si="27">+H9+I10</f>
        <v>22464.7</v>
      </c>
      <c r="I10" s="313">
        <f>+[3]DailySep!AI9</f>
        <v>6530.05</v>
      </c>
      <c r="J10" s="313">
        <f t="shared" ref="J10" si="28">I10/B10</f>
        <v>171.13187273966142</v>
      </c>
      <c r="K10" s="313">
        <f t="shared" ref="K10" si="29">I10/C10</f>
        <v>205.71622089909587</v>
      </c>
      <c r="L10" s="313">
        <f t="shared" ref="L10" si="30">+L9+M10</f>
        <v>68944.7</v>
      </c>
      <c r="M10" s="313">
        <f>+[3]DailySep!AJ9</f>
        <v>22690.05</v>
      </c>
      <c r="N10" s="313">
        <f t="shared" ref="N10" si="31">M10/B10</f>
        <v>594.63415273337171</v>
      </c>
      <c r="O10" s="313">
        <f t="shared" ref="O10" si="32">M10/C10</f>
        <v>714.8048388621113</v>
      </c>
      <c r="P10" s="313">
        <f t="shared" ref="P10" si="33">+E10+I10+M10</f>
        <v>33620.099999999635</v>
      </c>
      <c r="Q10" s="6">
        <f t="shared" ref="Q10" si="34">P10/B10</f>
        <v>881.07605220398432</v>
      </c>
      <c r="R10" s="311">
        <f t="shared" ref="R10" si="35">P10/C10</f>
        <v>1059.1342973253832</v>
      </c>
      <c r="V10" s="382" t="s">
        <v>172</v>
      </c>
      <c r="W10" s="382" t="s">
        <v>173</v>
      </c>
    </row>
    <row r="11" spans="1:23" ht="15">
      <c r="A11" s="305">
        <f>+Report1!A12</f>
        <v>45904</v>
      </c>
      <c r="B11" s="312">
        <f>+Report1!P12</f>
        <v>41.57</v>
      </c>
      <c r="C11" s="312">
        <f>+Report1!R12</f>
        <v>40.655999999999999</v>
      </c>
      <c r="D11" s="313">
        <f t="shared" ref="D11" si="36">+D10+E11</f>
        <v>17300.000000001091</v>
      </c>
      <c r="E11" s="313">
        <f>+[3]DailySep!AH10</f>
        <v>4300.0000000010914</v>
      </c>
      <c r="F11" s="313">
        <f t="shared" ref="F11" si="37">E11/B11</f>
        <v>103.43998075537867</v>
      </c>
      <c r="G11" s="313">
        <f t="shared" ref="G11" si="38">E11/C11</f>
        <v>105.76544667456443</v>
      </c>
      <c r="H11" s="313">
        <f t="shared" ref="H11" si="39">+H10+I11</f>
        <v>31979.66</v>
      </c>
      <c r="I11" s="313">
        <f>+[3]DailySep!AI10</f>
        <v>9514.9599999999991</v>
      </c>
      <c r="J11" s="313">
        <f t="shared" ref="J11" si="40">I11/B11</f>
        <v>228.89006495068557</v>
      </c>
      <c r="K11" s="313">
        <f t="shared" ref="K11" si="41">I11/C11</f>
        <v>234.03581267217629</v>
      </c>
      <c r="L11" s="313">
        <f t="shared" ref="L11" si="42">+L10+M11</f>
        <v>92619.66</v>
      </c>
      <c r="M11" s="313">
        <f>+[3]DailySep!AJ10</f>
        <v>23674.959999999999</v>
      </c>
      <c r="N11" s="313">
        <f t="shared" ref="N11" si="43">M11/B11</f>
        <v>569.52032715900884</v>
      </c>
      <c r="O11" s="313">
        <f t="shared" ref="O11" si="44">M11/C11</f>
        <v>582.32388823297913</v>
      </c>
      <c r="P11" s="313">
        <f t="shared" ref="P11" si="45">+E11+I11+M11</f>
        <v>37489.92000000109</v>
      </c>
      <c r="Q11" s="6">
        <f t="shared" ref="Q11" si="46">P11/B11</f>
        <v>901.85037286507315</v>
      </c>
      <c r="R11" s="311">
        <f t="shared" ref="R11" si="47">P11/C11</f>
        <v>922.12514757971985</v>
      </c>
      <c r="V11" s="382" t="s">
        <v>172</v>
      </c>
      <c r="W11" s="382" t="s">
        <v>173</v>
      </c>
    </row>
    <row r="12" spans="1:23" ht="15">
      <c r="A12" s="305">
        <f>+Report1!A13</f>
        <v>45905</v>
      </c>
      <c r="B12" s="312">
        <f>+Report1!P13</f>
        <v>42.805</v>
      </c>
      <c r="C12" s="312">
        <f>+Report1!R13</f>
        <v>41.62</v>
      </c>
      <c r="D12" s="313">
        <f t="shared" ref="D12" si="48">+D11+E12</f>
        <v>21700.000000000728</v>
      </c>
      <c r="E12" s="313">
        <f>+[3]DailySep!AH11</f>
        <v>4399.9999999996362</v>
      </c>
      <c r="F12" s="313">
        <f t="shared" ref="F12" si="49">E12/B12</f>
        <v>102.79172993808285</v>
      </c>
      <c r="G12" s="313">
        <f t="shared" ref="G12" si="50">E12/C12</f>
        <v>105.71840461315801</v>
      </c>
      <c r="H12" s="313">
        <f t="shared" ref="H12" si="51">+H11+I12</f>
        <v>39749.39</v>
      </c>
      <c r="I12" s="313">
        <f>+[3]DailySep!AI11</f>
        <v>7769.73</v>
      </c>
      <c r="J12" s="313">
        <f t="shared" ref="J12" si="52">I12/B12</f>
        <v>181.51454269361054</v>
      </c>
      <c r="K12" s="313">
        <f t="shared" ref="K12" si="53">I12/C12</f>
        <v>186.6826045170591</v>
      </c>
      <c r="L12" s="313">
        <f t="shared" ref="L12" si="54">+L11+M12</f>
        <v>114549.39</v>
      </c>
      <c r="M12" s="313">
        <f>+[3]DailySep!AJ11</f>
        <v>21929.73</v>
      </c>
      <c r="N12" s="313">
        <f t="shared" ref="N12" si="55">M12/B12</f>
        <v>512.31701903983173</v>
      </c>
      <c r="O12" s="313">
        <f t="shared" ref="O12" si="56">M12/C12</f>
        <v>526.90365209034121</v>
      </c>
      <c r="P12" s="313">
        <f t="shared" ref="P12" si="57">+E12+I12+M12</f>
        <v>34099.459999999635</v>
      </c>
      <c r="Q12" s="6">
        <f t="shared" ref="Q12" si="58">P12/B12</f>
        <v>796.62329167152518</v>
      </c>
      <c r="R12" s="311">
        <f t="shared" ref="R12" si="59">P12/C12</f>
        <v>819.30466122055827</v>
      </c>
      <c r="V12" s="382" t="s">
        <v>172</v>
      </c>
      <c r="W12" s="382" t="s">
        <v>173</v>
      </c>
    </row>
    <row r="13" spans="1:23" ht="15">
      <c r="A13" s="305">
        <f>+Report1!A14</f>
        <v>45906</v>
      </c>
      <c r="B13" s="312">
        <f>+Report1!P14</f>
        <v>27.34</v>
      </c>
      <c r="C13" s="312">
        <f>+Report1!R14</f>
        <v>22.628</v>
      </c>
      <c r="D13" s="313">
        <f t="shared" ref="D13" si="60">+D12+E13</f>
        <v>24700.000000000728</v>
      </c>
      <c r="E13" s="313">
        <f>+[3]DailySep!AH12</f>
        <v>3000</v>
      </c>
      <c r="F13" s="313">
        <f t="shared" ref="F13" si="61">E13/B13</f>
        <v>109.72933430870519</v>
      </c>
      <c r="G13" s="313">
        <f t="shared" ref="G13" si="62">E13/C13</f>
        <v>132.57910553296801</v>
      </c>
      <c r="H13" s="313">
        <f t="shared" ref="H13" si="63">+H12+I13</f>
        <v>44552.49</v>
      </c>
      <c r="I13" s="313">
        <f>+[3]DailySep!AI12</f>
        <v>4803.1000000000004</v>
      </c>
      <c r="J13" s="313">
        <f t="shared" ref="J13" si="64">I13/B13</f>
        <v>175.68032187271399</v>
      </c>
      <c r="K13" s="313">
        <f t="shared" ref="K13" si="65">I13/C13</f>
        <v>212.26356726179955</v>
      </c>
      <c r="L13" s="313">
        <f t="shared" ref="L13" si="66">+L12+M13</f>
        <v>130512.49</v>
      </c>
      <c r="M13" s="313">
        <f>+[3]DailySep!AJ12</f>
        <v>15963.1</v>
      </c>
      <c r="N13" s="313">
        <f t="shared" ref="N13" si="67">M13/B13</f>
        <v>583.87344550109731</v>
      </c>
      <c r="O13" s="313">
        <f t="shared" ref="O13" si="68">M13/C13</f>
        <v>705.45783984444051</v>
      </c>
      <c r="P13" s="313">
        <f t="shared" ref="P13" si="69">+E13+I13+M13</f>
        <v>23766.2</v>
      </c>
      <c r="Q13" s="6">
        <f t="shared" ref="Q13" si="70">P13/B13</f>
        <v>869.28310168251653</v>
      </c>
      <c r="R13" s="311">
        <f t="shared" ref="R13" si="71">P13/C13</f>
        <v>1050.3005126392081</v>
      </c>
      <c r="V13" s="382" t="s">
        <v>172</v>
      </c>
      <c r="W13" s="382" t="s">
        <v>173</v>
      </c>
    </row>
    <row r="14" spans="1:23" ht="15">
      <c r="A14" s="305">
        <f>+Report1!A15</f>
        <v>45907</v>
      </c>
      <c r="B14" s="312">
        <f>+Report1!P15</f>
        <v>34.924599999999998</v>
      </c>
      <c r="C14" s="312">
        <f>+Report1!R15</f>
        <v>34.488999999999997</v>
      </c>
      <c r="D14" s="313">
        <f t="shared" ref="D14" si="72">+D13+E14</f>
        <v>29000</v>
      </c>
      <c r="E14" s="313">
        <f>+[3]DailySep!AH13</f>
        <v>4299.9999999992724</v>
      </c>
      <c r="F14" s="313">
        <f t="shared" ref="F14" si="73">E14/B14</f>
        <v>123.12238364932662</v>
      </c>
      <c r="G14" s="313">
        <f t="shared" ref="G14" si="74">E14/C14</f>
        <v>124.67743338453631</v>
      </c>
      <c r="H14" s="313">
        <f t="shared" ref="H14" si="75">+H13+I14</f>
        <v>53285.279999999999</v>
      </c>
      <c r="I14" s="313">
        <f>+[3]DailySep!AI13</f>
        <v>8732.7900000000009</v>
      </c>
      <c r="J14" s="313">
        <f t="shared" ref="J14" si="76">I14/B14</f>
        <v>250.04695830446164</v>
      </c>
      <c r="K14" s="313">
        <f t="shared" ref="K14" si="77">I14/C14</f>
        <v>253.20507988054166</v>
      </c>
      <c r="L14" s="313">
        <f t="shared" ref="L14" si="78">+L13+M14</f>
        <v>153405.28</v>
      </c>
      <c r="M14" s="313">
        <f>+[3]DailySep!AJ13</f>
        <v>22892.79</v>
      </c>
      <c r="N14" s="313">
        <f t="shared" ref="N14" si="79">M14/B14</f>
        <v>655.49183097301045</v>
      </c>
      <c r="O14" s="313">
        <f t="shared" ref="O14" si="80">M14/C14</f>
        <v>663.77076749108414</v>
      </c>
      <c r="P14" s="313">
        <f t="shared" ref="P14" si="81">+E14+I14+M14</f>
        <v>35925.579999999274</v>
      </c>
      <c r="Q14" s="6">
        <f t="shared" ref="Q14" si="82">P14/B14</f>
        <v>1028.6611729267988</v>
      </c>
      <c r="R14" s="311">
        <f t="shared" ref="R14" si="83">P14/C14</f>
        <v>1041.6532807561621</v>
      </c>
      <c r="V14" s="382" t="s">
        <v>172</v>
      </c>
      <c r="W14" s="382" t="s">
        <v>173</v>
      </c>
    </row>
    <row r="15" spans="1:23" ht="15">
      <c r="A15" s="305">
        <f>+Report1!A16</f>
        <v>45908</v>
      </c>
      <c r="B15" s="312">
        <f>+Report1!P16</f>
        <v>0</v>
      </c>
      <c r="C15" s="312">
        <f>+Report1!R16</f>
        <v>0</v>
      </c>
      <c r="D15" s="313">
        <f t="shared" ref="D15" si="84">+D14+E15</f>
        <v>29700.000000000728</v>
      </c>
      <c r="E15" s="313">
        <f>+[3]DailySep!AH14</f>
        <v>700.0000000007276</v>
      </c>
      <c r="F15" s="313" t="e">
        <f t="shared" ref="F15" si="85">E15/B15</f>
        <v>#DIV/0!</v>
      </c>
      <c r="G15" s="313" t="e">
        <f t="shared" ref="G15" si="86">E15/C15</f>
        <v>#DIV/0!</v>
      </c>
      <c r="H15" s="313">
        <f t="shared" ref="H15" si="87">+H14+I15</f>
        <v>54224.13</v>
      </c>
      <c r="I15" s="313">
        <f>+[3]DailySep!AI14</f>
        <v>938.85</v>
      </c>
      <c r="J15" s="313" t="e">
        <f t="shared" ref="J15" si="88">I15/B15</f>
        <v>#DIV/0!</v>
      </c>
      <c r="K15" s="313" t="e">
        <f t="shared" ref="K15" si="89">I15/C15</f>
        <v>#DIV/0!</v>
      </c>
      <c r="L15" s="313">
        <f t="shared" ref="L15" si="90">+L14+M15</f>
        <v>158504.13</v>
      </c>
      <c r="M15" s="313">
        <f>+[3]DailySep!AJ14</f>
        <v>5098.8500000000004</v>
      </c>
      <c r="N15" s="313" t="e">
        <f t="shared" ref="N15" si="91">M15/B15</f>
        <v>#DIV/0!</v>
      </c>
      <c r="O15" s="313" t="e">
        <f t="shared" ref="O15" si="92">M15/C15</f>
        <v>#DIV/0!</v>
      </c>
      <c r="P15" s="313">
        <f t="shared" ref="P15" si="93">+E15+I15+M15</f>
        <v>6737.7000000007283</v>
      </c>
      <c r="Q15" s="6" t="e">
        <f t="shared" ref="Q15" si="94">P15/B15</f>
        <v>#DIV/0!</v>
      </c>
      <c r="R15" s="311" t="e">
        <f t="shared" ref="R15" si="95">P15/C15</f>
        <v>#DIV/0!</v>
      </c>
      <c r="V15" s="382" t="s">
        <v>172</v>
      </c>
      <c r="W15" s="382" t="s">
        <v>173</v>
      </c>
    </row>
    <row r="16" spans="1:23" ht="15">
      <c r="A16" s="305">
        <f>+Report1!A17</f>
        <v>45909</v>
      </c>
      <c r="B16" s="312">
        <f>+Report1!P17</f>
        <v>40.210999999999999</v>
      </c>
      <c r="C16" s="312">
        <f>+Report1!R17</f>
        <v>34.527999999999999</v>
      </c>
      <c r="D16" s="313">
        <f t="shared" ref="D16" si="96">+D15+E16</f>
        <v>34100.000000000364</v>
      </c>
      <c r="E16" s="313">
        <f>+[3]DailySep!AH15</f>
        <v>4399.9999999996362</v>
      </c>
      <c r="F16" s="313">
        <f t="shared" ref="F16" si="97">E16/B16</f>
        <v>109.42279475764434</v>
      </c>
      <c r="G16" s="313">
        <f t="shared" ref="G16" si="98">E16/C16</f>
        <v>127.43280815568919</v>
      </c>
      <c r="H16" s="313">
        <f t="shared" ref="H16" si="99">+H15+I16</f>
        <v>62273.939999999995</v>
      </c>
      <c r="I16" s="313">
        <f>+[3]DailySep!AI15</f>
        <v>8049.8099999999995</v>
      </c>
      <c r="J16" s="313">
        <f t="shared" ref="J16" si="100">I16/B16</f>
        <v>200.18925169729675</v>
      </c>
      <c r="K16" s="313">
        <f t="shared" ref="K16" si="101">I16/C16</f>
        <v>233.13861214087117</v>
      </c>
      <c r="L16" s="313">
        <f t="shared" ref="L16" si="102">+L15+M16</f>
        <v>181713.94</v>
      </c>
      <c r="M16" s="313">
        <f>+[3]DailySep!AJ15</f>
        <v>23209.81</v>
      </c>
      <c r="N16" s="313">
        <f t="shared" ref="N16" si="103">M16/B16</f>
        <v>577.20051727139344</v>
      </c>
      <c r="O16" s="313">
        <f t="shared" ref="O16" si="104">M16/C16</f>
        <v>672.20256024096386</v>
      </c>
      <c r="P16" s="313">
        <f t="shared" ref="P16" si="105">+E16+I16+M16</f>
        <v>35659.619999999639</v>
      </c>
      <c r="Q16" s="6">
        <f t="shared" ref="Q16" si="106">P16/B16</f>
        <v>886.81256372633459</v>
      </c>
      <c r="R16" s="311">
        <f t="shared" ref="R16" si="107">P16/C16</f>
        <v>1032.7739805375243</v>
      </c>
      <c r="V16" s="382" t="s">
        <v>172</v>
      </c>
      <c r="W16" s="382" t="s">
        <v>173</v>
      </c>
    </row>
    <row r="17" spans="1:23" ht="15">
      <c r="A17" s="305">
        <f>+Report1!A18</f>
        <v>45910</v>
      </c>
      <c r="B17" s="312">
        <f>+Report1!P18</f>
        <v>39.506</v>
      </c>
      <c r="C17" s="312">
        <f>+Report1!R18</f>
        <v>37.357999999999997</v>
      </c>
      <c r="D17" s="313">
        <f t="shared" ref="D17" si="108">+D16+E17</f>
        <v>38700.000000000728</v>
      </c>
      <c r="E17" s="313">
        <f>+[3]DailySep!AH16</f>
        <v>4600.0000000003638</v>
      </c>
      <c r="F17" s="313">
        <f t="shared" ref="F17" si="109">E17/B17</f>
        <v>116.4380094163004</v>
      </c>
      <c r="G17" s="313">
        <f t="shared" ref="G17" si="110">E17/C17</f>
        <v>123.13293002838385</v>
      </c>
      <c r="H17" s="313">
        <f t="shared" ref="H17" si="111">+H16+I17</f>
        <v>68485.509999999995</v>
      </c>
      <c r="I17" s="313">
        <f>+[3]DailySep!AI16</f>
        <v>6211.57</v>
      </c>
      <c r="J17" s="313">
        <f t="shared" ref="J17" si="112">I17/B17</f>
        <v>157.23105351085911</v>
      </c>
      <c r="K17" s="313">
        <f t="shared" ref="K17" si="113">I17/C17</f>
        <v>166.2714813426843</v>
      </c>
      <c r="L17" s="313">
        <f t="shared" ref="L17" si="114">+L16+M17</f>
        <v>205085.51</v>
      </c>
      <c r="M17" s="313">
        <f>+[3]DailySep!AJ16</f>
        <v>23371.57</v>
      </c>
      <c r="N17" s="313">
        <f t="shared" ref="N17" si="115">M17/B17</f>
        <v>591.59545385511058</v>
      </c>
      <c r="O17" s="313">
        <f t="shared" ref="O17" si="116">M17/C17</f>
        <v>625.61084640505385</v>
      </c>
      <c r="P17" s="313">
        <f t="shared" ref="P17" si="117">+E17+I17+M17</f>
        <v>34183.140000000363</v>
      </c>
      <c r="Q17" s="6">
        <f t="shared" ref="Q17" si="118">P17/B17</f>
        <v>865.26451678227011</v>
      </c>
      <c r="R17" s="311">
        <f t="shared" ref="R17" si="119">P17/C17</f>
        <v>915.01525777612198</v>
      </c>
      <c r="V17" s="382" t="s">
        <v>172</v>
      </c>
      <c r="W17" s="382" t="s">
        <v>173</v>
      </c>
    </row>
    <row r="18" spans="1:23" ht="15">
      <c r="A18" s="305">
        <f>+Report1!A19</f>
        <v>45911</v>
      </c>
      <c r="B18" s="312">
        <f>+Report1!P19</f>
        <v>39.807000000000002</v>
      </c>
      <c r="C18" s="312">
        <f>+Report1!R19</f>
        <v>38.933999999999997</v>
      </c>
      <c r="D18" s="313">
        <f t="shared" ref="D18" si="120">+D17+E18</f>
        <v>43000</v>
      </c>
      <c r="E18" s="313">
        <f>+[3]DailySep!AH17</f>
        <v>4299.9999999992724</v>
      </c>
      <c r="F18" s="313">
        <f t="shared" ref="F18" si="121">E18/B18</f>
        <v>108.02120230108454</v>
      </c>
      <c r="G18" s="313">
        <f t="shared" ref="G18" si="122">E18/C18</f>
        <v>110.4433143267908</v>
      </c>
      <c r="H18" s="313">
        <f t="shared" ref="H18" si="123">+H17+I18</f>
        <v>76364.989999999991</v>
      </c>
      <c r="I18" s="313">
        <f>+[3]DailySep!AI17</f>
        <v>7879.48</v>
      </c>
      <c r="J18" s="313">
        <f t="shared" ref="J18" si="124">I18/B18</f>
        <v>197.94207049011479</v>
      </c>
      <c r="K18" s="313">
        <f t="shared" ref="K18" si="125">I18/C18</f>
        <v>202.38043869111831</v>
      </c>
      <c r="L18" s="313">
        <f t="shared" ref="L18" si="126">+L17+M18</f>
        <v>230124.99000000002</v>
      </c>
      <c r="M18" s="313">
        <f>+[3]DailySep!AJ17</f>
        <v>25039.48</v>
      </c>
      <c r="N18" s="313">
        <f t="shared" ref="N18" si="127">M18/B18</f>
        <v>629.02203130102737</v>
      </c>
      <c r="O18" s="313">
        <f t="shared" ref="O18" si="128">M18/C18</f>
        <v>643.12631633019987</v>
      </c>
      <c r="P18" s="313">
        <f t="shared" ref="P18" si="129">+E18+I18+M18</f>
        <v>37218.959999999272</v>
      </c>
      <c r="Q18" s="6">
        <f t="shared" ref="Q18" si="130">P18/B18</f>
        <v>934.98530409222678</v>
      </c>
      <c r="R18" s="311">
        <f t="shared" ref="R18" si="131">P18/C18</f>
        <v>955.95006934810897</v>
      </c>
      <c r="V18" s="382" t="s">
        <v>172</v>
      </c>
      <c r="W18" s="382" t="s">
        <v>173</v>
      </c>
    </row>
    <row r="19" spans="1:23" ht="15">
      <c r="A19" s="305">
        <f>+Report1!A20</f>
        <v>45912</v>
      </c>
      <c r="B19" s="312">
        <f>+Report1!P20</f>
        <v>44.411000000000001</v>
      </c>
      <c r="C19" s="312">
        <f>+Report1!R20</f>
        <v>39.984000000000002</v>
      </c>
      <c r="D19" s="313">
        <f t="shared" ref="D19" si="132">+D18+E19</f>
        <v>47600.000000000364</v>
      </c>
      <c r="E19" s="313">
        <f>+[3]DailySep!AH18</f>
        <v>4600.0000000003638</v>
      </c>
      <c r="F19" s="313">
        <f t="shared" ref="F19" si="133">E19/B19</f>
        <v>103.57794240166544</v>
      </c>
      <c r="G19" s="313">
        <f t="shared" ref="G19" si="134">E19/C19</f>
        <v>115.04601840737205</v>
      </c>
      <c r="H19" s="313">
        <f t="shared" ref="H19" si="135">+H18+I19</f>
        <v>84420.29</v>
      </c>
      <c r="I19" s="313">
        <f>+[3]DailySep!AI18</f>
        <v>8055.3</v>
      </c>
      <c r="J19" s="313">
        <f t="shared" ref="J19" si="136">I19/B19</f>
        <v>181.38073900610209</v>
      </c>
      <c r="K19" s="313">
        <f t="shared" ref="K19" si="137">I19/C19</f>
        <v>201.46308523409363</v>
      </c>
      <c r="L19" s="313">
        <f t="shared" ref="L19" si="138">+L18+M19</f>
        <v>257340.29</v>
      </c>
      <c r="M19" s="313">
        <f>+[3]DailySep!AJ18</f>
        <v>27215.3</v>
      </c>
      <c r="N19" s="313">
        <f t="shared" ref="N19" si="139">M19/B19</f>
        <v>612.8053860530049</v>
      </c>
      <c r="O19" s="313">
        <f t="shared" ref="O19" si="140">M19/C19</f>
        <v>680.65476190476181</v>
      </c>
      <c r="P19" s="313">
        <f t="shared" ref="P19" si="141">+E19+I19+M19</f>
        <v>39870.600000000362</v>
      </c>
      <c r="Q19" s="6">
        <f t="shared" ref="Q19" si="142">P19/B19</f>
        <v>897.76406746077237</v>
      </c>
      <c r="R19" s="311">
        <f t="shared" ref="R19" si="143">P19/C19</f>
        <v>997.1638655462275</v>
      </c>
      <c r="V19" s="382" t="s">
        <v>172</v>
      </c>
      <c r="W19" s="382" t="s">
        <v>173</v>
      </c>
    </row>
    <row r="20" spans="1:23" ht="15">
      <c r="A20" s="305">
        <f>+Report1!A21</f>
        <v>45913</v>
      </c>
      <c r="B20" s="312">
        <f>+Report1!P21</f>
        <v>13.635000000000002</v>
      </c>
      <c r="C20" s="312">
        <f>+Report1!R21</f>
        <v>18.619</v>
      </c>
      <c r="D20" s="313">
        <f t="shared" ref="D20" si="144">+D19+E20</f>
        <v>49800.000000001091</v>
      </c>
      <c r="E20" s="313">
        <f>+[3]DailySep!AH19</f>
        <v>2200.0000000007276</v>
      </c>
      <c r="F20" s="313">
        <f t="shared" ref="F20" si="145">E20/B20</f>
        <v>161.34946828021469</v>
      </c>
      <c r="G20" s="313">
        <f t="shared" ref="G20" si="146">E20/C20</f>
        <v>118.15886997157354</v>
      </c>
      <c r="H20" s="313">
        <f t="shared" ref="H20" si="147">+H19+I20</f>
        <v>89295.72</v>
      </c>
      <c r="I20" s="313">
        <f>+[3]DailySep!AI19</f>
        <v>4875.43</v>
      </c>
      <c r="J20" s="313">
        <f t="shared" ref="J20" si="148">I20/B20</f>
        <v>357.56729006233957</v>
      </c>
      <c r="K20" s="313">
        <f t="shared" ref="K20" si="149">I20/C20</f>
        <v>261.85240882969015</v>
      </c>
      <c r="L20" s="313">
        <f t="shared" ref="L20" si="150">+L19+M20</f>
        <v>271375.72000000003</v>
      </c>
      <c r="M20" s="313">
        <f>+[3]DailySep!AJ19</f>
        <v>14035.43</v>
      </c>
      <c r="N20" s="313">
        <f t="shared" ref="N20" si="151">M20/B20</f>
        <v>1029.3678034470113</v>
      </c>
      <c r="O20" s="313">
        <f t="shared" ref="O20" si="152">M20/C20</f>
        <v>753.82297652935176</v>
      </c>
      <c r="P20" s="313">
        <f t="shared" ref="P20" si="153">+E20+I20+M20</f>
        <v>21110.860000000728</v>
      </c>
      <c r="Q20" s="6">
        <f t="shared" ref="Q20" si="154">P20/B20</f>
        <v>1548.2845617895655</v>
      </c>
      <c r="R20" s="311">
        <f t="shared" ref="R20" si="155">P20/C20</f>
        <v>1133.8342553306154</v>
      </c>
      <c r="V20" s="382" t="s">
        <v>172</v>
      </c>
      <c r="W20" s="382" t="s">
        <v>173</v>
      </c>
    </row>
    <row r="21" spans="1:23" ht="15">
      <c r="A21" s="305">
        <f>+Report1!A22</f>
        <v>45914</v>
      </c>
      <c r="B21" s="312">
        <f>+Report1!P22</f>
        <v>0</v>
      </c>
      <c r="C21" s="312">
        <f>+Report1!R22</f>
        <v>0</v>
      </c>
      <c r="D21" s="313">
        <f t="shared" ref="D21" si="156">+D20+E21</f>
        <v>50300.000000001091</v>
      </c>
      <c r="E21" s="313">
        <f>+[3]DailySep!AH20</f>
        <v>500</v>
      </c>
      <c r="F21" s="313" t="e">
        <f t="shared" ref="F21" si="157">E21/B21</f>
        <v>#DIV/0!</v>
      </c>
      <c r="G21" s="313" t="e">
        <f t="shared" ref="G21" si="158">E21/C21</f>
        <v>#DIV/0!</v>
      </c>
      <c r="H21" s="313">
        <f t="shared" ref="H21" si="159">+H20+I21</f>
        <v>89361.59</v>
      </c>
      <c r="I21" s="313">
        <f>+[3]DailySep!AI20</f>
        <v>65.87</v>
      </c>
      <c r="J21" s="313" t="e">
        <f t="shared" ref="J21" si="160">I21/B21</f>
        <v>#DIV/0!</v>
      </c>
      <c r="K21" s="313" t="e">
        <f t="shared" ref="K21" si="161">I21/C21</f>
        <v>#DIV/0!</v>
      </c>
      <c r="L21" s="313">
        <f t="shared" ref="L21" si="162">+L20+M21</f>
        <v>277601.59000000003</v>
      </c>
      <c r="M21" s="313">
        <f>+[3]DailySep!AJ20</f>
        <v>6225.87</v>
      </c>
      <c r="N21" s="313" t="e">
        <f t="shared" ref="N21" si="163">M21/B21</f>
        <v>#DIV/0!</v>
      </c>
      <c r="O21" s="313" t="e">
        <f t="shared" ref="O21" si="164">M21/C21</f>
        <v>#DIV/0!</v>
      </c>
      <c r="P21" s="313">
        <f t="shared" ref="P21" si="165">+E21+I21+M21</f>
        <v>6791.74</v>
      </c>
      <c r="Q21" s="6" t="e">
        <f t="shared" ref="Q21" si="166">P21/B21</f>
        <v>#DIV/0!</v>
      </c>
      <c r="R21" s="311" t="e">
        <f t="shared" ref="R21" si="167">P21/C21</f>
        <v>#DIV/0!</v>
      </c>
      <c r="V21" s="382" t="s">
        <v>172</v>
      </c>
      <c r="W21" s="382" t="s">
        <v>173</v>
      </c>
    </row>
    <row r="22" spans="1:23" ht="15">
      <c r="A22" s="305">
        <f>+Report1!A23</f>
        <v>45915</v>
      </c>
      <c r="B22" s="312">
        <f>+Report1!P23</f>
        <v>0</v>
      </c>
      <c r="C22" s="312">
        <f>+Report1!R23</f>
        <v>0</v>
      </c>
      <c r="D22" s="313">
        <f t="shared" ref="D22" si="168">+D21+E22</f>
        <v>51100.000000000364</v>
      </c>
      <c r="E22" s="313">
        <f>+[3]DailySep!AH21</f>
        <v>799.9999999992724</v>
      </c>
      <c r="F22" s="313" t="e">
        <f t="shared" ref="F22" si="169">E22/B22</f>
        <v>#DIV/0!</v>
      </c>
      <c r="G22" s="313" t="e">
        <f t="shared" ref="G22" si="170">E22/C22</f>
        <v>#DIV/0!</v>
      </c>
      <c r="H22" s="313">
        <f t="shared" ref="H22" si="171">+H21+I22</f>
        <v>89889.12</v>
      </c>
      <c r="I22" s="313">
        <f>+[3]DailySep!AI21</f>
        <v>527.53</v>
      </c>
      <c r="J22" s="313" t="e">
        <f t="shared" ref="J22" si="172">I22/B22</f>
        <v>#DIV/0!</v>
      </c>
      <c r="K22" s="313" t="e">
        <f t="shared" ref="K22" si="173">I22/C22</f>
        <v>#DIV/0!</v>
      </c>
      <c r="L22" s="313">
        <f t="shared" ref="L22" si="174">+L21+M22</f>
        <v>282289.12000000005</v>
      </c>
      <c r="M22" s="313">
        <f>+[3]DailySep!AJ21</f>
        <v>4687.53</v>
      </c>
      <c r="N22" s="313" t="e">
        <f t="shared" ref="N22" si="175">M22/B22</f>
        <v>#DIV/0!</v>
      </c>
      <c r="O22" s="313" t="e">
        <f t="shared" ref="O22" si="176">M22/C22</f>
        <v>#DIV/0!</v>
      </c>
      <c r="P22" s="313">
        <f t="shared" ref="P22" si="177">+E22+I22+M22</f>
        <v>6015.0599999992719</v>
      </c>
      <c r="Q22" s="6" t="e">
        <f t="shared" ref="Q22" si="178">P22/B22</f>
        <v>#DIV/0!</v>
      </c>
      <c r="R22" s="311" t="e">
        <f t="shared" ref="R22" si="179">P22/C22</f>
        <v>#DIV/0!</v>
      </c>
      <c r="V22" s="382" t="s">
        <v>172</v>
      </c>
      <c r="W22" s="382" t="s">
        <v>173</v>
      </c>
    </row>
    <row r="23" spans="1:23" ht="15">
      <c r="A23" s="305">
        <f>+Report1!A24</f>
        <v>45916</v>
      </c>
      <c r="B23" s="312">
        <f>+Report1!P24</f>
        <v>0</v>
      </c>
      <c r="C23" s="312">
        <f>+Report1!R24</f>
        <v>0</v>
      </c>
      <c r="D23" s="313">
        <f t="shared" ref="D23" si="180">+D22+E23</f>
        <v>51700.000000000728</v>
      </c>
      <c r="E23" s="313">
        <f>+[3]DailySep!AH22</f>
        <v>600.0000000003638</v>
      </c>
      <c r="F23" s="313" t="e">
        <f t="shared" ref="F23" si="181">E23/B23</f>
        <v>#DIV/0!</v>
      </c>
      <c r="G23" s="313" t="e">
        <f t="shared" ref="G23" si="182">E23/C23</f>
        <v>#DIV/0!</v>
      </c>
      <c r="H23" s="313">
        <f t="shared" ref="H23" si="183">+H22+I23</f>
        <v>91741.33</v>
      </c>
      <c r="I23" s="313">
        <f>+[3]DailySep!AI22</f>
        <v>1852.21</v>
      </c>
      <c r="J23" s="313" t="e">
        <f t="shared" ref="J23" si="184">I23/B23</f>
        <v>#DIV/0!</v>
      </c>
      <c r="K23" s="313" t="e">
        <f t="shared" ref="K23" si="185">I23/C23</f>
        <v>#DIV/0!</v>
      </c>
      <c r="L23" s="313">
        <f t="shared" ref="L23" si="186">+L22+M23</f>
        <v>288301.33000000007</v>
      </c>
      <c r="M23" s="313">
        <f>+[3]DailySep!AJ22</f>
        <v>6012.21</v>
      </c>
      <c r="N23" s="313" t="e">
        <f t="shared" ref="N23" si="187">M23/B23</f>
        <v>#DIV/0!</v>
      </c>
      <c r="O23" s="313" t="e">
        <f t="shared" ref="O23" si="188">M23/C23</f>
        <v>#DIV/0!</v>
      </c>
      <c r="P23" s="313">
        <f t="shared" ref="P23" si="189">+E23+I23+M23</f>
        <v>8464.4200000003639</v>
      </c>
      <c r="Q23" s="6" t="e">
        <f t="shared" ref="Q23" si="190">P23/B23</f>
        <v>#DIV/0!</v>
      </c>
      <c r="R23" s="311" t="e">
        <f t="shared" ref="R23" si="191">P23/C23</f>
        <v>#DIV/0!</v>
      </c>
      <c r="V23" s="382" t="s">
        <v>172</v>
      </c>
      <c r="W23" s="382" t="s">
        <v>173</v>
      </c>
    </row>
    <row r="24" spans="1:23" ht="15">
      <c r="A24" s="305">
        <f>+Report1!A25</f>
        <v>45917</v>
      </c>
      <c r="B24" s="312">
        <f>+Report1!P25</f>
        <v>0</v>
      </c>
      <c r="C24" s="312">
        <f>+Report1!R25</f>
        <v>0</v>
      </c>
      <c r="D24" s="313">
        <f t="shared" ref="D24" si="192">+D23+E24</f>
        <v>52100.000000000364</v>
      </c>
      <c r="E24" s="313">
        <f>+[3]DailySep!AH23</f>
        <v>399.9999999996362</v>
      </c>
      <c r="F24" s="313" t="e">
        <f t="shared" ref="F24" si="193">E24/B24</f>
        <v>#DIV/0!</v>
      </c>
      <c r="G24" s="313" t="e">
        <f t="shared" ref="G24" si="194">E24/C24</f>
        <v>#DIV/0!</v>
      </c>
      <c r="H24" s="313">
        <f t="shared" ref="H24" si="195">+H23+I24</f>
        <v>92636.69</v>
      </c>
      <c r="I24" s="313">
        <f>+[3]DailySep!AI23</f>
        <v>895.36</v>
      </c>
      <c r="J24" s="313" t="e">
        <f t="shared" ref="J24" si="196">I24/B24</f>
        <v>#DIV/0!</v>
      </c>
      <c r="K24" s="313" t="e">
        <f t="shared" ref="K24" si="197">I24/C24</f>
        <v>#DIV/0!</v>
      </c>
      <c r="L24" s="313">
        <f t="shared" ref="L24" si="198">+L23+M24</f>
        <v>294356.69000000006</v>
      </c>
      <c r="M24" s="313">
        <f>+[3]DailySep!AJ23</f>
        <v>6055.3600000000006</v>
      </c>
      <c r="N24" s="313" t="e">
        <f t="shared" ref="N24" si="199">M24/B24</f>
        <v>#DIV/0!</v>
      </c>
      <c r="O24" s="313" t="e">
        <f t="shared" ref="O24" si="200">M24/C24</f>
        <v>#DIV/0!</v>
      </c>
      <c r="P24" s="313">
        <f t="shared" ref="P24" si="201">+E24+I24+M24</f>
        <v>7350.7199999996374</v>
      </c>
      <c r="Q24" s="6" t="e">
        <f t="shared" ref="Q24" si="202">P24/B24</f>
        <v>#DIV/0!</v>
      </c>
      <c r="R24" s="311" t="e">
        <f t="shared" ref="R24" si="203">P24/C24</f>
        <v>#DIV/0!</v>
      </c>
      <c r="V24" s="382" t="s">
        <v>172</v>
      </c>
      <c r="W24" s="382" t="s">
        <v>173</v>
      </c>
    </row>
    <row r="25" spans="1:23" ht="15">
      <c r="A25" s="305">
        <f>+Report1!A26</f>
        <v>45918</v>
      </c>
      <c r="B25" s="312">
        <f>+Report1!P26</f>
        <v>0</v>
      </c>
      <c r="C25" s="312">
        <f>+Report1!R26</f>
        <v>0</v>
      </c>
      <c r="D25" s="313">
        <f t="shared" ref="D25" si="204">+D24+E25</f>
        <v>52500</v>
      </c>
      <c r="E25" s="313">
        <f>+[3]DailySep!AH24</f>
        <v>399.9999999996362</v>
      </c>
      <c r="F25" s="313" t="e">
        <f t="shared" ref="F25" si="205">E25/B25</f>
        <v>#DIV/0!</v>
      </c>
      <c r="G25" s="313" t="e">
        <f t="shared" ref="G25" si="206">E25/C25</f>
        <v>#DIV/0!</v>
      </c>
      <c r="H25" s="313">
        <f t="shared" ref="H25" si="207">+H24+I25</f>
        <v>92432.62</v>
      </c>
      <c r="I25" s="313">
        <f>+[3]DailySep!AI24</f>
        <v>-204.07</v>
      </c>
      <c r="J25" s="313" t="e">
        <f t="shared" ref="J25" si="208">I25/B25</f>
        <v>#DIV/0!</v>
      </c>
      <c r="K25" s="313" t="e">
        <f t="shared" ref="K25" si="209">I25/C25</f>
        <v>#DIV/0!</v>
      </c>
      <c r="L25" s="313">
        <f t="shared" ref="L25" si="210">+L24+M25</f>
        <v>299312.62000000005</v>
      </c>
      <c r="M25" s="313">
        <f>+[3]DailySep!AJ24</f>
        <v>4955.93</v>
      </c>
      <c r="N25" s="313" t="e">
        <f t="shared" ref="N25" si="211">M25/B25</f>
        <v>#DIV/0!</v>
      </c>
      <c r="O25" s="313" t="e">
        <f t="shared" ref="O25" si="212">M25/C25</f>
        <v>#DIV/0!</v>
      </c>
      <c r="P25" s="313">
        <f t="shared" ref="P25" si="213">+E25+I25+M25</f>
        <v>5151.8599999996368</v>
      </c>
      <c r="Q25" s="6" t="e">
        <f t="shared" ref="Q25" si="214">P25/B25</f>
        <v>#DIV/0!</v>
      </c>
      <c r="R25" s="311" t="e">
        <f t="shared" ref="R25" si="215">P25/C25</f>
        <v>#DIV/0!</v>
      </c>
      <c r="V25" s="382" t="s">
        <v>172</v>
      </c>
      <c r="W25" s="382" t="s">
        <v>173</v>
      </c>
    </row>
    <row r="26" spans="1:23" ht="15">
      <c r="A26" s="305">
        <f>+Report1!A27</f>
        <v>45919</v>
      </c>
      <c r="B26" s="312">
        <f>+Report1!P27</f>
        <v>0</v>
      </c>
      <c r="C26" s="312">
        <f>+Report1!R27</f>
        <v>0</v>
      </c>
      <c r="D26" s="313">
        <f t="shared" ref="D26" si="216">+D25+E26</f>
        <v>52900.000000001455</v>
      </c>
      <c r="E26" s="313">
        <f>+[3]DailySep!AH25</f>
        <v>400.00000000145519</v>
      </c>
      <c r="F26" s="313" t="e">
        <f t="shared" ref="F26" si="217">E26/B26</f>
        <v>#DIV/0!</v>
      </c>
      <c r="G26" s="313" t="e">
        <f t="shared" ref="G26" si="218">E26/C26</f>
        <v>#DIV/0!</v>
      </c>
      <c r="H26" s="313">
        <f t="shared" ref="H26" si="219">+H25+I26</f>
        <v>93726.17</v>
      </c>
      <c r="I26" s="313">
        <f>+[3]DailySep!AI25</f>
        <v>1293.55</v>
      </c>
      <c r="J26" s="313" t="e">
        <f t="shared" ref="J26" si="220">I26/B26</f>
        <v>#DIV/0!</v>
      </c>
      <c r="K26" s="313" t="e">
        <f t="shared" ref="K26" si="221">I26/C26</f>
        <v>#DIV/0!</v>
      </c>
      <c r="L26" s="313">
        <f t="shared" ref="L26" si="222">+L25+M26</f>
        <v>304766.17000000004</v>
      </c>
      <c r="M26" s="313">
        <f>+[3]DailySep!AJ25</f>
        <v>5453.55</v>
      </c>
      <c r="N26" s="313" t="e">
        <f t="shared" ref="N26" si="223">M26/B26</f>
        <v>#DIV/0!</v>
      </c>
      <c r="O26" s="313" t="e">
        <f t="shared" ref="O26" si="224">M26/C26</f>
        <v>#DIV/0!</v>
      </c>
      <c r="P26" s="313">
        <f t="shared" ref="P26" si="225">+E26+I26+M26</f>
        <v>7147.1000000014556</v>
      </c>
      <c r="Q26" s="6" t="e">
        <f t="shared" ref="Q26" si="226">P26/B26</f>
        <v>#DIV/0!</v>
      </c>
      <c r="R26" s="311" t="e">
        <f t="shared" ref="R26" si="227">P26/C26</f>
        <v>#DIV/0!</v>
      </c>
      <c r="V26" s="382" t="s">
        <v>172</v>
      </c>
      <c r="W26" s="382" t="s">
        <v>173</v>
      </c>
    </row>
    <row r="27" spans="1:23" ht="15">
      <c r="A27" s="305">
        <f>+Report1!A28</f>
        <v>45920</v>
      </c>
      <c r="B27" s="312">
        <f>+Report1!P28</f>
        <v>0</v>
      </c>
      <c r="C27" s="312">
        <f>+Report1!R28</f>
        <v>0</v>
      </c>
      <c r="D27" s="313">
        <f t="shared" ref="D27" si="228">+D26+E27</f>
        <v>53200.000000000728</v>
      </c>
      <c r="E27" s="313">
        <f>+[3]DailySep!AH26</f>
        <v>299.9999999992724</v>
      </c>
      <c r="F27" s="313" t="e">
        <f t="shared" ref="F27" si="229">E27/B27</f>
        <v>#DIV/0!</v>
      </c>
      <c r="G27" s="313" t="e">
        <f t="shared" ref="G27" si="230">E27/C27</f>
        <v>#DIV/0!</v>
      </c>
      <c r="H27" s="313">
        <f t="shared" ref="H27" si="231">+H26+I27</f>
        <v>94190.709999999992</v>
      </c>
      <c r="I27" s="313">
        <f>+[3]DailySep!AI26</f>
        <v>464.54</v>
      </c>
      <c r="J27" s="313" t="e">
        <f t="shared" ref="J27" si="232">I27/B27</f>
        <v>#DIV/0!</v>
      </c>
      <c r="K27" s="313" t="e">
        <f t="shared" ref="K27" si="233">I27/C27</f>
        <v>#DIV/0!</v>
      </c>
      <c r="L27" s="313">
        <f t="shared" ref="L27" si="234">+L26+M27</f>
        <v>310390.71000000002</v>
      </c>
      <c r="M27" s="313">
        <f>+[3]DailySep!AJ26</f>
        <v>5624.54</v>
      </c>
      <c r="N27" s="313" t="e">
        <f t="shared" ref="N27" si="235">M27/B27</f>
        <v>#DIV/0!</v>
      </c>
      <c r="O27" s="313" t="e">
        <f t="shared" ref="O27" si="236">M27/C27</f>
        <v>#DIV/0!</v>
      </c>
      <c r="P27" s="313">
        <f t="shared" ref="P27" si="237">+E27+I27+M27</f>
        <v>6389.0799999992723</v>
      </c>
      <c r="Q27" s="6" t="e">
        <f t="shared" ref="Q27" si="238">P27/B27</f>
        <v>#DIV/0!</v>
      </c>
      <c r="R27" s="311" t="e">
        <f t="shared" ref="R27" si="239">P27/C27</f>
        <v>#DIV/0!</v>
      </c>
      <c r="V27" s="382" t="s">
        <v>172</v>
      </c>
      <c r="W27" s="382" t="s">
        <v>173</v>
      </c>
    </row>
    <row r="28" spans="1:23" ht="15">
      <c r="A28" s="305">
        <f>+Report1!A29</f>
        <v>45921</v>
      </c>
      <c r="B28" s="312">
        <f>+Report1!P29</f>
        <v>0</v>
      </c>
      <c r="C28" s="312">
        <f>+Report1!R29</f>
        <v>0</v>
      </c>
      <c r="D28" s="313">
        <f t="shared" ref="D28" si="240">+D27+E28</f>
        <v>53600.000000000364</v>
      </c>
      <c r="E28" s="313">
        <f>+[3]DailySep!AH27</f>
        <v>399.9999999996362</v>
      </c>
      <c r="F28" s="313" t="e">
        <f t="shared" ref="F28" si="241">E28/B28</f>
        <v>#DIV/0!</v>
      </c>
      <c r="G28" s="313" t="e">
        <f t="shared" ref="G28" si="242">E28/C28</f>
        <v>#DIV/0!</v>
      </c>
      <c r="H28" s="313">
        <f t="shared" ref="H28" si="243">+H27+I28</f>
        <v>95993.45</v>
      </c>
      <c r="I28" s="313">
        <f>+[3]DailySep!AI27</f>
        <v>1802.74</v>
      </c>
      <c r="J28" s="313" t="e">
        <f t="shared" ref="J28" si="244">I28/B28</f>
        <v>#DIV/0!</v>
      </c>
      <c r="K28" s="313" t="e">
        <f t="shared" ref="K28" si="245">I28/C28</f>
        <v>#DIV/0!</v>
      </c>
      <c r="L28" s="313">
        <f t="shared" ref="L28" si="246">+L27+M28</f>
        <v>317353.45</v>
      </c>
      <c r="M28" s="313">
        <f>+[3]DailySep!AJ27</f>
        <v>6962.74</v>
      </c>
      <c r="N28" s="313" t="e">
        <f t="shared" ref="N28" si="247">M28/B28</f>
        <v>#DIV/0!</v>
      </c>
      <c r="O28" s="313" t="e">
        <f t="shared" ref="O28" si="248">M28/C28</f>
        <v>#DIV/0!</v>
      </c>
      <c r="P28" s="313">
        <f t="shared" ref="P28" si="249">+E28+I28+M28</f>
        <v>9165.4799999996358</v>
      </c>
      <c r="Q28" s="6" t="e">
        <f t="shared" ref="Q28" si="250">P28/B28</f>
        <v>#DIV/0!</v>
      </c>
      <c r="R28" s="311" t="e">
        <f t="shared" ref="R28" si="251">P28/C28</f>
        <v>#DIV/0!</v>
      </c>
      <c r="V28" s="382" t="s">
        <v>172</v>
      </c>
      <c r="W28" s="382" t="s">
        <v>173</v>
      </c>
    </row>
    <row r="29" spans="1:23" ht="15">
      <c r="A29" s="305">
        <f>+Report1!A30</f>
        <v>45922</v>
      </c>
      <c r="B29" s="312">
        <f>+Report1!P30</f>
        <v>0</v>
      </c>
      <c r="C29" s="312">
        <f>+Report1!R30</f>
        <v>0</v>
      </c>
      <c r="D29" s="313">
        <f t="shared" ref="D29" si="252">+D28+E29</f>
        <v>54000</v>
      </c>
      <c r="E29" s="313">
        <f>+[3]DailySep!AH28</f>
        <v>399.9999999996362</v>
      </c>
      <c r="F29" s="313" t="e">
        <f t="shared" ref="F29" si="253">E29/B29</f>
        <v>#DIV/0!</v>
      </c>
      <c r="G29" s="313" t="e">
        <f t="shared" ref="G29" si="254">E29/C29</f>
        <v>#DIV/0!</v>
      </c>
      <c r="H29" s="313">
        <f t="shared" ref="H29" si="255">+H28+I29</f>
        <v>96422.26</v>
      </c>
      <c r="I29" s="313">
        <f>+[3]DailySep!AI28</f>
        <v>428.80999999999995</v>
      </c>
      <c r="J29" s="313" t="e">
        <f t="shared" ref="J29" si="256">I29/B29</f>
        <v>#DIV/0!</v>
      </c>
      <c r="K29" s="313" t="e">
        <f t="shared" ref="K29" si="257">I29/C29</f>
        <v>#DIV/0!</v>
      </c>
      <c r="L29" s="313">
        <f t="shared" ref="L29" si="258">+L28+M29</f>
        <v>321942.26</v>
      </c>
      <c r="M29" s="313">
        <f>+[3]DailySep!AJ28</f>
        <v>4588.8099999999995</v>
      </c>
      <c r="N29" s="313" t="e">
        <f t="shared" ref="N29" si="259">M29/B29</f>
        <v>#DIV/0!</v>
      </c>
      <c r="O29" s="313" t="e">
        <f t="shared" ref="O29" si="260">M29/C29</f>
        <v>#DIV/0!</v>
      </c>
      <c r="P29" s="313">
        <f t="shared" ref="P29" si="261">+E29+I29+M29</f>
        <v>5417.6199999996352</v>
      </c>
      <c r="Q29" s="6" t="e">
        <f t="shared" ref="Q29" si="262">P29/B29</f>
        <v>#DIV/0!</v>
      </c>
      <c r="R29" s="311" t="e">
        <f t="shared" ref="R29" si="263">P29/C29</f>
        <v>#DIV/0!</v>
      </c>
      <c r="V29" s="382" t="s">
        <v>172</v>
      </c>
      <c r="W29" s="382" t="s">
        <v>173</v>
      </c>
    </row>
    <row r="30" spans="1:23" ht="15">
      <c r="A30" s="305">
        <f>+Report1!A31</f>
        <v>45923</v>
      </c>
      <c r="B30" s="312">
        <f>+Report1!P31</f>
        <v>0</v>
      </c>
      <c r="C30" s="312">
        <f>+Report1!R31</f>
        <v>0</v>
      </c>
      <c r="D30" s="313">
        <f t="shared" ref="D30" si="264">+D29+E30</f>
        <v>54400.000000001455</v>
      </c>
      <c r="E30" s="313">
        <f>+[3]DailySep!AH29</f>
        <v>400.00000000145519</v>
      </c>
      <c r="F30" s="313" t="e">
        <f t="shared" ref="F30" si="265">E30/B30</f>
        <v>#DIV/0!</v>
      </c>
      <c r="G30" s="313" t="e">
        <f t="shared" ref="G30" si="266">E30/C30</f>
        <v>#DIV/0!</v>
      </c>
      <c r="H30" s="313">
        <f t="shared" ref="H30" si="267">+H29+I30</f>
        <v>97362.209999999992</v>
      </c>
      <c r="I30" s="313">
        <f>+[3]DailySep!AI29</f>
        <v>939.95</v>
      </c>
      <c r="J30" s="313" t="e">
        <f t="shared" ref="J30" si="268">I30/B30</f>
        <v>#DIV/0!</v>
      </c>
      <c r="K30" s="313" t="e">
        <f t="shared" ref="K30" si="269">I30/C30</f>
        <v>#DIV/0!</v>
      </c>
      <c r="L30" s="313">
        <f t="shared" ref="L30" si="270">+L29+M30</f>
        <v>328042.21000000002</v>
      </c>
      <c r="M30" s="313">
        <f>+[3]DailySep!AJ29</f>
        <v>6099.95</v>
      </c>
      <c r="N30" s="313" t="e">
        <f t="shared" ref="N30" si="271">M30/B30</f>
        <v>#DIV/0!</v>
      </c>
      <c r="O30" s="313" t="e">
        <f t="shared" ref="O30" si="272">M30/C30</f>
        <v>#DIV/0!</v>
      </c>
      <c r="P30" s="313">
        <f t="shared" ref="P30" si="273">+E30+I30+M30</f>
        <v>7439.9000000014548</v>
      </c>
      <c r="Q30" s="6" t="e">
        <f t="shared" ref="Q30" si="274">P30/B30</f>
        <v>#DIV/0!</v>
      </c>
      <c r="R30" s="311" t="e">
        <f t="shared" ref="R30" si="275">P30/C30</f>
        <v>#DIV/0!</v>
      </c>
      <c r="V30" s="382" t="s">
        <v>172</v>
      </c>
      <c r="W30" s="382" t="s">
        <v>173</v>
      </c>
    </row>
    <row r="31" spans="1:23" ht="15">
      <c r="A31" s="305">
        <f>+Report1!A32</f>
        <v>45924</v>
      </c>
      <c r="B31" s="312">
        <f>+Report1!P32</f>
        <v>0</v>
      </c>
      <c r="C31" s="312">
        <f>+Report1!R32</f>
        <v>0</v>
      </c>
      <c r="D31" s="313">
        <f t="shared" ref="D31" si="276">+D30+E31</f>
        <v>54800.000000001091</v>
      </c>
      <c r="E31" s="313">
        <f>+[3]DailySep!AH30</f>
        <v>399.9999999996362</v>
      </c>
      <c r="F31" s="313" t="e">
        <f t="shared" ref="F31" si="277">E31/B31</f>
        <v>#DIV/0!</v>
      </c>
      <c r="G31" s="313" t="e">
        <f t="shared" ref="G31" si="278">E31/C31</f>
        <v>#DIV/0!</v>
      </c>
      <c r="H31" s="313">
        <f t="shared" ref="H31" si="279">+H30+I31</f>
        <v>98131.659999999989</v>
      </c>
      <c r="I31" s="313">
        <f>+[3]DailySep!AI30</f>
        <v>769.45</v>
      </c>
      <c r="J31" s="313" t="e">
        <f t="shared" ref="J31" si="280">I31/B31</f>
        <v>#DIV/0!</v>
      </c>
      <c r="K31" s="313" t="e">
        <f t="shared" ref="K31" si="281">I31/C31</f>
        <v>#DIV/0!</v>
      </c>
      <c r="L31" s="313">
        <f t="shared" ref="L31" si="282">+L30+M31</f>
        <v>333971.66000000003</v>
      </c>
      <c r="M31" s="313">
        <f>+[3]DailySep!AJ30</f>
        <v>5929.45</v>
      </c>
      <c r="N31" s="313" t="e">
        <f t="shared" ref="N31" si="283">M31/B31</f>
        <v>#DIV/0!</v>
      </c>
      <c r="O31" s="313" t="e">
        <f t="shared" ref="O31" si="284">M31/C31</f>
        <v>#DIV/0!</v>
      </c>
      <c r="P31" s="313">
        <f t="shared" ref="P31" si="285">+E31+I31+M31</f>
        <v>7098.8999999996358</v>
      </c>
      <c r="Q31" s="6" t="e">
        <f t="shared" ref="Q31" si="286">P31/B31</f>
        <v>#DIV/0!</v>
      </c>
      <c r="R31" s="311" t="e">
        <f t="shared" ref="R31" si="287">P31/C31</f>
        <v>#DIV/0!</v>
      </c>
      <c r="V31" s="382" t="s">
        <v>172</v>
      </c>
      <c r="W31" s="382" t="s">
        <v>173</v>
      </c>
    </row>
    <row r="32" spans="1:23" ht="15">
      <c r="A32" s="305">
        <f>+Report1!A33</f>
        <v>45925</v>
      </c>
      <c r="B32" s="312">
        <f>+Report1!P33</f>
        <v>0</v>
      </c>
      <c r="C32" s="312">
        <f>+Report1!R33</f>
        <v>0</v>
      </c>
      <c r="D32" s="313">
        <f t="shared" ref="D32" si="288">+D31+E32</f>
        <v>55100.000000000364</v>
      </c>
      <c r="E32" s="313">
        <f>+[3]DailySep!AH31</f>
        <v>299.9999999992724</v>
      </c>
      <c r="F32" s="313" t="e">
        <f t="shared" ref="F32" si="289">E32/B32</f>
        <v>#DIV/0!</v>
      </c>
      <c r="G32" s="313" t="e">
        <f t="shared" ref="G32" si="290">E32/C32</f>
        <v>#DIV/0!</v>
      </c>
      <c r="H32" s="313">
        <f t="shared" ref="H32" si="291">+H31+I32</f>
        <v>99384.569999999992</v>
      </c>
      <c r="I32" s="313">
        <f>+[3]DailySep!AI31</f>
        <v>1252.9100000000001</v>
      </c>
      <c r="J32" s="313" t="e">
        <f t="shared" ref="J32" si="292">I32/B32</f>
        <v>#DIV/0!</v>
      </c>
      <c r="K32" s="313" t="e">
        <f t="shared" ref="K32" si="293">I32/C32</f>
        <v>#DIV/0!</v>
      </c>
      <c r="L32" s="313">
        <f t="shared" ref="L32" si="294">+L31+M32</f>
        <v>340384.57</v>
      </c>
      <c r="M32" s="313">
        <f>+[3]DailySep!AJ31</f>
        <v>6412.91</v>
      </c>
      <c r="N32" s="313" t="e">
        <f t="shared" ref="N32" si="295">M32/B32</f>
        <v>#DIV/0!</v>
      </c>
      <c r="O32" s="313" t="e">
        <f t="shared" ref="O32" si="296">M32/C32</f>
        <v>#DIV/0!</v>
      </c>
      <c r="P32" s="313">
        <f t="shared" ref="P32" si="297">+E32+I32+M32</f>
        <v>7965.8199999992721</v>
      </c>
      <c r="Q32" s="6" t="e">
        <f t="shared" ref="Q32" si="298">P32/B32</f>
        <v>#DIV/0!</v>
      </c>
      <c r="R32" s="311" t="e">
        <f t="shared" ref="R32" si="299">P32/C32</f>
        <v>#DIV/0!</v>
      </c>
      <c r="V32" s="382" t="s">
        <v>172</v>
      </c>
      <c r="W32" s="382" t="s">
        <v>173</v>
      </c>
    </row>
    <row r="33" spans="1:23" ht="15">
      <c r="A33" s="305">
        <f>+Report1!A34</f>
        <v>45926</v>
      </c>
      <c r="B33" s="312">
        <f>+Report1!P34</f>
        <v>0</v>
      </c>
      <c r="C33" s="312">
        <f>+Report1!R34</f>
        <v>0</v>
      </c>
      <c r="D33" s="313">
        <f t="shared" ref="D33" si="300">+D32+E33</f>
        <v>55500</v>
      </c>
      <c r="E33" s="313">
        <f>+[3]DailySep!AH32</f>
        <v>399.9999999996362</v>
      </c>
      <c r="F33" s="313" t="e">
        <f t="shared" ref="F33" si="301">E33/B33</f>
        <v>#DIV/0!</v>
      </c>
      <c r="G33" s="313" t="e">
        <f t="shared" ref="G33" si="302">E33/C33</f>
        <v>#DIV/0!</v>
      </c>
      <c r="H33" s="313">
        <f t="shared" ref="H33" si="303">+H32+I33</f>
        <v>99882.48</v>
      </c>
      <c r="I33" s="313">
        <f>+[3]DailySep!AI32</f>
        <v>497.91</v>
      </c>
      <c r="J33" s="313" t="e">
        <f t="shared" ref="J33" si="304">I33/B33</f>
        <v>#DIV/0!</v>
      </c>
      <c r="K33" s="313" t="e">
        <f t="shared" ref="K33" si="305">I33/C33</f>
        <v>#DIV/0!</v>
      </c>
      <c r="L33" s="313">
        <f t="shared" ref="L33" si="306">+L32+M33</f>
        <v>345042.48</v>
      </c>
      <c r="M33" s="313">
        <f>+[3]DailySep!AJ32</f>
        <v>4657.91</v>
      </c>
      <c r="N33" s="313" t="e">
        <f t="shared" ref="N33" si="307">M33/B33</f>
        <v>#DIV/0!</v>
      </c>
      <c r="O33" s="313" t="e">
        <f t="shared" ref="O33" si="308">M33/C33</f>
        <v>#DIV/0!</v>
      </c>
      <c r="P33" s="313">
        <f t="shared" ref="P33" si="309">+E33+I33+M33</f>
        <v>5555.8199999996359</v>
      </c>
      <c r="Q33" s="6" t="e">
        <f t="shared" ref="Q33" si="310">P33/B33</f>
        <v>#DIV/0!</v>
      </c>
      <c r="R33" s="311" t="e">
        <f t="shared" ref="R33" si="311">P33/C33</f>
        <v>#DIV/0!</v>
      </c>
      <c r="V33" s="382" t="s">
        <v>172</v>
      </c>
      <c r="W33" s="382" t="s">
        <v>173</v>
      </c>
    </row>
    <row r="34" spans="1:23">
      <c r="A34" s="305">
        <f>+Report1!A35</f>
        <v>45927</v>
      </c>
      <c r="B34" s="312">
        <f>+Report1!P35</f>
        <v>0</v>
      </c>
      <c r="C34" s="312">
        <f>+Report1!R35</f>
        <v>0</v>
      </c>
      <c r="D34" s="313">
        <f t="shared" ref="D34:D38" si="312">+D33+E34</f>
        <v>55900.000000001455</v>
      </c>
      <c r="E34" s="313">
        <f>+[3]DailySep!AH33</f>
        <v>400.00000000145519</v>
      </c>
      <c r="F34" s="307" t="e">
        <f t="shared" si="1"/>
        <v>#DIV/0!</v>
      </c>
      <c r="G34" s="307" t="e">
        <f t="shared" si="2"/>
        <v>#DIV/0!</v>
      </c>
      <c r="H34" s="313">
        <f t="shared" ref="H34:H38" si="313">+H33+I34</f>
        <v>100117.62999999999</v>
      </c>
      <c r="I34" s="313">
        <f>+[3]DailySep!AI33</f>
        <v>235.15</v>
      </c>
      <c r="J34" s="307" t="e">
        <f t="shared" si="4"/>
        <v>#DIV/0!</v>
      </c>
      <c r="K34" s="307" t="e">
        <f t="shared" si="5"/>
        <v>#DIV/0!</v>
      </c>
      <c r="L34" s="313">
        <f t="shared" ref="L34:L38" si="314">+L33+M34</f>
        <v>350437.63</v>
      </c>
      <c r="M34" s="313">
        <f>+[3]DailySep!AJ33</f>
        <v>5395.15</v>
      </c>
      <c r="N34" s="307" t="e">
        <f t="shared" si="7"/>
        <v>#DIV/0!</v>
      </c>
      <c r="O34" s="307" t="e">
        <f t="shared" si="8"/>
        <v>#DIV/0!</v>
      </c>
      <c r="P34" s="313">
        <f t="shared" ref="P34:P40" si="315">+E34+I34+M34</f>
        <v>6030.3000000014545</v>
      </c>
      <c r="Q34" s="310" t="e">
        <f t="shared" si="10"/>
        <v>#DIV/0!</v>
      </c>
      <c r="R34" s="311" t="e">
        <f t="shared" si="11"/>
        <v>#DIV/0!</v>
      </c>
    </row>
    <row r="35" spans="1:23">
      <c r="A35" s="305">
        <f>+Report1!A36</f>
        <v>45928</v>
      </c>
      <c r="B35" s="312">
        <f>+Report1!P36</f>
        <v>0</v>
      </c>
      <c r="C35" s="312">
        <f>+Report1!R36</f>
        <v>0</v>
      </c>
      <c r="D35" s="313">
        <f t="shared" ref="D35" si="316">+D34+E35</f>
        <v>56200.000000000728</v>
      </c>
      <c r="E35" s="313">
        <f>+[3]DailySep!AH34</f>
        <v>299.9999999992724</v>
      </c>
      <c r="F35" s="307" t="e">
        <f t="shared" ref="F35" si="317">E35/B35</f>
        <v>#DIV/0!</v>
      </c>
      <c r="G35" s="307" t="e">
        <f t="shared" ref="G35" si="318">E35/C35</f>
        <v>#DIV/0!</v>
      </c>
      <c r="H35" s="313">
        <f t="shared" ref="H35" si="319">+H34+I35</f>
        <v>101891.32999999999</v>
      </c>
      <c r="I35" s="313">
        <f>+[3]DailySep!AI34</f>
        <v>1773.7</v>
      </c>
      <c r="J35" s="307" t="e">
        <f t="shared" ref="J35" si="320">I35/B35</f>
        <v>#DIV/0!</v>
      </c>
      <c r="K35" s="307" t="e">
        <f t="shared" ref="K35" si="321">I35/C35</f>
        <v>#DIV/0!</v>
      </c>
      <c r="L35" s="313">
        <f t="shared" ref="L35" si="322">+L34+M35</f>
        <v>357371.33</v>
      </c>
      <c r="M35" s="313">
        <f>+[3]DailySep!AJ34</f>
        <v>6933.7</v>
      </c>
      <c r="N35" s="307" t="e">
        <f t="shared" ref="N35" si="323">M35/B35</f>
        <v>#DIV/0!</v>
      </c>
      <c r="O35" s="307" t="e">
        <f t="shared" ref="O35" si="324">M35/C35</f>
        <v>#DIV/0!</v>
      </c>
      <c r="P35" s="313">
        <f t="shared" ref="P35" si="325">+E35+I35+M35</f>
        <v>9007.399999999272</v>
      </c>
      <c r="Q35" s="310" t="e">
        <f t="shared" ref="Q35" si="326">P35/B35</f>
        <v>#DIV/0!</v>
      </c>
      <c r="R35" s="311" t="e">
        <f t="shared" ref="R35" si="327">P35/C35</f>
        <v>#DIV/0!</v>
      </c>
    </row>
    <row r="36" spans="1:23">
      <c r="A36" s="305">
        <f>+Report1!A37</f>
        <v>45929</v>
      </c>
      <c r="B36" s="312">
        <f>+Report1!P37</f>
        <v>0</v>
      </c>
      <c r="C36" s="312">
        <f>+Report1!R37</f>
        <v>0</v>
      </c>
      <c r="D36" s="313">
        <f t="shared" ref="D36" si="328">+D35+E36</f>
        <v>56500</v>
      </c>
      <c r="E36" s="313">
        <f>+[3]DailySep!AH35</f>
        <v>299.9999999992724</v>
      </c>
      <c r="F36" s="307" t="e">
        <f t="shared" ref="F36" si="329">E36/B36</f>
        <v>#DIV/0!</v>
      </c>
      <c r="G36" s="307" t="e">
        <f t="shared" ref="G36" si="330">E36/C36</f>
        <v>#DIV/0!</v>
      </c>
      <c r="H36" s="313">
        <f t="shared" ref="H36" si="331">+H35+I36</f>
        <v>102042.84999999999</v>
      </c>
      <c r="I36" s="313">
        <f>+[3]DailySep!AI35</f>
        <v>151.51999999999998</v>
      </c>
      <c r="J36" s="307" t="e">
        <f t="shared" ref="J36" si="332">I36/B36</f>
        <v>#DIV/0!</v>
      </c>
      <c r="K36" s="307" t="e">
        <f t="shared" ref="K36" si="333">I36/C36</f>
        <v>#DIV/0!</v>
      </c>
      <c r="L36" s="313">
        <f t="shared" ref="L36" si="334">+L35+M36</f>
        <v>361682.85000000003</v>
      </c>
      <c r="M36" s="313">
        <f>+[3]DailySep!AJ35</f>
        <v>4311.5200000000004</v>
      </c>
      <c r="N36" s="307" t="e">
        <f t="shared" ref="N36" si="335">M36/B36</f>
        <v>#DIV/0!</v>
      </c>
      <c r="O36" s="307" t="e">
        <f t="shared" ref="O36" si="336">M36/C36</f>
        <v>#DIV/0!</v>
      </c>
      <c r="P36" s="313">
        <f t="shared" ref="P36" si="337">+E36+I36+M36</f>
        <v>4763.0399999992733</v>
      </c>
      <c r="Q36" s="310" t="e">
        <f t="shared" ref="Q36" si="338">P36/B36</f>
        <v>#DIV/0!</v>
      </c>
      <c r="R36" s="311" t="e">
        <f t="shared" ref="R36" si="339">P36/C36</f>
        <v>#DIV/0!</v>
      </c>
    </row>
    <row r="37" spans="1:23">
      <c r="A37" s="305">
        <f>+Report1!A38</f>
        <v>45930</v>
      </c>
      <c r="B37" s="312">
        <f>+Report1!P38</f>
        <v>0</v>
      </c>
      <c r="C37" s="312">
        <f>+Report1!R38</f>
        <v>0</v>
      </c>
      <c r="D37" s="313">
        <f t="shared" si="312"/>
        <v>56800.000000001091</v>
      </c>
      <c r="E37" s="313">
        <f>+[3]DailySep!AH36</f>
        <v>300.00000000109139</v>
      </c>
      <c r="F37" s="307" t="e">
        <f t="shared" si="1"/>
        <v>#DIV/0!</v>
      </c>
      <c r="G37" s="307" t="e">
        <f t="shared" si="2"/>
        <v>#DIV/0!</v>
      </c>
      <c r="H37" s="313">
        <f t="shared" si="313"/>
        <v>102982.18</v>
      </c>
      <c r="I37" s="313">
        <f>+[3]DailySep!AI36</f>
        <v>939.33</v>
      </c>
      <c r="J37" s="307" t="e">
        <f t="shared" si="4"/>
        <v>#DIV/0!</v>
      </c>
      <c r="K37" s="307" t="e">
        <f t="shared" si="5"/>
        <v>#DIV/0!</v>
      </c>
      <c r="L37" s="313">
        <f t="shared" si="314"/>
        <v>366782.18000000005</v>
      </c>
      <c r="M37" s="313">
        <f>+[3]DailySep!AJ36</f>
        <v>5099.33</v>
      </c>
      <c r="N37" s="307" t="e">
        <f t="shared" si="7"/>
        <v>#DIV/0!</v>
      </c>
      <c r="O37" s="307" t="e">
        <f t="shared" si="8"/>
        <v>#DIV/0!</v>
      </c>
      <c r="P37" s="313">
        <f t="shared" si="315"/>
        <v>6338.6600000010912</v>
      </c>
      <c r="Q37" s="310" t="e">
        <f t="shared" si="10"/>
        <v>#DIV/0!</v>
      </c>
      <c r="R37" s="311" t="e">
        <f t="shared" si="11"/>
        <v>#DIV/0!</v>
      </c>
    </row>
    <row r="38" spans="1:23" hidden="1">
      <c r="A38" s="305">
        <f>+Report1!A39</f>
        <v>0</v>
      </c>
      <c r="B38" s="312">
        <f>+Report1!P39</f>
        <v>0</v>
      </c>
      <c r="C38" s="312">
        <f>+Report1!R39</f>
        <v>0</v>
      </c>
      <c r="D38" s="313">
        <f t="shared" si="312"/>
        <v>56800.000000001091</v>
      </c>
      <c r="E38" s="313">
        <f>+[3]DailySep!AH37</f>
        <v>0</v>
      </c>
      <c r="F38" s="307" t="e">
        <f t="shared" si="1"/>
        <v>#DIV/0!</v>
      </c>
      <c r="G38" s="307" t="e">
        <f t="shared" si="2"/>
        <v>#DIV/0!</v>
      </c>
      <c r="H38" s="313">
        <f t="shared" si="313"/>
        <v>102982.18</v>
      </c>
      <c r="I38" s="313">
        <f>+[3]DailySep!AI37</f>
        <v>0</v>
      </c>
      <c r="J38" s="307" t="e">
        <f t="shared" si="4"/>
        <v>#DIV/0!</v>
      </c>
      <c r="K38" s="307" t="e">
        <f t="shared" si="5"/>
        <v>#DIV/0!</v>
      </c>
      <c r="L38" s="313">
        <f t="shared" si="314"/>
        <v>366782.18000000005</v>
      </c>
      <c r="M38" s="313">
        <f>+[3]DailySep!AJ37</f>
        <v>0</v>
      </c>
      <c r="N38" s="308" t="e">
        <f t="shared" si="7"/>
        <v>#DIV/0!</v>
      </c>
      <c r="O38" s="308" t="e">
        <f t="shared" si="8"/>
        <v>#DIV/0!</v>
      </c>
      <c r="P38" s="313">
        <f t="shared" si="315"/>
        <v>0</v>
      </c>
      <c r="Q38" s="310" t="e">
        <f t="shared" si="10"/>
        <v>#DIV/0!</v>
      </c>
      <c r="R38" s="311" t="e">
        <f t="shared" si="11"/>
        <v>#DIV/0!</v>
      </c>
    </row>
    <row r="39" spans="1:23">
      <c r="A39" s="305"/>
      <c r="B39" s="312"/>
      <c r="C39" s="312"/>
      <c r="D39" s="301"/>
      <c r="E39" s="313"/>
      <c r="F39" s="307"/>
      <c r="G39" s="307"/>
      <c r="H39" s="303"/>
      <c r="I39" s="313"/>
      <c r="J39" s="307"/>
      <c r="K39" s="307"/>
      <c r="L39" s="304"/>
      <c r="M39" s="313"/>
      <c r="N39" s="308"/>
      <c r="O39" s="308"/>
      <c r="P39" s="309"/>
      <c r="Q39" s="310"/>
      <c r="R39" s="311"/>
    </row>
    <row r="40" spans="1:23">
      <c r="A40" s="314" t="s">
        <v>28</v>
      </c>
      <c r="B40" s="315">
        <f>SUM(B8:B38)</f>
        <v>440.91260000000005</v>
      </c>
      <c r="C40" s="315">
        <f>SUM(C8:C38)</f>
        <v>413.67199999999991</v>
      </c>
      <c r="D40" s="317"/>
      <c r="E40" s="313">
        <f>SUM(E8:E39)</f>
        <v>56800.000000001091</v>
      </c>
      <c r="F40" s="316">
        <f>E40/B40</f>
        <v>128.823716990626</v>
      </c>
      <c r="G40" s="316">
        <f>E40/C40</f>
        <v>137.3068518052977</v>
      </c>
      <c r="H40" s="318"/>
      <c r="I40" s="313">
        <f>SUM(I8:I39)</f>
        <v>102982.18</v>
      </c>
      <c r="J40" s="316">
        <f>I40/B40</f>
        <v>233.56597203164523</v>
      </c>
      <c r="K40" s="316">
        <f>I40/C40</f>
        <v>248.94645999729258</v>
      </c>
      <c r="L40" s="319"/>
      <c r="M40" s="313">
        <f>SUM(M8:M39)</f>
        <v>366782.18000000005</v>
      </c>
      <c r="N40" s="316">
        <f>M40/B40</f>
        <v>831.87048861837923</v>
      </c>
      <c r="O40" s="316">
        <f>M40/C40</f>
        <v>886.64976116343416</v>
      </c>
      <c r="P40" s="313">
        <f t="shared" si="315"/>
        <v>526564.36000000115</v>
      </c>
      <c r="Q40" s="381">
        <f>P40/B40</f>
        <v>1194.2601776406505</v>
      </c>
      <c r="R40" s="318">
        <f>P40/C40</f>
        <v>1272.9030729660244</v>
      </c>
    </row>
    <row r="42" spans="1:23">
      <c r="P42" s="4">
        <v>-1320860.8400000001</v>
      </c>
    </row>
    <row r="43" spans="1:23">
      <c r="D43" s="321"/>
    </row>
    <row r="44" spans="1:23">
      <c r="E44" s="320"/>
      <c r="H44" s="320"/>
    </row>
  </sheetData>
  <mergeCells count="9">
    <mergeCell ref="A2:P2"/>
    <mergeCell ref="D4:O4"/>
    <mergeCell ref="P4:R5"/>
    <mergeCell ref="A4:A6"/>
    <mergeCell ref="B4:B6"/>
    <mergeCell ref="C4:C6"/>
    <mergeCell ref="D5:G5"/>
    <mergeCell ref="H5:K5"/>
    <mergeCell ref="L5:O5"/>
  </mergeCells>
  <phoneticPr fontId="32"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topLeftCell="A43" workbookViewId="0">
      <selection activeCell="F60" sqref="F60"/>
    </sheetView>
  </sheetViews>
  <sheetFormatPr defaultRowHeight="12.75"/>
  <cols>
    <col min="1" max="1" width="10.140625" bestFit="1" customWidth="1"/>
    <col min="2" max="2" width="10.140625" customWidth="1"/>
    <col min="4" max="4" width="22.28515625" customWidth="1"/>
    <col min="6" max="6" width="11" bestFit="1" customWidth="1"/>
  </cols>
  <sheetData>
    <row r="1" spans="1:9">
      <c r="A1" s="418" t="s">
        <v>188</v>
      </c>
      <c r="B1" s="326">
        <f>+Report1!A9</f>
        <v>45901</v>
      </c>
      <c r="C1" s="92"/>
      <c r="G1" s="93"/>
      <c r="H1" s="94"/>
    </row>
    <row r="2" spans="1:9" ht="13.5" thickBot="1">
      <c r="A2" s="91"/>
      <c r="B2" s="92"/>
      <c r="C2" s="92"/>
      <c r="G2" s="93"/>
      <c r="H2" s="94"/>
    </row>
    <row r="3" spans="1:9" ht="26.25" thickBot="1">
      <c r="A3" s="380" t="s">
        <v>120</v>
      </c>
      <c r="B3" s="366" t="s">
        <v>9</v>
      </c>
      <c r="C3" s="366" t="s">
        <v>93</v>
      </c>
      <c r="D3" s="366" t="s">
        <v>121</v>
      </c>
      <c r="E3" s="366" t="s">
        <v>122</v>
      </c>
      <c r="F3" s="366" t="s">
        <v>123</v>
      </c>
      <c r="G3" s="367" t="s">
        <v>124</v>
      </c>
      <c r="H3" s="368" t="s">
        <v>125</v>
      </c>
      <c r="I3" s="558" t="s">
        <v>396</v>
      </c>
    </row>
    <row r="4" spans="1:9">
      <c r="A4" s="330">
        <f>+B1</f>
        <v>45901</v>
      </c>
      <c r="B4" s="383" t="s">
        <v>389</v>
      </c>
      <c r="C4" s="331">
        <v>1</v>
      </c>
      <c r="D4" s="365" t="s">
        <v>416</v>
      </c>
      <c r="E4" s="365">
        <f>140+122.5</f>
        <v>262.5</v>
      </c>
      <c r="F4" s="365">
        <f>18+31+26</f>
        <v>75</v>
      </c>
      <c r="G4" s="331">
        <f>+E4*F4</f>
        <v>19687.5</v>
      </c>
      <c r="H4" s="385">
        <f>(G4/F4)</f>
        <v>262.5</v>
      </c>
      <c r="I4" s="559">
        <f>+'1'!I38</f>
        <v>40.056000000000004</v>
      </c>
    </row>
    <row r="5" spans="1:9">
      <c r="A5" s="561"/>
      <c r="B5" s="562" t="s">
        <v>417</v>
      </c>
      <c r="C5" s="563">
        <v>1</v>
      </c>
      <c r="D5" s="564" t="s">
        <v>416</v>
      </c>
      <c r="E5" s="564">
        <f>140+122.5</f>
        <v>262.5</v>
      </c>
      <c r="F5" s="564">
        <v>4</v>
      </c>
      <c r="G5" s="563">
        <f>+E5*F5</f>
        <v>1050</v>
      </c>
      <c r="H5" s="559">
        <f>(G5/F5)</f>
        <v>262.5</v>
      </c>
      <c r="I5" s="559" t="s">
        <v>296</v>
      </c>
    </row>
    <row r="6" spans="1:9" ht="13.5" thickBot="1">
      <c r="A6" s="369"/>
      <c r="B6" s="384"/>
      <c r="C6" s="370"/>
      <c r="D6" s="371"/>
      <c r="E6" s="370"/>
      <c r="F6" s="370"/>
      <c r="G6" s="370"/>
      <c r="H6" s="386"/>
      <c r="I6" s="386"/>
    </row>
    <row r="7" spans="1:9">
      <c r="A7" s="330">
        <v>45902</v>
      </c>
      <c r="B7" s="383" t="s">
        <v>389</v>
      </c>
      <c r="C7" s="331">
        <v>1</v>
      </c>
      <c r="D7" s="365" t="s">
        <v>416</v>
      </c>
      <c r="E7" s="365">
        <f>140+122.5</f>
        <v>262.5</v>
      </c>
      <c r="F7" s="365">
        <v>23</v>
      </c>
      <c r="G7" s="331">
        <f>+E7*F7</f>
        <v>6037.5</v>
      </c>
      <c r="H7" s="385">
        <f>(F7*E7+F8*E8)/(SUM(F7:F8))</f>
        <v>260.88235294117646</v>
      </c>
      <c r="I7" s="559">
        <f>+'2'!I38</f>
        <v>38.489000000000004</v>
      </c>
    </row>
    <row r="8" spans="1:9">
      <c r="A8" s="561"/>
      <c r="B8" s="562" t="s">
        <v>389</v>
      </c>
      <c r="C8" s="563">
        <v>1</v>
      </c>
      <c r="D8" s="564" t="s">
        <v>437</v>
      </c>
      <c r="E8" s="564">
        <f>180+77.5</f>
        <v>257.5</v>
      </c>
      <c r="F8" s="564">
        <v>11</v>
      </c>
      <c r="G8" s="563">
        <f>+E8*F8</f>
        <v>2832.5</v>
      </c>
      <c r="H8" s="559"/>
      <c r="I8" s="559"/>
    </row>
    <row r="9" spans="1:9">
      <c r="A9" s="561"/>
      <c r="B9" s="562" t="s">
        <v>417</v>
      </c>
      <c r="C9" s="566">
        <v>1</v>
      </c>
      <c r="D9" s="567" t="s">
        <v>438</v>
      </c>
      <c r="E9" s="564">
        <f>80*3</f>
        <v>240</v>
      </c>
      <c r="F9" s="564">
        <v>27</v>
      </c>
      <c r="G9" s="563">
        <f>+E9*F9</f>
        <v>6480</v>
      </c>
      <c r="H9" s="559">
        <f>(G9/F9)</f>
        <v>240</v>
      </c>
      <c r="I9" s="559"/>
    </row>
    <row r="10" spans="1:9" ht="13.5" thickBot="1">
      <c r="A10" s="369"/>
      <c r="B10" s="384"/>
      <c r="C10" s="370"/>
      <c r="D10" s="371"/>
      <c r="E10" s="370"/>
      <c r="F10" s="370"/>
      <c r="G10" s="370"/>
      <c r="H10" s="386"/>
      <c r="I10" s="386"/>
    </row>
    <row r="11" spans="1:9">
      <c r="A11" s="330">
        <v>45903</v>
      </c>
      <c r="B11" s="562" t="s">
        <v>417</v>
      </c>
      <c r="C11" s="566">
        <v>1</v>
      </c>
      <c r="D11" s="567" t="s">
        <v>438</v>
      </c>
      <c r="E11" s="564">
        <f>80*3</f>
        <v>240</v>
      </c>
      <c r="F11" s="564">
        <f>10+1+3</f>
        <v>14</v>
      </c>
      <c r="G11" s="563">
        <f>+E11*F11</f>
        <v>3360</v>
      </c>
      <c r="H11" s="385">
        <f>(F11*E11+F12*E12)/(SUM(F11:F12))</f>
        <v>240</v>
      </c>
      <c r="I11" s="559">
        <f>+'3'!I38</f>
        <v>38.158000000000001</v>
      </c>
    </row>
    <row r="12" spans="1:9">
      <c r="A12" s="561"/>
      <c r="B12" s="562" t="s">
        <v>456</v>
      </c>
      <c r="C12" s="563">
        <v>1</v>
      </c>
      <c r="D12" s="564" t="s">
        <v>457</v>
      </c>
      <c r="E12" s="564">
        <f>120*2</f>
        <v>240</v>
      </c>
      <c r="F12" s="564">
        <v>1</v>
      </c>
      <c r="G12" s="563">
        <f>+E12*F12</f>
        <v>240</v>
      </c>
      <c r="H12" s="559"/>
      <c r="I12" s="559"/>
    </row>
    <row r="13" spans="1:9">
      <c r="A13" s="561"/>
      <c r="B13" s="562" t="s">
        <v>456</v>
      </c>
      <c r="C13" s="566">
        <v>1</v>
      </c>
      <c r="D13" s="567" t="s">
        <v>437</v>
      </c>
      <c r="E13" s="564">
        <f>180+77.5</f>
        <v>257.5</v>
      </c>
      <c r="F13" s="564">
        <f>6+13+7+13+9</f>
        <v>48</v>
      </c>
      <c r="G13" s="563">
        <f>+E13*F13</f>
        <v>12360</v>
      </c>
      <c r="H13" s="559">
        <f>(G13/F13)</f>
        <v>257.5</v>
      </c>
      <c r="I13" s="559"/>
    </row>
    <row r="14" spans="1:9" ht="13.5" thickBot="1">
      <c r="A14" s="369"/>
      <c r="B14" s="384"/>
      <c r="C14" s="370"/>
      <c r="D14" s="371"/>
      <c r="E14" s="370"/>
      <c r="F14" s="370"/>
      <c r="G14" s="370"/>
      <c r="H14" s="386"/>
      <c r="I14" s="386"/>
    </row>
    <row r="15" spans="1:9">
      <c r="A15" s="570">
        <v>45904</v>
      </c>
      <c r="B15" s="562" t="s">
        <v>389</v>
      </c>
      <c r="C15" s="563">
        <v>1</v>
      </c>
      <c r="D15" s="564" t="s">
        <v>437</v>
      </c>
      <c r="E15" s="564">
        <f>180+77.5</f>
        <v>257.5</v>
      </c>
      <c r="F15" s="365">
        <v>21</v>
      </c>
      <c r="G15" s="331">
        <f>+E15*F15</f>
        <v>5407.5</v>
      </c>
      <c r="H15" s="385">
        <f>(F15*E15+F16*E16+F17*E17)/(SUM(F15:F17))</f>
        <v>248.21428571428572</v>
      </c>
      <c r="I15" s="559">
        <f>+'4'!I38</f>
        <v>41.57</v>
      </c>
    </row>
    <row r="16" spans="1:9">
      <c r="A16" s="561"/>
      <c r="B16" s="562" t="s">
        <v>389</v>
      </c>
      <c r="C16" s="563">
        <v>1</v>
      </c>
      <c r="D16" s="564" t="s">
        <v>472</v>
      </c>
      <c r="E16" s="564">
        <f>257.5*1</f>
        <v>257.5</v>
      </c>
      <c r="F16" s="564">
        <v>2</v>
      </c>
      <c r="G16" s="563">
        <f>+E16*F16</f>
        <v>515</v>
      </c>
      <c r="H16" s="559"/>
      <c r="I16" s="559"/>
    </row>
    <row r="17" spans="1:9">
      <c r="A17" s="561"/>
      <c r="B17" s="562" t="s">
        <v>389</v>
      </c>
      <c r="C17" s="566">
        <v>1</v>
      </c>
      <c r="D17" s="567" t="s">
        <v>457</v>
      </c>
      <c r="E17" s="564">
        <f>120*2</f>
        <v>240</v>
      </c>
      <c r="F17" s="564">
        <v>26</v>
      </c>
      <c r="G17" s="563">
        <f>+E17*F17</f>
        <v>6240</v>
      </c>
      <c r="H17" s="559"/>
      <c r="I17" s="559"/>
    </row>
    <row r="18" spans="1:9">
      <c r="A18" s="561"/>
      <c r="B18" s="562" t="s">
        <v>463</v>
      </c>
      <c r="C18" s="566">
        <v>1</v>
      </c>
      <c r="D18" s="567" t="s">
        <v>457</v>
      </c>
      <c r="E18" s="564">
        <f>120*2</f>
        <v>240</v>
      </c>
      <c r="F18" s="564">
        <v>19</v>
      </c>
      <c r="G18" s="563">
        <f>+E18*F18</f>
        <v>4560</v>
      </c>
      <c r="H18" s="559">
        <f>+G18/F18</f>
        <v>240</v>
      </c>
      <c r="I18" s="559"/>
    </row>
    <row r="19" spans="1:9" ht="13.5" thickBot="1">
      <c r="A19" s="369"/>
      <c r="B19" s="384"/>
      <c r="C19" s="370"/>
      <c r="D19" s="371"/>
      <c r="E19" s="370"/>
      <c r="F19" s="370"/>
      <c r="G19" s="370"/>
      <c r="H19" s="386"/>
      <c r="I19" s="386"/>
    </row>
    <row r="20" spans="1:9">
      <c r="A20" s="561">
        <v>45905</v>
      </c>
      <c r="B20" s="562" t="s">
        <v>463</v>
      </c>
      <c r="C20" s="566">
        <v>1</v>
      </c>
      <c r="D20" s="567" t="s">
        <v>457</v>
      </c>
      <c r="E20" s="564">
        <f>120*2</f>
        <v>240</v>
      </c>
      <c r="F20" s="564">
        <f>128/2</f>
        <v>64</v>
      </c>
      <c r="G20" s="563">
        <f>+E20*F20</f>
        <v>15360</v>
      </c>
      <c r="H20" s="559">
        <f>+G20/F20</f>
        <v>240</v>
      </c>
      <c r="I20" s="559">
        <f>+'5'!I38</f>
        <v>42.805</v>
      </c>
    </row>
    <row r="21" spans="1:9" ht="13.5" thickBot="1">
      <c r="A21" s="369"/>
      <c r="B21" s="384"/>
      <c r="C21" s="370"/>
      <c r="D21" s="371"/>
      <c r="E21" s="370"/>
      <c r="F21" s="370"/>
      <c r="G21" s="370"/>
      <c r="H21" s="386"/>
      <c r="I21" s="386"/>
    </row>
    <row r="22" spans="1:9">
      <c r="A22" s="561">
        <v>45906</v>
      </c>
      <c r="B22" s="562" t="s">
        <v>463</v>
      </c>
      <c r="C22" s="566">
        <v>1</v>
      </c>
      <c r="D22" s="567" t="s">
        <v>457</v>
      </c>
      <c r="E22" s="564">
        <f>120*2</f>
        <v>240</v>
      </c>
      <c r="F22" s="564">
        <f>70/2</f>
        <v>35</v>
      </c>
      <c r="G22" s="563">
        <f>+E22*F22</f>
        <v>8400</v>
      </c>
      <c r="H22" s="559">
        <f>+G22/F22</f>
        <v>240</v>
      </c>
      <c r="I22" s="559">
        <f>+'6'!I38</f>
        <v>27.34</v>
      </c>
    </row>
    <row r="23" spans="1:9" ht="13.5" thickBot="1">
      <c r="A23" s="369"/>
      <c r="B23" s="384"/>
      <c r="C23" s="370"/>
      <c r="D23" s="371"/>
      <c r="E23" s="370"/>
      <c r="F23" s="370"/>
      <c r="G23" s="370"/>
      <c r="H23" s="386"/>
      <c r="I23" s="386"/>
    </row>
    <row r="24" spans="1:9">
      <c r="A24" s="561">
        <v>45907</v>
      </c>
      <c r="B24" s="562" t="s">
        <v>463</v>
      </c>
      <c r="C24" s="566">
        <v>1</v>
      </c>
      <c r="D24" s="567" t="s">
        <v>457</v>
      </c>
      <c r="E24" s="564">
        <f>120*2</f>
        <v>240</v>
      </c>
      <c r="F24" s="564">
        <f>32/2</f>
        <v>16</v>
      </c>
      <c r="G24" s="563">
        <f>+E24*F24</f>
        <v>3840</v>
      </c>
      <c r="H24" s="559">
        <f t="shared" ref="H24:H26" si="0">+G24/F24</f>
        <v>240</v>
      </c>
      <c r="I24" s="559">
        <f>+'7'!I38</f>
        <v>34.924599999999998</v>
      </c>
    </row>
    <row r="25" spans="1:9">
      <c r="A25" s="561"/>
      <c r="B25" s="562" t="s">
        <v>389</v>
      </c>
      <c r="C25" s="566">
        <v>1</v>
      </c>
      <c r="D25" s="567" t="s">
        <v>500</v>
      </c>
      <c r="E25" s="564">
        <f>122.5*2</f>
        <v>245</v>
      </c>
      <c r="F25" s="564">
        <f>14/2</f>
        <v>7</v>
      </c>
      <c r="G25" s="563">
        <f>+E25*F25</f>
        <v>1715</v>
      </c>
      <c r="H25" s="559">
        <f t="shared" si="0"/>
        <v>245</v>
      </c>
      <c r="I25" s="559"/>
    </row>
    <row r="26" spans="1:9">
      <c r="A26" s="561"/>
      <c r="B26" s="562" t="s">
        <v>486</v>
      </c>
      <c r="C26" s="566">
        <v>1</v>
      </c>
      <c r="D26" s="567" t="s">
        <v>501</v>
      </c>
      <c r="E26" s="564">
        <f>251*1</f>
        <v>251</v>
      </c>
      <c r="F26" s="564">
        <f>14+16</f>
        <v>30</v>
      </c>
      <c r="G26" s="563">
        <f>+E26*F26</f>
        <v>7530</v>
      </c>
      <c r="H26" s="559">
        <f t="shared" si="0"/>
        <v>251</v>
      </c>
      <c r="I26" s="559"/>
    </row>
    <row r="27" spans="1:9" ht="13.5" thickBot="1">
      <c r="A27" s="369"/>
      <c r="B27" s="384"/>
      <c r="C27" s="370"/>
      <c r="D27" s="371"/>
      <c r="E27" s="370"/>
      <c r="F27" s="370"/>
      <c r="G27" s="370"/>
      <c r="H27" s="386"/>
      <c r="I27" s="386"/>
    </row>
    <row r="28" spans="1:9">
      <c r="A28" s="561">
        <v>45908</v>
      </c>
      <c r="B28" s="562" t="s">
        <v>486</v>
      </c>
      <c r="C28" s="566">
        <v>1</v>
      </c>
      <c r="D28" s="567" t="s">
        <v>501</v>
      </c>
      <c r="E28" s="564">
        <f>251*1</f>
        <v>251</v>
      </c>
      <c r="F28" s="564">
        <v>0</v>
      </c>
      <c r="G28" s="563">
        <f>+E28</f>
        <v>251</v>
      </c>
      <c r="H28" s="559">
        <f>+G28</f>
        <v>251</v>
      </c>
      <c r="I28" s="559">
        <f>+'8'!I38</f>
        <v>0</v>
      </c>
    </row>
    <row r="29" spans="1:9" ht="13.5" thickBot="1">
      <c r="A29" s="369"/>
      <c r="B29" s="384"/>
      <c r="C29" s="370"/>
      <c r="D29" s="371"/>
      <c r="E29" s="370"/>
      <c r="F29" s="370"/>
      <c r="G29" s="370"/>
      <c r="H29" s="386"/>
      <c r="I29" s="386"/>
    </row>
    <row r="30" spans="1:9">
      <c r="A30" s="561">
        <v>45909</v>
      </c>
      <c r="B30" s="562" t="s">
        <v>389</v>
      </c>
      <c r="C30" s="566">
        <v>1</v>
      </c>
      <c r="D30" s="567" t="s">
        <v>525</v>
      </c>
      <c r="E30" s="567">
        <f>122.5+140</f>
        <v>262.5</v>
      </c>
      <c r="F30" s="564">
        <v>3</v>
      </c>
      <c r="G30" s="563">
        <f>+E30*F30</f>
        <v>787.5</v>
      </c>
      <c r="H30" s="385">
        <f>(F30*E30+F31*E31)/(SUM(F30:F31))</f>
        <v>265.47500000000002</v>
      </c>
      <c r="I30" s="559">
        <f>+'9'!L37</f>
        <v>13.945</v>
      </c>
    </row>
    <row r="31" spans="1:9">
      <c r="B31" s="562" t="s">
        <v>389</v>
      </c>
      <c r="C31" s="566">
        <v>1</v>
      </c>
      <c r="D31" s="567" t="s">
        <v>526</v>
      </c>
      <c r="E31" s="567">
        <f>133*2</f>
        <v>266</v>
      </c>
      <c r="F31">
        <f>12+5</f>
        <v>17</v>
      </c>
      <c r="G31" s="563">
        <f>+E31*F31</f>
        <v>4522</v>
      </c>
      <c r="H31" s="559"/>
      <c r="I31" s="559"/>
    </row>
    <row r="32" spans="1:9">
      <c r="B32" s="562" t="s">
        <v>417</v>
      </c>
      <c r="C32" s="566">
        <v>1</v>
      </c>
      <c r="D32" s="567" t="s">
        <v>527</v>
      </c>
      <c r="E32" s="567">
        <f>140+60*2</f>
        <v>260</v>
      </c>
      <c r="F32">
        <f>22+23</f>
        <v>45</v>
      </c>
      <c r="G32" s="563">
        <f>+E32*F32</f>
        <v>11700</v>
      </c>
      <c r="H32" s="559">
        <f>+G32/F32</f>
        <v>260</v>
      </c>
      <c r="I32" s="559">
        <f>+'9'!L38</f>
        <v>26.265999999999998</v>
      </c>
    </row>
    <row r="33" spans="1:9" ht="13.5" thickBot="1">
      <c r="A33" s="369"/>
      <c r="B33" s="384"/>
      <c r="C33" s="370"/>
      <c r="D33" s="371"/>
      <c r="E33" s="370"/>
      <c r="F33" s="370"/>
      <c r="G33" s="370"/>
      <c r="H33" s="386"/>
      <c r="I33" s="386"/>
    </row>
    <row r="34" spans="1:9">
      <c r="A34" s="561">
        <v>45910</v>
      </c>
      <c r="B34" s="562" t="s">
        <v>389</v>
      </c>
      <c r="C34" s="566">
        <v>1</v>
      </c>
      <c r="D34" s="567" t="s">
        <v>535</v>
      </c>
      <c r="E34" s="567">
        <f>132*2</f>
        <v>264</v>
      </c>
      <c r="F34" s="564">
        <f>13+11+13+2</f>
        <v>39</v>
      </c>
      <c r="G34" s="563">
        <f>+E34*F34</f>
        <v>10296</v>
      </c>
      <c r="H34" s="385">
        <f>(F34*E34+F35*E35)/(SUM(F34:F35))</f>
        <v>263.59183673469386</v>
      </c>
      <c r="I34" s="559">
        <f>+'10'!I38</f>
        <v>39.506</v>
      </c>
    </row>
    <row r="35" spans="1:9">
      <c r="B35" s="562" t="s">
        <v>389</v>
      </c>
      <c r="C35" s="566">
        <v>1</v>
      </c>
      <c r="D35" s="567" t="s">
        <v>536</v>
      </c>
      <c r="E35" s="567">
        <f>132+130</f>
        <v>262</v>
      </c>
      <c r="F35">
        <f>5+5</f>
        <v>10</v>
      </c>
      <c r="G35" s="563">
        <f>+E35*F35</f>
        <v>2620</v>
      </c>
      <c r="H35" s="559"/>
      <c r="I35" s="559"/>
    </row>
    <row r="36" spans="1:9">
      <c r="B36" s="562" t="s">
        <v>456</v>
      </c>
      <c r="C36" s="566">
        <v>1</v>
      </c>
      <c r="D36" s="567" t="s">
        <v>537</v>
      </c>
      <c r="E36" s="567">
        <f>140+60*2</f>
        <v>260</v>
      </c>
      <c r="F36">
        <f>12+13+2</f>
        <v>27</v>
      </c>
      <c r="G36" s="563">
        <f>+E36*F36</f>
        <v>7020</v>
      </c>
      <c r="H36" s="559">
        <f>+G36/F36</f>
        <v>260</v>
      </c>
      <c r="I36" s="559"/>
    </row>
    <row r="37" spans="1:9" ht="13.5" thickBot="1">
      <c r="A37" s="369"/>
      <c r="B37" s="384"/>
      <c r="C37" s="370"/>
      <c r="D37" s="371"/>
      <c r="E37" s="370"/>
      <c r="F37" s="370"/>
      <c r="G37" s="370"/>
      <c r="H37" s="386"/>
      <c r="I37" s="386"/>
    </row>
    <row r="38" spans="1:9">
      <c r="A38" s="561">
        <v>45911</v>
      </c>
      <c r="B38" s="562" t="s">
        <v>456</v>
      </c>
      <c r="C38" s="566">
        <v>1</v>
      </c>
      <c r="D38" s="567" t="s">
        <v>537</v>
      </c>
      <c r="E38" s="567">
        <f>140+60*2</f>
        <v>260</v>
      </c>
      <c r="F38">
        <f>13+3+4+12+13+6+3</f>
        <v>54</v>
      </c>
      <c r="G38" s="563">
        <f>+E38*F38</f>
        <v>14040</v>
      </c>
      <c r="H38" s="559">
        <f>+G38/F38</f>
        <v>260</v>
      </c>
      <c r="I38" s="559">
        <f>+'11'!I38</f>
        <v>39.807000000000002</v>
      </c>
    </row>
    <row r="39" spans="1:9">
      <c r="B39" s="562" t="s">
        <v>389</v>
      </c>
      <c r="C39" s="566">
        <v>1</v>
      </c>
      <c r="D39" s="567" t="s">
        <v>535</v>
      </c>
      <c r="E39" s="567">
        <f>132*2</f>
        <v>264</v>
      </c>
      <c r="F39">
        <v>19</v>
      </c>
      <c r="G39" s="563">
        <f>+E39*F39</f>
        <v>5016</v>
      </c>
      <c r="H39" s="559">
        <f>+G39/F39</f>
        <v>264</v>
      </c>
      <c r="I39" s="559"/>
    </row>
    <row r="40" spans="1:9" ht="13.5" thickBot="1">
      <c r="A40" s="369"/>
      <c r="B40" s="384"/>
      <c r="C40" s="370"/>
      <c r="D40" s="371"/>
      <c r="E40" s="370"/>
      <c r="F40" s="370"/>
      <c r="G40" s="370"/>
      <c r="H40" s="386"/>
      <c r="I40" s="386"/>
    </row>
    <row r="41" spans="1:9">
      <c r="A41" s="561">
        <v>45912</v>
      </c>
      <c r="B41" s="562" t="s">
        <v>389</v>
      </c>
      <c r="C41" s="566">
        <v>1</v>
      </c>
      <c r="D41" s="567" t="s">
        <v>535</v>
      </c>
      <c r="E41" s="567">
        <f>132*2</f>
        <v>264</v>
      </c>
      <c r="F41">
        <f>23+21</f>
        <v>44</v>
      </c>
      <c r="G41" s="563">
        <f>+E41*F41</f>
        <v>11616</v>
      </c>
      <c r="H41" s="559">
        <f>+G41/F41</f>
        <v>264</v>
      </c>
      <c r="I41" s="559">
        <f>+'12'!I38</f>
        <v>44.411000000000001</v>
      </c>
    </row>
    <row r="42" spans="1:9">
      <c r="B42" s="562" t="s">
        <v>557</v>
      </c>
      <c r="C42" s="566">
        <v>1</v>
      </c>
      <c r="D42" s="567" t="s">
        <v>537</v>
      </c>
      <c r="E42" s="567">
        <f>120+140</f>
        <v>260</v>
      </c>
      <c r="F42">
        <f>5+6</f>
        <v>11</v>
      </c>
      <c r="G42" s="563">
        <f>+E42*F42</f>
        <v>2860</v>
      </c>
      <c r="H42" s="559">
        <f>+G42/F42</f>
        <v>260</v>
      </c>
      <c r="I42" s="559"/>
    </row>
    <row r="43" spans="1:9">
      <c r="B43" s="562" t="s">
        <v>417</v>
      </c>
      <c r="C43" s="566">
        <v>1</v>
      </c>
      <c r="D43" s="567" t="s">
        <v>563</v>
      </c>
      <c r="E43" s="567">
        <f>40*3+45*3</f>
        <v>255</v>
      </c>
      <c r="F43">
        <v>16</v>
      </c>
      <c r="G43" s="563">
        <f>+E43*F43</f>
        <v>4080</v>
      </c>
      <c r="H43" s="559">
        <f>+G43/F43</f>
        <v>255</v>
      </c>
      <c r="I43" s="559"/>
    </row>
    <row r="44" spans="1:9" ht="13.5" thickBot="1">
      <c r="A44" s="369"/>
      <c r="B44" s="384"/>
      <c r="C44" s="370"/>
      <c r="D44" s="371"/>
      <c r="E44" s="370"/>
      <c r="F44" s="370"/>
      <c r="G44" s="370"/>
      <c r="H44" s="386"/>
      <c r="I44" s="386"/>
    </row>
    <row r="45" spans="1:9">
      <c r="A45" s="561">
        <v>45913</v>
      </c>
      <c r="B45" s="562" t="s">
        <v>417</v>
      </c>
      <c r="C45" s="566">
        <v>1</v>
      </c>
      <c r="D45" s="567" t="s">
        <v>563</v>
      </c>
      <c r="E45" s="567">
        <f>40*3+45*3</f>
        <v>255</v>
      </c>
      <c r="F45">
        <v>27</v>
      </c>
      <c r="G45" s="563">
        <f>+E45*F45</f>
        <v>6885</v>
      </c>
      <c r="H45" s="559">
        <f>+G45/F45</f>
        <v>255</v>
      </c>
      <c r="I45" s="559">
        <f>+'13'!I38</f>
        <v>13.635000000000002</v>
      </c>
    </row>
    <row r="46" spans="1:9">
      <c r="B46" s="562" t="s">
        <v>389</v>
      </c>
      <c r="C46" s="566">
        <v>1</v>
      </c>
      <c r="D46" s="567" t="s">
        <v>535</v>
      </c>
      <c r="E46" s="567">
        <f>132*2</f>
        <v>264</v>
      </c>
      <c r="F46">
        <v>8</v>
      </c>
      <c r="G46" s="563">
        <f>+E46*F46</f>
        <v>2112</v>
      </c>
      <c r="H46" s="559">
        <f>+G46/F46</f>
        <v>264</v>
      </c>
      <c r="I46" s="559"/>
    </row>
    <row r="47" spans="1:9" ht="13.5" thickBot="1">
      <c r="A47" s="369"/>
      <c r="B47" s="384"/>
      <c r="C47" s="370"/>
      <c r="D47" s="371"/>
      <c r="E47" s="370"/>
      <c r="F47" s="370"/>
      <c r="G47" s="370"/>
      <c r="H47" s="386"/>
      <c r="I47" s="386"/>
    </row>
    <row r="48" spans="1:9">
      <c r="A48" s="561">
        <v>45914</v>
      </c>
      <c r="B48" s="562" t="s">
        <v>389</v>
      </c>
      <c r="C48" s="566">
        <v>1</v>
      </c>
      <c r="D48" s="567" t="s">
        <v>535</v>
      </c>
      <c r="E48" s="567">
        <f>132*2</f>
        <v>264</v>
      </c>
      <c r="F48">
        <v>0</v>
      </c>
      <c r="G48" s="563">
        <v>0</v>
      </c>
      <c r="H48" s="559">
        <f>+E48</f>
        <v>264</v>
      </c>
      <c r="I48" s="559">
        <f>+'14'!I38</f>
        <v>0</v>
      </c>
    </row>
    <row r="49" spans="1:9" ht="13.5" thickBot="1">
      <c r="A49" s="369"/>
      <c r="B49" s="384"/>
      <c r="C49" s="370"/>
      <c r="D49" s="371"/>
      <c r="E49" s="370"/>
      <c r="F49" s="370"/>
      <c r="G49" s="370"/>
      <c r="H49" s="386"/>
      <c r="I49" s="386"/>
    </row>
    <row r="50" spans="1:9">
      <c r="A50" s="561">
        <v>45915</v>
      </c>
      <c r="B50" s="562" t="s">
        <v>389</v>
      </c>
      <c r="C50" s="566">
        <v>1</v>
      </c>
      <c r="D50" s="567" t="s">
        <v>535</v>
      </c>
      <c r="E50" s="567">
        <f>132*2</f>
        <v>264</v>
      </c>
      <c r="F50">
        <v>0</v>
      </c>
      <c r="G50" s="563">
        <v>0</v>
      </c>
      <c r="H50" s="559">
        <f>+E50</f>
        <v>264</v>
      </c>
      <c r="I50" s="559">
        <f>+'15'!I38</f>
        <v>0</v>
      </c>
    </row>
    <row r="51" spans="1:9" ht="13.5" thickBot="1">
      <c r="A51" s="369"/>
      <c r="B51" s="384"/>
      <c r="C51" s="370"/>
      <c r="D51" s="371"/>
      <c r="E51" s="370"/>
      <c r="F51" s="370"/>
      <c r="G51" s="370"/>
      <c r="H51" s="386"/>
      <c r="I51" s="386"/>
    </row>
    <row r="52" spans="1:9">
      <c r="A52" s="561">
        <v>45916</v>
      </c>
      <c r="B52" s="562" t="s">
        <v>389</v>
      </c>
      <c r="C52" s="566">
        <v>1</v>
      </c>
      <c r="D52" s="567" t="s">
        <v>535</v>
      </c>
      <c r="E52" s="567">
        <f>132*2</f>
        <v>264</v>
      </c>
      <c r="F52">
        <v>0</v>
      </c>
      <c r="G52" s="563">
        <v>0</v>
      </c>
      <c r="H52" s="559">
        <f>+E52</f>
        <v>264</v>
      </c>
      <c r="I52" s="559">
        <f>+'16'!I38</f>
        <v>0</v>
      </c>
    </row>
    <row r="53" spans="1:9" ht="13.5" thickBot="1">
      <c r="A53" s="369"/>
      <c r="B53" s="384"/>
      <c r="C53" s="370"/>
      <c r="D53" s="371"/>
      <c r="E53" s="370"/>
      <c r="F53" s="370"/>
      <c r="G53" s="370"/>
      <c r="H53" s="386"/>
      <c r="I53" s="386"/>
    </row>
    <row r="54" spans="1:9">
      <c r="A54" s="561">
        <v>45917</v>
      </c>
      <c r="B54" s="562" t="s">
        <v>389</v>
      </c>
      <c r="C54" s="566">
        <v>1</v>
      </c>
      <c r="D54" s="567" t="s">
        <v>535</v>
      </c>
      <c r="E54" s="567">
        <f>132*2</f>
        <v>264</v>
      </c>
      <c r="F54">
        <v>0</v>
      </c>
      <c r="G54" s="563">
        <v>0</v>
      </c>
      <c r="H54" s="559">
        <f>+E54</f>
        <v>264</v>
      </c>
      <c r="I54" s="559">
        <f>+'17'!I38</f>
        <v>0</v>
      </c>
    </row>
    <row r="55" spans="1:9" ht="13.5" thickBot="1">
      <c r="A55" s="369"/>
      <c r="B55" s="384"/>
      <c r="C55" s="370"/>
      <c r="D55" s="371"/>
      <c r="E55" s="370"/>
      <c r="F55" s="370"/>
      <c r="G55" s="370"/>
      <c r="H55" s="386"/>
      <c r="I55" s="386"/>
    </row>
    <row r="56" spans="1:9">
      <c r="A56" s="561">
        <v>45918</v>
      </c>
      <c r="B56" s="562" t="s">
        <v>389</v>
      </c>
      <c r="C56" s="566">
        <v>1</v>
      </c>
      <c r="D56" s="567" t="s">
        <v>535</v>
      </c>
      <c r="E56" s="567">
        <f>132*2</f>
        <v>264</v>
      </c>
      <c r="F56">
        <v>0</v>
      </c>
      <c r="G56" s="563">
        <v>0</v>
      </c>
      <c r="H56" s="559">
        <f>+E56</f>
        <v>264</v>
      </c>
      <c r="I56" s="559">
        <f>+'18'!I38</f>
        <v>0</v>
      </c>
    </row>
    <row r="57" spans="1:9" ht="13.5" thickBot="1">
      <c r="A57" s="369"/>
      <c r="B57" s="384"/>
      <c r="C57" s="370"/>
      <c r="D57" s="371"/>
      <c r="E57" s="370"/>
      <c r="F57" s="370"/>
      <c r="G57" s="370"/>
      <c r="H57" s="386"/>
      <c r="I57" s="386"/>
    </row>
    <row r="58" spans="1:9">
      <c r="A58" s="561">
        <v>45919</v>
      </c>
      <c r="B58" s="562" t="s">
        <v>389</v>
      </c>
      <c r="C58" s="566">
        <v>1</v>
      </c>
      <c r="D58" s="567" t="s">
        <v>535</v>
      </c>
      <c r="E58" s="567">
        <f>132*2</f>
        <v>264</v>
      </c>
      <c r="F58">
        <v>0</v>
      </c>
      <c r="G58" s="563">
        <v>0</v>
      </c>
      <c r="H58" s="559">
        <f>+E58</f>
        <v>264</v>
      </c>
      <c r="I58" s="559">
        <f>+'19'!I38</f>
        <v>0</v>
      </c>
    </row>
    <row r="59" spans="1:9" ht="13.5" thickBot="1">
      <c r="A59" s="369"/>
      <c r="B59" s="384"/>
      <c r="C59" s="370"/>
      <c r="D59" s="371"/>
      <c r="E59" s="370"/>
      <c r="F59" s="370"/>
      <c r="G59" s="370"/>
      <c r="H59" s="386"/>
      <c r="I59" s="386"/>
    </row>
    <row r="60" spans="1:9">
      <c r="A60" s="561">
        <v>45920</v>
      </c>
      <c r="B60" s="562" t="s">
        <v>389</v>
      </c>
      <c r="C60" s="566">
        <v>1</v>
      </c>
      <c r="D60" s="567" t="s">
        <v>535</v>
      </c>
      <c r="E60" s="567">
        <f>132*2</f>
        <v>264</v>
      </c>
      <c r="F60">
        <v>0</v>
      </c>
      <c r="G60" s="563">
        <v>0</v>
      </c>
      <c r="H60" s="559">
        <f>+E60</f>
        <v>264</v>
      </c>
      <c r="I60" s="559">
        <f>+'20'!I38</f>
        <v>0</v>
      </c>
    </row>
    <row r="61" spans="1:9" ht="13.5" thickBot="1">
      <c r="A61" s="369"/>
      <c r="B61" s="384"/>
      <c r="C61" s="370"/>
      <c r="D61" s="371"/>
      <c r="E61" s="370"/>
      <c r="F61" s="370"/>
      <c r="G61" s="370"/>
      <c r="H61" s="386"/>
      <c r="I61" s="386"/>
    </row>
    <row r="62" spans="1:9">
      <c r="A62" s="561">
        <v>45921</v>
      </c>
      <c r="B62" s="562" t="s">
        <v>389</v>
      </c>
      <c r="C62" s="566">
        <v>1</v>
      </c>
      <c r="D62" s="567" t="s">
        <v>535</v>
      </c>
      <c r="E62" s="567">
        <f>132*2</f>
        <v>264</v>
      </c>
      <c r="F62">
        <v>0</v>
      </c>
      <c r="G62" s="563">
        <v>0</v>
      </c>
      <c r="H62" s="559">
        <f>+E62</f>
        <v>264</v>
      </c>
      <c r="I62" s="559">
        <f>+'21'!I38</f>
        <v>0</v>
      </c>
    </row>
    <row r="63" spans="1:9" ht="13.5" thickBot="1">
      <c r="A63" s="369"/>
      <c r="B63" s="384"/>
      <c r="C63" s="370"/>
      <c r="D63" s="371"/>
      <c r="E63" s="370"/>
      <c r="F63" s="370"/>
      <c r="G63" s="370"/>
      <c r="H63" s="386"/>
      <c r="I63" s="386"/>
    </row>
    <row r="64" spans="1:9">
      <c r="A64" s="561">
        <v>45922</v>
      </c>
      <c r="B64" s="562" t="s">
        <v>389</v>
      </c>
      <c r="C64" s="566">
        <v>1</v>
      </c>
      <c r="D64" s="567" t="s">
        <v>535</v>
      </c>
      <c r="E64" s="567">
        <f>132*2</f>
        <v>264</v>
      </c>
      <c r="F64">
        <v>0</v>
      </c>
      <c r="G64" s="563">
        <v>0</v>
      </c>
      <c r="H64" s="559">
        <f>+E64</f>
        <v>264</v>
      </c>
      <c r="I64" s="559">
        <f>+'22'!I38</f>
        <v>0</v>
      </c>
    </row>
    <row r="65" spans="1:9" ht="13.5" thickBot="1">
      <c r="A65" s="369"/>
      <c r="B65" s="384"/>
      <c r="C65" s="370"/>
      <c r="D65" s="371"/>
      <c r="E65" s="370"/>
      <c r="F65" s="370"/>
      <c r="G65" s="370"/>
      <c r="H65" s="386"/>
      <c r="I65" s="386"/>
    </row>
    <row r="66" spans="1:9">
      <c r="A66" s="561">
        <v>45923</v>
      </c>
      <c r="B66" s="562" t="s">
        <v>389</v>
      </c>
      <c r="C66" s="566">
        <v>1</v>
      </c>
      <c r="D66" s="567" t="s">
        <v>535</v>
      </c>
      <c r="E66" s="567">
        <f>132*2</f>
        <v>264</v>
      </c>
      <c r="F66">
        <v>0</v>
      </c>
      <c r="G66" s="563">
        <v>0</v>
      </c>
      <c r="H66" s="559">
        <f>+E66</f>
        <v>264</v>
      </c>
      <c r="I66" s="559">
        <f>+'23'!I38</f>
        <v>0</v>
      </c>
    </row>
    <row r="67" spans="1:9" ht="13.5" thickBot="1">
      <c r="A67" s="369"/>
      <c r="B67" s="384"/>
      <c r="C67" s="370"/>
      <c r="D67" s="371"/>
      <c r="E67" s="370"/>
      <c r="F67" s="370"/>
      <c r="G67" s="370"/>
      <c r="H67" s="386"/>
      <c r="I67" s="386"/>
    </row>
    <row r="68" spans="1:9">
      <c r="A68" s="561">
        <v>45924</v>
      </c>
      <c r="B68" s="562" t="s">
        <v>389</v>
      </c>
      <c r="C68" s="566">
        <v>1</v>
      </c>
      <c r="D68" s="567" t="s">
        <v>535</v>
      </c>
      <c r="E68" s="567">
        <f>132*2</f>
        <v>264</v>
      </c>
      <c r="F68">
        <v>0</v>
      </c>
      <c r="G68" s="563">
        <v>0</v>
      </c>
      <c r="H68" s="559">
        <f>+E68</f>
        <v>264</v>
      </c>
      <c r="I68" s="559">
        <f>+'24'!I38</f>
        <v>0</v>
      </c>
    </row>
    <row r="69" spans="1:9" ht="13.5" thickBot="1">
      <c r="A69" s="369"/>
      <c r="B69" s="384"/>
      <c r="C69" s="370"/>
      <c r="D69" s="371"/>
      <c r="E69" s="370"/>
      <c r="F69" s="370"/>
      <c r="G69" s="370"/>
      <c r="H69" s="386"/>
      <c r="I69" s="386"/>
    </row>
    <row r="70" spans="1:9">
      <c r="A70" s="561">
        <v>45925</v>
      </c>
      <c r="B70" s="562" t="s">
        <v>389</v>
      </c>
      <c r="C70" s="566">
        <v>1</v>
      </c>
      <c r="D70" s="567" t="s">
        <v>535</v>
      </c>
      <c r="E70" s="567">
        <f>132*2</f>
        <v>264</v>
      </c>
      <c r="F70">
        <v>0</v>
      </c>
      <c r="G70" s="563">
        <v>0</v>
      </c>
      <c r="H70" s="559">
        <f>+E70</f>
        <v>264</v>
      </c>
      <c r="I70" s="559">
        <f>+'25'!I38</f>
        <v>0</v>
      </c>
    </row>
    <row r="71" spans="1:9" ht="13.5" thickBot="1">
      <c r="A71" s="369"/>
      <c r="B71" s="384"/>
      <c r="C71" s="370"/>
      <c r="D71" s="371"/>
      <c r="E71" s="370"/>
      <c r="F71" s="370"/>
      <c r="G71" s="370"/>
      <c r="H71" s="386"/>
      <c r="I71" s="386"/>
    </row>
    <row r="72" spans="1:9">
      <c r="A72" s="561">
        <v>45926</v>
      </c>
      <c r="B72" s="562" t="s">
        <v>389</v>
      </c>
      <c r="C72" s="566">
        <v>1</v>
      </c>
      <c r="D72" s="567" t="s">
        <v>535</v>
      </c>
      <c r="E72" s="567">
        <f>132*2</f>
        <v>264</v>
      </c>
      <c r="F72">
        <v>0</v>
      </c>
      <c r="G72" s="563">
        <v>0</v>
      </c>
      <c r="H72" s="559">
        <f>+E72</f>
        <v>264</v>
      </c>
      <c r="I72" s="559">
        <f>+'26'!I38</f>
        <v>0</v>
      </c>
    </row>
    <row r="73" spans="1:9" ht="13.5" thickBot="1">
      <c r="A73" s="369"/>
      <c r="B73" s="384"/>
      <c r="C73" s="370"/>
      <c r="D73" s="371"/>
      <c r="E73" s="370"/>
      <c r="F73" s="370"/>
      <c r="G73" s="370"/>
      <c r="H73" s="386"/>
      <c r="I73" s="386"/>
    </row>
    <row r="74" spans="1:9">
      <c r="A74" s="561">
        <v>45927</v>
      </c>
      <c r="B74" s="562" t="s">
        <v>389</v>
      </c>
      <c r="C74" s="566">
        <v>1</v>
      </c>
      <c r="D74" s="567" t="s">
        <v>535</v>
      </c>
      <c r="E74" s="567">
        <f>132*2</f>
        <v>264</v>
      </c>
      <c r="F74">
        <v>0</v>
      </c>
      <c r="G74" s="563">
        <v>0</v>
      </c>
      <c r="H74" s="559">
        <f>+E74</f>
        <v>264</v>
      </c>
      <c r="I74" s="559">
        <f>+'26'!I40</f>
        <v>0</v>
      </c>
    </row>
    <row r="75" spans="1:9" ht="13.5" thickBot="1">
      <c r="A75" s="369"/>
      <c r="B75" s="384"/>
      <c r="C75" s="370"/>
      <c r="D75" s="371"/>
      <c r="E75" s="370"/>
      <c r="F75" s="370"/>
      <c r="G75" s="370"/>
      <c r="H75" s="386"/>
      <c r="I75" s="386"/>
    </row>
    <row r="76" spans="1:9">
      <c r="A76" s="561">
        <v>45928</v>
      </c>
      <c r="B76" s="562" t="s">
        <v>389</v>
      </c>
      <c r="C76" s="566">
        <v>1</v>
      </c>
      <c r="D76" s="567" t="s">
        <v>535</v>
      </c>
      <c r="E76" s="567">
        <f>132*2</f>
        <v>264</v>
      </c>
      <c r="F76">
        <v>0</v>
      </c>
      <c r="G76" s="563">
        <v>0</v>
      </c>
      <c r="H76" s="559">
        <f>+E76</f>
        <v>264</v>
      </c>
      <c r="I76" s="559">
        <f>+'26'!I42</f>
        <v>0</v>
      </c>
    </row>
    <row r="77" spans="1:9" ht="13.5" thickBot="1">
      <c r="A77" s="369"/>
      <c r="B77" s="384"/>
      <c r="C77" s="370"/>
      <c r="D77" s="371"/>
      <c r="E77" s="370"/>
      <c r="F77" s="370"/>
      <c r="G77" s="370"/>
      <c r="H77" s="386"/>
      <c r="I77" s="386"/>
    </row>
    <row r="78" spans="1:9">
      <c r="A78" s="561">
        <v>45929</v>
      </c>
      <c r="B78" s="562" t="s">
        <v>389</v>
      </c>
      <c r="C78" s="566">
        <v>1</v>
      </c>
      <c r="D78" s="567" t="s">
        <v>535</v>
      </c>
      <c r="E78" s="567">
        <f>132*2</f>
        <v>264</v>
      </c>
      <c r="F78">
        <v>0</v>
      </c>
      <c r="G78" s="563">
        <v>0</v>
      </c>
      <c r="H78" s="559">
        <f>+E78</f>
        <v>264</v>
      </c>
      <c r="I78" s="559">
        <f>+'29'!I38</f>
        <v>0</v>
      </c>
    </row>
    <row r="79" spans="1:9" ht="13.5" thickBot="1">
      <c r="A79" s="369"/>
      <c r="B79" s="384"/>
      <c r="C79" s="370"/>
      <c r="D79" s="371"/>
      <c r="E79" s="370"/>
      <c r="F79" s="370"/>
      <c r="G79" s="370"/>
      <c r="H79" s="386"/>
      <c r="I79" s="386"/>
    </row>
    <row r="80" spans="1:9">
      <c r="A80" s="561">
        <v>45930</v>
      </c>
      <c r="B80" s="562" t="s">
        <v>389</v>
      </c>
      <c r="C80" s="566">
        <v>1</v>
      </c>
      <c r="D80" s="567" t="s">
        <v>535</v>
      </c>
      <c r="E80" s="567">
        <f>132*2</f>
        <v>264</v>
      </c>
      <c r="F80">
        <v>0</v>
      </c>
      <c r="G80" s="563">
        <v>0</v>
      </c>
      <c r="H80" s="559">
        <f>+E80</f>
        <v>264</v>
      </c>
      <c r="I80" s="559">
        <f>+'30'!I38</f>
        <v>0</v>
      </c>
    </row>
    <row r="81" spans="1:9" ht="13.5" thickBot="1">
      <c r="A81" s="369"/>
      <c r="B81" s="384"/>
      <c r="C81" s="370"/>
      <c r="D81" s="371"/>
      <c r="E81" s="370"/>
      <c r="F81" s="370"/>
      <c r="G81" s="370"/>
      <c r="H81" s="386"/>
      <c r="I81" s="386"/>
    </row>
  </sheetData>
  <phoneticPr fontId="32"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F184"/>
  <sheetViews>
    <sheetView zoomScale="90" zoomScaleNormal="90" workbookViewId="0">
      <pane xSplit="6" ySplit="6" topLeftCell="Y127" activePane="bottomRight" state="frozen"/>
      <selection activeCell="H11" sqref="H11"/>
      <selection pane="topRight" activeCell="H11" sqref="H11"/>
      <selection pane="bottomLeft" activeCell="H11" sqref="H11"/>
      <selection pane="bottomRight" activeCell="AC6" sqref="AC6:AC145"/>
    </sheetView>
  </sheetViews>
  <sheetFormatPr defaultColWidth="10.28515625" defaultRowHeight="12"/>
  <cols>
    <col min="1" max="1" width="12.28515625" style="29" customWidth="1"/>
    <col min="2" max="3" width="14.140625" style="29" customWidth="1"/>
    <col min="4" max="4" width="10.28515625" style="29" customWidth="1"/>
    <col min="5" max="5" width="7.5703125" style="29" bestFit="1" customWidth="1"/>
    <col min="6" max="6" width="7" style="54" customWidth="1"/>
    <col min="7" max="9" width="10.28515625" style="29" customWidth="1"/>
    <col min="10" max="11" width="10.28515625" style="83" customWidth="1"/>
    <col min="12" max="13" width="12.7109375" style="55" customWidth="1"/>
    <col min="14" max="15" width="10.28515625" style="29" customWidth="1"/>
    <col min="16" max="16" width="16.85546875" style="29" bestFit="1" customWidth="1"/>
    <col min="17" max="17" width="12.7109375" style="333" customWidth="1"/>
    <col min="18" max="18" width="12.7109375" style="29" bestFit="1" customWidth="1"/>
    <col min="19" max="19" width="12" style="29" bestFit="1" customWidth="1"/>
    <col min="20" max="20" width="10.7109375" style="29" customWidth="1"/>
    <col min="21" max="21" width="11.85546875" style="29" customWidth="1"/>
    <col min="22" max="22" width="12.28515625" style="29" customWidth="1"/>
    <col min="23" max="23" width="13" style="29" customWidth="1"/>
    <col min="24" max="24" width="10.28515625" style="29" customWidth="1"/>
    <col min="25" max="25" width="10.140625" style="29" customWidth="1"/>
    <col min="26" max="28" width="10.28515625" style="29" customWidth="1"/>
    <col min="29" max="29" width="12" style="29" customWidth="1"/>
    <col min="30" max="30" width="11.42578125" style="29" bestFit="1" customWidth="1"/>
    <col min="31" max="31" width="41.42578125" style="29" customWidth="1"/>
    <col min="32" max="38" width="10.28515625" style="29" customWidth="1"/>
    <col min="39" max="39" width="11.7109375" style="29" customWidth="1"/>
    <col min="40" max="41" width="10.28515625" style="29" customWidth="1"/>
    <col min="42" max="43" width="12.42578125" style="29" customWidth="1"/>
    <col min="44" max="44" width="29.7109375" style="29" customWidth="1"/>
    <col min="45" max="53" width="10.28515625" style="29" customWidth="1"/>
    <col min="54" max="16384" width="10.28515625" style="29"/>
  </cols>
  <sheetData>
    <row r="1" spans="1:58" s="22" customFormat="1" ht="15.75">
      <c r="A1" s="21" t="s">
        <v>189</v>
      </c>
      <c r="G1" s="23"/>
      <c r="H1" s="23"/>
      <c r="I1" s="23"/>
      <c r="J1" s="80"/>
      <c r="K1" s="80"/>
      <c r="L1" s="24"/>
      <c r="M1" s="24"/>
      <c r="O1" s="23"/>
      <c r="P1" s="25"/>
      <c r="Q1" s="23"/>
      <c r="R1" s="25"/>
      <c r="S1" s="25"/>
      <c r="W1" s="25"/>
      <c r="X1" s="26"/>
      <c r="Y1" s="26"/>
      <c r="Z1" s="25"/>
      <c r="AF1" s="25"/>
      <c r="AG1" s="25"/>
      <c r="AH1" s="25"/>
      <c r="AI1" s="25"/>
      <c r="AJ1" s="25"/>
      <c r="AK1" s="25"/>
      <c r="AL1" s="25"/>
      <c r="AM1" s="25"/>
      <c r="AN1" s="25"/>
      <c r="AO1" s="25"/>
      <c r="AP1" s="25"/>
      <c r="AQ1" s="25"/>
      <c r="AR1" s="25"/>
      <c r="AS1" s="25"/>
      <c r="AT1" s="25"/>
      <c r="AU1" s="25"/>
      <c r="AV1" s="25"/>
      <c r="AW1" s="25"/>
      <c r="AX1" s="25"/>
      <c r="AY1" s="25"/>
      <c r="AZ1" s="25"/>
      <c r="BA1" s="25"/>
    </row>
    <row r="2" spans="1:58" s="22" customFormat="1">
      <c r="A2" s="90"/>
      <c r="G2" s="23"/>
      <c r="H2" s="23"/>
      <c r="I2" s="23"/>
      <c r="J2" s="80"/>
      <c r="K2" s="80"/>
      <c r="L2" s="24"/>
      <c r="M2" s="24"/>
      <c r="O2" s="23"/>
      <c r="P2" s="25"/>
      <c r="Q2" s="23"/>
      <c r="R2" s="25"/>
      <c r="S2" s="25"/>
      <c r="W2" s="25"/>
      <c r="X2" s="26"/>
      <c r="Y2" s="26"/>
      <c r="Z2" s="25"/>
      <c r="AF2" s="25"/>
      <c r="AG2" s="25"/>
      <c r="AH2" s="25"/>
      <c r="AI2" s="25"/>
      <c r="AJ2" s="25"/>
      <c r="AK2" s="25"/>
      <c r="AL2" s="25"/>
      <c r="AM2" s="25"/>
      <c r="AN2" s="25"/>
      <c r="AO2" s="25"/>
      <c r="AP2" s="25"/>
      <c r="AQ2" s="25"/>
      <c r="AR2" s="25"/>
      <c r="AS2" s="25"/>
      <c r="AT2" s="25"/>
      <c r="AU2" s="25"/>
      <c r="AV2" s="25"/>
      <c r="AW2" s="25"/>
      <c r="AX2" s="25"/>
      <c r="AY2" s="25"/>
      <c r="AZ2" s="25"/>
      <c r="BA2" s="25"/>
    </row>
    <row r="3" spans="1:58" ht="24" customHeight="1">
      <c r="A3" s="644" t="s">
        <v>8</v>
      </c>
      <c r="B3" s="644" t="s">
        <v>9</v>
      </c>
      <c r="C3" s="644" t="s">
        <v>184</v>
      </c>
      <c r="D3" s="644" t="s">
        <v>91</v>
      </c>
      <c r="E3" s="644" t="s">
        <v>92</v>
      </c>
      <c r="F3" s="644" t="s">
        <v>93</v>
      </c>
      <c r="G3" s="673" t="s">
        <v>94</v>
      </c>
      <c r="H3" s="674"/>
      <c r="I3" s="674"/>
      <c r="J3" s="674"/>
      <c r="K3" s="675"/>
      <c r="L3" s="679" t="s">
        <v>95</v>
      </c>
      <c r="M3" s="680"/>
      <c r="N3" s="681"/>
      <c r="O3" s="669" t="s">
        <v>96</v>
      </c>
      <c r="P3" s="654" t="s">
        <v>108</v>
      </c>
      <c r="Q3" s="669" t="s">
        <v>97</v>
      </c>
      <c r="R3" s="661" t="s">
        <v>98</v>
      </c>
      <c r="S3" s="661" t="s">
        <v>99</v>
      </c>
      <c r="T3" s="644" t="s">
        <v>156</v>
      </c>
      <c r="U3" s="644" t="s">
        <v>155</v>
      </c>
      <c r="V3" s="644" t="s">
        <v>157</v>
      </c>
      <c r="W3" s="661" t="s">
        <v>144</v>
      </c>
      <c r="X3" s="697" t="s">
        <v>101</v>
      </c>
      <c r="Y3" s="697" t="s">
        <v>296</v>
      </c>
      <c r="Z3" s="661" t="s">
        <v>102</v>
      </c>
      <c r="AA3" s="644" t="s">
        <v>158</v>
      </c>
      <c r="AB3" s="644" t="s">
        <v>169</v>
      </c>
      <c r="AC3" s="644" t="s">
        <v>167</v>
      </c>
      <c r="AD3" s="644" t="s">
        <v>126</v>
      </c>
      <c r="AE3" s="644" t="s">
        <v>127</v>
      </c>
      <c r="AF3" s="672" t="s">
        <v>128</v>
      </c>
      <c r="AG3" s="672"/>
      <c r="AH3" s="672"/>
      <c r="AI3" s="672"/>
      <c r="AJ3" s="672"/>
      <c r="AK3" s="672"/>
      <c r="AL3" s="672"/>
      <c r="AM3" s="666" t="s">
        <v>129</v>
      </c>
      <c r="AN3" s="650" t="s">
        <v>103</v>
      </c>
      <c r="AO3" s="650"/>
      <c r="AP3" s="650"/>
      <c r="AQ3" s="650"/>
      <c r="AR3" s="650"/>
      <c r="AS3" s="651" t="s">
        <v>104</v>
      </c>
      <c r="AT3" s="662" t="s">
        <v>292</v>
      </c>
      <c r="AU3" s="663"/>
      <c r="AV3" s="646" t="s">
        <v>130</v>
      </c>
      <c r="AW3" s="647"/>
      <c r="AX3" s="648" t="s">
        <v>130</v>
      </c>
      <c r="AY3" s="649"/>
      <c r="AZ3" s="655" t="s">
        <v>308</v>
      </c>
      <c r="BA3" s="660" t="s">
        <v>105</v>
      </c>
      <c r="BB3" s="692" t="s">
        <v>106</v>
      </c>
      <c r="BC3" s="692" t="s">
        <v>107</v>
      </c>
      <c r="BD3" s="686" t="s">
        <v>398</v>
      </c>
      <c r="BE3" s="689" t="s">
        <v>399</v>
      </c>
      <c r="BF3" s="692" t="s">
        <v>400</v>
      </c>
    </row>
    <row r="4" spans="1:58" ht="12" customHeight="1">
      <c r="A4" s="645"/>
      <c r="B4" s="645"/>
      <c r="C4" s="645"/>
      <c r="D4" s="645"/>
      <c r="E4" s="645"/>
      <c r="F4" s="645"/>
      <c r="G4" s="676"/>
      <c r="H4" s="677"/>
      <c r="I4" s="677"/>
      <c r="J4" s="677"/>
      <c r="K4" s="678"/>
      <c r="L4" s="682"/>
      <c r="M4" s="683"/>
      <c r="N4" s="684"/>
      <c r="O4" s="670"/>
      <c r="P4" s="642"/>
      <c r="Q4" s="670"/>
      <c r="R4" s="685"/>
      <c r="S4" s="685"/>
      <c r="T4" s="645"/>
      <c r="U4" s="645"/>
      <c r="V4" s="645"/>
      <c r="W4" s="685"/>
      <c r="X4" s="698"/>
      <c r="Y4" s="698"/>
      <c r="Z4" s="685"/>
      <c r="AA4" s="645"/>
      <c r="AB4" s="645"/>
      <c r="AC4" s="645"/>
      <c r="AD4" s="645"/>
      <c r="AE4" s="645"/>
      <c r="AF4" s="694" t="s">
        <v>131</v>
      </c>
      <c r="AG4" s="695"/>
      <c r="AH4" s="696"/>
      <c r="AI4" s="642" t="s">
        <v>381</v>
      </c>
      <c r="AJ4" s="642" t="s">
        <v>15</v>
      </c>
      <c r="AK4" s="642" t="s">
        <v>132</v>
      </c>
      <c r="AL4" s="642" t="s">
        <v>18</v>
      </c>
      <c r="AM4" s="667"/>
      <c r="AN4" s="653" t="s">
        <v>109</v>
      </c>
      <c r="AO4" s="653" t="s">
        <v>15</v>
      </c>
      <c r="AP4" s="653" t="s">
        <v>110</v>
      </c>
      <c r="AQ4" s="653" t="s">
        <v>18</v>
      </c>
      <c r="AR4" s="660" t="s">
        <v>111</v>
      </c>
      <c r="AS4" s="651"/>
      <c r="AT4" s="664"/>
      <c r="AU4" s="665"/>
      <c r="AV4" s="514" t="s">
        <v>6</v>
      </c>
      <c r="AW4" s="514" t="s">
        <v>133</v>
      </c>
      <c r="AX4" s="515" t="s">
        <v>6</v>
      </c>
      <c r="AY4" s="516" t="s">
        <v>133</v>
      </c>
      <c r="AZ4" s="656"/>
      <c r="BA4" s="660"/>
      <c r="BB4" s="692"/>
      <c r="BC4" s="692"/>
      <c r="BD4" s="687"/>
      <c r="BE4" s="690"/>
      <c r="BF4" s="692"/>
    </row>
    <row r="5" spans="1:58" s="32" customFormat="1" ht="48">
      <c r="A5" s="645"/>
      <c r="B5" s="645"/>
      <c r="C5" s="671"/>
      <c r="D5" s="645"/>
      <c r="E5" s="645"/>
      <c r="F5" s="645"/>
      <c r="G5" s="495" t="s">
        <v>112</v>
      </c>
      <c r="H5" s="494" t="s">
        <v>113</v>
      </c>
      <c r="I5" s="30" t="s">
        <v>114</v>
      </c>
      <c r="J5" s="81" t="s">
        <v>115</v>
      </c>
      <c r="K5" s="81" t="s">
        <v>100</v>
      </c>
      <c r="L5" s="31" t="s">
        <v>116</v>
      </c>
      <c r="M5" s="31" t="s">
        <v>117</v>
      </c>
      <c r="N5" s="494" t="s">
        <v>118</v>
      </c>
      <c r="O5" s="670"/>
      <c r="P5" s="643"/>
      <c r="Q5" s="670"/>
      <c r="R5" s="685"/>
      <c r="S5" s="685"/>
      <c r="T5" s="645"/>
      <c r="U5" s="645"/>
      <c r="V5" s="645"/>
      <c r="W5" s="685"/>
      <c r="X5" s="698"/>
      <c r="Y5" s="699"/>
      <c r="Z5" s="685"/>
      <c r="AA5" s="645"/>
      <c r="AB5" s="671"/>
      <c r="AC5" s="645"/>
      <c r="AD5" s="671"/>
      <c r="AE5" s="645"/>
      <c r="AF5" s="444" t="s">
        <v>297</v>
      </c>
      <c r="AG5" s="519" t="s">
        <v>298</v>
      </c>
      <c r="AH5" s="519" t="s">
        <v>299</v>
      </c>
      <c r="AI5" s="643"/>
      <c r="AJ5" s="643"/>
      <c r="AK5" s="643"/>
      <c r="AL5" s="643"/>
      <c r="AM5" s="668"/>
      <c r="AN5" s="654"/>
      <c r="AO5" s="654"/>
      <c r="AP5" s="654"/>
      <c r="AQ5" s="654"/>
      <c r="AR5" s="661"/>
      <c r="AS5" s="652"/>
      <c r="AT5" s="518" t="s">
        <v>293</v>
      </c>
      <c r="AU5" s="518" t="s">
        <v>294</v>
      </c>
      <c r="AV5" s="517" t="s">
        <v>295</v>
      </c>
      <c r="AW5" s="517" t="s">
        <v>295</v>
      </c>
      <c r="AX5" s="515" t="s">
        <v>17</v>
      </c>
      <c r="AY5" s="515" t="s">
        <v>17</v>
      </c>
      <c r="AZ5" s="657"/>
      <c r="BA5" s="661"/>
      <c r="BB5" s="644"/>
      <c r="BC5" s="644"/>
      <c r="BD5" s="688"/>
      <c r="BE5" s="691"/>
      <c r="BF5" s="693"/>
    </row>
    <row r="6" spans="1:58" ht="12.75" customHeight="1">
      <c r="A6" s="40">
        <f>+Report1!A9</f>
        <v>45901</v>
      </c>
      <c r="B6" s="41" t="s">
        <v>7</v>
      </c>
      <c r="C6" s="415">
        <f t="shared" ref="C6" si="0">(M6*E6*O6*Q6)/100000000</f>
        <v>42.960455999999994</v>
      </c>
      <c r="D6" s="41" t="s">
        <v>304</v>
      </c>
      <c r="E6" s="42">
        <v>12</v>
      </c>
      <c r="F6" s="42">
        <v>1</v>
      </c>
      <c r="G6" s="500">
        <v>1230</v>
      </c>
      <c r="H6" s="44">
        <v>0.23</v>
      </c>
      <c r="I6" s="45">
        <v>0.88</v>
      </c>
      <c r="J6" s="82">
        <f t="shared" ref="J6" si="1">E6*G6*(1-H6)*1440/1000000*2.74</f>
        <v>44.842533120000006</v>
      </c>
      <c r="K6" s="82">
        <f t="shared" ref="K6" si="2">(IF(G6&lt;L6,L6,G6)*(1-IF(H6&lt;N6,H6,N6))*E6*O6*Q6)/100000000</f>
        <v>42.960455999999994</v>
      </c>
      <c r="L6" s="35">
        <v>1230</v>
      </c>
      <c r="M6" s="35">
        <v>947.09999999999991</v>
      </c>
      <c r="N6" s="46">
        <f t="shared" ref="N6" si="3">1-(M6/L6)</f>
        <v>0.23000000000000009</v>
      </c>
      <c r="O6" s="47">
        <f>+'Trim Rwd'!H4</f>
        <v>262.5</v>
      </c>
      <c r="P6" s="48">
        <f t="shared" ref="P6" si="4">O6*(Q6-R6-S6)</f>
        <v>359362.5</v>
      </c>
      <c r="Q6" s="47">
        <v>1440</v>
      </c>
      <c r="R6" s="501">
        <v>0</v>
      </c>
      <c r="S6" s="501">
        <v>71</v>
      </c>
      <c r="T6" s="37">
        <f t="shared" ref="T6" si="5">E6*M6*O6*Q6/100000000</f>
        <v>42.960455999999994</v>
      </c>
      <c r="U6" s="37">
        <f t="shared" ref="U6" si="6">E6*M6*O6*(Q6-R6-S6)/100000000</f>
        <v>40.842266849999994</v>
      </c>
      <c r="V6" s="37">
        <f t="shared" ref="V6" si="7">E6*G6*(1-N6)*O6/100*(R6+S6)/1000000</f>
        <v>2.1181891499999996</v>
      </c>
      <c r="W6" s="37">
        <f>+'1'!K7/1000</f>
        <v>38.948</v>
      </c>
      <c r="X6" s="502">
        <f>SUM(W6:W9)/SUM(K6:K9)</f>
        <v>0.96558565393253748</v>
      </c>
      <c r="Y6" s="211">
        <v>0</v>
      </c>
      <c r="Z6" s="37">
        <f>+'1'!D25/1000</f>
        <v>0</v>
      </c>
      <c r="AA6" s="49">
        <f>SUM(U6:U9)-SUM(W6:W9)-SUM(Z6:Z9)-SUM(Y6:Y9)</f>
        <v>-0.63973315000000497</v>
      </c>
      <c r="AB6" s="49">
        <f>(SUM(K6:K9)-SUM(W6:W9)-SUM(Y6:Y9)-SUM(Z6:Z9)-SUM(AC6:AC9)-SUM(V6:V9))-AA6</f>
        <v>0</v>
      </c>
      <c r="AC6" s="37">
        <f>K6-T6</f>
        <v>0</v>
      </c>
      <c r="AD6" s="37">
        <f>+AM6+BA6</f>
        <v>35</v>
      </c>
      <c r="AE6" s="230" t="s">
        <v>411</v>
      </c>
      <c r="AF6" s="37">
        <v>35</v>
      </c>
      <c r="AG6" s="37"/>
      <c r="AH6" s="37"/>
      <c r="AI6" s="503"/>
      <c r="AJ6" s="37"/>
      <c r="AK6" s="37"/>
      <c r="AL6" s="37"/>
      <c r="AM6" s="37">
        <f t="shared" ref="AM6:AM8" si="8">SUM(AF6:AL6)+AT6+AV6+AX6</f>
        <v>35</v>
      </c>
      <c r="AN6" s="37"/>
      <c r="AO6" s="37"/>
      <c r="AP6" s="37"/>
      <c r="AQ6" s="37"/>
      <c r="AR6" s="37">
        <f>SUM(AN6:AQ6)</f>
        <v>0</v>
      </c>
      <c r="AS6" s="37"/>
      <c r="AT6" s="37"/>
      <c r="AU6" s="37"/>
      <c r="AV6" s="37"/>
      <c r="AW6" s="37"/>
      <c r="AX6" s="37"/>
      <c r="AY6" s="37"/>
      <c r="AZ6" s="37"/>
      <c r="BA6" s="37">
        <f>+AR6+AS6+AU6+AW6+AY6+AZ6</f>
        <v>0</v>
      </c>
      <c r="BB6" s="33">
        <v>7</v>
      </c>
      <c r="BC6" s="51"/>
      <c r="BD6" s="51"/>
      <c r="BE6" s="33"/>
      <c r="BF6" s="51"/>
    </row>
    <row r="7" spans="1:58" ht="12.95" customHeight="1">
      <c r="A7" s="40"/>
      <c r="B7" s="41" t="s">
        <v>7</v>
      </c>
      <c r="C7" s="415"/>
      <c r="D7" s="41"/>
      <c r="E7" s="42">
        <v>13</v>
      </c>
      <c r="F7" s="42"/>
      <c r="G7" s="500"/>
      <c r="H7" s="44"/>
      <c r="I7" s="45"/>
      <c r="J7" s="82"/>
      <c r="K7" s="82"/>
      <c r="L7" s="35"/>
      <c r="M7" s="35"/>
      <c r="N7" s="46"/>
      <c r="O7" s="47"/>
      <c r="P7" s="48"/>
      <c r="Q7" s="47"/>
      <c r="R7" s="501"/>
      <c r="S7" s="501"/>
      <c r="T7" s="37"/>
      <c r="U7" s="37"/>
      <c r="V7" s="37"/>
      <c r="W7" s="37">
        <f>+'1'!K8/1000</f>
        <v>2.5339999999999998</v>
      </c>
      <c r="X7" s="38"/>
      <c r="Y7" s="211"/>
      <c r="Z7" s="37"/>
      <c r="AA7" s="37"/>
      <c r="AB7" s="37"/>
      <c r="AC7" s="37"/>
      <c r="AD7" s="37">
        <f>+AM7+BA7</f>
        <v>10</v>
      </c>
      <c r="AE7" s="230" t="s">
        <v>412</v>
      </c>
      <c r="AF7" s="37"/>
      <c r="AG7" s="37">
        <v>10</v>
      </c>
      <c r="AH7" s="37"/>
      <c r="AI7" s="503"/>
      <c r="AJ7" s="37"/>
      <c r="AK7" s="37"/>
      <c r="AL7" s="37"/>
      <c r="AM7" s="37">
        <f t="shared" si="8"/>
        <v>10</v>
      </c>
      <c r="AN7" s="83"/>
      <c r="AO7" s="37"/>
      <c r="AP7" s="37"/>
      <c r="AQ7" s="37"/>
      <c r="AR7" s="37">
        <f t="shared" ref="AR7:AR8" si="9">SUM(AN7:AQ7)</f>
        <v>0</v>
      </c>
      <c r="AS7" s="37"/>
      <c r="AT7" s="37"/>
      <c r="AU7" s="37"/>
      <c r="AV7" s="37"/>
      <c r="AW7" s="37"/>
      <c r="AX7" s="37"/>
      <c r="AY7" s="37"/>
      <c r="AZ7" s="37"/>
      <c r="BA7" s="37">
        <f>+AR7+AS7+AU7+AW7+AY7+AZ7</f>
        <v>0</v>
      </c>
      <c r="BB7" s="50"/>
      <c r="BC7" s="51">
        <v>10</v>
      </c>
      <c r="BD7" s="51"/>
      <c r="BE7" s="50"/>
      <c r="BF7" s="51"/>
    </row>
    <row r="8" spans="1:58" ht="12.95" customHeight="1">
      <c r="A8" s="40"/>
      <c r="B8" s="41"/>
      <c r="C8" s="415"/>
      <c r="D8" s="41"/>
      <c r="E8" s="42"/>
      <c r="F8" s="42"/>
      <c r="G8" s="43"/>
      <c r="H8" s="44"/>
      <c r="I8" s="45"/>
      <c r="J8" s="82"/>
      <c r="K8" s="82"/>
      <c r="L8" s="35"/>
      <c r="M8" s="35"/>
      <c r="N8" s="46"/>
      <c r="O8" s="47"/>
      <c r="P8" s="48"/>
      <c r="Q8" s="47"/>
      <c r="R8" s="501"/>
      <c r="S8" s="501"/>
      <c r="T8" s="37"/>
      <c r="U8" s="37"/>
      <c r="V8" s="37"/>
      <c r="W8" s="37"/>
      <c r="X8" s="38"/>
      <c r="Y8" s="211"/>
      <c r="Z8" s="37"/>
      <c r="AA8" s="37"/>
      <c r="AB8" s="37"/>
      <c r="AC8" s="37"/>
      <c r="AD8" s="37">
        <f>+AM8+BA8</f>
        <v>26</v>
      </c>
      <c r="AE8" s="230" t="s">
        <v>413</v>
      </c>
      <c r="AF8" s="33"/>
      <c r="AG8" s="33"/>
      <c r="AH8" s="33">
        <v>26</v>
      </c>
      <c r="AJ8" s="37"/>
      <c r="AK8" s="37"/>
      <c r="AL8" s="37"/>
      <c r="AM8" s="37">
        <f t="shared" si="8"/>
        <v>26</v>
      </c>
      <c r="AN8" s="37"/>
      <c r="AO8" s="37"/>
      <c r="AP8" s="37"/>
      <c r="AQ8" s="37"/>
      <c r="AR8" s="37">
        <f t="shared" si="9"/>
        <v>0</v>
      </c>
      <c r="AS8" s="37"/>
      <c r="AT8" s="37"/>
      <c r="AU8" s="37"/>
      <c r="AV8" s="37"/>
      <c r="AW8" s="37"/>
      <c r="AX8" s="37"/>
      <c r="AY8" s="37"/>
      <c r="AZ8" s="37"/>
      <c r="BA8" s="37">
        <f>+AR8+AS8+AU8+AW8+AY8+AZ8</f>
        <v>0</v>
      </c>
      <c r="BB8" s="33"/>
      <c r="BC8" s="504"/>
      <c r="BD8" s="504"/>
      <c r="BE8" s="33"/>
      <c r="BF8" s="504"/>
    </row>
    <row r="9" spans="1:58" ht="12.95" customHeight="1">
      <c r="A9" s="40"/>
      <c r="B9" s="41"/>
      <c r="C9" s="415"/>
      <c r="D9" s="41"/>
      <c r="E9" s="42"/>
      <c r="F9" s="42"/>
      <c r="G9" s="43"/>
      <c r="H9" s="44"/>
      <c r="I9" s="45"/>
      <c r="J9" s="82"/>
      <c r="K9" s="82"/>
      <c r="L9" s="35"/>
      <c r="M9" s="35"/>
      <c r="N9" s="46"/>
      <c r="O9" s="47"/>
      <c r="P9" s="48"/>
      <c r="Q9" s="34"/>
      <c r="R9" s="501"/>
      <c r="S9" s="501"/>
      <c r="T9" s="37"/>
      <c r="U9" s="37"/>
      <c r="V9" s="37"/>
      <c r="W9" s="37"/>
      <c r="X9" s="38"/>
      <c r="Y9" s="211"/>
      <c r="Z9" s="37"/>
      <c r="AA9" s="37"/>
      <c r="AB9" s="37"/>
      <c r="AC9" s="37"/>
      <c r="AD9" s="37"/>
      <c r="AE9" s="233"/>
      <c r="AF9" s="37"/>
      <c r="AG9" s="37"/>
      <c r="AH9" s="37"/>
      <c r="AI9" s="503"/>
      <c r="AJ9" s="37"/>
      <c r="AK9" s="37"/>
      <c r="AL9" s="37"/>
      <c r="AM9" s="37"/>
      <c r="AN9" s="37"/>
      <c r="AO9" s="37"/>
      <c r="AP9" s="37"/>
      <c r="AQ9" s="37"/>
      <c r="AR9" s="37"/>
      <c r="AS9" s="37"/>
      <c r="AT9" s="37"/>
      <c r="AU9" s="37"/>
      <c r="AV9" s="37"/>
      <c r="AW9" s="37"/>
      <c r="AX9" s="37"/>
      <c r="AY9" s="37"/>
      <c r="AZ9" s="37"/>
      <c r="BA9" s="37"/>
      <c r="BB9" s="50"/>
      <c r="BC9" s="51"/>
      <c r="BD9" s="51"/>
      <c r="BE9" s="50"/>
      <c r="BF9" s="51"/>
    </row>
    <row r="10" spans="1:58" ht="12.75" customHeight="1">
      <c r="A10" s="40">
        <v>45902</v>
      </c>
      <c r="B10" s="41" t="s">
        <v>7</v>
      </c>
      <c r="C10" s="415">
        <f t="shared" ref="C10" si="10">(M10*E10*O10*Q10)/100000000</f>
        <v>21.799353412941169</v>
      </c>
      <c r="D10" s="41" t="s">
        <v>304</v>
      </c>
      <c r="E10" s="42">
        <v>12</v>
      </c>
      <c r="F10" s="42">
        <v>1</v>
      </c>
      <c r="G10" s="500">
        <v>1230</v>
      </c>
      <c r="H10" s="44">
        <v>0.23</v>
      </c>
      <c r="I10" s="45">
        <v>0.88</v>
      </c>
      <c r="J10" s="82">
        <f t="shared" ref="J10" si="11">E10*G10*(1-H10)*1440/1000000*2.74</f>
        <v>44.842533120000006</v>
      </c>
      <c r="K10" s="82">
        <f t="shared" ref="K10" si="12">(IF(G10&lt;L10,L10,G10)*(1-IF(H10&lt;N10,H10,N10))*E10*O10*Q10)/100000000</f>
        <v>21.911203069411759</v>
      </c>
      <c r="L10" s="35">
        <v>1223.7212449255751</v>
      </c>
      <c r="M10" s="35">
        <v>942.26535859269268</v>
      </c>
      <c r="N10" s="46">
        <f t="shared" ref="N10" si="13">1-(M10/L10)</f>
        <v>0.23000000000000009</v>
      </c>
      <c r="O10" s="47">
        <f>+'Trim Rwd'!H7</f>
        <v>260.88235294117646</v>
      </c>
      <c r="P10" s="48">
        <f t="shared" ref="P10" si="14">O10*(Q10-R10-S10)</f>
        <v>182356.76470588235</v>
      </c>
      <c r="Q10" s="47">
        <v>739</v>
      </c>
      <c r="R10" s="501">
        <v>0</v>
      </c>
      <c r="S10" s="501">
        <v>40</v>
      </c>
      <c r="T10" s="37">
        <f t="shared" ref="T10" si="15">E10*M10*O10*Q10/100000000</f>
        <v>21.799353412941169</v>
      </c>
      <c r="U10" s="37">
        <f t="shared" ref="U10" si="16">E10*M10*O10*(Q10-R10-S10)/100000000</f>
        <v>20.619415474486981</v>
      </c>
      <c r="V10" s="37">
        <f t="shared" ref="V10" si="17">E10*G10*(1-N10)*O10/100*(R10+S10)/1000000</f>
        <v>1.1859920470588232</v>
      </c>
      <c r="W10" s="37">
        <f>+'2'!K7/1000</f>
        <v>17.890999999999998</v>
      </c>
      <c r="X10" s="502">
        <f>SUM(W10:W13)/SUM(K10:K13)</f>
        <v>0.73741505056736756</v>
      </c>
      <c r="Y10" s="211">
        <v>0</v>
      </c>
      <c r="Z10" s="37">
        <f>+'1'!D29/1000</f>
        <v>0</v>
      </c>
      <c r="AA10" s="49">
        <f>SUM(U10:U13)-SUM(W10:W13)-SUM(Z10:Z13)-SUM(Y10:Y13)</f>
        <v>7.8765482085811298</v>
      </c>
      <c r="AB10" s="49">
        <f>(SUM(K10:K13)-SUM(W10:W13)-SUM(Y10:Y13)-SUM(Z10:Z13)-SUM(AC10:AC13)-SUM(V10:V13))-AA10</f>
        <v>-2.8590402698779549E-2</v>
      </c>
      <c r="AC10" s="37">
        <f>K10-T10</f>
        <v>0.11184965647058931</v>
      </c>
      <c r="AD10" s="37">
        <f>+AM10+BA10</f>
        <v>28</v>
      </c>
      <c r="AE10" s="230" t="s">
        <v>435</v>
      </c>
      <c r="AF10" s="37">
        <v>28</v>
      </c>
      <c r="AG10" s="37"/>
      <c r="AH10" s="37"/>
      <c r="AI10" s="503"/>
      <c r="AJ10" s="37"/>
      <c r="AK10" s="37"/>
      <c r="AL10" s="37"/>
      <c r="AM10" s="37">
        <f t="shared" ref="AM10:AM12" si="18">SUM(AF10:AL10)+AT10+AV10+AX10</f>
        <v>28</v>
      </c>
      <c r="AN10" s="37"/>
      <c r="AO10" s="37"/>
      <c r="AP10" s="37"/>
      <c r="AQ10" s="37"/>
      <c r="AR10" s="37">
        <f>SUM(AN10:AQ10)</f>
        <v>0</v>
      </c>
      <c r="AS10" s="37"/>
      <c r="AT10" s="37"/>
      <c r="AU10" s="37"/>
      <c r="AV10" s="37"/>
      <c r="AW10" s="37"/>
      <c r="AX10" s="37"/>
      <c r="AY10" s="37"/>
      <c r="AZ10" s="37"/>
      <c r="BA10" s="37">
        <f>+AR10+AS10+AU10+AW10+AY10+AZ10</f>
        <v>0</v>
      </c>
      <c r="BB10" s="33">
        <v>13</v>
      </c>
      <c r="BC10" s="51"/>
      <c r="BD10" s="51"/>
      <c r="BE10" s="33"/>
      <c r="BF10" s="51"/>
    </row>
    <row r="11" spans="1:58" ht="12.95" customHeight="1">
      <c r="A11" s="40"/>
      <c r="B11" s="41" t="s">
        <v>7</v>
      </c>
      <c r="C11" s="415">
        <f t="shared" ref="C11" si="19">(M11*E11*O11*Q11)/100000000</f>
        <v>20.298478200000002</v>
      </c>
      <c r="D11" s="41" t="s">
        <v>304</v>
      </c>
      <c r="E11" s="42">
        <v>13</v>
      </c>
      <c r="F11" s="42">
        <v>1</v>
      </c>
      <c r="G11" s="500">
        <v>1230</v>
      </c>
      <c r="H11" s="44">
        <v>0.22</v>
      </c>
      <c r="I11" s="45">
        <v>0.88</v>
      </c>
      <c r="J11" s="82">
        <f t="shared" ref="J11" si="20">E11*G11*(1-H11)*1440/1000000*2.74</f>
        <v>49.210312320000007</v>
      </c>
      <c r="K11" s="82">
        <f t="shared" ref="K11" si="21">(IF(G11&lt;L11,L11,G11)*(1-IF(H11&lt;N11,H11,N11))*E11*O11*Q11)/100000000</f>
        <v>20.983229279999996</v>
      </c>
      <c r="L11" s="35">
        <v>1205.3138373751783</v>
      </c>
      <c r="M11" s="35">
        <v>928.09165477888735</v>
      </c>
      <c r="N11" s="46">
        <f t="shared" ref="N11" si="22">1-(M11/L11)</f>
        <v>0.22999999999999998</v>
      </c>
      <c r="O11" s="47">
        <f>+'Trim Rwd'!H9</f>
        <v>240</v>
      </c>
      <c r="P11" s="48">
        <f t="shared" ref="P11" si="23">O11*(Q11-R11-S11)</f>
        <v>159120</v>
      </c>
      <c r="Q11" s="47">
        <v>701</v>
      </c>
      <c r="R11" s="501">
        <v>0</v>
      </c>
      <c r="S11" s="501">
        <f>78-S10</f>
        <v>38</v>
      </c>
      <c r="T11" s="37">
        <f t="shared" ref="T11" si="24">E11*M11*O11*Q11/100000000</f>
        <v>20.298478200000002</v>
      </c>
      <c r="U11" s="37">
        <f t="shared" ref="U11" si="25">E11*M11*O11*(Q11-R11-S11)/100000000</f>
        <v>19.198132734094148</v>
      </c>
      <c r="V11" s="37">
        <f t="shared" ref="V11" si="26">E11*G11*(1-N11)*O11/100*(R11+S11)/1000000</f>
        <v>1.1228817600000003</v>
      </c>
      <c r="W11" s="37">
        <f>+'2'!K8/1000</f>
        <v>13.74</v>
      </c>
      <c r="X11" s="38"/>
      <c r="Y11" s="211"/>
      <c r="Z11" s="37">
        <f>+'2'!D25/1000</f>
        <v>0.31</v>
      </c>
      <c r="AA11" s="37"/>
      <c r="AB11" s="37"/>
      <c r="AC11" s="37">
        <f>K11-T11</f>
        <v>0.68475107999999452</v>
      </c>
      <c r="AD11" s="37">
        <f>+AM11+BA11</f>
        <v>8</v>
      </c>
      <c r="AE11" s="230" t="s">
        <v>431</v>
      </c>
      <c r="AF11" s="37"/>
      <c r="AG11" s="37">
        <v>8</v>
      </c>
      <c r="AH11" s="37"/>
      <c r="AI11" s="503"/>
      <c r="AJ11" s="37"/>
      <c r="AK11" s="37"/>
      <c r="AL11" s="37"/>
      <c r="AM11" s="37">
        <f t="shared" si="18"/>
        <v>8</v>
      </c>
      <c r="AN11" s="83"/>
      <c r="AO11" s="37"/>
      <c r="AP11" s="37"/>
      <c r="AQ11" s="37"/>
      <c r="AR11" s="37">
        <f t="shared" ref="AR11:AR12" si="27">SUM(AN11:AQ11)</f>
        <v>0</v>
      </c>
      <c r="AS11" s="37"/>
      <c r="AT11" s="37"/>
      <c r="AU11" s="37"/>
      <c r="AV11" s="37"/>
      <c r="AW11" s="37"/>
      <c r="AX11" s="37"/>
      <c r="AY11" s="37"/>
      <c r="AZ11" s="37"/>
      <c r="BA11" s="37">
        <f>+AR11+AS11+AU11+AW11+AY11+AZ11</f>
        <v>0</v>
      </c>
      <c r="BB11" s="50"/>
      <c r="BC11" s="51">
        <v>4</v>
      </c>
      <c r="BD11" s="51"/>
      <c r="BE11" s="50"/>
      <c r="BF11" s="51"/>
    </row>
    <row r="12" spans="1:58" ht="12.95" customHeight="1">
      <c r="A12" s="40"/>
      <c r="B12" s="41"/>
      <c r="C12" s="415"/>
      <c r="D12" s="41"/>
      <c r="E12" s="42"/>
      <c r="F12" s="42"/>
      <c r="G12" s="43"/>
      <c r="H12" s="44"/>
      <c r="I12" s="45"/>
      <c r="J12" s="82"/>
      <c r="K12" s="82"/>
      <c r="L12" s="35"/>
      <c r="M12" s="35"/>
      <c r="N12" s="46"/>
      <c r="O12" s="47"/>
      <c r="P12" s="48"/>
      <c r="Q12" s="47"/>
      <c r="R12" s="501"/>
      <c r="S12" s="501"/>
      <c r="T12" s="37"/>
      <c r="U12" s="37"/>
      <c r="V12" s="37"/>
      <c r="W12" s="37"/>
      <c r="X12" s="38"/>
      <c r="Y12" s="211"/>
      <c r="Z12" s="37"/>
      <c r="AA12" s="37"/>
      <c r="AB12" s="37"/>
      <c r="AC12" s="37"/>
      <c r="AD12" s="37">
        <f>+AM12+BA12</f>
        <v>42</v>
      </c>
      <c r="AE12" s="230" t="s">
        <v>436</v>
      </c>
      <c r="AF12" s="33"/>
      <c r="AG12" s="33"/>
      <c r="AH12" s="33">
        <v>42</v>
      </c>
      <c r="AJ12" s="37"/>
      <c r="AK12" s="37"/>
      <c r="AL12" s="37"/>
      <c r="AM12" s="37">
        <f t="shared" si="18"/>
        <v>42</v>
      </c>
      <c r="AN12" s="37"/>
      <c r="AO12" s="37"/>
      <c r="AP12" s="37"/>
      <c r="AQ12" s="37"/>
      <c r="AR12" s="37">
        <f t="shared" si="27"/>
        <v>0</v>
      </c>
      <c r="AS12" s="37"/>
      <c r="AT12" s="37"/>
      <c r="AU12" s="37"/>
      <c r="AV12" s="37"/>
      <c r="AW12" s="37"/>
      <c r="AX12" s="37"/>
      <c r="AY12" s="37"/>
      <c r="AZ12" s="37"/>
      <c r="BA12" s="37">
        <f>+AR12+AS12+AU12+AW12+AY12+AZ12</f>
        <v>0</v>
      </c>
      <c r="BB12" s="33"/>
      <c r="BC12" s="504"/>
      <c r="BD12" s="504"/>
      <c r="BE12" s="33"/>
      <c r="BF12" s="504"/>
    </row>
    <row r="13" spans="1:58" ht="12.95" customHeight="1">
      <c r="A13" s="40"/>
      <c r="B13" s="41"/>
      <c r="C13" s="415"/>
      <c r="D13" s="41"/>
      <c r="E13" s="42"/>
      <c r="F13" s="42"/>
      <c r="G13" s="500"/>
      <c r="H13" s="44"/>
      <c r="I13" s="45"/>
      <c r="J13" s="82"/>
      <c r="K13" s="82"/>
      <c r="L13" s="35"/>
      <c r="M13" s="35"/>
      <c r="N13" s="46"/>
      <c r="O13" s="47"/>
      <c r="P13" s="48"/>
      <c r="Q13" s="47"/>
      <c r="R13" s="501"/>
      <c r="S13" s="501"/>
      <c r="T13" s="37"/>
      <c r="U13" s="37"/>
      <c r="V13" s="37"/>
      <c r="W13" s="37"/>
      <c r="X13" s="38"/>
      <c r="Y13" s="211"/>
      <c r="Z13" s="37"/>
      <c r="AA13" s="37"/>
      <c r="AB13" s="37"/>
      <c r="AC13" s="37"/>
      <c r="AD13" s="37"/>
      <c r="AE13" s="230"/>
      <c r="AF13" s="37"/>
      <c r="AG13" s="37"/>
      <c r="AH13" s="37"/>
      <c r="AI13" s="503"/>
      <c r="AJ13" s="37"/>
      <c r="AK13" s="37"/>
      <c r="AL13" s="37"/>
      <c r="AM13" s="37"/>
      <c r="AN13" s="83"/>
      <c r="AO13" s="37"/>
      <c r="AP13" s="37"/>
      <c r="AQ13" s="37"/>
      <c r="AR13" s="37"/>
      <c r="AS13" s="37"/>
      <c r="AT13" s="37"/>
      <c r="AU13" s="37"/>
      <c r="AV13" s="37"/>
      <c r="AW13" s="37"/>
      <c r="AX13" s="37"/>
      <c r="AY13" s="37"/>
      <c r="AZ13" s="37"/>
      <c r="BA13" s="37"/>
      <c r="BB13" s="50"/>
      <c r="BC13" s="51"/>
      <c r="BD13" s="51"/>
      <c r="BE13" s="50"/>
      <c r="BF13" s="51"/>
    </row>
    <row r="14" spans="1:58" ht="12.75" customHeight="1">
      <c r="A14" s="40">
        <v>45903</v>
      </c>
      <c r="B14" s="41" t="s">
        <v>7</v>
      </c>
      <c r="C14" s="415">
        <f t="shared" ref="C14" si="28">(M14*E14*O14*Q14)/100000000</f>
        <v>5.0825174400000002</v>
      </c>
      <c r="D14" s="41" t="s">
        <v>304</v>
      </c>
      <c r="E14" s="42">
        <v>13</v>
      </c>
      <c r="F14" s="42">
        <v>1</v>
      </c>
      <c r="G14" s="500">
        <v>1230</v>
      </c>
      <c r="H14" s="44">
        <v>0.22</v>
      </c>
      <c r="I14" s="45">
        <v>0.88</v>
      </c>
      <c r="J14" s="82">
        <f t="shared" ref="J14" si="29">E14*G14*(1-H14)*1440/1000000*2.74</f>
        <v>49.210312320000007</v>
      </c>
      <c r="K14" s="82">
        <f t="shared" ref="K14" si="30">(IF(G14&lt;L14,L14,G14)*(1-IF(H14&lt;N14,H14,N14))*E14*O14*Q14)/100000000</f>
        <v>5.1485241599999991</v>
      </c>
      <c r="L14" s="35">
        <v>1230</v>
      </c>
      <c r="M14" s="35">
        <v>947.09999999999991</v>
      </c>
      <c r="N14" s="46">
        <f t="shared" ref="N14" si="31">1-(M14/L14)</f>
        <v>0.23000000000000009</v>
      </c>
      <c r="O14" s="47">
        <f>+'Trim Rwd'!H11</f>
        <v>240</v>
      </c>
      <c r="P14" s="48">
        <f t="shared" ref="P14" si="32">O14*(Q14-R14-S14)</f>
        <v>37920</v>
      </c>
      <c r="Q14" s="47">
        <v>172</v>
      </c>
      <c r="R14" s="501">
        <v>0</v>
      </c>
      <c r="S14" s="501">
        <v>14</v>
      </c>
      <c r="T14" s="37">
        <f t="shared" ref="T14" si="33">E14*M14*O14*Q14/100000000</f>
        <v>5.0825174400000002</v>
      </c>
      <c r="U14" s="37">
        <f t="shared" ref="U14" si="34">E14*M14*O14*(Q14-R14-S14)/100000000</f>
        <v>4.6688241599999998</v>
      </c>
      <c r="V14" s="37">
        <f t="shared" ref="V14" si="35">E14*G14*(1-N14)*O14/100*(R14+S14)/1000000</f>
        <v>0.41369328000000005</v>
      </c>
      <c r="W14" s="37">
        <f>+'3'!K8/1000</f>
        <v>6.9539999999999997</v>
      </c>
      <c r="X14" s="502">
        <f>SUM(W14:W17)/SUM(K14:K17)</f>
        <v>0.75118846449180476</v>
      </c>
      <c r="Y14" s="211">
        <v>0</v>
      </c>
      <c r="Z14" s="37">
        <f>+'1'!D33/1000</f>
        <v>0</v>
      </c>
      <c r="AA14" s="49">
        <f>SUM(U14:U17)-SUM(W14:W17)-SUM(Z14:Z17)-SUM(Y14:Y17)</f>
        <v>7.2042503548580372</v>
      </c>
      <c r="AB14" s="49">
        <f>(SUM(K14:K17)-SUM(W14:W17)-SUM(Y14:Y17)-SUM(Z14:Z17)-SUM(AC14:AC17)-SUM(V14:V17))-AA14</f>
        <v>-2.8135034858039809E-2</v>
      </c>
      <c r="AC14" s="37">
        <f>K14-T14</f>
        <v>6.6006719999998964E-2</v>
      </c>
      <c r="AD14" s="37">
        <f>+AM14+BA14</f>
        <v>32</v>
      </c>
      <c r="AE14" s="230" t="s">
        <v>455</v>
      </c>
      <c r="AF14" s="37">
        <v>32</v>
      </c>
      <c r="AG14" s="37"/>
      <c r="AH14" s="37"/>
      <c r="AI14" s="503"/>
      <c r="AJ14" s="37"/>
      <c r="AK14" s="37"/>
      <c r="AL14" s="37"/>
      <c r="AM14" s="37">
        <f t="shared" ref="AM14:AM16" si="36">SUM(AF14:AL14)+AT14+AV14+AX14</f>
        <v>32</v>
      </c>
      <c r="AN14" s="37"/>
      <c r="AO14" s="37"/>
      <c r="AP14" s="37"/>
      <c r="AQ14" s="37"/>
      <c r="AR14" s="37">
        <f>SUM(AN14:AQ14)</f>
        <v>0</v>
      </c>
      <c r="AS14" s="37"/>
      <c r="AT14" s="37"/>
      <c r="AU14" s="37"/>
      <c r="AV14" s="37"/>
      <c r="AW14" s="37"/>
      <c r="AX14" s="37"/>
      <c r="AY14" s="37"/>
      <c r="AZ14" s="37"/>
      <c r="BA14" s="37">
        <f>+AR14+AS14+AU14+AW14+AY14+AZ14</f>
        <v>0</v>
      </c>
      <c r="BB14" s="33">
        <v>9</v>
      </c>
      <c r="BC14" s="51"/>
      <c r="BD14" s="51"/>
      <c r="BE14" s="33"/>
      <c r="BF14" s="51"/>
    </row>
    <row r="15" spans="1:58" ht="12.95" customHeight="1">
      <c r="A15" s="40"/>
      <c r="B15" s="41" t="s">
        <v>7</v>
      </c>
      <c r="C15" s="415">
        <f t="shared" ref="C15" si="37">(M15*E15*O15*Q15)/100000000</f>
        <v>36.598868459999998</v>
      </c>
      <c r="D15" s="41" t="s">
        <v>304</v>
      </c>
      <c r="E15" s="42">
        <v>12</v>
      </c>
      <c r="F15" s="42">
        <v>1</v>
      </c>
      <c r="G15" s="500">
        <v>1230</v>
      </c>
      <c r="H15" s="44">
        <v>0.23</v>
      </c>
      <c r="I15" s="45">
        <v>0.88</v>
      </c>
      <c r="J15" s="82">
        <f t="shared" ref="J15" si="38">E15*G15*(1-H15)*1440/1000000*2.74</f>
        <v>44.842533120000006</v>
      </c>
      <c r="K15" s="82">
        <f t="shared" ref="K15" si="39">(IF(G15&lt;L15,L15,G15)*(1-IF(H15&lt;N15,H15,N15))*E15*O15*Q15)/100000000</f>
        <v>37.10851452</v>
      </c>
      <c r="L15" s="35">
        <v>1213.1072555205046</v>
      </c>
      <c r="M15" s="35">
        <v>934.09258675078854</v>
      </c>
      <c r="N15" s="46">
        <f t="shared" ref="N15" si="40">1-(M15/L15)</f>
        <v>0.22999999999999998</v>
      </c>
      <c r="O15" s="47">
        <f>+'Trim Rwd'!H13</f>
        <v>257.5</v>
      </c>
      <c r="P15" s="48">
        <f t="shared" ref="P15" si="41">O15*(Q15-R15-S15)</f>
        <v>308485</v>
      </c>
      <c r="Q15" s="47">
        <v>1268</v>
      </c>
      <c r="R15" s="501">
        <v>0</v>
      </c>
      <c r="S15" s="501">
        <v>70</v>
      </c>
      <c r="T15" s="37">
        <f t="shared" ref="T15" si="42">E15*M15*O15*Q15/100000000</f>
        <v>36.598868459999998</v>
      </c>
      <c r="U15" s="37">
        <f t="shared" ref="U15" si="43">E15*M15*O15*(Q15-R15-S15)/100000000</f>
        <v>34.578426194858039</v>
      </c>
      <c r="V15" s="37">
        <f t="shared" ref="V15" si="44">E15*G15*(1-N15)*O15/100*(R15+S15)/1000000</f>
        <v>2.0485773000000003</v>
      </c>
      <c r="W15" s="37">
        <f>+'3'!K7/1000</f>
        <v>24.789000000000001</v>
      </c>
      <c r="X15" s="38"/>
      <c r="Y15" s="211"/>
      <c r="Z15" s="37">
        <f>+'3'!D25/1000</f>
        <v>0.3</v>
      </c>
      <c r="AA15" s="37"/>
      <c r="AB15" s="37"/>
      <c r="AC15" s="37">
        <f>K15-T15</f>
        <v>0.50964606000000146</v>
      </c>
      <c r="AD15" s="37">
        <f>+AM15+BA15</f>
        <v>2</v>
      </c>
      <c r="AE15" s="230" t="s">
        <v>452</v>
      </c>
      <c r="AF15" s="37"/>
      <c r="AG15" s="37">
        <v>2</v>
      </c>
      <c r="AH15" s="37"/>
      <c r="AI15" s="503"/>
      <c r="AJ15" s="37"/>
      <c r="AK15" s="37"/>
      <c r="AL15" s="37"/>
      <c r="AM15" s="37">
        <f t="shared" si="36"/>
        <v>2</v>
      </c>
      <c r="AN15" s="83"/>
      <c r="AO15" s="37"/>
      <c r="AP15" s="37"/>
      <c r="AQ15" s="37"/>
      <c r="AR15" s="37">
        <f t="shared" ref="AR15:AR16" si="45">SUM(AN15:AQ15)</f>
        <v>0</v>
      </c>
      <c r="AS15" s="37"/>
      <c r="AT15" s="37"/>
      <c r="AU15" s="37"/>
      <c r="AV15" s="37"/>
      <c r="AW15" s="37"/>
      <c r="AX15" s="37"/>
      <c r="AY15" s="37"/>
      <c r="AZ15" s="37"/>
      <c r="BA15" s="37">
        <f>+AR15+AS15+AU15+AW15+AY15+AZ15</f>
        <v>0</v>
      </c>
      <c r="BB15" s="50"/>
      <c r="BC15" s="51">
        <v>1</v>
      </c>
      <c r="BD15" s="51"/>
      <c r="BE15" s="50"/>
      <c r="BF15" s="51"/>
    </row>
    <row r="16" spans="1:58" ht="12.95" customHeight="1">
      <c r="A16" s="40"/>
      <c r="B16" s="41"/>
      <c r="C16" s="415"/>
      <c r="D16" s="41"/>
      <c r="E16" s="42"/>
      <c r="F16" s="42"/>
      <c r="G16" s="43"/>
      <c r="H16" s="44"/>
      <c r="I16" s="45"/>
      <c r="J16" s="82"/>
      <c r="K16" s="82"/>
      <c r="L16" s="35"/>
      <c r="M16" s="35"/>
      <c r="N16" s="46"/>
      <c r="O16" s="47"/>
      <c r="P16" s="48"/>
      <c r="Q16" s="47"/>
      <c r="R16" s="501"/>
      <c r="S16" s="501"/>
      <c r="T16" s="37"/>
      <c r="U16" s="37"/>
      <c r="V16" s="37"/>
      <c r="W16" s="37"/>
      <c r="X16" s="38"/>
      <c r="Y16" s="211"/>
      <c r="Z16" s="37"/>
      <c r="AA16" s="37"/>
      <c r="AB16" s="37"/>
      <c r="AC16" s="37"/>
      <c r="AD16" s="37">
        <f>+AM16+BA16</f>
        <v>50</v>
      </c>
      <c r="AE16" s="230" t="s">
        <v>413</v>
      </c>
      <c r="AF16" s="33"/>
      <c r="AG16" s="33"/>
      <c r="AH16" s="33">
        <v>50</v>
      </c>
      <c r="AJ16" s="37"/>
      <c r="AK16" s="37"/>
      <c r="AL16" s="37"/>
      <c r="AM16" s="37">
        <f t="shared" si="36"/>
        <v>50</v>
      </c>
      <c r="AN16" s="37"/>
      <c r="AO16" s="37"/>
      <c r="AP16" s="37"/>
      <c r="AQ16" s="37"/>
      <c r="AR16" s="37">
        <f t="shared" si="45"/>
        <v>0</v>
      </c>
      <c r="AS16" s="37"/>
      <c r="AT16" s="37"/>
      <c r="AU16" s="37"/>
      <c r="AV16" s="37"/>
      <c r="AW16" s="37"/>
      <c r="AX16" s="37"/>
      <c r="AY16" s="37"/>
      <c r="AZ16" s="37"/>
      <c r="BA16" s="37">
        <f>+AR16+AS16+AU16+AW16+AY16+AZ16</f>
        <v>0</v>
      </c>
      <c r="BB16" s="33"/>
      <c r="BC16" s="504"/>
      <c r="BD16" s="504"/>
      <c r="BE16" s="33"/>
      <c r="BF16" s="504"/>
    </row>
    <row r="17" spans="1:58" ht="12.95" customHeight="1">
      <c r="A17" s="40"/>
      <c r="B17" s="41"/>
      <c r="C17" s="415"/>
      <c r="D17" s="41"/>
      <c r="E17" s="42"/>
      <c r="F17" s="42"/>
      <c r="G17" s="500"/>
      <c r="H17" s="44"/>
      <c r="I17" s="45"/>
      <c r="J17" s="82"/>
      <c r="K17" s="82"/>
      <c r="L17" s="35"/>
      <c r="M17" s="35"/>
      <c r="N17" s="46"/>
      <c r="O17" s="47"/>
      <c r="P17" s="48"/>
      <c r="Q17" s="47"/>
      <c r="R17" s="501"/>
      <c r="S17" s="501"/>
      <c r="T17" s="37"/>
      <c r="U17" s="37"/>
      <c r="V17" s="37"/>
      <c r="W17" s="37"/>
      <c r="X17" s="38"/>
      <c r="Y17" s="211"/>
      <c r="Z17" s="37"/>
      <c r="AA17" s="37"/>
      <c r="AB17" s="37"/>
      <c r="AC17" s="37"/>
      <c r="AD17" s="37"/>
      <c r="AE17" s="230"/>
      <c r="AF17" s="37"/>
      <c r="AG17" s="37"/>
      <c r="AH17" s="37"/>
      <c r="AI17" s="503"/>
      <c r="AJ17" s="37"/>
      <c r="AK17" s="37"/>
      <c r="AL17" s="37"/>
      <c r="AM17" s="37"/>
      <c r="AN17" s="83"/>
      <c r="AO17" s="37"/>
      <c r="AP17" s="37"/>
      <c r="AQ17" s="37"/>
      <c r="AR17" s="37"/>
      <c r="AS17" s="37"/>
      <c r="AT17" s="37"/>
      <c r="AU17" s="37"/>
      <c r="AV17" s="37"/>
      <c r="AW17" s="37"/>
      <c r="AX17" s="37"/>
      <c r="AY17" s="37"/>
      <c r="AZ17" s="37"/>
      <c r="BA17" s="37"/>
      <c r="BB17" s="50"/>
      <c r="BC17" s="51"/>
      <c r="BD17" s="51"/>
      <c r="BE17" s="50"/>
      <c r="BF17" s="51"/>
    </row>
    <row r="18" spans="1:58" ht="12.75" customHeight="1">
      <c r="A18" s="40">
        <v>45904</v>
      </c>
      <c r="B18" s="41" t="s">
        <v>7</v>
      </c>
      <c r="C18" s="415">
        <f t="shared" ref="C18:C19" si="46">(M18*E18*O18*Q18)/100000000</f>
        <v>10.850777850000002</v>
      </c>
      <c r="D18" s="41" t="s">
        <v>304</v>
      </c>
      <c r="E18" s="42">
        <v>12</v>
      </c>
      <c r="F18" s="42">
        <v>1</v>
      </c>
      <c r="G18" s="500">
        <v>1230</v>
      </c>
      <c r="H18" s="44">
        <v>0.23</v>
      </c>
      <c r="I18" s="45">
        <v>0.88</v>
      </c>
      <c r="J18" s="82">
        <f t="shared" ref="J18:J19" si="47">E18*G18*(1-H18)*1440/1000000*2.74</f>
        <v>44.842533120000006</v>
      </c>
      <c r="K18" s="82">
        <f t="shared" ref="K18:K19" si="48">(IF(G18&lt;L18,L18,G18)*(1-IF(H18&lt;N18,H18,N18))*E18*O18*Q18)/100000000</f>
        <v>11.030129550000002</v>
      </c>
      <c r="L18" s="35">
        <v>1210</v>
      </c>
      <c r="M18" s="35">
        <v>931.7</v>
      </c>
      <c r="N18" s="46">
        <f t="shared" ref="N18:N19" si="49">1-(M18/L18)</f>
        <v>0.22999999999999998</v>
      </c>
      <c r="O18" s="47">
        <f>+'Trim Rwd'!H15</f>
        <v>248.21428571428572</v>
      </c>
      <c r="P18" s="48">
        <f t="shared" ref="P18:P19" si="50">O18*(Q18-R18-S18)</f>
        <v>92583.92857142858</v>
      </c>
      <c r="Q18" s="47">
        <v>391</v>
      </c>
      <c r="R18" s="501">
        <v>0</v>
      </c>
      <c r="S18" s="501">
        <v>18</v>
      </c>
      <c r="T18" s="37">
        <f t="shared" ref="T18:T19" si="51">E18*M18*O18*Q18/100000000</f>
        <v>10.850777850000002</v>
      </c>
      <c r="U18" s="37">
        <f t="shared" ref="U18:U19" si="52">E18*M18*O18*(Q18-R18-S18)/100000000</f>
        <v>10.351253550000001</v>
      </c>
      <c r="V18" s="37">
        <f t="shared" ref="V18:V19" si="53">E18*G18*(1-N18)*O18/100*(R18+S18)/1000000</f>
        <v>0.50778089999999998</v>
      </c>
      <c r="W18" s="37">
        <f>+'4'!K7/1000</f>
        <v>14.723000000000001</v>
      </c>
      <c r="X18" s="502">
        <f>SUM(W18:W21)/SUM(K18:K21)</f>
        <v>0.93365626458741036</v>
      </c>
      <c r="Y18" s="211">
        <v>0</v>
      </c>
      <c r="Z18" s="37">
        <v>1.06</v>
      </c>
      <c r="AA18" s="49">
        <f>SUM(U18:U21)-SUM(W18:W21)-SUM(Z18:Z21)-SUM(Y18:Y21)</f>
        <v>-0.73084762826500826</v>
      </c>
      <c r="AB18" s="49">
        <f>(SUM(K18:K21)-SUM(W18:W21)-SUM(Y18:Y21)-SUM(Z18:Z21)-SUM(AC18:AC21)-SUM(V18:V21))-AA18</f>
        <v>-9.5394217349920041E-3</v>
      </c>
      <c r="AC18" s="37">
        <f>K18-T18</f>
        <v>0.17935169999999978</v>
      </c>
      <c r="AD18" s="37">
        <f>+AM18+BA18</f>
        <v>18</v>
      </c>
      <c r="AE18" s="230" t="s">
        <v>470</v>
      </c>
      <c r="AF18" s="37">
        <v>18</v>
      </c>
      <c r="AG18" s="37"/>
      <c r="AH18" s="37"/>
      <c r="AI18" s="503"/>
      <c r="AJ18" s="37"/>
      <c r="AK18" s="37"/>
      <c r="AL18" s="37"/>
      <c r="AM18" s="37">
        <f t="shared" ref="AM18:AM20" si="54">SUM(AF18:AL18)+AT18+AV18+AX18</f>
        <v>18</v>
      </c>
      <c r="AN18" s="37"/>
      <c r="AO18" s="37"/>
      <c r="AP18" s="37"/>
      <c r="AQ18" s="37"/>
      <c r="AR18" s="37">
        <f>SUM(AN18:AQ18)</f>
        <v>0</v>
      </c>
      <c r="AS18" s="37"/>
      <c r="AT18" s="37"/>
      <c r="AU18" s="37"/>
      <c r="AV18" s="37"/>
      <c r="AW18" s="37"/>
      <c r="AX18" s="37"/>
      <c r="AY18" s="37"/>
      <c r="AZ18" s="37"/>
      <c r="BA18" s="37">
        <f>+AR18+AS18+AU18+AW18+AY18+AZ18</f>
        <v>0</v>
      </c>
      <c r="BB18" s="33">
        <v>6</v>
      </c>
      <c r="BC18" s="51"/>
      <c r="BD18" s="51"/>
      <c r="BE18" s="33"/>
      <c r="BF18" s="51"/>
    </row>
    <row r="19" spans="1:58" ht="12.95" customHeight="1">
      <c r="A19" s="40"/>
      <c r="B19" s="41" t="s">
        <v>7</v>
      </c>
      <c r="C19" s="415">
        <f t="shared" si="46"/>
        <v>32.492376</v>
      </c>
      <c r="D19" s="41" t="s">
        <v>304</v>
      </c>
      <c r="E19" s="42">
        <v>14</v>
      </c>
      <c r="F19" s="42">
        <v>1</v>
      </c>
      <c r="G19" s="500">
        <v>1230</v>
      </c>
      <c r="H19" s="44">
        <v>0.25</v>
      </c>
      <c r="I19" s="45">
        <v>0.88</v>
      </c>
      <c r="J19" s="82">
        <f t="shared" si="47"/>
        <v>50.957424000000003</v>
      </c>
      <c r="K19" s="82">
        <f t="shared" si="48"/>
        <v>32.514803999999998</v>
      </c>
      <c r="L19" s="35">
        <v>1229.1515729265968</v>
      </c>
      <c r="M19" s="35">
        <v>921.86367969494756</v>
      </c>
      <c r="N19" s="46">
        <f t="shared" si="49"/>
        <v>0.25</v>
      </c>
      <c r="O19" s="47">
        <f>+'Trim Rwd'!H18</f>
        <v>240</v>
      </c>
      <c r="P19" s="48">
        <f t="shared" si="50"/>
        <v>237360</v>
      </c>
      <c r="Q19" s="47">
        <v>1049</v>
      </c>
      <c r="R19" s="501">
        <v>0</v>
      </c>
      <c r="S19" s="501">
        <v>60</v>
      </c>
      <c r="T19" s="37">
        <f t="shared" si="51"/>
        <v>32.492376</v>
      </c>
      <c r="U19" s="37">
        <f t="shared" si="52"/>
        <v>30.633898821734988</v>
      </c>
      <c r="V19" s="37">
        <f t="shared" si="53"/>
        <v>1.8597600000000001</v>
      </c>
      <c r="W19" s="37">
        <f>+'4'!K9/1000</f>
        <v>25.933</v>
      </c>
      <c r="X19" s="38"/>
      <c r="Y19" s="211"/>
      <c r="Z19" s="37">
        <v>0</v>
      </c>
      <c r="AA19" s="37"/>
      <c r="AB19" s="37"/>
      <c r="AC19" s="37">
        <f>K19-T19</f>
        <v>2.2427999999997894E-2</v>
      </c>
      <c r="AD19" s="37">
        <f>+AM19+BA19</f>
        <v>2</v>
      </c>
      <c r="AE19" s="230" t="s">
        <v>452</v>
      </c>
      <c r="AF19" s="37"/>
      <c r="AG19" s="37">
        <v>2</v>
      </c>
      <c r="AH19" s="37"/>
      <c r="AI19" s="503"/>
      <c r="AJ19" s="37"/>
      <c r="AK19" s="37"/>
      <c r="AL19" s="37"/>
      <c r="AM19" s="37">
        <f t="shared" si="54"/>
        <v>2</v>
      </c>
      <c r="AN19" s="83"/>
      <c r="AO19" s="37"/>
      <c r="AP19" s="37"/>
      <c r="AQ19" s="37"/>
      <c r="AR19" s="37">
        <f t="shared" ref="AR19:AR20" si="55">SUM(AN19:AQ19)</f>
        <v>0</v>
      </c>
      <c r="AS19" s="37"/>
      <c r="AT19" s="37"/>
      <c r="AU19" s="37"/>
      <c r="AV19" s="37"/>
      <c r="AW19" s="37"/>
      <c r="AX19" s="37"/>
      <c r="AY19" s="37"/>
      <c r="AZ19" s="37"/>
      <c r="BA19" s="37">
        <f>+AR19+AS19+AU19+AW19+AY19+AZ19</f>
        <v>0</v>
      </c>
      <c r="BB19" s="50"/>
      <c r="BC19" s="51">
        <v>1</v>
      </c>
      <c r="BD19" s="51"/>
      <c r="BE19" s="50"/>
      <c r="BF19" s="51"/>
    </row>
    <row r="20" spans="1:58" ht="12.95" customHeight="1">
      <c r="A20" s="40"/>
      <c r="B20" s="41"/>
      <c r="C20" s="415"/>
      <c r="D20" s="41"/>
      <c r="E20" s="42"/>
      <c r="F20" s="42"/>
      <c r="G20" s="43"/>
      <c r="H20" s="44"/>
      <c r="I20" s="45"/>
      <c r="J20" s="82"/>
      <c r="K20" s="82"/>
      <c r="L20" s="35"/>
      <c r="M20" s="35"/>
      <c r="N20" s="46"/>
      <c r="O20" s="47"/>
      <c r="P20" s="48"/>
      <c r="Q20" s="47"/>
      <c r="R20" s="501"/>
      <c r="S20" s="501"/>
      <c r="T20" s="37"/>
      <c r="U20" s="37"/>
      <c r="V20" s="37"/>
      <c r="W20" s="37"/>
      <c r="X20" s="38"/>
      <c r="Y20" s="211"/>
      <c r="Z20" s="37"/>
      <c r="AA20" s="37"/>
      <c r="AB20" s="37"/>
      <c r="AC20" s="37"/>
      <c r="AD20" s="37">
        <f>+AM20+BA20</f>
        <v>58</v>
      </c>
      <c r="AE20" s="230" t="s">
        <v>436</v>
      </c>
      <c r="AF20" s="33"/>
      <c r="AG20" s="33"/>
      <c r="AH20" s="33">
        <v>58</v>
      </c>
      <c r="AJ20" s="37"/>
      <c r="AK20" s="37"/>
      <c r="AL20" s="37"/>
      <c r="AM20" s="37">
        <f t="shared" si="54"/>
        <v>58</v>
      </c>
      <c r="AN20" s="37"/>
      <c r="AO20" s="37"/>
      <c r="AP20" s="37"/>
      <c r="AQ20" s="37"/>
      <c r="AR20" s="37">
        <f t="shared" si="55"/>
        <v>0</v>
      </c>
      <c r="AS20" s="37"/>
      <c r="AT20" s="37"/>
      <c r="AU20" s="37"/>
      <c r="AV20" s="37"/>
      <c r="AW20" s="37"/>
      <c r="AX20" s="37"/>
      <c r="AY20" s="37"/>
      <c r="AZ20" s="37"/>
      <c r="BA20" s="37">
        <f>+AR20+AS20+AU20+AW20+AY20+AZ20</f>
        <v>0</v>
      </c>
      <c r="BB20" s="33"/>
      <c r="BC20" s="504"/>
      <c r="BD20" s="504"/>
      <c r="BE20" s="33"/>
      <c r="BF20" s="504"/>
    </row>
    <row r="21" spans="1:58" ht="12.95" customHeight="1">
      <c r="A21" s="40"/>
      <c r="B21" s="41"/>
      <c r="C21" s="415"/>
      <c r="D21" s="41"/>
      <c r="E21" s="42"/>
      <c r="F21" s="42"/>
      <c r="G21" s="43"/>
      <c r="H21" s="44"/>
      <c r="I21" s="45"/>
      <c r="J21" s="82"/>
      <c r="K21" s="82"/>
      <c r="L21" s="35"/>
      <c r="M21" s="35"/>
      <c r="N21" s="46"/>
      <c r="O21" s="47"/>
      <c r="P21" s="48"/>
      <c r="Q21" s="34"/>
      <c r="R21" s="501"/>
      <c r="S21" s="501"/>
      <c r="T21" s="37"/>
      <c r="U21" s="37"/>
      <c r="V21" s="37"/>
      <c r="W21" s="37"/>
      <c r="X21" s="38"/>
      <c r="Y21" s="211"/>
      <c r="Z21" s="37"/>
      <c r="AA21" s="37"/>
      <c r="AB21" s="37"/>
      <c r="AC21" s="37"/>
      <c r="AD21" s="37"/>
      <c r="AE21" s="233"/>
      <c r="AF21" s="37"/>
      <c r="AG21" s="37"/>
      <c r="AH21" s="37"/>
      <c r="AI21" s="503"/>
      <c r="AJ21" s="37"/>
      <c r="AK21" s="37"/>
      <c r="AL21" s="37"/>
      <c r="AM21" s="37"/>
      <c r="AN21" s="37"/>
      <c r="AO21" s="37"/>
      <c r="AP21" s="37"/>
      <c r="AQ21" s="37"/>
      <c r="AR21" s="37"/>
      <c r="AS21" s="37"/>
      <c r="AT21" s="37"/>
      <c r="AU21" s="37"/>
      <c r="AV21" s="37"/>
      <c r="AW21" s="37"/>
      <c r="AX21" s="37"/>
      <c r="AY21" s="37"/>
      <c r="AZ21" s="37"/>
      <c r="BA21" s="37"/>
      <c r="BB21" s="50"/>
      <c r="BC21" s="51"/>
      <c r="BD21" s="51"/>
      <c r="BE21" s="33"/>
      <c r="BF21" s="51"/>
    </row>
    <row r="22" spans="1:58" ht="12.75" customHeight="1">
      <c r="A22" s="40">
        <v>45905</v>
      </c>
      <c r="B22" s="41" t="s">
        <v>7</v>
      </c>
      <c r="C22" s="415">
        <f t="shared" ref="C22" si="56">(M22*E22*O22*Q22)/100000000</f>
        <v>44.634239999999998</v>
      </c>
      <c r="D22" s="41" t="s">
        <v>304</v>
      </c>
      <c r="E22" s="42">
        <v>14</v>
      </c>
      <c r="F22" s="42">
        <v>1</v>
      </c>
      <c r="G22" s="500">
        <v>1230</v>
      </c>
      <c r="H22" s="44">
        <v>0.25</v>
      </c>
      <c r="I22" s="45">
        <v>0.88</v>
      </c>
      <c r="J22" s="82">
        <f t="shared" ref="J22" si="57">E22*G22*(1-H22)*1440/1000000*2.74</f>
        <v>50.957424000000003</v>
      </c>
      <c r="K22" s="82">
        <f t="shared" ref="K22" si="58">(IF(G22&lt;L22,L22,G22)*(1-IF(H22&lt;N22,H22,N22))*E22*O22*Q22)/100000000</f>
        <v>44.634239999999998</v>
      </c>
      <c r="L22" s="35">
        <v>1230</v>
      </c>
      <c r="M22" s="35">
        <v>922.5</v>
      </c>
      <c r="N22" s="46">
        <f t="shared" ref="N22" si="59">1-(M22/L22)</f>
        <v>0.25</v>
      </c>
      <c r="O22" s="47">
        <f>+'Trim Rwd'!H20</f>
        <v>240</v>
      </c>
      <c r="P22" s="48">
        <f t="shared" ref="P22" si="60">O22*(Q22-R22-S22)</f>
        <v>327360</v>
      </c>
      <c r="Q22" s="47">
        <v>1440</v>
      </c>
      <c r="R22" s="501">
        <v>0</v>
      </c>
      <c r="S22" s="501">
        <v>76</v>
      </c>
      <c r="T22" s="37">
        <f t="shared" ref="T22" si="61">E22*M22*O22*Q22/100000000</f>
        <v>44.634239999999998</v>
      </c>
      <c r="U22" s="37">
        <f t="shared" ref="U22" si="62">E22*M22*O22*(Q22-R22-S22)/100000000</f>
        <v>42.278543999999997</v>
      </c>
      <c r="V22" s="37">
        <f t="shared" ref="V22" si="63">E22*G22*(1-N22)*O22/100*(R22+S22)/1000000</f>
        <v>2.355696</v>
      </c>
      <c r="W22" s="37">
        <f>+'5'!K9/1000</f>
        <v>41.62</v>
      </c>
      <c r="X22" s="502">
        <f>SUM(W22:W25)/SUM(K22:K25)</f>
        <v>0.93246798870105096</v>
      </c>
      <c r="Y22" s="211">
        <v>0</v>
      </c>
      <c r="Z22" s="37">
        <f>+'5'!D7/1000</f>
        <v>0</v>
      </c>
      <c r="AA22" s="49">
        <f>SUM(U22:U25)-SUM(W22:W25)-SUM(Z22:Z25)-SUM(Y22:Y25)</f>
        <v>0.65854399999999913</v>
      </c>
      <c r="AB22" s="49">
        <f>(SUM(K22:K25)-SUM(W22:W25)-SUM(Y22:Y25)-SUM(Z22:Z25)-SUM(AC22:AC25)-SUM(V22:V25))-AA22</f>
        <v>1.7763568394002505E-15</v>
      </c>
      <c r="AC22" s="37">
        <f>K22-T22</f>
        <v>0</v>
      </c>
      <c r="AD22" s="37">
        <f>+AM22+BA22</f>
        <v>18</v>
      </c>
      <c r="AE22" s="230" t="s">
        <v>470</v>
      </c>
      <c r="AF22" s="37">
        <v>18</v>
      </c>
      <c r="AG22" s="37"/>
      <c r="AH22" s="37"/>
      <c r="AI22" s="503"/>
      <c r="AJ22" s="37"/>
      <c r="AK22" s="37"/>
      <c r="AL22" s="37"/>
      <c r="AM22" s="37">
        <f t="shared" ref="AM22:AM24" si="64">SUM(AF22:AL22)+AT22+AV22+AX22</f>
        <v>18</v>
      </c>
      <c r="AN22" s="37"/>
      <c r="AO22" s="37"/>
      <c r="AP22" s="37"/>
      <c r="AQ22" s="37"/>
      <c r="AR22" s="37">
        <f>SUM(AN22:AQ22)</f>
        <v>0</v>
      </c>
      <c r="AS22" s="37"/>
      <c r="AT22" s="37"/>
      <c r="AU22" s="37"/>
      <c r="AV22" s="37"/>
      <c r="AW22" s="37"/>
      <c r="AX22" s="37"/>
      <c r="AY22" s="37"/>
      <c r="AZ22" s="37"/>
      <c r="BA22" s="37">
        <f>+AR22+AS22+AU22+AW22+AY22+AZ22</f>
        <v>0</v>
      </c>
      <c r="BB22" s="33">
        <v>6</v>
      </c>
      <c r="BC22" s="51"/>
      <c r="BD22" s="51"/>
      <c r="BE22" s="33"/>
      <c r="BF22" s="51"/>
    </row>
    <row r="23" spans="1:58" ht="12.95" customHeight="1">
      <c r="A23" s="40"/>
      <c r="B23" s="41"/>
      <c r="C23" s="415"/>
      <c r="D23" s="41"/>
      <c r="E23" s="42"/>
      <c r="F23" s="42"/>
      <c r="G23" s="500"/>
      <c r="H23" s="44"/>
      <c r="I23" s="45"/>
      <c r="J23" s="82"/>
      <c r="K23" s="82"/>
      <c r="L23" s="35"/>
      <c r="M23" s="35"/>
      <c r="N23" s="46"/>
      <c r="O23" s="47"/>
      <c r="P23" s="48"/>
      <c r="Q23" s="47"/>
      <c r="R23" s="501"/>
      <c r="S23" s="501"/>
      <c r="T23" s="37"/>
      <c r="U23" s="37"/>
      <c r="V23" s="37"/>
      <c r="W23" s="37"/>
      <c r="X23" s="38"/>
      <c r="Y23" s="211"/>
      <c r="Z23" s="37"/>
      <c r="AA23" s="37"/>
      <c r="AB23" s="37"/>
      <c r="AC23" s="37"/>
      <c r="AD23" s="37">
        <f>+AM23+BA23</f>
        <v>4</v>
      </c>
      <c r="AE23" s="230" t="s">
        <v>406</v>
      </c>
      <c r="AF23" s="37"/>
      <c r="AG23" s="37">
        <v>4</v>
      </c>
      <c r="AH23" s="37"/>
      <c r="AI23" s="503"/>
      <c r="AJ23" s="37"/>
      <c r="AK23" s="37"/>
      <c r="AL23" s="37"/>
      <c r="AM23" s="37">
        <f t="shared" si="64"/>
        <v>4</v>
      </c>
      <c r="AN23" s="83"/>
      <c r="AO23" s="37"/>
      <c r="AP23" s="37"/>
      <c r="AQ23" s="37"/>
      <c r="AR23" s="37">
        <f t="shared" ref="AR23:AR24" si="65">SUM(AN23:AQ23)</f>
        <v>0</v>
      </c>
      <c r="AS23" s="37"/>
      <c r="AT23" s="37"/>
      <c r="AU23" s="37"/>
      <c r="AV23" s="37"/>
      <c r="AW23" s="37"/>
      <c r="AX23" s="37"/>
      <c r="AY23" s="37"/>
      <c r="AZ23" s="37"/>
      <c r="BA23" s="37">
        <f>+AR23+AS23+AU23+AW23+AY23+AZ23</f>
        <v>0</v>
      </c>
      <c r="BB23" s="50"/>
      <c r="BC23" s="51">
        <v>2</v>
      </c>
      <c r="BD23" s="51"/>
      <c r="BE23" s="50"/>
      <c r="BF23" s="51"/>
    </row>
    <row r="24" spans="1:58" ht="12.95" customHeight="1">
      <c r="A24" s="40"/>
      <c r="B24" s="41"/>
      <c r="C24" s="415"/>
      <c r="D24" s="41"/>
      <c r="E24" s="42"/>
      <c r="F24" s="42"/>
      <c r="G24" s="43"/>
      <c r="H24" s="44"/>
      <c r="I24" s="45"/>
      <c r="J24" s="82"/>
      <c r="K24" s="82"/>
      <c r="L24" s="35"/>
      <c r="M24" s="35"/>
      <c r="N24" s="46"/>
      <c r="O24" s="47"/>
      <c r="P24" s="48"/>
      <c r="Q24" s="47"/>
      <c r="R24" s="501"/>
      <c r="S24" s="501"/>
      <c r="T24" s="37"/>
      <c r="U24" s="37"/>
      <c r="V24" s="37"/>
      <c r="W24" s="37"/>
      <c r="X24" s="38"/>
      <c r="Y24" s="211"/>
      <c r="Z24" s="37"/>
      <c r="AA24" s="37"/>
      <c r="AB24" s="37"/>
      <c r="AC24" s="37"/>
      <c r="AD24" s="37">
        <f>+AM24+BA24</f>
        <v>54</v>
      </c>
      <c r="AE24" s="230" t="s">
        <v>436</v>
      </c>
      <c r="AF24" s="33"/>
      <c r="AG24" s="33"/>
      <c r="AH24" s="33">
        <v>54</v>
      </c>
      <c r="AJ24" s="37"/>
      <c r="AK24" s="37"/>
      <c r="AL24" s="37"/>
      <c r="AM24" s="37">
        <f t="shared" si="64"/>
        <v>54</v>
      </c>
      <c r="AN24" s="37"/>
      <c r="AO24" s="37"/>
      <c r="AP24" s="37"/>
      <c r="AQ24" s="37"/>
      <c r="AR24" s="37">
        <f t="shared" si="65"/>
        <v>0</v>
      </c>
      <c r="AS24" s="37"/>
      <c r="AT24" s="37"/>
      <c r="AU24" s="37"/>
      <c r="AV24" s="37"/>
      <c r="AW24" s="37"/>
      <c r="AX24" s="37"/>
      <c r="AY24" s="37"/>
      <c r="AZ24" s="37"/>
      <c r="BA24" s="37">
        <f>+AR24+AS24+AU24+AW24+AY24+AZ24</f>
        <v>0</v>
      </c>
      <c r="BB24" s="33"/>
      <c r="BC24" s="504"/>
      <c r="BD24" s="504"/>
      <c r="BE24" s="33"/>
      <c r="BF24" s="504"/>
    </row>
    <row r="25" spans="1:58" ht="12.95" customHeight="1">
      <c r="A25" s="40"/>
      <c r="B25" s="41"/>
      <c r="C25" s="415"/>
      <c r="D25" s="41"/>
      <c r="E25" s="42"/>
      <c r="F25" s="42"/>
      <c r="G25" s="43"/>
      <c r="H25" s="44"/>
      <c r="I25" s="45"/>
      <c r="J25" s="82"/>
      <c r="K25" s="82"/>
      <c r="L25" s="35"/>
      <c r="M25" s="35"/>
      <c r="N25" s="46"/>
      <c r="O25" s="47"/>
      <c r="P25" s="48"/>
      <c r="Q25" s="47"/>
      <c r="R25" s="501"/>
      <c r="S25" s="501"/>
      <c r="T25" s="37"/>
      <c r="U25" s="37"/>
      <c r="V25" s="37"/>
      <c r="W25" s="37"/>
      <c r="X25" s="38"/>
      <c r="Y25" s="211"/>
      <c r="Z25" s="37"/>
      <c r="AA25" s="37"/>
      <c r="AB25" s="37"/>
      <c r="AC25" s="37"/>
      <c r="AD25" s="37"/>
      <c r="AE25" s="230"/>
      <c r="AF25" s="33"/>
      <c r="AG25" s="33"/>
      <c r="AH25" s="33"/>
      <c r="AJ25" s="37"/>
      <c r="AK25" s="37"/>
      <c r="AL25" s="37"/>
      <c r="AM25" s="37"/>
      <c r="AN25" s="37"/>
      <c r="AO25" s="37"/>
      <c r="AP25" s="37"/>
      <c r="AQ25" s="37"/>
      <c r="AR25" s="37"/>
      <c r="AS25" s="37"/>
      <c r="AT25" s="37"/>
      <c r="AU25" s="37"/>
      <c r="AV25" s="37"/>
      <c r="AW25" s="37"/>
      <c r="AX25" s="37"/>
      <c r="AY25" s="37"/>
      <c r="AZ25" s="37"/>
      <c r="BA25" s="37"/>
      <c r="BB25" s="33"/>
      <c r="BC25" s="504"/>
      <c r="BD25" s="51"/>
      <c r="BE25" s="51"/>
      <c r="BF25" s="51"/>
    </row>
    <row r="26" spans="1:58" ht="12.75" customHeight="1">
      <c r="A26" s="40">
        <v>45906</v>
      </c>
      <c r="B26" s="41" t="s">
        <v>7</v>
      </c>
      <c r="C26" s="415">
        <f t="shared" ref="C26" si="66">(M26*E26*O26*Q26)/100000000</f>
        <v>44.634239999999998</v>
      </c>
      <c r="D26" s="41" t="s">
        <v>304</v>
      </c>
      <c r="E26" s="42">
        <v>14</v>
      </c>
      <c r="F26" s="42">
        <v>1</v>
      </c>
      <c r="G26" s="500">
        <v>1230</v>
      </c>
      <c r="H26" s="44">
        <v>0.25</v>
      </c>
      <c r="I26" s="45">
        <v>0.88</v>
      </c>
      <c r="J26" s="82">
        <f t="shared" ref="J26" si="67">E26*G26*(1-H26)*1440/1000000*2.74</f>
        <v>50.957424000000003</v>
      </c>
      <c r="K26" s="82">
        <f t="shared" ref="K26" si="68">(IF(G26&lt;L26,L26,G26)*(1-IF(H26&lt;N26,H26,N26))*E26*O26*Q26)/100000000</f>
        <v>44.634239999999998</v>
      </c>
      <c r="L26" s="35">
        <v>1230</v>
      </c>
      <c r="M26" s="35">
        <v>922.5</v>
      </c>
      <c r="N26" s="46">
        <f t="shared" ref="N26" si="69">1-(M26/L26)</f>
        <v>0.25</v>
      </c>
      <c r="O26" s="47">
        <f>+'Trim Rwd'!H22</f>
        <v>240</v>
      </c>
      <c r="P26" s="48">
        <f t="shared" ref="P26" si="70">O26*(Q26-R26-S26)</f>
        <v>212160</v>
      </c>
      <c r="Q26" s="47">
        <v>1440</v>
      </c>
      <c r="R26" s="501">
        <v>515</v>
      </c>
      <c r="S26" s="501">
        <v>41</v>
      </c>
      <c r="T26" s="37">
        <f t="shared" ref="T26" si="71">E26*M26*O26*Q26/100000000</f>
        <v>44.634239999999998</v>
      </c>
      <c r="U26" s="37">
        <f t="shared" ref="U26" si="72">E26*M26*O26*(Q26-R26-S26)/100000000</f>
        <v>27.400463999999999</v>
      </c>
      <c r="V26" s="37">
        <f t="shared" ref="V26" si="73">E26*G26*(1-N26)*O26/100*(R26+S26)/1000000</f>
        <v>17.233775999999999</v>
      </c>
      <c r="W26" s="37">
        <f>+'6'!K9/1000</f>
        <v>22.628</v>
      </c>
      <c r="X26" s="502">
        <f>SUM(W26:W29)/SUM(K26:K29)</f>
        <v>0.50696505642305101</v>
      </c>
      <c r="Y26" s="211">
        <v>0</v>
      </c>
      <c r="Z26" s="37">
        <f>+'5'!D11/1000</f>
        <v>0</v>
      </c>
      <c r="AA26" s="49">
        <f>SUM(U26:U29)-SUM(W26:W29)-SUM(Z26:Z29)-SUM(Y26:Y29)</f>
        <v>4.7724639999999994</v>
      </c>
      <c r="AB26" s="49">
        <f>(SUM(K26:K29)-SUM(W26:W29)-SUM(Y26:Y29)-SUM(Z26:Z29)-SUM(AC26:AC29)-SUM(V26:V29))-AA26</f>
        <v>0</v>
      </c>
      <c r="AC26" s="37">
        <f>K26-T26</f>
        <v>0</v>
      </c>
      <c r="AD26" s="37">
        <f>+AM26+BA26</f>
        <v>12</v>
      </c>
      <c r="AE26" s="230" t="s">
        <v>470</v>
      </c>
      <c r="AF26" s="37">
        <v>12</v>
      </c>
      <c r="AG26" s="37"/>
      <c r="AH26" s="37"/>
      <c r="AI26" s="503"/>
      <c r="AJ26" s="37"/>
      <c r="AK26" s="37"/>
      <c r="AL26" s="37"/>
      <c r="AM26" s="37">
        <f t="shared" ref="AM26:AM28" si="74">SUM(AF26:AL26)+AT26+AV26+AX26</f>
        <v>12</v>
      </c>
      <c r="AN26" s="37"/>
      <c r="AO26" s="37"/>
      <c r="AP26" s="37"/>
      <c r="AQ26" s="37"/>
      <c r="AR26" s="37">
        <f>SUM(AN26:AQ26)</f>
        <v>0</v>
      </c>
      <c r="AS26" s="37"/>
      <c r="AT26" s="37"/>
      <c r="AU26" s="37"/>
      <c r="AV26" s="37"/>
      <c r="AW26" s="37"/>
      <c r="AX26" s="37"/>
      <c r="AY26" s="37"/>
      <c r="AZ26" s="37"/>
      <c r="BA26" s="37">
        <f>+AR26+AS26+AU26+AW26+AY26+AZ26</f>
        <v>0</v>
      </c>
      <c r="BB26" s="33">
        <v>6</v>
      </c>
      <c r="BC26" s="51"/>
      <c r="BD26" s="51"/>
      <c r="BE26" s="33"/>
      <c r="BF26" s="51"/>
    </row>
    <row r="27" spans="1:58" ht="12.95" customHeight="1">
      <c r="A27" s="40"/>
      <c r="B27" s="41"/>
      <c r="C27" s="415"/>
      <c r="D27" s="41"/>
      <c r="E27" s="42"/>
      <c r="F27" s="42"/>
      <c r="G27" s="500"/>
      <c r="H27" s="44"/>
      <c r="I27" s="45"/>
      <c r="J27" s="82"/>
      <c r="K27" s="82"/>
      <c r="L27" s="35"/>
      <c r="M27" s="35"/>
      <c r="N27" s="46"/>
      <c r="O27" s="47"/>
      <c r="P27" s="48"/>
      <c r="Q27" s="47"/>
      <c r="R27" s="501"/>
      <c r="S27" s="501"/>
      <c r="T27" s="37"/>
      <c r="U27" s="37"/>
      <c r="V27" s="37"/>
      <c r="W27" s="37"/>
      <c r="X27" s="38"/>
      <c r="Y27" s="211"/>
      <c r="Z27" s="37"/>
      <c r="AA27" s="37"/>
      <c r="AB27" s="37"/>
      <c r="AC27" s="37"/>
      <c r="AD27" s="37">
        <f>+AM27+BA27</f>
        <v>0</v>
      </c>
      <c r="AE27" s="230" t="s">
        <v>432</v>
      </c>
      <c r="AF27" s="37"/>
      <c r="AG27" s="37">
        <v>0</v>
      </c>
      <c r="AH27" s="37"/>
      <c r="AI27" s="503"/>
      <c r="AJ27" s="37"/>
      <c r="AK27" s="37"/>
      <c r="AL27" s="37"/>
      <c r="AM27" s="37">
        <f t="shared" si="74"/>
        <v>0</v>
      </c>
      <c r="AN27" s="83"/>
      <c r="AO27" s="37"/>
      <c r="AP27" s="37"/>
      <c r="AQ27" s="37"/>
      <c r="AR27" s="37">
        <f t="shared" ref="AR27:AR28" si="75">SUM(AN27:AQ27)</f>
        <v>0</v>
      </c>
      <c r="AS27" s="37"/>
      <c r="AT27" s="37"/>
      <c r="AU27" s="37"/>
      <c r="AV27" s="37"/>
      <c r="AW27" s="37"/>
      <c r="AX27" s="37"/>
      <c r="AY27" s="37"/>
      <c r="AZ27" s="37"/>
      <c r="BA27" s="37">
        <f>+AR27+AS27+AU27+AW27+AY27+AZ27</f>
        <v>0</v>
      </c>
      <c r="BB27" s="50"/>
      <c r="BC27" s="51">
        <v>0</v>
      </c>
      <c r="BD27" s="51"/>
      <c r="BE27" s="50"/>
      <c r="BF27" s="51"/>
    </row>
    <row r="28" spans="1:58" ht="12.95" customHeight="1">
      <c r="A28" s="40"/>
      <c r="B28" s="41"/>
      <c r="C28" s="415"/>
      <c r="D28" s="41"/>
      <c r="E28" s="42"/>
      <c r="F28" s="42"/>
      <c r="G28" s="43"/>
      <c r="H28" s="44"/>
      <c r="I28" s="45"/>
      <c r="J28" s="82"/>
      <c r="K28" s="82"/>
      <c r="L28" s="35"/>
      <c r="M28" s="35"/>
      <c r="N28" s="46"/>
      <c r="O28" s="47"/>
      <c r="P28" s="48"/>
      <c r="Q28" s="47"/>
      <c r="R28" s="501"/>
      <c r="S28" s="501"/>
      <c r="T28" s="37"/>
      <c r="U28" s="37"/>
      <c r="V28" s="37"/>
      <c r="W28" s="37"/>
      <c r="X28" s="38"/>
      <c r="Y28" s="211"/>
      <c r="Z28" s="37"/>
      <c r="AA28" s="37"/>
      <c r="AB28" s="37"/>
      <c r="AC28" s="37"/>
      <c r="AD28" s="37">
        <f>+AM28+BA28</f>
        <v>29</v>
      </c>
      <c r="AE28" s="230" t="s">
        <v>492</v>
      </c>
      <c r="AF28" s="33"/>
      <c r="AG28" s="33"/>
      <c r="AH28" s="33">
        <v>29</v>
      </c>
      <c r="AJ28" s="37"/>
      <c r="AK28" s="37"/>
      <c r="AL28" s="37"/>
      <c r="AM28" s="37">
        <f t="shared" si="74"/>
        <v>29</v>
      </c>
      <c r="AN28" s="37"/>
      <c r="AO28" s="37"/>
      <c r="AP28" s="37"/>
      <c r="AQ28" s="37"/>
      <c r="AR28" s="37">
        <f t="shared" si="75"/>
        <v>0</v>
      </c>
      <c r="AS28" s="37"/>
      <c r="AT28" s="37"/>
      <c r="AU28" s="37"/>
      <c r="AV28" s="37"/>
      <c r="AW28" s="37"/>
      <c r="AX28" s="37"/>
      <c r="AY28" s="37"/>
      <c r="AZ28" s="37"/>
      <c r="BA28" s="37">
        <f>+AR28+AS28+AU28+AW28+AY28+AZ28</f>
        <v>0</v>
      </c>
      <c r="BB28" s="33"/>
      <c r="BC28" s="504"/>
      <c r="BD28" s="504"/>
      <c r="BE28" s="33"/>
      <c r="BF28" s="504"/>
    </row>
    <row r="29" spans="1:58" ht="12.95" customHeight="1">
      <c r="A29" s="40"/>
      <c r="B29" s="41"/>
      <c r="C29" s="415"/>
      <c r="D29" s="41"/>
      <c r="E29" s="42"/>
      <c r="F29" s="42"/>
      <c r="G29" s="43"/>
      <c r="H29" s="44"/>
      <c r="I29" s="45"/>
      <c r="J29" s="82"/>
      <c r="K29" s="82"/>
      <c r="L29" s="35"/>
      <c r="M29" s="35"/>
      <c r="N29" s="46"/>
      <c r="O29" s="47"/>
      <c r="P29" s="48"/>
      <c r="Q29" s="47"/>
      <c r="R29" s="501"/>
      <c r="S29" s="501"/>
      <c r="T29" s="37"/>
      <c r="U29" s="37"/>
      <c r="V29" s="37"/>
      <c r="W29" s="37"/>
      <c r="X29" s="38"/>
      <c r="Y29" s="211"/>
      <c r="Z29" s="37"/>
      <c r="AA29" s="37"/>
      <c r="AB29" s="37"/>
      <c r="AC29" s="37"/>
      <c r="AD29" s="37">
        <f>+AM29+BA29</f>
        <v>515</v>
      </c>
      <c r="AE29" s="230" t="s">
        <v>493</v>
      </c>
      <c r="AF29" s="33"/>
      <c r="AG29" s="33"/>
      <c r="AH29" s="33"/>
      <c r="AJ29" s="37"/>
      <c r="AK29" s="37"/>
      <c r="AL29" s="37"/>
      <c r="AM29" s="37">
        <f t="shared" ref="AM29" si="76">SUM(AF29:AL29)+AT29+AV29+AX29</f>
        <v>0</v>
      </c>
      <c r="AN29" s="37"/>
      <c r="AO29" s="37"/>
      <c r="AP29" s="37">
        <v>515</v>
      </c>
      <c r="AQ29" s="37"/>
      <c r="AR29" s="37">
        <f t="shared" ref="AR29" si="77">SUM(AN29:AQ29)</f>
        <v>515</v>
      </c>
      <c r="AS29" s="37"/>
      <c r="AT29" s="37"/>
      <c r="AU29" s="37"/>
      <c r="AV29" s="37"/>
      <c r="AW29" s="37"/>
      <c r="AX29" s="37"/>
      <c r="AY29" s="37"/>
      <c r="AZ29" s="37"/>
      <c r="BA29" s="37">
        <f>+AR29+AS29+AU29+AW29+AY29+AZ29</f>
        <v>515</v>
      </c>
      <c r="BB29" s="33"/>
      <c r="BC29" s="504"/>
      <c r="BD29" s="504"/>
      <c r="BE29" s="33"/>
      <c r="BF29" s="504"/>
    </row>
    <row r="30" spans="1:58" ht="12.95" customHeight="1">
      <c r="A30" s="40"/>
      <c r="B30" s="41"/>
      <c r="C30" s="415"/>
      <c r="D30" s="41"/>
      <c r="E30" s="42"/>
      <c r="F30" s="42"/>
      <c r="G30" s="43"/>
      <c r="H30" s="44"/>
      <c r="I30" s="45"/>
      <c r="J30" s="82"/>
      <c r="K30" s="82"/>
      <c r="L30" s="35"/>
      <c r="M30" s="35"/>
      <c r="N30" s="46"/>
      <c r="O30" s="47"/>
      <c r="P30" s="48"/>
      <c r="Q30" s="47"/>
      <c r="R30" s="501"/>
      <c r="S30" s="501"/>
      <c r="T30" s="37"/>
      <c r="U30" s="37"/>
      <c r="V30" s="37"/>
      <c r="W30" s="37"/>
      <c r="X30" s="38"/>
      <c r="Y30" s="211"/>
      <c r="Z30" s="37"/>
      <c r="AA30" s="37"/>
      <c r="AB30" s="37"/>
      <c r="AC30" s="37"/>
      <c r="AD30" s="37"/>
      <c r="AE30" s="230"/>
      <c r="AF30" s="33"/>
      <c r="AG30" s="33"/>
      <c r="AH30" s="33"/>
      <c r="AJ30" s="37"/>
      <c r="AK30" s="37"/>
      <c r="AL30" s="37"/>
      <c r="AM30" s="37"/>
      <c r="AN30" s="37"/>
      <c r="AO30" s="37"/>
      <c r="AP30" s="37"/>
      <c r="AQ30" s="37"/>
      <c r="AR30" s="37"/>
      <c r="AS30" s="37"/>
      <c r="AT30" s="37"/>
      <c r="AU30" s="37"/>
      <c r="AV30" s="37"/>
      <c r="AW30" s="37"/>
      <c r="AX30" s="37"/>
      <c r="AY30" s="37"/>
      <c r="AZ30" s="37"/>
      <c r="BA30" s="37"/>
      <c r="BB30" s="33"/>
      <c r="BC30" s="504"/>
      <c r="BD30" s="51"/>
      <c r="BE30" s="50"/>
      <c r="BF30" s="51"/>
    </row>
    <row r="31" spans="1:58" ht="12.75" customHeight="1">
      <c r="A31" s="40">
        <v>45907</v>
      </c>
      <c r="B31" s="41" t="s">
        <v>7</v>
      </c>
      <c r="C31" s="415">
        <f t="shared" ref="C31" si="78">(M31*E31*O31*Q31)/100000000</f>
        <v>7.7489999999999997</v>
      </c>
      <c r="D31" s="41" t="s">
        <v>304</v>
      </c>
      <c r="E31" s="42">
        <v>14</v>
      </c>
      <c r="F31" s="42">
        <v>1</v>
      </c>
      <c r="G31" s="500">
        <v>1230</v>
      </c>
      <c r="H31" s="44">
        <v>0.25</v>
      </c>
      <c r="I31" s="45">
        <v>0.88</v>
      </c>
      <c r="J31" s="82">
        <f t="shared" ref="J31" si="79">E31*G31*(1-H31)*1440/1000000*2.74</f>
        <v>50.957424000000003</v>
      </c>
      <c r="K31" s="82">
        <f t="shared" ref="K31" si="80">(IF(G31&lt;L31,L31,G31)*(1-IF(H31&lt;N31,H31,N31))*E31*O31*Q31)/100000000</f>
        <v>7.7489999999999997</v>
      </c>
      <c r="L31" s="35">
        <v>1230</v>
      </c>
      <c r="M31" s="35">
        <v>922.5</v>
      </c>
      <c r="N31" s="46">
        <f t="shared" ref="N31" si="81">1-(M31/L31)</f>
        <v>0.25</v>
      </c>
      <c r="O31" s="47">
        <f>+'Trim Rwd'!H24</f>
        <v>240</v>
      </c>
      <c r="P31" s="48">
        <f t="shared" ref="P31" si="82">O31*(Q31-R31-S31)</f>
        <v>57360</v>
      </c>
      <c r="Q31" s="47">
        <v>250</v>
      </c>
      <c r="R31" s="501">
        <v>0</v>
      </c>
      <c r="S31" s="501">
        <f>56-S32-S33</f>
        <v>11</v>
      </c>
      <c r="T31" s="37">
        <f t="shared" ref="T31" si="83">E31*M31*O31*Q31/100000000</f>
        <v>7.7489999999999997</v>
      </c>
      <c r="U31" s="37">
        <f t="shared" ref="U31" si="84">E31*M31*O31*(Q31-R31-S31)/100000000</f>
        <v>7.4080440000000003</v>
      </c>
      <c r="V31" s="37">
        <f t="shared" ref="V31" si="85">E31*G31*(1-N31)*O31/100*(R31+S31)/1000000</f>
        <v>0.34095599999999998</v>
      </c>
      <c r="W31" s="37">
        <f>+'7'!K9/1000</f>
        <v>10.379</v>
      </c>
      <c r="X31" s="502">
        <f>SUM(W31:W34)/SUM(K31:K34)</f>
        <v>0.82946545192385601</v>
      </c>
      <c r="Y31" s="211">
        <v>0</v>
      </c>
      <c r="Z31" s="37">
        <f>+'5'!D16/1000</f>
        <v>0</v>
      </c>
      <c r="AA31" s="49">
        <f>SUM(U31:U34)-SUM(W31:W34)-SUM(Z31:Z34)-SUM(Y31:Y34)</f>
        <v>1.9728486949171185</v>
      </c>
      <c r="AB31" s="49">
        <f>(SUM(K31:K34)-SUM(W31:W34)-SUM(Y31:Y34)-SUM(Z31:Z34)-SUM(AC31:AC34)-SUM(V31:V34))-AA31</f>
        <v>-3.8728745303873602E-2</v>
      </c>
      <c r="AC31" s="37">
        <f>K31-T31</f>
        <v>0</v>
      </c>
      <c r="AD31" s="37">
        <f>+AM31+BA31</f>
        <v>18</v>
      </c>
      <c r="AE31" s="230" t="s">
        <v>470</v>
      </c>
      <c r="AF31" s="37">
        <v>18</v>
      </c>
      <c r="AG31" s="37"/>
      <c r="AH31" s="37"/>
      <c r="AI31" s="503"/>
      <c r="AJ31" s="37"/>
      <c r="AK31" s="37"/>
      <c r="AL31" s="37"/>
      <c r="AM31" s="37">
        <f t="shared" ref="AM31:AM34" si="86">SUM(AF31:AL31)+AT31+AV31+AX31</f>
        <v>18</v>
      </c>
      <c r="AN31" s="37"/>
      <c r="AO31" s="37"/>
      <c r="AP31" s="37"/>
      <c r="AQ31" s="37"/>
      <c r="AR31" s="37">
        <f>SUM(AN31:AQ31)</f>
        <v>0</v>
      </c>
      <c r="AS31" s="37"/>
      <c r="AT31" s="37"/>
      <c r="AU31" s="37"/>
      <c r="AV31" s="37"/>
      <c r="AW31" s="37"/>
      <c r="AX31" s="37"/>
      <c r="AY31" s="37"/>
      <c r="AZ31" s="37"/>
      <c r="BA31" s="37">
        <f>+AR31+AS31+AU31+AW31+AY31+AZ31</f>
        <v>0</v>
      </c>
      <c r="BB31" s="33">
        <v>6</v>
      </c>
      <c r="BC31" s="51"/>
      <c r="BD31" s="51"/>
      <c r="BE31" s="33"/>
      <c r="BF31" s="51"/>
    </row>
    <row r="32" spans="1:58" ht="12.95" customHeight="1">
      <c r="A32" s="40"/>
      <c r="B32" s="41" t="s">
        <v>7</v>
      </c>
      <c r="C32" s="415">
        <f t="shared" ref="C32:C33" si="87">(M32*E32*O32*Q32)/100000000</f>
        <v>4.7336057999999994</v>
      </c>
      <c r="D32" s="41" t="s">
        <v>304</v>
      </c>
      <c r="E32" s="42">
        <v>12</v>
      </c>
      <c r="F32" s="42">
        <v>1</v>
      </c>
      <c r="G32" s="500">
        <v>1230</v>
      </c>
      <c r="H32" s="44">
        <v>0.23</v>
      </c>
      <c r="I32" s="45">
        <v>0.88</v>
      </c>
      <c r="J32" s="82">
        <f t="shared" ref="J32:J33" si="88">E32*G32*(1-H32)*1440/1000000*2.74</f>
        <v>44.842533120000006</v>
      </c>
      <c r="K32" s="82">
        <f t="shared" ref="K32:K33" si="89">(IF(G32&lt;L32,L32,G32)*(1-IF(H32&lt;N32,H32,N32))*E32*O32*Q32)/100000000</f>
        <v>4.7336057999999994</v>
      </c>
      <c r="L32" s="35">
        <v>1230</v>
      </c>
      <c r="M32" s="35">
        <v>947.09999999999991</v>
      </c>
      <c r="N32" s="46">
        <f t="shared" ref="N32:N33" si="90">1-(M32/L32)</f>
        <v>0.23000000000000009</v>
      </c>
      <c r="O32" s="47">
        <f>+'Trim Rwd'!H25</f>
        <v>245</v>
      </c>
      <c r="P32" s="48">
        <f t="shared" ref="P32:P33" si="91">O32*(Q32-R32-S32)</f>
        <v>40425</v>
      </c>
      <c r="Q32" s="47">
        <v>170</v>
      </c>
      <c r="R32" s="501">
        <v>0</v>
      </c>
      <c r="S32" s="501">
        <v>5</v>
      </c>
      <c r="T32" s="37">
        <f t="shared" ref="T32:T33" si="92">E32*M32*O32*Q32/100000000</f>
        <v>4.7336057999999994</v>
      </c>
      <c r="U32" s="37">
        <f t="shared" ref="U32:U33" si="93">E32*M32*O32*(Q32-R32-S32)/100000000</f>
        <v>4.5943820999999998</v>
      </c>
      <c r="V32" s="37">
        <f t="shared" ref="V32:V33" si="94">E32*G32*(1-N32)*O32/100*(R32+S32)/1000000</f>
        <v>0.13922369999999998</v>
      </c>
      <c r="W32" s="37">
        <f>+'7'!K7/1000</f>
        <v>4.2249999999999996</v>
      </c>
      <c r="X32" s="38"/>
      <c r="Y32" s="211"/>
      <c r="Z32" s="37"/>
      <c r="AA32" s="37"/>
      <c r="AB32" s="37"/>
      <c r="AC32" s="37">
        <f>K32-T32</f>
        <v>0</v>
      </c>
      <c r="AD32" s="37">
        <f>+AM32+BA32</f>
        <v>0</v>
      </c>
      <c r="AE32" s="230" t="s">
        <v>432</v>
      </c>
      <c r="AF32" s="37"/>
      <c r="AG32" s="37">
        <v>0</v>
      </c>
      <c r="AH32" s="37"/>
      <c r="AI32" s="503"/>
      <c r="AJ32" s="37"/>
      <c r="AK32" s="37"/>
      <c r="AL32" s="37"/>
      <c r="AM32" s="37">
        <f t="shared" si="86"/>
        <v>0</v>
      </c>
      <c r="AN32" s="83"/>
      <c r="AO32" s="37"/>
      <c r="AP32" s="37"/>
      <c r="AQ32" s="37"/>
      <c r="AR32" s="37">
        <f t="shared" ref="AR32:AR34" si="95">SUM(AN32:AQ32)</f>
        <v>0</v>
      </c>
      <c r="AS32" s="37"/>
      <c r="AT32" s="37"/>
      <c r="AU32" s="37"/>
      <c r="AV32" s="37"/>
      <c r="AW32" s="37"/>
      <c r="AX32" s="37"/>
      <c r="AY32" s="37"/>
      <c r="AZ32" s="37"/>
      <c r="BA32" s="37">
        <f>+AR32+AS32+AU32+AW32+AY32+AZ32</f>
        <v>0</v>
      </c>
      <c r="BB32" s="50"/>
      <c r="BC32" s="51">
        <v>0</v>
      </c>
      <c r="BD32" s="51"/>
      <c r="BE32" s="50"/>
      <c r="BF32" s="51"/>
    </row>
    <row r="33" spans="1:58" ht="12.95" customHeight="1">
      <c r="A33" s="40"/>
      <c r="B33" s="41" t="s">
        <v>494</v>
      </c>
      <c r="C33" s="415">
        <f t="shared" si="87"/>
        <v>28.84232490961325</v>
      </c>
      <c r="D33" s="41" t="s">
        <v>304</v>
      </c>
      <c r="E33" s="42">
        <v>12</v>
      </c>
      <c r="F33" s="42">
        <v>1</v>
      </c>
      <c r="G33" s="500">
        <v>1230</v>
      </c>
      <c r="H33" s="44">
        <v>0.23</v>
      </c>
      <c r="I33" s="45">
        <v>0.88</v>
      </c>
      <c r="J33" s="82">
        <f t="shared" si="88"/>
        <v>44.842533120000006</v>
      </c>
      <c r="K33" s="82">
        <f t="shared" si="89"/>
        <v>29.097185039999996</v>
      </c>
      <c r="L33" s="35">
        <v>1219.2265193370165</v>
      </c>
      <c r="M33" s="35">
        <v>938.80441988950258</v>
      </c>
      <c r="N33" s="46">
        <f t="shared" si="90"/>
        <v>0.23000000000000009</v>
      </c>
      <c r="O33" s="47">
        <f>+'Trim Rwd'!H26</f>
        <v>251</v>
      </c>
      <c r="P33" s="48">
        <f t="shared" si="91"/>
        <v>217115</v>
      </c>
      <c r="Q33" s="47">
        <f>905+115</f>
        <v>1020</v>
      </c>
      <c r="R33" s="501">
        <v>115</v>
      </c>
      <c r="S33" s="501">
        <v>40</v>
      </c>
      <c r="T33" s="37">
        <f t="shared" si="92"/>
        <v>28.84232490961325</v>
      </c>
      <c r="U33" s="37">
        <f t="shared" si="93"/>
        <v>24.459422594917122</v>
      </c>
      <c r="V33" s="37">
        <f t="shared" si="94"/>
        <v>4.4216310599999993</v>
      </c>
      <c r="W33" s="37">
        <f>+'7'!K10/1000</f>
        <v>19.885000000000002</v>
      </c>
      <c r="X33" s="38"/>
      <c r="Y33" s="211"/>
      <c r="Z33" s="37"/>
      <c r="AA33" s="37"/>
      <c r="AB33" s="37"/>
      <c r="AC33" s="37">
        <f>K33-T33</f>
        <v>0.25486013038674571</v>
      </c>
      <c r="AD33" s="37">
        <f>+AM33+BA33</f>
        <v>38</v>
      </c>
      <c r="AE33" s="230" t="s">
        <v>436</v>
      </c>
      <c r="AF33" s="33"/>
      <c r="AG33" s="33"/>
      <c r="AH33" s="33">
        <v>38</v>
      </c>
      <c r="AJ33" s="37"/>
      <c r="AK33" s="37"/>
      <c r="AL33" s="37"/>
      <c r="AM33" s="37">
        <f t="shared" si="86"/>
        <v>38</v>
      </c>
      <c r="AN33" s="37"/>
      <c r="AO33" s="37"/>
      <c r="AP33" s="37"/>
      <c r="AQ33" s="37"/>
      <c r="AR33" s="37">
        <f t="shared" si="95"/>
        <v>0</v>
      </c>
      <c r="AS33" s="37"/>
      <c r="AT33" s="37"/>
      <c r="AU33" s="37"/>
      <c r="AV33" s="37"/>
      <c r="AW33" s="37"/>
      <c r="AX33" s="37"/>
      <c r="AY33" s="37"/>
      <c r="AZ33" s="37"/>
      <c r="BA33" s="37">
        <f>+AR33+AS33+AU33+AW33+AY33+AZ33</f>
        <v>0</v>
      </c>
      <c r="BB33" s="33"/>
      <c r="BC33" s="504"/>
      <c r="BD33" s="504"/>
      <c r="BE33" s="33"/>
      <c r="BF33" s="504"/>
    </row>
    <row r="34" spans="1:58" ht="12.95" customHeight="1">
      <c r="A34" s="40"/>
      <c r="B34" s="41"/>
      <c r="C34" s="415"/>
      <c r="D34" s="41"/>
      <c r="E34" s="42"/>
      <c r="F34" s="42"/>
      <c r="G34" s="43"/>
      <c r="H34" s="44"/>
      <c r="I34" s="45"/>
      <c r="J34" s="82"/>
      <c r="K34" s="82"/>
      <c r="L34" s="35"/>
      <c r="M34" s="35"/>
      <c r="N34" s="46"/>
      <c r="O34" s="47"/>
      <c r="P34" s="48"/>
      <c r="Q34" s="47"/>
      <c r="R34" s="501"/>
      <c r="S34" s="501"/>
      <c r="T34" s="37"/>
      <c r="U34" s="37"/>
      <c r="V34" s="37"/>
      <c r="W34" s="37"/>
      <c r="X34" s="38"/>
      <c r="Y34" s="211"/>
      <c r="Z34" s="37"/>
      <c r="AA34" s="37"/>
      <c r="AB34" s="37"/>
      <c r="AC34" s="37"/>
      <c r="AD34" s="37">
        <f>+AM34+BA34</f>
        <v>115</v>
      </c>
      <c r="AE34" s="230" t="s">
        <v>495</v>
      </c>
      <c r="AF34" s="33"/>
      <c r="AG34" s="33"/>
      <c r="AH34" s="33"/>
      <c r="AJ34" s="37"/>
      <c r="AK34" s="37"/>
      <c r="AL34" s="37"/>
      <c r="AM34" s="37">
        <f t="shared" si="86"/>
        <v>0</v>
      </c>
      <c r="AN34" s="37"/>
      <c r="AO34" s="37"/>
      <c r="AP34" s="37"/>
      <c r="AQ34" s="37"/>
      <c r="AR34" s="37">
        <f t="shared" si="95"/>
        <v>0</v>
      </c>
      <c r="AS34" s="37">
        <v>115</v>
      </c>
      <c r="AT34" s="37"/>
      <c r="AU34" s="37"/>
      <c r="AV34" s="37"/>
      <c r="AW34" s="37"/>
      <c r="AX34" s="37"/>
      <c r="AY34" s="37"/>
      <c r="AZ34" s="37"/>
      <c r="BA34" s="37">
        <f>+AR34+AS34+AU34+AW34+AY34+AZ34</f>
        <v>115</v>
      </c>
      <c r="BB34" s="33"/>
      <c r="BC34" s="504"/>
      <c r="BD34" s="504"/>
      <c r="BE34" s="33"/>
      <c r="BF34" s="504"/>
    </row>
    <row r="35" spans="1:58" ht="12.95" customHeight="1">
      <c r="A35" s="40"/>
      <c r="B35" s="41"/>
      <c r="C35" s="415"/>
      <c r="D35" s="41"/>
      <c r="E35" s="42"/>
      <c r="F35" s="42"/>
      <c r="G35" s="43"/>
      <c r="H35" s="44"/>
      <c r="I35" s="45"/>
      <c r="J35" s="82"/>
      <c r="K35" s="82"/>
      <c r="L35" s="35"/>
      <c r="M35" s="35"/>
      <c r="N35" s="46"/>
      <c r="O35" s="47"/>
      <c r="P35" s="48"/>
      <c r="Q35" s="47"/>
      <c r="R35" s="501"/>
      <c r="S35" s="501"/>
      <c r="T35" s="37"/>
      <c r="U35" s="37"/>
      <c r="V35" s="37"/>
      <c r="W35" s="37"/>
      <c r="X35" s="38"/>
      <c r="Y35" s="211"/>
      <c r="Z35" s="37"/>
      <c r="AA35" s="37"/>
      <c r="AB35" s="37"/>
      <c r="AC35" s="37"/>
      <c r="AD35" s="37"/>
      <c r="AE35" s="230"/>
      <c r="AF35" s="33"/>
      <c r="AG35" s="33"/>
      <c r="AH35" s="33"/>
      <c r="AJ35" s="37"/>
      <c r="AK35" s="37"/>
      <c r="AL35" s="37"/>
      <c r="AM35" s="37"/>
      <c r="AN35" s="37"/>
      <c r="AO35" s="37"/>
      <c r="AP35" s="37"/>
      <c r="AQ35" s="37"/>
      <c r="AR35" s="37"/>
      <c r="AS35" s="37"/>
      <c r="AT35" s="37"/>
      <c r="AU35" s="37"/>
      <c r="AV35" s="37"/>
      <c r="AW35" s="37"/>
      <c r="AX35" s="37"/>
      <c r="AY35" s="37"/>
      <c r="AZ35" s="37"/>
      <c r="BA35" s="37"/>
      <c r="BB35" s="33"/>
      <c r="BC35" s="504"/>
      <c r="BD35" s="51"/>
      <c r="BE35" s="50"/>
      <c r="BF35" s="51"/>
    </row>
    <row r="36" spans="1:58" ht="12.75" customHeight="1">
      <c r="A36" s="40">
        <v>45908</v>
      </c>
      <c r="B36" s="41" t="s">
        <v>424</v>
      </c>
      <c r="C36" s="415">
        <f t="shared" ref="C36" si="96">(M36*E36*O36*Q36)/100000000</f>
        <v>40.718576342983418</v>
      </c>
      <c r="D36" s="41" t="s">
        <v>304</v>
      </c>
      <c r="E36" s="42">
        <v>12</v>
      </c>
      <c r="F36" s="42">
        <v>1</v>
      </c>
      <c r="G36" s="500">
        <v>1230</v>
      </c>
      <c r="H36" s="44">
        <v>0.23</v>
      </c>
      <c r="I36" s="45">
        <v>0.88</v>
      </c>
      <c r="J36" s="82">
        <f t="shared" ref="J36" si="97">E36*G36*(1-H36)*1440/1000000*2.74</f>
        <v>44.842533120000006</v>
      </c>
      <c r="K36" s="82">
        <f t="shared" ref="K36" si="98">(IF(G36&lt;L36,L36,G36)*(1-IF(H36&lt;N36,H36,N36))*E36*O36*Q36)/100000000</f>
        <v>41.078378879999995</v>
      </c>
      <c r="L36" s="35">
        <v>1219.2265193370165</v>
      </c>
      <c r="M36" s="35">
        <v>938.80441988950258</v>
      </c>
      <c r="N36" s="46">
        <f t="shared" ref="N36" si="99">1-(M36/L36)</f>
        <v>0.23000000000000009</v>
      </c>
      <c r="O36" s="47">
        <v>251</v>
      </c>
      <c r="P36" s="48">
        <f t="shared" ref="P36" si="100">O36*(Q36-R36-S36)</f>
        <v>0</v>
      </c>
      <c r="Q36" s="47">
        <v>1440</v>
      </c>
      <c r="R36" s="501">
        <v>1440</v>
      </c>
      <c r="S36" s="501">
        <v>0</v>
      </c>
      <c r="T36" s="37">
        <f t="shared" ref="T36" si="101">E36*M36*O36*Q36/100000000</f>
        <v>40.718576342983418</v>
      </c>
      <c r="U36" s="37">
        <f t="shared" ref="U36" si="102">E36*M36*O36*(Q36-R36-S36)/100000000</f>
        <v>0</v>
      </c>
      <c r="V36" s="37">
        <f t="shared" ref="V36" si="103">E36*G36*(1-N36)*O36/100*(R36+S36)/1000000</f>
        <v>41.078378879999995</v>
      </c>
      <c r="W36" s="37">
        <f>+'7'!K13/1000</f>
        <v>0</v>
      </c>
      <c r="X36" s="502">
        <f>SUM(W36:W39)/SUM(K36:K39)</f>
        <v>0</v>
      </c>
      <c r="Y36" s="211">
        <v>0</v>
      </c>
      <c r="Z36" s="37">
        <f>+'5'!D21/1000</f>
        <v>0</v>
      </c>
      <c r="AA36" s="49">
        <f>SUM(U36:U39)-SUM(W36:W39)-SUM(Z36:Z39)-SUM(Y36:Y39)</f>
        <v>0</v>
      </c>
      <c r="AB36" s="49">
        <f>(SUM(K36:K39)-SUM(W36:W39)-SUM(Y36:Y39)-SUM(Z36:Z39)-SUM(AC36:AC39)-SUM(V36:V39))-AA36</f>
        <v>-0.35980253701657716</v>
      </c>
      <c r="AC36" s="37">
        <f>K36-T36</f>
        <v>0.35980253701657716</v>
      </c>
      <c r="AD36" s="37">
        <f>+AM36+BA36</f>
        <v>0</v>
      </c>
      <c r="AE36" s="230" t="s">
        <v>466</v>
      </c>
      <c r="AF36" s="37">
        <v>0</v>
      </c>
      <c r="AG36" s="37"/>
      <c r="AH36" s="37"/>
      <c r="AI36" s="503"/>
      <c r="AJ36" s="37"/>
      <c r="AK36" s="37"/>
      <c r="AL36" s="37"/>
      <c r="AM36" s="37">
        <f t="shared" ref="AM36:AM39" si="104">SUM(AF36:AL36)+AT36+AV36+AX36</f>
        <v>0</v>
      </c>
      <c r="AN36" s="37"/>
      <c r="AO36" s="37"/>
      <c r="AP36" s="37"/>
      <c r="AQ36" s="37"/>
      <c r="AR36" s="37">
        <f>SUM(AN36:AQ36)</f>
        <v>0</v>
      </c>
      <c r="AS36" s="37"/>
      <c r="AT36" s="37"/>
      <c r="AU36" s="37"/>
      <c r="AV36" s="37"/>
      <c r="AW36" s="37"/>
      <c r="AX36" s="37"/>
      <c r="AY36" s="37"/>
      <c r="AZ36" s="37"/>
      <c r="BA36" s="37">
        <f>+AR36+AS36+AU36+AW36+AY36+AZ36</f>
        <v>0</v>
      </c>
      <c r="BB36" s="33">
        <v>0</v>
      </c>
      <c r="BC36" s="51"/>
      <c r="BD36" s="51"/>
      <c r="BE36" s="33"/>
      <c r="BF36" s="51"/>
    </row>
    <row r="37" spans="1:58" ht="12.95" customHeight="1">
      <c r="A37" s="40"/>
      <c r="B37" s="41"/>
      <c r="C37" s="415"/>
      <c r="D37" s="41"/>
      <c r="E37" s="42"/>
      <c r="F37" s="42"/>
      <c r="G37" s="500"/>
      <c r="H37" s="44"/>
      <c r="I37" s="45"/>
      <c r="J37" s="82"/>
      <c r="K37" s="82"/>
      <c r="L37" s="35"/>
      <c r="M37" s="35"/>
      <c r="N37" s="46"/>
      <c r="O37" s="47"/>
      <c r="P37" s="48"/>
      <c r="Q37" s="47"/>
      <c r="R37" s="501"/>
      <c r="S37" s="501"/>
      <c r="T37" s="37"/>
      <c r="U37" s="37"/>
      <c r="V37" s="37"/>
      <c r="W37" s="37"/>
      <c r="X37" s="38"/>
      <c r="Y37" s="211"/>
      <c r="Z37" s="37"/>
      <c r="AA37" s="37"/>
      <c r="AB37" s="37"/>
      <c r="AC37" s="37"/>
      <c r="AD37" s="37">
        <f>+AM37+BA37</f>
        <v>0</v>
      </c>
      <c r="AE37" s="230" t="s">
        <v>432</v>
      </c>
      <c r="AF37" s="37"/>
      <c r="AG37" s="37">
        <v>0</v>
      </c>
      <c r="AH37" s="37"/>
      <c r="AI37" s="503"/>
      <c r="AJ37" s="37"/>
      <c r="AK37" s="37"/>
      <c r="AL37" s="37"/>
      <c r="AM37" s="37">
        <f t="shared" si="104"/>
        <v>0</v>
      </c>
      <c r="AN37" s="83"/>
      <c r="AO37" s="37"/>
      <c r="AP37" s="37"/>
      <c r="AQ37" s="37"/>
      <c r="AR37" s="37">
        <f t="shared" ref="AR37:AR38" si="105">SUM(AN37:AQ37)</f>
        <v>0</v>
      </c>
      <c r="AS37" s="37"/>
      <c r="AT37" s="37"/>
      <c r="AU37" s="37"/>
      <c r="AV37" s="37"/>
      <c r="AW37" s="37"/>
      <c r="AX37" s="37"/>
      <c r="AY37" s="37"/>
      <c r="AZ37" s="37"/>
      <c r="BA37" s="37">
        <f>+AR37+AS37+AU37+AW37+AY37+AZ37</f>
        <v>0</v>
      </c>
      <c r="BB37" s="50"/>
      <c r="BC37" s="51">
        <v>0</v>
      </c>
      <c r="BD37" s="51"/>
      <c r="BE37" s="50"/>
      <c r="BF37" s="51"/>
    </row>
    <row r="38" spans="1:58" ht="12.95" customHeight="1">
      <c r="A38" s="40"/>
      <c r="B38" s="41"/>
      <c r="C38" s="415"/>
      <c r="D38" s="41"/>
      <c r="E38" s="42"/>
      <c r="F38" s="42"/>
      <c r="G38" s="43"/>
      <c r="H38" s="44"/>
      <c r="I38" s="45"/>
      <c r="J38" s="82"/>
      <c r="K38" s="82"/>
      <c r="L38" s="35"/>
      <c r="M38" s="35"/>
      <c r="N38" s="46"/>
      <c r="O38" s="47"/>
      <c r="P38" s="48"/>
      <c r="Q38" s="47"/>
      <c r="R38" s="501"/>
      <c r="S38" s="501"/>
      <c r="T38" s="37"/>
      <c r="U38" s="37"/>
      <c r="V38" s="37"/>
      <c r="W38" s="37"/>
      <c r="X38" s="38"/>
      <c r="Y38" s="211"/>
      <c r="Z38" s="37"/>
      <c r="AA38" s="37"/>
      <c r="AB38" s="37"/>
      <c r="AC38" s="37"/>
      <c r="AD38" s="37">
        <f>+AM38+BA38</f>
        <v>0</v>
      </c>
      <c r="AE38" s="230" t="s">
        <v>507</v>
      </c>
      <c r="AF38" s="33"/>
      <c r="AG38" s="33"/>
      <c r="AH38" s="33">
        <v>0</v>
      </c>
      <c r="AJ38" s="37"/>
      <c r="AK38" s="37"/>
      <c r="AL38" s="37"/>
      <c r="AM38" s="37">
        <f t="shared" si="104"/>
        <v>0</v>
      </c>
      <c r="AN38" s="37"/>
      <c r="AO38" s="37"/>
      <c r="AP38" s="37"/>
      <c r="AQ38" s="37"/>
      <c r="AR38" s="37">
        <f t="shared" si="105"/>
        <v>0</v>
      </c>
      <c r="AS38" s="37"/>
      <c r="AT38" s="37"/>
      <c r="AU38" s="37"/>
      <c r="AV38" s="37"/>
      <c r="AW38" s="37"/>
      <c r="AX38" s="37"/>
      <c r="AY38" s="37"/>
      <c r="AZ38" s="37"/>
      <c r="BA38" s="37">
        <f>+AR38+AS38+AU38+AW38+AY38+AZ38</f>
        <v>0</v>
      </c>
      <c r="BB38" s="33"/>
      <c r="BC38" s="504"/>
      <c r="BD38" s="504"/>
      <c r="BE38" s="33"/>
      <c r="BF38" s="504"/>
    </row>
    <row r="39" spans="1:58" ht="12.95" customHeight="1">
      <c r="A39" s="40"/>
      <c r="B39" s="41"/>
      <c r="C39" s="415"/>
      <c r="D39" s="41"/>
      <c r="E39" s="42"/>
      <c r="F39" s="42"/>
      <c r="G39" s="43"/>
      <c r="H39" s="44"/>
      <c r="I39" s="45"/>
      <c r="J39" s="82"/>
      <c r="K39" s="82"/>
      <c r="L39" s="35"/>
      <c r="M39" s="35"/>
      <c r="N39" s="46"/>
      <c r="O39" s="47"/>
      <c r="P39" s="48"/>
      <c r="Q39" s="47"/>
      <c r="R39" s="501"/>
      <c r="S39" s="501"/>
      <c r="T39" s="37"/>
      <c r="U39" s="37"/>
      <c r="V39" s="37"/>
      <c r="W39" s="37"/>
      <c r="X39" s="38"/>
      <c r="Y39" s="211"/>
      <c r="Z39" s="37"/>
      <c r="AA39" s="37"/>
      <c r="AB39" s="37"/>
      <c r="AC39" s="37"/>
      <c r="AD39" s="37">
        <f>+AM39+BA39</f>
        <v>1440</v>
      </c>
      <c r="AE39" s="230" t="s">
        <v>508</v>
      </c>
      <c r="AF39" s="33"/>
      <c r="AG39" s="33"/>
      <c r="AH39" s="33"/>
      <c r="AJ39" s="37"/>
      <c r="AK39" s="37"/>
      <c r="AL39" s="37"/>
      <c r="AM39" s="37">
        <f t="shared" si="104"/>
        <v>0</v>
      </c>
      <c r="AN39" s="37"/>
      <c r="AO39" s="37"/>
      <c r="AP39" s="37"/>
      <c r="AQ39" s="37"/>
      <c r="AR39" s="37">
        <f t="shared" ref="AR39" si="106">SUM(AN39:AQ39)</f>
        <v>0</v>
      </c>
      <c r="AS39" s="37">
        <v>1440</v>
      </c>
      <c r="AT39" s="37"/>
      <c r="AU39" s="37"/>
      <c r="AV39" s="37"/>
      <c r="AW39" s="37"/>
      <c r="AX39" s="37"/>
      <c r="AY39" s="37"/>
      <c r="AZ39" s="37"/>
      <c r="BA39" s="37">
        <f>+AR39+AS39+AU39+AW39+AY39+AZ39</f>
        <v>1440</v>
      </c>
      <c r="BB39" s="33"/>
      <c r="BC39" s="504"/>
      <c r="BD39" s="504"/>
      <c r="BE39" s="33"/>
      <c r="BF39" s="504"/>
    </row>
    <row r="40" spans="1:58" ht="12.75" customHeight="1">
      <c r="A40" s="40"/>
      <c r="B40" s="41"/>
      <c r="C40" s="415"/>
      <c r="D40" s="41"/>
      <c r="E40" s="42"/>
      <c r="F40" s="42"/>
      <c r="G40" s="500"/>
      <c r="H40" s="44"/>
      <c r="I40" s="45"/>
      <c r="J40" s="82"/>
      <c r="K40" s="82"/>
      <c r="L40" s="35"/>
      <c r="M40" s="35"/>
      <c r="N40" s="46"/>
      <c r="O40" s="47"/>
      <c r="P40" s="48"/>
      <c r="Q40" s="47"/>
      <c r="R40" s="501"/>
      <c r="S40" s="501"/>
      <c r="T40" s="37"/>
      <c r="U40" s="37"/>
      <c r="V40" s="37"/>
      <c r="W40" s="37"/>
      <c r="X40" s="38"/>
      <c r="Y40" s="211"/>
      <c r="Z40" s="37"/>
      <c r="AA40" s="37"/>
      <c r="AB40" s="37"/>
      <c r="AC40" s="37"/>
      <c r="AD40" s="37"/>
      <c r="AE40" s="230"/>
      <c r="AF40" s="37"/>
      <c r="AG40" s="37"/>
      <c r="AH40" s="37"/>
      <c r="AI40" s="503"/>
      <c r="AJ40" s="37"/>
      <c r="AK40" s="37"/>
      <c r="AL40" s="37"/>
      <c r="AM40" s="37"/>
      <c r="AN40" s="83"/>
      <c r="AO40" s="37"/>
      <c r="AP40" s="37"/>
      <c r="AQ40" s="37"/>
      <c r="AR40" s="37"/>
      <c r="AS40" s="37"/>
      <c r="AT40" s="37"/>
      <c r="AU40" s="37"/>
      <c r="AV40" s="37"/>
      <c r="AW40" s="37"/>
      <c r="AX40" s="37"/>
      <c r="AY40" s="37"/>
      <c r="AZ40" s="37"/>
      <c r="BA40" s="37"/>
      <c r="BB40" s="50"/>
      <c r="BC40" s="51"/>
      <c r="BD40" s="504"/>
      <c r="BE40" s="33"/>
      <c r="BF40" s="504"/>
    </row>
    <row r="41" spans="1:58" ht="12.75" customHeight="1">
      <c r="A41" s="40">
        <v>45909</v>
      </c>
      <c r="B41" s="41" t="s">
        <v>7</v>
      </c>
      <c r="C41" s="415">
        <f t="shared" ref="C41:C42" si="107">(M41*E41*O41*Q41)/100000000</f>
        <v>13.7178503847</v>
      </c>
      <c r="D41" s="41" t="s">
        <v>304</v>
      </c>
      <c r="E41" s="42">
        <v>12</v>
      </c>
      <c r="F41" s="42">
        <v>1</v>
      </c>
      <c r="G41" s="500">
        <v>1230</v>
      </c>
      <c r="H41" s="44">
        <v>0.23</v>
      </c>
      <c r="I41" s="45">
        <v>0.88</v>
      </c>
      <c r="J41" s="82">
        <f t="shared" ref="J41:J42" si="108">E41*G41*(1-H41)*1440/1000000*2.74</f>
        <v>44.842533120000006</v>
      </c>
      <c r="K41" s="82">
        <f t="shared" ref="K41:K42" si="109">(IF(G41&lt;L41,L41,G41)*(1-IF(H41&lt;N41,H41,N41))*E41*O41*Q41)/100000000</f>
        <v>15.508287055800004</v>
      </c>
      <c r="L41" s="35">
        <v>1087.9961089494163</v>
      </c>
      <c r="M41" s="35">
        <v>837.75700389105054</v>
      </c>
      <c r="N41" s="46">
        <f t="shared" ref="N41:N42" si="110">1-(M41/L41)</f>
        <v>0.22999999999999998</v>
      </c>
      <c r="O41" s="47">
        <f>+'Trim Rwd'!H30</f>
        <v>265.47500000000002</v>
      </c>
      <c r="P41" s="48">
        <f t="shared" ref="P41:P42" si="111">O41*(Q41-R41-S41)</f>
        <v>128755.37500000001</v>
      </c>
      <c r="Q41" s="47">
        <v>514</v>
      </c>
      <c r="R41" s="501">
        <v>0</v>
      </c>
      <c r="S41" s="501">
        <v>29</v>
      </c>
      <c r="T41" s="37">
        <f t="shared" ref="T41:T42" si="112">E41*M41*O41*Q41/100000000</f>
        <v>13.7178503847</v>
      </c>
      <c r="U41" s="37">
        <f t="shared" ref="U41:U42" si="113">E41*M41*O41*(Q41-R41-S41)/100000000</f>
        <v>12.943886063384243</v>
      </c>
      <c r="V41" s="37">
        <f t="shared" ref="V41:V42" si="114">E41*G41*(1-N41)*O41/100*(R41+S41)/1000000</f>
        <v>0.87498117630000016</v>
      </c>
      <c r="W41" s="37">
        <f>+'9'!K7/1000</f>
        <v>11.49</v>
      </c>
      <c r="X41" s="502">
        <f>SUM(W41:W44)/SUM(K41:K44)</f>
        <v>0.75825127882432952</v>
      </c>
      <c r="Y41" s="211">
        <v>0</v>
      </c>
      <c r="Z41" s="37">
        <f>+'5'!D26/1000</f>
        <v>0</v>
      </c>
      <c r="AA41" s="49">
        <f>SUM(U41:U44)-SUM(W41:W44)-SUM(Z41:Z44)-SUM(Y41:Y44)</f>
        <v>4.7437423108140457</v>
      </c>
      <c r="AB41" s="49">
        <f>(SUM(K41:K44)-SUM(W41:W44)-SUM(Y41:Y44)-SUM(Z41:Z44)-SUM(AC41:AC44)-SUM(V41:V44))-AA41</f>
        <v>-0.16847928241404553</v>
      </c>
      <c r="AC41" s="37">
        <f>K41-T41</f>
        <v>1.7904366711000037</v>
      </c>
      <c r="AD41" s="37">
        <f>+AM41+BA41</f>
        <v>21</v>
      </c>
      <c r="AE41" s="230" t="s">
        <v>453</v>
      </c>
      <c r="AF41" s="37">
        <v>21</v>
      </c>
      <c r="AG41" s="37"/>
      <c r="AH41" s="37"/>
      <c r="AI41" s="503"/>
      <c r="AJ41" s="37"/>
      <c r="AK41" s="37"/>
      <c r="AL41" s="37"/>
      <c r="AM41" s="37">
        <f t="shared" ref="AM41:AM43" si="115">SUM(AF41:AL41)+AT41+AV41+AX41</f>
        <v>21</v>
      </c>
      <c r="AN41" s="37"/>
      <c r="AO41" s="37"/>
      <c r="AP41" s="37"/>
      <c r="AQ41" s="37"/>
      <c r="AR41" s="37">
        <f>SUM(AN41:AQ41)</f>
        <v>0</v>
      </c>
      <c r="AS41" s="37"/>
      <c r="AT41" s="37"/>
      <c r="AU41" s="37"/>
      <c r="AV41" s="37"/>
      <c r="AW41" s="37"/>
      <c r="AX41" s="37"/>
      <c r="AY41" s="37"/>
      <c r="AZ41" s="37"/>
      <c r="BA41" s="37">
        <f>+AR41+AS41+AU41+AW41+AY41+AZ41</f>
        <v>0</v>
      </c>
      <c r="BB41" s="33">
        <v>4</v>
      </c>
      <c r="BC41" s="51"/>
      <c r="BD41" s="51"/>
      <c r="BE41" s="33"/>
      <c r="BF41" s="51"/>
    </row>
    <row r="42" spans="1:58" ht="12.95" customHeight="1">
      <c r="A42" s="40"/>
      <c r="B42" s="41" t="s">
        <v>7</v>
      </c>
      <c r="C42" s="415">
        <f t="shared" si="107"/>
        <v>27.560753219999995</v>
      </c>
      <c r="D42" s="41" t="s">
        <v>304</v>
      </c>
      <c r="E42" s="42">
        <v>13</v>
      </c>
      <c r="F42" s="42">
        <v>1</v>
      </c>
      <c r="G42" s="500">
        <v>1230</v>
      </c>
      <c r="H42" s="44">
        <v>0.22</v>
      </c>
      <c r="I42" s="45">
        <v>0.88</v>
      </c>
      <c r="J42" s="82">
        <f t="shared" si="108"/>
        <v>49.210312320000007</v>
      </c>
      <c r="K42" s="82">
        <f t="shared" si="109"/>
        <v>30.028068719999997</v>
      </c>
      <c r="L42" s="35">
        <v>1143.5961123110151</v>
      </c>
      <c r="M42" s="35">
        <v>880.56900647948157</v>
      </c>
      <c r="N42" s="46">
        <f t="shared" si="110"/>
        <v>0.22999999999999998</v>
      </c>
      <c r="O42" s="47">
        <f>+'Trim Rwd'!H32</f>
        <v>260</v>
      </c>
      <c r="P42" s="48">
        <f t="shared" si="111"/>
        <v>232960</v>
      </c>
      <c r="Q42" s="47">
        <v>926</v>
      </c>
      <c r="R42" s="501">
        <v>0</v>
      </c>
      <c r="S42" s="501">
        <v>30</v>
      </c>
      <c r="T42" s="37">
        <f t="shared" si="112"/>
        <v>27.560753219999995</v>
      </c>
      <c r="U42" s="37">
        <f t="shared" si="113"/>
        <v>26.6678562474298</v>
      </c>
      <c r="V42" s="37">
        <f t="shared" si="114"/>
        <v>0.96035940000000009</v>
      </c>
      <c r="W42" s="37">
        <f>+'9'!K8/1000</f>
        <v>23.038</v>
      </c>
      <c r="X42" s="38"/>
      <c r="Y42" s="211"/>
      <c r="Z42" s="37">
        <f>+'9'!D17/1000</f>
        <v>0.34</v>
      </c>
      <c r="AA42" s="37"/>
      <c r="AB42" s="37"/>
      <c r="AC42" s="37">
        <f>K42-T42</f>
        <v>2.4673155000000015</v>
      </c>
      <c r="AD42" s="37">
        <f>+AM42+BA42</f>
        <v>15</v>
      </c>
      <c r="AE42" s="230" t="s">
        <v>521</v>
      </c>
      <c r="AF42" s="37"/>
      <c r="AG42" s="37">
        <v>15</v>
      </c>
      <c r="AH42" s="37"/>
      <c r="AI42" s="503"/>
      <c r="AJ42" s="37"/>
      <c r="AK42" s="37"/>
      <c r="AL42" s="37"/>
      <c r="AM42" s="37">
        <f t="shared" si="115"/>
        <v>15</v>
      </c>
      <c r="AN42" s="83"/>
      <c r="AO42" s="37"/>
      <c r="AP42" s="37"/>
      <c r="AQ42" s="37"/>
      <c r="AR42" s="37">
        <f t="shared" ref="AR42:AR43" si="116">SUM(AN42:AQ42)</f>
        <v>0</v>
      </c>
      <c r="AS42" s="37"/>
      <c r="AT42" s="37"/>
      <c r="AU42" s="37"/>
      <c r="AV42" s="37"/>
      <c r="AW42" s="37"/>
      <c r="AX42" s="37"/>
      <c r="AY42" s="37"/>
      <c r="AZ42" s="37"/>
      <c r="BA42" s="37">
        <f>+AR42+AS42+AU42+AW42+AY42+AZ42</f>
        <v>0</v>
      </c>
      <c r="BB42" s="50"/>
      <c r="BC42" s="51">
        <v>13</v>
      </c>
      <c r="BD42" s="51"/>
      <c r="BE42" s="50"/>
      <c r="BF42" s="51"/>
    </row>
    <row r="43" spans="1:58" ht="12.95" customHeight="1">
      <c r="A43" s="40"/>
      <c r="B43" s="41"/>
      <c r="C43" s="415"/>
      <c r="D43" s="41"/>
      <c r="E43" s="42"/>
      <c r="F43" s="42"/>
      <c r="G43" s="43"/>
      <c r="H43" s="44"/>
      <c r="I43" s="45"/>
      <c r="J43" s="82"/>
      <c r="K43" s="82"/>
      <c r="L43" s="35"/>
      <c r="M43" s="35"/>
      <c r="N43" s="46"/>
      <c r="O43" s="47"/>
      <c r="P43" s="48"/>
      <c r="Q43" s="47"/>
      <c r="R43" s="501"/>
      <c r="S43" s="501"/>
      <c r="T43" s="37"/>
      <c r="U43" s="37"/>
      <c r="V43" s="37"/>
      <c r="W43" s="37"/>
      <c r="X43" s="38"/>
      <c r="Y43" s="211"/>
      <c r="Z43" s="37"/>
      <c r="AA43" s="37"/>
      <c r="AB43" s="37"/>
      <c r="AC43" s="37"/>
      <c r="AD43" s="37">
        <f>+AM43+BA43</f>
        <v>23</v>
      </c>
      <c r="AE43" s="230" t="s">
        <v>522</v>
      </c>
      <c r="AF43" s="33"/>
      <c r="AG43" s="33"/>
      <c r="AH43" s="33">
        <v>23</v>
      </c>
      <c r="AJ43" s="37"/>
      <c r="AK43" s="37"/>
      <c r="AL43" s="37"/>
      <c r="AM43" s="37">
        <f t="shared" si="115"/>
        <v>23</v>
      </c>
      <c r="AN43" s="37"/>
      <c r="AO43" s="37"/>
      <c r="AP43" s="37"/>
      <c r="AQ43" s="37"/>
      <c r="AR43" s="37">
        <f t="shared" si="116"/>
        <v>0</v>
      </c>
      <c r="AS43" s="37"/>
      <c r="AT43" s="37"/>
      <c r="AU43" s="37"/>
      <c r="AV43" s="37"/>
      <c r="AW43" s="37"/>
      <c r="AX43" s="37"/>
      <c r="AY43" s="37"/>
      <c r="AZ43" s="37"/>
      <c r="BA43" s="37">
        <f>+AR43+AS43+AU43+AW43+AY43+AZ43</f>
        <v>0</v>
      </c>
      <c r="BB43" s="33"/>
      <c r="BC43" s="504"/>
      <c r="BD43" s="504"/>
      <c r="BE43" s="33"/>
      <c r="BF43" s="504"/>
    </row>
    <row r="44" spans="1:58" ht="13.5" customHeight="1">
      <c r="A44" s="40"/>
      <c r="B44" s="41"/>
      <c r="C44" s="415"/>
      <c r="D44" s="41"/>
      <c r="E44" s="42"/>
      <c r="F44" s="42"/>
      <c r="G44" s="500"/>
      <c r="H44" s="44"/>
      <c r="I44" s="45"/>
      <c r="J44" s="82"/>
      <c r="K44" s="82"/>
      <c r="L44" s="35"/>
      <c r="M44" s="35"/>
      <c r="N44" s="46"/>
      <c r="O44" s="47"/>
      <c r="P44" s="48"/>
      <c r="Q44" s="47"/>
      <c r="R44" s="501"/>
      <c r="S44" s="501"/>
      <c r="T44" s="37"/>
      <c r="U44" s="37"/>
      <c r="V44" s="37"/>
      <c r="W44" s="37"/>
      <c r="X44" s="502"/>
      <c r="Y44" s="211"/>
      <c r="Z44" s="37"/>
      <c r="AA44" s="49"/>
      <c r="AB44" s="49"/>
      <c r="AC44" s="37"/>
      <c r="AD44" s="37"/>
      <c r="AE44" s="230"/>
      <c r="AF44" s="37"/>
      <c r="AG44" s="37"/>
      <c r="AH44" s="37"/>
      <c r="AI44" s="37"/>
      <c r="AJ44" s="37"/>
      <c r="AK44" s="37"/>
      <c r="AL44" s="37"/>
      <c r="AM44" s="37"/>
      <c r="AN44" s="37"/>
      <c r="AO44" s="37"/>
      <c r="AP44" s="37"/>
      <c r="AQ44" s="37"/>
      <c r="AR44" s="37"/>
      <c r="AS44" s="37"/>
      <c r="AT44" s="37"/>
      <c r="AU44" s="37"/>
      <c r="AV44" s="37"/>
      <c r="AW44" s="37"/>
      <c r="AX44" s="37"/>
      <c r="AY44" s="37"/>
      <c r="AZ44" s="37"/>
      <c r="BA44" s="37"/>
      <c r="BB44" s="33"/>
      <c r="BC44" s="51"/>
      <c r="BD44" s="51"/>
      <c r="BE44" s="33"/>
      <c r="BF44" s="51"/>
    </row>
    <row r="45" spans="1:58" ht="12.75" customHeight="1">
      <c r="A45" s="40">
        <v>45910</v>
      </c>
      <c r="B45" s="41" t="s">
        <v>7</v>
      </c>
      <c r="C45" s="415">
        <f t="shared" ref="C45:C46" si="117">(M45*E45*O45*Q45)/100000000</f>
        <v>24.415557634285712</v>
      </c>
      <c r="D45" s="41" t="s">
        <v>304</v>
      </c>
      <c r="E45" s="42">
        <v>12</v>
      </c>
      <c r="F45" s="42">
        <v>1</v>
      </c>
      <c r="G45" s="500">
        <v>1230</v>
      </c>
      <c r="H45" s="44">
        <v>0.23</v>
      </c>
      <c r="I45" s="45">
        <v>0.88</v>
      </c>
      <c r="J45" s="82">
        <f t="shared" ref="J45:J46" si="118">E45*G45*(1-H45)*1440/1000000*2.74</f>
        <v>44.842533120000006</v>
      </c>
      <c r="K45" s="82">
        <f t="shared" ref="K45:K46" si="119">(IF(G45&lt;L45,L45,G45)*(1-IF(H45&lt;N45,H45,N45))*E45*O45*Q45)/100000000</f>
        <v>24.415557634285712</v>
      </c>
      <c r="L45" s="35">
        <v>1230</v>
      </c>
      <c r="M45" s="35">
        <v>947.09999999999991</v>
      </c>
      <c r="N45" s="46">
        <f t="shared" ref="N45:N46" si="120">1-(M45/L45)</f>
        <v>0.23000000000000009</v>
      </c>
      <c r="O45" s="47">
        <f>+'Trim Rwd'!H34</f>
        <v>263.59183673469386</v>
      </c>
      <c r="P45" s="48">
        <f t="shared" ref="P45:P46" si="121">O45*(Q45-R45-S45)</f>
        <v>199539.02040816325</v>
      </c>
      <c r="Q45" s="47">
        <v>815</v>
      </c>
      <c r="R45" s="501">
        <v>0</v>
      </c>
      <c r="S45" s="501">
        <v>58</v>
      </c>
      <c r="T45" s="37">
        <f t="shared" ref="T45:T46" si="122">E45*M45*O45*Q45/100000000</f>
        <v>24.415557634285712</v>
      </c>
      <c r="U45" s="37">
        <f t="shared" ref="U45:U46" si="123">E45*M45*O45*(Q45-R45-S45)/100000000</f>
        <v>22.678008747428571</v>
      </c>
      <c r="V45" s="37">
        <f t="shared" ref="V45:V46" si="124">E45*G45*(1-N45)*O45/100*(R45+S45)/1000000</f>
        <v>1.7375488868571427</v>
      </c>
      <c r="W45" s="37">
        <f>+'10'!K7/1000</f>
        <v>23.588999999999999</v>
      </c>
      <c r="X45" s="502">
        <f>SUM(W45:W48)/SUM(K45:K48)</f>
        <v>0.85091417551168358</v>
      </c>
      <c r="Y45" s="211">
        <f>+SUM(RBP!AG3:AG4)</f>
        <v>0</v>
      </c>
      <c r="Z45" s="37">
        <f>+'10'!D7/1000</f>
        <v>6.0279999999999996</v>
      </c>
      <c r="AA45" s="49">
        <f>SUM(U45:U48)-SUM(W45:W48)-SUM(Z45:Z48)-SUM(Y45:Y48)</f>
        <v>-2.3934450025714264</v>
      </c>
      <c r="AB45" s="49">
        <f>(SUM(K45:K48)-SUM(W45:W48)-SUM(Y45:Y48)-SUM(Z45:Z48)-SUM(AC45:AC48)-SUM(V45:V48))-AA45</f>
        <v>-7.9936057773011271E-15</v>
      </c>
      <c r="AC45" s="37">
        <f>K45-T45</f>
        <v>0</v>
      </c>
      <c r="AD45" s="37">
        <f>+AM45+BA45</f>
        <v>0</v>
      </c>
      <c r="AE45" s="230" t="s">
        <v>466</v>
      </c>
      <c r="AF45" s="37">
        <v>0</v>
      </c>
      <c r="AG45" s="37"/>
      <c r="AH45" s="37"/>
      <c r="AI45" s="37"/>
      <c r="AJ45" s="37"/>
      <c r="AK45" s="37"/>
      <c r="AL45" s="37"/>
      <c r="AM45" s="37">
        <f t="shared" ref="AM45:AM47" si="125">SUM(AF45:AL45)+AT45+AV45+AX45</f>
        <v>0</v>
      </c>
      <c r="AN45" s="37"/>
      <c r="AO45" s="37"/>
      <c r="AP45" s="37"/>
      <c r="AQ45" s="37"/>
      <c r="AR45" s="37">
        <f>SUM(AN45:AQ45)</f>
        <v>0</v>
      </c>
      <c r="AS45" s="37"/>
      <c r="AT45" s="37"/>
      <c r="AU45" s="37"/>
      <c r="AV45" s="37"/>
      <c r="AW45" s="37"/>
      <c r="AX45" s="37"/>
      <c r="AY45" s="37"/>
      <c r="AZ45" s="37"/>
      <c r="BA45" s="37">
        <f>+AR45+AS45+AU45+AW45+AY45+AZ45</f>
        <v>0</v>
      </c>
      <c r="BB45" s="33">
        <v>0</v>
      </c>
      <c r="BC45" s="51"/>
      <c r="BD45" s="51"/>
      <c r="BE45" s="33"/>
      <c r="BF45" s="51"/>
    </row>
    <row r="46" spans="1:58" ht="12.95" customHeight="1">
      <c r="A46" s="40"/>
      <c r="B46" s="41" t="s">
        <v>7</v>
      </c>
      <c r="C46" s="415">
        <f t="shared" si="117"/>
        <v>19.237968749999997</v>
      </c>
      <c r="D46" s="41" t="s">
        <v>304</v>
      </c>
      <c r="E46" s="42">
        <v>12.5</v>
      </c>
      <c r="F46" s="42">
        <v>1</v>
      </c>
      <c r="G46" s="500">
        <v>1230</v>
      </c>
      <c r="H46" s="44">
        <v>0.22</v>
      </c>
      <c r="I46" s="45">
        <v>0.88</v>
      </c>
      <c r="J46" s="82">
        <f t="shared" si="118"/>
        <v>47.317608000000007</v>
      </c>
      <c r="K46" s="82">
        <f t="shared" si="119"/>
        <v>19.4878125</v>
      </c>
      <c r="L46" s="35">
        <v>1230</v>
      </c>
      <c r="M46" s="35">
        <v>947.09999999999991</v>
      </c>
      <c r="N46" s="46">
        <f t="shared" si="120"/>
        <v>0.23000000000000009</v>
      </c>
      <c r="O46" s="47">
        <f>+'Trim Rwd'!H36</f>
        <v>260</v>
      </c>
      <c r="P46" s="48">
        <f t="shared" si="121"/>
        <v>154700</v>
      </c>
      <c r="Q46" s="47">
        <v>625</v>
      </c>
      <c r="R46" s="501">
        <v>0</v>
      </c>
      <c r="S46" s="501">
        <v>30</v>
      </c>
      <c r="T46" s="37">
        <f t="shared" si="122"/>
        <v>19.237968749999997</v>
      </c>
      <c r="U46" s="37">
        <f t="shared" si="123"/>
        <v>18.314546249999999</v>
      </c>
      <c r="V46" s="37">
        <f t="shared" si="124"/>
        <v>0.92342249999999992</v>
      </c>
      <c r="W46" s="37">
        <f>+'10'!K11/1000</f>
        <v>13.769</v>
      </c>
      <c r="X46" s="38"/>
      <c r="Y46" s="211"/>
      <c r="Z46" s="37">
        <f>+'9'!D21/1000</f>
        <v>0</v>
      </c>
      <c r="AA46" s="37"/>
      <c r="AB46" s="37"/>
      <c r="AC46" s="37">
        <f>K46-T46</f>
        <v>0.24984375000000369</v>
      </c>
      <c r="AD46" s="37">
        <f>+AM46+BA46</f>
        <v>10</v>
      </c>
      <c r="AE46" s="230" t="s">
        <v>412</v>
      </c>
      <c r="AF46" s="37"/>
      <c r="AG46" s="37">
        <v>10</v>
      </c>
      <c r="AH46" s="37"/>
      <c r="AI46" s="37"/>
      <c r="AJ46" s="37"/>
      <c r="AK46" s="37"/>
      <c r="AL46" s="37"/>
      <c r="AM46" s="37">
        <f t="shared" si="125"/>
        <v>10</v>
      </c>
      <c r="AN46" s="83"/>
      <c r="AO46" s="37"/>
      <c r="AP46" s="37"/>
      <c r="AQ46" s="37"/>
      <c r="AR46" s="37">
        <f t="shared" ref="AR46:AR47" si="126">SUM(AN46:AQ46)</f>
        <v>0</v>
      </c>
      <c r="AS46" s="37"/>
      <c r="AT46" s="37"/>
      <c r="AU46" s="37"/>
      <c r="AV46" s="37"/>
      <c r="AW46" s="37"/>
      <c r="AX46" s="37"/>
      <c r="AY46" s="37"/>
      <c r="AZ46" s="37"/>
      <c r="BA46" s="37">
        <f>+AR46+AS46+AU46+AW46+AY46+AZ46</f>
        <v>0</v>
      </c>
      <c r="BB46" s="50"/>
      <c r="BC46" s="51">
        <v>10</v>
      </c>
      <c r="BD46" s="51"/>
      <c r="BE46" s="50"/>
      <c r="BF46" s="51"/>
    </row>
    <row r="47" spans="1:58" ht="12.95" customHeight="1">
      <c r="A47" s="40"/>
      <c r="B47" s="41"/>
      <c r="C47" s="415"/>
      <c r="D47" s="41"/>
      <c r="E47" s="42"/>
      <c r="F47" s="42"/>
      <c r="G47" s="43"/>
      <c r="H47" s="44"/>
      <c r="I47" s="45"/>
      <c r="J47" s="82"/>
      <c r="K47" s="82"/>
      <c r="L47" s="35"/>
      <c r="M47" s="35"/>
      <c r="N47" s="46"/>
      <c r="O47" s="47"/>
      <c r="P47" s="48"/>
      <c r="Q47" s="47"/>
      <c r="R47" s="501"/>
      <c r="S47" s="501"/>
      <c r="T47" s="37"/>
      <c r="U47" s="37"/>
      <c r="V47" s="37"/>
      <c r="W47" s="37"/>
      <c r="X47" s="38"/>
      <c r="Y47" s="211"/>
      <c r="Z47" s="37"/>
      <c r="AA47" s="37"/>
      <c r="AB47" s="37"/>
      <c r="AC47" s="37"/>
      <c r="AD47" s="37">
        <f>+AM47+BA47</f>
        <v>43</v>
      </c>
      <c r="AE47" s="230" t="s">
        <v>413</v>
      </c>
      <c r="AF47" s="33"/>
      <c r="AG47" s="33"/>
      <c r="AH47" s="33">
        <v>43</v>
      </c>
      <c r="AI47" s="33"/>
      <c r="AJ47" s="37"/>
      <c r="AK47" s="37"/>
      <c r="AL47" s="37"/>
      <c r="AM47" s="37">
        <f t="shared" si="125"/>
        <v>43</v>
      </c>
      <c r="AN47" s="37"/>
      <c r="AO47" s="37"/>
      <c r="AP47" s="37"/>
      <c r="AQ47" s="37"/>
      <c r="AR47" s="37">
        <f t="shared" si="126"/>
        <v>0</v>
      </c>
      <c r="AS47" s="37"/>
      <c r="AT47" s="37"/>
      <c r="AU47" s="37"/>
      <c r="AV47" s="37"/>
      <c r="AW47" s="37"/>
      <c r="AX47" s="37"/>
      <c r="AY47" s="37"/>
      <c r="AZ47" s="37"/>
      <c r="BA47" s="37">
        <f>+AR47+AS47+AU47+AW47+AY47+AZ47</f>
        <v>0</v>
      </c>
      <c r="BB47" s="33"/>
      <c r="BC47" s="504"/>
      <c r="BD47" s="504"/>
      <c r="BE47" s="33"/>
      <c r="BF47" s="504"/>
    </row>
    <row r="48" spans="1:58" ht="12.95" customHeight="1">
      <c r="A48" s="40"/>
      <c r="B48" s="41"/>
      <c r="C48" s="415"/>
      <c r="D48" s="41"/>
      <c r="E48" s="42"/>
      <c r="F48" s="42"/>
      <c r="G48" s="43"/>
      <c r="H48" s="44"/>
      <c r="I48" s="45"/>
      <c r="J48" s="82"/>
      <c r="K48" s="82"/>
      <c r="L48" s="35"/>
      <c r="M48" s="35"/>
      <c r="N48" s="46"/>
      <c r="O48" s="47"/>
      <c r="P48" s="48"/>
      <c r="Q48" s="47"/>
      <c r="R48" s="501"/>
      <c r="S48" s="501"/>
      <c r="T48" s="37"/>
      <c r="U48" s="37"/>
      <c r="V48" s="37"/>
      <c r="W48" s="37"/>
      <c r="X48" s="38"/>
      <c r="Y48" s="211"/>
      <c r="Z48" s="37"/>
      <c r="AA48" s="37"/>
      <c r="AB48" s="37"/>
      <c r="AC48" s="37"/>
      <c r="AD48" s="37">
        <f>+AM48+BA48</f>
        <v>35</v>
      </c>
      <c r="AE48" s="230" t="s">
        <v>534</v>
      </c>
      <c r="AF48" s="33"/>
      <c r="AG48" s="33"/>
      <c r="AH48" s="33"/>
      <c r="AI48" s="33"/>
      <c r="AJ48" s="37"/>
      <c r="AK48" s="37">
        <v>35</v>
      </c>
      <c r="AL48" s="37"/>
      <c r="AM48" s="37">
        <f t="shared" ref="AM48" si="127">SUM(AF48:AL48)+AT48+AV48+AX48</f>
        <v>35</v>
      </c>
      <c r="AN48" s="37"/>
      <c r="AO48" s="37"/>
      <c r="AP48" s="37"/>
      <c r="AQ48" s="37"/>
      <c r="AR48" s="37">
        <f t="shared" ref="AR48" si="128">SUM(AN48:AQ48)</f>
        <v>0</v>
      </c>
      <c r="AS48" s="37"/>
      <c r="AT48" s="37"/>
      <c r="AU48" s="37"/>
      <c r="AV48" s="37"/>
      <c r="AW48" s="37"/>
      <c r="AX48" s="37"/>
      <c r="AY48" s="37"/>
      <c r="AZ48" s="37"/>
      <c r="BA48" s="37">
        <f>+AR48+AS48+AU48+AW48+AY48+AZ48</f>
        <v>0</v>
      </c>
      <c r="BB48" s="33"/>
      <c r="BC48" s="504"/>
      <c r="BD48" s="504"/>
      <c r="BE48" s="33"/>
      <c r="BF48" s="504"/>
    </row>
    <row r="49" spans="1:58" ht="12.95" customHeight="1">
      <c r="A49" s="40"/>
      <c r="B49" s="41"/>
      <c r="C49" s="415"/>
      <c r="D49" s="41"/>
      <c r="E49" s="42"/>
      <c r="F49" s="42"/>
      <c r="G49" s="43"/>
      <c r="H49" s="44"/>
      <c r="I49" s="45"/>
      <c r="J49" s="82"/>
      <c r="K49" s="82"/>
      <c r="L49" s="35"/>
      <c r="M49" s="35"/>
      <c r="N49" s="46"/>
      <c r="O49" s="47"/>
      <c r="P49" s="48"/>
      <c r="Q49" s="47"/>
      <c r="R49" s="501"/>
      <c r="S49" s="501"/>
      <c r="T49" s="37"/>
      <c r="U49" s="37"/>
      <c r="V49" s="37"/>
      <c r="W49" s="37"/>
      <c r="X49" s="38"/>
      <c r="Y49" s="211"/>
      <c r="Z49" s="37"/>
      <c r="AA49" s="37"/>
      <c r="AB49" s="37"/>
      <c r="AC49" s="37"/>
      <c r="AD49" s="37"/>
      <c r="AE49" s="230"/>
      <c r="AF49" s="37"/>
      <c r="AG49" s="37"/>
      <c r="AH49" s="37"/>
      <c r="AI49" s="37"/>
      <c r="AJ49" s="37"/>
      <c r="AK49" s="37"/>
      <c r="AL49" s="37"/>
      <c r="AM49" s="37"/>
      <c r="AN49" s="37"/>
      <c r="AO49" s="37"/>
      <c r="AP49" s="37"/>
      <c r="AQ49" s="37"/>
      <c r="AR49" s="37"/>
      <c r="AS49" s="37"/>
      <c r="AT49" s="37"/>
      <c r="AU49" s="37"/>
      <c r="AV49" s="37"/>
      <c r="AW49" s="37"/>
      <c r="AX49" s="37"/>
      <c r="AY49" s="37"/>
      <c r="AZ49" s="37"/>
      <c r="BA49" s="37"/>
      <c r="BB49" s="50"/>
      <c r="BC49" s="51"/>
      <c r="BD49" s="51"/>
      <c r="BE49" s="51"/>
      <c r="BF49" s="51"/>
    </row>
    <row r="50" spans="1:58" ht="12.75" customHeight="1">
      <c r="A50" s="40">
        <v>45911</v>
      </c>
      <c r="B50" s="41" t="s">
        <v>7</v>
      </c>
      <c r="C50" s="415">
        <f t="shared" ref="C50:C51" si="129">(M50*E50*O50*Q50)/100000000</f>
        <v>32.661854549351951</v>
      </c>
      <c r="D50" s="41" t="s">
        <v>304</v>
      </c>
      <c r="E50" s="42">
        <v>12.5</v>
      </c>
      <c r="F50" s="42">
        <v>1</v>
      </c>
      <c r="G50" s="500">
        <v>1230</v>
      </c>
      <c r="H50" s="44">
        <v>0.22</v>
      </c>
      <c r="I50" s="45">
        <v>0.88</v>
      </c>
      <c r="J50" s="82">
        <f t="shared" ref="J50:J51" si="130">E50*G50*(1-H50)*1440/1000000*2.74</f>
        <v>47.317608000000007</v>
      </c>
      <c r="K50" s="82">
        <f t="shared" ref="K50:K51" si="131">(IF(G50&lt;L50,L50,G50)*(1-IF(H50&lt;N50,H50,N50))*E50*O50*Q50)/100000000</f>
        <v>34.392091499999999</v>
      </c>
      <c r="L50" s="35">
        <v>1183.2901296111665</v>
      </c>
      <c r="M50" s="35">
        <v>911.13339980059823</v>
      </c>
      <c r="N50" s="46">
        <f t="shared" ref="N50:N51" si="132">1-(M50/L50)</f>
        <v>0.22999999999999998</v>
      </c>
      <c r="O50" s="47">
        <f>+'Trim Rwd'!H38</f>
        <v>260</v>
      </c>
      <c r="P50" s="48">
        <f t="shared" ref="P50:P51" si="133">O50*(Q50-R50-S50)</f>
        <v>250380</v>
      </c>
      <c r="Q50" s="47">
        <f>1003+100</f>
        <v>1103</v>
      </c>
      <c r="R50" s="501">
        <v>100</v>
      </c>
      <c r="S50" s="501">
        <v>40</v>
      </c>
      <c r="T50" s="37">
        <f t="shared" ref="T50:T51" si="134">E50*M50*O50*Q50/100000000</f>
        <v>32.661854549351951</v>
      </c>
      <c r="U50" s="37">
        <f t="shared" ref="U50:U51" si="135">E50*M50*O50*(Q50-R50-S50)/100000000</f>
        <v>28.516197580259227</v>
      </c>
      <c r="V50" s="37">
        <f t="shared" ref="V50:V51" si="136">E50*G50*(1-N50)*O50/100*(R50+S50)/1000000</f>
        <v>4.3093050000000002</v>
      </c>
      <c r="W50" s="37">
        <f>+'11'!K11/1000</f>
        <v>28.785</v>
      </c>
      <c r="X50" s="502">
        <f>SUM(W50:W53)/SUM(K50:K53)</f>
        <v>0.87485288103060255</v>
      </c>
      <c r="Y50" s="211">
        <f>+SUM(RBP!AG8:AG9)</f>
        <v>0</v>
      </c>
      <c r="Z50" s="37">
        <f>+'11'!D25/1000</f>
        <v>0.28499999999999998</v>
      </c>
      <c r="AA50" s="49">
        <f>SUM(U50:U53)-SUM(W50:W53)-SUM(Z50:Z53)-SUM(Y50:Y53)</f>
        <v>-0.98146494774077175</v>
      </c>
      <c r="AB50" s="49">
        <f>(SUM(K50:K53)-SUM(W50:W53)-SUM(Y50:Y53)-SUM(Z50:Z53)-SUM(AC50:AC53)-SUM(V50:V53))-AA50</f>
        <v>-0.16364803090727364</v>
      </c>
      <c r="AC50" s="37">
        <f>K50-T50</f>
        <v>1.7302369506480488</v>
      </c>
      <c r="AD50" s="37">
        <f>+AM50+BA50</f>
        <v>10</v>
      </c>
      <c r="AE50" s="230" t="s">
        <v>550</v>
      </c>
      <c r="AF50" s="37">
        <v>10</v>
      </c>
      <c r="AG50" s="37"/>
      <c r="AH50" s="37"/>
      <c r="AI50" s="37"/>
      <c r="AJ50" s="37"/>
      <c r="AK50" s="37"/>
      <c r="AL50" s="37"/>
      <c r="AM50" s="37">
        <f t="shared" ref="AM50:AM52" si="137">SUM(AF50:AL50)+AT50+AV50+AX50</f>
        <v>10</v>
      </c>
      <c r="AN50" s="37"/>
      <c r="AO50" s="37"/>
      <c r="AP50" s="37"/>
      <c r="AQ50" s="37"/>
      <c r="AR50" s="37">
        <f>SUM(AN50:AQ50)</f>
        <v>0</v>
      </c>
      <c r="AS50" s="37"/>
      <c r="AT50" s="37"/>
      <c r="AU50" s="37"/>
      <c r="AV50" s="37"/>
      <c r="AW50" s="37"/>
      <c r="AX50" s="37"/>
      <c r="AY50" s="37"/>
      <c r="AZ50" s="37"/>
      <c r="BA50" s="37">
        <f>+AR50+AS50+AU50+AW50+AY50+AZ50</f>
        <v>0</v>
      </c>
      <c r="BB50" s="33">
        <v>5</v>
      </c>
      <c r="BC50" s="51"/>
      <c r="BD50" s="51"/>
      <c r="BE50" s="33"/>
      <c r="BF50" s="51"/>
    </row>
    <row r="51" spans="1:58" ht="12.95" customHeight="1">
      <c r="A51" s="40"/>
      <c r="B51" s="41" t="s">
        <v>7</v>
      </c>
      <c r="C51" s="415">
        <f t="shared" si="129"/>
        <v>10.111391135999998</v>
      </c>
      <c r="D51" s="41" t="s">
        <v>304</v>
      </c>
      <c r="E51" s="42">
        <v>12</v>
      </c>
      <c r="F51" s="42">
        <v>1</v>
      </c>
      <c r="G51" s="500">
        <v>1230</v>
      </c>
      <c r="H51" s="44">
        <v>0.23</v>
      </c>
      <c r="I51" s="45">
        <v>0.88</v>
      </c>
      <c r="J51" s="82">
        <f t="shared" si="130"/>
        <v>44.842533120000006</v>
      </c>
      <c r="K51" s="82">
        <f t="shared" si="131"/>
        <v>10.111391135999998</v>
      </c>
      <c r="L51" s="35">
        <v>1230</v>
      </c>
      <c r="M51" s="35">
        <v>947.09999999999991</v>
      </c>
      <c r="N51" s="46">
        <f t="shared" si="132"/>
        <v>0.23000000000000009</v>
      </c>
      <c r="O51" s="47">
        <f>+'Trim Rwd'!H39</f>
        <v>264</v>
      </c>
      <c r="P51" s="48">
        <f t="shared" si="133"/>
        <v>85536</v>
      </c>
      <c r="Q51" s="47">
        <v>337</v>
      </c>
      <c r="R51" s="501">
        <v>0</v>
      </c>
      <c r="S51" s="501">
        <v>13</v>
      </c>
      <c r="T51" s="37">
        <f t="shared" si="134"/>
        <v>10.111391135999998</v>
      </c>
      <c r="U51" s="37">
        <f t="shared" si="135"/>
        <v>9.7213374720000001</v>
      </c>
      <c r="V51" s="37">
        <f t="shared" si="136"/>
        <v>0.39005366399999997</v>
      </c>
      <c r="W51" s="37">
        <f>+'11'!K7/1000</f>
        <v>10.148999999999999</v>
      </c>
      <c r="X51" s="38"/>
      <c r="Y51" s="211"/>
      <c r="Z51" s="37">
        <f>+'9'!D26/1000</f>
        <v>0</v>
      </c>
      <c r="AA51" s="37"/>
      <c r="AB51" s="37"/>
      <c r="AC51" s="37">
        <f>K51-T51</f>
        <v>0</v>
      </c>
      <c r="AD51" s="37">
        <f>+AM51+BA51</f>
        <v>0</v>
      </c>
      <c r="AE51" s="230" t="s">
        <v>432</v>
      </c>
      <c r="AF51" s="37"/>
      <c r="AG51" s="37">
        <v>0</v>
      </c>
      <c r="AH51" s="37"/>
      <c r="AI51" s="37"/>
      <c r="AJ51" s="37"/>
      <c r="AK51" s="37"/>
      <c r="AL51" s="37"/>
      <c r="AM51" s="37">
        <f t="shared" si="137"/>
        <v>0</v>
      </c>
      <c r="AN51" s="83"/>
      <c r="AO51" s="37"/>
      <c r="AP51" s="37"/>
      <c r="AQ51" s="37"/>
      <c r="AR51" s="37">
        <f t="shared" ref="AR51:AR52" si="138">SUM(AN51:AQ51)</f>
        <v>0</v>
      </c>
      <c r="AS51" s="37"/>
      <c r="AT51" s="37"/>
      <c r="AU51" s="37"/>
      <c r="AV51" s="37"/>
      <c r="AW51" s="37"/>
      <c r="AX51" s="37"/>
      <c r="AY51" s="37"/>
      <c r="AZ51" s="37"/>
      <c r="BA51" s="37">
        <f>+AR51+AS51+AU51+AW51+AY51+AZ51</f>
        <v>0</v>
      </c>
      <c r="BB51" s="50"/>
      <c r="BC51" s="51">
        <v>0</v>
      </c>
      <c r="BD51" s="51"/>
      <c r="BE51" s="50"/>
      <c r="BF51" s="51"/>
    </row>
    <row r="52" spans="1:58" ht="12.95" customHeight="1">
      <c r="A52" s="40"/>
      <c r="B52" s="41"/>
      <c r="C52" s="415"/>
      <c r="D52" s="41"/>
      <c r="E52" s="42"/>
      <c r="F52" s="42"/>
      <c r="G52" s="43"/>
      <c r="H52" s="44"/>
      <c r="I52" s="45"/>
      <c r="J52" s="82"/>
      <c r="K52" s="82"/>
      <c r="L52" s="35"/>
      <c r="M52" s="35"/>
      <c r="N52" s="46"/>
      <c r="O52" s="47"/>
      <c r="P52" s="48"/>
      <c r="Q52" s="47"/>
      <c r="R52" s="501"/>
      <c r="S52" s="501"/>
      <c r="T52" s="37"/>
      <c r="U52" s="37"/>
      <c r="V52" s="37"/>
      <c r="W52" s="37"/>
      <c r="X52" s="38"/>
      <c r="Y52" s="211"/>
      <c r="Z52" s="37"/>
      <c r="AA52" s="37"/>
      <c r="AB52" s="37"/>
      <c r="AC52" s="37"/>
      <c r="AD52" s="37">
        <f>+AM52+BA52</f>
        <v>43</v>
      </c>
      <c r="AE52" s="230" t="s">
        <v>413</v>
      </c>
      <c r="AF52" s="33"/>
      <c r="AG52" s="33"/>
      <c r="AH52" s="33">
        <v>43</v>
      </c>
      <c r="AI52" s="33"/>
      <c r="AJ52" s="37"/>
      <c r="AK52" s="37"/>
      <c r="AL52" s="37"/>
      <c r="AM52" s="37">
        <f t="shared" si="137"/>
        <v>43</v>
      </c>
      <c r="AN52" s="37"/>
      <c r="AO52" s="37"/>
      <c r="AP52" s="37"/>
      <c r="AQ52" s="37"/>
      <c r="AR52" s="37">
        <f t="shared" si="138"/>
        <v>0</v>
      </c>
      <c r="AS52" s="37"/>
      <c r="AT52" s="37"/>
      <c r="AU52" s="37"/>
      <c r="AV52" s="37"/>
      <c r="AW52" s="37"/>
      <c r="AX52" s="37"/>
      <c r="AY52" s="37"/>
      <c r="AZ52" s="37"/>
      <c r="BA52" s="37">
        <f>+AR52+AS52+AU52+AW52+AY52+AZ52</f>
        <v>0</v>
      </c>
      <c r="BB52" s="33"/>
      <c r="BC52" s="504"/>
      <c r="BD52" s="504"/>
      <c r="BE52" s="33"/>
      <c r="BF52" s="504"/>
    </row>
    <row r="53" spans="1:58" ht="12.95" customHeight="1">
      <c r="A53" s="40"/>
      <c r="B53" s="41"/>
      <c r="C53" s="415"/>
      <c r="D53" s="41"/>
      <c r="E53" s="42"/>
      <c r="F53" s="42"/>
      <c r="G53" s="43"/>
      <c r="H53" s="44"/>
      <c r="I53" s="45"/>
      <c r="J53" s="82"/>
      <c r="K53" s="82"/>
      <c r="L53" s="35"/>
      <c r="M53" s="35"/>
      <c r="N53" s="46"/>
      <c r="O53" s="47"/>
      <c r="P53" s="48"/>
      <c r="Q53" s="47"/>
      <c r="R53" s="501"/>
      <c r="S53" s="501"/>
      <c r="T53" s="37"/>
      <c r="U53" s="37"/>
      <c r="V53" s="37"/>
      <c r="W53" s="37"/>
      <c r="X53" s="38"/>
      <c r="Y53" s="211"/>
      <c r="Z53" s="37"/>
      <c r="AA53" s="37"/>
      <c r="AB53" s="37"/>
      <c r="AC53" s="37"/>
      <c r="AD53" s="37">
        <f>+AM53+BA53</f>
        <v>100</v>
      </c>
      <c r="AE53" s="230" t="s">
        <v>549</v>
      </c>
      <c r="AF53" s="33"/>
      <c r="AG53" s="33"/>
      <c r="AH53" s="33"/>
      <c r="AI53" s="33"/>
      <c r="AJ53" s="37"/>
      <c r="AK53" s="37"/>
      <c r="AL53" s="37"/>
      <c r="AM53" s="37">
        <f t="shared" ref="AM53" si="139">SUM(AF53:AL53)+AT53+AV53+AX53</f>
        <v>0</v>
      </c>
      <c r="AN53" s="37">
        <v>100</v>
      </c>
      <c r="AO53" s="37"/>
      <c r="AP53" s="37"/>
      <c r="AQ53" s="37"/>
      <c r="AR53" s="37">
        <f t="shared" ref="AR53" si="140">SUM(AN53:AQ53)</f>
        <v>100</v>
      </c>
      <c r="AS53" s="37"/>
      <c r="AT53" s="37"/>
      <c r="AU53" s="37"/>
      <c r="AV53" s="37"/>
      <c r="AW53" s="37"/>
      <c r="AX53" s="37"/>
      <c r="AY53" s="37"/>
      <c r="AZ53" s="37"/>
      <c r="BA53" s="37">
        <f>+AR53+AS53+AU53+AW53+AY53+AZ53</f>
        <v>100</v>
      </c>
      <c r="BB53" s="33"/>
      <c r="BC53" s="504"/>
      <c r="BD53" s="504"/>
      <c r="BE53" s="33"/>
      <c r="BF53" s="504"/>
    </row>
    <row r="54" spans="1:58" ht="12.95" customHeight="1">
      <c r="A54" s="40"/>
      <c r="B54" s="41"/>
      <c r="C54" s="415"/>
      <c r="D54" s="41"/>
      <c r="E54" s="42"/>
      <c r="F54" s="42"/>
      <c r="G54" s="43"/>
      <c r="H54" s="44"/>
      <c r="I54" s="45"/>
      <c r="J54" s="82"/>
      <c r="K54" s="82"/>
      <c r="L54" s="35"/>
      <c r="M54" s="35"/>
      <c r="N54" s="46"/>
      <c r="O54" s="47"/>
      <c r="P54" s="48"/>
      <c r="Q54" s="47"/>
      <c r="R54" s="501"/>
      <c r="S54" s="501"/>
      <c r="T54" s="37"/>
      <c r="U54" s="37"/>
      <c r="V54" s="37"/>
      <c r="W54" s="37"/>
      <c r="X54" s="38"/>
      <c r="Y54" s="211"/>
      <c r="Z54" s="37"/>
      <c r="AA54" s="37"/>
      <c r="AB54" s="37"/>
      <c r="AC54" s="37"/>
      <c r="AD54" s="37"/>
      <c r="AE54" s="233"/>
      <c r="AF54" s="37"/>
      <c r="AG54" s="37"/>
      <c r="AH54" s="37"/>
      <c r="AI54" s="37"/>
      <c r="AJ54" s="37"/>
      <c r="AK54" s="37"/>
      <c r="AL54" s="37"/>
      <c r="AM54" s="37"/>
      <c r="AN54" s="37"/>
      <c r="AO54" s="37"/>
      <c r="AP54" s="37"/>
      <c r="AQ54" s="37"/>
      <c r="AR54" s="37"/>
      <c r="AS54" s="37"/>
      <c r="AT54" s="37"/>
      <c r="AU54" s="37"/>
      <c r="AV54" s="37"/>
      <c r="AW54" s="37"/>
      <c r="AX54" s="37"/>
      <c r="AY54" s="37"/>
      <c r="AZ54" s="37"/>
      <c r="BA54" s="37"/>
      <c r="BB54" s="33"/>
      <c r="BC54" s="51"/>
      <c r="BD54" s="51"/>
      <c r="BE54" s="51"/>
      <c r="BF54" s="51"/>
    </row>
    <row r="55" spans="1:58" ht="12.75" customHeight="1">
      <c r="A55" s="40">
        <v>45912</v>
      </c>
      <c r="B55" s="41" t="s">
        <v>7</v>
      </c>
      <c r="C55" s="415">
        <f t="shared" ref="C55" si="141">(M55*E55*O55*Q55)/100000000</f>
        <v>20.490623999999997</v>
      </c>
      <c r="D55" s="41" t="s">
        <v>304</v>
      </c>
      <c r="E55" s="42">
        <v>12</v>
      </c>
      <c r="F55" s="42">
        <v>1</v>
      </c>
      <c r="G55" s="500">
        <v>1230</v>
      </c>
      <c r="H55" s="44">
        <v>0.23</v>
      </c>
      <c r="I55" s="45">
        <v>0.88</v>
      </c>
      <c r="J55" s="82">
        <f t="shared" ref="J55" si="142">E55*G55*(1-H55)*1440/1000000*2.74</f>
        <v>44.842533120000006</v>
      </c>
      <c r="K55" s="82">
        <f t="shared" ref="K55" si="143">(IF(G55&lt;L55,L55,G55)*(1-IF(H55&lt;N55,H55,N55))*E55*O55*Q55)/100000000</f>
        <v>20.552827679999996</v>
      </c>
      <c r="L55" s="35">
        <v>1226.2773722627737</v>
      </c>
      <c r="M55" s="35">
        <v>944.23357664233561</v>
      </c>
      <c r="N55" s="46">
        <f t="shared" ref="N55" si="144">1-(M55/L55)</f>
        <v>0.23000000000000009</v>
      </c>
      <c r="O55" s="47">
        <f>+'Trim Rwd'!H41</f>
        <v>264</v>
      </c>
      <c r="P55" s="48">
        <f t="shared" ref="P55" si="145">O55*(Q55-R55-S55)</f>
        <v>169224</v>
      </c>
      <c r="Q55" s="47">
        <v>685</v>
      </c>
      <c r="R55" s="501">
        <v>0</v>
      </c>
      <c r="S55" s="501">
        <v>44</v>
      </c>
      <c r="T55" s="37">
        <f t="shared" ref="T55" si="146">E55*M55*O55*Q55/100000000</f>
        <v>20.490623999999997</v>
      </c>
      <c r="U55" s="37">
        <f t="shared" ref="U55" si="147">E55*M55*O55*(Q55-R55-S55)/100000000</f>
        <v>19.174437932846711</v>
      </c>
      <c r="V55" s="37">
        <f t="shared" ref="V55" si="148">E55*G55*(1-N55)*O55/100*(R55+S55)/1000000</f>
        <v>1.3201816319999997</v>
      </c>
      <c r="W55" s="37">
        <f>+'12'!K7/1000</f>
        <v>22.85</v>
      </c>
      <c r="X55" s="502">
        <f>SUM(W55:W58)/SUM(K55:K58)</f>
        <v>0.88333888551721618</v>
      </c>
      <c r="Y55" s="211">
        <v>0</v>
      </c>
      <c r="Z55" s="37">
        <f>+'11'!D30/1000</f>
        <v>0</v>
      </c>
      <c r="AA55" s="49">
        <f>SUM(U55:U58)-SUM(W55:W58)-SUM(Z55:Z58)-SUM(Y55:Y58)</f>
        <v>2.018622037846705</v>
      </c>
      <c r="AB55" s="49">
        <f>(SUM(K55:K58)-SUM(W55:W58)-SUM(Y55:Y58)-SUM(Z55:Z58)-SUM(AC55:AC58)-SUM(V55:V58))-AA55</f>
        <v>0.15135528015328159</v>
      </c>
      <c r="AC55" s="37">
        <f>K55-T55</f>
        <v>6.220367999999965E-2</v>
      </c>
      <c r="AD55" s="37">
        <f>+AM55+BA55</f>
        <v>33</v>
      </c>
      <c r="AE55" s="230" t="s">
        <v>561</v>
      </c>
      <c r="AF55" s="37">
        <v>33</v>
      </c>
      <c r="AG55" s="37"/>
      <c r="AH55" s="37"/>
      <c r="AI55" s="37"/>
      <c r="AJ55" s="37"/>
      <c r="AK55" s="37"/>
      <c r="AL55" s="37"/>
      <c r="AM55" s="37">
        <f t="shared" ref="AM55:AM57" si="149">SUM(AF55:AL55)+AT55+AV55+AX55</f>
        <v>33</v>
      </c>
      <c r="AN55" s="37"/>
      <c r="AO55" s="37"/>
      <c r="AP55" s="37"/>
      <c r="AQ55" s="37"/>
      <c r="AR55" s="37">
        <f>SUM(AN55:AQ55)</f>
        <v>0</v>
      </c>
      <c r="AS55" s="37"/>
      <c r="AT55" s="37"/>
      <c r="AU55" s="37"/>
      <c r="AV55" s="37"/>
      <c r="AW55" s="37"/>
      <c r="AX55" s="37"/>
      <c r="AY55" s="37"/>
      <c r="AZ55" s="37"/>
      <c r="BA55" s="37">
        <f>+AR55+AS55+AU55+AW55+AY55+AZ55</f>
        <v>0</v>
      </c>
      <c r="BB55" s="33">
        <v>4</v>
      </c>
      <c r="BC55" s="51"/>
      <c r="BD55" s="51"/>
      <c r="BE55" s="33"/>
      <c r="BF55" s="51"/>
    </row>
    <row r="56" spans="1:58" ht="12.95" customHeight="1">
      <c r="A56" s="40"/>
      <c r="B56" s="41" t="s">
        <v>7</v>
      </c>
      <c r="C56" s="415">
        <f t="shared" ref="C56:C57" si="150">(M56*E56*O56*Q56)/100000000</f>
        <v>12.432960539999998</v>
      </c>
      <c r="D56" s="41" t="s">
        <v>304</v>
      </c>
      <c r="E56" s="42">
        <v>13.5</v>
      </c>
      <c r="F56" s="42">
        <v>1</v>
      </c>
      <c r="G56" s="500">
        <v>1230</v>
      </c>
      <c r="H56" s="44">
        <v>0.22</v>
      </c>
      <c r="I56" s="45">
        <v>0.88</v>
      </c>
      <c r="J56" s="82">
        <f t="shared" ref="J56:J57" si="151">E56*G56*(1-H56)*1440/1000000*2.74</f>
        <v>51.10301664</v>
      </c>
      <c r="K56" s="82">
        <f t="shared" ref="K56:K57" si="152">(IF(G56&lt;L56,L56,G56)*(1-IF(H56&lt;N56,H56,N56))*E56*O56*Q56)/100000000</f>
        <v>12.59442756</v>
      </c>
      <c r="L56" s="35">
        <v>1230</v>
      </c>
      <c r="M56" s="35">
        <v>947.09999999999991</v>
      </c>
      <c r="N56" s="46">
        <f t="shared" ref="N56:N57" si="153">1-(M56/L56)</f>
        <v>0.23000000000000009</v>
      </c>
      <c r="O56" s="47">
        <f>+'Trim Rwd'!H42</f>
        <v>260</v>
      </c>
      <c r="P56" s="48">
        <f t="shared" ref="P56:P57" si="154">O56*(Q56-R56-S56)</f>
        <v>92040</v>
      </c>
      <c r="Q56" s="47">
        <v>374</v>
      </c>
      <c r="R56" s="501">
        <v>0</v>
      </c>
      <c r="S56" s="501">
        <v>20</v>
      </c>
      <c r="T56" s="37">
        <f t="shared" ref="T56:T57" si="155">E56*M56*O56*Q56/100000000</f>
        <v>12.432960539999998</v>
      </c>
      <c r="U56" s="37">
        <f t="shared" ref="U56:U57" si="156">E56*M56*O56*(Q56-R56-S56)/100000000</f>
        <v>11.768096339999998</v>
      </c>
      <c r="V56" s="37">
        <f t="shared" ref="V56:V57" si="157">E56*G56*(1-N56)*O56/100*(R56+S56)/1000000</f>
        <v>0.66486419999999979</v>
      </c>
      <c r="W56" s="37">
        <f>+'12'!K12/1000</f>
        <v>11.625</v>
      </c>
      <c r="X56" s="38"/>
      <c r="Y56" s="211"/>
      <c r="Z56" s="37">
        <f>+'9'!D31/1000</f>
        <v>0</v>
      </c>
      <c r="AA56" s="37"/>
      <c r="AB56" s="37"/>
      <c r="AC56" s="37">
        <f>K56-T56</f>
        <v>0.16146702000000168</v>
      </c>
      <c r="AD56" s="37">
        <f>+AM56+BA56</f>
        <v>0</v>
      </c>
      <c r="AE56" s="230" t="s">
        <v>432</v>
      </c>
      <c r="AF56" s="37"/>
      <c r="AG56" s="37">
        <v>0</v>
      </c>
      <c r="AH56" s="37"/>
      <c r="AI56" s="37"/>
      <c r="AJ56" s="37"/>
      <c r="AK56" s="37"/>
      <c r="AL56" s="37"/>
      <c r="AM56" s="37">
        <f t="shared" si="149"/>
        <v>0</v>
      </c>
      <c r="AN56" s="83"/>
      <c r="AO56" s="37"/>
      <c r="AP56" s="37"/>
      <c r="AQ56" s="37"/>
      <c r="AR56" s="37">
        <f t="shared" ref="AR56:AR57" si="158">SUM(AN56:AQ56)</f>
        <v>0</v>
      </c>
      <c r="AS56" s="37"/>
      <c r="AT56" s="37"/>
      <c r="AU56" s="37"/>
      <c r="AV56" s="37"/>
      <c r="AW56" s="37"/>
      <c r="AX56" s="37"/>
      <c r="AY56" s="37"/>
      <c r="AZ56" s="37"/>
      <c r="BA56" s="37">
        <f>+AR56+AS56+AU56+AW56+AY56+AZ56</f>
        <v>0</v>
      </c>
      <c r="BB56" s="50"/>
      <c r="BC56" s="51">
        <v>0</v>
      </c>
      <c r="BD56" s="51"/>
      <c r="BE56" s="50"/>
      <c r="BF56" s="51"/>
    </row>
    <row r="57" spans="1:58" ht="12.95" customHeight="1">
      <c r="A57" s="40"/>
      <c r="B57" s="41" t="s">
        <v>7</v>
      </c>
      <c r="C57" s="415">
        <f t="shared" si="150"/>
        <v>11.962015064999999</v>
      </c>
      <c r="D57" s="41" t="s">
        <v>304</v>
      </c>
      <c r="E57" s="42">
        <v>13</v>
      </c>
      <c r="F57" s="42">
        <v>1</v>
      </c>
      <c r="G57" s="500">
        <v>1230</v>
      </c>
      <c r="H57" s="44">
        <v>0.22</v>
      </c>
      <c r="I57" s="45">
        <v>0.88</v>
      </c>
      <c r="J57" s="82">
        <f t="shared" si="151"/>
        <v>49.210312320000007</v>
      </c>
      <c r="K57" s="82">
        <f t="shared" si="152"/>
        <v>12.117365909999998</v>
      </c>
      <c r="L57" s="35">
        <v>1230</v>
      </c>
      <c r="M57" s="35">
        <v>947.09999999999991</v>
      </c>
      <c r="N57" s="46">
        <f t="shared" si="153"/>
        <v>0.23000000000000009</v>
      </c>
      <c r="O57" s="47">
        <f>+'Trim Rwd'!H43</f>
        <v>255</v>
      </c>
      <c r="P57" s="48">
        <f t="shared" si="154"/>
        <v>92055</v>
      </c>
      <c r="Q57" s="47">
        <v>381</v>
      </c>
      <c r="R57" s="501">
        <v>0</v>
      </c>
      <c r="S57" s="501">
        <v>20</v>
      </c>
      <c r="T57" s="37">
        <f t="shared" si="155"/>
        <v>11.962015064999999</v>
      </c>
      <c r="U57" s="37">
        <f t="shared" si="156"/>
        <v>11.334087765</v>
      </c>
      <c r="V57" s="37">
        <f t="shared" si="157"/>
        <v>0.62792730000000008</v>
      </c>
      <c r="W57" s="37">
        <f>+'12'!K8/1000</f>
        <v>5.5090000000000003</v>
      </c>
      <c r="X57" s="38"/>
      <c r="Y57" s="211"/>
      <c r="Z57" s="37">
        <f>+'12'!D26/1000</f>
        <v>0.27400000000000002</v>
      </c>
      <c r="AA57" s="37"/>
      <c r="AB57" s="37"/>
      <c r="AC57" s="37"/>
      <c r="AD57" s="37">
        <f>+AM57+BA57</f>
        <v>51</v>
      </c>
      <c r="AE57" s="230" t="s">
        <v>522</v>
      </c>
      <c r="AF57" s="33"/>
      <c r="AG57" s="33"/>
      <c r="AH57" s="33">
        <v>51</v>
      </c>
      <c r="AI57" s="33"/>
      <c r="AJ57" s="37"/>
      <c r="AK57" s="37"/>
      <c r="AL57" s="37"/>
      <c r="AM57" s="37">
        <f t="shared" si="149"/>
        <v>51</v>
      </c>
      <c r="AN57" s="37"/>
      <c r="AO57" s="37"/>
      <c r="AP57" s="37"/>
      <c r="AQ57" s="37"/>
      <c r="AR57" s="37">
        <f t="shared" si="158"/>
        <v>0</v>
      </c>
      <c r="AS57" s="37"/>
      <c r="AT57" s="37"/>
      <c r="AU57" s="37"/>
      <c r="AV57" s="37"/>
      <c r="AW57" s="37"/>
      <c r="AX57" s="37"/>
      <c r="AY57" s="37"/>
      <c r="AZ57" s="37"/>
      <c r="BA57" s="37">
        <f>+AR57+AS57+AU57+AW57+AY57+AZ57</f>
        <v>0</v>
      </c>
      <c r="BB57" s="33"/>
      <c r="BC57" s="504"/>
      <c r="BD57" s="504"/>
      <c r="BE57" s="33"/>
      <c r="BF57" s="504"/>
    </row>
    <row r="58" spans="1:58" ht="12.95" customHeight="1">
      <c r="A58" s="40"/>
      <c r="B58" s="41"/>
      <c r="C58" s="415"/>
      <c r="D58" s="41"/>
      <c r="E58" s="42"/>
      <c r="F58" s="42"/>
      <c r="G58" s="43"/>
      <c r="H58" s="44"/>
      <c r="I58" s="45"/>
      <c r="J58" s="82"/>
      <c r="K58" s="82"/>
      <c r="L58" s="35"/>
      <c r="M58" s="35"/>
      <c r="N58" s="46"/>
      <c r="O58" s="47"/>
      <c r="P58" s="48"/>
      <c r="Q58" s="34"/>
      <c r="R58" s="501"/>
      <c r="S58" s="501"/>
      <c r="T58" s="37"/>
      <c r="U58" s="37"/>
      <c r="V58" s="37"/>
      <c r="W58" s="37"/>
      <c r="X58" s="38"/>
      <c r="Y58" s="211"/>
      <c r="Z58" s="37"/>
      <c r="AA58" s="37"/>
      <c r="AB58" s="37"/>
      <c r="AC58" s="37"/>
      <c r="AD58" s="37"/>
      <c r="AE58" s="233"/>
      <c r="AF58" s="37"/>
      <c r="AG58" s="37"/>
      <c r="AH58" s="37"/>
      <c r="AI58" s="503"/>
      <c r="AJ58" s="37"/>
      <c r="AK58" s="37"/>
      <c r="AL58" s="37"/>
      <c r="AM58" s="37"/>
      <c r="AN58" s="37"/>
      <c r="AO58" s="37"/>
      <c r="AP58" s="37"/>
      <c r="AQ58" s="37"/>
      <c r="AR58" s="37"/>
      <c r="AS58" s="37"/>
      <c r="AT58" s="37"/>
      <c r="AU58" s="37"/>
      <c r="AV58" s="37"/>
      <c r="AW58" s="37"/>
      <c r="AX58" s="37"/>
      <c r="AY58" s="37"/>
      <c r="AZ58" s="37"/>
      <c r="BA58" s="37"/>
      <c r="BB58" s="50"/>
      <c r="BC58" s="51"/>
      <c r="BD58" s="51"/>
      <c r="BE58" s="51"/>
      <c r="BF58" s="51"/>
    </row>
    <row r="59" spans="1:58" ht="12.75" customHeight="1">
      <c r="A59" s="40">
        <v>45913</v>
      </c>
      <c r="B59" s="41" t="s">
        <v>7</v>
      </c>
      <c r="C59" s="415">
        <f t="shared" ref="C59:C60" si="159">(M59*E59*O59*Q59)/100000000</f>
        <v>9.10494585</v>
      </c>
      <c r="D59" s="41" t="s">
        <v>304</v>
      </c>
      <c r="E59" s="42">
        <v>13</v>
      </c>
      <c r="F59" s="42">
        <v>1</v>
      </c>
      <c r="G59" s="500">
        <v>1230</v>
      </c>
      <c r="H59" s="44">
        <v>0.22</v>
      </c>
      <c r="I59" s="45">
        <v>0.88</v>
      </c>
      <c r="J59" s="82">
        <f t="shared" ref="J59:J60" si="160">E59*G59*(1-H59)*1440/1000000*2.74</f>
        <v>49.210312320000007</v>
      </c>
      <c r="K59" s="82">
        <f t="shared" ref="K59:K60" si="161">(IF(G59&lt;L59,L59,G59)*(1-IF(H59&lt;N59,H59,N59))*E59*O59*Q59)/100000000</f>
        <v>9.223191899999998</v>
      </c>
      <c r="L59" s="35">
        <v>1230</v>
      </c>
      <c r="M59" s="35">
        <v>947.09999999999991</v>
      </c>
      <c r="N59" s="46">
        <f t="shared" ref="N59:N60" si="162">1-(M59/L59)</f>
        <v>0.23000000000000009</v>
      </c>
      <c r="O59" s="47">
        <f>+'Trim Rwd'!H45</f>
        <v>255</v>
      </c>
      <c r="P59" s="48">
        <f t="shared" ref="P59:P60" si="163">O59*(Q59-R59-S59)</f>
        <v>70890</v>
      </c>
      <c r="Q59" s="47">
        <v>290</v>
      </c>
      <c r="R59" s="501">
        <v>0</v>
      </c>
      <c r="S59" s="501">
        <v>12</v>
      </c>
      <c r="T59" s="37">
        <f t="shared" ref="T59:T60" si="164">E59*M59*O59*Q59/100000000</f>
        <v>9.10494585</v>
      </c>
      <c r="U59" s="37">
        <f t="shared" ref="U59:U60" si="165">E59*M59*O59*(Q59-R59-S59)/100000000</f>
        <v>8.7281894700000002</v>
      </c>
      <c r="V59" s="37">
        <f t="shared" ref="V59:V60" si="166">E59*G59*(1-N59)*O59/100*(R59+S59)/1000000</f>
        <v>0.37675638</v>
      </c>
      <c r="W59" s="37">
        <f>+'13'!K8/1000</f>
        <v>14.430999999999999</v>
      </c>
      <c r="X59" s="502">
        <f>SUM(W59:W62)/SUM(K59:K62)</f>
        <v>0.4257918480315484</v>
      </c>
      <c r="Y59" s="211">
        <v>0</v>
      </c>
      <c r="Z59" s="37">
        <f>+'13'!D7/1000</f>
        <v>0.185</v>
      </c>
      <c r="AA59" s="49">
        <f>SUM(U59:U62)-SUM(W59:W62)-SUM(Z59:Z62)-SUM(Y59:Y62)</f>
        <v>-5.7252119699999993</v>
      </c>
      <c r="AB59" s="49">
        <f>(SUM(K59:K62)-SUM(W59:W62)-SUM(Y59:Y62)-SUM(Z59:Z62)-SUM(AC59:AC62)-SUM(V59:V62))-AA59</f>
        <v>0</v>
      </c>
      <c r="AC59" s="37">
        <f>K59-T59</f>
        <v>0.11824604999999799</v>
      </c>
      <c r="AD59" s="37">
        <f>+AM59+BA59</f>
        <v>0</v>
      </c>
      <c r="AE59" s="230" t="s">
        <v>466</v>
      </c>
      <c r="AF59" s="37">
        <v>0</v>
      </c>
      <c r="AG59" s="37"/>
      <c r="AH59" s="37"/>
      <c r="AI59" s="37"/>
      <c r="AJ59" s="37"/>
      <c r="AK59" s="37"/>
      <c r="AL59" s="37"/>
      <c r="AM59" s="37">
        <f t="shared" ref="AM59:AM61" si="167">SUM(AF59:AL59)+AT59+AV59+AX59</f>
        <v>0</v>
      </c>
      <c r="AN59" s="37"/>
      <c r="AO59" s="37"/>
      <c r="AP59" s="37"/>
      <c r="AQ59" s="37"/>
      <c r="AR59" s="37">
        <f>SUM(AN59:AQ59)</f>
        <v>0</v>
      </c>
      <c r="AS59" s="37"/>
      <c r="AT59" s="37"/>
      <c r="AU59" s="37"/>
      <c r="AV59" s="37"/>
      <c r="AW59" s="37"/>
      <c r="AX59" s="37"/>
      <c r="AY59" s="37"/>
      <c r="AZ59" s="37"/>
      <c r="BA59" s="37">
        <f>+AR59+AS59+AU59+AW59+AY59+AZ59</f>
        <v>0</v>
      </c>
      <c r="BB59" s="33">
        <v>0</v>
      </c>
      <c r="BC59" s="51"/>
      <c r="BD59" s="51"/>
      <c r="BE59" s="33"/>
      <c r="BF59" s="51"/>
    </row>
    <row r="60" spans="1:58" ht="12.95" customHeight="1">
      <c r="A60" s="40"/>
      <c r="B60" s="41" t="s">
        <v>7</v>
      </c>
      <c r="C60" s="415">
        <f t="shared" si="159"/>
        <v>34.504747199999997</v>
      </c>
      <c r="D60" s="41" t="s">
        <v>304</v>
      </c>
      <c r="E60" s="42">
        <v>12</v>
      </c>
      <c r="F60" s="42">
        <v>1</v>
      </c>
      <c r="G60" s="500">
        <v>1230</v>
      </c>
      <c r="H60" s="44">
        <v>0.23</v>
      </c>
      <c r="I60" s="45">
        <v>0.88</v>
      </c>
      <c r="J60" s="82">
        <f t="shared" si="160"/>
        <v>44.842533120000006</v>
      </c>
      <c r="K60" s="82">
        <f t="shared" si="161"/>
        <v>34.504747199999997</v>
      </c>
      <c r="L60" s="35">
        <v>1230</v>
      </c>
      <c r="M60" s="35">
        <v>947.09999999999991</v>
      </c>
      <c r="N60" s="46">
        <f t="shared" si="162"/>
        <v>0.23000000000000009</v>
      </c>
      <c r="O60" s="47">
        <f>+'Trim Rwd'!H46</f>
        <v>264</v>
      </c>
      <c r="P60" s="48">
        <f t="shared" si="163"/>
        <v>38280</v>
      </c>
      <c r="Q60" s="47">
        <f>160+990</f>
        <v>1150</v>
      </c>
      <c r="R60" s="501">
        <f>30+480+480</f>
        <v>990</v>
      </c>
      <c r="S60" s="501">
        <v>15</v>
      </c>
      <c r="T60" s="37">
        <f t="shared" si="164"/>
        <v>34.504747199999997</v>
      </c>
      <c r="U60" s="37">
        <f t="shared" si="165"/>
        <v>4.3505985599999999</v>
      </c>
      <c r="V60" s="37">
        <f t="shared" si="166"/>
        <v>30.154148639999995</v>
      </c>
      <c r="W60" s="37">
        <f>+'13'!K7/1000</f>
        <v>4.1879999999999997</v>
      </c>
      <c r="X60" s="38"/>
      <c r="Y60" s="211"/>
      <c r="Z60" s="37">
        <v>0</v>
      </c>
      <c r="AA60" s="37"/>
      <c r="AB60" s="37"/>
      <c r="AC60" s="37">
        <f>K60-T60</f>
        <v>0</v>
      </c>
      <c r="AD60" s="37">
        <f>+AM60+BA60</f>
        <v>12</v>
      </c>
      <c r="AE60" s="230" t="s">
        <v>408</v>
      </c>
      <c r="AF60" s="37"/>
      <c r="AG60" s="37">
        <v>12</v>
      </c>
      <c r="AH60" s="37"/>
      <c r="AI60" s="37"/>
      <c r="AJ60" s="37"/>
      <c r="AK60" s="37"/>
      <c r="AL60" s="37"/>
      <c r="AM60" s="37">
        <f t="shared" si="167"/>
        <v>12</v>
      </c>
      <c r="AN60" s="83"/>
      <c r="AO60" s="37"/>
      <c r="AP60" s="37"/>
      <c r="AQ60" s="37"/>
      <c r="AR60" s="37">
        <f t="shared" ref="AR60:AR61" si="168">SUM(AN60:AQ60)</f>
        <v>0</v>
      </c>
      <c r="AS60" s="37"/>
      <c r="AT60" s="37"/>
      <c r="AU60" s="37"/>
      <c r="AV60" s="37"/>
      <c r="AW60" s="37"/>
      <c r="AX60" s="37"/>
      <c r="AY60" s="37"/>
      <c r="AZ60" s="37"/>
      <c r="BA60" s="37">
        <f>+AR60+AS60+AU60+AW60+AY60+AZ60</f>
        <v>0</v>
      </c>
      <c r="BB60" s="50"/>
      <c r="BC60" s="51">
        <v>3</v>
      </c>
      <c r="BD60" s="51"/>
      <c r="BE60" s="50"/>
      <c r="BF60" s="51"/>
    </row>
    <row r="61" spans="1:58" ht="12.95" customHeight="1">
      <c r="A61" s="40"/>
      <c r="B61" s="41"/>
      <c r="C61" s="415"/>
      <c r="D61" s="41"/>
      <c r="E61" s="42"/>
      <c r="F61" s="42"/>
      <c r="G61" s="43"/>
      <c r="H61" s="44"/>
      <c r="I61" s="45"/>
      <c r="J61" s="82"/>
      <c r="K61" s="82"/>
      <c r="L61" s="35"/>
      <c r="M61" s="35"/>
      <c r="N61" s="46"/>
      <c r="O61" s="47"/>
      <c r="P61" s="48"/>
      <c r="Q61" s="47"/>
      <c r="R61" s="501"/>
      <c r="S61" s="501"/>
      <c r="T61" s="37"/>
      <c r="U61" s="37"/>
      <c r="V61" s="37"/>
      <c r="W61" s="37"/>
      <c r="X61" s="38"/>
      <c r="Y61" s="211"/>
      <c r="Z61" s="37"/>
      <c r="AA61" s="37"/>
      <c r="AB61" s="37"/>
      <c r="AC61" s="37"/>
      <c r="AD61" s="37">
        <f>+AM61+BA61</f>
        <v>15</v>
      </c>
      <c r="AE61" s="230" t="s">
        <v>386</v>
      </c>
      <c r="AF61" s="33"/>
      <c r="AG61" s="33"/>
      <c r="AH61" s="33">
        <v>15</v>
      </c>
      <c r="AI61" s="33"/>
      <c r="AJ61" s="37"/>
      <c r="AK61" s="37"/>
      <c r="AL61" s="37"/>
      <c r="AM61" s="37">
        <f t="shared" si="167"/>
        <v>15</v>
      </c>
      <c r="AN61" s="37"/>
      <c r="AO61" s="37"/>
      <c r="AP61" s="37"/>
      <c r="AQ61" s="37"/>
      <c r="AR61" s="37">
        <f t="shared" si="168"/>
        <v>0</v>
      </c>
      <c r="AS61" s="37"/>
      <c r="AT61" s="37"/>
      <c r="AU61" s="37"/>
      <c r="AV61" s="37"/>
      <c r="AW61" s="37"/>
      <c r="AX61" s="37"/>
      <c r="AY61" s="37"/>
      <c r="AZ61" s="37"/>
      <c r="BA61" s="37">
        <f>+AR61+AS61+AU61+AW61+AY61+AZ61</f>
        <v>0</v>
      </c>
      <c r="BB61" s="33"/>
      <c r="BC61" s="504"/>
      <c r="BD61" s="504"/>
      <c r="BE61" s="33"/>
      <c r="BF61" s="504"/>
    </row>
    <row r="62" spans="1:58" ht="12.95" customHeight="1">
      <c r="A62" s="40"/>
      <c r="B62" s="41"/>
      <c r="C62" s="415"/>
      <c r="D62" s="41"/>
      <c r="E62" s="42"/>
      <c r="F62" s="42"/>
      <c r="G62" s="43"/>
      <c r="H62" s="44"/>
      <c r="I62" s="45"/>
      <c r="J62" s="82"/>
      <c r="K62" s="82"/>
      <c r="L62" s="35"/>
      <c r="M62" s="35"/>
      <c r="N62" s="46"/>
      <c r="O62" s="47"/>
      <c r="P62" s="48"/>
      <c r="Q62" s="47"/>
      <c r="R62" s="501"/>
      <c r="S62" s="501"/>
      <c r="T62" s="37"/>
      <c r="U62" s="37"/>
      <c r="V62" s="37"/>
      <c r="W62" s="37"/>
      <c r="X62" s="38"/>
      <c r="Y62" s="211"/>
      <c r="Z62" s="37"/>
      <c r="AA62" s="37"/>
      <c r="AB62" s="37"/>
      <c r="AC62" s="37"/>
      <c r="AD62" s="37">
        <f>+AM62+BA62</f>
        <v>990</v>
      </c>
      <c r="AE62" s="230" t="s">
        <v>571</v>
      </c>
      <c r="AF62" s="33"/>
      <c r="AG62" s="33"/>
      <c r="AH62" s="33"/>
      <c r="AI62" s="33"/>
      <c r="AJ62" s="37"/>
      <c r="AK62" s="37"/>
      <c r="AL62" s="37"/>
      <c r="AM62" s="37">
        <f t="shared" ref="AM62" si="169">SUM(AF62:AL62)+AT62+AV62+AX62</f>
        <v>0</v>
      </c>
      <c r="AN62" s="37"/>
      <c r="AO62" s="37"/>
      <c r="AP62" s="37"/>
      <c r="AQ62" s="37"/>
      <c r="AR62" s="37">
        <f t="shared" ref="AR62" si="170">SUM(AN62:AQ62)</f>
        <v>0</v>
      </c>
      <c r="AS62" s="37"/>
      <c r="AT62" s="37"/>
      <c r="AU62" s="37">
        <v>990</v>
      </c>
      <c r="AV62" s="37"/>
      <c r="AW62" s="37"/>
      <c r="AX62" s="37"/>
      <c r="AY62" s="37"/>
      <c r="AZ62" s="37"/>
      <c r="BA62" s="37">
        <f>+AR62+AS62+AU62+AW62+AY62+AZ62</f>
        <v>990</v>
      </c>
      <c r="BB62" s="33"/>
      <c r="BC62" s="504"/>
      <c r="BD62" s="504"/>
      <c r="BE62" s="33"/>
      <c r="BF62" s="504"/>
    </row>
    <row r="63" spans="1:58" ht="12.95" customHeight="1">
      <c r="A63" s="40"/>
      <c r="B63" s="41"/>
      <c r="C63" s="415"/>
      <c r="D63" s="41"/>
      <c r="E63" s="42"/>
      <c r="F63" s="42"/>
      <c r="G63" s="43"/>
      <c r="H63" s="44"/>
      <c r="I63" s="45"/>
      <c r="J63" s="82"/>
      <c r="K63" s="82"/>
      <c r="L63" s="35"/>
      <c r="M63" s="35"/>
      <c r="N63" s="46"/>
      <c r="O63" s="47"/>
      <c r="P63" s="48"/>
      <c r="Q63" s="34"/>
      <c r="R63" s="501"/>
      <c r="S63" s="501"/>
      <c r="T63" s="37"/>
      <c r="U63" s="37"/>
      <c r="V63" s="37"/>
      <c r="W63" s="37"/>
      <c r="X63" s="38"/>
      <c r="Y63" s="211"/>
      <c r="Z63" s="37"/>
      <c r="AA63" s="37"/>
      <c r="AB63" s="37"/>
      <c r="AC63" s="37"/>
      <c r="AD63" s="37"/>
      <c r="AE63" s="233"/>
      <c r="AF63" s="37"/>
      <c r="AG63" s="37"/>
      <c r="AH63" s="37"/>
      <c r="AI63" s="503"/>
      <c r="AJ63" s="37"/>
      <c r="AK63" s="37"/>
      <c r="AL63" s="37"/>
      <c r="AM63" s="37"/>
      <c r="AN63" s="37"/>
      <c r="AO63" s="37"/>
      <c r="AP63" s="37"/>
      <c r="AQ63" s="37"/>
      <c r="AR63" s="37"/>
      <c r="AS63" s="37"/>
      <c r="AT63" s="37"/>
      <c r="AU63" s="37"/>
      <c r="AV63" s="37"/>
      <c r="AW63" s="37"/>
      <c r="AX63" s="37"/>
      <c r="AY63" s="37"/>
      <c r="AZ63" s="37"/>
      <c r="BA63" s="37"/>
      <c r="BB63" s="50"/>
      <c r="BC63" s="51"/>
      <c r="BD63" s="51"/>
      <c r="BE63" s="50"/>
      <c r="BF63" s="51"/>
    </row>
    <row r="64" spans="1:58" ht="12.75" customHeight="1">
      <c r="A64" s="40">
        <v>45914</v>
      </c>
      <c r="B64" s="41" t="s">
        <v>424</v>
      </c>
      <c r="C64" s="415">
        <f t="shared" ref="C64" si="171">(M64*E64*O64*Q64)/100000000</f>
        <v>43.20594432</v>
      </c>
      <c r="D64" s="41" t="s">
        <v>304</v>
      </c>
      <c r="E64" s="42">
        <v>12</v>
      </c>
      <c r="F64" s="42">
        <v>1</v>
      </c>
      <c r="G64" s="500">
        <v>1230</v>
      </c>
      <c r="H64" s="44">
        <v>0.23</v>
      </c>
      <c r="I64" s="45">
        <v>0.88</v>
      </c>
      <c r="J64" s="82">
        <f t="shared" ref="J64" si="172">E64*G64*(1-H64)*1440/1000000*2.74</f>
        <v>44.842533120000006</v>
      </c>
      <c r="K64" s="82">
        <f t="shared" ref="K64" si="173">(IF(G64&lt;L64,L64,G64)*(1-IF(H64&lt;N64,H64,N64))*E64*O64*Q64)/100000000</f>
        <v>43.20594432</v>
      </c>
      <c r="L64" s="35">
        <v>1230</v>
      </c>
      <c r="M64" s="35">
        <v>947.09999999999991</v>
      </c>
      <c r="N64" s="46">
        <f t="shared" ref="N64" si="174">1-(M64/L64)</f>
        <v>0.23000000000000009</v>
      </c>
      <c r="O64" s="47">
        <f>+'Trim Rwd'!H48</f>
        <v>264</v>
      </c>
      <c r="P64" s="48">
        <f t="shared" ref="P64" si="175">O64*(Q64-R64-S64)</f>
        <v>0</v>
      </c>
      <c r="Q64" s="47">
        <v>1440</v>
      </c>
      <c r="R64" s="501">
        <v>1440</v>
      </c>
      <c r="S64" s="501">
        <v>0</v>
      </c>
      <c r="T64" s="37">
        <f t="shared" ref="T64" si="176">E64*M64*O64*Q64/100000000</f>
        <v>43.20594432</v>
      </c>
      <c r="U64" s="37">
        <f t="shared" ref="U64" si="177">E64*M64*O64*(Q64-R64-S64)/100000000</f>
        <v>0</v>
      </c>
      <c r="V64" s="37">
        <f t="shared" ref="V64" si="178">E64*G64*(1-N64)*O64/100*(R64+S64)/1000000</f>
        <v>43.205944319999993</v>
      </c>
      <c r="W64" s="37">
        <v>0</v>
      </c>
      <c r="X64" s="502">
        <f>SUM(W64:W67)/SUM(K64:K67)</f>
        <v>0</v>
      </c>
      <c r="Y64" s="211">
        <f>+SUM(RBP!AG3:AG4)</f>
        <v>0</v>
      </c>
      <c r="Z64" s="37">
        <v>0</v>
      </c>
      <c r="AA64" s="49">
        <f>SUM(U64:U67)-SUM(W64:W67)-SUM(Z64:Z67)-SUM(Y64:Y67)</f>
        <v>0</v>
      </c>
      <c r="AB64" s="49">
        <f>(SUM(K64:K67)-SUM(W64:W67)-SUM(Y64:Y67)-SUM(Z64:Z67)-SUM(AC64:AC67)-SUM(V64:V67))-AA64</f>
        <v>7.1054273576010019E-15</v>
      </c>
      <c r="AC64" s="37">
        <f>K64-T64</f>
        <v>0</v>
      </c>
      <c r="AD64" s="37">
        <f>+AM64+BA64</f>
        <v>0</v>
      </c>
      <c r="AE64" s="230" t="s">
        <v>466</v>
      </c>
      <c r="AF64" s="37">
        <v>0</v>
      </c>
      <c r="AG64" s="37"/>
      <c r="AH64" s="37"/>
      <c r="AI64" s="37"/>
      <c r="AJ64" s="37"/>
      <c r="AK64" s="37"/>
      <c r="AL64" s="37"/>
      <c r="AM64" s="37">
        <f t="shared" ref="AM64:AM66" si="179">SUM(AF64:AL64)+AT64+AV64+AX64</f>
        <v>0</v>
      </c>
      <c r="AN64" s="37"/>
      <c r="AO64" s="37"/>
      <c r="AP64" s="37"/>
      <c r="AQ64" s="37"/>
      <c r="AR64" s="37">
        <f>SUM(AN64:AQ64)</f>
        <v>0</v>
      </c>
      <c r="AS64" s="37"/>
      <c r="AT64" s="37"/>
      <c r="AU64" s="37"/>
      <c r="AV64" s="37"/>
      <c r="AW64" s="37"/>
      <c r="AX64" s="37"/>
      <c r="AY64" s="37"/>
      <c r="AZ64" s="37"/>
      <c r="BA64" s="37">
        <f>+AR64+AS64+AU64+AW64+AY64+AZ64</f>
        <v>0</v>
      </c>
      <c r="BB64" s="33">
        <v>0</v>
      </c>
      <c r="BC64" s="51"/>
      <c r="BD64" s="51"/>
      <c r="BE64" s="33"/>
      <c r="BF64" s="51"/>
    </row>
    <row r="65" spans="1:58" ht="12.95" customHeight="1">
      <c r="A65" s="40"/>
      <c r="B65" s="41"/>
      <c r="C65" s="415"/>
      <c r="D65" s="41"/>
      <c r="E65" s="42"/>
      <c r="F65" s="42"/>
      <c r="G65" s="500"/>
      <c r="H65" s="44"/>
      <c r="I65" s="45"/>
      <c r="J65" s="82"/>
      <c r="K65" s="82"/>
      <c r="L65" s="35"/>
      <c r="M65" s="35"/>
      <c r="N65" s="46"/>
      <c r="O65" s="47"/>
      <c r="P65" s="48"/>
      <c r="Q65" s="47"/>
      <c r="R65" s="501"/>
      <c r="S65" s="501"/>
      <c r="T65" s="37"/>
      <c r="U65" s="37"/>
      <c r="V65" s="37"/>
      <c r="W65" s="37">
        <v>0</v>
      </c>
      <c r="X65" s="38"/>
      <c r="Y65" s="211"/>
      <c r="Z65" s="37">
        <v>0</v>
      </c>
      <c r="AA65" s="37"/>
      <c r="AB65" s="37"/>
      <c r="AC65" s="37">
        <f>K65-T65</f>
        <v>0</v>
      </c>
      <c r="AD65" s="37">
        <f>+AM65+BA65</f>
        <v>0</v>
      </c>
      <c r="AE65" s="230" t="s">
        <v>432</v>
      </c>
      <c r="AF65" s="37"/>
      <c r="AG65" s="37">
        <v>0</v>
      </c>
      <c r="AH65" s="37"/>
      <c r="AI65" s="37"/>
      <c r="AJ65" s="37"/>
      <c r="AK65" s="37"/>
      <c r="AL65" s="37"/>
      <c r="AM65" s="37">
        <f t="shared" si="179"/>
        <v>0</v>
      </c>
      <c r="AN65" s="83"/>
      <c r="AO65" s="37"/>
      <c r="AP65" s="37"/>
      <c r="AQ65" s="37"/>
      <c r="AR65" s="37">
        <f t="shared" ref="AR65:AR66" si="180">SUM(AN65:AQ65)</f>
        <v>0</v>
      </c>
      <c r="AS65" s="37"/>
      <c r="AT65" s="37"/>
      <c r="AU65" s="37"/>
      <c r="AV65" s="37"/>
      <c r="AW65" s="37"/>
      <c r="AX65" s="37"/>
      <c r="AY65" s="37"/>
      <c r="AZ65" s="37"/>
      <c r="BA65" s="37">
        <f>+AR65+AS65+AU65+AW65+AY65+AZ65</f>
        <v>0</v>
      </c>
      <c r="BB65" s="50"/>
      <c r="BC65" s="51">
        <v>0</v>
      </c>
      <c r="BD65" s="51"/>
      <c r="BE65" s="50"/>
      <c r="BF65" s="51"/>
    </row>
    <row r="66" spans="1:58" ht="12.95" customHeight="1">
      <c r="A66" s="40"/>
      <c r="B66" s="41"/>
      <c r="C66" s="415"/>
      <c r="D66" s="41"/>
      <c r="E66" s="42"/>
      <c r="F66" s="42"/>
      <c r="G66" s="43"/>
      <c r="H66" s="44"/>
      <c r="I66" s="45"/>
      <c r="J66" s="82"/>
      <c r="K66" s="82"/>
      <c r="L66" s="35"/>
      <c r="M66" s="35"/>
      <c r="N66" s="46"/>
      <c r="O66" s="47"/>
      <c r="P66" s="48"/>
      <c r="Q66" s="47"/>
      <c r="R66" s="501"/>
      <c r="S66" s="501"/>
      <c r="T66" s="37"/>
      <c r="U66" s="37"/>
      <c r="V66" s="37"/>
      <c r="W66" s="37"/>
      <c r="X66" s="38"/>
      <c r="Y66" s="211"/>
      <c r="Z66" s="37"/>
      <c r="AA66" s="37"/>
      <c r="AB66" s="37"/>
      <c r="AC66" s="37"/>
      <c r="AD66" s="37">
        <f>+AM66+BA66</f>
        <v>0</v>
      </c>
      <c r="AE66" s="230" t="s">
        <v>507</v>
      </c>
      <c r="AF66" s="33"/>
      <c r="AG66" s="33"/>
      <c r="AH66" s="33">
        <v>0</v>
      </c>
      <c r="AI66" s="33"/>
      <c r="AJ66" s="37"/>
      <c r="AK66" s="37"/>
      <c r="AL66" s="37"/>
      <c r="AM66" s="37">
        <f t="shared" si="179"/>
        <v>0</v>
      </c>
      <c r="AN66" s="37"/>
      <c r="AO66" s="37"/>
      <c r="AP66" s="37"/>
      <c r="AQ66" s="37"/>
      <c r="AR66" s="37">
        <f t="shared" si="180"/>
        <v>0</v>
      </c>
      <c r="AS66" s="37"/>
      <c r="AT66" s="37"/>
      <c r="AU66" s="37"/>
      <c r="AV66" s="37"/>
      <c r="AW66" s="37"/>
      <c r="AX66" s="37"/>
      <c r="AY66" s="37"/>
      <c r="AZ66" s="37"/>
      <c r="BA66" s="37">
        <f>+AR66+AS66+AU66+AW66+AY66+AZ66</f>
        <v>0</v>
      </c>
      <c r="BB66" s="33"/>
      <c r="BC66" s="504"/>
      <c r="BD66" s="504"/>
      <c r="BE66" s="33"/>
      <c r="BF66" s="504"/>
    </row>
    <row r="67" spans="1:58" ht="12.95" customHeight="1">
      <c r="A67" s="40"/>
      <c r="B67" s="41"/>
      <c r="C67" s="415"/>
      <c r="D67" s="41"/>
      <c r="E67" s="42"/>
      <c r="F67" s="42"/>
      <c r="G67" s="43"/>
      <c r="H67" s="44"/>
      <c r="I67" s="45"/>
      <c r="J67" s="82"/>
      <c r="K67" s="82"/>
      <c r="L67" s="35"/>
      <c r="M67" s="35"/>
      <c r="N67" s="46"/>
      <c r="O67" s="47"/>
      <c r="P67" s="48"/>
      <c r="Q67" s="47"/>
      <c r="R67" s="501"/>
      <c r="S67" s="501"/>
      <c r="T67" s="37"/>
      <c r="U67" s="37"/>
      <c r="V67" s="37"/>
      <c r="W67" s="37"/>
      <c r="X67" s="38"/>
      <c r="Y67" s="211"/>
      <c r="Z67" s="37"/>
      <c r="AA67" s="37"/>
      <c r="AB67" s="37"/>
      <c r="AC67" s="37"/>
      <c r="AD67" s="37">
        <f>+AM67+BA67</f>
        <v>1440</v>
      </c>
      <c r="AE67" s="230" t="s">
        <v>586</v>
      </c>
      <c r="AF67" s="33"/>
      <c r="AG67" s="33"/>
      <c r="AH67" s="33"/>
      <c r="AI67" s="33"/>
      <c r="AJ67" s="37"/>
      <c r="AK67" s="37"/>
      <c r="AL67" s="37"/>
      <c r="AM67" s="37">
        <f t="shared" ref="AM67" si="181">SUM(AF67:AL67)+AT67+AV67+AX67</f>
        <v>0</v>
      </c>
      <c r="AN67" s="37"/>
      <c r="AO67" s="37"/>
      <c r="AP67" s="37"/>
      <c r="AQ67" s="37"/>
      <c r="AR67" s="37">
        <f t="shared" ref="AR67" si="182">SUM(AN67:AQ67)</f>
        <v>0</v>
      </c>
      <c r="AS67" s="37"/>
      <c r="AT67" s="37"/>
      <c r="AU67" s="37">
        <v>1440</v>
      </c>
      <c r="AV67" s="37"/>
      <c r="AW67" s="37"/>
      <c r="AX67" s="37"/>
      <c r="AY67" s="37"/>
      <c r="AZ67" s="37"/>
      <c r="BA67" s="37">
        <f>+AR67+AS67+AU67+AW67+AY67+AZ67</f>
        <v>1440</v>
      </c>
      <c r="BB67" s="33"/>
      <c r="BC67" s="504"/>
      <c r="BD67" s="504"/>
      <c r="BE67" s="33"/>
      <c r="BF67" s="504"/>
    </row>
    <row r="68" spans="1:58" ht="12.95" customHeight="1">
      <c r="A68" s="40"/>
      <c r="B68" s="41"/>
      <c r="C68" s="415"/>
      <c r="D68" s="41"/>
      <c r="E68" s="42"/>
      <c r="F68" s="42"/>
      <c r="G68" s="43"/>
      <c r="H68" s="44"/>
      <c r="I68" s="45"/>
      <c r="J68" s="82"/>
      <c r="K68" s="82"/>
      <c r="L68" s="35"/>
      <c r="M68" s="35"/>
      <c r="N68" s="46"/>
      <c r="O68" s="47"/>
      <c r="P68" s="48"/>
      <c r="Q68" s="47"/>
      <c r="R68" s="501"/>
      <c r="S68" s="501"/>
      <c r="T68" s="37"/>
      <c r="U68" s="37"/>
      <c r="V68" s="37"/>
      <c r="W68" s="37"/>
      <c r="X68" s="38"/>
      <c r="Y68" s="211"/>
      <c r="Z68" s="37"/>
      <c r="AA68" s="37"/>
      <c r="AB68" s="37"/>
      <c r="AC68" s="37"/>
      <c r="AD68" s="37"/>
      <c r="AE68" s="230"/>
      <c r="AF68" s="33"/>
      <c r="AG68" s="33"/>
      <c r="AH68" s="33"/>
      <c r="AJ68" s="37"/>
      <c r="AK68" s="37"/>
      <c r="AL68" s="37"/>
      <c r="AM68" s="37"/>
      <c r="AN68" s="37"/>
      <c r="AO68" s="37"/>
      <c r="AP68" s="37"/>
      <c r="AQ68" s="37"/>
      <c r="AR68" s="37"/>
      <c r="AS68" s="37"/>
      <c r="AT68" s="37"/>
      <c r="AU68" s="37"/>
      <c r="AV68" s="37"/>
      <c r="AW68" s="37"/>
      <c r="AX68" s="37"/>
      <c r="AY68" s="37"/>
      <c r="AZ68" s="37"/>
      <c r="BA68" s="37"/>
      <c r="BB68" s="33"/>
      <c r="BC68" s="504"/>
      <c r="BD68" s="51"/>
      <c r="BE68" s="50"/>
      <c r="BF68" s="51"/>
    </row>
    <row r="69" spans="1:58" ht="12.75" customHeight="1">
      <c r="A69" s="40">
        <v>45915</v>
      </c>
      <c r="B69" s="41" t="s">
        <v>424</v>
      </c>
      <c r="C69" s="415">
        <f t="shared" ref="C69" si="183">(M69*E69*O69*Q69)/100000000</f>
        <v>43.20594432</v>
      </c>
      <c r="D69" s="41" t="s">
        <v>304</v>
      </c>
      <c r="E69" s="42">
        <v>12</v>
      </c>
      <c r="F69" s="42">
        <v>1</v>
      </c>
      <c r="G69" s="500">
        <v>1230</v>
      </c>
      <c r="H69" s="44">
        <v>0.23</v>
      </c>
      <c r="I69" s="45">
        <v>0.88</v>
      </c>
      <c r="J69" s="82">
        <f t="shared" ref="J69" si="184">E69*G69*(1-H69)*1440/1000000*2.74</f>
        <v>44.842533120000006</v>
      </c>
      <c r="K69" s="82">
        <f t="shared" ref="K69" si="185">(IF(G69&lt;L69,L69,G69)*(1-IF(H69&lt;N69,H69,N69))*E69*O69*Q69)/100000000</f>
        <v>43.20594432</v>
      </c>
      <c r="L69" s="35">
        <v>1230</v>
      </c>
      <c r="M69" s="35">
        <v>947.09999999999991</v>
      </c>
      <c r="N69" s="46">
        <f t="shared" ref="N69" si="186">1-(M69/L69)</f>
        <v>0.23000000000000009</v>
      </c>
      <c r="O69" s="47">
        <f>+'Trim Rwd'!H50</f>
        <v>264</v>
      </c>
      <c r="P69" s="48">
        <f t="shared" ref="P69" si="187">O69*(Q69-R69-S69)</f>
        <v>0</v>
      </c>
      <c r="Q69" s="47">
        <v>1440</v>
      </c>
      <c r="R69" s="501">
        <v>1440</v>
      </c>
      <c r="S69" s="501">
        <v>0</v>
      </c>
      <c r="T69" s="37">
        <f t="shared" ref="T69" si="188">E69*M69*O69*Q69/100000000</f>
        <v>43.20594432</v>
      </c>
      <c r="U69" s="37">
        <f t="shared" ref="U69" si="189">E69*M69*O69*(Q69-R69-S69)/100000000</f>
        <v>0</v>
      </c>
      <c r="V69" s="37">
        <f t="shared" ref="V69" si="190">E69*G69*(1-N69)*O69/100*(R69+S69)/1000000</f>
        <v>43.205944319999993</v>
      </c>
      <c r="W69" s="37">
        <v>0</v>
      </c>
      <c r="X69" s="502">
        <f>SUM(W69:W72)/SUM(K69:K72)</f>
        <v>0</v>
      </c>
      <c r="Y69" s="211">
        <f>+SUM(RBP!AG8:AG9)</f>
        <v>0</v>
      </c>
      <c r="Z69" s="37">
        <v>0</v>
      </c>
      <c r="AA69" s="49">
        <f>SUM(U69:U72)-SUM(W69:W72)-SUM(Z69:Z72)-SUM(Y69:Y72)</f>
        <v>0</v>
      </c>
      <c r="AB69" s="49">
        <f>(SUM(K69:K72)-SUM(W69:W72)-SUM(Y69:Y72)-SUM(Z69:Z72)-SUM(AC69:AC72)-SUM(V69:V72))-AA69</f>
        <v>7.1054273576010019E-15</v>
      </c>
      <c r="AC69" s="37">
        <f>K69-T69</f>
        <v>0</v>
      </c>
      <c r="AD69" s="37">
        <f>+AM69+BA69</f>
        <v>0</v>
      </c>
      <c r="AE69" s="230" t="s">
        <v>466</v>
      </c>
      <c r="AF69" s="37">
        <v>0</v>
      </c>
      <c r="AG69" s="37"/>
      <c r="AH69" s="37"/>
      <c r="AI69" s="37"/>
      <c r="AJ69" s="37"/>
      <c r="AK69" s="37"/>
      <c r="AL69" s="37"/>
      <c r="AM69" s="37">
        <f t="shared" ref="AM69:AM71" si="191">SUM(AF69:AL69)+AT69+AV69+AX69</f>
        <v>0</v>
      </c>
      <c r="AN69" s="37"/>
      <c r="AO69" s="37"/>
      <c r="AP69" s="37"/>
      <c r="AQ69" s="37"/>
      <c r="AR69" s="37">
        <f>SUM(AN69:AQ69)</f>
        <v>0</v>
      </c>
      <c r="AS69" s="37"/>
      <c r="AT69" s="37"/>
      <c r="AU69" s="37"/>
      <c r="AV69" s="37"/>
      <c r="AW69" s="37"/>
      <c r="AX69" s="37"/>
      <c r="AY69" s="37"/>
      <c r="AZ69" s="37"/>
      <c r="BA69" s="37">
        <f>+AR69+AS69+AU69+AW69+AY69+AZ69</f>
        <v>0</v>
      </c>
      <c r="BB69" s="33">
        <v>0</v>
      </c>
      <c r="BC69" s="51"/>
      <c r="BD69" s="51"/>
      <c r="BE69" s="33"/>
      <c r="BF69" s="51"/>
    </row>
    <row r="70" spans="1:58" ht="12.95" customHeight="1">
      <c r="A70" s="40"/>
      <c r="B70" s="41"/>
      <c r="C70" s="415"/>
      <c r="D70" s="41"/>
      <c r="E70" s="42"/>
      <c r="F70" s="42"/>
      <c r="G70" s="500"/>
      <c r="H70" s="44"/>
      <c r="I70" s="45"/>
      <c r="J70" s="82"/>
      <c r="K70" s="82"/>
      <c r="L70" s="35"/>
      <c r="M70" s="35"/>
      <c r="N70" s="46"/>
      <c r="O70" s="47"/>
      <c r="P70" s="48"/>
      <c r="Q70" s="47"/>
      <c r="R70" s="501"/>
      <c r="S70" s="501"/>
      <c r="T70" s="37"/>
      <c r="U70" s="37"/>
      <c r="V70" s="37"/>
      <c r="W70" s="37">
        <v>0</v>
      </c>
      <c r="X70" s="38"/>
      <c r="Y70" s="211"/>
      <c r="Z70" s="37">
        <v>0</v>
      </c>
      <c r="AA70" s="37"/>
      <c r="AB70" s="37"/>
      <c r="AC70" s="37">
        <f>K70-T70</f>
        <v>0</v>
      </c>
      <c r="AD70" s="37">
        <f>+AM70+BA70</f>
        <v>0</v>
      </c>
      <c r="AE70" s="230" t="s">
        <v>432</v>
      </c>
      <c r="AF70" s="37"/>
      <c r="AG70" s="37">
        <v>0</v>
      </c>
      <c r="AH70" s="37"/>
      <c r="AI70" s="37"/>
      <c r="AJ70" s="37"/>
      <c r="AK70" s="37"/>
      <c r="AL70" s="37"/>
      <c r="AM70" s="37">
        <f t="shared" si="191"/>
        <v>0</v>
      </c>
      <c r="AN70" s="83"/>
      <c r="AO70" s="37"/>
      <c r="AP70" s="37"/>
      <c r="AQ70" s="37"/>
      <c r="AR70" s="37">
        <f t="shared" ref="AR70:AR71" si="192">SUM(AN70:AQ70)</f>
        <v>0</v>
      </c>
      <c r="AS70" s="37"/>
      <c r="AT70" s="37"/>
      <c r="AU70" s="37"/>
      <c r="AV70" s="37"/>
      <c r="AW70" s="37"/>
      <c r="AX70" s="37"/>
      <c r="AY70" s="37"/>
      <c r="AZ70" s="37"/>
      <c r="BA70" s="37">
        <f>+AR70+AS70+AU70+AW70+AY70+AZ70</f>
        <v>0</v>
      </c>
      <c r="BB70" s="50"/>
      <c r="BC70" s="51">
        <v>0</v>
      </c>
      <c r="BD70" s="51"/>
      <c r="BE70" s="50"/>
      <c r="BF70" s="51"/>
    </row>
    <row r="71" spans="1:58" ht="12.95" customHeight="1">
      <c r="A71" s="40"/>
      <c r="B71" s="41"/>
      <c r="C71" s="415"/>
      <c r="D71" s="41"/>
      <c r="E71" s="42"/>
      <c r="F71" s="42"/>
      <c r="G71" s="43"/>
      <c r="H71" s="44"/>
      <c r="I71" s="45"/>
      <c r="J71" s="82"/>
      <c r="K71" s="82"/>
      <c r="L71" s="35"/>
      <c r="M71" s="35"/>
      <c r="N71" s="46"/>
      <c r="O71" s="47"/>
      <c r="P71" s="48"/>
      <c r="Q71" s="47"/>
      <c r="R71" s="501"/>
      <c r="S71" s="501"/>
      <c r="T71" s="37"/>
      <c r="U71" s="37"/>
      <c r="V71" s="37"/>
      <c r="W71" s="37"/>
      <c r="X71" s="38"/>
      <c r="Y71" s="211"/>
      <c r="Z71" s="37"/>
      <c r="AA71" s="37"/>
      <c r="AB71" s="37"/>
      <c r="AC71" s="37"/>
      <c r="AD71" s="37">
        <f>+AM71+BA71</f>
        <v>0</v>
      </c>
      <c r="AE71" s="230" t="s">
        <v>507</v>
      </c>
      <c r="AF71" s="33"/>
      <c r="AG71" s="33"/>
      <c r="AH71" s="33">
        <v>0</v>
      </c>
      <c r="AI71" s="33"/>
      <c r="AJ71" s="37"/>
      <c r="AK71" s="37"/>
      <c r="AL71" s="37"/>
      <c r="AM71" s="37">
        <f t="shared" si="191"/>
        <v>0</v>
      </c>
      <c r="AN71" s="37"/>
      <c r="AO71" s="37"/>
      <c r="AP71" s="37"/>
      <c r="AQ71" s="37"/>
      <c r="AR71" s="37">
        <f t="shared" si="192"/>
        <v>0</v>
      </c>
      <c r="AS71" s="37"/>
      <c r="AT71" s="37"/>
      <c r="AU71" s="37"/>
      <c r="AV71" s="37"/>
      <c r="AW71" s="37"/>
      <c r="AX71" s="37"/>
      <c r="AY71" s="37"/>
      <c r="AZ71" s="37"/>
      <c r="BA71" s="37">
        <f>+AR71+AS71+AU71+AW71+AY71+AZ71</f>
        <v>0</v>
      </c>
      <c r="BB71" s="33"/>
      <c r="BC71" s="504"/>
      <c r="BD71" s="504"/>
      <c r="BE71" s="33"/>
      <c r="BF71" s="504"/>
    </row>
    <row r="72" spans="1:58" ht="12.95" customHeight="1">
      <c r="A72" s="40"/>
      <c r="B72" s="41"/>
      <c r="C72" s="415"/>
      <c r="D72" s="41"/>
      <c r="E72" s="42"/>
      <c r="F72" s="42"/>
      <c r="G72" s="43"/>
      <c r="H72" s="44"/>
      <c r="I72" s="45"/>
      <c r="J72" s="82"/>
      <c r="K72" s="82"/>
      <c r="L72" s="35"/>
      <c r="M72" s="35"/>
      <c r="N72" s="46"/>
      <c r="O72" s="47"/>
      <c r="P72" s="48"/>
      <c r="Q72" s="47"/>
      <c r="R72" s="501"/>
      <c r="S72" s="501"/>
      <c r="T72" s="37"/>
      <c r="U72" s="37"/>
      <c r="V72" s="37"/>
      <c r="W72" s="37"/>
      <c r="X72" s="38"/>
      <c r="Y72" s="211"/>
      <c r="Z72" s="37"/>
      <c r="AA72" s="37"/>
      <c r="AB72" s="37"/>
      <c r="AC72" s="37"/>
      <c r="AD72" s="37">
        <f>+AM72+BA72</f>
        <v>1440</v>
      </c>
      <c r="AE72" s="230" t="s">
        <v>586</v>
      </c>
      <c r="AF72" s="33"/>
      <c r="AG72" s="33"/>
      <c r="AH72" s="33"/>
      <c r="AI72" s="33"/>
      <c r="AJ72" s="37"/>
      <c r="AK72" s="37"/>
      <c r="AL72" s="37"/>
      <c r="AM72" s="37">
        <f t="shared" ref="AM72" si="193">SUM(AF72:AL72)+AT72+AV72+AX72</f>
        <v>0</v>
      </c>
      <c r="AN72" s="37"/>
      <c r="AO72" s="37"/>
      <c r="AP72" s="37"/>
      <c r="AQ72" s="37"/>
      <c r="AR72" s="37">
        <f t="shared" ref="AR72" si="194">SUM(AN72:AQ72)</f>
        <v>0</v>
      </c>
      <c r="AS72" s="37"/>
      <c r="AT72" s="37"/>
      <c r="AU72" s="37">
        <v>1440</v>
      </c>
      <c r="AV72" s="37"/>
      <c r="AW72" s="37"/>
      <c r="AX72" s="37"/>
      <c r="AY72" s="37"/>
      <c r="AZ72" s="37"/>
      <c r="BA72" s="37">
        <f>+AR72+AS72+AU72+AW72+AY72+AZ72</f>
        <v>1440</v>
      </c>
      <c r="BB72" s="33"/>
      <c r="BC72" s="504"/>
      <c r="BD72" s="504"/>
      <c r="BE72" s="33"/>
      <c r="BF72" s="504"/>
    </row>
    <row r="73" spans="1:58" ht="12.95" customHeight="1">
      <c r="A73" s="40"/>
      <c r="B73" s="41"/>
      <c r="C73" s="415"/>
      <c r="D73" s="41"/>
      <c r="E73" s="42"/>
      <c r="F73" s="42"/>
      <c r="G73" s="43"/>
      <c r="H73" s="44"/>
      <c r="I73" s="45"/>
      <c r="J73" s="82"/>
      <c r="K73" s="82"/>
      <c r="L73" s="35"/>
      <c r="M73" s="35"/>
      <c r="N73" s="46"/>
      <c r="O73" s="47"/>
      <c r="P73" s="48"/>
      <c r="Q73" s="47"/>
      <c r="R73" s="501"/>
      <c r="S73" s="501"/>
      <c r="T73" s="37"/>
      <c r="U73" s="37"/>
      <c r="V73" s="37"/>
      <c r="W73" s="37"/>
      <c r="X73" s="38"/>
      <c r="Y73" s="211"/>
      <c r="Z73" s="37"/>
      <c r="AA73" s="37"/>
      <c r="AB73" s="37"/>
      <c r="AC73" s="37"/>
      <c r="AD73" s="37"/>
      <c r="AE73" s="230"/>
      <c r="AF73" s="33"/>
      <c r="AG73" s="33"/>
      <c r="AH73" s="33"/>
      <c r="AJ73" s="37"/>
      <c r="AK73" s="37"/>
      <c r="AL73" s="37"/>
      <c r="AM73" s="37"/>
      <c r="AN73" s="37"/>
      <c r="AO73" s="37"/>
      <c r="AP73" s="37"/>
      <c r="AQ73" s="37"/>
      <c r="AR73" s="37"/>
      <c r="AS73" s="37"/>
      <c r="AT73" s="37"/>
      <c r="AU73" s="37"/>
      <c r="AV73" s="37"/>
      <c r="AW73" s="37"/>
      <c r="AX73" s="37"/>
      <c r="AY73" s="37"/>
      <c r="AZ73" s="37"/>
      <c r="BA73" s="37"/>
      <c r="BB73" s="33"/>
      <c r="BC73" s="504"/>
      <c r="BD73" s="51"/>
      <c r="BE73" s="50"/>
      <c r="BF73" s="51"/>
    </row>
    <row r="74" spans="1:58" ht="12.75" customHeight="1">
      <c r="A74" s="40">
        <v>45916</v>
      </c>
      <c r="B74" s="41" t="s">
        <v>424</v>
      </c>
      <c r="C74" s="415">
        <f t="shared" ref="C74" si="195">(M74*E74*O74*Q74)/100000000</f>
        <v>43.20594432</v>
      </c>
      <c r="D74" s="41" t="s">
        <v>304</v>
      </c>
      <c r="E74" s="42">
        <v>12</v>
      </c>
      <c r="F74" s="42">
        <v>1</v>
      </c>
      <c r="G74" s="500">
        <v>1230</v>
      </c>
      <c r="H74" s="44">
        <v>0.23</v>
      </c>
      <c r="I74" s="45">
        <v>0.88</v>
      </c>
      <c r="J74" s="82">
        <f t="shared" ref="J74" si="196">E74*G74*(1-H74)*1440/1000000*2.74</f>
        <v>44.842533120000006</v>
      </c>
      <c r="K74" s="82">
        <f t="shared" ref="K74" si="197">(IF(G74&lt;L74,L74,G74)*(1-IF(H74&lt;N74,H74,N74))*E74*O74*Q74)/100000000</f>
        <v>43.20594432</v>
      </c>
      <c r="L74" s="35">
        <v>1230</v>
      </c>
      <c r="M74" s="35">
        <v>947.09999999999991</v>
      </c>
      <c r="N74" s="46">
        <f t="shared" ref="N74" si="198">1-(M74/L74)</f>
        <v>0.23000000000000009</v>
      </c>
      <c r="O74" s="47">
        <f>+'Trim Rwd'!H52</f>
        <v>264</v>
      </c>
      <c r="P74" s="48">
        <f t="shared" ref="P74" si="199">O74*(Q74-R74-S74)</f>
        <v>0</v>
      </c>
      <c r="Q74" s="47">
        <v>1440</v>
      </c>
      <c r="R74" s="501">
        <v>1440</v>
      </c>
      <c r="S74" s="501">
        <v>0</v>
      </c>
      <c r="T74" s="37">
        <f t="shared" ref="T74" si="200">E74*M74*O74*Q74/100000000</f>
        <v>43.20594432</v>
      </c>
      <c r="U74" s="37">
        <f t="shared" ref="U74" si="201">E74*M74*O74*(Q74-R74-S74)/100000000</f>
        <v>0</v>
      </c>
      <c r="V74" s="37">
        <f t="shared" ref="V74" si="202">E74*G74*(1-N74)*O74/100*(R74+S74)/1000000</f>
        <v>43.205944319999993</v>
      </c>
      <c r="W74" s="37">
        <v>0</v>
      </c>
      <c r="X74" s="502">
        <f>SUM(W74:W77)/SUM(K74:K77)</f>
        <v>0</v>
      </c>
      <c r="Y74" s="211">
        <v>0</v>
      </c>
      <c r="Z74" s="37">
        <f>+'16'!D7/1000</f>
        <v>0.69</v>
      </c>
      <c r="AA74" s="49">
        <f>SUM(U74:U77)-SUM(W74:W77)-SUM(Z74:Z77)-SUM(Y74:Y77)</f>
        <v>-0.69</v>
      </c>
      <c r="AB74" s="49">
        <f>(SUM(K74:K77)-SUM(W74:W77)-SUM(Y74:Y77)-SUM(Z74:Z77)-SUM(AC74:AC77)-SUM(V74:V77))-AA74</f>
        <v>9.3258734068513149E-15</v>
      </c>
      <c r="AC74" s="37">
        <f>K74-T74</f>
        <v>0</v>
      </c>
      <c r="AD74" s="37">
        <f>+AM74+BA74</f>
        <v>0</v>
      </c>
      <c r="AE74" s="230" t="s">
        <v>466</v>
      </c>
      <c r="AF74" s="37">
        <v>0</v>
      </c>
      <c r="AG74" s="37"/>
      <c r="AH74" s="37"/>
      <c r="AI74" s="37"/>
      <c r="AJ74" s="37"/>
      <c r="AK74" s="37"/>
      <c r="AL74" s="37"/>
      <c r="AM74" s="37">
        <f t="shared" ref="AM74:AM76" si="203">SUM(AF74:AL74)+AT74+AV74+AX74</f>
        <v>0</v>
      </c>
      <c r="AN74" s="37"/>
      <c r="AO74" s="37"/>
      <c r="AP74" s="37"/>
      <c r="AQ74" s="37"/>
      <c r="AR74" s="37">
        <f>SUM(AN74:AQ74)</f>
        <v>0</v>
      </c>
      <c r="AS74" s="37"/>
      <c r="AT74" s="37"/>
      <c r="AU74" s="37"/>
      <c r="AV74" s="37"/>
      <c r="AW74" s="37"/>
      <c r="AX74" s="37"/>
      <c r="AY74" s="37"/>
      <c r="AZ74" s="37"/>
      <c r="BA74" s="37">
        <f>+AR74+AS74+AU74+AW74+AY74+AZ74</f>
        <v>0</v>
      </c>
      <c r="BB74" s="33">
        <v>0</v>
      </c>
      <c r="BC74" s="51"/>
      <c r="BD74" s="51"/>
      <c r="BE74" s="33"/>
      <c r="BF74" s="51"/>
    </row>
    <row r="75" spans="1:58" ht="12.95" customHeight="1">
      <c r="A75" s="40"/>
      <c r="B75" s="41"/>
      <c r="C75" s="415"/>
      <c r="D75" s="41"/>
      <c r="E75" s="42"/>
      <c r="F75" s="42"/>
      <c r="G75" s="500"/>
      <c r="H75" s="44"/>
      <c r="I75" s="45"/>
      <c r="J75" s="82"/>
      <c r="K75" s="82"/>
      <c r="L75" s="35"/>
      <c r="M75" s="35"/>
      <c r="N75" s="46"/>
      <c r="O75" s="47"/>
      <c r="P75" s="48"/>
      <c r="Q75" s="47"/>
      <c r="R75" s="501"/>
      <c r="S75" s="501"/>
      <c r="T75" s="37"/>
      <c r="U75" s="37"/>
      <c r="V75" s="37"/>
      <c r="W75" s="37">
        <v>0</v>
      </c>
      <c r="X75" s="38"/>
      <c r="Y75" s="211"/>
      <c r="Z75" s="37">
        <v>0</v>
      </c>
      <c r="AA75" s="37"/>
      <c r="AB75" s="37"/>
      <c r="AC75" s="37">
        <f>K75-T75</f>
        <v>0</v>
      </c>
      <c r="AD75" s="37">
        <f>+AM75+BA75</f>
        <v>0</v>
      </c>
      <c r="AE75" s="230" t="s">
        <v>432</v>
      </c>
      <c r="AF75" s="37"/>
      <c r="AG75" s="37">
        <v>0</v>
      </c>
      <c r="AH75" s="37"/>
      <c r="AI75" s="37"/>
      <c r="AJ75" s="37"/>
      <c r="AK75" s="37"/>
      <c r="AL75" s="37"/>
      <c r="AM75" s="37">
        <f t="shared" si="203"/>
        <v>0</v>
      </c>
      <c r="AN75" s="83"/>
      <c r="AO75" s="37"/>
      <c r="AP75" s="37"/>
      <c r="AQ75" s="37"/>
      <c r="AR75" s="37">
        <f t="shared" ref="AR75:AR76" si="204">SUM(AN75:AQ75)</f>
        <v>0</v>
      </c>
      <c r="AS75" s="37"/>
      <c r="AT75" s="37"/>
      <c r="AU75" s="37"/>
      <c r="AV75" s="37"/>
      <c r="AW75" s="37"/>
      <c r="AX75" s="37"/>
      <c r="AY75" s="37"/>
      <c r="AZ75" s="37"/>
      <c r="BA75" s="37">
        <f>+AR75+AS75+AU75+AW75+AY75+AZ75</f>
        <v>0</v>
      </c>
      <c r="BB75" s="50"/>
      <c r="BC75" s="51">
        <v>0</v>
      </c>
      <c r="BD75" s="51"/>
      <c r="BE75" s="50"/>
      <c r="BF75" s="51"/>
    </row>
    <row r="76" spans="1:58" ht="12.95" customHeight="1">
      <c r="A76" s="40"/>
      <c r="B76" s="41"/>
      <c r="C76" s="415"/>
      <c r="D76" s="41"/>
      <c r="E76" s="42"/>
      <c r="F76" s="42"/>
      <c r="G76" s="43"/>
      <c r="H76" s="44"/>
      <c r="I76" s="45"/>
      <c r="J76" s="82"/>
      <c r="K76" s="82"/>
      <c r="L76" s="35"/>
      <c r="M76" s="35"/>
      <c r="N76" s="46"/>
      <c r="O76" s="47"/>
      <c r="P76" s="48"/>
      <c r="Q76" s="47"/>
      <c r="R76" s="501"/>
      <c r="S76" s="501"/>
      <c r="T76" s="37"/>
      <c r="U76" s="37"/>
      <c r="V76" s="37"/>
      <c r="W76" s="37"/>
      <c r="X76" s="38"/>
      <c r="Y76" s="211"/>
      <c r="Z76" s="37"/>
      <c r="AA76" s="37"/>
      <c r="AB76" s="37"/>
      <c r="AC76" s="37"/>
      <c r="AD76" s="37">
        <f>+AM76+BA76</f>
        <v>0</v>
      </c>
      <c r="AE76" s="230" t="s">
        <v>507</v>
      </c>
      <c r="AF76" s="33"/>
      <c r="AG76" s="33"/>
      <c r="AH76" s="33">
        <v>0</v>
      </c>
      <c r="AI76" s="33"/>
      <c r="AJ76" s="37"/>
      <c r="AK76" s="37"/>
      <c r="AL76" s="37"/>
      <c r="AM76" s="37">
        <f t="shared" si="203"/>
        <v>0</v>
      </c>
      <c r="AN76" s="37"/>
      <c r="AO76" s="37"/>
      <c r="AP76" s="37"/>
      <c r="AQ76" s="37"/>
      <c r="AR76" s="37">
        <f t="shared" si="204"/>
        <v>0</v>
      </c>
      <c r="AS76" s="37"/>
      <c r="AT76" s="37"/>
      <c r="AU76" s="37"/>
      <c r="AV76" s="37"/>
      <c r="AW76" s="37"/>
      <c r="AX76" s="37"/>
      <c r="AY76" s="37"/>
      <c r="AZ76" s="37"/>
      <c r="BA76" s="37">
        <f>+AR76+AS76+AU76+AW76+AY76+AZ76</f>
        <v>0</v>
      </c>
      <c r="BB76" s="33"/>
      <c r="BC76" s="504"/>
      <c r="BD76" s="504"/>
      <c r="BE76" s="33"/>
      <c r="BF76" s="504"/>
    </row>
    <row r="77" spans="1:58" ht="12.95" customHeight="1">
      <c r="A77" s="40"/>
      <c r="B77" s="41"/>
      <c r="C77" s="415"/>
      <c r="D77" s="41"/>
      <c r="E77" s="42"/>
      <c r="F77" s="42"/>
      <c r="G77" s="43"/>
      <c r="H77" s="44"/>
      <c r="I77" s="45"/>
      <c r="J77" s="82"/>
      <c r="K77" s="82"/>
      <c r="L77" s="35"/>
      <c r="M77" s="35"/>
      <c r="N77" s="46"/>
      <c r="O77" s="47"/>
      <c r="P77" s="48"/>
      <c r="Q77" s="47"/>
      <c r="R77" s="501"/>
      <c r="S77" s="501"/>
      <c r="T77" s="37"/>
      <c r="U77" s="37"/>
      <c r="V77" s="37"/>
      <c r="W77" s="37"/>
      <c r="X77" s="38"/>
      <c r="Y77" s="211"/>
      <c r="Z77" s="37"/>
      <c r="AA77" s="37"/>
      <c r="AB77" s="37"/>
      <c r="AC77" s="37"/>
      <c r="AD77" s="37">
        <f>+AM77+BA77</f>
        <v>1440</v>
      </c>
      <c r="AE77" s="230" t="s">
        <v>586</v>
      </c>
      <c r="AF77" s="33"/>
      <c r="AG77" s="33"/>
      <c r="AH77" s="33"/>
      <c r="AI77" s="33"/>
      <c r="AJ77" s="37"/>
      <c r="AK77" s="37"/>
      <c r="AL77" s="37"/>
      <c r="AM77" s="37">
        <f t="shared" ref="AM77" si="205">SUM(AF77:AL77)+AT77+AV77+AX77</f>
        <v>0</v>
      </c>
      <c r="AN77" s="37"/>
      <c r="AO77" s="37"/>
      <c r="AP77" s="37"/>
      <c r="AQ77" s="37"/>
      <c r="AR77" s="37">
        <f t="shared" ref="AR77" si="206">SUM(AN77:AQ77)</f>
        <v>0</v>
      </c>
      <c r="AS77" s="37"/>
      <c r="AT77" s="37"/>
      <c r="AU77" s="37">
        <v>1440</v>
      </c>
      <c r="AV77" s="37"/>
      <c r="AW77" s="37"/>
      <c r="AX77" s="37"/>
      <c r="AY77" s="37"/>
      <c r="AZ77" s="37"/>
      <c r="BA77" s="37">
        <f>+AR77+AS77+AU77+AW77+AY77+AZ77</f>
        <v>1440</v>
      </c>
      <c r="BB77" s="33"/>
      <c r="BC77" s="504"/>
      <c r="BD77" s="504"/>
      <c r="BE77" s="33"/>
      <c r="BF77" s="504"/>
    </row>
    <row r="78" spans="1:58" ht="12.95" customHeight="1">
      <c r="A78" s="40"/>
      <c r="B78" s="41"/>
      <c r="C78" s="415"/>
      <c r="D78" s="41"/>
      <c r="E78" s="42"/>
      <c r="F78" s="42"/>
      <c r="G78" s="43"/>
      <c r="H78" s="44"/>
      <c r="I78" s="45"/>
      <c r="J78" s="82"/>
      <c r="K78" s="82"/>
      <c r="L78" s="35"/>
      <c r="M78" s="35"/>
      <c r="N78" s="46"/>
      <c r="O78" s="47"/>
      <c r="P78" s="48"/>
      <c r="Q78" s="47"/>
      <c r="R78" s="501"/>
      <c r="S78" s="501"/>
      <c r="T78" s="37"/>
      <c r="U78" s="37"/>
      <c r="V78" s="37"/>
      <c r="W78" s="37"/>
      <c r="X78" s="38"/>
      <c r="Y78" s="211"/>
      <c r="Z78" s="37"/>
      <c r="AA78" s="37"/>
      <c r="AB78" s="37"/>
      <c r="AC78" s="37"/>
      <c r="AD78" s="37"/>
      <c r="AE78" s="230"/>
      <c r="AF78" s="33"/>
      <c r="AG78" s="33"/>
      <c r="AH78" s="33"/>
      <c r="AJ78" s="37"/>
      <c r="AK78" s="37"/>
      <c r="AL78" s="37"/>
      <c r="AM78" s="37"/>
      <c r="AN78" s="37"/>
      <c r="AO78" s="37"/>
      <c r="AP78" s="37"/>
      <c r="AQ78" s="37"/>
      <c r="AR78" s="37"/>
      <c r="AS78" s="37"/>
      <c r="AT78" s="37"/>
      <c r="AU78" s="37"/>
      <c r="AV78" s="37"/>
      <c r="AW78" s="37"/>
      <c r="AX78" s="37"/>
      <c r="AY78" s="37"/>
      <c r="AZ78" s="37"/>
      <c r="BA78" s="37"/>
      <c r="BB78" s="33"/>
      <c r="BC78" s="504"/>
      <c r="BD78" s="51"/>
      <c r="BE78" s="50"/>
      <c r="BF78" s="51"/>
    </row>
    <row r="79" spans="1:58" ht="12.75" customHeight="1">
      <c r="A79" s="40">
        <v>45917</v>
      </c>
      <c r="B79" s="41" t="s">
        <v>424</v>
      </c>
      <c r="C79" s="415">
        <f t="shared" ref="C79" si="207">(M79*E79*O79*Q79)/100000000</f>
        <v>43.20594432</v>
      </c>
      <c r="D79" s="41" t="s">
        <v>304</v>
      </c>
      <c r="E79" s="42">
        <v>12</v>
      </c>
      <c r="F79" s="42">
        <v>1</v>
      </c>
      <c r="G79" s="500">
        <v>1230</v>
      </c>
      <c r="H79" s="44">
        <v>0.23</v>
      </c>
      <c r="I79" s="45">
        <v>0.88</v>
      </c>
      <c r="J79" s="82">
        <f t="shared" ref="J79" si="208">E79*G79*(1-H79)*1440/1000000*2.74</f>
        <v>44.842533120000006</v>
      </c>
      <c r="K79" s="82">
        <f t="shared" ref="K79" si="209">(IF(G79&lt;L79,L79,G79)*(1-IF(H79&lt;N79,H79,N79))*E79*O79*Q79)/100000000</f>
        <v>43.20594432</v>
      </c>
      <c r="L79" s="35">
        <v>1230</v>
      </c>
      <c r="M79" s="35">
        <v>947.09999999999991</v>
      </c>
      <c r="N79" s="46">
        <f t="shared" ref="N79" si="210">1-(M79/L79)</f>
        <v>0.23000000000000009</v>
      </c>
      <c r="O79" s="47">
        <f>+'Trim Rwd'!H54</f>
        <v>264</v>
      </c>
      <c r="P79" s="48">
        <f t="shared" ref="P79" si="211">O79*(Q79-R79-S79)</f>
        <v>0</v>
      </c>
      <c r="Q79" s="47">
        <v>1440</v>
      </c>
      <c r="R79" s="501">
        <v>1440</v>
      </c>
      <c r="S79" s="501">
        <v>0</v>
      </c>
      <c r="T79" s="37">
        <f t="shared" ref="T79" si="212">E79*M79*O79*Q79/100000000</f>
        <v>43.20594432</v>
      </c>
      <c r="U79" s="37">
        <f t="shared" ref="U79" si="213">E79*M79*O79*(Q79-R79-S79)/100000000</f>
        <v>0</v>
      </c>
      <c r="V79" s="37">
        <f t="shared" ref="V79" si="214">E79*G79*(1-N79)*O79/100*(R79+S79)/1000000</f>
        <v>43.205944319999993</v>
      </c>
      <c r="W79" s="37">
        <v>0</v>
      </c>
      <c r="X79" s="502">
        <f>SUM(W79:W82)/SUM(K79:K82)</f>
        <v>0</v>
      </c>
      <c r="Y79" s="211">
        <f>+SUM(RBP!AG3:AG4)</f>
        <v>0</v>
      </c>
      <c r="Z79" s="37">
        <f>+'17'!D34/1000</f>
        <v>0.98</v>
      </c>
      <c r="AA79" s="49">
        <f>SUM(U79:U82)-SUM(W79:W82)-SUM(Z79:Z82)-SUM(Y79:Y82)</f>
        <v>-0.98</v>
      </c>
      <c r="AB79" s="49">
        <f>(SUM(K79:K82)-SUM(W79:W82)-SUM(Y79:Y82)-SUM(Z79:Z82)-SUM(AC79:AC82)-SUM(V79:V82))-AA79</f>
        <v>1.021405182655144E-14</v>
      </c>
      <c r="AC79" s="37">
        <f>K79-T79</f>
        <v>0</v>
      </c>
      <c r="AD79" s="37">
        <f>+AM79+BA79</f>
        <v>0</v>
      </c>
      <c r="AE79" s="230" t="s">
        <v>466</v>
      </c>
      <c r="AF79" s="37">
        <v>0</v>
      </c>
      <c r="AG79" s="37"/>
      <c r="AH79" s="37"/>
      <c r="AI79" s="37"/>
      <c r="AJ79" s="37"/>
      <c r="AK79" s="37"/>
      <c r="AL79" s="37"/>
      <c r="AM79" s="37">
        <f t="shared" ref="AM79:AM81" si="215">SUM(AF79:AL79)+AT79+AV79+AX79</f>
        <v>0</v>
      </c>
      <c r="AN79" s="37"/>
      <c r="AO79" s="37"/>
      <c r="AP79" s="37"/>
      <c r="AQ79" s="37"/>
      <c r="AR79" s="37">
        <f>SUM(AN79:AQ79)</f>
        <v>0</v>
      </c>
      <c r="AS79" s="37"/>
      <c r="AT79" s="37"/>
      <c r="AU79" s="37"/>
      <c r="AV79" s="37"/>
      <c r="AW79" s="37"/>
      <c r="AX79" s="37"/>
      <c r="AY79" s="37"/>
      <c r="AZ79" s="37"/>
      <c r="BA79" s="37">
        <f>+AR79+AS79+AU79+AW79+AY79+AZ79</f>
        <v>0</v>
      </c>
      <c r="BB79" s="33">
        <v>0</v>
      </c>
      <c r="BC79" s="51"/>
      <c r="BD79" s="51"/>
      <c r="BE79" s="33"/>
      <c r="BF79" s="51"/>
    </row>
    <row r="80" spans="1:58" ht="12.95" customHeight="1">
      <c r="A80" s="40"/>
      <c r="B80" s="41"/>
      <c r="C80" s="415"/>
      <c r="D80" s="41"/>
      <c r="E80" s="42"/>
      <c r="F80" s="42"/>
      <c r="G80" s="500"/>
      <c r="H80" s="44"/>
      <c r="I80" s="45"/>
      <c r="J80" s="82"/>
      <c r="K80" s="82"/>
      <c r="L80" s="35"/>
      <c r="M80" s="35"/>
      <c r="N80" s="46"/>
      <c r="O80" s="47"/>
      <c r="P80" s="48"/>
      <c r="Q80" s="47"/>
      <c r="R80" s="501"/>
      <c r="S80" s="501"/>
      <c r="T80" s="37"/>
      <c r="U80" s="37"/>
      <c r="V80" s="37"/>
      <c r="W80" s="37">
        <v>0</v>
      </c>
      <c r="X80" s="38"/>
      <c r="Y80" s="211"/>
      <c r="Z80" s="37">
        <v>0</v>
      </c>
      <c r="AA80" s="37"/>
      <c r="AB80" s="37"/>
      <c r="AC80" s="37">
        <f>K80-T80</f>
        <v>0</v>
      </c>
      <c r="AD80" s="37">
        <f>+AM80+BA80</f>
        <v>0</v>
      </c>
      <c r="AE80" s="230" t="s">
        <v>432</v>
      </c>
      <c r="AF80" s="37"/>
      <c r="AG80" s="37">
        <v>0</v>
      </c>
      <c r="AH80" s="37"/>
      <c r="AI80" s="37"/>
      <c r="AJ80" s="37"/>
      <c r="AK80" s="37"/>
      <c r="AL80" s="37"/>
      <c r="AM80" s="37">
        <f t="shared" si="215"/>
        <v>0</v>
      </c>
      <c r="AN80" s="83"/>
      <c r="AO80" s="37"/>
      <c r="AP80" s="37"/>
      <c r="AQ80" s="37"/>
      <c r="AR80" s="37">
        <f t="shared" ref="AR80:AR81" si="216">SUM(AN80:AQ80)</f>
        <v>0</v>
      </c>
      <c r="AS80" s="37"/>
      <c r="AT80" s="37"/>
      <c r="AU80" s="37"/>
      <c r="AV80" s="37"/>
      <c r="AW80" s="37"/>
      <c r="AX80" s="37"/>
      <c r="AY80" s="37"/>
      <c r="AZ80" s="37"/>
      <c r="BA80" s="37">
        <f>+AR80+AS80+AU80+AW80+AY80+AZ80</f>
        <v>0</v>
      </c>
      <c r="BB80" s="50"/>
      <c r="BC80" s="51">
        <v>0</v>
      </c>
      <c r="BD80" s="51"/>
      <c r="BE80" s="50"/>
      <c r="BF80" s="51"/>
    </row>
    <row r="81" spans="1:58" ht="12.95" customHeight="1">
      <c r="A81" s="40"/>
      <c r="B81" s="41"/>
      <c r="C81" s="415"/>
      <c r="D81" s="41"/>
      <c r="E81" s="42"/>
      <c r="F81" s="42"/>
      <c r="G81" s="43"/>
      <c r="H81" s="44"/>
      <c r="I81" s="45"/>
      <c r="J81" s="82"/>
      <c r="K81" s="82"/>
      <c r="L81" s="35"/>
      <c r="M81" s="35"/>
      <c r="N81" s="46"/>
      <c r="O81" s="47"/>
      <c r="P81" s="48"/>
      <c r="Q81" s="47"/>
      <c r="R81" s="501"/>
      <c r="S81" s="501"/>
      <c r="T81" s="37"/>
      <c r="U81" s="37"/>
      <c r="V81" s="37"/>
      <c r="W81" s="37"/>
      <c r="X81" s="38"/>
      <c r="Y81" s="211"/>
      <c r="Z81" s="37"/>
      <c r="AA81" s="37"/>
      <c r="AB81" s="37"/>
      <c r="AC81" s="37"/>
      <c r="AD81" s="37">
        <f>+AM81+BA81</f>
        <v>0</v>
      </c>
      <c r="AE81" s="230" t="s">
        <v>507</v>
      </c>
      <c r="AF81" s="33"/>
      <c r="AG81" s="33"/>
      <c r="AH81" s="33">
        <v>0</v>
      </c>
      <c r="AI81" s="33"/>
      <c r="AJ81" s="37"/>
      <c r="AK81" s="37"/>
      <c r="AL81" s="37"/>
      <c r="AM81" s="37">
        <f t="shared" si="215"/>
        <v>0</v>
      </c>
      <c r="AN81" s="37"/>
      <c r="AO81" s="37"/>
      <c r="AP81" s="37"/>
      <c r="AQ81" s="37"/>
      <c r="AR81" s="37">
        <f t="shared" si="216"/>
        <v>0</v>
      </c>
      <c r="AS81" s="37"/>
      <c r="AT81" s="37"/>
      <c r="AU81" s="37"/>
      <c r="AV81" s="37"/>
      <c r="AW81" s="37"/>
      <c r="AX81" s="37"/>
      <c r="AY81" s="37"/>
      <c r="AZ81" s="37"/>
      <c r="BA81" s="37">
        <f>+AR81+AS81+AU81+AW81+AY81+AZ81</f>
        <v>0</v>
      </c>
      <c r="BB81" s="33"/>
      <c r="BC81" s="504"/>
      <c r="BD81" s="504"/>
      <c r="BE81" s="33"/>
      <c r="BF81" s="504"/>
    </row>
    <row r="82" spans="1:58" ht="12.95" customHeight="1">
      <c r="A82" s="40"/>
      <c r="B82" s="41"/>
      <c r="C82" s="415"/>
      <c r="D82" s="41"/>
      <c r="E82" s="42"/>
      <c r="F82" s="42"/>
      <c r="G82" s="43"/>
      <c r="H82" s="44"/>
      <c r="I82" s="45"/>
      <c r="J82" s="82"/>
      <c r="K82" s="82"/>
      <c r="L82" s="35"/>
      <c r="M82" s="35"/>
      <c r="N82" s="46"/>
      <c r="O82" s="47"/>
      <c r="P82" s="48"/>
      <c r="Q82" s="47"/>
      <c r="R82" s="501"/>
      <c r="S82" s="501"/>
      <c r="T82" s="37"/>
      <c r="U82" s="37"/>
      <c r="V82" s="37"/>
      <c r="W82" s="37"/>
      <c r="X82" s="38"/>
      <c r="Y82" s="211"/>
      <c r="Z82" s="37"/>
      <c r="AA82" s="37"/>
      <c r="AB82" s="37"/>
      <c r="AC82" s="37"/>
      <c r="AD82" s="37">
        <f>+AM82+BA82</f>
        <v>1440</v>
      </c>
      <c r="AE82" s="230" t="s">
        <v>586</v>
      </c>
      <c r="AF82" s="33"/>
      <c r="AG82" s="33"/>
      <c r="AH82" s="33"/>
      <c r="AI82" s="33"/>
      <c r="AJ82" s="37"/>
      <c r="AK82" s="37"/>
      <c r="AL82" s="37"/>
      <c r="AM82" s="37">
        <f t="shared" ref="AM82" si="217">SUM(AF82:AL82)+AT82+AV82+AX82</f>
        <v>0</v>
      </c>
      <c r="AN82" s="37"/>
      <c r="AO82" s="37"/>
      <c r="AP82" s="37"/>
      <c r="AQ82" s="37"/>
      <c r="AR82" s="37">
        <f t="shared" ref="AR82" si="218">SUM(AN82:AQ82)</f>
        <v>0</v>
      </c>
      <c r="AS82" s="37"/>
      <c r="AT82" s="37"/>
      <c r="AU82" s="37">
        <v>1440</v>
      </c>
      <c r="AV82" s="37"/>
      <c r="AW82" s="37"/>
      <c r="AX82" s="37"/>
      <c r="AY82" s="37"/>
      <c r="AZ82" s="37"/>
      <c r="BA82" s="37">
        <f>+AR82+AS82+AU82+AW82+AY82+AZ82</f>
        <v>1440</v>
      </c>
      <c r="BB82" s="33"/>
      <c r="BC82" s="504"/>
      <c r="BD82" s="504"/>
      <c r="BE82" s="33"/>
      <c r="BF82" s="504"/>
    </row>
    <row r="83" spans="1:58" ht="13.5" customHeight="1">
      <c r="A83" s="40"/>
      <c r="B83" s="41"/>
      <c r="C83" s="415"/>
      <c r="D83" s="41"/>
      <c r="E83" s="42"/>
      <c r="F83" s="42"/>
      <c r="G83" s="500"/>
      <c r="H83" s="44"/>
      <c r="I83" s="45"/>
      <c r="J83" s="82"/>
      <c r="K83" s="82"/>
      <c r="L83" s="35"/>
      <c r="M83" s="35"/>
      <c r="N83" s="46"/>
      <c r="O83" s="47"/>
      <c r="P83" s="48"/>
      <c r="Q83" s="47"/>
      <c r="R83" s="501"/>
      <c r="S83" s="501"/>
      <c r="T83" s="37"/>
      <c r="U83" s="37"/>
      <c r="V83" s="37"/>
      <c r="W83" s="37"/>
      <c r="X83" s="502"/>
      <c r="Y83" s="211"/>
      <c r="Z83" s="37"/>
      <c r="AA83" s="49"/>
      <c r="AB83" s="49"/>
      <c r="AC83" s="37"/>
      <c r="AD83" s="37"/>
      <c r="AE83" s="230"/>
      <c r="AF83" s="37"/>
      <c r="AG83" s="37"/>
      <c r="AH83" s="37"/>
      <c r="AI83" s="503"/>
      <c r="AJ83" s="37"/>
      <c r="AK83" s="37"/>
      <c r="AL83" s="37"/>
      <c r="AM83" s="37"/>
      <c r="AN83" s="37"/>
      <c r="AO83" s="37"/>
      <c r="AP83" s="37"/>
      <c r="AQ83" s="37"/>
      <c r="AR83" s="37"/>
      <c r="AS83" s="37"/>
      <c r="AT83" s="37"/>
      <c r="AU83" s="37"/>
      <c r="AV83" s="37"/>
      <c r="AW83" s="37"/>
      <c r="AX83" s="37"/>
      <c r="AY83" s="37"/>
      <c r="AZ83" s="37"/>
      <c r="BA83" s="37"/>
      <c r="BB83" s="33"/>
      <c r="BC83" s="51"/>
      <c r="BD83" s="51"/>
      <c r="BE83" s="51"/>
      <c r="BF83" s="51"/>
    </row>
    <row r="84" spans="1:58" ht="12.75" customHeight="1">
      <c r="A84" s="40">
        <v>45918</v>
      </c>
      <c r="B84" s="41" t="s">
        <v>424</v>
      </c>
      <c r="C84" s="415">
        <f t="shared" ref="C84" si="219">(M84*E84*O84*Q84)/100000000</f>
        <v>43.20594432</v>
      </c>
      <c r="D84" s="41" t="s">
        <v>304</v>
      </c>
      <c r="E84" s="42">
        <v>12</v>
      </c>
      <c r="F84" s="42">
        <v>1</v>
      </c>
      <c r="G84" s="500">
        <v>1230</v>
      </c>
      <c r="H84" s="44">
        <v>0.23</v>
      </c>
      <c r="I84" s="45">
        <v>0.88</v>
      </c>
      <c r="J84" s="82">
        <f t="shared" ref="J84" si="220">E84*G84*(1-H84)*1440/1000000*2.74</f>
        <v>44.842533120000006</v>
      </c>
      <c r="K84" s="82">
        <f t="shared" ref="K84" si="221">(IF(G84&lt;L84,L84,G84)*(1-IF(H84&lt;N84,H84,N84))*E84*O84*Q84)/100000000</f>
        <v>43.20594432</v>
      </c>
      <c r="L84" s="35">
        <v>1230</v>
      </c>
      <c r="M84" s="35">
        <v>947.09999999999991</v>
      </c>
      <c r="N84" s="46">
        <f t="shared" ref="N84" si="222">1-(M84/L84)</f>
        <v>0.23000000000000009</v>
      </c>
      <c r="O84" s="47">
        <f>+'Trim Rwd'!H56</f>
        <v>264</v>
      </c>
      <c r="P84" s="48">
        <f t="shared" ref="P84" si="223">O84*(Q84-R84-S84)</f>
        <v>0</v>
      </c>
      <c r="Q84" s="47">
        <v>1440</v>
      </c>
      <c r="R84" s="501">
        <v>1440</v>
      </c>
      <c r="S84" s="501">
        <v>0</v>
      </c>
      <c r="T84" s="37">
        <f t="shared" ref="T84" si="224">E84*M84*O84*Q84/100000000</f>
        <v>43.20594432</v>
      </c>
      <c r="U84" s="37">
        <f t="shared" ref="U84" si="225">E84*M84*O84*(Q84-R84-S84)/100000000</f>
        <v>0</v>
      </c>
      <c r="V84" s="37">
        <f t="shared" ref="V84" si="226">E84*G84*(1-N84)*O84/100*(R84+S84)/1000000</f>
        <v>43.205944319999993</v>
      </c>
      <c r="W84" s="37">
        <v>0</v>
      </c>
      <c r="X84" s="502">
        <f>SUM(W84:W87)/SUM(K84:K87)</f>
        <v>0</v>
      </c>
      <c r="Y84" s="211">
        <f>+SUM(RBP!AG8:AG9)</f>
        <v>0</v>
      </c>
      <c r="Z84" s="37">
        <f>+'18'!D7/1000</f>
        <v>0.2</v>
      </c>
      <c r="AA84" s="49">
        <f>SUM(U84:U87)-SUM(W84:W87)-SUM(Z84:Z87)-SUM(Y84:Y87)</f>
        <v>-0.2</v>
      </c>
      <c r="AB84" s="49">
        <f>(SUM(K84:K87)-SUM(W84:W87)-SUM(Y84:Y87)-SUM(Z84:Z87)-SUM(AC84:AC87)-SUM(V84:V87))-AA84</f>
        <v>4.2743586448068527E-15</v>
      </c>
      <c r="AC84" s="37">
        <f>K84-T84</f>
        <v>0</v>
      </c>
      <c r="AD84" s="37">
        <f>+AM84+BA84</f>
        <v>0</v>
      </c>
      <c r="AE84" s="230" t="s">
        <v>466</v>
      </c>
      <c r="AF84" s="37">
        <v>0</v>
      </c>
      <c r="AG84" s="37"/>
      <c r="AH84" s="37"/>
      <c r="AI84" s="37"/>
      <c r="AJ84" s="37"/>
      <c r="AK84" s="37"/>
      <c r="AL84" s="37"/>
      <c r="AM84" s="37">
        <f t="shared" ref="AM84:AM86" si="227">SUM(AF84:AL84)+AT84+AV84+AX84</f>
        <v>0</v>
      </c>
      <c r="AN84" s="37"/>
      <c r="AO84" s="37"/>
      <c r="AP84" s="37"/>
      <c r="AQ84" s="37"/>
      <c r="AR84" s="37">
        <f>SUM(AN84:AQ84)</f>
        <v>0</v>
      </c>
      <c r="AS84" s="37"/>
      <c r="AT84" s="37"/>
      <c r="AU84" s="37"/>
      <c r="AV84" s="37"/>
      <c r="AW84" s="37"/>
      <c r="AX84" s="37"/>
      <c r="AY84" s="37"/>
      <c r="AZ84" s="37"/>
      <c r="BA84" s="37">
        <f>+AR84+AS84+AU84+AW84+AY84+AZ84</f>
        <v>0</v>
      </c>
      <c r="BB84" s="33">
        <v>0</v>
      </c>
      <c r="BC84" s="51"/>
      <c r="BD84" s="51"/>
      <c r="BE84" s="33"/>
      <c r="BF84" s="51"/>
    </row>
    <row r="85" spans="1:58" ht="12.95" customHeight="1">
      <c r="A85" s="40"/>
      <c r="B85" s="41"/>
      <c r="C85" s="415"/>
      <c r="D85" s="41"/>
      <c r="E85" s="42"/>
      <c r="F85" s="42"/>
      <c r="G85" s="500"/>
      <c r="H85" s="44"/>
      <c r="I85" s="45"/>
      <c r="J85" s="82"/>
      <c r="K85" s="82"/>
      <c r="L85" s="35"/>
      <c r="M85" s="35"/>
      <c r="N85" s="46"/>
      <c r="O85" s="47"/>
      <c r="P85" s="48"/>
      <c r="Q85" s="47"/>
      <c r="R85" s="501"/>
      <c r="S85" s="501"/>
      <c r="T85" s="37"/>
      <c r="U85" s="37"/>
      <c r="V85" s="37"/>
      <c r="W85" s="37">
        <v>0</v>
      </c>
      <c r="X85" s="38"/>
      <c r="Y85" s="211"/>
      <c r="Z85" s="37">
        <v>0</v>
      </c>
      <c r="AA85" s="37"/>
      <c r="AB85" s="37"/>
      <c r="AC85" s="37">
        <f>K85-T85</f>
        <v>0</v>
      </c>
      <c r="AD85" s="37">
        <f>+AM85+BA85</f>
        <v>0</v>
      </c>
      <c r="AE85" s="230" t="s">
        <v>432</v>
      </c>
      <c r="AF85" s="37"/>
      <c r="AG85" s="37">
        <v>0</v>
      </c>
      <c r="AH85" s="37"/>
      <c r="AI85" s="37"/>
      <c r="AJ85" s="37"/>
      <c r="AK85" s="37"/>
      <c r="AL85" s="37"/>
      <c r="AM85" s="37">
        <f t="shared" si="227"/>
        <v>0</v>
      </c>
      <c r="AN85" s="83"/>
      <c r="AO85" s="37"/>
      <c r="AP85" s="37"/>
      <c r="AQ85" s="37"/>
      <c r="AR85" s="37">
        <f t="shared" ref="AR85:AR86" si="228">SUM(AN85:AQ85)</f>
        <v>0</v>
      </c>
      <c r="AS85" s="37"/>
      <c r="AT85" s="37"/>
      <c r="AU85" s="37"/>
      <c r="AV85" s="37"/>
      <c r="AW85" s="37"/>
      <c r="AX85" s="37"/>
      <c r="AY85" s="37"/>
      <c r="AZ85" s="37"/>
      <c r="BA85" s="37">
        <f>+AR85+AS85+AU85+AW85+AY85+AZ85</f>
        <v>0</v>
      </c>
      <c r="BB85" s="50"/>
      <c r="BC85" s="51">
        <v>0</v>
      </c>
      <c r="BD85" s="51"/>
      <c r="BE85" s="50"/>
      <c r="BF85" s="51"/>
    </row>
    <row r="86" spans="1:58" ht="12.95" customHeight="1">
      <c r="A86" s="40"/>
      <c r="B86" s="41"/>
      <c r="C86" s="415"/>
      <c r="D86" s="41"/>
      <c r="E86" s="42"/>
      <c r="F86" s="42"/>
      <c r="G86" s="43"/>
      <c r="H86" s="44"/>
      <c r="I86" s="45"/>
      <c r="J86" s="82"/>
      <c r="K86" s="82"/>
      <c r="L86" s="35"/>
      <c r="M86" s="35"/>
      <c r="N86" s="46"/>
      <c r="O86" s="47"/>
      <c r="P86" s="48"/>
      <c r="Q86" s="47"/>
      <c r="R86" s="501"/>
      <c r="S86" s="501"/>
      <c r="T86" s="37"/>
      <c r="U86" s="37"/>
      <c r="V86" s="37"/>
      <c r="W86" s="37"/>
      <c r="X86" s="38"/>
      <c r="Y86" s="211"/>
      <c r="Z86" s="37"/>
      <c r="AA86" s="37"/>
      <c r="AB86" s="37"/>
      <c r="AC86" s="37"/>
      <c r="AD86" s="37">
        <f>+AM86+BA86</f>
        <v>0</v>
      </c>
      <c r="AE86" s="230" t="s">
        <v>507</v>
      </c>
      <c r="AF86" s="33"/>
      <c r="AG86" s="33"/>
      <c r="AH86" s="33">
        <v>0</v>
      </c>
      <c r="AI86" s="33"/>
      <c r="AJ86" s="37"/>
      <c r="AK86" s="37"/>
      <c r="AL86" s="37"/>
      <c r="AM86" s="37">
        <f t="shared" si="227"/>
        <v>0</v>
      </c>
      <c r="AN86" s="37"/>
      <c r="AO86" s="37"/>
      <c r="AP86" s="37"/>
      <c r="AQ86" s="37"/>
      <c r="AR86" s="37">
        <f t="shared" si="228"/>
        <v>0</v>
      </c>
      <c r="AS86" s="37"/>
      <c r="AT86" s="37"/>
      <c r="AU86" s="37"/>
      <c r="AV86" s="37"/>
      <c r="AW86" s="37"/>
      <c r="AX86" s="37"/>
      <c r="AY86" s="37"/>
      <c r="AZ86" s="37"/>
      <c r="BA86" s="37">
        <f>+AR86+AS86+AU86+AW86+AY86+AZ86</f>
        <v>0</v>
      </c>
      <c r="BB86" s="33"/>
      <c r="BC86" s="504"/>
      <c r="BD86" s="504"/>
      <c r="BE86" s="33"/>
      <c r="BF86" s="504"/>
    </row>
    <row r="87" spans="1:58" ht="12.95" customHeight="1">
      <c r="A87" s="40"/>
      <c r="B87" s="41"/>
      <c r="C87" s="415"/>
      <c r="D87" s="41"/>
      <c r="E87" s="42"/>
      <c r="F87" s="42"/>
      <c r="G87" s="43"/>
      <c r="H87" s="44"/>
      <c r="I87" s="45"/>
      <c r="J87" s="82"/>
      <c r="K87" s="82"/>
      <c r="L87" s="35"/>
      <c r="M87" s="35"/>
      <c r="N87" s="46"/>
      <c r="O87" s="47"/>
      <c r="P87" s="48"/>
      <c r="Q87" s="47"/>
      <c r="R87" s="501"/>
      <c r="S87" s="501"/>
      <c r="T87" s="37"/>
      <c r="U87" s="37"/>
      <c r="V87" s="37"/>
      <c r="W87" s="37"/>
      <c r="X87" s="38"/>
      <c r="Y87" s="211"/>
      <c r="Z87" s="37"/>
      <c r="AA87" s="37"/>
      <c r="AB87" s="37"/>
      <c r="AC87" s="37"/>
      <c r="AD87" s="37">
        <f>+AM87+BA87</f>
        <v>1440</v>
      </c>
      <c r="AE87" s="230" t="s">
        <v>586</v>
      </c>
      <c r="AF87" s="33"/>
      <c r="AG87" s="33"/>
      <c r="AH87" s="33"/>
      <c r="AI87" s="33"/>
      <c r="AJ87" s="37"/>
      <c r="AK87" s="37"/>
      <c r="AL87" s="37"/>
      <c r="AM87" s="37">
        <f t="shared" ref="AM87" si="229">SUM(AF87:AL87)+AT87+AV87+AX87</f>
        <v>0</v>
      </c>
      <c r="AN87" s="37"/>
      <c r="AO87" s="37"/>
      <c r="AP87" s="37"/>
      <c r="AQ87" s="37"/>
      <c r="AR87" s="37">
        <f t="shared" ref="AR87" si="230">SUM(AN87:AQ87)</f>
        <v>0</v>
      </c>
      <c r="AS87" s="37"/>
      <c r="AT87" s="37"/>
      <c r="AU87" s="37">
        <v>1440</v>
      </c>
      <c r="AV87" s="37"/>
      <c r="AW87" s="37"/>
      <c r="AX87" s="37"/>
      <c r="AY87" s="37"/>
      <c r="AZ87" s="37"/>
      <c r="BA87" s="37">
        <f>+AR87+AS87+AU87+AW87+AY87+AZ87</f>
        <v>1440</v>
      </c>
      <c r="BB87" s="33"/>
      <c r="BC87" s="504"/>
      <c r="BD87" s="504"/>
      <c r="BE87" s="33"/>
      <c r="BF87" s="504"/>
    </row>
    <row r="88" spans="1:58" ht="13.5" customHeight="1">
      <c r="A88" s="40"/>
      <c r="B88" s="41"/>
      <c r="C88" s="415"/>
      <c r="D88" s="41"/>
      <c r="E88" s="42"/>
      <c r="F88" s="42"/>
      <c r="G88" s="500"/>
      <c r="H88" s="44"/>
      <c r="I88" s="45"/>
      <c r="J88" s="82"/>
      <c r="K88" s="82"/>
      <c r="L88" s="35"/>
      <c r="M88" s="35"/>
      <c r="N88" s="46"/>
      <c r="O88" s="47"/>
      <c r="P88" s="48"/>
      <c r="Q88" s="47"/>
      <c r="R88" s="501"/>
      <c r="S88" s="501"/>
      <c r="T88" s="37"/>
      <c r="U88" s="37"/>
      <c r="V88" s="37"/>
      <c r="W88" s="37"/>
      <c r="X88" s="502"/>
      <c r="Y88" s="211"/>
      <c r="Z88" s="37"/>
      <c r="AA88" s="49"/>
      <c r="AB88" s="49"/>
      <c r="AC88" s="37"/>
      <c r="AD88" s="37"/>
      <c r="AE88" s="230"/>
      <c r="AF88" s="37"/>
      <c r="AG88" s="37"/>
      <c r="AH88" s="37"/>
      <c r="AI88" s="503"/>
      <c r="AJ88" s="37"/>
      <c r="AK88" s="37"/>
      <c r="AL88" s="37"/>
      <c r="AM88" s="37"/>
      <c r="AN88" s="37"/>
      <c r="AO88" s="37"/>
      <c r="AP88" s="37"/>
      <c r="AQ88" s="37"/>
      <c r="AR88" s="37"/>
      <c r="AS88" s="37"/>
      <c r="AT88" s="37"/>
      <c r="AU88" s="37"/>
      <c r="AV88" s="37"/>
      <c r="AW88" s="37"/>
      <c r="AX88" s="37"/>
      <c r="AY88" s="37"/>
      <c r="AZ88" s="37"/>
      <c r="BA88" s="37"/>
      <c r="BB88" s="33"/>
      <c r="BC88" s="51"/>
      <c r="BD88" s="51"/>
      <c r="BE88" s="51"/>
      <c r="BF88" s="51"/>
    </row>
    <row r="89" spans="1:58" ht="12.75" customHeight="1">
      <c r="A89" s="40">
        <v>45919</v>
      </c>
      <c r="B89" s="41" t="s">
        <v>424</v>
      </c>
      <c r="C89" s="415">
        <f t="shared" ref="C89" si="231">(M89*E89*O89*Q89)/100000000</f>
        <v>43.20594432</v>
      </c>
      <c r="D89" s="41" t="s">
        <v>304</v>
      </c>
      <c r="E89" s="42">
        <v>12</v>
      </c>
      <c r="F89" s="42">
        <v>1</v>
      </c>
      <c r="G89" s="500">
        <v>1230</v>
      </c>
      <c r="H89" s="44">
        <v>0.23</v>
      </c>
      <c r="I89" s="45">
        <v>0.88</v>
      </c>
      <c r="J89" s="82">
        <f t="shared" ref="J89" si="232">E89*G89*(1-H89)*1440/1000000*2.74</f>
        <v>44.842533120000006</v>
      </c>
      <c r="K89" s="82">
        <f t="shared" ref="K89" si="233">(IF(G89&lt;L89,L89,G89)*(1-IF(H89&lt;N89,H89,N89))*E89*O89*Q89)/100000000</f>
        <v>43.20594432</v>
      </c>
      <c r="L89" s="35">
        <v>1230</v>
      </c>
      <c r="M89" s="35">
        <v>947.09999999999991</v>
      </c>
      <c r="N89" s="46">
        <f t="shared" ref="N89" si="234">1-(M89/L89)</f>
        <v>0.23000000000000009</v>
      </c>
      <c r="O89" s="47">
        <f>+'Trim Rwd'!H58</f>
        <v>264</v>
      </c>
      <c r="P89" s="48">
        <f t="shared" ref="P89" si="235">O89*(Q89-R89-S89)</f>
        <v>0</v>
      </c>
      <c r="Q89" s="47">
        <v>1440</v>
      </c>
      <c r="R89" s="501">
        <v>1440</v>
      </c>
      <c r="S89" s="501">
        <v>0</v>
      </c>
      <c r="T89" s="37">
        <f t="shared" ref="T89" si="236">E89*M89*O89*Q89/100000000</f>
        <v>43.20594432</v>
      </c>
      <c r="U89" s="37">
        <f t="shared" ref="U89" si="237">E89*M89*O89*(Q89-R89-S89)/100000000</f>
        <v>0</v>
      </c>
      <c r="V89" s="37">
        <f t="shared" ref="V89" si="238">E89*G89*(1-N89)*O89/100*(R89+S89)/1000000</f>
        <v>43.205944319999993</v>
      </c>
      <c r="W89" s="37">
        <v>0</v>
      </c>
      <c r="X89" s="502">
        <f>SUM(W89:W92)/SUM(K89:K92)</f>
        <v>0</v>
      </c>
      <c r="Y89" s="211">
        <v>0</v>
      </c>
      <c r="Z89" s="37">
        <v>0</v>
      </c>
      <c r="AA89" s="49">
        <f>SUM(U89:U92)-SUM(W89:W92)-SUM(Z89:Z92)-SUM(Y89:Y92)</f>
        <v>0</v>
      </c>
      <c r="AB89" s="49">
        <f>(SUM(K89:K92)-SUM(W89:W92)-SUM(Y89:Y92)-SUM(Z89:Z92)-SUM(AC89:AC92)-SUM(V89:V92))-AA89</f>
        <v>7.1054273576010019E-15</v>
      </c>
      <c r="AC89" s="37">
        <f>K89-T89</f>
        <v>0</v>
      </c>
      <c r="AD89" s="37">
        <f>+AM89+BA89</f>
        <v>0</v>
      </c>
      <c r="AE89" s="230" t="s">
        <v>466</v>
      </c>
      <c r="AF89" s="37">
        <v>0</v>
      </c>
      <c r="AG89" s="37"/>
      <c r="AH89" s="37"/>
      <c r="AI89" s="37"/>
      <c r="AJ89" s="37"/>
      <c r="AK89" s="37"/>
      <c r="AL89" s="37"/>
      <c r="AM89" s="37">
        <f t="shared" ref="AM89:AM91" si="239">SUM(AF89:AL89)+AT89+AV89+AX89</f>
        <v>0</v>
      </c>
      <c r="AN89" s="37"/>
      <c r="AO89" s="37"/>
      <c r="AP89" s="37"/>
      <c r="AQ89" s="37"/>
      <c r="AR89" s="37">
        <f>SUM(AN89:AQ89)</f>
        <v>0</v>
      </c>
      <c r="AS89" s="37"/>
      <c r="AT89" s="37"/>
      <c r="AU89" s="37"/>
      <c r="AV89" s="37"/>
      <c r="AW89" s="37"/>
      <c r="AX89" s="37"/>
      <c r="AY89" s="37"/>
      <c r="AZ89" s="37"/>
      <c r="BA89" s="37">
        <f>+AR89+AS89+AU89+AW89+AY89+AZ89</f>
        <v>0</v>
      </c>
      <c r="BB89" s="33">
        <v>0</v>
      </c>
      <c r="BC89" s="51"/>
      <c r="BD89" s="51"/>
      <c r="BE89" s="33"/>
      <c r="BF89" s="51"/>
    </row>
    <row r="90" spans="1:58" ht="12.95" customHeight="1">
      <c r="A90" s="40"/>
      <c r="B90" s="41"/>
      <c r="C90" s="415"/>
      <c r="D90" s="41"/>
      <c r="E90" s="42"/>
      <c r="F90" s="42"/>
      <c r="G90" s="500"/>
      <c r="H90" s="44"/>
      <c r="I90" s="45"/>
      <c r="J90" s="82"/>
      <c r="K90" s="82"/>
      <c r="L90" s="35"/>
      <c r="M90" s="35"/>
      <c r="N90" s="46"/>
      <c r="O90" s="47"/>
      <c r="P90" s="48"/>
      <c r="Q90" s="47"/>
      <c r="R90" s="501"/>
      <c r="S90" s="501"/>
      <c r="T90" s="37"/>
      <c r="U90" s="37"/>
      <c r="V90" s="37"/>
      <c r="W90" s="37">
        <v>0</v>
      </c>
      <c r="X90" s="38"/>
      <c r="Y90" s="211"/>
      <c r="Z90" s="37">
        <v>0</v>
      </c>
      <c r="AA90" s="37"/>
      <c r="AB90" s="37"/>
      <c r="AC90" s="37">
        <f>K90-T90</f>
        <v>0</v>
      </c>
      <c r="AD90" s="37">
        <f>+AM90+BA90</f>
        <v>0</v>
      </c>
      <c r="AE90" s="230" t="s">
        <v>432</v>
      </c>
      <c r="AF90" s="37"/>
      <c r="AG90" s="37">
        <v>0</v>
      </c>
      <c r="AH90" s="37"/>
      <c r="AI90" s="37"/>
      <c r="AJ90" s="37"/>
      <c r="AK90" s="37"/>
      <c r="AL90" s="37"/>
      <c r="AM90" s="37">
        <f t="shared" si="239"/>
        <v>0</v>
      </c>
      <c r="AN90" s="83"/>
      <c r="AO90" s="37"/>
      <c r="AP90" s="37"/>
      <c r="AQ90" s="37"/>
      <c r="AR90" s="37">
        <f t="shared" ref="AR90:AR91" si="240">SUM(AN90:AQ90)</f>
        <v>0</v>
      </c>
      <c r="AS90" s="37"/>
      <c r="AT90" s="37"/>
      <c r="AU90" s="37"/>
      <c r="AV90" s="37"/>
      <c r="AW90" s="37"/>
      <c r="AX90" s="37"/>
      <c r="AY90" s="37"/>
      <c r="AZ90" s="37"/>
      <c r="BA90" s="37">
        <f>+AR90+AS90+AU90+AW90+AY90+AZ90</f>
        <v>0</v>
      </c>
      <c r="BB90" s="50"/>
      <c r="BC90" s="51">
        <v>0</v>
      </c>
      <c r="BD90" s="51"/>
      <c r="BE90" s="50"/>
      <c r="BF90" s="51"/>
    </row>
    <row r="91" spans="1:58" ht="12.95" customHeight="1">
      <c r="A91" s="40"/>
      <c r="B91" s="41"/>
      <c r="C91" s="415"/>
      <c r="D91" s="41"/>
      <c r="E91" s="42"/>
      <c r="F91" s="42"/>
      <c r="G91" s="43"/>
      <c r="H91" s="44"/>
      <c r="I91" s="45"/>
      <c r="J91" s="82"/>
      <c r="K91" s="82"/>
      <c r="L91" s="35"/>
      <c r="M91" s="35"/>
      <c r="N91" s="46"/>
      <c r="O91" s="47"/>
      <c r="P91" s="48"/>
      <c r="Q91" s="47"/>
      <c r="R91" s="501"/>
      <c r="S91" s="501"/>
      <c r="T91" s="37"/>
      <c r="U91" s="37"/>
      <c r="V91" s="37"/>
      <c r="W91" s="37"/>
      <c r="X91" s="38"/>
      <c r="Y91" s="211"/>
      <c r="Z91" s="37"/>
      <c r="AA91" s="37"/>
      <c r="AB91" s="37"/>
      <c r="AC91" s="37"/>
      <c r="AD91" s="37">
        <f>+AM91+BA91</f>
        <v>0</v>
      </c>
      <c r="AE91" s="230" t="s">
        <v>507</v>
      </c>
      <c r="AF91" s="33"/>
      <c r="AG91" s="33"/>
      <c r="AH91" s="33">
        <v>0</v>
      </c>
      <c r="AI91" s="33"/>
      <c r="AJ91" s="37"/>
      <c r="AK91" s="37"/>
      <c r="AL91" s="37"/>
      <c r="AM91" s="37">
        <f t="shared" si="239"/>
        <v>0</v>
      </c>
      <c r="AN91" s="37"/>
      <c r="AO91" s="37"/>
      <c r="AP91" s="37"/>
      <c r="AQ91" s="37"/>
      <c r="AR91" s="37">
        <f t="shared" si="240"/>
        <v>0</v>
      </c>
      <c r="AS91" s="37"/>
      <c r="AT91" s="37"/>
      <c r="AU91" s="37"/>
      <c r="AV91" s="37"/>
      <c r="AW91" s="37"/>
      <c r="AX91" s="37"/>
      <c r="AY91" s="37"/>
      <c r="AZ91" s="37"/>
      <c r="BA91" s="37">
        <f>+AR91+AS91+AU91+AW91+AY91+AZ91</f>
        <v>0</v>
      </c>
      <c r="BB91" s="33"/>
      <c r="BC91" s="504"/>
      <c r="BD91" s="504"/>
      <c r="BE91" s="33"/>
      <c r="BF91" s="504"/>
    </row>
    <row r="92" spans="1:58" ht="12.95" customHeight="1">
      <c r="A92" s="40"/>
      <c r="B92" s="41"/>
      <c r="C92" s="415"/>
      <c r="D92" s="41"/>
      <c r="E92" s="42"/>
      <c r="F92" s="42"/>
      <c r="G92" s="43"/>
      <c r="H92" s="44"/>
      <c r="I92" s="45"/>
      <c r="J92" s="82"/>
      <c r="K92" s="82"/>
      <c r="L92" s="35"/>
      <c r="M92" s="35"/>
      <c r="N92" s="46"/>
      <c r="O92" s="47"/>
      <c r="P92" s="48"/>
      <c r="Q92" s="47"/>
      <c r="R92" s="501"/>
      <c r="S92" s="501"/>
      <c r="T92" s="37"/>
      <c r="U92" s="37"/>
      <c r="V92" s="37"/>
      <c r="W92" s="37"/>
      <c r="X92" s="38"/>
      <c r="Y92" s="211"/>
      <c r="Z92" s="37"/>
      <c r="AA92" s="37"/>
      <c r="AB92" s="37"/>
      <c r="AC92" s="37"/>
      <c r="AD92" s="37">
        <f>+AM92+BA92</f>
        <v>1440</v>
      </c>
      <c r="AE92" s="230" t="s">
        <v>586</v>
      </c>
      <c r="AF92" s="33"/>
      <c r="AG92" s="33"/>
      <c r="AH92" s="33"/>
      <c r="AI92" s="33"/>
      <c r="AJ92" s="37"/>
      <c r="AK92" s="37"/>
      <c r="AL92" s="37"/>
      <c r="AM92" s="37">
        <f t="shared" ref="AM92" si="241">SUM(AF92:AL92)+AT92+AV92+AX92</f>
        <v>0</v>
      </c>
      <c r="AN92" s="37"/>
      <c r="AO92" s="37"/>
      <c r="AP92" s="37"/>
      <c r="AQ92" s="37"/>
      <c r="AR92" s="37">
        <f t="shared" ref="AR92" si="242">SUM(AN92:AQ92)</f>
        <v>0</v>
      </c>
      <c r="AS92" s="37"/>
      <c r="AT92" s="37"/>
      <c r="AU92" s="37">
        <v>1440</v>
      </c>
      <c r="AV92" s="37"/>
      <c r="AW92" s="37"/>
      <c r="AX92" s="37"/>
      <c r="AY92" s="37"/>
      <c r="AZ92" s="37"/>
      <c r="BA92" s="37">
        <f>+AR92+AS92+AU92+AW92+AY92+AZ92</f>
        <v>1440</v>
      </c>
      <c r="BB92" s="33"/>
      <c r="BC92" s="504"/>
      <c r="BD92" s="504"/>
      <c r="BE92" s="33"/>
      <c r="BF92" s="504"/>
    </row>
    <row r="93" spans="1:58" ht="12.95" customHeight="1">
      <c r="A93" s="40"/>
      <c r="B93" s="41"/>
      <c r="C93" s="415"/>
      <c r="D93" s="41"/>
      <c r="E93" s="42"/>
      <c r="F93" s="42"/>
      <c r="G93" s="43"/>
      <c r="H93" s="44"/>
      <c r="I93" s="45"/>
      <c r="J93" s="82"/>
      <c r="K93" s="82"/>
      <c r="L93" s="35"/>
      <c r="M93" s="35"/>
      <c r="N93" s="46"/>
      <c r="O93" s="47"/>
      <c r="P93" s="48"/>
      <c r="Q93" s="47"/>
      <c r="R93" s="501"/>
      <c r="S93" s="501"/>
      <c r="T93" s="37"/>
      <c r="U93" s="37"/>
      <c r="V93" s="37"/>
      <c r="W93" s="37"/>
      <c r="X93" s="38"/>
      <c r="Y93" s="211"/>
      <c r="Z93" s="37"/>
      <c r="AA93" s="37"/>
      <c r="AB93" s="37"/>
      <c r="AC93" s="37"/>
      <c r="AD93" s="37"/>
      <c r="AE93" s="230"/>
      <c r="AF93" s="33"/>
      <c r="AG93" s="33"/>
      <c r="AH93" s="33"/>
      <c r="AI93" s="33"/>
      <c r="AJ93" s="37"/>
      <c r="AK93" s="37"/>
      <c r="AL93" s="37"/>
      <c r="AM93" s="37"/>
      <c r="AN93" s="37"/>
      <c r="AO93" s="37"/>
      <c r="AP93" s="37"/>
      <c r="AQ93" s="37"/>
      <c r="AR93" s="37"/>
      <c r="AS93" s="37"/>
      <c r="AT93" s="37"/>
      <c r="AU93" s="37"/>
      <c r="AV93" s="37"/>
      <c r="AW93" s="37"/>
      <c r="AX93" s="37"/>
      <c r="AY93" s="37"/>
      <c r="AZ93" s="37"/>
      <c r="BA93" s="37"/>
      <c r="BB93" s="33"/>
      <c r="BC93" s="504"/>
      <c r="BD93" s="504"/>
      <c r="BE93" s="33"/>
      <c r="BF93" s="504"/>
    </row>
    <row r="94" spans="1:58" ht="12.75" customHeight="1">
      <c r="A94" s="40">
        <v>45920</v>
      </c>
      <c r="B94" s="41" t="s">
        <v>424</v>
      </c>
      <c r="C94" s="415">
        <f t="shared" ref="C94" si="243">(M94*E94*O94*Q94)/100000000</f>
        <v>43.20594432</v>
      </c>
      <c r="D94" s="41" t="s">
        <v>304</v>
      </c>
      <c r="E94" s="42">
        <v>12</v>
      </c>
      <c r="F94" s="42">
        <v>1</v>
      </c>
      <c r="G94" s="500">
        <v>1230</v>
      </c>
      <c r="H94" s="44">
        <v>0.23</v>
      </c>
      <c r="I94" s="45">
        <v>0.88</v>
      </c>
      <c r="J94" s="82">
        <f t="shared" ref="J94" si="244">E94*G94*(1-H94)*1440/1000000*2.74</f>
        <v>44.842533120000006</v>
      </c>
      <c r="K94" s="82">
        <f t="shared" ref="K94" si="245">(IF(G94&lt;L94,L94,G94)*(1-IF(H94&lt;N94,H94,N94))*E94*O94*Q94)/100000000</f>
        <v>43.20594432</v>
      </c>
      <c r="L94" s="35">
        <v>1230</v>
      </c>
      <c r="M94" s="35">
        <v>947.09999999999991</v>
      </c>
      <c r="N94" s="46">
        <f t="shared" ref="N94" si="246">1-(M94/L94)</f>
        <v>0.23000000000000009</v>
      </c>
      <c r="O94" s="47">
        <f>+'Trim Rwd'!H60</f>
        <v>264</v>
      </c>
      <c r="P94" s="48">
        <f t="shared" ref="P94" si="247">O94*(Q94-R94-S94)</f>
        <v>0</v>
      </c>
      <c r="Q94" s="47">
        <v>1440</v>
      </c>
      <c r="R94" s="501">
        <v>1440</v>
      </c>
      <c r="S94" s="501">
        <v>0</v>
      </c>
      <c r="T94" s="37">
        <f t="shared" ref="T94" si="248">E94*M94*O94*Q94/100000000</f>
        <v>43.20594432</v>
      </c>
      <c r="U94" s="37">
        <f t="shared" ref="U94" si="249">E94*M94*O94*(Q94-R94-S94)/100000000</f>
        <v>0</v>
      </c>
      <c r="V94" s="37">
        <f t="shared" ref="V94" si="250">E94*G94*(1-N94)*O94/100*(R94+S94)/1000000</f>
        <v>43.205944319999993</v>
      </c>
      <c r="W94" s="37">
        <v>0</v>
      </c>
      <c r="X94" s="502">
        <f>SUM(W94:W97)/SUM(K94:K97)</f>
        <v>0</v>
      </c>
      <c r="Y94" s="211">
        <f>+SUM(RBP!AG18:AG19)</f>
        <v>0</v>
      </c>
      <c r="Z94" s="37">
        <v>0</v>
      </c>
      <c r="AA94" s="49">
        <f>SUM(U94:U97)-SUM(W94:W97)-SUM(Z94:Z97)-SUM(Y94:Y97)</f>
        <v>0</v>
      </c>
      <c r="AB94" s="49">
        <f>(SUM(K94:K97)-SUM(W94:W97)-SUM(Y94:Y97)-SUM(Z94:Z97)-SUM(AC94:AC97)-SUM(V94:V97))-AA94</f>
        <v>7.1054273576010019E-15</v>
      </c>
      <c r="AC94" s="37">
        <f>K94-T94</f>
        <v>0</v>
      </c>
      <c r="AD94" s="37">
        <f>+AM94+BA94</f>
        <v>0</v>
      </c>
      <c r="AE94" s="230" t="s">
        <v>466</v>
      </c>
      <c r="AF94" s="37">
        <v>0</v>
      </c>
      <c r="AG94" s="37"/>
      <c r="AH94" s="37"/>
      <c r="AI94" s="37"/>
      <c r="AJ94" s="37"/>
      <c r="AK94" s="37"/>
      <c r="AL94" s="37"/>
      <c r="AM94" s="37">
        <f t="shared" ref="AM94:AM96" si="251">SUM(AF94:AL94)+AT94+AV94+AX94</f>
        <v>0</v>
      </c>
      <c r="AN94" s="37"/>
      <c r="AO94" s="37"/>
      <c r="AP94" s="37"/>
      <c r="AQ94" s="37"/>
      <c r="AR94" s="37">
        <f>SUM(AN94:AQ94)</f>
        <v>0</v>
      </c>
      <c r="AS94" s="37"/>
      <c r="AT94" s="37"/>
      <c r="AU94" s="37"/>
      <c r="AV94" s="37"/>
      <c r="AW94" s="37"/>
      <c r="AX94" s="37"/>
      <c r="AY94" s="37"/>
      <c r="AZ94" s="37"/>
      <c r="BA94" s="37">
        <f>+AR94+AS94+AU94+AW94+AY94+AZ94</f>
        <v>0</v>
      </c>
      <c r="BB94" s="33">
        <v>0</v>
      </c>
      <c r="BC94" s="51"/>
      <c r="BD94" s="51"/>
      <c r="BE94" s="33"/>
      <c r="BF94" s="51"/>
    </row>
    <row r="95" spans="1:58" ht="12.95" customHeight="1">
      <c r="A95" s="40"/>
      <c r="B95" s="41"/>
      <c r="C95" s="415"/>
      <c r="D95" s="41"/>
      <c r="E95" s="42"/>
      <c r="F95" s="42"/>
      <c r="G95" s="500"/>
      <c r="H95" s="44"/>
      <c r="I95" s="45"/>
      <c r="J95" s="82"/>
      <c r="K95" s="82"/>
      <c r="L95" s="35"/>
      <c r="M95" s="35"/>
      <c r="N95" s="46"/>
      <c r="O95" s="47"/>
      <c r="P95" s="48"/>
      <c r="Q95" s="47"/>
      <c r="R95" s="501"/>
      <c r="S95" s="501"/>
      <c r="T95" s="37"/>
      <c r="U95" s="37"/>
      <c r="V95" s="37"/>
      <c r="W95" s="37">
        <v>0</v>
      </c>
      <c r="X95" s="38"/>
      <c r="Y95" s="211"/>
      <c r="Z95" s="37">
        <v>0</v>
      </c>
      <c r="AA95" s="37"/>
      <c r="AB95" s="37"/>
      <c r="AC95" s="37">
        <f>K95-T95</f>
        <v>0</v>
      </c>
      <c r="AD95" s="37">
        <f>+AM95+BA95</f>
        <v>0</v>
      </c>
      <c r="AE95" s="230" t="s">
        <v>432</v>
      </c>
      <c r="AF95" s="37"/>
      <c r="AG95" s="37">
        <v>0</v>
      </c>
      <c r="AH95" s="37"/>
      <c r="AI95" s="37"/>
      <c r="AJ95" s="37"/>
      <c r="AK95" s="37"/>
      <c r="AL95" s="37"/>
      <c r="AM95" s="37">
        <f t="shared" si="251"/>
        <v>0</v>
      </c>
      <c r="AN95" s="83"/>
      <c r="AO95" s="37"/>
      <c r="AP95" s="37"/>
      <c r="AQ95" s="37"/>
      <c r="AR95" s="37">
        <f t="shared" ref="AR95:AR96" si="252">SUM(AN95:AQ95)</f>
        <v>0</v>
      </c>
      <c r="AS95" s="37"/>
      <c r="AT95" s="37"/>
      <c r="AU95" s="37"/>
      <c r="AV95" s="37"/>
      <c r="AW95" s="37"/>
      <c r="AX95" s="37"/>
      <c r="AY95" s="37"/>
      <c r="AZ95" s="37"/>
      <c r="BA95" s="37">
        <f>+AR95+AS95+AU95+AW95+AY95+AZ95</f>
        <v>0</v>
      </c>
      <c r="BB95" s="50"/>
      <c r="BC95" s="51">
        <v>0</v>
      </c>
      <c r="BD95" s="51"/>
      <c r="BE95" s="50"/>
      <c r="BF95" s="51"/>
    </row>
    <row r="96" spans="1:58" ht="12.95" customHeight="1">
      <c r="A96" s="40"/>
      <c r="B96" s="41"/>
      <c r="C96" s="415"/>
      <c r="D96" s="41"/>
      <c r="E96" s="42"/>
      <c r="F96" s="42"/>
      <c r="G96" s="43"/>
      <c r="H96" s="44"/>
      <c r="I96" s="45"/>
      <c r="J96" s="82"/>
      <c r="K96" s="82"/>
      <c r="L96" s="35"/>
      <c r="M96" s="35"/>
      <c r="N96" s="46"/>
      <c r="O96" s="47"/>
      <c r="P96" s="48"/>
      <c r="Q96" s="47"/>
      <c r="R96" s="501"/>
      <c r="S96" s="501"/>
      <c r="T96" s="37"/>
      <c r="U96" s="37"/>
      <c r="V96" s="37"/>
      <c r="W96" s="37"/>
      <c r="X96" s="38"/>
      <c r="Y96" s="211"/>
      <c r="Z96" s="37"/>
      <c r="AA96" s="37"/>
      <c r="AB96" s="37"/>
      <c r="AC96" s="37"/>
      <c r="AD96" s="37">
        <f>+AM96+BA96</f>
        <v>0</v>
      </c>
      <c r="AE96" s="230" t="s">
        <v>507</v>
      </c>
      <c r="AF96" s="33"/>
      <c r="AG96" s="33"/>
      <c r="AH96" s="33">
        <v>0</v>
      </c>
      <c r="AI96" s="33"/>
      <c r="AJ96" s="37"/>
      <c r="AK96" s="37"/>
      <c r="AL96" s="37"/>
      <c r="AM96" s="37">
        <f t="shared" si="251"/>
        <v>0</v>
      </c>
      <c r="AN96" s="37"/>
      <c r="AO96" s="37"/>
      <c r="AP96" s="37"/>
      <c r="AQ96" s="37"/>
      <c r="AR96" s="37">
        <f t="shared" si="252"/>
        <v>0</v>
      </c>
      <c r="AS96" s="37"/>
      <c r="AT96" s="37"/>
      <c r="AU96" s="37"/>
      <c r="AV96" s="37"/>
      <c r="AW96" s="37"/>
      <c r="AX96" s="37"/>
      <c r="AY96" s="37"/>
      <c r="AZ96" s="37"/>
      <c r="BA96" s="37">
        <f>+AR96+AS96+AU96+AW96+AY96+AZ96</f>
        <v>0</v>
      </c>
      <c r="BB96" s="33"/>
      <c r="BC96" s="504"/>
      <c r="BD96" s="504"/>
      <c r="BE96" s="33"/>
      <c r="BF96" s="504"/>
    </row>
    <row r="97" spans="1:58" ht="12.95" customHeight="1">
      <c r="A97" s="40"/>
      <c r="B97" s="41"/>
      <c r="C97" s="415"/>
      <c r="D97" s="41"/>
      <c r="E97" s="42"/>
      <c r="F97" s="42"/>
      <c r="G97" s="43"/>
      <c r="H97" s="44"/>
      <c r="I97" s="45"/>
      <c r="J97" s="82"/>
      <c r="K97" s="82"/>
      <c r="L97" s="35"/>
      <c r="M97" s="35"/>
      <c r="N97" s="46"/>
      <c r="O97" s="47"/>
      <c r="P97" s="48"/>
      <c r="Q97" s="47"/>
      <c r="R97" s="501"/>
      <c r="S97" s="501"/>
      <c r="T97" s="37"/>
      <c r="U97" s="37"/>
      <c r="V97" s="37"/>
      <c r="W97" s="37"/>
      <c r="X97" s="38"/>
      <c r="Y97" s="211"/>
      <c r="Z97" s="37"/>
      <c r="AA97" s="37"/>
      <c r="AB97" s="37"/>
      <c r="AC97" s="37"/>
      <c r="AD97" s="37">
        <f>+AM97+BA97</f>
        <v>1440</v>
      </c>
      <c r="AE97" s="230" t="s">
        <v>586</v>
      </c>
      <c r="AF97" s="33"/>
      <c r="AG97" s="33"/>
      <c r="AH97" s="33"/>
      <c r="AI97" s="33"/>
      <c r="AJ97" s="37"/>
      <c r="AK97" s="37"/>
      <c r="AL97" s="37"/>
      <c r="AM97" s="37">
        <f t="shared" ref="AM97" si="253">SUM(AF97:AL97)+AT97+AV97+AX97</f>
        <v>0</v>
      </c>
      <c r="AN97" s="37"/>
      <c r="AO97" s="37"/>
      <c r="AP97" s="37"/>
      <c r="AQ97" s="37"/>
      <c r="AR97" s="37">
        <f t="shared" ref="AR97" si="254">SUM(AN97:AQ97)</f>
        <v>0</v>
      </c>
      <c r="AS97" s="37"/>
      <c r="AT97" s="37"/>
      <c r="AU97" s="37">
        <v>1440</v>
      </c>
      <c r="AV97" s="37"/>
      <c r="AW97" s="37"/>
      <c r="AX97" s="37"/>
      <c r="AY97" s="37"/>
      <c r="AZ97" s="37"/>
      <c r="BA97" s="37">
        <f>+AR97+AS97+AU97+AW97+AY97+AZ97</f>
        <v>1440</v>
      </c>
      <c r="BB97" s="33"/>
      <c r="BC97" s="504"/>
      <c r="BD97" s="504"/>
      <c r="BE97" s="33"/>
      <c r="BF97" s="504"/>
    </row>
    <row r="98" spans="1:58" ht="13.5" customHeight="1">
      <c r="A98" s="40"/>
      <c r="B98" s="41"/>
      <c r="C98" s="415"/>
      <c r="D98" s="41"/>
      <c r="E98" s="42"/>
      <c r="F98" s="42"/>
      <c r="G98" s="500"/>
      <c r="H98" s="44"/>
      <c r="I98" s="45"/>
      <c r="J98" s="82"/>
      <c r="K98" s="82"/>
      <c r="L98" s="35"/>
      <c r="M98" s="35"/>
      <c r="N98" s="46"/>
      <c r="O98" s="47"/>
      <c r="P98" s="48"/>
      <c r="Q98" s="47"/>
      <c r="R98" s="501"/>
      <c r="S98" s="501"/>
      <c r="T98" s="37"/>
      <c r="U98" s="37"/>
      <c r="V98" s="37"/>
      <c r="W98" s="37"/>
      <c r="X98" s="502"/>
      <c r="Y98" s="211"/>
      <c r="Z98" s="37"/>
      <c r="AA98" s="49"/>
      <c r="AB98" s="49"/>
      <c r="AC98" s="37"/>
      <c r="AD98" s="37"/>
      <c r="AE98" s="230"/>
      <c r="AF98" s="37"/>
      <c r="AG98" s="37"/>
      <c r="AH98" s="37"/>
      <c r="AI98" s="503"/>
      <c r="AJ98" s="37"/>
      <c r="AK98" s="37"/>
      <c r="AL98" s="37"/>
      <c r="AM98" s="37"/>
      <c r="AN98" s="37"/>
      <c r="AO98" s="37"/>
      <c r="AP98" s="37"/>
      <c r="AQ98" s="37"/>
      <c r="AR98" s="37"/>
      <c r="AS98" s="37"/>
      <c r="AT98" s="37"/>
      <c r="AU98" s="37"/>
      <c r="AV98" s="37"/>
      <c r="AW98" s="37"/>
      <c r="AX98" s="37"/>
      <c r="AY98" s="37"/>
      <c r="AZ98" s="37"/>
      <c r="BA98" s="37"/>
      <c r="BB98" s="33"/>
      <c r="BC98" s="51"/>
      <c r="BD98" s="51"/>
      <c r="BE98" s="51"/>
      <c r="BF98" s="51"/>
    </row>
    <row r="99" spans="1:58" ht="12.75" customHeight="1">
      <c r="A99" s="40">
        <v>45921</v>
      </c>
      <c r="B99" s="41" t="s">
        <v>424</v>
      </c>
      <c r="C99" s="415">
        <f t="shared" ref="C99" si="255">(M99*E99*O99*Q99)/100000000</f>
        <v>43.20594432</v>
      </c>
      <c r="D99" s="41" t="s">
        <v>304</v>
      </c>
      <c r="E99" s="42">
        <v>12</v>
      </c>
      <c r="F99" s="42">
        <v>1</v>
      </c>
      <c r="G99" s="500">
        <v>1230</v>
      </c>
      <c r="H99" s="44">
        <v>0.23</v>
      </c>
      <c r="I99" s="45">
        <v>0.88</v>
      </c>
      <c r="J99" s="82">
        <f t="shared" ref="J99" si="256">E99*G99*(1-H99)*1440/1000000*2.74</f>
        <v>44.842533120000006</v>
      </c>
      <c r="K99" s="82">
        <f t="shared" ref="K99" si="257">(IF(G99&lt;L99,L99,G99)*(1-IF(H99&lt;N99,H99,N99))*E99*O99*Q99)/100000000</f>
        <v>43.20594432</v>
      </c>
      <c r="L99" s="35">
        <v>1230</v>
      </c>
      <c r="M99" s="35">
        <v>947.09999999999991</v>
      </c>
      <c r="N99" s="46">
        <f t="shared" ref="N99" si="258">1-(M99/L99)</f>
        <v>0.23000000000000009</v>
      </c>
      <c r="O99" s="47">
        <f>+'Trim Rwd'!H62</f>
        <v>264</v>
      </c>
      <c r="P99" s="48">
        <f t="shared" ref="P99" si="259">O99*(Q99-R99-S99)</f>
        <v>0</v>
      </c>
      <c r="Q99" s="47">
        <v>1440</v>
      </c>
      <c r="R99" s="501">
        <v>1440</v>
      </c>
      <c r="S99" s="501">
        <v>0</v>
      </c>
      <c r="T99" s="37">
        <f t="shared" ref="T99" si="260">E99*M99*O99*Q99/100000000</f>
        <v>43.20594432</v>
      </c>
      <c r="U99" s="37">
        <f t="shared" ref="U99" si="261">E99*M99*O99*(Q99-R99-S99)/100000000</f>
        <v>0</v>
      </c>
      <c r="V99" s="37">
        <f t="shared" ref="V99" si="262">E99*G99*(1-N99)*O99/100*(R99+S99)/1000000</f>
        <v>43.205944319999993</v>
      </c>
      <c r="W99" s="37">
        <v>0</v>
      </c>
      <c r="X99" s="502">
        <f>SUM(W99:W102)/SUM(K99:K102)</f>
        <v>0</v>
      </c>
      <c r="Y99" s="211">
        <f>+SUM(RBP!AG23:AG24)</f>
        <v>0</v>
      </c>
      <c r="Z99" s="37">
        <v>0</v>
      </c>
      <c r="AA99" s="49">
        <f>SUM(U99:U102)-SUM(W99:W102)-SUM(Z99:Z102)-SUM(Y99:Y102)</f>
        <v>0</v>
      </c>
      <c r="AB99" s="49">
        <f>(SUM(K99:K102)-SUM(W99:W102)-SUM(Y99:Y102)-SUM(Z99:Z102)-SUM(AC99:AC102)-SUM(V99:V102))-AA99</f>
        <v>7.1054273576010019E-15</v>
      </c>
      <c r="AC99" s="37">
        <f>K99-T99</f>
        <v>0</v>
      </c>
      <c r="AD99" s="37">
        <f>+AM99+BA99</f>
        <v>0</v>
      </c>
      <c r="AE99" s="230" t="s">
        <v>466</v>
      </c>
      <c r="AF99" s="37">
        <v>0</v>
      </c>
      <c r="AG99" s="37"/>
      <c r="AH99" s="37"/>
      <c r="AI99" s="37"/>
      <c r="AJ99" s="37"/>
      <c r="AK99" s="37"/>
      <c r="AL99" s="37"/>
      <c r="AM99" s="37">
        <f t="shared" ref="AM99:AM101" si="263">SUM(AF99:AL99)+AT99+AV99+AX99</f>
        <v>0</v>
      </c>
      <c r="AN99" s="37"/>
      <c r="AO99" s="37"/>
      <c r="AP99" s="37"/>
      <c r="AQ99" s="37"/>
      <c r="AR99" s="37">
        <f>SUM(AN99:AQ99)</f>
        <v>0</v>
      </c>
      <c r="AS99" s="37"/>
      <c r="AT99" s="37"/>
      <c r="AU99" s="37"/>
      <c r="AV99" s="37"/>
      <c r="AW99" s="37"/>
      <c r="AX99" s="37"/>
      <c r="AY99" s="37"/>
      <c r="AZ99" s="37"/>
      <c r="BA99" s="37">
        <f>+AR99+AS99+AU99+AW99+AY99+AZ99</f>
        <v>0</v>
      </c>
      <c r="BB99" s="33">
        <v>0</v>
      </c>
      <c r="BC99" s="51"/>
      <c r="BD99" s="51"/>
      <c r="BE99" s="33"/>
      <c r="BF99" s="51"/>
    </row>
    <row r="100" spans="1:58" ht="12.95" customHeight="1">
      <c r="A100" s="40"/>
      <c r="B100" s="41"/>
      <c r="C100" s="415"/>
      <c r="D100" s="41"/>
      <c r="E100" s="42"/>
      <c r="F100" s="42"/>
      <c r="G100" s="500"/>
      <c r="H100" s="44"/>
      <c r="I100" s="45"/>
      <c r="J100" s="82"/>
      <c r="K100" s="82"/>
      <c r="L100" s="35"/>
      <c r="M100" s="35"/>
      <c r="N100" s="46"/>
      <c r="O100" s="47"/>
      <c r="P100" s="48"/>
      <c r="Q100" s="47"/>
      <c r="R100" s="501"/>
      <c r="S100" s="501"/>
      <c r="T100" s="37"/>
      <c r="U100" s="37"/>
      <c r="V100" s="37"/>
      <c r="W100" s="37">
        <v>0</v>
      </c>
      <c r="X100" s="38"/>
      <c r="Y100" s="211"/>
      <c r="Z100" s="37">
        <v>0</v>
      </c>
      <c r="AA100" s="37"/>
      <c r="AB100" s="37"/>
      <c r="AC100" s="37">
        <f>K100-T100</f>
        <v>0</v>
      </c>
      <c r="AD100" s="37">
        <f>+AM100+BA100</f>
        <v>0</v>
      </c>
      <c r="AE100" s="230" t="s">
        <v>432</v>
      </c>
      <c r="AF100" s="37"/>
      <c r="AG100" s="37">
        <v>0</v>
      </c>
      <c r="AH100" s="37"/>
      <c r="AI100" s="37"/>
      <c r="AJ100" s="37"/>
      <c r="AK100" s="37"/>
      <c r="AL100" s="37"/>
      <c r="AM100" s="37">
        <f t="shared" si="263"/>
        <v>0</v>
      </c>
      <c r="AN100" s="83"/>
      <c r="AO100" s="37"/>
      <c r="AP100" s="37"/>
      <c r="AQ100" s="37"/>
      <c r="AR100" s="37">
        <f t="shared" ref="AR100:AR101" si="264">SUM(AN100:AQ100)</f>
        <v>0</v>
      </c>
      <c r="AS100" s="37"/>
      <c r="AT100" s="37"/>
      <c r="AU100" s="37"/>
      <c r="AV100" s="37"/>
      <c r="AW100" s="37"/>
      <c r="AX100" s="37"/>
      <c r="AY100" s="37"/>
      <c r="AZ100" s="37"/>
      <c r="BA100" s="37">
        <f>+AR100+AS100+AU100+AW100+AY100+AZ100</f>
        <v>0</v>
      </c>
      <c r="BB100" s="50"/>
      <c r="BC100" s="51">
        <v>0</v>
      </c>
      <c r="BD100" s="51"/>
      <c r="BE100" s="50"/>
      <c r="BF100" s="51"/>
    </row>
    <row r="101" spans="1:58" ht="12.95" customHeight="1">
      <c r="A101" s="40"/>
      <c r="B101" s="41"/>
      <c r="C101" s="415"/>
      <c r="D101" s="41"/>
      <c r="E101" s="42"/>
      <c r="F101" s="42"/>
      <c r="G101" s="43"/>
      <c r="H101" s="44"/>
      <c r="I101" s="45"/>
      <c r="J101" s="82"/>
      <c r="K101" s="82"/>
      <c r="L101" s="35"/>
      <c r="M101" s="35"/>
      <c r="N101" s="46"/>
      <c r="O101" s="47"/>
      <c r="P101" s="48"/>
      <c r="Q101" s="47"/>
      <c r="R101" s="501"/>
      <c r="S101" s="501"/>
      <c r="T101" s="37"/>
      <c r="U101" s="37"/>
      <c r="V101" s="37"/>
      <c r="W101" s="37"/>
      <c r="X101" s="38"/>
      <c r="Y101" s="211"/>
      <c r="Z101" s="37"/>
      <c r="AA101" s="37"/>
      <c r="AB101" s="37"/>
      <c r="AC101" s="37"/>
      <c r="AD101" s="37">
        <f>+AM101+BA101</f>
        <v>0</v>
      </c>
      <c r="AE101" s="230" t="s">
        <v>507</v>
      </c>
      <c r="AF101" s="33"/>
      <c r="AG101" s="33"/>
      <c r="AH101" s="33">
        <v>0</v>
      </c>
      <c r="AI101" s="33"/>
      <c r="AJ101" s="37"/>
      <c r="AK101" s="37"/>
      <c r="AL101" s="37"/>
      <c r="AM101" s="37">
        <f t="shared" si="263"/>
        <v>0</v>
      </c>
      <c r="AN101" s="37"/>
      <c r="AO101" s="37"/>
      <c r="AP101" s="37"/>
      <c r="AQ101" s="37"/>
      <c r="AR101" s="37">
        <f t="shared" si="264"/>
        <v>0</v>
      </c>
      <c r="AS101" s="37"/>
      <c r="AT101" s="37"/>
      <c r="AU101" s="37"/>
      <c r="AV101" s="37"/>
      <c r="AW101" s="37"/>
      <c r="AX101" s="37"/>
      <c r="AY101" s="37"/>
      <c r="AZ101" s="37"/>
      <c r="BA101" s="37">
        <f>+AR101+AS101+AU101+AW101+AY101+AZ101</f>
        <v>0</v>
      </c>
      <c r="BB101" s="33"/>
      <c r="BC101" s="504"/>
      <c r="BD101" s="504"/>
      <c r="BE101" s="33"/>
      <c r="BF101" s="504"/>
    </row>
    <row r="102" spans="1:58" ht="12.95" customHeight="1">
      <c r="A102" s="40"/>
      <c r="B102" s="41"/>
      <c r="C102" s="415"/>
      <c r="D102" s="41"/>
      <c r="E102" s="42"/>
      <c r="F102" s="42"/>
      <c r="G102" s="43"/>
      <c r="H102" s="44"/>
      <c r="I102" s="45"/>
      <c r="J102" s="82"/>
      <c r="K102" s="82"/>
      <c r="L102" s="35"/>
      <c r="M102" s="35"/>
      <c r="N102" s="46"/>
      <c r="O102" s="47"/>
      <c r="P102" s="48"/>
      <c r="Q102" s="47"/>
      <c r="R102" s="501"/>
      <c r="S102" s="501"/>
      <c r="T102" s="37"/>
      <c r="U102" s="37"/>
      <c r="V102" s="37"/>
      <c r="W102" s="37"/>
      <c r="X102" s="38"/>
      <c r="Y102" s="211"/>
      <c r="Z102" s="37"/>
      <c r="AA102" s="37"/>
      <c r="AB102" s="37"/>
      <c r="AC102" s="37"/>
      <c r="AD102" s="37">
        <f>+AM102+BA102</f>
        <v>1440</v>
      </c>
      <c r="AE102" s="230" t="s">
        <v>586</v>
      </c>
      <c r="AF102" s="33"/>
      <c r="AG102" s="33"/>
      <c r="AH102" s="33"/>
      <c r="AI102" s="33"/>
      <c r="AJ102" s="37"/>
      <c r="AK102" s="37"/>
      <c r="AL102" s="37"/>
      <c r="AM102" s="37">
        <f t="shared" ref="AM102" si="265">SUM(AF102:AL102)+AT102+AV102+AX102</f>
        <v>0</v>
      </c>
      <c r="AN102" s="37"/>
      <c r="AO102" s="37"/>
      <c r="AP102" s="37"/>
      <c r="AQ102" s="37"/>
      <c r="AR102" s="37">
        <f t="shared" ref="AR102" si="266">SUM(AN102:AQ102)</f>
        <v>0</v>
      </c>
      <c r="AS102" s="37"/>
      <c r="AT102" s="37"/>
      <c r="AU102" s="37">
        <v>1440</v>
      </c>
      <c r="AV102" s="37"/>
      <c r="AW102" s="37"/>
      <c r="AX102" s="37"/>
      <c r="AY102" s="37"/>
      <c r="AZ102" s="37"/>
      <c r="BA102" s="37">
        <f>+AR102+AS102+AU102+AW102+AY102+AZ102</f>
        <v>1440</v>
      </c>
      <c r="BB102" s="33"/>
      <c r="BC102" s="504"/>
      <c r="BD102" s="504"/>
      <c r="BE102" s="33"/>
      <c r="BF102" s="504"/>
    </row>
    <row r="103" spans="1:58" ht="13.5" customHeight="1">
      <c r="A103" s="40"/>
      <c r="B103" s="41"/>
      <c r="C103" s="415"/>
      <c r="D103" s="41"/>
      <c r="E103" s="42"/>
      <c r="F103" s="42"/>
      <c r="G103" s="500"/>
      <c r="H103" s="44"/>
      <c r="I103" s="45"/>
      <c r="J103" s="82"/>
      <c r="K103" s="82"/>
      <c r="L103" s="35"/>
      <c r="M103" s="35"/>
      <c r="N103" s="46"/>
      <c r="O103" s="47"/>
      <c r="P103" s="48"/>
      <c r="Q103" s="47"/>
      <c r="R103" s="501"/>
      <c r="S103" s="501"/>
      <c r="T103" s="37"/>
      <c r="U103" s="37"/>
      <c r="V103" s="37"/>
      <c r="W103" s="37"/>
      <c r="X103" s="502"/>
      <c r="Y103" s="211"/>
      <c r="Z103" s="37"/>
      <c r="AA103" s="49"/>
      <c r="AB103" s="49"/>
      <c r="AC103" s="37"/>
      <c r="AD103" s="37"/>
      <c r="AE103" s="230"/>
      <c r="AF103" s="37"/>
      <c r="AG103" s="37"/>
      <c r="AH103" s="37"/>
      <c r="AI103" s="503"/>
      <c r="AJ103" s="37"/>
      <c r="AK103" s="37"/>
      <c r="AL103" s="37"/>
      <c r="AM103" s="37"/>
      <c r="AN103" s="37"/>
      <c r="AO103" s="37"/>
      <c r="AP103" s="37"/>
      <c r="AQ103" s="37"/>
      <c r="AR103" s="37"/>
      <c r="AS103" s="37"/>
      <c r="AT103" s="37"/>
      <c r="AU103" s="37"/>
      <c r="AV103" s="37"/>
      <c r="AW103" s="37"/>
      <c r="AX103" s="37"/>
      <c r="AY103" s="37"/>
      <c r="AZ103" s="37"/>
      <c r="BA103" s="37"/>
      <c r="BB103" s="33"/>
      <c r="BC103" s="51"/>
      <c r="BD103" s="51"/>
      <c r="BE103" s="51"/>
      <c r="BF103" s="51"/>
    </row>
    <row r="104" spans="1:58" ht="12.75" customHeight="1">
      <c r="A104" s="40">
        <v>45922</v>
      </c>
      <c r="B104" s="41" t="s">
        <v>424</v>
      </c>
      <c r="C104" s="415">
        <f t="shared" ref="C104" si="267">(M104*E104*O104*Q104)/100000000</f>
        <v>43.20594432</v>
      </c>
      <c r="D104" s="41" t="s">
        <v>304</v>
      </c>
      <c r="E104" s="42">
        <v>12</v>
      </c>
      <c r="F104" s="42">
        <v>1</v>
      </c>
      <c r="G104" s="500">
        <v>1230</v>
      </c>
      <c r="H104" s="44">
        <v>0.23</v>
      </c>
      <c r="I104" s="45">
        <v>0.88</v>
      </c>
      <c r="J104" s="82">
        <f t="shared" ref="J104" si="268">E104*G104*(1-H104)*1440/1000000*2.74</f>
        <v>44.842533120000006</v>
      </c>
      <c r="K104" s="82">
        <f t="shared" ref="K104" si="269">(IF(G104&lt;L104,L104,G104)*(1-IF(H104&lt;N104,H104,N104))*E104*O104*Q104)/100000000</f>
        <v>43.20594432</v>
      </c>
      <c r="L104" s="35">
        <v>1230</v>
      </c>
      <c r="M104" s="35">
        <v>947.09999999999991</v>
      </c>
      <c r="N104" s="46">
        <f t="shared" ref="N104" si="270">1-(M104/L104)</f>
        <v>0.23000000000000009</v>
      </c>
      <c r="O104" s="47">
        <f>+'Trim Rwd'!H64</f>
        <v>264</v>
      </c>
      <c r="P104" s="48">
        <f t="shared" ref="P104" si="271">O104*(Q104-R104-S104)</f>
        <v>0</v>
      </c>
      <c r="Q104" s="47">
        <v>1440</v>
      </c>
      <c r="R104" s="501">
        <v>1440</v>
      </c>
      <c r="S104" s="501">
        <v>0</v>
      </c>
      <c r="T104" s="37">
        <f t="shared" ref="T104" si="272">E104*M104*O104*Q104/100000000</f>
        <v>43.20594432</v>
      </c>
      <c r="U104" s="37">
        <f t="shared" ref="U104" si="273">E104*M104*O104*(Q104-R104-S104)/100000000</f>
        <v>0</v>
      </c>
      <c r="V104" s="37">
        <f t="shared" ref="V104" si="274">E104*G104*(1-N104)*O104/100*(R104+S104)/1000000</f>
        <v>43.205944319999993</v>
      </c>
      <c r="W104" s="37">
        <v>0</v>
      </c>
      <c r="X104" s="502">
        <f>SUM(W104:W107)/SUM(K104:K107)</f>
        <v>0</v>
      </c>
      <c r="Y104" s="211">
        <f>+SUM(RBP!AG3:AG4)</f>
        <v>0</v>
      </c>
      <c r="Z104" s="37">
        <v>0</v>
      </c>
      <c r="AA104" s="49">
        <f>SUM(U104:U107)-SUM(W104:W107)-SUM(Z104:Z107)-SUM(Y104:Y107)</f>
        <v>0</v>
      </c>
      <c r="AB104" s="49">
        <f>(SUM(K104:K107)-SUM(W104:W107)-SUM(Y104:Y107)-SUM(Z104:Z107)-SUM(AC104:AC107)-SUM(V104:V107))-AA104</f>
        <v>7.1054273576010019E-15</v>
      </c>
      <c r="AC104" s="37">
        <f>K104-T104</f>
        <v>0</v>
      </c>
      <c r="AD104" s="37">
        <f>+AM104+BA104</f>
        <v>0</v>
      </c>
      <c r="AE104" s="230" t="s">
        <v>466</v>
      </c>
      <c r="AF104" s="37">
        <v>0</v>
      </c>
      <c r="AG104" s="37"/>
      <c r="AH104" s="37"/>
      <c r="AI104" s="37"/>
      <c r="AJ104" s="37"/>
      <c r="AK104" s="37"/>
      <c r="AL104" s="37"/>
      <c r="AM104" s="37">
        <f t="shared" ref="AM104:AM106" si="275">SUM(AF104:AL104)+AT104+AV104+AX104</f>
        <v>0</v>
      </c>
      <c r="AN104" s="37"/>
      <c r="AO104" s="37"/>
      <c r="AP104" s="37"/>
      <c r="AQ104" s="37"/>
      <c r="AR104" s="37">
        <f>SUM(AN104:AQ104)</f>
        <v>0</v>
      </c>
      <c r="AS104" s="37"/>
      <c r="AT104" s="37"/>
      <c r="AU104" s="37"/>
      <c r="AV104" s="37"/>
      <c r="AW104" s="37"/>
      <c r="AX104" s="37"/>
      <c r="AY104" s="37"/>
      <c r="AZ104" s="37"/>
      <c r="BA104" s="37">
        <f>+AR104+AS104+AU104+AW104+AY104+AZ104</f>
        <v>0</v>
      </c>
      <c r="BB104" s="33">
        <v>0</v>
      </c>
      <c r="BC104" s="51"/>
      <c r="BD104" s="51"/>
      <c r="BE104" s="33"/>
      <c r="BF104" s="51"/>
    </row>
    <row r="105" spans="1:58" ht="12.95" customHeight="1">
      <c r="A105" s="40"/>
      <c r="B105" s="41"/>
      <c r="C105" s="415"/>
      <c r="D105" s="41"/>
      <c r="E105" s="42"/>
      <c r="F105" s="42"/>
      <c r="G105" s="500"/>
      <c r="H105" s="44"/>
      <c r="I105" s="45"/>
      <c r="J105" s="82"/>
      <c r="K105" s="82"/>
      <c r="L105" s="35"/>
      <c r="M105" s="35"/>
      <c r="N105" s="46"/>
      <c r="O105" s="47"/>
      <c r="P105" s="48"/>
      <c r="Q105" s="47"/>
      <c r="R105" s="501"/>
      <c r="S105" s="501"/>
      <c r="T105" s="37"/>
      <c r="U105" s="37"/>
      <c r="V105" s="37"/>
      <c r="W105" s="37">
        <v>0</v>
      </c>
      <c r="X105" s="38"/>
      <c r="Y105" s="211"/>
      <c r="Z105" s="37">
        <v>0</v>
      </c>
      <c r="AA105" s="37"/>
      <c r="AB105" s="37"/>
      <c r="AC105" s="37">
        <f>K105-T105</f>
        <v>0</v>
      </c>
      <c r="AD105" s="37">
        <f>+AM105+BA105</f>
        <v>0</v>
      </c>
      <c r="AE105" s="230" t="s">
        <v>432</v>
      </c>
      <c r="AF105" s="37"/>
      <c r="AG105" s="37">
        <v>0</v>
      </c>
      <c r="AH105" s="37"/>
      <c r="AI105" s="37"/>
      <c r="AJ105" s="37"/>
      <c r="AK105" s="37"/>
      <c r="AL105" s="37"/>
      <c r="AM105" s="37">
        <f t="shared" si="275"/>
        <v>0</v>
      </c>
      <c r="AN105" s="83"/>
      <c r="AO105" s="37"/>
      <c r="AP105" s="37"/>
      <c r="AQ105" s="37"/>
      <c r="AR105" s="37">
        <f t="shared" ref="AR105:AR106" si="276">SUM(AN105:AQ105)</f>
        <v>0</v>
      </c>
      <c r="AS105" s="37"/>
      <c r="AT105" s="37"/>
      <c r="AU105" s="37"/>
      <c r="AV105" s="37"/>
      <c r="AW105" s="37"/>
      <c r="AX105" s="37"/>
      <c r="AY105" s="37"/>
      <c r="AZ105" s="37"/>
      <c r="BA105" s="37">
        <f>+AR105+AS105+AU105+AW105+AY105+AZ105</f>
        <v>0</v>
      </c>
      <c r="BB105" s="50"/>
      <c r="BC105" s="51">
        <v>0</v>
      </c>
      <c r="BD105" s="51"/>
      <c r="BE105" s="50"/>
      <c r="BF105" s="51"/>
    </row>
    <row r="106" spans="1:58" ht="12.95" customHeight="1">
      <c r="A106" s="40"/>
      <c r="B106" s="41"/>
      <c r="C106" s="415"/>
      <c r="D106" s="41"/>
      <c r="E106" s="42"/>
      <c r="F106" s="42"/>
      <c r="G106" s="43"/>
      <c r="H106" s="44"/>
      <c r="I106" s="45"/>
      <c r="J106" s="82"/>
      <c r="K106" s="82"/>
      <c r="L106" s="35"/>
      <c r="M106" s="35"/>
      <c r="N106" s="46"/>
      <c r="O106" s="47"/>
      <c r="P106" s="48"/>
      <c r="Q106" s="47"/>
      <c r="R106" s="501"/>
      <c r="S106" s="501"/>
      <c r="T106" s="37"/>
      <c r="U106" s="37"/>
      <c r="V106" s="37"/>
      <c r="W106" s="37"/>
      <c r="X106" s="38"/>
      <c r="Y106" s="211"/>
      <c r="Z106" s="37"/>
      <c r="AA106" s="37"/>
      <c r="AB106" s="37"/>
      <c r="AC106" s="37"/>
      <c r="AD106" s="37">
        <f>+AM106+BA106</f>
        <v>0</v>
      </c>
      <c r="AE106" s="230" t="s">
        <v>507</v>
      </c>
      <c r="AF106" s="33"/>
      <c r="AG106" s="33"/>
      <c r="AH106" s="33">
        <v>0</v>
      </c>
      <c r="AI106" s="33"/>
      <c r="AJ106" s="37"/>
      <c r="AK106" s="37"/>
      <c r="AL106" s="37"/>
      <c r="AM106" s="37">
        <f t="shared" si="275"/>
        <v>0</v>
      </c>
      <c r="AN106" s="37"/>
      <c r="AO106" s="37"/>
      <c r="AP106" s="37"/>
      <c r="AQ106" s="37"/>
      <c r="AR106" s="37">
        <f t="shared" si="276"/>
        <v>0</v>
      </c>
      <c r="AS106" s="37"/>
      <c r="AT106" s="37"/>
      <c r="AU106" s="37"/>
      <c r="AV106" s="37"/>
      <c r="AW106" s="37"/>
      <c r="AX106" s="37"/>
      <c r="AY106" s="37"/>
      <c r="AZ106" s="37"/>
      <c r="BA106" s="37">
        <f>+AR106+AS106+AU106+AW106+AY106+AZ106</f>
        <v>0</v>
      </c>
      <c r="BB106" s="33"/>
      <c r="BC106" s="504"/>
      <c r="BD106" s="504"/>
      <c r="BE106" s="33"/>
      <c r="BF106" s="504"/>
    </row>
    <row r="107" spans="1:58" ht="12.95" customHeight="1">
      <c r="A107" s="40"/>
      <c r="B107" s="41"/>
      <c r="C107" s="415"/>
      <c r="D107" s="41"/>
      <c r="E107" s="42"/>
      <c r="F107" s="42"/>
      <c r="G107" s="43"/>
      <c r="H107" s="44"/>
      <c r="I107" s="45"/>
      <c r="J107" s="82"/>
      <c r="K107" s="82"/>
      <c r="L107" s="35"/>
      <c r="M107" s="35"/>
      <c r="N107" s="46"/>
      <c r="O107" s="47"/>
      <c r="P107" s="48"/>
      <c r="Q107" s="47"/>
      <c r="R107" s="501"/>
      <c r="S107" s="501"/>
      <c r="T107" s="37"/>
      <c r="U107" s="37"/>
      <c r="V107" s="37"/>
      <c r="W107" s="37"/>
      <c r="X107" s="38"/>
      <c r="Y107" s="211"/>
      <c r="Z107" s="37"/>
      <c r="AA107" s="37"/>
      <c r="AB107" s="37"/>
      <c r="AC107" s="37"/>
      <c r="AD107" s="37">
        <f>+AM107+BA107</f>
        <v>1440</v>
      </c>
      <c r="AE107" s="230" t="s">
        <v>586</v>
      </c>
      <c r="AF107" s="33"/>
      <c r="AG107" s="33"/>
      <c r="AH107" s="33"/>
      <c r="AI107" s="33"/>
      <c r="AJ107" s="37"/>
      <c r="AK107" s="37"/>
      <c r="AL107" s="37"/>
      <c r="AM107" s="37">
        <f t="shared" ref="AM107" si="277">SUM(AF107:AL107)+AT107+AV107+AX107</f>
        <v>0</v>
      </c>
      <c r="AN107" s="37"/>
      <c r="AO107" s="37"/>
      <c r="AP107" s="37"/>
      <c r="AQ107" s="37"/>
      <c r="AR107" s="37">
        <f t="shared" ref="AR107" si="278">SUM(AN107:AQ107)</f>
        <v>0</v>
      </c>
      <c r="AS107" s="37"/>
      <c r="AT107" s="37"/>
      <c r="AU107" s="37">
        <v>1440</v>
      </c>
      <c r="AV107" s="37"/>
      <c r="AW107" s="37"/>
      <c r="AX107" s="37"/>
      <c r="AY107" s="37"/>
      <c r="AZ107" s="37"/>
      <c r="BA107" s="37">
        <f>+AR107+AS107+AU107+AW107+AY107+AZ107</f>
        <v>1440</v>
      </c>
      <c r="BB107" s="33"/>
      <c r="BC107" s="504"/>
      <c r="BD107" s="504"/>
      <c r="BE107" s="33"/>
      <c r="BF107" s="504"/>
    </row>
    <row r="108" spans="1:58" ht="16.5" customHeight="1">
      <c r="A108" s="40"/>
      <c r="B108" s="41"/>
      <c r="C108" s="415"/>
      <c r="D108" s="41"/>
      <c r="E108" s="42"/>
      <c r="F108" s="42"/>
      <c r="G108" s="500"/>
      <c r="H108" s="44"/>
      <c r="I108" s="45"/>
      <c r="J108" s="82"/>
      <c r="K108" s="82"/>
      <c r="L108" s="35"/>
      <c r="M108" s="35"/>
      <c r="N108" s="46"/>
      <c r="O108" s="47"/>
      <c r="P108" s="48"/>
      <c r="Q108" s="47"/>
      <c r="R108" s="501"/>
      <c r="S108" s="501"/>
      <c r="T108" s="37"/>
      <c r="U108" s="37"/>
      <c r="V108" s="37"/>
      <c r="W108" s="37"/>
      <c r="X108" s="502"/>
      <c r="Y108" s="211"/>
      <c r="Z108" s="37"/>
      <c r="AA108" s="49"/>
      <c r="AB108" s="49"/>
      <c r="AC108" s="37"/>
      <c r="AD108" s="37"/>
      <c r="AE108" s="230"/>
      <c r="AF108" s="37"/>
      <c r="AG108" s="37"/>
      <c r="AH108" s="37"/>
      <c r="AI108" s="503"/>
      <c r="AJ108" s="37"/>
      <c r="AK108" s="37"/>
      <c r="AL108" s="37"/>
      <c r="AM108" s="37"/>
      <c r="AN108" s="37"/>
      <c r="AO108" s="37"/>
      <c r="AP108" s="37"/>
      <c r="AQ108" s="37"/>
      <c r="AR108" s="37"/>
      <c r="AS108" s="37"/>
      <c r="AT108" s="37"/>
      <c r="AU108" s="37"/>
      <c r="AV108" s="37"/>
      <c r="AW108" s="37"/>
      <c r="AX108" s="37"/>
      <c r="AY108" s="37"/>
      <c r="AZ108" s="37"/>
      <c r="BA108" s="37"/>
      <c r="BB108" s="33"/>
      <c r="BC108" s="51"/>
      <c r="BD108" s="51"/>
      <c r="BE108" s="51"/>
      <c r="BF108" s="51"/>
    </row>
    <row r="109" spans="1:58" ht="12.75" customHeight="1">
      <c r="A109" s="40">
        <v>45923</v>
      </c>
      <c r="B109" s="41" t="s">
        <v>424</v>
      </c>
      <c r="C109" s="415">
        <f t="shared" ref="C109" si="279">(M109*E109*O109*Q109)/100000000</f>
        <v>43.20594432</v>
      </c>
      <c r="D109" s="41" t="s">
        <v>304</v>
      </c>
      <c r="E109" s="42">
        <v>12</v>
      </c>
      <c r="F109" s="42">
        <v>1</v>
      </c>
      <c r="G109" s="500">
        <v>1230</v>
      </c>
      <c r="H109" s="44">
        <v>0.23</v>
      </c>
      <c r="I109" s="45">
        <v>0.88</v>
      </c>
      <c r="J109" s="82">
        <f t="shared" ref="J109" si="280">E109*G109*(1-H109)*1440/1000000*2.74</f>
        <v>44.842533120000006</v>
      </c>
      <c r="K109" s="82">
        <f t="shared" ref="K109" si="281">(IF(G109&lt;L109,L109,G109)*(1-IF(H109&lt;N109,H109,N109))*E109*O109*Q109)/100000000</f>
        <v>43.20594432</v>
      </c>
      <c r="L109" s="35">
        <v>1230</v>
      </c>
      <c r="M109" s="35">
        <v>947.09999999999991</v>
      </c>
      <c r="N109" s="46">
        <f t="shared" ref="N109" si="282">1-(M109/L109)</f>
        <v>0.23000000000000009</v>
      </c>
      <c r="O109" s="47">
        <f>+'Trim Rwd'!H66</f>
        <v>264</v>
      </c>
      <c r="P109" s="48">
        <f t="shared" ref="P109" si="283">O109*(Q109-R109-S109)</f>
        <v>0</v>
      </c>
      <c r="Q109" s="47">
        <v>1440</v>
      </c>
      <c r="R109" s="501">
        <v>1440</v>
      </c>
      <c r="S109" s="501">
        <v>0</v>
      </c>
      <c r="T109" s="37">
        <f t="shared" ref="T109" si="284">E109*M109*O109*Q109/100000000</f>
        <v>43.20594432</v>
      </c>
      <c r="U109" s="37">
        <f t="shared" ref="U109" si="285">E109*M109*O109*(Q109-R109-S109)/100000000</f>
        <v>0</v>
      </c>
      <c r="V109" s="37">
        <f t="shared" ref="V109" si="286">E109*G109*(1-N109)*O109/100*(R109+S109)/1000000</f>
        <v>43.205944319999993</v>
      </c>
      <c r="W109" s="37">
        <v>0</v>
      </c>
      <c r="X109" s="502">
        <f>SUM(W109:W112)/SUM(K109:K112)</f>
        <v>0</v>
      </c>
      <c r="Y109" s="211">
        <f>+SUM(RBP!AG8:AG9)</f>
        <v>0</v>
      </c>
      <c r="Z109" s="37">
        <v>0</v>
      </c>
      <c r="AA109" s="49">
        <f>SUM(U109:U112)-SUM(W109:W112)-SUM(Z109:Z112)-SUM(Y109:Y112)</f>
        <v>0</v>
      </c>
      <c r="AB109" s="49">
        <f>(SUM(K109:K112)-SUM(W109:W112)-SUM(Y109:Y112)-SUM(Z109:Z112)-SUM(AC109:AC112)-SUM(V109:V112))-AA109</f>
        <v>7.1054273576010019E-15</v>
      </c>
      <c r="AC109" s="37">
        <f>K109-T109</f>
        <v>0</v>
      </c>
      <c r="AD109" s="37">
        <f>+AM109+BA109</f>
        <v>0</v>
      </c>
      <c r="AE109" s="230" t="s">
        <v>466</v>
      </c>
      <c r="AF109" s="37">
        <v>0</v>
      </c>
      <c r="AG109" s="37"/>
      <c r="AH109" s="37"/>
      <c r="AI109" s="37"/>
      <c r="AJ109" s="37"/>
      <c r="AK109" s="37"/>
      <c r="AL109" s="37"/>
      <c r="AM109" s="37">
        <f t="shared" ref="AM109:AM111" si="287">SUM(AF109:AL109)+AT109+AV109+AX109</f>
        <v>0</v>
      </c>
      <c r="AN109" s="37"/>
      <c r="AO109" s="37"/>
      <c r="AP109" s="37"/>
      <c r="AQ109" s="37"/>
      <c r="AR109" s="37">
        <f>SUM(AN109:AQ109)</f>
        <v>0</v>
      </c>
      <c r="AS109" s="37"/>
      <c r="AT109" s="37"/>
      <c r="AU109" s="37"/>
      <c r="AV109" s="37"/>
      <c r="AW109" s="37"/>
      <c r="AX109" s="37"/>
      <c r="AY109" s="37"/>
      <c r="AZ109" s="37"/>
      <c r="BA109" s="37">
        <f>+AR109+AS109+AU109+AW109+AY109+AZ109</f>
        <v>0</v>
      </c>
      <c r="BB109" s="33">
        <v>0</v>
      </c>
      <c r="BC109" s="51"/>
      <c r="BD109" s="51"/>
      <c r="BE109" s="33"/>
      <c r="BF109" s="51"/>
    </row>
    <row r="110" spans="1:58" ht="12.95" customHeight="1">
      <c r="A110" s="40"/>
      <c r="B110" s="41"/>
      <c r="C110" s="415"/>
      <c r="D110" s="41"/>
      <c r="E110" s="42"/>
      <c r="F110" s="42"/>
      <c r="G110" s="500"/>
      <c r="H110" s="44"/>
      <c r="I110" s="45"/>
      <c r="J110" s="82"/>
      <c r="K110" s="82"/>
      <c r="L110" s="35"/>
      <c r="M110" s="35"/>
      <c r="N110" s="46"/>
      <c r="O110" s="47"/>
      <c r="P110" s="48"/>
      <c r="Q110" s="47"/>
      <c r="R110" s="501"/>
      <c r="S110" s="501"/>
      <c r="T110" s="37"/>
      <c r="U110" s="37"/>
      <c r="V110" s="37"/>
      <c r="W110" s="37">
        <v>0</v>
      </c>
      <c r="X110" s="38"/>
      <c r="Y110" s="211"/>
      <c r="Z110" s="37">
        <v>0</v>
      </c>
      <c r="AA110" s="37"/>
      <c r="AB110" s="37"/>
      <c r="AC110" s="37">
        <f>K110-T110</f>
        <v>0</v>
      </c>
      <c r="AD110" s="37">
        <f>+AM110+BA110</f>
        <v>0</v>
      </c>
      <c r="AE110" s="230" t="s">
        <v>432</v>
      </c>
      <c r="AF110" s="37"/>
      <c r="AG110" s="37">
        <v>0</v>
      </c>
      <c r="AH110" s="37"/>
      <c r="AI110" s="37"/>
      <c r="AJ110" s="37"/>
      <c r="AK110" s="37"/>
      <c r="AL110" s="37"/>
      <c r="AM110" s="37">
        <f t="shared" si="287"/>
        <v>0</v>
      </c>
      <c r="AN110" s="83"/>
      <c r="AO110" s="37"/>
      <c r="AP110" s="37"/>
      <c r="AQ110" s="37"/>
      <c r="AR110" s="37">
        <f t="shared" ref="AR110:AR111" si="288">SUM(AN110:AQ110)</f>
        <v>0</v>
      </c>
      <c r="AS110" s="37"/>
      <c r="AT110" s="37"/>
      <c r="AU110" s="37"/>
      <c r="AV110" s="37"/>
      <c r="AW110" s="37"/>
      <c r="AX110" s="37"/>
      <c r="AY110" s="37"/>
      <c r="AZ110" s="37"/>
      <c r="BA110" s="37">
        <f>+AR110+AS110+AU110+AW110+AY110+AZ110</f>
        <v>0</v>
      </c>
      <c r="BB110" s="50"/>
      <c r="BC110" s="51">
        <v>0</v>
      </c>
      <c r="BD110" s="51"/>
      <c r="BE110" s="50"/>
      <c r="BF110" s="51"/>
    </row>
    <row r="111" spans="1:58" ht="12.95" customHeight="1">
      <c r="A111" s="40"/>
      <c r="B111" s="41"/>
      <c r="C111" s="415"/>
      <c r="D111" s="41"/>
      <c r="E111" s="42"/>
      <c r="F111" s="42"/>
      <c r="G111" s="43"/>
      <c r="H111" s="44"/>
      <c r="I111" s="45"/>
      <c r="J111" s="82"/>
      <c r="K111" s="82"/>
      <c r="L111" s="35"/>
      <c r="M111" s="35"/>
      <c r="N111" s="46"/>
      <c r="O111" s="47"/>
      <c r="P111" s="48"/>
      <c r="Q111" s="47"/>
      <c r="R111" s="501"/>
      <c r="S111" s="501"/>
      <c r="T111" s="37"/>
      <c r="U111" s="37"/>
      <c r="V111" s="37"/>
      <c r="W111" s="37"/>
      <c r="X111" s="38"/>
      <c r="Y111" s="211"/>
      <c r="Z111" s="37"/>
      <c r="AA111" s="37"/>
      <c r="AB111" s="37"/>
      <c r="AC111" s="37"/>
      <c r="AD111" s="37">
        <f>+AM111+BA111</f>
        <v>0</v>
      </c>
      <c r="AE111" s="230" t="s">
        <v>507</v>
      </c>
      <c r="AF111" s="33"/>
      <c r="AG111" s="33"/>
      <c r="AH111" s="33">
        <v>0</v>
      </c>
      <c r="AI111" s="33"/>
      <c r="AJ111" s="37"/>
      <c r="AK111" s="37"/>
      <c r="AL111" s="37"/>
      <c r="AM111" s="37">
        <f t="shared" si="287"/>
        <v>0</v>
      </c>
      <c r="AN111" s="37"/>
      <c r="AO111" s="37"/>
      <c r="AP111" s="37"/>
      <c r="AQ111" s="37"/>
      <c r="AR111" s="37">
        <f t="shared" si="288"/>
        <v>0</v>
      </c>
      <c r="AS111" s="37"/>
      <c r="AT111" s="37"/>
      <c r="AU111" s="37"/>
      <c r="AV111" s="37"/>
      <c r="AW111" s="37"/>
      <c r="AX111" s="37"/>
      <c r="AY111" s="37"/>
      <c r="AZ111" s="37"/>
      <c r="BA111" s="37">
        <f>+AR111+AS111+AU111+AW111+AY111+AZ111</f>
        <v>0</v>
      </c>
      <c r="BB111" s="33"/>
      <c r="BC111" s="504"/>
      <c r="BD111" s="504"/>
      <c r="BE111" s="33"/>
      <c r="BF111" s="504"/>
    </row>
    <row r="112" spans="1:58" ht="12.95" customHeight="1">
      <c r="A112" s="40"/>
      <c r="B112" s="41"/>
      <c r="C112" s="415"/>
      <c r="D112" s="41"/>
      <c r="E112" s="42"/>
      <c r="F112" s="42"/>
      <c r="G112" s="43"/>
      <c r="H112" s="44"/>
      <c r="I112" s="45"/>
      <c r="J112" s="82"/>
      <c r="K112" s="82"/>
      <c r="L112" s="35"/>
      <c r="M112" s="35"/>
      <c r="N112" s="46"/>
      <c r="O112" s="47"/>
      <c r="P112" s="48"/>
      <c r="Q112" s="47"/>
      <c r="R112" s="501"/>
      <c r="S112" s="501"/>
      <c r="T112" s="37"/>
      <c r="U112" s="37"/>
      <c r="V112" s="37"/>
      <c r="W112" s="37"/>
      <c r="X112" s="38"/>
      <c r="Y112" s="211"/>
      <c r="Z112" s="37"/>
      <c r="AA112" s="37"/>
      <c r="AB112" s="37"/>
      <c r="AC112" s="37"/>
      <c r="AD112" s="37">
        <f>+AM112+BA112</f>
        <v>1440</v>
      </c>
      <c r="AE112" s="230" t="s">
        <v>586</v>
      </c>
      <c r="AF112" s="33"/>
      <c r="AG112" s="33"/>
      <c r="AH112" s="33"/>
      <c r="AI112" s="33"/>
      <c r="AJ112" s="37"/>
      <c r="AK112" s="37"/>
      <c r="AL112" s="37"/>
      <c r="AM112" s="37">
        <f t="shared" ref="AM112" si="289">SUM(AF112:AL112)+AT112+AV112+AX112</f>
        <v>0</v>
      </c>
      <c r="AN112" s="37"/>
      <c r="AO112" s="37"/>
      <c r="AP112" s="37"/>
      <c r="AQ112" s="37"/>
      <c r="AR112" s="37">
        <f t="shared" ref="AR112" si="290">SUM(AN112:AQ112)</f>
        <v>0</v>
      </c>
      <c r="AS112" s="37"/>
      <c r="AT112" s="37"/>
      <c r="AU112" s="37">
        <v>1440</v>
      </c>
      <c r="AV112" s="37"/>
      <c r="AW112" s="37"/>
      <c r="AX112" s="37"/>
      <c r="AY112" s="37"/>
      <c r="AZ112" s="37"/>
      <c r="BA112" s="37">
        <f>+AR112+AS112+AU112+AW112+AY112+AZ112</f>
        <v>1440</v>
      </c>
      <c r="BB112" s="33"/>
      <c r="BC112" s="504"/>
      <c r="BD112" s="504"/>
      <c r="BE112" s="33"/>
      <c r="BF112" s="504"/>
    </row>
    <row r="113" spans="1:58" ht="16.5" customHeight="1">
      <c r="A113" s="40"/>
      <c r="B113" s="41"/>
      <c r="C113" s="415"/>
      <c r="D113" s="41"/>
      <c r="E113" s="42"/>
      <c r="F113" s="42"/>
      <c r="G113" s="500"/>
      <c r="H113" s="44"/>
      <c r="I113" s="45"/>
      <c r="J113" s="82"/>
      <c r="K113" s="82"/>
      <c r="L113" s="35"/>
      <c r="M113" s="35"/>
      <c r="N113" s="46"/>
      <c r="O113" s="47"/>
      <c r="P113" s="48"/>
      <c r="Q113" s="47"/>
      <c r="R113" s="501"/>
      <c r="S113" s="501"/>
      <c r="T113" s="37"/>
      <c r="U113" s="37"/>
      <c r="V113" s="37"/>
      <c r="W113" s="37"/>
      <c r="X113" s="502"/>
      <c r="Y113" s="211"/>
      <c r="Z113" s="37"/>
      <c r="AA113" s="49"/>
      <c r="AB113" s="49"/>
      <c r="AC113" s="37"/>
      <c r="AD113" s="37"/>
      <c r="AE113" s="230"/>
      <c r="AF113" s="37"/>
      <c r="AG113" s="37"/>
      <c r="AH113" s="37"/>
      <c r="AI113" s="503"/>
      <c r="AJ113" s="37"/>
      <c r="AK113" s="37"/>
      <c r="AL113" s="37"/>
      <c r="AM113" s="37"/>
      <c r="AN113" s="37"/>
      <c r="AO113" s="37"/>
      <c r="AP113" s="37"/>
      <c r="AQ113" s="37"/>
      <c r="AR113" s="37"/>
      <c r="AS113" s="37"/>
      <c r="AT113" s="37"/>
      <c r="AU113" s="37"/>
      <c r="AV113" s="37"/>
      <c r="AW113" s="37"/>
      <c r="AX113" s="37"/>
      <c r="AY113" s="37"/>
      <c r="AZ113" s="37"/>
      <c r="BA113" s="37"/>
      <c r="BB113" s="33"/>
      <c r="BC113" s="51"/>
      <c r="BD113" s="51"/>
      <c r="BE113" s="51"/>
      <c r="BF113" s="51"/>
    </row>
    <row r="114" spans="1:58" ht="12.75" customHeight="1">
      <c r="A114" s="40">
        <v>45924</v>
      </c>
      <c r="B114" s="41" t="s">
        <v>424</v>
      </c>
      <c r="C114" s="415">
        <f t="shared" ref="C114" si="291">(M114*E114*O114*Q114)/100000000</f>
        <v>43.20594432</v>
      </c>
      <c r="D114" s="41" t="s">
        <v>304</v>
      </c>
      <c r="E114" s="42">
        <v>12</v>
      </c>
      <c r="F114" s="42">
        <v>1</v>
      </c>
      <c r="G114" s="500">
        <v>1230</v>
      </c>
      <c r="H114" s="44">
        <v>0.23</v>
      </c>
      <c r="I114" s="45">
        <v>0.88</v>
      </c>
      <c r="J114" s="82">
        <f t="shared" ref="J114" si="292">E114*G114*(1-H114)*1440/1000000*2.74</f>
        <v>44.842533120000006</v>
      </c>
      <c r="K114" s="82">
        <f t="shared" ref="K114" si="293">(IF(G114&lt;L114,L114,G114)*(1-IF(H114&lt;N114,H114,N114))*E114*O114*Q114)/100000000</f>
        <v>43.20594432</v>
      </c>
      <c r="L114" s="35">
        <v>1230</v>
      </c>
      <c r="M114" s="35">
        <v>947.09999999999991</v>
      </c>
      <c r="N114" s="46">
        <f t="shared" ref="N114" si="294">1-(M114/L114)</f>
        <v>0.23000000000000009</v>
      </c>
      <c r="O114" s="47">
        <f>+'Trim Rwd'!H68</f>
        <v>264</v>
      </c>
      <c r="P114" s="48">
        <f t="shared" ref="P114" si="295">O114*(Q114-R114-S114)</f>
        <v>0</v>
      </c>
      <c r="Q114" s="47">
        <v>1440</v>
      </c>
      <c r="R114" s="501">
        <v>1440</v>
      </c>
      <c r="S114" s="501">
        <v>0</v>
      </c>
      <c r="T114" s="37">
        <f t="shared" ref="T114" si="296">E114*M114*O114*Q114/100000000</f>
        <v>43.20594432</v>
      </c>
      <c r="U114" s="37">
        <f t="shared" ref="U114" si="297">E114*M114*O114*(Q114-R114-S114)/100000000</f>
        <v>0</v>
      </c>
      <c r="V114" s="37">
        <f t="shared" ref="V114" si="298">E114*G114*(1-N114)*O114/100*(R114+S114)/1000000</f>
        <v>43.205944319999993</v>
      </c>
      <c r="W114" s="37">
        <v>0</v>
      </c>
      <c r="X114" s="502">
        <f>SUM(W114:W117)/SUM(K114:K117)</f>
        <v>0</v>
      </c>
      <c r="Y114" s="211">
        <v>0</v>
      </c>
      <c r="Z114" s="37">
        <v>0</v>
      </c>
      <c r="AA114" s="49">
        <f>SUM(U114:U117)-SUM(W114:W117)-SUM(Z114:Z117)-SUM(Y114:Y117)</f>
        <v>0</v>
      </c>
      <c r="AB114" s="49">
        <f>(SUM(K114:K117)-SUM(W114:W117)-SUM(Y114:Y117)-SUM(Z114:Z117)-SUM(AC114:AC117)-SUM(V114:V117))-AA114</f>
        <v>7.1054273576010019E-15</v>
      </c>
      <c r="AC114" s="37">
        <f>K114-T114</f>
        <v>0</v>
      </c>
      <c r="AD114" s="37">
        <f>+AM114+BA114</f>
        <v>0</v>
      </c>
      <c r="AE114" s="230" t="s">
        <v>466</v>
      </c>
      <c r="AF114" s="37">
        <v>0</v>
      </c>
      <c r="AG114" s="37"/>
      <c r="AH114" s="37"/>
      <c r="AI114" s="37"/>
      <c r="AJ114" s="37"/>
      <c r="AK114" s="37"/>
      <c r="AL114" s="37"/>
      <c r="AM114" s="37">
        <f t="shared" ref="AM114:AM116" si="299">SUM(AF114:AL114)+AT114+AV114+AX114</f>
        <v>0</v>
      </c>
      <c r="AN114" s="37"/>
      <c r="AO114" s="37"/>
      <c r="AP114" s="37"/>
      <c r="AQ114" s="37"/>
      <c r="AR114" s="37">
        <f>SUM(AN114:AQ114)</f>
        <v>0</v>
      </c>
      <c r="AS114" s="37"/>
      <c r="AT114" s="37"/>
      <c r="AU114" s="37"/>
      <c r="AV114" s="37"/>
      <c r="AW114" s="37"/>
      <c r="AX114" s="37"/>
      <c r="AY114" s="37"/>
      <c r="AZ114" s="37"/>
      <c r="BA114" s="37">
        <f>+AR114+AS114+AU114+AW114+AY114+AZ114</f>
        <v>0</v>
      </c>
      <c r="BB114" s="33">
        <v>0</v>
      </c>
      <c r="BC114" s="51"/>
      <c r="BD114" s="51"/>
      <c r="BE114" s="33"/>
      <c r="BF114" s="51"/>
    </row>
    <row r="115" spans="1:58" ht="12.95" customHeight="1">
      <c r="A115" s="40"/>
      <c r="B115" s="41"/>
      <c r="C115" s="415"/>
      <c r="D115" s="41"/>
      <c r="E115" s="42"/>
      <c r="F115" s="42"/>
      <c r="G115" s="500"/>
      <c r="H115" s="44"/>
      <c r="I115" s="45"/>
      <c r="J115" s="82"/>
      <c r="K115" s="82"/>
      <c r="L115" s="35"/>
      <c r="M115" s="35"/>
      <c r="N115" s="46"/>
      <c r="O115" s="47"/>
      <c r="P115" s="48"/>
      <c r="Q115" s="47"/>
      <c r="R115" s="501"/>
      <c r="S115" s="501"/>
      <c r="T115" s="37"/>
      <c r="U115" s="37"/>
      <c r="V115" s="37"/>
      <c r="W115" s="37">
        <v>0</v>
      </c>
      <c r="X115" s="38"/>
      <c r="Y115" s="211"/>
      <c r="Z115" s="37">
        <v>0</v>
      </c>
      <c r="AA115" s="37"/>
      <c r="AB115" s="37"/>
      <c r="AC115" s="37">
        <f>K115-T115</f>
        <v>0</v>
      </c>
      <c r="AD115" s="37">
        <f>+AM115+BA115</f>
        <v>0</v>
      </c>
      <c r="AE115" s="230" t="s">
        <v>432</v>
      </c>
      <c r="AF115" s="37"/>
      <c r="AG115" s="37">
        <v>0</v>
      </c>
      <c r="AH115" s="37"/>
      <c r="AI115" s="37"/>
      <c r="AJ115" s="37"/>
      <c r="AK115" s="37"/>
      <c r="AL115" s="37"/>
      <c r="AM115" s="37">
        <f t="shared" si="299"/>
        <v>0</v>
      </c>
      <c r="AN115" s="83"/>
      <c r="AO115" s="37"/>
      <c r="AP115" s="37"/>
      <c r="AQ115" s="37"/>
      <c r="AR115" s="37">
        <f t="shared" ref="AR115:AR116" si="300">SUM(AN115:AQ115)</f>
        <v>0</v>
      </c>
      <c r="AS115" s="37"/>
      <c r="AT115" s="37"/>
      <c r="AU115" s="37"/>
      <c r="AV115" s="37"/>
      <c r="AW115" s="37"/>
      <c r="AX115" s="37"/>
      <c r="AY115" s="37"/>
      <c r="AZ115" s="37"/>
      <c r="BA115" s="37">
        <f>+AR115+AS115+AU115+AW115+AY115+AZ115</f>
        <v>0</v>
      </c>
      <c r="BB115" s="50"/>
      <c r="BC115" s="51">
        <v>0</v>
      </c>
      <c r="BD115" s="51"/>
      <c r="BE115" s="50"/>
      <c r="BF115" s="51"/>
    </row>
    <row r="116" spans="1:58" ht="12.95" customHeight="1">
      <c r="A116" s="40"/>
      <c r="B116" s="41"/>
      <c r="C116" s="415"/>
      <c r="D116" s="41"/>
      <c r="E116" s="42"/>
      <c r="F116" s="42"/>
      <c r="G116" s="43"/>
      <c r="H116" s="44"/>
      <c r="I116" s="45"/>
      <c r="J116" s="82"/>
      <c r="K116" s="82"/>
      <c r="L116" s="35"/>
      <c r="M116" s="35"/>
      <c r="N116" s="46"/>
      <c r="O116" s="47"/>
      <c r="P116" s="48"/>
      <c r="Q116" s="47"/>
      <c r="R116" s="501"/>
      <c r="S116" s="501"/>
      <c r="T116" s="37"/>
      <c r="U116" s="37"/>
      <c r="V116" s="37"/>
      <c r="W116" s="37"/>
      <c r="X116" s="38"/>
      <c r="Y116" s="211"/>
      <c r="Z116" s="37"/>
      <c r="AA116" s="37"/>
      <c r="AB116" s="37"/>
      <c r="AC116" s="37"/>
      <c r="AD116" s="37">
        <f>+AM116+BA116</f>
        <v>0</v>
      </c>
      <c r="AE116" s="230" t="s">
        <v>507</v>
      </c>
      <c r="AF116" s="33"/>
      <c r="AG116" s="33"/>
      <c r="AH116" s="33">
        <v>0</v>
      </c>
      <c r="AI116" s="33"/>
      <c r="AJ116" s="37"/>
      <c r="AK116" s="37"/>
      <c r="AL116" s="37"/>
      <c r="AM116" s="37">
        <f t="shared" si="299"/>
        <v>0</v>
      </c>
      <c r="AN116" s="37"/>
      <c r="AO116" s="37"/>
      <c r="AP116" s="37"/>
      <c r="AQ116" s="37"/>
      <c r="AR116" s="37">
        <f t="shared" si="300"/>
        <v>0</v>
      </c>
      <c r="AS116" s="37"/>
      <c r="AT116" s="37"/>
      <c r="AU116" s="37"/>
      <c r="AV116" s="37"/>
      <c r="AW116" s="37"/>
      <c r="AX116" s="37"/>
      <c r="AY116" s="37"/>
      <c r="AZ116" s="37"/>
      <c r="BA116" s="37">
        <f>+AR116+AS116+AU116+AW116+AY116+AZ116</f>
        <v>0</v>
      </c>
      <c r="BB116" s="33"/>
      <c r="BC116" s="504"/>
      <c r="BD116" s="504"/>
      <c r="BE116" s="33"/>
      <c r="BF116" s="504"/>
    </row>
    <row r="117" spans="1:58" ht="12.95" customHeight="1">
      <c r="A117" s="40"/>
      <c r="B117" s="41"/>
      <c r="C117" s="415"/>
      <c r="D117" s="41"/>
      <c r="E117" s="42"/>
      <c r="F117" s="42"/>
      <c r="G117" s="43"/>
      <c r="H117" s="44"/>
      <c r="I117" s="45"/>
      <c r="J117" s="82"/>
      <c r="K117" s="82"/>
      <c r="L117" s="35"/>
      <c r="M117" s="35"/>
      <c r="N117" s="46"/>
      <c r="O117" s="47"/>
      <c r="P117" s="48"/>
      <c r="Q117" s="47"/>
      <c r="R117" s="501"/>
      <c r="S117" s="501"/>
      <c r="T117" s="37"/>
      <c r="U117" s="37"/>
      <c r="V117" s="37"/>
      <c r="W117" s="37"/>
      <c r="X117" s="38"/>
      <c r="Y117" s="211"/>
      <c r="Z117" s="37"/>
      <c r="AA117" s="37"/>
      <c r="AB117" s="37"/>
      <c r="AC117" s="37"/>
      <c r="AD117" s="37">
        <f>+AM117+BA117</f>
        <v>1440</v>
      </c>
      <c r="AE117" s="230" t="s">
        <v>586</v>
      </c>
      <c r="AF117" s="33"/>
      <c r="AG117" s="33"/>
      <c r="AH117" s="33"/>
      <c r="AI117" s="33"/>
      <c r="AJ117" s="37"/>
      <c r="AK117" s="37"/>
      <c r="AL117" s="37"/>
      <c r="AM117" s="37">
        <f t="shared" ref="AM117" si="301">SUM(AF117:AL117)+AT117+AV117+AX117</f>
        <v>0</v>
      </c>
      <c r="AN117" s="37"/>
      <c r="AO117" s="37"/>
      <c r="AP117" s="37"/>
      <c r="AQ117" s="37"/>
      <c r="AR117" s="37">
        <f t="shared" ref="AR117" si="302">SUM(AN117:AQ117)</f>
        <v>0</v>
      </c>
      <c r="AS117" s="37"/>
      <c r="AT117" s="37"/>
      <c r="AU117" s="37">
        <v>1440</v>
      </c>
      <c r="AV117" s="37"/>
      <c r="AW117" s="37"/>
      <c r="AX117" s="37"/>
      <c r="AY117" s="37"/>
      <c r="AZ117" s="37"/>
      <c r="BA117" s="37">
        <f>+AR117+AS117+AU117+AW117+AY117+AZ117</f>
        <v>1440</v>
      </c>
      <c r="BB117" s="33"/>
      <c r="BC117" s="504"/>
      <c r="BD117" s="504"/>
      <c r="BE117" s="33"/>
      <c r="BF117" s="504"/>
    </row>
    <row r="118" spans="1:58" ht="16.5" customHeight="1">
      <c r="A118" s="40"/>
      <c r="B118" s="41"/>
      <c r="C118" s="415"/>
      <c r="D118" s="41"/>
      <c r="E118" s="42"/>
      <c r="F118" s="42"/>
      <c r="G118" s="500"/>
      <c r="H118" s="44"/>
      <c r="I118" s="45"/>
      <c r="J118" s="82"/>
      <c r="K118" s="82"/>
      <c r="L118" s="35"/>
      <c r="M118" s="35"/>
      <c r="N118" s="46"/>
      <c r="O118" s="47"/>
      <c r="P118" s="48"/>
      <c r="Q118" s="47"/>
      <c r="R118" s="501"/>
      <c r="S118" s="501"/>
      <c r="T118" s="37"/>
      <c r="U118" s="37"/>
      <c r="V118" s="37"/>
      <c r="W118" s="37"/>
      <c r="X118" s="502"/>
      <c r="Y118" s="211"/>
      <c r="Z118" s="37"/>
      <c r="AA118" s="49"/>
      <c r="AB118" s="49"/>
      <c r="AC118" s="37"/>
      <c r="AD118" s="37"/>
      <c r="AE118" s="230"/>
      <c r="AF118" s="37"/>
      <c r="AG118" s="37"/>
      <c r="AH118" s="37"/>
      <c r="AI118" s="503"/>
      <c r="AJ118" s="37"/>
      <c r="AK118" s="37"/>
      <c r="AL118" s="37"/>
      <c r="AM118" s="37"/>
      <c r="AN118" s="37"/>
      <c r="AO118" s="37"/>
      <c r="AP118" s="37"/>
      <c r="AQ118" s="37"/>
      <c r="AR118" s="37"/>
      <c r="AS118" s="37"/>
      <c r="AT118" s="37"/>
      <c r="AU118" s="37"/>
      <c r="AV118" s="37"/>
      <c r="AW118" s="37"/>
      <c r="AX118" s="37"/>
      <c r="AY118" s="37"/>
      <c r="AZ118" s="37"/>
      <c r="BA118" s="37"/>
      <c r="BB118" s="33"/>
      <c r="BC118" s="51"/>
      <c r="BD118" s="51"/>
      <c r="BE118" s="51"/>
      <c r="BF118" s="51"/>
    </row>
    <row r="119" spans="1:58" ht="12.75" customHeight="1">
      <c r="A119" s="40">
        <v>45925</v>
      </c>
      <c r="B119" s="41" t="s">
        <v>424</v>
      </c>
      <c r="C119" s="415">
        <f t="shared" ref="C119" si="303">(M119*E119*O119*Q119)/100000000</f>
        <v>43.20594432</v>
      </c>
      <c r="D119" s="41" t="s">
        <v>304</v>
      </c>
      <c r="E119" s="42">
        <v>12</v>
      </c>
      <c r="F119" s="42">
        <v>1</v>
      </c>
      <c r="G119" s="500">
        <v>1230</v>
      </c>
      <c r="H119" s="44">
        <v>0.23</v>
      </c>
      <c r="I119" s="45">
        <v>0.88</v>
      </c>
      <c r="J119" s="82">
        <f t="shared" ref="J119" si="304">E119*G119*(1-H119)*1440/1000000*2.74</f>
        <v>44.842533120000006</v>
      </c>
      <c r="K119" s="82">
        <f t="shared" ref="K119" si="305">(IF(G119&lt;L119,L119,G119)*(1-IF(H119&lt;N119,H119,N119))*E119*O119*Q119)/100000000</f>
        <v>43.20594432</v>
      </c>
      <c r="L119" s="35">
        <v>1230</v>
      </c>
      <c r="M119" s="35">
        <v>947.09999999999991</v>
      </c>
      <c r="N119" s="46">
        <f t="shared" ref="N119" si="306">1-(M119/L119)</f>
        <v>0.23000000000000009</v>
      </c>
      <c r="O119" s="47">
        <f>+'Trim Rwd'!H70</f>
        <v>264</v>
      </c>
      <c r="P119" s="48">
        <f t="shared" ref="P119" si="307">O119*(Q119-R119-S119)</f>
        <v>0</v>
      </c>
      <c r="Q119" s="47">
        <v>1440</v>
      </c>
      <c r="R119" s="501">
        <v>1440</v>
      </c>
      <c r="S119" s="501">
        <v>0</v>
      </c>
      <c r="T119" s="37">
        <f t="shared" ref="T119" si="308">E119*M119*O119*Q119/100000000</f>
        <v>43.20594432</v>
      </c>
      <c r="U119" s="37">
        <f t="shared" ref="U119" si="309">E119*M119*O119*(Q119-R119-S119)/100000000</f>
        <v>0</v>
      </c>
      <c r="V119" s="37">
        <f t="shared" ref="V119" si="310">E119*G119*(1-N119)*O119/100*(R119+S119)/1000000</f>
        <v>43.205944319999993</v>
      </c>
      <c r="W119" s="37">
        <v>0</v>
      </c>
      <c r="X119" s="502">
        <f>SUM(W119:W122)/SUM(K119:K122)</f>
        <v>0</v>
      </c>
      <c r="Y119" s="211">
        <f>+SUM(RBP!AG18:AG19)</f>
        <v>0</v>
      </c>
      <c r="Z119" s="37">
        <v>0</v>
      </c>
      <c r="AA119" s="49">
        <f>SUM(U119:U122)-SUM(W119:W122)-SUM(Z119:Z122)-SUM(Y119:Y122)</f>
        <v>0</v>
      </c>
      <c r="AB119" s="49">
        <f>(SUM(K119:K122)-SUM(W119:W122)-SUM(Y119:Y122)-SUM(Z119:Z122)-SUM(AC119:AC122)-SUM(V119:V122))-AA119</f>
        <v>7.1054273576010019E-15</v>
      </c>
      <c r="AC119" s="37">
        <f>K119-T119</f>
        <v>0</v>
      </c>
      <c r="AD119" s="37">
        <f>+AM119+BA119</f>
        <v>0</v>
      </c>
      <c r="AE119" s="230" t="s">
        <v>466</v>
      </c>
      <c r="AF119" s="37">
        <v>0</v>
      </c>
      <c r="AG119" s="37"/>
      <c r="AH119" s="37"/>
      <c r="AI119" s="37"/>
      <c r="AJ119" s="37"/>
      <c r="AK119" s="37"/>
      <c r="AL119" s="37"/>
      <c r="AM119" s="37">
        <f t="shared" ref="AM119:AM121" si="311">SUM(AF119:AL119)+AT119+AV119+AX119</f>
        <v>0</v>
      </c>
      <c r="AN119" s="37"/>
      <c r="AO119" s="37"/>
      <c r="AP119" s="37"/>
      <c r="AQ119" s="37"/>
      <c r="AR119" s="37">
        <f>SUM(AN119:AQ119)</f>
        <v>0</v>
      </c>
      <c r="AS119" s="37"/>
      <c r="AT119" s="37"/>
      <c r="AU119" s="37"/>
      <c r="AV119" s="37"/>
      <c r="AW119" s="37"/>
      <c r="AX119" s="37"/>
      <c r="AY119" s="37"/>
      <c r="AZ119" s="37"/>
      <c r="BA119" s="37">
        <f>+AR119+AS119+AU119+AW119+AY119+AZ119</f>
        <v>0</v>
      </c>
      <c r="BB119" s="33">
        <v>0</v>
      </c>
      <c r="BC119" s="51"/>
      <c r="BD119" s="51"/>
      <c r="BE119" s="33"/>
      <c r="BF119" s="51"/>
    </row>
    <row r="120" spans="1:58" ht="12.95" customHeight="1">
      <c r="A120" s="40"/>
      <c r="B120" s="41"/>
      <c r="C120" s="415"/>
      <c r="D120" s="41"/>
      <c r="E120" s="42"/>
      <c r="F120" s="42"/>
      <c r="G120" s="500"/>
      <c r="H120" s="44"/>
      <c r="I120" s="45"/>
      <c r="J120" s="82"/>
      <c r="K120" s="82"/>
      <c r="L120" s="35"/>
      <c r="M120" s="35"/>
      <c r="N120" s="46"/>
      <c r="O120" s="47"/>
      <c r="P120" s="48"/>
      <c r="Q120" s="47"/>
      <c r="R120" s="501"/>
      <c r="S120" s="501"/>
      <c r="T120" s="37"/>
      <c r="U120" s="37"/>
      <c r="V120" s="37"/>
      <c r="W120" s="37">
        <v>0</v>
      </c>
      <c r="X120" s="38"/>
      <c r="Y120" s="211"/>
      <c r="Z120" s="37">
        <v>0</v>
      </c>
      <c r="AA120" s="37"/>
      <c r="AB120" s="37"/>
      <c r="AC120" s="37">
        <f>K120-T120</f>
        <v>0</v>
      </c>
      <c r="AD120" s="37">
        <f>+AM120+BA120</f>
        <v>0</v>
      </c>
      <c r="AE120" s="230" t="s">
        <v>432</v>
      </c>
      <c r="AF120" s="37"/>
      <c r="AG120" s="37">
        <v>0</v>
      </c>
      <c r="AH120" s="37"/>
      <c r="AI120" s="37"/>
      <c r="AJ120" s="37"/>
      <c r="AK120" s="37"/>
      <c r="AL120" s="37"/>
      <c r="AM120" s="37">
        <f t="shared" si="311"/>
        <v>0</v>
      </c>
      <c r="AN120" s="83"/>
      <c r="AO120" s="37"/>
      <c r="AP120" s="37"/>
      <c r="AQ120" s="37"/>
      <c r="AR120" s="37">
        <f t="shared" ref="AR120:AR121" si="312">SUM(AN120:AQ120)</f>
        <v>0</v>
      </c>
      <c r="AS120" s="37"/>
      <c r="AT120" s="37"/>
      <c r="AU120" s="37"/>
      <c r="AV120" s="37"/>
      <c r="AW120" s="37"/>
      <c r="AX120" s="37"/>
      <c r="AY120" s="37"/>
      <c r="AZ120" s="37"/>
      <c r="BA120" s="37">
        <f>+AR120+AS120+AU120+AW120+AY120+AZ120</f>
        <v>0</v>
      </c>
      <c r="BB120" s="50"/>
      <c r="BC120" s="51">
        <v>0</v>
      </c>
      <c r="BD120" s="51"/>
      <c r="BE120" s="50"/>
      <c r="BF120" s="51"/>
    </row>
    <row r="121" spans="1:58" ht="12.95" customHeight="1">
      <c r="A121" s="40"/>
      <c r="B121" s="41"/>
      <c r="C121" s="415"/>
      <c r="D121" s="41"/>
      <c r="E121" s="42"/>
      <c r="F121" s="42"/>
      <c r="G121" s="43"/>
      <c r="H121" s="44"/>
      <c r="I121" s="45"/>
      <c r="J121" s="82"/>
      <c r="K121" s="82"/>
      <c r="L121" s="35"/>
      <c r="M121" s="35"/>
      <c r="N121" s="46"/>
      <c r="O121" s="47"/>
      <c r="P121" s="48"/>
      <c r="Q121" s="47"/>
      <c r="R121" s="501"/>
      <c r="S121" s="501"/>
      <c r="T121" s="37"/>
      <c r="U121" s="37"/>
      <c r="V121" s="37"/>
      <c r="W121" s="37"/>
      <c r="X121" s="38"/>
      <c r="Y121" s="211"/>
      <c r="Z121" s="37"/>
      <c r="AA121" s="37"/>
      <c r="AB121" s="37"/>
      <c r="AC121" s="37"/>
      <c r="AD121" s="37">
        <f>+AM121+BA121</f>
        <v>0</v>
      </c>
      <c r="AE121" s="230" t="s">
        <v>507</v>
      </c>
      <c r="AF121" s="33"/>
      <c r="AG121" s="33"/>
      <c r="AH121" s="33">
        <v>0</v>
      </c>
      <c r="AI121" s="33"/>
      <c r="AJ121" s="37"/>
      <c r="AK121" s="37"/>
      <c r="AL121" s="37"/>
      <c r="AM121" s="37">
        <f t="shared" si="311"/>
        <v>0</v>
      </c>
      <c r="AN121" s="37"/>
      <c r="AO121" s="37"/>
      <c r="AP121" s="37"/>
      <c r="AQ121" s="37"/>
      <c r="AR121" s="37">
        <f t="shared" si="312"/>
        <v>0</v>
      </c>
      <c r="AS121" s="37"/>
      <c r="AT121" s="37"/>
      <c r="AU121" s="37"/>
      <c r="AV121" s="37"/>
      <c r="AW121" s="37"/>
      <c r="AX121" s="37"/>
      <c r="AY121" s="37"/>
      <c r="AZ121" s="37"/>
      <c r="BA121" s="37">
        <f>+AR121+AS121+AU121+AW121+AY121+AZ121</f>
        <v>0</v>
      </c>
      <c r="BB121" s="33"/>
      <c r="BC121" s="504"/>
      <c r="BD121" s="504"/>
      <c r="BE121" s="33"/>
      <c r="BF121" s="504"/>
    </row>
    <row r="122" spans="1:58" ht="12.95" customHeight="1">
      <c r="A122" s="40"/>
      <c r="B122" s="41"/>
      <c r="C122" s="415"/>
      <c r="D122" s="41"/>
      <c r="E122" s="42"/>
      <c r="F122" s="42"/>
      <c r="G122" s="43"/>
      <c r="H122" s="44"/>
      <c r="I122" s="45"/>
      <c r="J122" s="82"/>
      <c r="K122" s="82"/>
      <c r="L122" s="35"/>
      <c r="M122" s="35"/>
      <c r="N122" s="46"/>
      <c r="O122" s="47"/>
      <c r="P122" s="48"/>
      <c r="Q122" s="47"/>
      <c r="R122" s="501"/>
      <c r="S122" s="501"/>
      <c r="T122" s="37"/>
      <c r="U122" s="37"/>
      <c r="V122" s="37"/>
      <c r="W122" s="37"/>
      <c r="X122" s="38"/>
      <c r="Y122" s="211"/>
      <c r="Z122" s="37"/>
      <c r="AA122" s="37"/>
      <c r="AB122" s="37"/>
      <c r="AC122" s="37"/>
      <c r="AD122" s="37">
        <f>+AM122+BA122</f>
        <v>1440</v>
      </c>
      <c r="AE122" s="230" t="s">
        <v>586</v>
      </c>
      <c r="AF122" s="33"/>
      <c r="AG122" s="33"/>
      <c r="AH122" s="33"/>
      <c r="AI122" s="33"/>
      <c r="AJ122" s="37"/>
      <c r="AK122" s="37"/>
      <c r="AL122" s="37"/>
      <c r="AM122" s="37">
        <f t="shared" ref="AM122" si="313">SUM(AF122:AL122)+AT122+AV122+AX122</f>
        <v>0</v>
      </c>
      <c r="AN122" s="37"/>
      <c r="AO122" s="37"/>
      <c r="AP122" s="37"/>
      <c r="AQ122" s="37"/>
      <c r="AR122" s="37">
        <f t="shared" ref="AR122" si="314">SUM(AN122:AQ122)</f>
        <v>0</v>
      </c>
      <c r="AS122" s="37"/>
      <c r="AT122" s="37"/>
      <c r="AU122" s="37">
        <v>1440</v>
      </c>
      <c r="AV122" s="37"/>
      <c r="AW122" s="37"/>
      <c r="AX122" s="37"/>
      <c r="AY122" s="37"/>
      <c r="AZ122" s="37"/>
      <c r="BA122" s="37">
        <f>+AR122+AS122+AU122+AW122+AY122+AZ122</f>
        <v>1440</v>
      </c>
      <c r="BB122" s="33"/>
      <c r="BC122" s="504"/>
      <c r="BD122" s="504"/>
      <c r="BE122" s="33"/>
      <c r="BF122" s="504"/>
    </row>
    <row r="123" spans="1:58" ht="16.5" customHeight="1">
      <c r="A123" s="40"/>
      <c r="B123" s="41"/>
      <c r="C123" s="415"/>
      <c r="D123" s="41"/>
      <c r="E123" s="42"/>
      <c r="F123" s="42"/>
      <c r="G123" s="500"/>
      <c r="H123" s="44"/>
      <c r="I123" s="45"/>
      <c r="J123" s="82"/>
      <c r="K123" s="82"/>
      <c r="L123" s="35"/>
      <c r="M123" s="35"/>
      <c r="N123" s="46"/>
      <c r="O123" s="47"/>
      <c r="P123" s="48"/>
      <c r="Q123" s="47"/>
      <c r="R123" s="501"/>
      <c r="S123" s="501"/>
      <c r="T123" s="37"/>
      <c r="U123" s="37"/>
      <c r="V123" s="37"/>
      <c r="W123" s="37"/>
      <c r="X123" s="502"/>
      <c r="Y123" s="211"/>
      <c r="Z123" s="37"/>
      <c r="AA123" s="49"/>
      <c r="AB123" s="49"/>
      <c r="AC123" s="37"/>
      <c r="AD123" s="37"/>
      <c r="AE123" s="230"/>
      <c r="AF123" s="37"/>
      <c r="AG123" s="37"/>
      <c r="AH123" s="37"/>
      <c r="AI123" s="503"/>
      <c r="AJ123" s="37"/>
      <c r="AK123" s="37"/>
      <c r="AL123" s="37"/>
      <c r="AM123" s="37"/>
      <c r="AN123" s="37"/>
      <c r="AO123" s="37"/>
      <c r="AP123" s="37"/>
      <c r="AQ123" s="37"/>
      <c r="AR123" s="37"/>
      <c r="AS123" s="37"/>
      <c r="AT123" s="37"/>
      <c r="AU123" s="37"/>
      <c r="AV123" s="37"/>
      <c r="AW123" s="37"/>
      <c r="AX123" s="37"/>
      <c r="AY123" s="37"/>
      <c r="AZ123" s="37"/>
      <c r="BA123" s="37"/>
      <c r="BB123" s="33"/>
      <c r="BC123" s="51"/>
      <c r="BD123" s="51"/>
      <c r="BE123" s="51"/>
      <c r="BF123" s="51"/>
    </row>
    <row r="124" spans="1:58" ht="12.75" customHeight="1">
      <c r="A124" s="40">
        <v>45926</v>
      </c>
      <c r="B124" s="41" t="s">
        <v>424</v>
      </c>
      <c r="C124" s="415">
        <f t="shared" ref="C124" si="315">(M124*E124*O124*Q124)/100000000</f>
        <v>43.20594432</v>
      </c>
      <c r="D124" s="41" t="s">
        <v>304</v>
      </c>
      <c r="E124" s="42">
        <v>12</v>
      </c>
      <c r="F124" s="42">
        <v>1</v>
      </c>
      <c r="G124" s="500">
        <v>1230</v>
      </c>
      <c r="H124" s="44">
        <v>0.23</v>
      </c>
      <c r="I124" s="45">
        <v>0.88</v>
      </c>
      <c r="J124" s="82">
        <f t="shared" ref="J124" si="316">E124*G124*(1-H124)*1440/1000000*2.74</f>
        <v>44.842533120000006</v>
      </c>
      <c r="K124" s="82">
        <f t="shared" ref="K124" si="317">(IF(G124&lt;L124,L124,G124)*(1-IF(H124&lt;N124,H124,N124))*E124*O124*Q124)/100000000</f>
        <v>43.20594432</v>
      </c>
      <c r="L124" s="35">
        <v>1230</v>
      </c>
      <c r="M124" s="35">
        <v>947.09999999999991</v>
      </c>
      <c r="N124" s="46">
        <f t="shared" ref="N124" si="318">1-(M124/L124)</f>
        <v>0.23000000000000009</v>
      </c>
      <c r="O124" s="47">
        <f>+'Trim Rwd'!H72</f>
        <v>264</v>
      </c>
      <c r="P124" s="48">
        <f t="shared" ref="P124" si="319">O124*(Q124-R124-S124)</f>
        <v>0</v>
      </c>
      <c r="Q124" s="47">
        <v>1440</v>
      </c>
      <c r="R124" s="501">
        <v>1440</v>
      </c>
      <c r="S124" s="501">
        <v>0</v>
      </c>
      <c r="T124" s="37">
        <f t="shared" ref="T124" si="320">E124*M124*O124*Q124/100000000</f>
        <v>43.20594432</v>
      </c>
      <c r="U124" s="37">
        <f t="shared" ref="U124" si="321">E124*M124*O124*(Q124-R124-S124)/100000000</f>
        <v>0</v>
      </c>
      <c r="V124" s="37">
        <f t="shared" ref="V124" si="322">E124*G124*(1-N124)*O124/100*(R124+S124)/1000000</f>
        <v>43.205944319999993</v>
      </c>
      <c r="W124" s="37">
        <v>0</v>
      </c>
      <c r="X124" s="502">
        <f>SUM(W124:W127)/SUM(K124:K127)</f>
        <v>0</v>
      </c>
      <c r="Y124" s="211">
        <f>+SUM(RBP!AG23:AG24)</f>
        <v>0</v>
      </c>
      <c r="Z124" s="37">
        <v>0</v>
      </c>
      <c r="AA124" s="49">
        <f>SUM(U124:U127)-SUM(W124:W127)-SUM(Z124:Z127)-SUM(Y124:Y127)</f>
        <v>0</v>
      </c>
      <c r="AB124" s="49">
        <f>(SUM(K124:K127)-SUM(W124:W127)-SUM(Y124:Y127)-SUM(Z124:Z127)-SUM(AC124:AC127)-SUM(V124:V127))-AA124</f>
        <v>7.1054273576010019E-15</v>
      </c>
      <c r="AC124" s="37">
        <f>K124-T124</f>
        <v>0</v>
      </c>
      <c r="AD124" s="37">
        <f>+AM124+BA124</f>
        <v>0</v>
      </c>
      <c r="AE124" s="230" t="s">
        <v>466</v>
      </c>
      <c r="AF124" s="37">
        <v>0</v>
      </c>
      <c r="AG124" s="37"/>
      <c r="AH124" s="37"/>
      <c r="AI124" s="37"/>
      <c r="AJ124" s="37"/>
      <c r="AK124" s="37"/>
      <c r="AL124" s="37"/>
      <c r="AM124" s="37">
        <f t="shared" ref="AM124:AM126" si="323">SUM(AF124:AL124)+AT124+AV124+AX124</f>
        <v>0</v>
      </c>
      <c r="AN124" s="37"/>
      <c r="AO124" s="37"/>
      <c r="AP124" s="37"/>
      <c r="AQ124" s="37"/>
      <c r="AR124" s="37">
        <f>SUM(AN124:AQ124)</f>
        <v>0</v>
      </c>
      <c r="AS124" s="37"/>
      <c r="AT124" s="37"/>
      <c r="AU124" s="37"/>
      <c r="AV124" s="37"/>
      <c r="AW124" s="37"/>
      <c r="AX124" s="37"/>
      <c r="AY124" s="37"/>
      <c r="AZ124" s="37"/>
      <c r="BA124" s="37">
        <f>+AR124+AS124+AU124+AW124+AY124+AZ124</f>
        <v>0</v>
      </c>
      <c r="BB124" s="33">
        <v>0</v>
      </c>
      <c r="BC124" s="51"/>
      <c r="BD124" s="51"/>
      <c r="BE124" s="33"/>
      <c r="BF124" s="51"/>
    </row>
    <row r="125" spans="1:58" ht="12.95" customHeight="1">
      <c r="A125" s="40"/>
      <c r="B125" s="41"/>
      <c r="C125" s="415"/>
      <c r="D125" s="41"/>
      <c r="E125" s="42"/>
      <c r="F125" s="42"/>
      <c r="G125" s="500"/>
      <c r="H125" s="44"/>
      <c r="I125" s="45"/>
      <c r="J125" s="82"/>
      <c r="K125" s="82"/>
      <c r="L125" s="35"/>
      <c r="M125" s="35"/>
      <c r="N125" s="46"/>
      <c r="O125" s="47"/>
      <c r="P125" s="48"/>
      <c r="Q125" s="47"/>
      <c r="R125" s="501"/>
      <c r="S125" s="501"/>
      <c r="T125" s="37"/>
      <c r="U125" s="37"/>
      <c r="V125" s="37"/>
      <c r="W125" s="37">
        <v>0</v>
      </c>
      <c r="X125" s="38"/>
      <c r="Y125" s="211"/>
      <c r="Z125" s="37">
        <v>0</v>
      </c>
      <c r="AA125" s="37"/>
      <c r="AB125" s="37"/>
      <c r="AC125" s="37">
        <f>K125-T125</f>
        <v>0</v>
      </c>
      <c r="AD125" s="37">
        <f>+AM125+BA125</f>
        <v>0</v>
      </c>
      <c r="AE125" s="230" t="s">
        <v>432</v>
      </c>
      <c r="AF125" s="37"/>
      <c r="AG125" s="37">
        <v>0</v>
      </c>
      <c r="AH125" s="37"/>
      <c r="AI125" s="37"/>
      <c r="AJ125" s="37"/>
      <c r="AK125" s="37"/>
      <c r="AL125" s="37"/>
      <c r="AM125" s="37">
        <f t="shared" si="323"/>
        <v>0</v>
      </c>
      <c r="AN125" s="83"/>
      <c r="AO125" s="37"/>
      <c r="AP125" s="37"/>
      <c r="AQ125" s="37"/>
      <c r="AR125" s="37">
        <f t="shared" ref="AR125:AR126" si="324">SUM(AN125:AQ125)</f>
        <v>0</v>
      </c>
      <c r="AS125" s="37"/>
      <c r="AT125" s="37"/>
      <c r="AU125" s="37"/>
      <c r="AV125" s="37"/>
      <c r="AW125" s="37"/>
      <c r="AX125" s="37"/>
      <c r="AY125" s="37"/>
      <c r="AZ125" s="37"/>
      <c r="BA125" s="37">
        <f>+AR125+AS125+AU125+AW125+AY125+AZ125</f>
        <v>0</v>
      </c>
      <c r="BB125" s="50"/>
      <c r="BC125" s="51">
        <v>0</v>
      </c>
      <c r="BD125" s="51"/>
      <c r="BE125" s="50"/>
      <c r="BF125" s="51"/>
    </row>
    <row r="126" spans="1:58" ht="12.95" customHeight="1">
      <c r="A126" s="40"/>
      <c r="B126" s="41"/>
      <c r="C126" s="415"/>
      <c r="D126" s="41"/>
      <c r="E126" s="42"/>
      <c r="F126" s="42"/>
      <c r="G126" s="43"/>
      <c r="H126" s="44"/>
      <c r="I126" s="45"/>
      <c r="J126" s="82"/>
      <c r="K126" s="82"/>
      <c r="L126" s="35"/>
      <c r="M126" s="35"/>
      <c r="N126" s="46"/>
      <c r="O126" s="47"/>
      <c r="P126" s="48"/>
      <c r="Q126" s="47"/>
      <c r="R126" s="501"/>
      <c r="S126" s="501"/>
      <c r="T126" s="37"/>
      <c r="U126" s="37"/>
      <c r="V126" s="37"/>
      <c r="W126" s="37"/>
      <c r="X126" s="38"/>
      <c r="Y126" s="211"/>
      <c r="Z126" s="37"/>
      <c r="AA126" s="37"/>
      <c r="AB126" s="37"/>
      <c r="AC126" s="37"/>
      <c r="AD126" s="37">
        <f>+AM126+BA126</f>
        <v>0</v>
      </c>
      <c r="AE126" s="230" t="s">
        <v>507</v>
      </c>
      <c r="AF126" s="33"/>
      <c r="AG126" s="33"/>
      <c r="AH126" s="33">
        <v>0</v>
      </c>
      <c r="AI126" s="33"/>
      <c r="AJ126" s="37"/>
      <c r="AK126" s="37"/>
      <c r="AL126" s="37"/>
      <c r="AM126" s="37">
        <f t="shared" si="323"/>
        <v>0</v>
      </c>
      <c r="AN126" s="37"/>
      <c r="AO126" s="37"/>
      <c r="AP126" s="37"/>
      <c r="AQ126" s="37"/>
      <c r="AR126" s="37">
        <f t="shared" si="324"/>
        <v>0</v>
      </c>
      <c r="AS126" s="37"/>
      <c r="AT126" s="37"/>
      <c r="AU126" s="37"/>
      <c r="AV126" s="37"/>
      <c r="AW126" s="37"/>
      <c r="AX126" s="37"/>
      <c r="AY126" s="37"/>
      <c r="AZ126" s="37"/>
      <c r="BA126" s="37">
        <f>+AR126+AS126+AU126+AW126+AY126+AZ126</f>
        <v>0</v>
      </c>
      <c r="BB126" s="33"/>
      <c r="BC126" s="504"/>
      <c r="BD126" s="504"/>
      <c r="BE126" s="33"/>
      <c r="BF126" s="504"/>
    </row>
    <row r="127" spans="1:58" ht="12.95" customHeight="1">
      <c r="A127" s="40"/>
      <c r="B127" s="41"/>
      <c r="C127" s="415"/>
      <c r="D127" s="41"/>
      <c r="E127" s="42"/>
      <c r="F127" s="42"/>
      <c r="G127" s="43"/>
      <c r="H127" s="44"/>
      <c r="I127" s="45"/>
      <c r="J127" s="82"/>
      <c r="K127" s="82"/>
      <c r="L127" s="35"/>
      <c r="M127" s="35"/>
      <c r="N127" s="46"/>
      <c r="O127" s="47"/>
      <c r="P127" s="48"/>
      <c r="Q127" s="47"/>
      <c r="R127" s="501"/>
      <c r="S127" s="501"/>
      <c r="T127" s="37"/>
      <c r="U127" s="37"/>
      <c r="V127" s="37"/>
      <c r="W127" s="37"/>
      <c r="X127" s="38"/>
      <c r="Y127" s="211"/>
      <c r="Z127" s="37"/>
      <c r="AA127" s="37"/>
      <c r="AB127" s="37"/>
      <c r="AC127" s="37"/>
      <c r="AD127" s="37">
        <f>+AM127+BA127</f>
        <v>1440</v>
      </c>
      <c r="AE127" s="230" t="s">
        <v>586</v>
      </c>
      <c r="AF127" s="33"/>
      <c r="AG127" s="33"/>
      <c r="AH127" s="33"/>
      <c r="AI127" s="33"/>
      <c r="AJ127" s="37"/>
      <c r="AK127" s="37"/>
      <c r="AL127" s="37"/>
      <c r="AM127" s="37">
        <f t="shared" ref="AM127" si="325">SUM(AF127:AL127)+AT127+AV127+AX127</f>
        <v>0</v>
      </c>
      <c r="AN127" s="37"/>
      <c r="AO127" s="37"/>
      <c r="AP127" s="37"/>
      <c r="AQ127" s="37"/>
      <c r="AR127" s="37">
        <f t="shared" ref="AR127" si="326">SUM(AN127:AQ127)</f>
        <v>0</v>
      </c>
      <c r="AS127" s="37"/>
      <c r="AT127" s="37"/>
      <c r="AU127" s="37">
        <v>1440</v>
      </c>
      <c r="AV127" s="37"/>
      <c r="AW127" s="37"/>
      <c r="AX127" s="37"/>
      <c r="AY127" s="37"/>
      <c r="AZ127" s="37"/>
      <c r="BA127" s="37">
        <f>+AR127+AS127+AU127+AW127+AY127+AZ127</f>
        <v>1440</v>
      </c>
      <c r="BB127" s="33"/>
      <c r="BC127" s="504"/>
      <c r="BD127" s="504"/>
      <c r="BE127" s="33"/>
      <c r="BF127" s="504"/>
    </row>
    <row r="128" spans="1:58" ht="16.5" customHeight="1">
      <c r="A128" s="40"/>
      <c r="B128" s="41"/>
      <c r="C128" s="415"/>
      <c r="D128" s="41"/>
      <c r="E128" s="42"/>
      <c r="F128" s="42"/>
      <c r="G128" s="500"/>
      <c r="H128" s="44"/>
      <c r="I128" s="45"/>
      <c r="J128" s="82"/>
      <c r="K128" s="82"/>
      <c r="L128" s="35"/>
      <c r="M128" s="35"/>
      <c r="N128" s="46"/>
      <c r="O128" s="47"/>
      <c r="P128" s="48"/>
      <c r="Q128" s="47"/>
      <c r="R128" s="501"/>
      <c r="S128" s="501"/>
      <c r="T128" s="37"/>
      <c r="U128" s="37"/>
      <c r="V128" s="37"/>
      <c r="W128" s="37"/>
      <c r="X128" s="502"/>
      <c r="Y128" s="211"/>
      <c r="Z128" s="37"/>
      <c r="AA128" s="49"/>
      <c r="AB128" s="49"/>
      <c r="AC128" s="37"/>
      <c r="AD128" s="37"/>
      <c r="AE128" s="230"/>
      <c r="AF128" s="37"/>
      <c r="AG128" s="37"/>
      <c r="AH128" s="37"/>
      <c r="AI128" s="503"/>
      <c r="AJ128" s="37"/>
      <c r="AK128" s="37"/>
      <c r="AL128" s="37"/>
      <c r="AM128" s="37"/>
      <c r="AN128" s="37"/>
      <c r="AO128" s="37"/>
      <c r="AP128" s="37"/>
      <c r="AQ128" s="37"/>
      <c r="AR128" s="37"/>
      <c r="AS128" s="37"/>
      <c r="AT128" s="37"/>
      <c r="AU128" s="37"/>
      <c r="AV128" s="37"/>
      <c r="AW128" s="37"/>
      <c r="AX128" s="37"/>
      <c r="AY128" s="37"/>
      <c r="AZ128" s="37"/>
      <c r="BA128" s="37"/>
      <c r="BB128" s="33"/>
      <c r="BC128" s="51"/>
      <c r="BD128" s="504"/>
      <c r="BE128" s="33"/>
      <c r="BF128" s="504"/>
    </row>
    <row r="129" spans="1:58" ht="12.75" customHeight="1">
      <c r="A129" s="40">
        <v>45927</v>
      </c>
      <c r="B129" s="41" t="s">
        <v>424</v>
      </c>
      <c r="C129" s="415">
        <f t="shared" ref="C129" si="327">(M129*E129*O129*Q129)/100000000</f>
        <v>43.20594432</v>
      </c>
      <c r="D129" s="41" t="s">
        <v>304</v>
      </c>
      <c r="E129" s="42">
        <v>12</v>
      </c>
      <c r="F129" s="42">
        <v>1</v>
      </c>
      <c r="G129" s="500">
        <v>1230</v>
      </c>
      <c r="H129" s="44">
        <v>0.23</v>
      </c>
      <c r="I129" s="45">
        <v>0.88</v>
      </c>
      <c r="J129" s="82">
        <f t="shared" ref="J129" si="328">E129*G129*(1-H129)*1440/1000000*2.74</f>
        <v>44.842533120000006</v>
      </c>
      <c r="K129" s="82">
        <f t="shared" ref="K129" si="329">(IF(G129&lt;L129,L129,G129)*(1-IF(H129&lt;N129,H129,N129))*E129*O129*Q129)/100000000</f>
        <v>43.20594432</v>
      </c>
      <c r="L129" s="35">
        <v>1230</v>
      </c>
      <c r="M129" s="35">
        <v>947.09999999999991</v>
      </c>
      <c r="N129" s="46">
        <f t="shared" ref="N129" si="330">1-(M129/L129)</f>
        <v>0.23000000000000009</v>
      </c>
      <c r="O129" s="47">
        <f>+'Trim Rwd'!H74</f>
        <v>264</v>
      </c>
      <c r="P129" s="48">
        <f t="shared" ref="P129" si="331">O129*(Q129-R129-S129)</f>
        <v>0</v>
      </c>
      <c r="Q129" s="47">
        <v>1440</v>
      </c>
      <c r="R129" s="501">
        <v>1440</v>
      </c>
      <c r="S129" s="501">
        <v>0</v>
      </c>
      <c r="T129" s="37">
        <f t="shared" ref="T129" si="332">E129*M129*O129*Q129/100000000</f>
        <v>43.20594432</v>
      </c>
      <c r="U129" s="37">
        <f t="shared" ref="U129" si="333">E129*M129*O129*(Q129-R129-S129)/100000000</f>
        <v>0</v>
      </c>
      <c r="V129" s="37">
        <f t="shared" ref="V129" si="334">E129*G129*(1-N129)*O129/100*(R129+S129)/1000000</f>
        <v>43.205944319999993</v>
      </c>
      <c r="W129" s="37">
        <v>0</v>
      </c>
      <c r="X129" s="502">
        <f>SUM(W129:W132)/SUM(K129:K132)</f>
        <v>0</v>
      </c>
      <c r="Y129" s="211">
        <f>+SUM(RBP!AG28:AG29)</f>
        <v>0</v>
      </c>
      <c r="Z129" s="37">
        <v>0</v>
      </c>
      <c r="AA129" s="49">
        <f>SUM(U129:U132)-SUM(W129:W132)-SUM(Z129:Z132)-SUM(Y129:Y132)</f>
        <v>0</v>
      </c>
      <c r="AB129" s="49">
        <f>(SUM(K129:K132)-SUM(W129:W132)-SUM(Y129:Y132)-SUM(Z129:Z132)-SUM(AC129:AC132)-SUM(V129:V132))-AA129</f>
        <v>7.1054273576010019E-15</v>
      </c>
      <c r="AC129" s="37">
        <f>K129-T129</f>
        <v>0</v>
      </c>
      <c r="AD129" s="37">
        <f>+AM129+BA129</f>
        <v>0</v>
      </c>
      <c r="AE129" s="230" t="s">
        <v>466</v>
      </c>
      <c r="AF129" s="37">
        <v>0</v>
      </c>
      <c r="AG129" s="37"/>
      <c r="AH129" s="37"/>
      <c r="AI129" s="37"/>
      <c r="AJ129" s="37"/>
      <c r="AK129" s="37"/>
      <c r="AL129" s="37"/>
      <c r="AM129" s="37">
        <f t="shared" ref="AM129:AM131" si="335">SUM(AF129:AL129)+AT129+AV129+AX129</f>
        <v>0</v>
      </c>
      <c r="AN129" s="37"/>
      <c r="AO129" s="37"/>
      <c r="AP129" s="37"/>
      <c r="AQ129" s="37"/>
      <c r="AR129" s="37">
        <f>SUM(AN129:AQ129)</f>
        <v>0</v>
      </c>
      <c r="AS129" s="37"/>
      <c r="AT129" s="37"/>
      <c r="AU129" s="37"/>
      <c r="AV129" s="37"/>
      <c r="AW129" s="37"/>
      <c r="AX129" s="37"/>
      <c r="AY129" s="37"/>
      <c r="AZ129" s="37"/>
      <c r="BA129" s="37">
        <f>+AR129+AS129+AU129+AW129+AY129+AZ129</f>
        <v>0</v>
      </c>
      <c r="BB129" s="33">
        <v>0</v>
      </c>
      <c r="BC129" s="51"/>
      <c r="BD129" s="51"/>
      <c r="BE129" s="33"/>
      <c r="BF129" s="51"/>
    </row>
    <row r="130" spans="1:58" ht="12.95" customHeight="1">
      <c r="A130" s="40"/>
      <c r="B130" s="41"/>
      <c r="C130" s="415"/>
      <c r="D130" s="41"/>
      <c r="E130" s="42"/>
      <c r="F130" s="42"/>
      <c r="G130" s="500"/>
      <c r="H130" s="44"/>
      <c r="I130" s="45"/>
      <c r="J130" s="82"/>
      <c r="K130" s="82"/>
      <c r="L130" s="35"/>
      <c r="M130" s="35"/>
      <c r="N130" s="46"/>
      <c r="O130" s="47"/>
      <c r="P130" s="48"/>
      <c r="Q130" s="47"/>
      <c r="R130" s="501"/>
      <c r="S130" s="501"/>
      <c r="T130" s="37"/>
      <c r="U130" s="37"/>
      <c r="V130" s="37"/>
      <c r="W130" s="37">
        <v>0</v>
      </c>
      <c r="X130" s="38"/>
      <c r="Y130" s="211"/>
      <c r="Z130" s="37">
        <v>0</v>
      </c>
      <c r="AA130" s="37"/>
      <c r="AB130" s="37"/>
      <c r="AC130" s="37">
        <f>K130-T130</f>
        <v>0</v>
      </c>
      <c r="AD130" s="37">
        <f>+AM130+BA130</f>
        <v>0</v>
      </c>
      <c r="AE130" s="230" t="s">
        <v>432</v>
      </c>
      <c r="AF130" s="37"/>
      <c r="AG130" s="37">
        <v>0</v>
      </c>
      <c r="AH130" s="37"/>
      <c r="AI130" s="37"/>
      <c r="AJ130" s="37"/>
      <c r="AK130" s="37"/>
      <c r="AL130" s="37"/>
      <c r="AM130" s="37">
        <f t="shared" si="335"/>
        <v>0</v>
      </c>
      <c r="AN130" s="83"/>
      <c r="AO130" s="37"/>
      <c r="AP130" s="37"/>
      <c r="AQ130" s="37"/>
      <c r="AR130" s="37">
        <f t="shared" ref="AR130:AR131" si="336">SUM(AN130:AQ130)</f>
        <v>0</v>
      </c>
      <c r="AS130" s="37"/>
      <c r="AT130" s="37"/>
      <c r="AU130" s="37"/>
      <c r="AV130" s="37"/>
      <c r="AW130" s="37"/>
      <c r="AX130" s="37"/>
      <c r="AY130" s="37"/>
      <c r="AZ130" s="37"/>
      <c r="BA130" s="37">
        <f>+AR130+AS130+AU130+AW130+AY130+AZ130</f>
        <v>0</v>
      </c>
      <c r="BB130" s="50"/>
      <c r="BC130" s="51">
        <v>0</v>
      </c>
      <c r="BD130" s="51"/>
      <c r="BE130" s="50"/>
      <c r="BF130" s="51"/>
    </row>
    <row r="131" spans="1:58" ht="12.95" customHeight="1">
      <c r="A131" s="40"/>
      <c r="B131" s="41"/>
      <c r="C131" s="415"/>
      <c r="D131" s="41"/>
      <c r="E131" s="42"/>
      <c r="F131" s="42"/>
      <c r="G131" s="43"/>
      <c r="H131" s="44"/>
      <c r="I131" s="45"/>
      <c r="J131" s="82"/>
      <c r="K131" s="82"/>
      <c r="L131" s="35"/>
      <c r="M131" s="35"/>
      <c r="N131" s="46"/>
      <c r="O131" s="47"/>
      <c r="P131" s="48"/>
      <c r="Q131" s="47"/>
      <c r="R131" s="501"/>
      <c r="S131" s="501"/>
      <c r="T131" s="37"/>
      <c r="U131" s="37"/>
      <c r="V131" s="37"/>
      <c r="W131" s="37"/>
      <c r="X131" s="38"/>
      <c r="Y131" s="211"/>
      <c r="Z131" s="37"/>
      <c r="AA131" s="37"/>
      <c r="AB131" s="37"/>
      <c r="AC131" s="37"/>
      <c r="AD131" s="37">
        <f>+AM131+BA131</f>
        <v>0</v>
      </c>
      <c r="AE131" s="230" t="s">
        <v>507</v>
      </c>
      <c r="AF131" s="33"/>
      <c r="AG131" s="33"/>
      <c r="AH131" s="33">
        <v>0</v>
      </c>
      <c r="AI131" s="33"/>
      <c r="AJ131" s="37"/>
      <c r="AK131" s="37"/>
      <c r="AL131" s="37"/>
      <c r="AM131" s="37">
        <f t="shared" si="335"/>
        <v>0</v>
      </c>
      <c r="AN131" s="37"/>
      <c r="AO131" s="37"/>
      <c r="AP131" s="37"/>
      <c r="AQ131" s="37"/>
      <c r="AR131" s="37">
        <f t="shared" si="336"/>
        <v>0</v>
      </c>
      <c r="AS131" s="37"/>
      <c r="AT131" s="37"/>
      <c r="AU131" s="37"/>
      <c r="AV131" s="37"/>
      <c r="AW131" s="37"/>
      <c r="AX131" s="37"/>
      <c r="AY131" s="37"/>
      <c r="AZ131" s="37"/>
      <c r="BA131" s="37">
        <f>+AR131+AS131+AU131+AW131+AY131+AZ131</f>
        <v>0</v>
      </c>
      <c r="BB131" s="33"/>
      <c r="BC131" s="504"/>
      <c r="BD131" s="504"/>
      <c r="BE131" s="33"/>
      <c r="BF131" s="504"/>
    </row>
    <row r="132" spans="1:58" ht="12.95" customHeight="1">
      <c r="A132" s="40"/>
      <c r="B132" s="41"/>
      <c r="C132" s="415"/>
      <c r="D132" s="41"/>
      <c r="E132" s="42"/>
      <c r="F132" s="42"/>
      <c r="G132" s="43"/>
      <c r="H132" s="44"/>
      <c r="I132" s="45"/>
      <c r="J132" s="82"/>
      <c r="K132" s="82"/>
      <c r="L132" s="35"/>
      <c r="M132" s="35"/>
      <c r="N132" s="46"/>
      <c r="O132" s="47"/>
      <c r="P132" s="48"/>
      <c r="Q132" s="47"/>
      <c r="R132" s="501"/>
      <c r="S132" s="501"/>
      <c r="T132" s="37"/>
      <c r="U132" s="37"/>
      <c r="V132" s="37"/>
      <c r="W132" s="37"/>
      <c r="X132" s="38"/>
      <c r="Y132" s="211"/>
      <c r="Z132" s="37"/>
      <c r="AA132" s="37"/>
      <c r="AB132" s="37"/>
      <c r="AC132" s="37"/>
      <c r="AD132" s="37">
        <f>+AM132+BA132</f>
        <v>1440</v>
      </c>
      <c r="AE132" s="230" t="s">
        <v>586</v>
      </c>
      <c r="AF132" s="33"/>
      <c r="AG132" s="33"/>
      <c r="AH132" s="33"/>
      <c r="AI132" s="33"/>
      <c r="AJ132" s="37"/>
      <c r="AK132" s="37"/>
      <c r="AL132" s="37"/>
      <c r="AM132" s="37">
        <f t="shared" ref="AM132" si="337">SUM(AF132:AL132)+AT132+AV132+AX132</f>
        <v>0</v>
      </c>
      <c r="AN132" s="37"/>
      <c r="AO132" s="37"/>
      <c r="AP132" s="37"/>
      <c r="AQ132" s="37"/>
      <c r="AR132" s="37">
        <f t="shared" ref="AR132" si="338">SUM(AN132:AQ132)</f>
        <v>0</v>
      </c>
      <c r="AS132" s="37"/>
      <c r="AT132" s="37"/>
      <c r="AU132" s="37">
        <v>1440</v>
      </c>
      <c r="AV132" s="37"/>
      <c r="AW132" s="37"/>
      <c r="AX132" s="37"/>
      <c r="AY132" s="37"/>
      <c r="AZ132" s="37"/>
      <c r="BA132" s="37">
        <f>+AR132+AS132+AU132+AW132+AY132+AZ132</f>
        <v>1440</v>
      </c>
      <c r="BB132" s="33"/>
      <c r="BC132" s="504"/>
      <c r="BD132" s="504"/>
      <c r="BE132" s="33"/>
      <c r="BF132" s="504"/>
    </row>
    <row r="133" spans="1:58" ht="16.5" customHeight="1">
      <c r="A133" s="40"/>
      <c r="B133" s="41"/>
      <c r="C133" s="415"/>
      <c r="D133" s="41"/>
      <c r="E133" s="42"/>
      <c r="F133" s="42"/>
      <c r="G133" s="500"/>
      <c r="H133" s="44"/>
      <c r="I133" s="45"/>
      <c r="J133" s="82"/>
      <c r="K133" s="82"/>
      <c r="L133" s="35"/>
      <c r="M133" s="35"/>
      <c r="N133" s="46"/>
      <c r="O133" s="47"/>
      <c r="P133" s="48"/>
      <c r="Q133" s="47"/>
      <c r="R133" s="501"/>
      <c r="S133" s="501"/>
      <c r="T133" s="37"/>
      <c r="U133" s="37"/>
      <c r="V133" s="37"/>
      <c r="W133" s="37"/>
      <c r="X133" s="502"/>
      <c r="Y133" s="211"/>
      <c r="Z133" s="37"/>
      <c r="AA133" s="49"/>
      <c r="AB133" s="49"/>
      <c r="AC133" s="37"/>
      <c r="AD133" s="37"/>
      <c r="AE133" s="230"/>
      <c r="AF133" s="37"/>
      <c r="AG133" s="37"/>
      <c r="AH133" s="37"/>
      <c r="AI133" s="503"/>
      <c r="AJ133" s="37"/>
      <c r="AK133" s="37"/>
      <c r="AL133" s="37"/>
      <c r="AM133" s="37"/>
      <c r="AN133" s="37"/>
      <c r="AO133" s="37"/>
      <c r="AP133" s="37"/>
      <c r="AQ133" s="37"/>
      <c r="AR133" s="37"/>
      <c r="AS133" s="37"/>
      <c r="AT133" s="37"/>
      <c r="AU133" s="37"/>
      <c r="AV133" s="37"/>
      <c r="AW133" s="37"/>
      <c r="AX133" s="37"/>
      <c r="AY133" s="37"/>
      <c r="AZ133" s="37"/>
      <c r="BA133" s="37"/>
      <c r="BB133" s="33"/>
      <c r="BC133" s="51"/>
      <c r="BD133" s="504"/>
      <c r="BE133" s="33"/>
      <c r="BF133" s="504"/>
    </row>
    <row r="134" spans="1:58" ht="12.75" customHeight="1">
      <c r="A134" s="40">
        <v>45928</v>
      </c>
      <c r="B134" s="41" t="s">
        <v>424</v>
      </c>
      <c r="C134" s="415">
        <f t="shared" ref="C134" si="339">(M134*E134*O134*Q134)/100000000</f>
        <v>43.20594432</v>
      </c>
      <c r="D134" s="41" t="s">
        <v>304</v>
      </c>
      <c r="E134" s="42">
        <v>12</v>
      </c>
      <c r="F134" s="42">
        <v>1</v>
      </c>
      <c r="G134" s="500">
        <v>1230</v>
      </c>
      <c r="H134" s="44">
        <v>0.23</v>
      </c>
      <c r="I134" s="45">
        <v>0.88</v>
      </c>
      <c r="J134" s="82">
        <f t="shared" ref="J134" si="340">E134*G134*(1-H134)*1440/1000000*2.74</f>
        <v>44.842533120000006</v>
      </c>
      <c r="K134" s="82">
        <f t="shared" ref="K134" si="341">(IF(G134&lt;L134,L134,G134)*(1-IF(H134&lt;N134,H134,N134))*E134*O134*Q134)/100000000</f>
        <v>43.20594432</v>
      </c>
      <c r="L134" s="35">
        <v>1230</v>
      </c>
      <c r="M134" s="35">
        <v>947.09999999999991</v>
      </c>
      <c r="N134" s="46">
        <f t="shared" ref="N134" si="342">1-(M134/L134)</f>
        <v>0.23000000000000009</v>
      </c>
      <c r="O134" s="47">
        <f>+'Trim Rwd'!H76</f>
        <v>264</v>
      </c>
      <c r="P134" s="48">
        <f t="shared" ref="P134" si="343">O134*(Q134-R134-S134)</f>
        <v>0</v>
      </c>
      <c r="Q134" s="47">
        <v>1440</v>
      </c>
      <c r="R134" s="501">
        <v>1440</v>
      </c>
      <c r="S134" s="501">
        <v>0</v>
      </c>
      <c r="T134" s="37">
        <f t="shared" ref="T134" si="344">E134*M134*O134*Q134/100000000</f>
        <v>43.20594432</v>
      </c>
      <c r="U134" s="37">
        <f t="shared" ref="U134" si="345">E134*M134*O134*(Q134-R134-S134)/100000000</f>
        <v>0</v>
      </c>
      <c r="V134" s="37">
        <f t="shared" ref="V134" si="346">E134*G134*(1-N134)*O134/100*(R134+S134)/1000000</f>
        <v>43.205944319999993</v>
      </c>
      <c r="W134" s="37">
        <v>0</v>
      </c>
      <c r="X134" s="502">
        <f>SUM(W134:W137)/SUM(K134:K137)</f>
        <v>0</v>
      </c>
      <c r="Y134" s="211">
        <v>0</v>
      </c>
      <c r="Z134" s="37">
        <v>0</v>
      </c>
      <c r="AA134" s="49">
        <f>SUM(U134:U137)-SUM(W134:W137)-SUM(Z134:Z137)-SUM(Y134:Y137)</f>
        <v>0</v>
      </c>
      <c r="AB134" s="49">
        <f>(SUM(K134:K137)-SUM(W134:W137)-SUM(Y134:Y137)-SUM(Z134:Z137)-SUM(AC134:AC137)-SUM(V134:V137))-AA134</f>
        <v>7.1054273576010019E-15</v>
      </c>
      <c r="AC134" s="37">
        <f>K134-T134</f>
        <v>0</v>
      </c>
      <c r="AD134" s="37">
        <f>+AM134+BA134</f>
        <v>0</v>
      </c>
      <c r="AE134" s="230" t="s">
        <v>466</v>
      </c>
      <c r="AF134" s="37">
        <v>0</v>
      </c>
      <c r="AG134" s="37"/>
      <c r="AH134" s="37"/>
      <c r="AI134" s="37"/>
      <c r="AJ134" s="37"/>
      <c r="AK134" s="37"/>
      <c r="AL134" s="37"/>
      <c r="AM134" s="37">
        <f t="shared" ref="AM134:AM136" si="347">SUM(AF134:AL134)+AT134+AV134+AX134</f>
        <v>0</v>
      </c>
      <c r="AN134" s="37"/>
      <c r="AO134" s="37"/>
      <c r="AP134" s="37"/>
      <c r="AQ134" s="37"/>
      <c r="AR134" s="37">
        <f>SUM(AN134:AQ134)</f>
        <v>0</v>
      </c>
      <c r="AS134" s="37"/>
      <c r="AT134" s="37"/>
      <c r="AU134" s="37"/>
      <c r="AV134" s="37"/>
      <c r="AW134" s="37"/>
      <c r="AX134" s="37"/>
      <c r="AY134" s="37"/>
      <c r="AZ134" s="37"/>
      <c r="BA134" s="37">
        <f>+AR134+AS134+AU134+AW134+AY134+AZ134</f>
        <v>0</v>
      </c>
      <c r="BB134" s="33">
        <v>0</v>
      </c>
      <c r="BC134" s="51"/>
      <c r="BD134" s="51"/>
      <c r="BE134" s="33"/>
      <c r="BF134" s="51"/>
    </row>
    <row r="135" spans="1:58" ht="12.95" customHeight="1">
      <c r="A135" s="40"/>
      <c r="B135" s="41"/>
      <c r="C135" s="415"/>
      <c r="D135" s="41"/>
      <c r="E135" s="42"/>
      <c r="F135" s="42"/>
      <c r="G135" s="500"/>
      <c r="H135" s="44"/>
      <c r="I135" s="45"/>
      <c r="J135" s="82"/>
      <c r="K135" s="82"/>
      <c r="L135" s="35"/>
      <c r="M135" s="35"/>
      <c r="N135" s="46"/>
      <c r="O135" s="47"/>
      <c r="P135" s="48"/>
      <c r="Q135" s="47"/>
      <c r="R135" s="501"/>
      <c r="S135" s="501"/>
      <c r="T135" s="37"/>
      <c r="U135" s="37"/>
      <c r="V135" s="37"/>
      <c r="W135" s="37">
        <v>0</v>
      </c>
      <c r="X135" s="38"/>
      <c r="Y135" s="211"/>
      <c r="Z135" s="37">
        <v>0</v>
      </c>
      <c r="AA135" s="37"/>
      <c r="AB135" s="37"/>
      <c r="AC135" s="37">
        <f>K135-T135</f>
        <v>0</v>
      </c>
      <c r="AD135" s="37">
        <f>+AM135+BA135</f>
        <v>0</v>
      </c>
      <c r="AE135" s="230" t="s">
        <v>432</v>
      </c>
      <c r="AF135" s="37"/>
      <c r="AG135" s="37">
        <v>0</v>
      </c>
      <c r="AH135" s="37"/>
      <c r="AI135" s="37"/>
      <c r="AJ135" s="37"/>
      <c r="AK135" s="37"/>
      <c r="AL135" s="37"/>
      <c r="AM135" s="37">
        <f t="shared" si="347"/>
        <v>0</v>
      </c>
      <c r="AN135" s="83"/>
      <c r="AO135" s="37"/>
      <c r="AP135" s="37"/>
      <c r="AQ135" s="37"/>
      <c r="AR135" s="37">
        <f t="shared" ref="AR135:AR136" si="348">SUM(AN135:AQ135)</f>
        <v>0</v>
      </c>
      <c r="AS135" s="37"/>
      <c r="AT135" s="37"/>
      <c r="AU135" s="37"/>
      <c r="AV135" s="37"/>
      <c r="AW135" s="37"/>
      <c r="AX135" s="37"/>
      <c r="AY135" s="37"/>
      <c r="AZ135" s="37"/>
      <c r="BA135" s="37">
        <f>+AR135+AS135+AU135+AW135+AY135+AZ135</f>
        <v>0</v>
      </c>
      <c r="BB135" s="50"/>
      <c r="BC135" s="51">
        <v>0</v>
      </c>
      <c r="BD135" s="51"/>
      <c r="BE135" s="50"/>
      <c r="BF135" s="51"/>
    </row>
    <row r="136" spans="1:58" ht="12.95" customHeight="1">
      <c r="A136" s="40"/>
      <c r="B136" s="41"/>
      <c r="C136" s="415"/>
      <c r="D136" s="41"/>
      <c r="E136" s="42"/>
      <c r="F136" s="42"/>
      <c r="G136" s="43"/>
      <c r="H136" s="44"/>
      <c r="I136" s="45"/>
      <c r="J136" s="82"/>
      <c r="K136" s="82"/>
      <c r="L136" s="35"/>
      <c r="M136" s="35"/>
      <c r="N136" s="46"/>
      <c r="O136" s="47"/>
      <c r="P136" s="48"/>
      <c r="Q136" s="47"/>
      <c r="R136" s="501"/>
      <c r="S136" s="501"/>
      <c r="T136" s="37"/>
      <c r="U136" s="37"/>
      <c r="V136" s="37"/>
      <c r="W136" s="37"/>
      <c r="X136" s="38"/>
      <c r="Y136" s="211"/>
      <c r="Z136" s="37"/>
      <c r="AA136" s="37"/>
      <c r="AB136" s="37"/>
      <c r="AC136" s="37"/>
      <c r="AD136" s="37">
        <f>+AM136+BA136</f>
        <v>0</v>
      </c>
      <c r="AE136" s="230" t="s">
        <v>507</v>
      </c>
      <c r="AF136" s="33"/>
      <c r="AG136" s="33"/>
      <c r="AH136" s="33">
        <v>0</v>
      </c>
      <c r="AI136" s="33"/>
      <c r="AJ136" s="37"/>
      <c r="AK136" s="37"/>
      <c r="AL136" s="37"/>
      <c r="AM136" s="37">
        <f t="shared" si="347"/>
        <v>0</v>
      </c>
      <c r="AN136" s="37"/>
      <c r="AO136" s="37"/>
      <c r="AP136" s="37"/>
      <c r="AQ136" s="37"/>
      <c r="AR136" s="37">
        <f t="shared" si="348"/>
        <v>0</v>
      </c>
      <c r="AS136" s="37"/>
      <c r="AT136" s="37"/>
      <c r="AU136" s="37"/>
      <c r="AV136" s="37"/>
      <c r="AW136" s="37"/>
      <c r="AX136" s="37"/>
      <c r="AY136" s="37"/>
      <c r="AZ136" s="37"/>
      <c r="BA136" s="37">
        <f>+AR136+AS136+AU136+AW136+AY136+AZ136</f>
        <v>0</v>
      </c>
      <c r="BB136" s="33"/>
      <c r="BC136" s="504"/>
      <c r="BD136" s="504"/>
      <c r="BE136" s="33"/>
      <c r="BF136" s="504"/>
    </row>
    <row r="137" spans="1:58" ht="12.95" customHeight="1">
      <c r="A137" s="40"/>
      <c r="B137" s="41"/>
      <c r="C137" s="415"/>
      <c r="D137" s="41"/>
      <c r="E137" s="42"/>
      <c r="F137" s="42"/>
      <c r="G137" s="43"/>
      <c r="H137" s="44"/>
      <c r="I137" s="45"/>
      <c r="J137" s="82"/>
      <c r="K137" s="82"/>
      <c r="L137" s="35"/>
      <c r="M137" s="35"/>
      <c r="N137" s="46"/>
      <c r="O137" s="47"/>
      <c r="P137" s="48"/>
      <c r="Q137" s="47"/>
      <c r="R137" s="501"/>
      <c r="S137" s="501"/>
      <c r="T137" s="37"/>
      <c r="U137" s="37"/>
      <c r="V137" s="37"/>
      <c r="W137" s="37"/>
      <c r="X137" s="38"/>
      <c r="Y137" s="211"/>
      <c r="Z137" s="37"/>
      <c r="AA137" s="37"/>
      <c r="AB137" s="37"/>
      <c r="AC137" s="37"/>
      <c r="AD137" s="37">
        <f>+AM137+BA137</f>
        <v>1440</v>
      </c>
      <c r="AE137" s="230" t="s">
        <v>586</v>
      </c>
      <c r="AF137" s="33"/>
      <c r="AG137" s="33"/>
      <c r="AH137" s="33"/>
      <c r="AI137" s="33"/>
      <c r="AJ137" s="37"/>
      <c r="AK137" s="37"/>
      <c r="AL137" s="37"/>
      <c r="AM137" s="37">
        <f t="shared" ref="AM137" si="349">SUM(AF137:AL137)+AT137+AV137+AX137</f>
        <v>0</v>
      </c>
      <c r="AN137" s="37"/>
      <c r="AO137" s="37"/>
      <c r="AP137" s="37"/>
      <c r="AQ137" s="37"/>
      <c r="AR137" s="37">
        <f t="shared" ref="AR137" si="350">SUM(AN137:AQ137)</f>
        <v>0</v>
      </c>
      <c r="AS137" s="37"/>
      <c r="AT137" s="37"/>
      <c r="AU137" s="37">
        <v>1440</v>
      </c>
      <c r="AV137" s="37"/>
      <c r="AW137" s="37"/>
      <c r="AX137" s="37"/>
      <c r="AY137" s="37"/>
      <c r="AZ137" s="37"/>
      <c r="BA137" s="37">
        <f>+AR137+AS137+AU137+AW137+AY137+AZ137</f>
        <v>1440</v>
      </c>
      <c r="BB137" s="33"/>
      <c r="BC137" s="504"/>
      <c r="BD137" s="504"/>
      <c r="BE137" s="33"/>
      <c r="BF137" s="504"/>
    </row>
    <row r="138" spans="1:58" ht="16.5" customHeight="1">
      <c r="A138" s="40"/>
      <c r="B138" s="41"/>
      <c r="C138" s="415"/>
      <c r="D138" s="41"/>
      <c r="E138" s="42"/>
      <c r="F138" s="42"/>
      <c r="G138" s="500"/>
      <c r="H138" s="44"/>
      <c r="I138" s="45"/>
      <c r="J138" s="82"/>
      <c r="K138" s="82"/>
      <c r="L138" s="35"/>
      <c r="M138" s="35"/>
      <c r="N138" s="46"/>
      <c r="O138" s="47"/>
      <c r="P138" s="48"/>
      <c r="Q138" s="47"/>
      <c r="R138" s="501"/>
      <c r="S138" s="501"/>
      <c r="T138" s="37"/>
      <c r="U138" s="37"/>
      <c r="V138" s="37"/>
      <c r="W138" s="37"/>
      <c r="X138" s="502"/>
      <c r="Y138" s="211"/>
      <c r="Z138" s="37"/>
      <c r="AA138" s="49"/>
      <c r="AB138" s="49"/>
      <c r="AC138" s="37"/>
      <c r="AD138" s="37"/>
      <c r="AE138" s="230"/>
      <c r="AF138" s="37"/>
      <c r="AG138" s="37"/>
      <c r="AH138" s="37"/>
      <c r="AI138" s="503"/>
      <c r="AJ138" s="37"/>
      <c r="AK138" s="37"/>
      <c r="AL138" s="37"/>
      <c r="AM138" s="37"/>
      <c r="AN138" s="37"/>
      <c r="AO138" s="37"/>
      <c r="AP138" s="37"/>
      <c r="AQ138" s="37"/>
      <c r="AR138" s="37"/>
      <c r="AS138" s="37"/>
      <c r="AT138" s="37"/>
      <c r="AU138" s="37"/>
      <c r="AV138" s="37"/>
      <c r="AW138" s="37"/>
      <c r="AX138" s="37"/>
      <c r="AY138" s="37"/>
      <c r="AZ138" s="37"/>
      <c r="BA138" s="37"/>
      <c r="BB138" s="33"/>
      <c r="BC138" s="51"/>
      <c r="BD138" s="504"/>
      <c r="BE138" s="33"/>
      <c r="BF138" s="504"/>
    </row>
    <row r="139" spans="1:58" ht="12.75" customHeight="1">
      <c r="A139" s="40">
        <v>45929</v>
      </c>
      <c r="B139" s="41" t="s">
        <v>424</v>
      </c>
      <c r="C139" s="415">
        <f t="shared" ref="C139" si="351">(M139*E139*O139*Q139)/100000000</f>
        <v>43.20594432</v>
      </c>
      <c r="D139" s="41" t="s">
        <v>304</v>
      </c>
      <c r="E139" s="42">
        <v>12</v>
      </c>
      <c r="F139" s="42">
        <v>1</v>
      </c>
      <c r="G139" s="500">
        <v>1230</v>
      </c>
      <c r="H139" s="44">
        <v>0.23</v>
      </c>
      <c r="I139" s="45">
        <v>0.88</v>
      </c>
      <c r="J139" s="82">
        <f t="shared" ref="J139" si="352">E139*G139*(1-H139)*1440/1000000*2.74</f>
        <v>44.842533120000006</v>
      </c>
      <c r="K139" s="82">
        <f t="shared" ref="K139" si="353">(IF(G139&lt;L139,L139,G139)*(1-IF(H139&lt;N139,H139,N139))*E139*O139*Q139)/100000000</f>
        <v>43.20594432</v>
      </c>
      <c r="L139" s="35">
        <v>1230</v>
      </c>
      <c r="M139" s="35">
        <v>947.09999999999991</v>
      </c>
      <c r="N139" s="46">
        <f t="shared" ref="N139" si="354">1-(M139/L139)</f>
        <v>0.23000000000000009</v>
      </c>
      <c r="O139" s="47">
        <f>+'Trim Rwd'!H78</f>
        <v>264</v>
      </c>
      <c r="P139" s="48">
        <f t="shared" ref="P139" si="355">O139*(Q139-R139-S139)</f>
        <v>0</v>
      </c>
      <c r="Q139" s="47">
        <v>1440</v>
      </c>
      <c r="R139" s="501">
        <v>1440</v>
      </c>
      <c r="S139" s="501">
        <v>0</v>
      </c>
      <c r="T139" s="37">
        <f t="shared" ref="T139" si="356">E139*M139*O139*Q139/100000000</f>
        <v>43.20594432</v>
      </c>
      <c r="U139" s="37">
        <f t="shared" ref="U139" si="357">E139*M139*O139*(Q139-R139-S139)/100000000</f>
        <v>0</v>
      </c>
      <c r="V139" s="37">
        <f t="shared" ref="V139" si="358">E139*G139*(1-N139)*O139/100*(R139+S139)/1000000</f>
        <v>43.205944319999993</v>
      </c>
      <c r="W139" s="37">
        <v>0</v>
      </c>
      <c r="X139" s="502">
        <f>SUM(W139:W142)/SUM(K139:K142)</f>
        <v>0</v>
      </c>
      <c r="Y139" s="211">
        <v>0</v>
      </c>
      <c r="Z139" s="37">
        <v>0</v>
      </c>
      <c r="AA139" s="49">
        <f>SUM(U139:U142)-SUM(W139:W142)-SUM(Z139:Z142)-SUM(Y139:Y142)</f>
        <v>0</v>
      </c>
      <c r="AB139" s="49">
        <f>(SUM(K139:K142)-SUM(W139:W142)-SUM(Y139:Y142)-SUM(Z139:Z142)-SUM(AC139:AC142)-SUM(V139:V142))-AA139</f>
        <v>7.1054273576010019E-15</v>
      </c>
      <c r="AC139" s="37">
        <f>K139-T139</f>
        <v>0</v>
      </c>
      <c r="AD139" s="37">
        <f>+AM139+BA139</f>
        <v>0</v>
      </c>
      <c r="AE139" s="230" t="s">
        <v>466</v>
      </c>
      <c r="AF139" s="37">
        <v>0</v>
      </c>
      <c r="AG139" s="37"/>
      <c r="AH139" s="37"/>
      <c r="AI139" s="37"/>
      <c r="AJ139" s="37"/>
      <c r="AK139" s="37"/>
      <c r="AL139" s="37"/>
      <c r="AM139" s="37">
        <f t="shared" ref="AM139:AM141" si="359">SUM(AF139:AL139)+AT139+AV139+AX139</f>
        <v>0</v>
      </c>
      <c r="AN139" s="37"/>
      <c r="AO139" s="37"/>
      <c r="AP139" s="37"/>
      <c r="AQ139" s="37"/>
      <c r="AR139" s="37">
        <f>SUM(AN139:AQ139)</f>
        <v>0</v>
      </c>
      <c r="AS139" s="37"/>
      <c r="AT139" s="37"/>
      <c r="AU139" s="37"/>
      <c r="AV139" s="37"/>
      <c r="AW139" s="37"/>
      <c r="AX139" s="37"/>
      <c r="AY139" s="37"/>
      <c r="AZ139" s="37"/>
      <c r="BA139" s="37">
        <f>+AR139+AS139+AU139+AW139+AY139+AZ139</f>
        <v>0</v>
      </c>
      <c r="BB139" s="33">
        <v>0</v>
      </c>
      <c r="BC139" s="51"/>
      <c r="BD139" s="51"/>
      <c r="BE139" s="33"/>
      <c r="BF139" s="51"/>
    </row>
    <row r="140" spans="1:58" ht="12.95" customHeight="1">
      <c r="A140" s="40"/>
      <c r="B140" s="41"/>
      <c r="C140" s="415"/>
      <c r="D140" s="41"/>
      <c r="E140" s="42"/>
      <c r="F140" s="42"/>
      <c r="G140" s="500"/>
      <c r="H140" s="44"/>
      <c r="I140" s="45"/>
      <c r="J140" s="82"/>
      <c r="K140" s="82"/>
      <c r="L140" s="35"/>
      <c r="M140" s="35"/>
      <c r="N140" s="46"/>
      <c r="O140" s="47"/>
      <c r="P140" s="48"/>
      <c r="Q140" s="47"/>
      <c r="R140" s="501"/>
      <c r="S140" s="501"/>
      <c r="T140" s="37"/>
      <c r="U140" s="37"/>
      <c r="V140" s="37"/>
      <c r="W140" s="37">
        <v>0</v>
      </c>
      <c r="X140" s="38"/>
      <c r="Y140" s="211"/>
      <c r="Z140" s="37">
        <v>0</v>
      </c>
      <c r="AA140" s="37"/>
      <c r="AB140" s="37"/>
      <c r="AC140" s="37">
        <f>K140-T140</f>
        <v>0</v>
      </c>
      <c r="AD140" s="37">
        <f>+AM140+BA140</f>
        <v>0</v>
      </c>
      <c r="AE140" s="230" t="s">
        <v>432</v>
      </c>
      <c r="AF140" s="37"/>
      <c r="AG140" s="37">
        <v>0</v>
      </c>
      <c r="AH140" s="37"/>
      <c r="AI140" s="37"/>
      <c r="AJ140" s="37"/>
      <c r="AK140" s="37"/>
      <c r="AL140" s="37"/>
      <c r="AM140" s="37">
        <f t="shared" si="359"/>
        <v>0</v>
      </c>
      <c r="AN140" s="83"/>
      <c r="AO140" s="37"/>
      <c r="AP140" s="37"/>
      <c r="AQ140" s="37"/>
      <c r="AR140" s="37">
        <f t="shared" ref="AR140:AR141" si="360">SUM(AN140:AQ140)</f>
        <v>0</v>
      </c>
      <c r="AS140" s="37"/>
      <c r="AT140" s="37"/>
      <c r="AU140" s="37"/>
      <c r="AV140" s="37"/>
      <c r="AW140" s="37"/>
      <c r="AX140" s="37"/>
      <c r="AY140" s="37"/>
      <c r="AZ140" s="37"/>
      <c r="BA140" s="37">
        <f>+AR140+AS140+AU140+AW140+AY140+AZ140</f>
        <v>0</v>
      </c>
      <c r="BB140" s="50"/>
      <c r="BC140" s="51">
        <v>0</v>
      </c>
      <c r="BD140" s="51"/>
      <c r="BE140" s="50"/>
      <c r="BF140" s="51"/>
    </row>
    <row r="141" spans="1:58" ht="12.95" customHeight="1">
      <c r="A141" s="40"/>
      <c r="B141" s="41"/>
      <c r="C141" s="415"/>
      <c r="D141" s="41"/>
      <c r="E141" s="42"/>
      <c r="F141" s="42"/>
      <c r="G141" s="43"/>
      <c r="H141" s="44"/>
      <c r="I141" s="45"/>
      <c r="J141" s="82"/>
      <c r="K141" s="82"/>
      <c r="L141" s="35"/>
      <c r="M141" s="35"/>
      <c r="N141" s="46"/>
      <c r="O141" s="47"/>
      <c r="P141" s="48"/>
      <c r="Q141" s="47"/>
      <c r="R141" s="501"/>
      <c r="S141" s="501"/>
      <c r="T141" s="37"/>
      <c r="U141" s="37"/>
      <c r="V141" s="37"/>
      <c r="W141" s="37"/>
      <c r="X141" s="38"/>
      <c r="Y141" s="211"/>
      <c r="Z141" s="37"/>
      <c r="AA141" s="37"/>
      <c r="AB141" s="37"/>
      <c r="AC141" s="37"/>
      <c r="AD141" s="37">
        <f>+AM141+BA141</f>
        <v>0</v>
      </c>
      <c r="AE141" s="230" t="s">
        <v>507</v>
      </c>
      <c r="AF141" s="33"/>
      <c r="AG141" s="33"/>
      <c r="AH141" s="33">
        <v>0</v>
      </c>
      <c r="AI141" s="33"/>
      <c r="AJ141" s="37"/>
      <c r="AK141" s="37"/>
      <c r="AL141" s="37"/>
      <c r="AM141" s="37">
        <f t="shared" si="359"/>
        <v>0</v>
      </c>
      <c r="AN141" s="37"/>
      <c r="AO141" s="37"/>
      <c r="AP141" s="37"/>
      <c r="AQ141" s="37"/>
      <c r="AR141" s="37">
        <f t="shared" si="360"/>
        <v>0</v>
      </c>
      <c r="AS141" s="37"/>
      <c r="AT141" s="37"/>
      <c r="AU141" s="37"/>
      <c r="AV141" s="37"/>
      <c r="AW141" s="37"/>
      <c r="AX141" s="37"/>
      <c r="AY141" s="37"/>
      <c r="AZ141" s="37"/>
      <c r="BA141" s="37">
        <f>+AR141+AS141+AU141+AW141+AY141+AZ141</f>
        <v>0</v>
      </c>
      <c r="BB141" s="33"/>
      <c r="BC141" s="504"/>
      <c r="BD141" s="504"/>
      <c r="BE141" s="33"/>
      <c r="BF141" s="504"/>
    </row>
    <row r="142" spans="1:58" ht="12.95" customHeight="1">
      <c r="A142" s="40"/>
      <c r="B142" s="41"/>
      <c r="C142" s="415"/>
      <c r="D142" s="41"/>
      <c r="E142" s="42"/>
      <c r="F142" s="42"/>
      <c r="G142" s="43"/>
      <c r="H142" s="44"/>
      <c r="I142" s="45"/>
      <c r="J142" s="82"/>
      <c r="K142" s="82"/>
      <c r="L142" s="35"/>
      <c r="M142" s="35"/>
      <c r="N142" s="46"/>
      <c r="O142" s="47"/>
      <c r="P142" s="48"/>
      <c r="Q142" s="47"/>
      <c r="R142" s="501"/>
      <c r="S142" s="501"/>
      <c r="T142" s="37"/>
      <c r="U142" s="37"/>
      <c r="V142" s="37"/>
      <c r="W142" s="37"/>
      <c r="X142" s="38"/>
      <c r="Y142" s="211"/>
      <c r="Z142" s="37"/>
      <c r="AA142" s="37"/>
      <c r="AB142" s="37"/>
      <c r="AC142" s="37"/>
      <c r="AD142" s="37">
        <f>+AM142+BA142</f>
        <v>1440</v>
      </c>
      <c r="AE142" s="230" t="s">
        <v>586</v>
      </c>
      <c r="AF142" s="33"/>
      <c r="AG142" s="33"/>
      <c r="AH142" s="33"/>
      <c r="AI142" s="33"/>
      <c r="AJ142" s="37"/>
      <c r="AK142" s="37"/>
      <c r="AL142" s="37"/>
      <c r="AM142" s="37">
        <f t="shared" ref="AM142" si="361">SUM(AF142:AL142)+AT142+AV142+AX142</f>
        <v>0</v>
      </c>
      <c r="AN142" s="37"/>
      <c r="AO142" s="37"/>
      <c r="AP142" s="37"/>
      <c r="AQ142" s="37"/>
      <c r="AR142" s="37">
        <f t="shared" ref="AR142" si="362">SUM(AN142:AQ142)</f>
        <v>0</v>
      </c>
      <c r="AS142" s="37"/>
      <c r="AT142" s="37"/>
      <c r="AU142" s="37">
        <v>1440</v>
      </c>
      <c r="AV142" s="37"/>
      <c r="AW142" s="37"/>
      <c r="AX142" s="37"/>
      <c r="AY142" s="37"/>
      <c r="AZ142" s="37"/>
      <c r="BA142" s="37">
        <f>+AR142+AS142+AU142+AW142+AY142+AZ142</f>
        <v>1440</v>
      </c>
      <c r="BB142" s="33"/>
      <c r="BC142" s="504"/>
      <c r="BD142" s="504"/>
      <c r="BE142" s="33"/>
      <c r="BF142" s="504"/>
    </row>
    <row r="143" spans="1:58" ht="16.5" customHeight="1">
      <c r="A143" s="40"/>
      <c r="B143" s="41"/>
      <c r="C143" s="415"/>
      <c r="D143" s="41"/>
      <c r="E143" s="42"/>
      <c r="F143" s="42"/>
      <c r="G143" s="500"/>
      <c r="H143" s="44"/>
      <c r="I143" s="45"/>
      <c r="J143" s="82"/>
      <c r="K143" s="82"/>
      <c r="L143" s="35"/>
      <c r="M143" s="35"/>
      <c r="N143" s="46"/>
      <c r="O143" s="47"/>
      <c r="P143" s="48"/>
      <c r="Q143" s="47"/>
      <c r="R143" s="501"/>
      <c r="S143" s="501"/>
      <c r="T143" s="37"/>
      <c r="U143" s="37"/>
      <c r="V143" s="37"/>
      <c r="W143" s="37"/>
      <c r="X143" s="502"/>
      <c r="Y143" s="211"/>
      <c r="Z143" s="37"/>
      <c r="AA143" s="49"/>
      <c r="AB143" s="49"/>
      <c r="AC143" s="37"/>
      <c r="AD143" s="37"/>
      <c r="AE143" s="230"/>
      <c r="AF143" s="37"/>
      <c r="AG143" s="37"/>
      <c r="AH143" s="37"/>
      <c r="AI143" s="503"/>
      <c r="AJ143" s="37"/>
      <c r="AK143" s="37"/>
      <c r="AL143" s="37"/>
      <c r="AM143" s="37"/>
      <c r="AN143" s="37"/>
      <c r="AO143" s="37"/>
      <c r="AP143" s="37"/>
      <c r="AQ143" s="37"/>
      <c r="AR143" s="37"/>
      <c r="AS143" s="37"/>
      <c r="AT143" s="37"/>
      <c r="AU143" s="37"/>
      <c r="AV143" s="37"/>
      <c r="AW143" s="37"/>
      <c r="AX143" s="37"/>
      <c r="AY143" s="37"/>
      <c r="AZ143" s="37"/>
      <c r="BA143" s="37"/>
      <c r="BB143" s="33"/>
      <c r="BC143" s="51"/>
      <c r="BD143" s="504"/>
      <c r="BE143" s="33"/>
      <c r="BF143" s="504"/>
    </row>
    <row r="144" spans="1:58" ht="12.75" customHeight="1">
      <c r="A144" s="40">
        <v>45930</v>
      </c>
      <c r="B144" s="41" t="s">
        <v>424</v>
      </c>
      <c r="C144" s="415">
        <f t="shared" ref="C144" si="363">(M144*E144*O144*Q144)/100000000</f>
        <v>43.20594432</v>
      </c>
      <c r="D144" s="41" t="s">
        <v>304</v>
      </c>
      <c r="E144" s="42">
        <v>12</v>
      </c>
      <c r="F144" s="42">
        <v>1</v>
      </c>
      <c r="G144" s="500">
        <v>1230</v>
      </c>
      <c r="H144" s="44">
        <v>0.23</v>
      </c>
      <c r="I144" s="45">
        <v>0.88</v>
      </c>
      <c r="J144" s="82">
        <f t="shared" ref="J144" si="364">E144*G144*(1-H144)*1440/1000000*2.74</f>
        <v>44.842533120000006</v>
      </c>
      <c r="K144" s="82">
        <f t="shared" ref="K144" si="365">(IF(G144&lt;L144,L144,G144)*(1-IF(H144&lt;N144,H144,N144))*E144*O144*Q144)/100000000</f>
        <v>43.20594432</v>
      </c>
      <c r="L144" s="35">
        <v>1230</v>
      </c>
      <c r="M144" s="35">
        <v>947.09999999999991</v>
      </c>
      <c r="N144" s="46">
        <f t="shared" ref="N144" si="366">1-(M144/L144)</f>
        <v>0.23000000000000009</v>
      </c>
      <c r="O144" s="47">
        <f>+'Trim Rwd'!H80</f>
        <v>264</v>
      </c>
      <c r="P144" s="48">
        <f t="shared" ref="P144" si="367">O144*(Q144-R144-S144)</f>
        <v>0</v>
      </c>
      <c r="Q144" s="47">
        <v>1440</v>
      </c>
      <c r="R144" s="501">
        <v>1440</v>
      </c>
      <c r="S144" s="501">
        <v>0</v>
      </c>
      <c r="T144" s="37">
        <f t="shared" ref="T144" si="368">E144*M144*O144*Q144/100000000</f>
        <v>43.20594432</v>
      </c>
      <c r="U144" s="37">
        <f t="shared" ref="U144" si="369">E144*M144*O144*(Q144-R144-S144)/100000000</f>
        <v>0</v>
      </c>
      <c r="V144" s="37">
        <f t="shared" ref="V144" si="370">E144*G144*(1-N144)*O144/100*(R144+S144)/1000000</f>
        <v>43.205944319999993</v>
      </c>
      <c r="W144" s="37">
        <v>0</v>
      </c>
      <c r="X144" s="502">
        <f>SUM(W144:W147)/SUM(K144:K147)</f>
        <v>0</v>
      </c>
      <c r="Y144" s="211">
        <v>0</v>
      </c>
      <c r="Z144" s="37">
        <v>0</v>
      </c>
      <c r="AA144" s="49">
        <f>SUM(U144:U147)-SUM(W144:W147)-SUM(Z144:Z147)-SUM(Y144:Y147)</f>
        <v>0</v>
      </c>
      <c r="AB144" s="49">
        <f>(SUM(K144:K147)-SUM(W144:W147)-SUM(Y144:Y147)-SUM(Z144:Z147)-SUM(AC144:AC147)-SUM(V144:V147))-AA144</f>
        <v>7.1054273576010019E-15</v>
      </c>
      <c r="AC144" s="37">
        <f>K144-T144</f>
        <v>0</v>
      </c>
      <c r="AD144" s="37">
        <f>+AM144+BA144</f>
        <v>0</v>
      </c>
      <c r="AE144" s="230" t="s">
        <v>466</v>
      </c>
      <c r="AF144" s="37">
        <v>0</v>
      </c>
      <c r="AG144" s="37"/>
      <c r="AH144" s="37"/>
      <c r="AI144" s="37"/>
      <c r="AJ144" s="37"/>
      <c r="AK144" s="37"/>
      <c r="AL144" s="37"/>
      <c r="AM144" s="37">
        <f t="shared" ref="AM144:AM146" si="371">SUM(AF144:AL144)+AT144+AV144+AX144</f>
        <v>0</v>
      </c>
      <c r="AN144" s="37"/>
      <c r="AO144" s="37"/>
      <c r="AP144" s="37"/>
      <c r="AQ144" s="37"/>
      <c r="AR144" s="37">
        <f>SUM(AN144:AQ144)</f>
        <v>0</v>
      </c>
      <c r="AS144" s="37"/>
      <c r="AT144" s="37"/>
      <c r="AU144" s="37"/>
      <c r="AV144" s="37"/>
      <c r="AW144" s="37"/>
      <c r="AX144" s="37"/>
      <c r="AY144" s="37"/>
      <c r="AZ144" s="37"/>
      <c r="BA144" s="37">
        <f>+AR144+AS144+AU144+AW144+AY144+AZ144</f>
        <v>0</v>
      </c>
      <c r="BB144" s="33">
        <v>0</v>
      </c>
      <c r="BC144" s="51"/>
      <c r="BD144" s="51"/>
      <c r="BE144" s="33"/>
      <c r="BF144" s="51"/>
    </row>
    <row r="145" spans="1:58" ht="12.95" customHeight="1">
      <c r="A145" s="40"/>
      <c r="B145" s="41"/>
      <c r="C145" s="415"/>
      <c r="D145" s="41"/>
      <c r="E145" s="42"/>
      <c r="F145" s="42"/>
      <c r="G145" s="500"/>
      <c r="H145" s="44"/>
      <c r="I145" s="45"/>
      <c r="J145" s="82"/>
      <c r="K145" s="82"/>
      <c r="L145" s="35"/>
      <c r="M145" s="35"/>
      <c r="N145" s="46"/>
      <c r="O145" s="47"/>
      <c r="P145" s="48"/>
      <c r="Q145" s="47"/>
      <c r="R145" s="501"/>
      <c r="S145" s="501"/>
      <c r="T145" s="37"/>
      <c r="U145" s="37"/>
      <c r="V145" s="37"/>
      <c r="W145" s="37">
        <v>0</v>
      </c>
      <c r="X145" s="38"/>
      <c r="Y145" s="211"/>
      <c r="Z145" s="37">
        <v>0</v>
      </c>
      <c r="AA145" s="37"/>
      <c r="AB145" s="37"/>
      <c r="AC145" s="37">
        <f>K145-T145</f>
        <v>0</v>
      </c>
      <c r="AD145" s="37">
        <f>+AM145+BA145</f>
        <v>0</v>
      </c>
      <c r="AE145" s="230" t="s">
        <v>432</v>
      </c>
      <c r="AF145" s="37"/>
      <c r="AG145" s="37">
        <v>0</v>
      </c>
      <c r="AH145" s="37"/>
      <c r="AI145" s="37"/>
      <c r="AJ145" s="37"/>
      <c r="AK145" s="37"/>
      <c r="AL145" s="37"/>
      <c r="AM145" s="37">
        <f t="shared" si="371"/>
        <v>0</v>
      </c>
      <c r="AN145" s="83"/>
      <c r="AO145" s="37"/>
      <c r="AP145" s="37"/>
      <c r="AQ145" s="37"/>
      <c r="AR145" s="37">
        <f t="shared" ref="AR145:AR146" si="372">SUM(AN145:AQ145)</f>
        <v>0</v>
      </c>
      <c r="AS145" s="37"/>
      <c r="AT145" s="37"/>
      <c r="AU145" s="37"/>
      <c r="AV145" s="37"/>
      <c r="AW145" s="37"/>
      <c r="AX145" s="37"/>
      <c r="AY145" s="37"/>
      <c r="AZ145" s="37"/>
      <c r="BA145" s="37">
        <f>+AR145+AS145+AU145+AW145+AY145+AZ145</f>
        <v>0</v>
      </c>
      <c r="BB145" s="50"/>
      <c r="BC145" s="51">
        <v>0</v>
      </c>
      <c r="BD145" s="51"/>
      <c r="BE145" s="50"/>
      <c r="BF145" s="51"/>
    </row>
    <row r="146" spans="1:58" ht="12.95" customHeight="1">
      <c r="A146" s="40"/>
      <c r="B146" s="41"/>
      <c r="C146" s="415"/>
      <c r="D146" s="41"/>
      <c r="E146" s="42"/>
      <c r="F146" s="42"/>
      <c r="G146" s="43"/>
      <c r="H146" s="44"/>
      <c r="I146" s="45"/>
      <c r="J146" s="82"/>
      <c r="K146" s="82"/>
      <c r="L146" s="35"/>
      <c r="M146" s="35"/>
      <c r="N146" s="46"/>
      <c r="O146" s="47"/>
      <c r="P146" s="48"/>
      <c r="Q146" s="47"/>
      <c r="R146" s="501"/>
      <c r="S146" s="501"/>
      <c r="T146" s="37"/>
      <c r="U146" s="37"/>
      <c r="V146" s="37"/>
      <c r="W146" s="37"/>
      <c r="X146" s="38"/>
      <c r="Y146" s="211"/>
      <c r="Z146" s="37"/>
      <c r="AA146" s="37"/>
      <c r="AB146" s="37"/>
      <c r="AC146" s="37"/>
      <c r="AD146" s="37">
        <f>+AM146+BA146</f>
        <v>0</v>
      </c>
      <c r="AE146" s="230" t="s">
        <v>507</v>
      </c>
      <c r="AF146" s="33"/>
      <c r="AG146" s="33"/>
      <c r="AH146" s="33">
        <v>0</v>
      </c>
      <c r="AI146" s="33"/>
      <c r="AJ146" s="37"/>
      <c r="AK146" s="37"/>
      <c r="AL146" s="37"/>
      <c r="AM146" s="37">
        <f t="shared" si="371"/>
        <v>0</v>
      </c>
      <c r="AN146" s="37"/>
      <c r="AO146" s="37"/>
      <c r="AP146" s="37"/>
      <c r="AQ146" s="37"/>
      <c r="AR146" s="37">
        <f t="shared" si="372"/>
        <v>0</v>
      </c>
      <c r="AS146" s="37"/>
      <c r="AT146" s="37"/>
      <c r="AU146" s="37"/>
      <c r="AV146" s="37"/>
      <c r="AW146" s="37"/>
      <c r="AX146" s="37"/>
      <c r="AY146" s="37"/>
      <c r="AZ146" s="37"/>
      <c r="BA146" s="37">
        <f>+AR146+AS146+AU146+AW146+AY146+AZ146</f>
        <v>0</v>
      </c>
      <c r="BB146" s="33"/>
      <c r="BC146" s="504"/>
      <c r="BD146" s="504"/>
      <c r="BE146" s="33"/>
      <c r="BF146" s="504"/>
    </row>
    <row r="147" spans="1:58" ht="12.95" customHeight="1">
      <c r="A147" s="40"/>
      <c r="B147" s="41"/>
      <c r="C147" s="415"/>
      <c r="D147" s="41"/>
      <c r="E147" s="42"/>
      <c r="F147" s="42"/>
      <c r="G147" s="43"/>
      <c r="H147" s="44"/>
      <c r="I147" s="45"/>
      <c r="J147" s="82"/>
      <c r="K147" s="82"/>
      <c r="L147" s="35"/>
      <c r="M147" s="35"/>
      <c r="N147" s="46"/>
      <c r="O147" s="47"/>
      <c r="P147" s="48"/>
      <c r="Q147" s="47"/>
      <c r="R147" s="501"/>
      <c r="S147" s="501"/>
      <c r="T147" s="37"/>
      <c r="U147" s="37"/>
      <c r="V147" s="37"/>
      <c r="W147" s="37"/>
      <c r="X147" s="38"/>
      <c r="Y147" s="211"/>
      <c r="Z147" s="37"/>
      <c r="AA147" s="37"/>
      <c r="AB147" s="37"/>
      <c r="AC147" s="37"/>
      <c r="AD147" s="37">
        <f>+AM147+BA147</f>
        <v>1440</v>
      </c>
      <c r="AE147" s="230" t="s">
        <v>586</v>
      </c>
      <c r="AF147" s="33"/>
      <c r="AG147" s="33"/>
      <c r="AH147" s="33"/>
      <c r="AI147" s="33"/>
      <c r="AJ147" s="37"/>
      <c r="AK147" s="37"/>
      <c r="AL147" s="37"/>
      <c r="AM147" s="37">
        <f t="shared" ref="AM147" si="373">SUM(AF147:AL147)+AT147+AV147+AX147</f>
        <v>0</v>
      </c>
      <c r="AN147" s="37"/>
      <c r="AO147" s="37"/>
      <c r="AP147" s="37"/>
      <c r="AQ147" s="37"/>
      <c r="AR147" s="37">
        <f t="shared" ref="AR147" si="374">SUM(AN147:AQ147)</f>
        <v>0</v>
      </c>
      <c r="AS147" s="37"/>
      <c r="AT147" s="37"/>
      <c r="AU147" s="37">
        <v>1440</v>
      </c>
      <c r="AV147" s="37"/>
      <c r="AW147" s="37"/>
      <c r="AX147" s="37"/>
      <c r="AY147" s="37"/>
      <c r="AZ147" s="37"/>
      <c r="BA147" s="37">
        <f>+AR147+AS147+AU147+AW147+AY147+AZ147</f>
        <v>1440</v>
      </c>
      <c r="BB147" s="33"/>
      <c r="BC147" s="504"/>
      <c r="BD147" s="504"/>
      <c r="BE147" s="33"/>
      <c r="BF147" s="504"/>
    </row>
    <row r="148" spans="1:58" ht="12.95" customHeight="1">
      <c r="A148" s="40"/>
      <c r="B148" s="41"/>
      <c r="C148" s="415"/>
      <c r="D148" s="41"/>
      <c r="E148" s="42"/>
      <c r="F148" s="42"/>
      <c r="G148" s="500"/>
      <c r="H148" s="44"/>
      <c r="I148" s="45"/>
      <c r="J148" s="82"/>
      <c r="K148" s="82"/>
      <c r="L148" s="35"/>
      <c r="M148" s="35"/>
      <c r="N148" s="46"/>
      <c r="O148" s="47"/>
      <c r="P148" s="48"/>
      <c r="Q148" s="47"/>
      <c r="R148" s="501"/>
      <c r="S148" s="501"/>
      <c r="T148" s="37"/>
      <c r="U148" s="37"/>
      <c r="V148" s="37"/>
      <c r="W148" s="37"/>
      <c r="X148" s="38"/>
      <c r="Y148" s="211"/>
      <c r="Z148" s="37"/>
      <c r="AA148" s="49"/>
      <c r="AB148" s="49"/>
      <c r="AC148" s="37"/>
      <c r="AD148" s="37"/>
      <c r="AE148" s="230"/>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3"/>
      <c r="BC148" s="51"/>
      <c r="BD148" s="51"/>
      <c r="BE148" s="51"/>
      <c r="BF148" s="51"/>
    </row>
    <row r="149" spans="1:58">
      <c r="R149" s="505"/>
      <c r="S149" s="505"/>
      <c r="AA149" s="247">
        <f>U149-W149-Z149</f>
        <v>0</v>
      </c>
      <c r="AB149" s="247"/>
      <c r="AC149" s="248">
        <f>K149-T149</f>
        <v>0</v>
      </c>
      <c r="AD149" s="37"/>
      <c r="AF149" s="52"/>
      <c r="AG149" s="52"/>
      <c r="AH149" s="52"/>
      <c r="AI149" s="52"/>
      <c r="AJ149" s="52"/>
      <c r="AK149" s="52"/>
      <c r="AL149" s="52"/>
      <c r="AM149" s="37">
        <f t="shared" ref="AM149" si="375">SUM(AF149:AL149)</f>
        <v>0</v>
      </c>
      <c r="AN149" s="52"/>
      <c r="AO149" s="52"/>
      <c r="AP149" s="52"/>
      <c r="AQ149" s="52"/>
      <c r="AR149" s="37">
        <f t="shared" ref="AR149" si="376">SUM(AN149:AQ149)</f>
        <v>0</v>
      </c>
      <c r="AS149" s="52"/>
      <c r="AT149" s="52"/>
      <c r="AU149" s="52"/>
      <c r="AV149" s="52"/>
      <c r="AW149" s="52"/>
      <c r="AX149" s="52"/>
      <c r="AY149" s="52"/>
      <c r="AZ149" s="52"/>
      <c r="BA149" s="37"/>
      <c r="BB149" s="33"/>
      <c r="BC149" s="51"/>
      <c r="BD149" s="51"/>
      <c r="BE149" s="51"/>
      <c r="BF149" s="51"/>
    </row>
    <row r="150" spans="1:58" s="27" customFormat="1" ht="12.95" customHeight="1">
      <c r="A150" s="56"/>
      <c r="B150" s="57"/>
      <c r="C150" s="416">
        <f>SUM(C6:C148)</f>
        <v>1292.0965361848757</v>
      </c>
      <c r="D150" s="57"/>
      <c r="E150" s="58"/>
      <c r="F150" s="58"/>
      <c r="G150" s="59"/>
      <c r="H150" s="59"/>
      <c r="I150" s="60">
        <v>0.85</v>
      </c>
      <c r="J150" s="82"/>
      <c r="K150" s="84">
        <f>SUM(K6:K148)</f>
        <v>1301.0203325354976</v>
      </c>
      <c r="L150" s="62"/>
      <c r="M150" s="62"/>
      <c r="N150" s="63"/>
      <c r="O150" s="64">
        <f>P150/(Q150-R150-S150)</f>
        <v>253.7058983193684</v>
      </c>
      <c r="P150" s="61">
        <f>SUM(P6:P148)</f>
        <v>3745967.5886854744</v>
      </c>
      <c r="Q150" s="334">
        <f>SUM(Q6:Q149)</f>
        <v>43200</v>
      </c>
      <c r="R150" s="61">
        <f t="shared" ref="R150:W150" si="377">SUM(R6:R148)</f>
        <v>27640</v>
      </c>
      <c r="S150" s="61">
        <f t="shared" si="377"/>
        <v>795</v>
      </c>
      <c r="T150" s="61">
        <f t="shared" si="377"/>
        <v>1292.0965361848757</v>
      </c>
      <c r="U150" s="61">
        <f t="shared" si="377"/>
        <v>441.23031690843982</v>
      </c>
      <c r="V150" s="358">
        <f t="shared" si="377"/>
        <v>851.66713829621563</v>
      </c>
      <c r="W150" s="447">
        <f t="shared" si="377"/>
        <v>413.67200000000003</v>
      </c>
      <c r="X150" s="496">
        <f>W150/K150</f>
        <v>0.31795967338482256</v>
      </c>
      <c r="Y150" s="359">
        <f>SUM(Y6:Y148)</f>
        <v>0</v>
      </c>
      <c r="Z150" s="447">
        <f>SUM(Z6:Z148)</f>
        <v>10.652000000000001</v>
      </c>
      <c r="AA150" s="61">
        <f>SUM(AA6:AA148)</f>
        <v>16.90631690843982</v>
      </c>
      <c r="AB150" s="61">
        <f>SUM(AB6:AB148)</f>
        <v>-0.64556817478018269</v>
      </c>
      <c r="AC150" s="61">
        <f>SUM(AC6:AC148)</f>
        <v>8.7684455056219619</v>
      </c>
      <c r="AD150" s="37">
        <f>SUM(AD6:AD149)</f>
        <v>28435</v>
      </c>
      <c r="AE150" s="65"/>
      <c r="AF150" s="61">
        <f t="shared" ref="AF150:BF150" si="378">SUM(AF6:AF149)</f>
        <v>225</v>
      </c>
      <c r="AG150" s="61">
        <f t="shared" si="378"/>
        <v>63</v>
      </c>
      <c r="AH150" s="61">
        <f t="shared" si="378"/>
        <v>472</v>
      </c>
      <c r="AI150" s="61">
        <f t="shared" si="378"/>
        <v>0</v>
      </c>
      <c r="AJ150" s="61">
        <f t="shared" si="378"/>
        <v>0</v>
      </c>
      <c r="AK150" s="61">
        <f t="shared" si="378"/>
        <v>35</v>
      </c>
      <c r="AL150" s="61">
        <f t="shared" si="378"/>
        <v>0</v>
      </c>
      <c r="AM150" s="61">
        <f t="shared" si="378"/>
        <v>795</v>
      </c>
      <c r="AN150" s="52">
        <f t="shared" si="378"/>
        <v>100</v>
      </c>
      <c r="AO150" s="52">
        <f t="shared" si="378"/>
        <v>0</v>
      </c>
      <c r="AP150" s="52">
        <f t="shared" si="378"/>
        <v>515</v>
      </c>
      <c r="AQ150" s="52">
        <f t="shared" si="378"/>
        <v>0</v>
      </c>
      <c r="AR150" s="61">
        <f t="shared" si="378"/>
        <v>615</v>
      </c>
      <c r="AS150" s="61">
        <f t="shared" si="378"/>
        <v>1555</v>
      </c>
      <c r="AT150" s="61">
        <f t="shared" si="378"/>
        <v>0</v>
      </c>
      <c r="AU150" s="61">
        <f t="shared" si="378"/>
        <v>25470</v>
      </c>
      <c r="AV150" s="61">
        <f t="shared" si="378"/>
        <v>0</v>
      </c>
      <c r="AW150" s="61">
        <f t="shared" si="378"/>
        <v>0</v>
      </c>
      <c r="AX150" s="61">
        <f t="shared" si="378"/>
        <v>0</v>
      </c>
      <c r="AY150" s="61">
        <f t="shared" si="378"/>
        <v>0</v>
      </c>
      <c r="AZ150" s="61">
        <f t="shared" si="378"/>
        <v>0</v>
      </c>
      <c r="BA150" s="61">
        <f t="shared" si="378"/>
        <v>27640</v>
      </c>
      <c r="BB150" s="52">
        <f t="shared" si="378"/>
        <v>66</v>
      </c>
      <c r="BC150" s="52">
        <f t="shared" si="378"/>
        <v>44</v>
      </c>
      <c r="BD150" s="52">
        <f t="shared" si="378"/>
        <v>0</v>
      </c>
      <c r="BE150" s="52">
        <f t="shared" si="378"/>
        <v>0</v>
      </c>
      <c r="BF150" s="52">
        <f t="shared" si="378"/>
        <v>0</v>
      </c>
    </row>
    <row r="151" spans="1:58" s="27" customFormat="1" ht="12.95" customHeight="1">
      <c r="A151" s="56"/>
      <c r="B151" s="57"/>
      <c r="C151" s="57"/>
      <c r="D151" s="57"/>
      <c r="E151" s="58"/>
      <c r="F151" s="58"/>
      <c r="G151" s="59"/>
      <c r="H151" s="59"/>
      <c r="I151" s="59"/>
      <c r="J151" s="85"/>
      <c r="K151" s="85"/>
      <c r="L151" s="62"/>
      <c r="M151" s="62"/>
      <c r="N151" s="63"/>
      <c r="O151" s="658"/>
      <c r="P151" s="659"/>
      <c r="Q151" s="59">
        <f>30*1440-Q150</f>
        <v>0</v>
      </c>
      <c r="R151" s="66">
        <f>R150/Q150</f>
        <v>0.63981481481481484</v>
      </c>
      <c r="S151" s="66">
        <f>S150/Q150</f>
        <v>1.8402777777777778E-2</v>
      </c>
      <c r="T151" s="345"/>
      <c r="U151" s="345"/>
      <c r="V151" s="347">
        <f>V150/K150</f>
        <v>0.65461477964486647</v>
      </c>
      <c r="W151" s="363" t="s">
        <v>171</v>
      </c>
      <c r="X151" s="497">
        <v>0.85</v>
      </c>
      <c r="Y151" s="360">
        <f>Y150/K150</f>
        <v>0</v>
      </c>
      <c r="Z151" s="67">
        <f>Z150/K150</f>
        <v>8.1874200837744153E-3</v>
      </c>
      <c r="AA151" s="67">
        <f>AA150/K150</f>
        <v>1.2994660026174911E-2</v>
      </c>
      <c r="AB151" s="67">
        <f>AB150/K150</f>
        <v>-4.9620144945933709E-4</v>
      </c>
      <c r="AC151" s="498">
        <f>AC150/K150</f>
        <v>6.7396683098207618E-3</v>
      </c>
      <c r="AD151" s="348"/>
      <c r="AE151" s="39"/>
      <c r="AF151" s="67">
        <f>AF150/$AD$150*$V$151</f>
        <v>5.1798250543377868E-3</v>
      </c>
      <c r="AG151" s="67">
        <f>AG150/$AD$150*$V$151</f>
        <v>1.4503510152145801E-3</v>
      </c>
      <c r="AH151" s="67">
        <f>AH150/$AD$150*$V$151</f>
        <v>1.0866121891766379E-2</v>
      </c>
      <c r="AI151" s="67">
        <f>AI150/$AD$150*$V$151</f>
        <v>0</v>
      </c>
      <c r="AJ151" s="67">
        <f t="shared" ref="AJ151:BA151" si="379">AJ150/$AD$150*$V$151</f>
        <v>0</v>
      </c>
      <c r="AK151" s="67">
        <f t="shared" si="379"/>
        <v>8.0575056400810014E-4</v>
      </c>
      <c r="AL151" s="67">
        <f t="shared" si="379"/>
        <v>0</v>
      </c>
      <c r="AM151" s="67">
        <f t="shared" si="379"/>
        <v>1.8302048525326846E-2</v>
      </c>
      <c r="AN151" s="67">
        <f t="shared" si="379"/>
        <v>2.3021444685945719E-3</v>
      </c>
      <c r="AO151" s="67">
        <f t="shared" si="379"/>
        <v>0</v>
      </c>
      <c r="AP151" s="67">
        <f t="shared" si="379"/>
        <v>1.1856044013262044E-2</v>
      </c>
      <c r="AQ151" s="67">
        <f t="shared" si="379"/>
        <v>0</v>
      </c>
      <c r="AR151" s="67">
        <f t="shared" si="379"/>
        <v>1.4158188481856617E-2</v>
      </c>
      <c r="AS151" s="67">
        <f t="shared" si="379"/>
        <v>3.5798346486645594E-2</v>
      </c>
      <c r="AT151" s="67">
        <f t="shared" si="379"/>
        <v>0</v>
      </c>
      <c r="AU151" s="67">
        <f t="shared" si="379"/>
        <v>0.5863561961510374</v>
      </c>
      <c r="AV151" s="67">
        <f>AV150/$AD$150*$V$151</f>
        <v>0</v>
      </c>
      <c r="AW151" s="67">
        <f t="shared" ref="AW151:AZ151" si="380">AW150/$AD$150*$V$151</f>
        <v>0</v>
      </c>
      <c r="AX151" s="67">
        <f t="shared" si="380"/>
        <v>0</v>
      </c>
      <c r="AY151" s="67">
        <f t="shared" si="380"/>
        <v>0</v>
      </c>
      <c r="AZ151" s="67">
        <f t="shared" si="380"/>
        <v>0</v>
      </c>
      <c r="BA151" s="67">
        <f t="shared" si="379"/>
        <v>0.63631273111953957</v>
      </c>
      <c r="BB151" s="34" t="s">
        <v>170</v>
      </c>
      <c r="BC151" s="34" t="s">
        <v>170</v>
      </c>
      <c r="BD151" s="34" t="s">
        <v>401</v>
      </c>
      <c r="BE151" s="34" t="s">
        <v>401</v>
      </c>
      <c r="BF151" s="34" t="s">
        <v>401</v>
      </c>
    </row>
    <row r="152" spans="1:58" ht="12.95" customHeight="1">
      <c r="A152" s="56"/>
      <c r="B152" s="57"/>
      <c r="C152" s="57"/>
      <c r="D152" s="57"/>
      <c r="E152" s="58"/>
      <c r="F152" s="58"/>
      <c r="G152" s="34"/>
      <c r="H152" s="34"/>
      <c r="I152" s="34"/>
      <c r="J152" s="82"/>
      <c r="K152" s="82"/>
      <c r="L152" s="35"/>
      <c r="M152" s="35"/>
      <c r="N152" s="33"/>
      <c r="O152" s="36"/>
      <c r="P152" s="28"/>
      <c r="Q152" s="34"/>
      <c r="R152" s="37">
        <f>R150-(BA150)</f>
        <v>0</v>
      </c>
      <c r="S152" s="37">
        <f>S150-SUM(AF150:AL150)</f>
        <v>0</v>
      </c>
      <c r="T152" s="33"/>
      <c r="U152" s="33"/>
      <c r="V152" s="33"/>
      <c r="W152" s="361"/>
      <c r="X152" s="362"/>
      <c r="Y152" s="68">
        <f>+Y150-(SUM(RBP!AG3:AG4))</f>
        <v>0</v>
      </c>
      <c r="Z152" s="37"/>
      <c r="AA152" s="33"/>
      <c r="AB152" s="33"/>
      <c r="AC152" s="33"/>
      <c r="AD152" s="33"/>
      <c r="AE152" s="39"/>
      <c r="AF152" s="335"/>
      <c r="AG152" s="335"/>
      <c r="AH152" s="335"/>
      <c r="AI152" s="335"/>
      <c r="AJ152" s="77"/>
      <c r="AK152" s="77"/>
      <c r="AL152" s="77"/>
      <c r="AM152" s="77"/>
      <c r="AN152" s="77"/>
      <c r="AO152" s="77"/>
      <c r="AP152" s="77"/>
      <c r="AQ152" s="77"/>
      <c r="AR152" s="77"/>
      <c r="AS152" s="77"/>
      <c r="AT152" s="77"/>
      <c r="AU152" s="77"/>
      <c r="AV152" s="77"/>
      <c r="AW152" s="77"/>
      <c r="AX152" s="77"/>
      <c r="AY152" s="77"/>
      <c r="AZ152" s="77"/>
      <c r="BA152" s="77"/>
      <c r="BB152" s="506">
        <f>BB150/($Q$150/1440)/2</f>
        <v>1.1000000000000001</v>
      </c>
      <c r="BC152" s="506">
        <f>BC150/($Q$150/1440)/2</f>
        <v>0.73333333333333328</v>
      </c>
      <c r="BD152" s="506">
        <f>BD150/($Q$150/1440)</f>
        <v>0</v>
      </c>
      <c r="BE152" s="506">
        <f t="shared" ref="BE152:BF152" si="381">BE150/($Q$150/1440)</f>
        <v>0</v>
      </c>
      <c r="BF152" s="506">
        <f t="shared" si="381"/>
        <v>0</v>
      </c>
    </row>
    <row r="153" spans="1:58">
      <c r="A153" s="69"/>
      <c r="B153" s="70"/>
      <c r="C153" s="70"/>
      <c r="D153" s="70"/>
      <c r="E153" s="71"/>
      <c r="F153" s="71"/>
      <c r="G153" s="72"/>
      <c r="H153" s="72"/>
      <c r="I153" s="72"/>
      <c r="J153" s="86"/>
      <c r="K153" s="86"/>
      <c r="O153" s="73"/>
      <c r="P153" s="74"/>
      <c r="Q153" s="72"/>
      <c r="R153" s="53"/>
      <c r="S153" s="53"/>
      <c r="U153" s="75"/>
      <c r="V153" s="75"/>
      <c r="W153" s="76" t="s">
        <v>119</v>
      </c>
      <c r="X153" s="499">
        <f>W150/U150</f>
        <v>0.93754210476394251</v>
      </c>
      <c r="Y153" s="499"/>
      <c r="Z153" s="53"/>
      <c r="AD153" s="83"/>
      <c r="AE153" s="78"/>
      <c r="AF153" s="79"/>
      <c r="AG153" s="79"/>
      <c r="AH153" s="79"/>
      <c r="AI153" s="79"/>
      <c r="AJ153" s="79"/>
      <c r="AK153" s="79"/>
      <c r="AL153" s="79"/>
      <c r="AM153" s="79"/>
      <c r="AN153" s="77"/>
      <c r="AO153" s="77"/>
      <c r="AP153" s="77"/>
      <c r="AQ153" s="77"/>
      <c r="AR153" s="77"/>
      <c r="AS153" s="79"/>
      <c r="AT153" s="79"/>
      <c r="AU153" s="79"/>
      <c r="AV153" s="79"/>
      <c r="AW153" s="79"/>
      <c r="AX153" s="79"/>
      <c r="AY153" s="79"/>
      <c r="AZ153" s="79"/>
      <c r="BA153" s="77"/>
      <c r="BB153" s="27"/>
      <c r="BC153" s="77"/>
      <c r="BD153" s="77"/>
      <c r="BE153" s="27"/>
      <c r="BF153" s="77"/>
    </row>
    <row r="154" spans="1:58">
      <c r="A154" s="69"/>
      <c r="B154" s="70"/>
      <c r="C154" s="70"/>
      <c r="D154" s="70"/>
      <c r="E154" s="71"/>
      <c r="F154" s="71"/>
      <c r="G154" s="72"/>
      <c r="H154" s="72"/>
      <c r="I154" s="72"/>
      <c r="J154" s="86"/>
      <c r="K154" s="86"/>
      <c r="O154" s="73"/>
      <c r="P154" s="74"/>
      <c r="Q154" s="72"/>
      <c r="R154" s="53"/>
      <c r="S154" s="53"/>
      <c r="U154" s="75"/>
      <c r="V154" s="75"/>
      <c r="W154" s="76"/>
      <c r="X154" s="77"/>
      <c r="Y154" s="77"/>
      <c r="Z154" s="53">
        <f>+Z150-'30'!J56/1000</f>
        <v>0</v>
      </c>
      <c r="AA154" s="89"/>
      <c r="AB154" s="89"/>
      <c r="AD154" s="83"/>
      <c r="AE154" s="78"/>
      <c r="AF154" s="79"/>
      <c r="AG154" s="79"/>
      <c r="AH154" s="79"/>
      <c r="AI154" s="79"/>
      <c r="AJ154" s="79"/>
      <c r="AK154" s="79"/>
      <c r="AL154" s="79"/>
      <c r="AM154" s="79"/>
      <c r="AN154" s="79"/>
      <c r="AO154" s="77"/>
      <c r="AP154" s="77"/>
      <c r="AQ154" s="77"/>
      <c r="AR154" s="79"/>
      <c r="AS154" s="77"/>
      <c r="AT154" s="77"/>
      <c r="AU154" s="77"/>
      <c r="AV154" s="77"/>
      <c r="AW154" s="77"/>
      <c r="AX154" s="77"/>
      <c r="AY154" s="77"/>
      <c r="AZ154" s="77"/>
      <c r="BA154" s="77"/>
      <c r="BB154" s="27"/>
      <c r="BC154" s="77"/>
      <c r="BD154" s="77"/>
      <c r="BE154" s="27"/>
      <c r="BF154" s="77"/>
    </row>
    <row r="155" spans="1:58">
      <c r="A155" s="69"/>
      <c r="B155" s="70"/>
      <c r="C155" s="70"/>
      <c r="D155" s="70"/>
      <c r="E155" s="71"/>
      <c r="F155" s="71"/>
      <c r="G155" s="72"/>
      <c r="H155" s="72"/>
      <c r="I155" s="72"/>
      <c r="J155" s="86"/>
      <c r="K155" s="86"/>
      <c r="O155" s="73"/>
      <c r="P155" s="74"/>
      <c r="Q155" s="72"/>
      <c r="R155" s="346"/>
      <c r="S155" s="53"/>
      <c r="U155" s="75"/>
      <c r="V155" s="75"/>
      <c r="W155" s="76" t="s">
        <v>143</v>
      </c>
      <c r="X155" s="335">
        <f>+W150+Y150</f>
        <v>413.67200000000003</v>
      </c>
      <c r="Y155" s="77"/>
      <c r="Z155" s="53"/>
      <c r="AD155" s="83"/>
      <c r="AE155" s="78"/>
      <c r="AF155" s="83"/>
      <c r="AG155" s="83"/>
      <c r="AH155" s="83"/>
      <c r="AI155" s="83"/>
      <c r="AJ155" s="77"/>
      <c r="AK155" s="77"/>
      <c r="AL155" s="77"/>
      <c r="AM155" s="79"/>
      <c r="AN155" s="77"/>
      <c r="AO155" s="77"/>
      <c r="AP155" s="77"/>
      <c r="AQ155" s="77"/>
      <c r="AR155" s="79"/>
      <c r="AS155" s="77"/>
      <c r="AT155" s="77"/>
      <c r="AU155" s="77"/>
      <c r="AV155" s="77"/>
      <c r="AW155" s="77"/>
      <c r="AX155" s="77"/>
      <c r="AY155" s="77"/>
      <c r="AZ155" s="77"/>
      <c r="BA155" s="77"/>
      <c r="BB155" s="27"/>
      <c r="BC155" s="77"/>
      <c r="BD155" s="77"/>
      <c r="BE155" s="27"/>
      <c r="BF155" s="77"/>
    </row>
    <row r="156" spans="1:58">
      <c r="A156" s="69"/>
      <c r="C156" s="70" t="s">
        <v>300</v>
      </c>
      <c r="D156" s="70"/>
      <c r="E156" s="71"/>
      <c r="F156" s="71"/>
      <c r="G156" s="72"/>
      <c r="H156" s="72"/>
      <c r="I156" s="72"/>
      <c r="J156" s="86"/>
      <c r="K156" s="86"/>
      <c r="O156" s="73"/>
      <c r="P156" s="74"/>
      <c r="Q156" s="72"/>
      <c r="R156" s="346"/>
      <c r="S156" s="53"/>
      <c r="U156" s="75"/>
      <c r="V156" s="356"/>
      <c r="W156" s="357"/>
      <c r="X156" s="351"/>
      <c r="Y156" s="357"/>
      <c r="Z156" s="351"/>
      <c r="AD156" s="344"/>
      <c r="AE156" s="78"/>
      <c r="AF156" s="344"/>
      <c r="AG156" s="344"/>
      <c r="AH156" s="344"/>
      <c r="AI156" s="344"/>
      <c r="AJ156" s="77"/>
      <c r="AK156" s="77"/>
      <c r="AL156" s="77"/>
      <c r="AM156" s="77"/>
      <c r="AN156" s="77"/>
      <c r="AO156" s="77"/>
      <c r="AP156" s="77"/>
      <c r="AQ156" s="77"/>
      <c r="AR156" s="77"/>
      <c r="AS156" s="77"/>
      <c r="AT156" s="77"/>
      <c r="AU156" s="77"/>
      <c r="AV156" s="77"/>
      <c r="AW156" s="77"/>
      <c r="AX156" s="77"/>
      <c r="AY156" s="77"/>
      <c r="AZ156" s="77"/>
      <c r="BA156" s="77"/>
      <c r="BB156" s="27"/>
      <c r="BC156" s="77"/>
      <c r="BD156" s="77"/>
      <c r="BE156" s="27"/>
      <c r="BF156" s="77"/>
    </row>
    <row r="157" spans="1:58">
      <c r="A157" s="69"/>
      <c r="B157" s="70"/>
      <c r="C157" s="70" t="s">
        <v>301</v>
      </c>
      <c r="D157" s="70"/>
      <c r="E157" s="71"/>
      <c r="F157" s="71"/>
      <c r="G157" s="72"/>
      <c r="H157" s="72"/>
      <c r="I157" s="72"/>
      <c r="J157" s="86"/>
      <c r="K157" s="86"/>
      <c r="O157" s="73"/>
      <c r="P157" s="74"/>
      <c r="Q157" s="72"/>
      <c r="R157" s="346"/>
      <c r="S157" s="53"/>
      <c r="V157" s="349"/>
      <c r="W157" s="350" t="s">
        <v>307</v>
      </c>
      <c r="X157" s="349"/>
      <c r="Y157" s="349"/>
      <c r="Z157" s="351"/>
      <c r="AE157" s="78"/>
      <c r="AF157" s="53"/>
      <c r="AG157" s="53"/>
      <c r="AH157" s="53"/>
      <c r="AI157" s="53"/>
      <c r="AJ157" s="53"/>
      <c r="AK157" s="53"/>
      <c r="AL157" s="53"/>
      <c r="AM157" s="53"/>
      <c r="AN157" s="53"/>
      <c r="AO157" s="53"/>
      <c r="AP157" s="53"/>
      <c r="AQ157" s="53"/>
      <c r="AS157" s="53"/>
      <c r="AT157" s="53"/>
      <c r="AU157" s="53"/>
      <c r="AV157" s="53"/>
      <c r="AW157" s="53"/>
      <c r="AX157" s="53"/>
      <c r="AY157" s="53"/>
      <c r="AZ157" s="53"/>
      <c r="BA157" s="53"/>
      <c r="BB157" s="27"/>
      <c r="BE157" s="27"/>
    </row>
    <row r="158" spans="1:58">
      <c r="A158" s="69"/>
      <c r="B158" s="70"/>
      <c r="C158" s="70"/>
      <c r="D158" s="70"/>
      <c r="E158" s="71"/>
      <c r="F158" s="71"/>
      <c r="G158" s="72"/>
      <c r="H158" s="72"/>
      <c r="I158" s="72"/>
      <c r="J158" s="86"/>
      <c r="K158" s="86"/>
      <c r="O158" s="73"/>
      <c r="P158" s="74"/>
      <c r="Q158" s="72"/>
      <c r="R158" s="346"/>
      <c r="S158" s="53"/>
      <c r="V158" s="349"/>
      <c r="W158" s="352" t="s">
        <v>296</v>
      </c>
      <c r="X158" s="507">
        <f>Y151</f>
        <v>0</v>
      </c>
      <c r="Y158" s="353"/>
      <c r="Z158" s="351"/>
      <c r="AE158" s="78"/>
      <c r="AF158" s="53"/>
      <c r="AG158" s="53"/>
      <c r="AH158" s="53"/>
      <c r="AI158" s="53"/>
      <c r="AJ158" s="53"/>
      <c r="AK158" s="53"/>
      <c r="AL158" s="53"/>
      <c r="AM158" s="53"/>
      <c r="AN158" s="53"/>
      <c r="AO158" s="53"/>
      <c r="AP158" s="53"/>
      <c r="AQ158" s="53"/>
      <c r="AS158" s="53"/>
      <c r="AT158" s="53"/>
      <c r="AU158" s="53"/>
      <c r="AV158" s="53"/>
      <c r="AW158" s="53"/>
      <c r="AX158" s="53"/>
      <c r="AY158" s="53"/>
      <c r="AZ158" s="53"/>
      <c r="BA158" s="53"/>
      <c r="BB158" s="27"/>
      <c r="BE158" s="27"/>
    </row>
    <row r="159" spans="1:58">
      <c r="R159" s="89"/>
      <c r="V159" s="349"/>
      <c r="W159" s="352" t="s">
        <v>150</v>
      </c>
      <c r="X159" s="355">
        <f>Z151</f>
        <v>8.1874200837744153E-3</v>
      </c>
      <c r="Y159" s="354"/>
      <c r="Z159" s="349"/>
    </row>
    <row r="160" spans="1:58">
      <c r="R160" s="89"/>
      <c r="V160" s="349"/>
      <c r="W160" s="352" t="s">
        <v>151</v>
      </c>
      <c r="X160" s="355">
        <f>AC151</f>
        <v>6.7396683098207618E-3</v>
      </c>
      <c r="Y160" s="355"/>
      <c r="Z160" s="349"/>
    </row>
    <row r="161" spans="18:26">
      <c r="R161" s="89"/>
      <c r="V161" s="349"/>
      <c r="W161" s="352" t="s">
        <v>152</v>
      </c>
      <c r="X161" s="355">
        <f>AA151</f>
        <v>1.2994660026174911E-2</v>
      </c>
      <c r="Y161" s="354"/>
      <c r="Z161" s="349"/>
    </row>
    <row r="162" spans="18:26">
      <c r="V162" s="349"/>
      <c r="W162" s="352" t="s">
        <v>168</v>
      </c>
      <c r="X162" s="355">
        <f>AB151</f>
        <v>-4.9620144945933709E-4</v>
      </c>
      <c r="Y162" s="354" t="s">
        <v>166</v>
      </c>
      <c r="Z162" s="349"/>
    </row>
    <row r="163" spans="18:26">
      <c r="V163" s="349"/>
      <c r="W163" s="352" t="s">
        <v>224</v>
      </c>
      <c r="X163" s="355">
        <f>AF151</f>
        <v>5.1798250543377868E-3</v>
      </c>
      <c r="Y163" s="354"/>
      <c r="Z163" s="349"/>
    </row>
    <row r="164" spans="18:26">
      <c r="V164" s="349"/>
      <c r="W164" s="352" t="s">
        <v>225</v>
      </c>
      <c r="X164" s="355">
        <f>+AG151</f>
        <v>1.4503510152145801E-3</v>
      </c>
      <c r="Y164" s="354"/>
      <c r="Z164" s="349"/>
    </row>
    <row r="165" spans="18:26">
      <c r="V165" s="349"/>
      <c r="W165" s="352" t="s">
        <v>302</v>
      </c>
      <c r="X165" s="355">
        <f>+AH151</f>
        <v>1.0866121891766379E-2</v>
      </c>
      <c r="Y165" s="354"/>
      <c r="Z165" s="349"/>
    </row>
    <row r="166" spans="18:26">
      <c r="V166" s="349"/>
      <c r="W166" s="352" t="s">
        <v>226</v>
      </c>
      <c r="X166" s="355">
        <f>+AI151</f>
        <v>0</v>
      </c>
      <c r="Y166" s="354"/>
      <c r="Z166" s="349"/>
    </row>
    <row r="167" spans="18:26">
      <c r="V167" s="349"/>
      <c r="W167" s="352" t="s">
        <v>159</v>
      </c>
      <c r="X167" s="355">
        <f>+AJ151</f>
        <v>0</v>
      </c>
      <c r="Y167" s="354"/>
      <c r="Z167" s="349"/>
    </row>
    <row r="168" spans="18:26">
      <c r="V168" s="349"/>
      <c r="W168" s="352" t="s">
        <v>161</v>
      </c>
      <c r="X168" s="355">
        <f>+AK151</f>
        <v>8.0575056400810014E-4</v>
      </c>
      <c r="Y168" s="354"/>
      <c r="Z168" s="349"/>
    </row>
    <row r="169" spans="18:26">
      <c r="V169" s="349"/>
      <c r="W169" s="352" t="s">
        <v>160</v>
      </c>
      <c r="X169" s="355">
        <f>+AL151</f>
        <v>0</v>
      </c>
      <c r="Y169" s="354"/>
      <c r="Z169" s="349"/>
    </row>
    <row r="170" spans="18:26">
      <c r="V170" s="349"/>
      <c r="W170" s="352" t="s">
        <v>153</v>
      </c>
      <c r="X170" s="355">
        <f>+AN151</f>
        <v>2.3021444685945719E-3</v>
      </c>
      <c r="Y170" s="354"/>
      <c r="Z170" s="349"/>
    </row>
    <row r="171" spans="18:26">
      <c r="V171" s="349"/>
      <c r="W171" s="352" t="s">
        <v>163</v>
      </c>
      <c r="X171" s="355">
        <f>+AO151</f>
        <v>0</v>
      </c>
      <c r="Y171" s="354"/>
      <c r="Z171" s="349"/>
    </row>
    <row r="172" spans="18:26">
      <c r="V172" s="349"/>
      <c r="W172" s="352" t="s">
        <v>154</v>
      </c>
      <c r="X172" s="355">
        <f>+AP151</f>
        <v>1.1856044013262044E-2</v>
      </c>
      <c r="Y172" s="354"/>
      <c r="Z172" s="349"/>
    </row>
    <row r="173" spans="18:26">
      <c r="V173" s="349"/>
      <c r="W173" s="352" t="s">
        <v>162</v>
      </c>
      <c r="X173" s="355">
        <f>+AQ151</f>
        <v>0</v>
      </c>
      <c r="Y173" s="354"/>
      <c r="Z173" s="349"/>
    </row>
    <row r="174" spans="18:26">
      <c r="V174" s="349"/>
      <c r="W174" s="352" t="s">
        <v>165</v>
      </c>
      <c r="X174" s="355">
        <f>+AS151</f>
        <v>3.5798346486645594E-2</v>
      </c>
      <c r="Y174" s="354"/>
      <c r="Z174" s="349"/>
    </row>
    <row r="175" spans="18:26">
      <c r="V175" s="349"/>
      <c r="W175" s="352" t="s">
        <v>303</v>
      </c>
      <c r="X175" s="355">
        <f>+AT151</f>
        <v>0</v>
      </c>
      <c r="Y175" s="354"/>
      <c r="Z175" s="349"/>
    </row>
    <row r="176" spans="18:26">
      <c r="V176" s="349"/>
      <c r="W176" s="352" t="s">
        <v>240</v>
      </c>
      <c r="X176" s="355">
        <f>+AU151</f>
        <v>0.5863561961510374</v>
      </c>
      <c r="Y176" s="354"/>
      <c r="Z176" s="349"/>
    </row>
    <row r="177" spans="22:26">
      <c r="V177" s="349"/>
      <c r="W177" s="352" t="s">
        <v>309</v>
      </c>
      <c r="X177" s="355">
        <f>+AW151</f>
        <v>0</v>
      </c>
      <c r="Y177" s="354"/>
      <c r="Z177" s="349"/>
    </row>
    <row r="178" spans="22:26">
      <c r="V178" s="349"/>
      <c r="W178" s="352" t="s">
        <v>310</v>
      </c>
      <c r="X178" s="355">
        <f>+AV151</f>
        <v>0</v>
      </c>
      <c r="Y178" s="354"/>
      <c r="Z178" s="349"/>
    </row>
    <row r="179" spans="22:26">
      <c r="V179" s="349"/>
      <c r="W179" s="349" t="s">
        <v>164</v>
      </c>
      <c r="X179" s="355">
        <f>+AX151+AY151</f>
        <v>0</v>
      </c>
      <c r="Y179" s="355"/>
      <c r="Z179" s="349"/>
    </row>
    <row r="180" spans="22:26">
      <c r="V180" s="349"/>
      <c r="W180" s="349" t="s">
        <v>308</v>
      </c>
      <c r="X180" s="355">
        <f>+AZ151</f>
        <v>0</v>
      </c>
      <c r="Y180" s="349"/>
      <c r="Z180" s="349"/>
    </row>
    <row r="181" spans="22:26">
      <c r="V181" s="349"/>
      <c r="W181" s="349"/>
      <c r="X181" s="520">
        <f>SUM(X158:X180)</f>
        <v>0.68204032661517722</v>
      </c>
      <c r="Y181" s="349"/>
      <c r="Z181" s="349"/>
    </row>
    <row r="184" spans="22:26">
      <c r="X184" s="89">
        <f>+X181+X150</f>
        <v>0.99999999999999978</v>
      </c>
    </row>
  </sheetData>
  <mergeCells count="50">
    <mergeCell ref="BD3:BD5"/>
    <mergeCell ref="BE3:BE5"/>
    <mergeCell ref="BF3:BF5"/>
    <mergeCell ref="S3:S5"/>
    <mergeCell ref="T3:T5"/>
    <mergeCell ref="AF4:AH4"/>
    <mergeCell ref="W3:W5"/>
    <mergeCell ref="X3:X5"/>
    <mergeCell ref="Z3:Z5"/>
    <mergeCell ref="Y3:Y5"/>
    <mergeCell ref="AI4:AI5"/>
    <mergeCell ref="AB3:AB5"/>
    <mergeCell ref="BB3:BB5"/>
    <mergeCell ref="BC3:BC5"/>
    <mergeCell ref="AN4:AN5"/>
    <mergeCell ref="AP4:AP5"/>
    <mergeCell ref="G3:K4"/>
    <mergeCell ref="C3:C5"/>
    <mergeCell ref="L3:N4"/>
    <mergeCell ref="O3:O5"/>
    <mergeCell ref="R3:R5"/>
    <mergeCell ref="A3:A5"/>
    <mergeCell ref="B3:B5"/>
    <mergeCell ref="D3:D5"/>
    <mergeCell ref="E3:E5"/>
    <mergeCell ref="F3:F5"/>
    <mergeCell ref="AZ3:AZ5"/>
    <mergeCell ref="O151:P151"/>
    <mergeCell ref="BA3:BA5"/>
    <mergeCell ref="AT3:AU4"/>
    <mergeCell ref="P3:P5"/>
    <mergeCell ref="AK4:AK5"/>
    <mergeCell ref="AA3:AA5"/>
    <mergeCell ref="AL4:AL5"/>
    <mergeCell ref="AM3:AM5"/>
    <mergeCell ref="Q3:Q5"/>
    <mergeCell ref="AC3:AC5"/>
    <mergeCell ref="AE3:AE5"/>
    <mergeCell ref="AD3:AD5"/>
    <mergeCell ref="AF3:AL3"/>
    <mergeCell ref="AO4:AO5"/>
    <mergeCell ref="AR4:AR5"/>
    <mergeCell ref="AJ4:AJ5"/>
    <mergeCell ref="V3:V5"/>
    <mergeCell ref="U3:U5"/>
    <mergeCell ref="AV3:AW3"/>
    <mergeCell ref="AX3:AY3"/>
    <mergeCell ref="AN3:AR3"/>
    <mergeCell ref="AS3:AS5"/>
    <mergeCell ref="AQ4:AQ5"/>
  </mergeCells>
  <phoneticPr fontId="32" type="noConversion"/>
  <conditionalFormatting sqref="B6:C6 B8:C8 B54:C54 C151 B7 C149 B149:B151">
    <cfRule type="cellIs" dxfId="1389" priority="1807" stopIfTrue="1" operator="equal">
      <formula>"Towel"</formula>
    </cfRule>
    <cfRule type="cellIs" dxfId="1388" priority="1808" stopIfTrue="1" operator="equal">
      <formula>"Napkin Hs"</formula>
    </cfRule>
  </conditionalFormatting>
  <conditionalFormatting sqref="C7">
    <cfRule type="cellIs" dxfId="1387" priority="1347" stopIfTrue="1" operator="equal">
      <formula>"Towel"</formula>
    </cfRule>
    <cfRule type="cellIs" dxfId="1386" priority="1348" stopIfTrue="1" operator="equal">
      <formula>"Napkin Hs"</formula>
    </cfRule>
  </conditionalFormatting>
  <conditionalFormatting sqref="B13:C13">
    <cfRule type="cellIs" dxfId="1385" priority="1325" stopIfTrue="1" operator="equal">
      <formula>"Towel"</formula>
    </cfRule>
    <cfRule type="cellIs" dxfId="1384" priority="1326" stopIfTrue="1" operator="equal">
      <formula>"Napkin Hs"</formula>
    </cfRule>
  </conditionalFormatting>
  <conditionalFormatting sqref="B16:C17">
    <cfRule type="cellIs" dxfId="1383" priority="1365" stopIfTrue="1" operator="equal">
      <formula>"Towel"</formula>
    </cfRule>
    <cfRule type="cellIs" dxfId="1382" priority="1366" stopIfTrue="1" operator="equal">
      <formula>"Napkin Hs"</formula>
    </cfRule>
  </conditionalFormatting>
  <conditionalFormatting sqref="B49:C49">
    <cfRule type="cellIs" dxfId="1381" priority="1705" stopIfTrue="1" operator="equal">
      <formula>"Towel"</formula>
    </cfRule>
    <cfRule type="cellIs" dxfId="1380" priority="1706" stopIfTrue="1" operator="equal">
      <formula>"Napkin Hs"</formula>
    </cfRule>
  </conditionalFormatting>
  <conditionalFormatting sqref="C148">
    <cfRule type="cellIs" dxfId="1379" priority="1397" stopIfTrue="1" operator="equal">
      <formula>"Towel"</formula>
    </cfRule>
    <cfRule type="cellIs" dxfId="1378" priority="1398" stopIfTrue="1" operator="equal">
      <formula>"Napkin Hs"</formula>
    </cfRule>
  </conditionalFormatting>
  <conditionalFormatting sqref="B148:C148">
    <cfRule type="cellIs" dxfId="1377" priority="1395" stopIfTrue="1" operator="equal">
      <formula>"Towel"</formula>
    </cfRule>
    <cfRule type="cellIs" dxfId="1376" priority="1396" stopIfTrue="1" operator="equal">
      <formula>"Napkin Hs"</formula>
    </cfRule>
  </conditionalFormatting>
  <conditionalFormatting sqref="C6 C8 C54">
    <cfRule type="cellIs" dxfId="1375" priority="1806" stopIfTrue="1" operator="equal">
      <formula>"Napkin Hs"</formula>
    </cfRule>
  </conditionalFormatting>
  <conditionalFormatting sqref="C6:C8">
    <cfRule type="cellIs" dxfId="1374" priority="1345" stopIfTrue="1" operator="equal">
      <formula>"Towel"</formula>
    </cfRule>
    <cfRule type="cellIs" dxfId="1373" priority="1346" stopIfTrue="1" operator="equal">
      <formula>"Napkin Hs"</formula>
    </cfRule>
  </conditionalFormatting>
  <conditionalFormatting sqref="C7">
    <cfRule type="cellIs" dxfId="1372" priority="1343" stopIfTrue="1" operator="equal">
      <formula>"Towel"</formula>
    </cfRule>
    <cfRule type="cellIs" dxfId="1371" priority="1344" stopIfTrue="1" operator="equal">
      <formula>"Napkin Hs"</formula>
    </cfRule>
  </conditionalFormatting>
  <conditionalFormatting sqref="C16:C17">
    <cfRule type="cellIs" dxfId="1370" priority="1339" stopIfTrue="1" operator="equal">
      <formula>"Towel"</formula>
    </cfRule>
    <cfRule type="cellIs" dxfId="1369" priority="1340" stopIfTrue="1" operator="equal">
      <formula>"Napkin Hs"</formula>
    </cfRule>
  </conditionalFormatting>
  <conditionalFormatting sqref="C13">
    <cfRule type="cellIs" dxfId="1368" priority="1321" stopIfTrue="1" operator="equal">
      <formula>"Towel"</formula>
    </cfRule>
    <cfRule type="cellIs" dxfId="1367" priority="1322" stopIfTrue="1" operator="equal">
      <formula>"Napkin Hs"</formula>
    </cfRule>
  </conditionalFormatting>
  <conditionalFormatting sqref="C16:C17">
    <cfRule type="cellIs" dxfId="1366" priority="1363" stopIfTrue="1" operator="equal">
      <formula>"Towel"</formula>
    </cfRule>
    <cfRule type="cellIs" dxfId="1365" priority="1364" stopIfTrue="1" operator="equal">
      <formula>"Napkin Hs"</formula>
    </cfRule>
  </conditionalFormatting>
  <conditionalFormatting sqref="C54 C6 C8">
    <cfRule type="cellIs" dxfId="1364" priority="1805" stopIfTrue="1" operator="equal">
      <formula>"Towel"</formula>
    </cfRule>
  </conditionalFormatting>
  <conditionalFormatting sqref="C49">
    <cfRule type="cellIs" dxfId="1363" priority="1697" stopIfTrue="1" operator="equal">
      <formula>"Towel"</formula>
    </cfRule>
    <cfRule type="cellIs" dxfId="1362" priority="1698" stopIfTrue="1" operator="equal">
      <formula>"Napkin Hs"</formula>
    </cfRule>
  </conditionalFormatting>
  <conditionalFormatting sqref="C49">
    <cfRule type="cellIs" dxfId="1361" priority="1703" stopIfTrue="1" operator="equal">
      <formula>"Towel"</formula>
    </cfRule>
    <cfRule type="cellIs" dxfId="1360" priority="1704" stopIfTrue="1" operator="equal">
      <formula>"Napkin Hs"</formula>
    </cfRule>
  </conditionalFormatting>
  <conditionalFormatting sqref="C54">
    <cfRule type="cellIs" dxfId="1359" priority="1691" stopIfTrue="1" operator="equal">
      <formula>"Towel"</formula>
    </cfRule>
    <cfRule type="cellIs" dxfId="1358" priority="1692" stopIfTrue="1" operator="equal">
      <formula>"Napkin Hs"</formula>
    </cfRule>
  </conditionalFormatting>
  <conditionalFormatting sqref="C148">
    <cfRule type="cellIs" dxfId="1357" priority="1389" stopIfTrue="1" operator="equal">
      <formula>"Towel"</formula>
    </cfRule>
    <cfRule type="cellIs" dxfId="1356" priority="1390" stopIfTrue="1" operator="equal">
      <formula>"Napkin Hs"</formula>
    </cfRule>
  </conditionalFormatting>
  <conditionalFormatting sqref="B15:C15">
    <cfRule type="cellIs" dxfId="1355" priority="1329" stopIfTrue="1" operator="equal">
      <formula>"Towel"</formula>
    </cfRule>
    <cfRule type="cellIs" dxfId="1354" priority="1330" stopIfTrue="1" operator="equal">
      <formula>"Napkin Hs"</formula>
    </cfRule>
  </conditionalFormatting>
  <conditionalFormatting sqref="B9:C9">
    <cfRule type="cellIs" dxfId="1353" priority="1319" stopIfTrue="1" operator="equal">
      <formula>"Towel"</formula>
    </cfRule>
    <cfRule type="cellIs" dxfId="1352" priority="1320" stopIfTrue="1" operator="equal">
      <formula>"Napkin Hs"</formula>
    </cfRule>
  </conditionalFormatting>
  <conditionalFormatting sqref="C15">
    <cfRule type="cellIs" dxfId="1351" priority="1328" stopIfTrue="1" operator="equal">
      <formula>"Napkin Hs"</formula>
    </cfRule>
  </conditionalFormatting>
  <conditionalFormatting sqref="C13 C15">
    <cfRule type="cellIs" dxfId="1350" priority="1323" stopIfTrue="1" operator="equal">
      <formula>"Towel"</formula>
    </cfRule>
    <cfRule type="cellIs" dxfId="1349" priority="1324" stopIfTrue="1" operator="equal">
      <formula>"Napkin Hs"</formula>
    </cfRule>
  </conditionalFormatting>
  <conditionalFormatting sqref="C9">
    <cfRule type="cellIs" dxfId="1348" priority="1315" stopIfTrue="1" operator="equal">
      <formula>"Towel"</formula>
    </cfRule>
    <cfRule type="cellIs" dxfId="1347" priority="1316" stopIfTrue="1" operator="equal">
      <formula>"Napkin Hs"</formula>
    </cfRule>
  </conditionalFormatting>
  <conditionalFormatting sqref="C15">
    <cfRule type="cellIs" dxfId="1346" priority="1327" stopIfTrue="1" operator="equal">
      <formula>"Towel"</formula>
    </cfRule>
  </conditionalFormatting>
  <conditionalFormatting sqref="C9">
    <cfRule type="cellIs" dxfId="1345" priority="1318" stopIfTrue="1" operator="equal">
      <formula>"Napkin Hs"</formula>
    </cfRule>
  </conditionalFormatting>
  <conditionalFormatting sqref="C9">
    <cfRule type="cellIs" dxfId="1344" priority="1317" stopIfTrue="1" operator="equal">
      <formula>"Towel"</formula>
    </cfRule>
  </conditionalFormatting>
  <conditionalFormatting sqref="B40:C40">
    <cfRule type="cellIs" dxfId="1343" priority="1269" stopIfTrue="1" operator="equal">
      <formula>"Towel"</formula>
    </cfRule>
    <cfRule type="cellIs" dxfId="1342" priority="1270" stopIfTrue="1" operator="equal">
      <formula>"Napkin Hs"</formula>
    </cfRule>
  </conditionalFormatting>
  <conditionalFormatting sqref="C40">
    <cfRule type="cellIs" dxfId="1341" priority="1265" stopIfTrue="1" operator="equal">
      <formula>"Towel"</formula>
    </cfRule>
    <cfRule type="cellIs" dxfId="1340" priority="1266" stopIfTrue="1" operator="equal">
      <formula>"Napkin Hs"</formula>
    </cfRule>
  </conditionalFormatting>
  <conditionalFormatting sqref="C40">
    <cfRule type="cellIs" dxfId="1339" priority="1267" stopIfTrue="1" operator="equal">
      <formula>"Towel"</formula>
    </cfRule>
    <cfRule type="cellIs" dxfId="1338" priority="1268" stopIfTrue="1" operator="equal">
      <formula>"Napkin Hs"</formula>
    </cfRule>
  </conditionalFormatting>
  <conditionalFormatting sqref="B44:C44">
    <cfRule type="cellIs" dxfId="1337" priority="1247" stopIfTrue="1" operator="equal">
      <formula>"Towel"</formula>
    </cfRule>
    <cfRule type="cellIs" dxfId="1336" priority="1248" stopIfTrue="1" operator="equal">
      <formula>"Napkin Hs"</formula>
    </cfRule>
  </conditionalFormatting>
  <conditionalFormatting sqref="C44">
    <cfRule type="cellIs" dxfId="1335" priority="1246" stopIfTrue="1" operator="equal">
      <formula>"Napkin Hs"</formula>
    </cfRule>
  </conditionalFormatting>
  <conditionalFormatting sqref="C44">
    <cfRule type="cellIs" dxfId="1334" priority="1243" stopIfTrue="1" operator="equal">
      <formula>"Towel"</formula>
    </cfRule>
    <cfRule type="cellIs" dxfId="1333" priority="1244" stopIfTrue="1" operator="equal">
      <formula>"Napkin Hs"</formula>
    </cfRule>
  </conditionalFormatting>
  <conditionalFormatting sqref="C44">
    <cfRule type="cellIs" dxfId="1332" priority="1245" stopIfTrue="1" operator="equal">
      <formula>"Towel"</formula>
    </cfRule>
  </conditionalFormatting>
  <conditionalFormatting sqref="B58:C58">
    <cfRule type="cellIs" dxfId="1331" priority="1225" stopIfTrue="1" operator="equal">
      <formula>"Towel"</formula>
    </cfRule>
    <cfRule type="cellIs" dxfId="1330" priority="1226" stopIfTrue="1" operator="equal">
      <formula>"Napkin Hs"</formula>
    </cfRule>
  </conditionalFormatting>
  <conditionalFormatting sqref="C58">
    <cfRule type="cellIs" dxfId="1329" priority="1224" stopIfTrue="1" operator="equal">
      <formula>"Napkin Hs"</formula>
    </cfRule>
  </conditionalFormatting>
  <conditionalFormatting sqref="C58">
    <cfRule type="cellIs" dxfId="1328" priority="1219" stopIfTrue="1" operator="equal">
      <formula>"Towel"</formula>
    </cfRule>
    <cfRule type="cellIs" dxfId="1327" priority="1220" stopIfTrue="1" operator="equal">
      <formula>"Napkin Hs"</formula>
    </cfRule>
  </conditionalFormatting>
  <conditionalFormatting sqref="C58">
    <cfRule type="cellIs" dxfId="1326" priority="1223" stopIfTrue="1" operator="equal">
      <formula>"Towel"</formula>
    </cfRule>
  </conditionalFormatting>
  <conditionalFormatting sqref="B63:C63">
    <cfRule type="cellIs" dxfId="1325" priority="1209" stopIfTrue="1" operator="equal">
      <formula>"Towel"</formula>
    </cfRule>
    <cfRule type="cellIs" dxfId="1324" priority="1210" stopIfTrue="1" operator="equal">
      <formula>"Napkin Hs"</formula>
    </cfRule>
  </conditionalFormatting>
  <conditionalFormatting sqref="C63">
    <cfRule type="cellIs" dxfId="1323" priority="1208" stopIfTrue="1" operator="equal">
      <formula>"Napkin Hs"</formula>
    </cfRule>
  </conditionalFormatting>
  <conditionalFormatting sqref="C63">
    <cfRule type="cellIs" dxfId="1322" priority="1203" stopIfTrue="1" operator="equal">
      <formula>"Towel"</formula>
    </cfRule>
    <cfRule type="cellIs" dxfId="1321" priority="1204" stopIfTrue="1" operator="equal">
      <formula>"Napkin Hs"</formula>
    </cfRule>
  </conditionalFormatting>
  <conditionalFormatting sqref="C63">
    <cfRule type="cellIs" dxfId="1320" priority="1207" stopIfTrue="1" operator="equal">
      <formula>"Towel"</formula>
    </cfRule>
  </conditionalFormatting>
  <conditionalFormatting sqref="B68:C68">
    <cfRule type="cellIs" dxfId="1319" priority="1187" stopIfTrue="1" operator="equal">
      <formula>"Towel"</formula>
    </cfRule>
    <cfRule type="cellIs" dxfId="1318" priority="1188" stopIfTrue="1" operator="equal">
      <formula>"Napkin Hs"</formula>
    </cfRule>
  </conditionalFormatting>
  <conditionalFormatting sqref="C68">
    <cfRule type="cellIs" dxfId="1317" priority="1186" stopIfTrue="1" operator="equal">
      <formula>"Napkin Hs"</formula>
    </cfRule>
  </conditionalFormatting>
  <conditionalFormatting sqref="C68">
    <cfRule type="cellIs" dxfId="1316" priority="1181" stopIfTrue="1" operator="equal">
      <formula>"Towel"</formula>
    </cfRule>
    <cfRule type="cellIs" dxfId="1315" priority="1182" stopIfTrue="1" operator="equal">
      <formula>"Napkin Hs"</formula>
    </cfRule>
  </conditionalFormatting>
  <conditionalFormatting sqref="C68">
    <cfRule type="cellIs" dxfId="1314" priority="1185" stopIfTrue="1" operator="equal">
      <formula>"Towel"</formula>
    </cfRule>
  </conditionalFormatting>
  <conditionalFormatting sqref="B83:C83">
    <cfRule type="cellIs" dxfId="1313" priority="1089" stopIfTrue="1" operator="equal">
      <formula>"Towel"</formula>
    </cfRule>
    <cfRule type="cellIs" dxfId="1312" priority="1090" stopIfTrue="1" operator="equal">
      <formula>"Napkin Hs"</formula>
    </cfRule>
  </conditionalFormatting>
  <conditionalFormatting sqref="C83">
    <cfRule type="cellIs" dxfId="1311" priority="1085" stopIfTrue="1" operator="equal">
      <formula>"Towel"</formula>
    </cfRule>
    <cfRule type="cellIs" dxfId="1310" priority="1086" stopIfTrue="1" operator="equal">
      <formula>"Napkin Hs"</formula>
    </cfRule>
  </conditionalFormatting>
  <conditionalFormatting sqref="C83">
    <cfRule type="cellIs" dxfId="1309" priority="1088" stopIfTrue="1" operator="equal">
      <formula>"Napkin Hs"</formula>
    </cfRule>
  </conditionalFormatting>
  <conditionalFormatting sqref="C83">
    <cfRule type="cellIs" dxfId="1308" priority="1087" stopIfTrue="1" operator="equal">
      <formula>"Towel"</formula>
    </cfRule>
  </conditionalFormatting>
  <conditionalFormatting sqref="B88:C88">
    <cfRule type="cellIs" dxfId="1307" priority="1071" stopIfTrue="1" operator="equal">
      <formula>"Towel"</formula>
    </cfRule>
    <cfRule type="cellIs" dxfId="1306" priority="1072" stopIfTrue="1" operator="equal">
      <formula>"Napkin Hs"</formula>
    </cfRule>
  </conditionalFormatting>
  <conditionalFormatting sqref="C88">
    <cfRule type="cellIs" dxfId="1305" priority="1067" stopIfTrue="1" operator="equal">
      <formula>"Towel"</formula>
    </cfRule>
    <cfRule type="cellIs" dxfId="1304" priority="1068" stopIfTrue="1" operator="equal">
      <formula>"Napkin Hs"</formula>
    </cfRule>
  </conditionalFormatting>
  <conditionalFormatting sqref="C88">
    <cfRule type="cellIs" dxfId="1303" priority="1070" stopIfTrue="1" operator="equal">
      <formula>"Napkin Hs"</formula>
    </cfRule>
  </conditionalFormatting>
  <conditionalFormatting sqref="C88">
    <cfRule type="cellIs" dxfId="1302" priority="1069" stopIfTrue="1" operator="equal">
      <formula>"Towel"</formula>
    </cfRule>
  </conditionalFormatting>
  <conditionalFormatting sqref="B98:C98">
    <cfRule type="cellIs" dxfId="1301" priority="1029" stopIfTrue="1" operator="equal">
      <formula>"Towel"</formula>
    </cfRule>
    <cfRule type="cellIs" dxfId="1300" priority="1030" stopIfTrue="1" operator="equal">
      <formula>"Napkin Hs"</formula>
    </cfRule>
  </conditionalFormatting>
  <conditionalFormatting sqref="C98">
    <cfRule type="cellIs" dxfId="1299" priority="1028" stopIfTrue="1" operator="equal">
      <formula>"Napkin Hs"</formula>
    </cfRule>
  </conditionalFormatting>
  <conditionalFormatting sqref="C98">
    <cfRule type="cellIs" dxfId="1298" priority="1025" stopIfTrue="1" operator="equal">
      <formula>"Towel"</formula>
    </cfRule>
    <cfRule type="cellIs" dxfId="1297" priority="1026" stopIfTrue="1" operator="equal">
      <formula>"Napkin Hs"</formula>
    </cfRule>
  </conditionalFormatting>
  <conditionalFormatting sqref="C98">
    <cfRule type="cellIs" dxfId="1296" priority="1027" stopIfTrue="1" operator="equal">
      <formula>"Towel"</formula>
    </cfRule>
  </conditionalFormatting>
  <conditionalFormatting sqref="B103:C103">
    <cfRule type="cellIs" dxfId="1295" priority="1011" stopIfTrue="1" operator="equal">
      <formula>"Towel"</formula>
    </cfRule>
    <cfRule type="cellIs" dxfId="1294" priority="1012" stopIfTrue="1" operator="equal">
      <formula>"Napkin Hs"</formula>
    </cfRule>
  </conditionalFormatting>
  <conditionalFormatting sqref="C103">
    <cfRule type="cellIs" dxfId="1293" priority="1010" stopIfTrue="1" operator="equal">
      <formula>"Napkin Hs"</formula>
    </cfRule>
  </conditionalFormatting>
  <conditionalFormatting sqref="C103">
    <cfRule type="cellIs" dxfId="1292" priority="1007" stopIfTrue="1" operator="equal">
      <formula>"Towel"</formula>
    </cfRule>
    <cfRule type="cellIs" dxfId="1291" priority="1008" stopIfTrue="1" operator="equal">
      <formula>"Napkin Hs"</formula>
    </cfRule>
  </conditionalFormatting>
  <conditionalFormatting sqref="C103">
    <cfRule type="cellIs" dxfId="1290" priority="1009" stopIfTrue="1" operator="equal">
      <formula>"Towel"</formula>
    </cfRule>
  </conditionalFormatting>
  <conditionalFormatting sqref="B108:C108">
    <cfRule type="cellIs" dxfId="1289" priority="993" stopIfTrue="1" operator="equal">
      <formula>"Towel"</formula>
    </cfRule>
    <cfRule type="cellIs" dxfId="1288" priority="994" stopIfTrue="1" operator="equal">
      <formula>"Napkin Hs"</formula>
    </cfRule>
  </conditionalFormatting>
  <conditionalFormatting sqref="C108">
    <cfRule type="cellIs" dxfId="1287" priority="992" stopIfTrue="1" operator="equal">
      <formula>"Napkin Hs"</formula>
    </cfRule>
  </conditionalFormatting>
  <conditionalFormatting sqref="C108">
    <cfRule type="cellIs" dxfId="1286" priority="989" stopIfTrue="1" operator="equal">
      <formula>"Towel"</formula>
    </cfRule>
    <cfRule type="cellIs" dxfId="1285" priority="990" stopIfTrue="1" operator="equal">
      <formula>"Napkin Hs"</formula>
    </cfRule>
  </conditionalFormatting>
  <conditionalFormatting sqref="C108">
    <cfRule type="cellIs" dxfId="1284" priority="991" stopIfTrue="1" operator="equal">
      <formula>"Towel"</formula>
    </cfRule>
  </conditionalFormatting>
  <conditionalFormatting sqref="B113:C113">
    <cfRule type="cellIs" dxfId="1283" priority="969" stopIfTrue="1" operator="equal">
      <formula>"Towel"</formula>
    </cfRule>
    <cfRule type="cellIs" dxfId="1282" priority="970" stopIfTrue="1" operator="equal">
      <formula>"Napkin Hs"</formula>
    </cfRule>
  </conditionalFormatting>
  <conditionalFormatting sqref="C113">
    <cfRule type="cellIs" dxfId="1281" priority="968" stopIfTrue="1" operator="equal">
      <formula>"Napkin Hs"</formula>
    </cfRule>
  </conditionalFormatting>
  <conditionalFormatting sqref="C113">
    <cfRule type="cellIs" dxfId="1280" priority="965" stopIfTrue="1" operator="equal">
      <formula>"Towel"</formula>
    </cfRule>
    <cfRule type="cellIs" dxfId="1279" priority="966" stopIfTrue="1" operator="equal">
      <formula>"Napkin Hs"</formula>
    </cfRule>
  </conditionalFormatting>
  <conditionalFormatting sqref="C113">
    <cfRule type="cellIs" dxfId="1278" priority="967" stopIfTrue="1" operator="equal">
      <formula>"Towel"</formula>
    </cfRule>
  </conditionalFormatting>
  <conditionalFormatting sqref="B118:C118">
    <cfRule type="cellIs" dxfId="1277" priority="951" stopIfTrue="1" operator="equal">
      <formula>"Towel"</formula>
    </cfRule>
    <cfRule type="cellIs" dxfId="1276" priority="952" stopIfTrue="1" operator="equal">
      <formula>"Napkin Hs"</formula>
    </cfRule>
  </conditionalFormatting>
  <conditionalFormatting sqref="C118">
    <cfRule type="cellIs" dxfId="1275" priority="950" stopIfTrue="1" operator="equal">
      <formula>"Napkin Hs"</formula>
    </cfRule>
  </conditionalFormatting>
  <conditionalFormatting sqref="C118">
    <cfRule type="cellIs" dxfId="1274" priority="947" stopIfTrue="1" operator="equal">
      <formula>"Towel"</formula>
    </cfRule>
    <cfRule type="cellIs" dxfId="1273" priority="948" stopIfTrue="1" operator="equal">
      <formula>"Napkin Hs"</formula>
    </cfRule>
  </conditionalFormatting>
  <conditionalFormatting sqref="C118">
    <cfRule type="cellIs" dxfId="1272" priority="949" stopIfTrue="1" operator="equal">
      <formula>"Towel"</formula>
    </cfRule>
  </conditionalFormatting>
  <conditionalFormatting sqref="B128:C128">
    <cfRule type="cellIs" dxfId="1271" priority="915" stopIfTrue="1" operator="equal">
      <formula>"Towel"</formula>
    </cfRule>
    <cfRule type="cellIs" dxfId="1270" priority="916" stopIfTrue="1" operator="equal">
      <formula>"Napkin Hs"</formula>
    </cfRule>
  </conditionalFormatting>
  <conditionalFormatting sqref="C128">
    <cfRule type="cellIs" dxfId="1269" priority="914" stopIfTrue="1" operator="equal">
      <formula>"Napkin Hs"</formula>
    </cfRule>
  </conditionalFormatting>
  <conditionalFormatting sqref="C128">
    <cfRule type="cellIs" dxfId="1268" priority="911" stopIfTrue="1" operator="equal">
      <formula>"Towel"</formula>
    </cfRule>
    <cfRule type="cellIs" dxfId="1267" priority="912" stopIfTrue="1" operator="equal">
      <formula>"Napkin Hs"</formula>
    </cfRule>
  </conditionalFormatting>
  <conditionalFormatting sqref="C128">
    <cfRule type="cellIs" dxfId="1266" priority="913" stopIfTrue="1" operator="equal">
      <formula>"Towel"</formula>
    </cfRule>
  </conditionalFormatting>
  <conditionalFormatting sqref="B133:C133">
    <cfRule type="cellIs" dxfId="1265" priority="885" stopIfTrue="1" operator="equal">
      <formula>"Towel"</formula>
    </cfRule>
    <cfRule type="cellIs" dxfId="1264" priority="886" stopIfTrue="1" operator="equal">
      <formula>"Napkin Hs"</formula>
    </cfRule>
  </conditionalFormatting>
  <conditionalFormatting sqref="C133">
    <cfRule type="cellIs" dxfId="1263" priority="881" stopIfTrue="1" operator="equal">
      <formula>"Towel"</formula>
    </cfRule>
    <cfRule type="cellIs" dxfId="1262" priority="882" stopIfTrue="1" operator="equal">
      <formula>"Napkin Hs"</formula>
    </cfRule>
  </conditionalFormatting>
  <conditionalFormatting sqref="C133">
    <cfRule type="cellIs" dxfId="1261" priority="884" stopIfTrue="1" operator="equal">
      <formula>"Napkin Hs"</formula>
    </cfRule>
  </conditionalFormatting>
  <conditionalFormatting sqref="C133">
    <cfRule type="cellIs" dxfId="1260" priority="883" stopIfTrue="1" operator="equal">
      <formula>"Towel"</formula>
    </cfRule>
  </conditionalFormatting>
  <conditionalFormatting sqref="B138:C138">
    <cfRule type="cellIs" dxfId="1259" priority="861" stopIfTrue="1" operator="equal">
      <formula>"Towel"</formula>
    </cfRule>
    <cfRule type="cellIs" dxfId="1258" priority="862" stopIfTrue="1" operator="equal">
      <formula>"Napkin Hs"</formula>
    </cfRule>
  </conditionalFormatting>
  <conditionalFormatting sqref="C138">
    <cfRule type="cellIs" dxfId="1257" priority="860" stopIfTrue="1" operator="equal">
      <formula>"Napkin Hs"</formula>
    </cfRule>
  </conditionalFormatting>
  <conditionalFormatting sqref="C138">
    <cfRule type="cellIs" dxfId="1256" priority="857" stopIfTrue="1" operator="equal">
      <formula>"Towel"</formula>
    </cfRule>
    <cfRule type="cellIs" dxfId="1255" priority="858" stopIfTrue="1" operator="equal">
      <formula>"Napkin Hs"</formula>
    </cfRule>
  </conditionalFormatting>
  <conditionalFormatting sqref="C138">
    <cfRule type="cellIs" dxfId="1254" priority="859" stopIfTrue="1" operator="equal">
      <formula>"Towel"</formula>
    </cfRule>
  </conditionalFormatting>
  <conditionalFormatting sqref="B16:C16">
    <cfRule type="cellIs" dxfId="1253" priority="789" stopIfTrue="1" operator="equal">
      <formula>"Towel"</formula>
    </cfRule>
    <cfRule type="cellIs" dxfId="1252" priority="790" stopIfTrue="1" operator="equal">
      <formula>"Napkin Hs"</formula>
    </cfRule>
  </conditionalFormatting>
  <conditionalFormatting sqref="B13:C13">
    <cfRule type="cellIs" dxfId="1251" priority="785" stopIfTrue="1" operator="equal">
      <formula>"Towel"</formula>
    </cfRule>
    <cfRule type="cellIs" dxfId="1250" priority="786" stopIfTrue="1" operator="equal">
      <formula>"Napkin Hs"</formula>
    </cfRule>
  </conditionalFormatting>
  <conditionalFormatting sqref="B17:C17">
    <cfRule type="cellIs" dxfId="1249" priority="779" stopIfTrue="1" operator="equal">
      <formula>"Towel"</formula>
    </cfRule>
    <cfRule type="cellIs" dxfId="1248" priority="780" stopIfTrue="1" operator="equal">
      <formula>"Napkin Hs"</formula>
    </cfRule>
  </conditionalFormatting>
  <conditionalFormatting sqref="C16">
    <cfRule type="cellIs" dxfId="1247" priority="788" stopIfTrue="1" operator="equal">
      <formula>"Napkin Hs"</formula>
    </cfRule>
  </conditionalFormatting>
  <conditionalFormatting sqref="C13 C16">
    <cfRule type="cellIs" dxfId="1246" priority="783" stopIfTrue="1" operator="equal">
      <formula>"Towel"</formula>
    </cfRule>
    <cfRule type="cellIs" dxfId="1245" priority="784" stopIfTrue="1" operator="equal">
      <formula>"Napkin Hs"</formula>
    </cfRule>
  </conditionalFormatting>
  <conditionalFormatting sqref="C13">
    <cfRule type="cellIs" dxfId="1244" priority="781" stopIfTrue="1" operator="equal">
      <formula>"Towel"</formula>
    </cfRule>
    <cfRule type="cellIs" dxfId="1243" priority="782" stopIfTrue="1" operator="equal">
      <formula>"Napkin Hs"</formula>
    </cfRule>
  </conditionalFormatting>
  <conditionalFormatting sqref="C17">
    <cfRule type="cellIs" dxfId="1242" priority="777" stopIfTrue="1" operator="equal">
      <formula>"Towel"</formula>
    </cfRule>
    <cfRule type="cellIs" dxfId="1241" priority="778" stopIfTrue="1" operator="equal">
      <formula>"Napkin Hs"</formula>
    </cfRule>
  </conditionalFormatting>
  <conditionalFormatting sqref="C16">
    <cfRule type="cellIs" dxfId="1240" priority="787" stopIfTrue="1" operator="equal">
      <formula>"Towel"</formula>
    </cfRule>
  </conditionalFormatting>
  <conditionalFormatting sqref="B15:C15">
    <cfRule type="cellIs" dxfId="1239" priority="769" stopIfTrue="1" operator="equal">
      <formula>"Towel"</formula>
    </cfRule>
    <cfRule type="cellIs" dxfId="1238" priority="770" stopIfTrue="1" operator="equal">
      <formula>"Napkin Hs"</formula>
    </cfRule>
  </conditionalFormatting>
  <conditionalFormatting sqref="C15">
    <cfRule type="cellIs" dxfId="1237" priority="765" stopIfTrue="1" operator="equal">
      <formula>"Towel"</formula>
    </cfRule>
    <cfRule type="cellIs" dxfId="1236" priority="766" stopIfTrue="1" operator="equal">
      <formula>"Napkin Hs"</formula>
    </cfRule>
  </conditionalFormatting>
  <conditionalFormatting sqref="C15">
    <cfRule type="cellIs" dxfId="1235" priority="768" stopIfTrue="1" operator="equal">
      <formula>"Napkin Hs"</formula>
    </cfRule>
  </conditionalFormatting>
  <conditionalFormatting sqref="C15">
    <cfRule type="cellIs" dxfId="1234" priority="767" stopIfTrue="1" operator="equal">
      <formula>"Towel"</formula>
    </cfRule>
  </conditionalFormatting>
  <conditionalFormatting sqref="B21:C21">
    <cfRule type="cellIs" dxfId="1233" priority="763" stopIfTrue="1" operator="equal">
      <formula>"Towel"</formula>
    </cfRule>
    <cfRule type="cellIs" dxfId="1232" priority="764" stopIfTrue="1" operator="equal">
      <formula>"Napkin Hs"</formula>
    </cfRule>
  </conditionalFormatting>
  <conditionalFormatting sqref="C21">
    <cfRule type="cellIs" dxfId="1231" priority="762" stopIfTrue="1" operator="equal">
      <formula>"Napkin Hs"</formula>
    </cfRule>
  </conditionalFormatting>
  <conditionalFormatting sqref="C21">
    <cfRule type="cellIs" dxfId="1230" priority="757" stopIfTrue="1" operator="equal">
      <formula>"Towel"</formula>
    </cfRule>
    <cfRule type="cellIs" dxfId="1229" priority="758" stopIfTrue="1" operator="equal">
      <formula>"Napkin Hs"</formula>
    </cfRule>
  </conditionalFormatting>
  <conditionalFormatting sqref="C21">
    <cfRule type="cellIs" dxfId="1228" priority="761" stopIfTrue="1" operator="equal">
      <formula>"Towel"</formula>
    </cfRule>
  </conditionalFormatting>
  <conditionalFormatting sqref="B21:C21">
    <cfRule type="cellIs" dxfId="1227" priority="743" stopIfTrue="1" operator="equal">
      <formula>"Towel"</formula>
    </cfRule>
    <cfRule type="cellIs" dxfId="1226" priority="744" stopIfTrue="1" operator="equal">
      <formula>"Napkin Hs"</formula>
    </cfRule>
  </conditionalFormatting>
  <conditionalFormatting sqref="C21">
    <cfRule type="cellIs" dxfId="1225" priority="739" stopIfTrue="1" operator="equal">
      <formula>"Towel"</formula>
    </cfRule>
    <cfRule type="cellIs" dxfId="1224" priority="740" stopIfTrue="1" operator="equal">
      <formula>"Napkin Hs"</formula>
    </cfRule>
  </conditionalFormatting>
  <conditionalFormatting sqref="C21">
    <cfRule type="cellIs" dxfId="1223" priority="742" stopIfTrue="1" operator="equal">
      <formula>"Napkin Hs"</formula>
    </cfRule>
  </conditionalFormatting>
  <conditionalFormatting sqref="C21">
    <cfRule type="cellIs" dxfId="1222" priority="741" stopIfTrue="1" operator="equal">
      <formula>"Towel"</formula>
    </cfRule>
  </conditionalFormatting>
  <conditionalFormatting sqref="B25:C25">
    <cfRule type="cellIs" dxfId="1221" priority="737" stopIfTrue="1" operator="equal">
      <formula>"Towel"</formula>
    </cfRule>
    <cfRule type="cellIs" dxfId="1220" priority="738" stopIfTrue="1" operator="equal">
      <formula>"Napkin Hs"</formula>
    </cfRule>
  </conditionalFormatting>
  <conditionalFormatting sqref="C25">
    <cfRule type="cellIs" dxfId="1219" priority="736" stopIfTrue="1" operator="equal">
      <formula>"Napkin Hs"</formula>
    </cfRule>
  </conditionalFormatting>
  <conditionalFormatting sqref="C25">
    <cfRule type="cellIs" dxfId="1218" priority="731" stopIfTrue="1" operator="equal">
      <formula>"Towel"</formula>
    </cfRule>
    <cfRule type="cellIs" dxfId="1217" priority="732" stopIfTrue="1" operator="equal">
      <formula>"Napkin Hs"</formula>
    </cfRule>
  </conditionalFormatting>
  <conditionalFormatting sqref="C25">
    <cfRule type="cellIs" dxfId="1216" priority="735" stopIfTrue="1" operator="equal">
      <formula>"Towel"</formula>
    </cfRule>
  </conditionalFormatting>
  <conditionalFormatting sqref="B25:C25">
    <cfRule type="cellIs" dxfId="1215" priority="727" stopIfTrue="1" operator="equal">
      <formula>"Towel"</formula>
    </cfRule>
    <cfRule type="cellIs" dxfId="1214" priority="728" stopIfTrue="1" operator="equal">
      <formula>"Napkin Hs"</formula>
    </cfRule>
  </conditionalFormatting>
  <conditionalFormatting sqref="C25">
    <cfRule type="cellIs" dxfId="1213" priority="726" stopIfTrue="1" operator="equal">
      <formula>"Napkin Hs"</formula>
    </cfRule>
  </conditionalFormatting>
  <conditionalFormatting sqref="C25">
    <cfRule type="cellIs" dxfId="1212" priority="721" stopIfTrue="1" operator="equal">
      <formula>"Towel"</formula>
    </cfRule>
    <cfRule type="cellIs" dxfId="1211" priority="722" stopIfTrue="1" operator="equal">
      <formula>"Napkin Hs"</formula>
    </cfRule>
  </conditionalFormatting>
  <conditionalFormatting sqref="C25">
    <cfRule type="cellIs" dxfId="1210" priority="725" stopIfTrue="1" operator="equal">
      <formula>"Towel"</formula>
    </cfRule>
  </conditionalFormatting>
  <conditionalFormatting sqref="B30:C30">
    <cfRule type="cellIs" dxfId="1209" priority="693" stopIfTrue="1" operator="equal">
      <formula>"Towel"</formula>
    </cfRule>
    <cfRule type="cellIs" dxfId="1208" priority="694" stopIfTrue="1" operator="equal">
      <formula>"Napkin Hs"</formula>
    </cfRule>
  </conditionalFormatting>
  <conditionalFormatting sqref="C30">
    <cfRule type="cellIs" dxfId="1207" priority="692" stopIfTrue="1" operator="equal">
      <formula>"Napkin Hs"</formula>
    </cfRule>
  </conditionalFormatting>
  <conditionalFormatting sqref="C30">
    <cfRule type="cellIs" dxfId="1206" priority="687" stopIfTrue="1" operator="equal">
      <formula>"Towel"</formula>
    </cfRule>
    <cfRule type="cellIs" dxfId="1205" priority="688" stopIfTrue="1" operator="equal">
      <formula>"Napkin Hs"</formula>
    </cfRule>
  </conditionalFormatting>
  <conditionalFormatting sqref="C30">
    <cfRule type="cellIs" dxfId="1204" priority="691" stopIfTrue="1" operator="equal">
      <formula>"Towel"</formula>
    </cfRule>
  </conditionalFormatting>
  <conditionalFormatting sqref="B30:C30">
    <cfRule type="cellIs" dxfId="1203" priority="683" stopIfTrue="1" operator="equal">
      <formula>"Towel"</formula>
    </cfRule>
    <cfRule type="cellIs" dxfId="1202" priority="684" stopIfTrue="1" operator="equal">
      <formula>"Napkin Hs"</formula>
    </cfRule>
  </conditionalFormatting>
  <conditionalFormatting sqref="C30">
    <cfRule type="cellIs" dxfId="1201" priority="682" stopIfTrue="1" operator="equal">
      <formula>"Napkin Hs"</formula>
    </cfRule>
  </conditionalFormatting>
  <conditionalFormatting sqref="C30">
    <cfRule type="cellIs" dxfId="1200" priority="677" stopIfTrue="1" operator="equal">
      <formula>"Towel"</formula>
    </cfRule>
    <cfRule type="cellIs" dxfId="1199" priority="678" stopIfTrue="1" operator="equal">
      <formula>"Napkin Hs"</formula>
    </cfRule>
  </conditionalFormatting>
  <conditionalFormatting sqref="C30">
    <cfRule type="cellIs" dxfId="1198" priority="681" stopIfTrue="1" operator="equal">
      <formula>"Towel"</formula>
    </cfRule>
  </conditionalFormatting>
  <conditionalFormatting sqref="B35:C35">
    <cfRule type="cellIs" dxfId="1197" priority="643" stopIfTrue="1" operator="equal">
      <formula>"Towel"</formula>
    </cfRule>
    <cfRule type="cellIs" dxfId="1196" priority="644" stopIfTrue="1" operator="equal">
      <formula>"Napkin Hs"</formula>
    </cfRule>
  </conditionalFormatting>
  <conditionalFormatting sqref="C35">
    <cfRule type="cellIs" dxfId="1195" priority="642" stopIfTrue="1" operator="equal">
      <formula>"Napkin Hs"</formula>
    </cfRule>
  </conditionalFormatting>
  <conditionalFormatting sqref="C35">
    <cfRule type="cellIs" dxfId="1194" priority="637" stopIfTrue="1" operator="equal">
      <formula>"Towel"</formula>
    </cfRule>
    <cfRule type="cellIs" dxfId="1193" priority="638" stopIfTrue="1" operator="equal">
      <formula>"Napkin Hs"</formula>
    </cfRule>
  </conditionalFormatting>
  <conditionalFormatting sqref="C35">
    <cfRule type="cellIs" dxfId="1192" priority="641" stopIfTrue="1" operator="equal">
      <formula>"Towel"</formula>
    </cfRule>
  </conditionalFormatting>
  <conditionalFormatting sqref="B35:C35">
    <cfRule type="cellIs" dxfId="1191" priority="633" stopIfTrue="1" operator="equal">
      <formula>"Towel"</formula>
    </cfRule>
    <cfRule type="cellIs" dxfId="1190" priority="634" stopIfTrue="1" operator="equal">
      <formula>"Napkin Hs"</formula>
    </cfRule>
  </conditionalFormatting>
  <conditionalFormatting sqref="C35">
    <cfRule type="cellIs" dxfId="1189" priority="632" stopIfTrue="1" operator="equal">
      <formula>"Napkin Hs"</formula>
    </cfRule>
  </conditionalFormatting>
  <conditionalFormatting sqref="C35">
    <cfRule type="cellIs" dxfId="1188" priority="627" stopIfTrue="1" operator="equal">
      <formula>"Towel"</formula>
    </cfRule>
    <cfRule type="cellIs" dxfId="1187" priority="628" stopIfTrue="1" operator="equal">
      <formula>"Napkin Hs"</formula>
    </cfRule>
  </conditionalFormatting>
  <conditionalFormatting sqref="C35">
    <cfRule type="cellIs" dxfId="1186" priority="631" stopIfTrue="1" operator="equal">
      <formula>"Towel"</formula>
    </cfRule>
  </conditionalFormatting>
  <conditionalFormatting sqref="B10:C12">
    <cfRule type="cellIs" dxfId="1185" priority="593" stopIfTrue="1" operator="equal">
      <formula>"Towel"</formula>
    </cfRule>
    <cfRule type="cellIs" dxfId="1184" priority="594" stopIfTrue="1" operator="equal">
      <formula>"Napkin Hs"</formula>
    </cfRule>
  </conditionalFormatting>
  <conditionalFormatting sqref="C10:C12">
    <cfRule type="cellIs" dxfId="1183" priority="592" stopIfTrue="1" operator="equal">
      <formula>"Napkin Hs"</formula>
    </cfRule>
  </conditionalFormatting>
  <conditionalFormatting sqref="C10:C12">
    <cfRule type="cellIs" dxfId="1182" priority="587" stopIfTrue="1" operator="equal">
      <formula>"Towel"</formula>
    </cfRule>
    <cfRule type="cellIs" dxfId="1181" priority="588" stopIfTrue="1" operator="equal">
      <formula>"Napkin Hs"</formula>
    </cfRule>
  </conditionalFormatting>
  <conditionalFormatting sqref="C10:C12">
    <cfRule type="cellIs" dxfId="1180" priority="591" stopIfTrue="1" operator="equal">
      <formula>"Towel"</formula>
    </cfRule>
  </conditionalFormatting>
  <conditionalFormatting sqref="B17:C17">
    <cfRule type="cellIs" dxfId="1179" priority="579" stopIfTrue="1" operator="equal">
      <formula>"Towel"</formula>
    </cfRule>
    <cfRule type="cellIs" dxfId="1178" priority="580" stopIfTrue="1" operator="equal">
      <formula>"Napkin Hs"</formula>
    </cfRule>
  </conditionalFormatting>
  <conditionalFormatting sqref="C17">
    <cfRule type="cellIs" dxfId="1177" priority="575" stopIfTrue="1" operator="equal">
      <formula>"Towel"</formula>
    </cfRule>
    <cfRule type="cellIs" dxfId="1176" priority="576" stopIfTrue="1" operator="equal">
      <formula>"Napkin Hs"</formula>
    </cfRule>
  </conditionalFormatting>
  <conditionalFormatting sqref="C17">
    <cfRule type="cellIs" dxfId="1175" priority="577" stopIfTrue="1" operator="equal">
      <formula>"Towel"</formula>
    </cfRule>
    <cfRule type="cellIs" dxfId="1174" priority="578" stopIfTrue="1" operator="equal">
      <formula>"Napkin Hs"</formula>
    </cfRule>
  </conditionalFormatting>
  <conditionalFormatting sqref="B17:C17">
    <cfRule type="cellIs" dxfId="1173" priority="569" stopIfTrue="1" operator="equal">
      <formula>"Towel"</formula>
    </cfRule>
    <cfRule type="cellIs" dxfId="1172" priority="570" stopIfTrue="1" operator="equal">
      <formula>"Napkin Hs"</formula>
    </cfRule>
  </conditionalFormatting>
  <conditionalFormatting sqref="C17">
    <cfRule type="cellIs" dxfId="1171" priority="567" stopIfTrue="1" operator="equal">
      <formula>"Towel"</formula>
    </cfRule>
    <cfRule type="cellIs" dxfId="1170" priority="568" stopIfTrue="1" operator="equal">
      <formula>"Napkin Hs"</formula>
    </cfRule>
  </conditionalFormatting>
  <conditionalFormatting sqref="C17">
    <cfRule type="cellIs" dxfId="1169" priority="565" stopIfTrue="1" operator="equal">
      <formula>"Towel"</formula>
    </cfRule>
    <cfRule type="cellIs" dxfId="1168" priority="566" stopIfTrue="1" operator="equal">
      <formula>"Napkin Hs"</formula>
    </cfRule>
  </conditionalFormatting>
  <conditionalFormatting sqref="B15:C16">
    <cfRule type="cellIs" dxfId="1167" priority="563" stopIfTrue="1" operator="equal">
      <formula>"Towel"</formula>
    </cfRule>
    <cfRule type="cellIs" dxfId="1166" priority="564" stopIfTrue="1" operator="equal">
      <formula>"Napkin Hs"</formula>
    </cfRule>
  </conditionalFormatting>
  <conditionalFormatting sqref="C15:C16">
    <cfRule type="cellIs" dxfId="1165" priority="562" stopIfTrue="1" operator="equal">
      <formula>"Napkin Hs"</formula>
    </cfRule>
  </conditionalFormatting>
  <conditionalFormatting sqref="C15:C16">
    <cfRule type="cellIs" dxfId="1164" priority="559" stopIfTrue="1" operator="equal">
      <formula>"Towel"</formula>
    </cfRule>
    <cfRule type="cellIs" dxfId="1163" priority="560" stopIfTrue="1" operator="equal">
      <formula>"Napkin Hs"</formula>
    </cfRule>
  </conditionalFormatting>
  <conditionalFormatting sqref="C15:C16">
    <cfRule type="cellIs" dxfId="1162" priority="561" stopIfTrue="1" operator="equal">
      <formula>"Towel"</formula>
    </cfRule>
  </conditionalFormatting>
  <conditionalFormatting sqref="B14:C14">
    <cfRule type="cellIs" dxfId="1161" priority="557" stopIfTrue="1" operator="equal">
      <formula>"Towel"</formula>
    </cfRule>
    <cfRule type="cellIs" dxfId="1160" priority="558" stopIfTrue="1" operator="equal">
      <formula>"Napkin Hs"</formula>
    </cfRule>
  </conditionalFormatting>
  <conditionalFormatting sqref="C14">
    <cfRule type="cellIs" dxfId="1159" priority="556" stopIfTrue="1" operator="equal">
      <formula>"Napkin Hs"</formula>
    </cfRule>
  </conditionalFormatting>
  <conditionalFormatting sqref="C14">
    <cfRule type="cellIs" dxfId="1158" priority="553" stopIfTrue="1" operator="equal">
      <formula>"Towel"</formula>
    </cfRule>
    <cfRule type="cellIs" dxfId="1157" priority="554" stopIfTrue="1" operator="equal">
      <formula>"Napkin Hs"</formula>
    </cfRule>
  </conditionalFormatting>
  <conditionalFormatting sqref="C14">
    <cfRule type="cellIs" dxfId="1156" priority="555" stopIfTrue="1" operator="equal">
      <formula>"Towel"</formula>
    </cfRule>
  </conditionalFormatting>
  <conditionalFormatting sqref="B18:C20">
    <cfRule type="cellIs" dxfId="1155" priority="551" stopIfTrue="1" operator="equal">
      <formula>"Towel"</formula>
    </cfRule>
    <cfRule type="cellIs" dxfId="1154" priority="552" stopIfTrue="1" operator="equal">
      <formula>"Napkin Hs"</formula>
    </cfRule>
  </conditionalFormatting>
  <conditionalFormatting sqref="C18:C20">
    <cfRule type="cellIs" dxfId="1153" priority="550" stopIfTrue="1" operator="equal">
      <formula>"Napkin Hs"</formula>
    </cfRule>
  </conditionalFormatting>
  <conditionalFormatting sqref="C18:C20">
    <cfRule type="cellIs" dxfId="1152" priority="547" stopIfTrue="1" operator="equal">
      <formula>"Towel"</formula>
    </cfRule>
    <cfRule type="cellIs" dxfId="1151" priority="548" stopIfTrue="1" operator="equal">
      <formula>"Napkin Hs"</formula>
    </cfRule>
  </conditionalFormatting>
  <conditionalFormatting sqref="C18:C20">
    <cfRule type="cellIs" dxfId="1150" priority="549" stopIfTrue="1" operator="equal">
      <formula>"Towel"</formula>
    </cfRule>
  </conditionalFormatting>
  <conditionalFormatting sqref="B22:C24">
    <cfRule type="cellIs" dxfId="1149" priority="545" stopIfTrue="1" operator="equal">
      <formula>"Towel"</formula>
    </cfRule>
    <cfRule type="cellIs" dxfId="1148" priority="546" stopIfTrue="1" operator="equal">
      <formula>"Napkin Hs"</formula>
    </cfRule>
  </conditionalFormatting>
  <conditionalFormatting sqref="C22:C24">
    <cfRule type="cellIs" dxfId="1147" priority="544" stopIfTrue="1" operator="equal">
      <formula>"Napkin Hs"</formula>
    </cfRule>
  </conditionalFormatting>
  <conditionalFormatting sqref="C22:C24">
    <cfRule type="cellIs" dxfId="1146" priority="541" stopIfTrue="1" operator="equal">
      <formula>"Towel"</formula>
    </cfRule>
    <cfRule type="cellIs" dxfId="1145" priority="542" stopIfTrue="1" operator="equal">
      <formula>"Napkin Hs"</formula>
    </cfRule>
  </conditionalFormatting>
  <conditionalFormatting sqref="C22:C24">
    <cfRule type="cellIs" dxfId="1144" priority="543" stopIfTrue="1" operator="equal">
      <formula>"Towel"</formula>
    </cfRule>
  </conditionalFormatting>
  <conditionalFormatting sqref="B26:C29">
    <cfRule type="cellIs" dxfId="1143" priority="539" stopIfTrue="1" operator="equal">
      <formula>"Towel"</formula>
    </cfRule>
    <cfRule type="cellIs" dxfId="1142" priority="540" stopIfTrue="1" operator="equal">
      <formula>"Napkin Hs"</formula>
    </cfRule>
  </conditionalFormatting>
  <conditionalFormatting sqref="C26:C29">
    <cfRule type="cellIs" dxfId="1141" priority="538" stopIfTrue="1" operator="equal">
      <formula>"Napkin Hs"</formula>
    </cfRule>
  </conditionalFormatting>
  <conditionalFormatting sqref="C26:C29">
    <cfRule type="cellIs" dxfId="1140" priority="535" stopIfTrue="1" operator="equal">
      <formula>"Towel"</formula>
    </cfRule>
    <cfRule type="cellIs" dxfId="1139" priority="536" stopIfTrue="1" operator="equal">
      <formula>"Napkin Hs"</formula>
    </cfRule>
  </conditionalFormatting>
  <conditionalFormatting sqref="C26:C29">
    <cfRule type="cellIs" dxfId="1138" priority="537" stopIfTrue="1" operator="equal">
      <formula>"Towel"</formula>
    </cfRule>
  </conditionalFormatting>
  <conditionalFormatting sqref="B31:C34">
    <cfRule type="cellIs" dxfId="1137" priority="533" stopIfTrue="1" operator="equal">
      <formula>"Towel"</formula>
    </cfRule>
    <cfRule type="cellIs" dxfId="1136" priority="534" stopIfTrue="1" operator="equal">
      <formula>"Napkin Hs"</formula>
    </cfRule>
  </conditionalFormatting>
  <conditionalFormatting sqref="C31:C34">
    <cfRule type="cellIs" dxfId="1135" priority="532" stopIfTrue="1" operator="equal">
      <formula>"Napkin Hs"</formula>
    </cfRule>
  </conditionalFormatting>
  <conditionalFormatting sqref="C31:C34">
    <cfRule type="cellIs" dxfId="1134" priority="529" stopIfTrue="1" operator="equal">
      <formula>"Towel"</formula>
    </cfRule>
    <cfRule type="cellIs" dxfId="1133" priority="530" stopIfTrue="1" operator="equal">
      <formula>"Napkin Hs"</formula>
    </cfRule>
  </conditionalFormatting>
  <conditionalFormatting sqref="C31:C34">
    <cfRule type="cellIs" dxfId="1132" priority="531" stopIfTrue="1" operator="equal">
      <formula>"Towel"</formula>
    </cfRule>
  </conditionalFormatting>
  <conditionalFormatting sqref="B37:C38">
    <cfRule type="cellIs" dxfId="1131" priority="527" stopIfTrue="1" operator="equal">
      <formula>"Towel"</formula>
    </cfRule>
    <cfRule type="cellIs" dxfId="1130" priority="528" stopIfTrue="1" operator="equal">
      <formula>"Napkin Hs"</formula>
    </cfRule>
  </conditionalFormatting>
  <conditionalFormatting sqref="C37:C38">
    <cfRule type="cellIs" dxfId="1129" priority="526" stopIfTrue="1" operator="equal">
      <formula>"Napkin Hs"</formula>
    </cfRule>
  </conditionalFormatting>
  <conditionalFormatting sqref="C37:C38">
    <cfRule type="cellIs" dxfId="1128" priority="523" stopIfTrue="1" operator="equal">
      <formula>"Towel"</formula>
    </cfRule>
    <cfRule type="cellIs" dxfId="1127" priority="524" stopIfTrue="1" operator="equal">
      <formula>"Napkin Hs"</formula>
    </cfRule>
  </conditionalFormatting>
  <conditionalFormatting sqref="C37:C38">
    <cfRule type="cellIs" dxfId="1126" priority="525" stopIfTrue="1" operator="equal">
      <formula>"Towel"</formula>
    </cfRule>
  </conditionalFormatting>
  <conditionalFormatting sqref="B36:C36">
    <cfRule type="cellIs" dxfId="1125" priority="521" stopIfTrue="1" operator="equal">
      <formula>"Towel"</formula>
    </cfRule>
    <cfRule type="cellIs" dxfId="1124" priority="522" stopIfTrue="1" operator="equal">
      <formula>"Napkin Hs"</formula>
    </cfRule>
  </conditionalFormatting>
  <conditionalFormatting sqref="C36">
    <cfRule type="cellIs" dxfId="1123" priority="520" stopIfTrue="1" operator="equal">
      <formula>"Napkin Hs"</formula>
    </cfRule>
  </conditionalFormatting>
  <conditionalFormatting sqref="C36">
    <cfRule type="cellIs" dxfId="1122" priority="517" stopIfTrue="1" operator="equal">
      <formula>"Towel"</formula>
    </cfRule>
    <cfRule type="cellIs" dxfId="1121" priority="518" stopIfTrue="1" operator="equal">
      <formula>"Napkin Hs"</formula>
    </cfRule>
  </conditionalFormatting>
  <conditionalFormatting sqref="C36">
    <cfRule type="cellIs" dxfId="1120" priority="519" stopIfTrue="1" operator="equal">
      <formula>"Towel"</formula>
    </cfRule>
  </conditionalFormatting>
  <conditionalFormatting sqref="B39:C39">
    <cfRule type="cellIs" dxfId="1119" priority="515" stopIfTrue="1" operator="equal">
      <formula>"Towel"</formula>
    </cfRule>
    <cfRule type="cellIs" dxfId="1118" priority="516" stopIfTrue="1" operator="equal">
      <formula>"Napkin Hs"</formula>
    </cfRule>
  </conditionalFormatting>
  <conditionalFormatting sqref="C39">
    <cfRule type="cellIs" dxfId="1117" priority="514" stopIfTrue="1" operator="equal">
      <formula>"Napkin Hs"</formula>
    </cfRule>
  </conditionalFormatting>
  <conditionalFormatting sqref="C39">
    <cfRule type="cellIs" dxfId="1116" priority="511" stopIfTrue="1" operator="equal">
      <formula>"Towel"</formula>
    </cfRule>
    <cfRule type="cellIs" dxfId="1115" priority="512" stopIfTrue="1" operator="equal">
      <formula>"Napkin Hs"</formula>
    </cfRule>
  </conditionalFormatting>
  <conditionalFormatting sqref="C39">
    <cfRule type="cellIs" dxfId="1114" priority="513" stopIfTrue="1" operator="equal">
      <formula>"Towel"</formula>
    </cfRule>
  </conditionalFormatting>
  <conditionalFormatting sqref="B43:C43">
    <cfRule type="cellIs" dxfId="1113" priority="509" stopIfTrue="1" operator="equal">
      <formula>"Towel"</formula>
    </cfRule>
    <cfRule type="cellIs" dxfId="1112" priority="510" stopIfTrue="1" operator="equal">
      <formula>"Napkin Hs"</formula>
    </cfRule>
  </conditionalFormatting>
  <conditionalFormatting sqref="C43">
    <cfRule type="cellIs" dxfId="1111" priority="508" stopIfTrue="1" operator="equal">
      <formula>"Napkin Hs"</formula>
    </cfRule>
  </conditionalFormatting>
  <conditionalFormatting sqref="C43">
    <cfRule type="cellIs" dxfId="1110" priority="505" stopIfTrue="1" operator="equal">
      <formula>"Towel"</formula>
    </cfRule>
    <cfRule type="cellIs" dxfId="1109" priority="506" stopIfTrue="1" operator="equal">
      <formula>"Napkin Hs"</formula>
    </cfRule>
  </conditionalFormatting>
  <conditionalFormatting sqref="C43">
    <cfRule type="cellIs" dxfId="1108" priority="507" stopIfTrue="1" operator="equal">
      <formula>"Towel"</formula>
    </cfRule>
  </conditionalFormatting>
  <conditionalFormatting sqref="B41:C41">
    <cfRule type="cellIs" dxfId="1107" priority="497" stopIfTrue="1" operator="equal">
      <formula>"Towel"</formula>
    </cfRule>
    <cfRule type="cellIs" dxfId="1106" priority="498" stopIfTrue="1" operator="equal">
      <formula>"Napkin Hs"</formula>
    </cfRule>
  </conditionalFormatting>
  <conditionalFormatting sqref="C41">
    <cfRule type="cellIs" dxfId="1105" priority="496" stopIfTrue="1" operator="equal">
      <formula>"Napkin Hs"</formula>
    </cfRule>
  </conditionalFormatting>
  <conditionalFormatting sqref="C41">
    <cfRule type="cellIs" dxfId="1104" priority="493" stopIfTrue="1" operator="equal">
      <formula>"Towel"</formula>
    </cfRule>
    <cfRule type="cellIs" dxfId="1103" priority="494" stopIfTrue="1" operator="equal">
      <formula>"Napkin Hs"</formula>
    </cfRule>
  </conditionalFormatting>
  <conditionalFormatting sqref="C41">
    <cfRule type="cellIs" dxfId="1102" priority="495" stopIfTrue="1" operator="equal">
      <formula>"Towel"</formula>
    </cfRule>
  </conditionalFormatting>
  <conditionalFormatting sqref="B42:C42">
    <cfRule type="cellIs" dxfId="1101" priority="491" stopIfTrue="1" operator="equal">
      <formula>"Towel"</formula>
    </cfRule>
    <cfRule type="cellIs" dxfId="1100" priority="492" stopIfTrue="1" operator="equal">
      <formula>"Napkin Hs"</formula>
    </cfRule>
  </conditionalFormatting>
  <conditionalFormatting sqref="C42">
    <cfRule type="cellIs" dxfId="1099" priority="490" stopIfTrue="1" operator="equal">
      <formula>"Napkin Hs"</formula>
    </cfRule>
  </conditionalFormatting>
  <conditionalFormatting sqref="C42">
    <cfRule type="cellIs" dxfId="1098" priority="487" stopIfTrue="1" operator="equal">
      <formula>"Towel"</formula>
    </cfRule>
    <cfRule type="cellIs" dxfId="1097" priority="488" stopIfTrue="1" operator="equal">
      <formula>"Napkin Hs"</formula>
    </cfRule>
  </conditionalFormatting>
  <conditionalFormatting sqref="C42">
    <cfRule type="cellIs" dxfId="1096" priority="489" stopIfTrue="1" operator="equal">
      <formula>"Towel"</formula>
    </cfRule>
  </conditionalFormatting>
  <conditionalFormatting sqref="B47:C48">
    <cfRule type="cellIs" dxfId="1095" priority="473" stopIfTrue="1" operator="equal">
      <formula>"Towel"</formula>
    </cfRule>
    <cfRule type="cellIs" dxfId="1094" priority="474" stopIfTrue="1" operator="equal">
      <formula>"Napkin Hs"</formula>
    </cfRule>
  </conditionalFormatting>
  <conditionalFormatting sqref="C47:C48">
    <cfRule type="cellIs" dxfId="1093" priority="472" stopIfTrue="1" operator="equal">
      <formula>"Napkin Hs"</formula>
    </cfRule>
  </conditionalFormatting>
  <conditionalFormatting sqref="C47:C48">
    <cfRule type="cellIs" dxfId="1092" priority="469" stopIfTrue="1" operator="equal">
      <formula>"Towel"</formula>
    </cfRule>
    <cfRule type="cellIs" dxfId="1091" priority="470" stopIfTrue="1" operator="equal">
      <formula>"Napkin Hs"</formula>
    </cfRule>
  </conditionalFormatting>
  <conditionalFormatting sqref="C47:C48">
    <cfRule type="cellIs" dxfId="1090" priority="471" stopIfTrue="1" operator="equal">
      <formula>"Towel"</formula>
    </cfRule>
  </conditionalFormatting>
  <conditionalFormatting sqref="B45:C45">
    <cfRule type="cellIs" dxfId="1089" priority="467" stopIfTrue="1" operator="equal">
      <formula>"Towel"</formula>
    </cfRule>
    <cfRule type="cellIs" dxfId="1088" priority="468" stopIfTrue="1" operator="equal">
      <formula>"Napkin Hs"</formula>
    </cfRule>
  </conditionalFormatting>
  <conditionalFormatting sqref="C45">
    <cfRule type="cellIs" dxfId="1087" priority="466" stopIfTrue="1" operator="equal">
      <formula>"Napkin Hs"</formula>
    </cfRule>
  </conditionalFormatting>
  <conditionalFormatting sqref="C45">
    <cfRule type="cellIs" dxfId="1086" priority="463" stopIfTrue="1" operator="equal">
      <formula>"Towel"</formula>
    </cfRule>
    <cfRule type="cellIs" dxfId="1085" priority="464" stopIfTrue="1" operator="equal">
      <formula>"Napkin Hs"</formula>
    </cfRule>
  </conditionalFormatting>
  <conditionalFormatting sqref="C45">
    <cfRule type="cellIs" dxfId="1084" priority="465" stopIfTrue="1" operator="equal">
      <formula>"Towel"</formula>
    </cfRule>
  </conditionalFormatting>
  <conditionalFormatting sqref="B46:C46">
    <cfRule type="cellIs" dxfId="1083" priority="461" stopIfTrue="1" operator="equal">
      <formula>"Towel"</formula>
    </cfRule>
    <cfRule type="cellIs" dxfId="1082" priority="462" stopIfTrue="1" operator="equal">
      <formula>"Napkin Hs"</formula>
    </cfRule>
  </conditionalFormatting>
  <conditionalFormatting sqref="C46">
    <cfRule type="cellIs" dxfId="1081" priority="460" stopIfTrue="1" operator="equal">
      <formula>"Napkin Hs"</formula>
    </cfRule>
  </conditionalFormatting>
  <conditionalFormatting sqref="C46">
    <cfRule type="cellIs" dxfId="1080" priority="457" stopIfTrue="1" operator="equal">
      <formula>"Towel"</formula>
    </cfRule>
    <cfRule type="cellIs" dxfId="1079" priority="458" stopIfTrue="1" operator="equal">
      <formula>"Napkin Hs"</formula>
    </cfRule>
  </conditionalFormatting>
  <conditionalFormatting sqref="C46">
    <cfRule type="cellIs" dxfId="1078" priority="459" stopIfTrue="1" operator="equal">
      <formula>"Towel"</formula>
    </cfRule>
  </conditionalFormatting>
  <conditionalFormatting sqref="B52:C53">
    <cfRule type="cellIs" dxfId="1077" priority="455" stopIfTrue="1" operator="equal">
      <formula>"Towel"</formula>
    </cfRule>
    <cfRule type="cellIs" dxfId="1076" priority="456" stopIfTrue="1" operator="equal">
      <formula>"Napkin Hs"</formula>
    </cfRule>
  </conditionalFormatting>
  <conditionalFormatting sqref="C52:C53">
    <cfRule type="cellIs" dxfId="1075" priority="454" stopIfTrue="1" operator="equal">
      <formula>"Napkin Hs"</formula>
    </cfRule>
  </conditionalFormatting>
  <conditionalFormatting sqref="C52:C53">
    <cfRule type="cellIs" dxfId="1074" priority="451" stopIfTrue="1" operator="equal">
      <formula>"Towel"</formula>
    </cfRule>
    <cfRule type="cellIs" dxfId="1073" priority="452" stopIfTrue="1" operator="equal">
      <formula>"Napkin Hs"</formula>
    </cfRule>
  </conditionalFormatting>
  <conditionalFormatting sqref="C52:C53">
    <cfRule type="cellIs" dxfId="1072" priority="453" stopIfTrue="1" operator="equal">
      <formula>"Towel"</formula>
    </cfRule>
  </conditionalFormatting>
  <conditionalFormatting sqref="B50:C50">
    <cfRule type="cellIs" dxfId="1071" priority="437" stopIfTrue="1" operator="equal">
      <formula>"Towel"</formula>
    </cfRule>
    <cfRule type="cellIs" dxfId="1070" priority="438" stopIfTrue="1" operator="equal">
      <formula>"Napkin Hs"</formula>
    </cfRule>
  </conditionalFormatting>
  <conditionalFormatting sqref="C50">
    <cfRule type="cellIs" dxfId="1069" priority="436" stopIfTrue="1" operator="equal">
      <formula>"Napkin Hs"</formula>
    </cfRule>
  </conditionalFormatting>
  <conditionalFormatting sqref="C50">
    <cfRule type="cellIs" dxfId="1068" priority="433" stopIfTrue="1" operator="equal">
      <formula>"Towel"</formula>
    </cfRule>
    <cfRule type="cellIs" dxfId="1067" priority="434" stopIfTrue="1" operator="equal">
      <formula>"Napkin Hs"</formula>
    </cfRule>
  </conditionalFormatting>
  <conditionalFormatting sqref="C50">
    <cfRule type="cellIs" dxfId="1066" priority="435" stopIfTrue="1" operator="equal">
      <formula>"Towel"</formula>
    </cfRule>
  </conditionalFormatting>
  <conditionalFormatting sqref="B51:C51">
    <cfRule type="cellIs" dxfId="1065" priority="431" stopIfTrue="1" operator="equal">
      <formula>"Towel"</formula>
    </cfRule>
    <cfRule type="cellIs" dxfId="1064" priority="432" stopIfTrue="1" operator="equal">
      <formula>"Napkin Hs"</formula>
    </cfRule>
  </conditionalFormatting>
  <conditionalFormatting sqref="C51">
    <cfRule type="cellIs" dxfId="1063" priority="430" stopIfTrue="1" operator="equal">
      <formula>"Napkin Hs"</formula>
    </cfRule>
  </conditionalFormatting>
  <conditionalFormatting sqref="C51">
    <cfRule type="cellIs" dxfId="1062" priority="427" stopIfTrue="1" operator="equal">
      <formula>"Towel"</formula>
    </cfRule>
    <cfRule type="cellIs" dxfId="1061" priority="428" stopIfTrue="1" operator="equal">
      <formula>"Napkin Hs"</formula>
    </cfRule>
  </conditionalFormatting>
  <conditionalFormatting sqref="C51">
    <cfRule type="cellIs" dxfId="1060" priority="429" stopIfTrue="1" operator="equal">
      <formula>"Towel"</formula>
    </cfRule>
  </conditionalFormatting>
  <conditionalFormatting sqref="B55:C57">
    <cfRule type="cellIs" dxfId="1059" priority="419" stopIfTrue="1" operator="equal">
      <formula>"Towel"</formula>
    </cfRule>
    <cfRule type="cellIs" dxfId="1058" priority="420" stopIfTrue="1" operator="equal">
      <formula>"Napkin Hs"</formula>
    </cfRule>
  </conditionalFormatting>
  <conditionalFormatting sqref="C55:C57">
    <cfRule type="cellIs" dxfId="1057" priority="418" stopIfTrue="1" operator="equal">
      <formula>"Napkin Hs"</formula>
    </cfRule>
  </conditionalFormatting>
  <conditionalFormatting sqref="C55:C57">
    <cfRule type="cellIs" dxfId="1056" priority="415" stopIfTrue="1" operator="equal">
      <formula>"Towel"</formula>
    </cfRule>
    <cfRule type="cellIs" dxfId="1055" priority="416" stopIfTrue="1" operator="equal">
      <formula>"Napkin Hs"</formula>
    </cfRule>
  </conditionalFormatting>
  <conditionalFormatting sqref="C55:C57">
    <cfRule type="cellIs" dxfId="1054" priority="417" stopIfTrue="1" operator="equal">
      <formula>"Towel"</formula>
    </cfRule>
  </conditionalFormatting>
  <conditionalFormatting sqref="B61:C62">
    <cfRule type="cellIs" dxfId="1053" priority="407" stopIfTrue="1" operator="equal">
      <formula>"Towel"</formula>
    </cfRule>
    <cfRule type="cellIs" dxfId="1052" priority="408" stopIfTrue="1" operator="equal">
      <formula>"Napkin Hs"</formula>
    </cfRule>
  </conditionalFormatting>
  <conditionalFormatting sqref="C61:C62">
    <cfRule type="cellIs" dxfId="1051" priority="406" stopIfTrue="1" operator="equal">
      <formula>"Napkin Hs"</formula>
    </cfRule>
  </conditionalFormatting>
  <conditionalFormatting sqref="C61:C62">
    <cfRule type="cellIs" dxfId="1050" priority="403" stopIfTrue="1" operator="equal">
      <formula>"Towel"</formula>
    </cfRule>
    <cfRule type="cellIs" dxfId="1049" priority="404" stopIfTrue="1" operator="equal">
      <formula>"Napkin Hs"</formula>
    </cfRule>
  </conditionalFormatting>
  <conditionalFormatting sqref="C61:C62">
    <cfRule type="cellIs" dxfId="1048" priority="405" stopIfTrue="1" operator="equal">
      <formula>"Towel"</formula>
    </cfRule>
  </conditionalFormatting>
  <conditionalFormatting sqref="B59:C59">
    <cfRule type="cellIs" dxfId="1047" priority="389" stopIfTrue="1" operator="equal">
      <formula>"Towel"</formula>
    </cfRule>
    <cfRule type="cellIs" dxfId="1046" priority="390" stopIfTrue="1" operator="equal">
      <formula>"Napkin Hs"</formula>
    </cfRule>
  </conditionalFormatting>
  <conditionalFormatting sqref="C59">
    <cfRule type="cellIs" dxfId="1045" priority="388" stopIfTrue="1" operator="equal">
      <formula>"Napkin Hs"</formula>
    </cfRule>
  </conditionalFormatting>
  <conditionalFormatting sqref="C59">
    <cfRule type="cellIs" dxfId="1044" priority="385" stopIfTrue="1" operator="equal">
      <formula>"Towel"</formula>
    </cfRule>
    <cfRule type="cellIs" dxfId="1043" priority="386" stopIfTrue="1" operator="equal">
      <formula>"Napkin Hs"</formula>
    </cfRule>
  </conditionalFormatting>
  <conditionalFormatting sqref="C59">
    <cfRule type="cellIs" dxfId="1042" priority="387" stopIfTrue="1" operator="equal">
      <formula>"Towel"</formula>
    </cfRule>
  </conditionalFormatting>
  <conditionalFormatting sqref="B60:C60">
    <cfRule type="cellIs" dxfId="1041" priority="383" stopIfTrue="1" operator="equal">
      <formula>"Towel"</formula>
    </cfRule>
    <cfRule type="cellIs" dxfId="1040" priority="384" stopIfTrue="1" operator="equal">
      <formula>"Napkin Hs"</formula>
    </cfRule>
  </conditionalFormatting>
  <conditionalFormatting sqref="C60">
    <cfRule type="cellIs" dxfId="1039" priority="382" stopIfTrue="1" operator="equal">
      <formula>"Napkin Hs"</formula>
    </cfRule>
  </conditionalFormatting>
  <conditionalFormatting sqref="C60">
    <cfRule type="cellIs" dxfId="1038" priority="379" stopIfTrue="1" operator="equal">
      <formula>"Towel"</formula>
    </cfRule>
    <cfRule type="cellIs" dxfId="1037" priority="380" stopIfTrue="1" operator="equal">
      <formula>"Napkin Hs"</formula>
    </cfRule>
  </conditionalFormatting>
  <conditionalFormatting sqref="C60">
    <cfRule type="cellIs" dxfId="1036" priority="381" stopIfTrue="1" operator="equal">
      <formula>"Towel"</formula>
    </cfRule>
  </conditionalFormatting>
  <conditionalFormatting sqref="B66:C67">
    <cfRule type="cellIs" dxfId="1035" priority="377" stopIfTrue="1" operator="equal">
      <formula>"Towel"</formula>
    </cfRule>
    <cfRule type="cellIs" dxfId="1034" priority="378" stopIfTrue="1" operator="equal">
      <formula>"Napkin Hs"</formula>
    </cfRule>
  </conditionalFormatting>
  <conditionalFormatting sqref="C66:C67">
    <cfRule type="cellIs" dxfId="1033" priority="376" stopIfTrue="1" operator="equal">
      <formula>"Napkin Hs"</formula>
    </cfRule>
  </conditionalFormatting>
  <conditionalFormatting sqref="C66:C67">
    <cfRule type="cellIs" dxfId="1032" priority="373" stopIfTrue="1" operator="equal">
      <formula>"Towel"</formula>
    </cfRule>
    <cfRule type="cellIs" dxfId="1031" priority="374" stopIfTrue="1" operator="equal">
      <formula>"Napkin Hs"</formula>
    </cfRule>
  </conditionalFormatting>
  <conditionalFormatting sqref="C66:C67">
    <cfRule type="cellIs" dxfId="1030" priority="375" stopIfTrue="1" operator="equal">
      <formula>"Towel"</formula>
    </cfRule>
  </conditionalFormatting>
  <conditionalFormatting sqref="B65:C65">
    <cfRule type="cellIs" dxfId="1029" priority="365" stopIfTrue="1" operator="equal">
      <formula>"Towel"</formula>
    </cfRule>
    <cfRule type="cellIs" dxfId="1028" priority="366" stopIfTrue="1" operator="equal">
      <formula>"Napkin Hs"</formula>
    </cfRule>
  </conditionalFormatting>
  <conditionalFormatting sqref="C65">
    <cfRule type="cellIs" dxfId="1027" priority="364" stopIfTrue="1" operator="equal">
      <formula>"Napkin Hs"</formula>
    </cfRule>
  </conditionalFormatting>
  <conditionalFormatting sqref="C65">
    <cfRule type="cellIs" dxfId="1026" priority="361" stopIfTrue="1" operator="equal">
      <formula>"Towel"</formula>
    </cfRule>
    <cfRule type="cellIs" dxfId="1025" priority="362" stopIfTrue="1" operator="equal">
      <formula>"Napkin Hs"</formula>
    </cfRule>
  </conditionalFormatting>
  <conditionalFormatting sqref="C65">
    <cfRule type="cellIs" dxfId="1024" priority="363" stopIfTrue="1" operator="equal">
      <formula>"Towel"</formula>
    </cfRule>
  </conditionalFormatting>
  <conditionalFormatting sqref="B64:C64">
    <cfRule type="cellIs" dxfId="1023" priority="359" stopIfTrue="1" operator="equal">
      <formula>"Towel"</formula>
    </cfRule>
    <cfRule type="cellIs" dxfId="1022" priority="360" stopIfTrue="1" operator="equal">
      <formula>"Napkin Hs"</formula>
    </cfRule>
  </conditionalFormatting>
  <conditionalFormatting sqref="C64">
    <cfRule type="cellIs" dxfId="1021" priority="358" stopIfTrue="1" operator="equal">
      <formula>"Napkin Hs"</formula>
    </cfRule>
  </conditionalFormatting>
  <conditionalFormatting sqref="C64">
    <cfRule type="cellIs" dxfId="1020" priority="355" stopIfTrue="1" operator="equal">
      <formula>"Towel"</formula>
    </cfRule>
    <cfRule type="cellIs" dxfId="1019" priority="356" stopIfTrue="1" operator="equal">
      <formula>"Napkin Hs"</formula>
    </cfRule>
  </conditionalFormatting>
  <conditionalFormatting sqref="C64">
    <cfRule type="cellIs" dxfId="1018" priority="357" stopIfTrue="1" operator="equal">
      <formula>"Towel"</formula>
    </cfRule>
  </conditionalFormatting>
  <conditionalFormatting sqref="B73:C73">
    <cfRule type="cellIs" dxfId="1017" priority="353" stopIfTrue="1" operator="equal">
      <formula>"Towel"</formula>
    </cfRule>
    <cfRule type="cellIs" dxfId="1016" priority="354" stopIfTrue="1" operator="equal">
      <formula>"Napkin Hs"</formula>
    </cfRule>
  </conditionalFormatting>
  <conditionalFormatting sqref="C73">
    <cfRule type="cellIs" dxfId="1015" priority="352" stopIfTrue="1" operator="equal">
      <formula>"Napkin Hs"</formula>
    </cfRule>
  </conditionalFormatting>
  <conditionalFormatting sqref="C73">
    <cfRule type="cellIs" dxfId="1014" priority="349" stopIfTrue="1" operator="equal">
      <formula>"Towel"</formula>
    </cfRule>
    <cfRule type="cellIs" dxfId="1013" priority="350" stopIfTrue="1" operator="equal">
      <formula>"Napkin Hs"</formula>
    </cfRule>
  </conditionalFormatting>
  <conditionalFormatting sqref="C73">
    <cfRule type="cellIs" dxfId="1012" priority="351" stopIfTrue="1" operator="equal">
      <formula>"Towel"</formula>
    </cfRule>
  </conditionalFormatting>
  <conditionalFormatting sqref="B71:C72">
    <cfRule type="cellIs" dxfId="1011" priority="347" stopIfTrue="1" operator="equal">
      <formula>"Towel"</formula>
    </cfRule>
    <cfRule type="cellIs" dxfId="1010" priority="348" stopIfTrue="1" operator="equal">
      <formula>"Napkin Hs"</formula>
    </cfRule>
  </conditionalFormatting>
  <conditionalFormatting sqref="C71:C72">
    <cfRule type="cellIs" dxfId="1009" priority="346" stopIfTrue="1" operator="equal">
      <formula>"Napkin Hs"</formula>
    </cfRule>
  </conditionalFormatting>
  <conditionalFormatting sqref="C71:C72">
    <cfRule type="cellIs" dxfId="1008" priority="343" stopIfTrue="1" operator="equal">
      <formula>"Towel"</formula>
    </cfRule>
    <cfRule type="cellIs" dxfId="1007" priority="344" stopIfTrue="1" operator="equal">
      <formula>"Napkin Hs"</formula>
    </cfRule>
  </conditionalFormatting>
  <conditionalFormatting sqref="C71:C72">
    <cfRule type="cellIs" dxfId="1006" priority="345" stopIfTrue="1" operator="equal">
      <formula>"Towel"</formula>
    </cfRule>
  </conditionalFormatting>
  <conditionalFormatting sqref="B70:C70">
    <cfRule type="cellIs" dxfId="1005" priority="341" stopIfTrue="1" operator="equal">
      <formula>"Towel"</formula>
    </cfRule>
    <cfRule type="cellIs" dxfId="1004" priority="342" stopIfTrue="1" operator="equal">
      <formula>"Napkin Hs"</formula>
    </cfRule>
  </conditionalFormatting>
  <conditionalFormatting sqref="C70">
    <cfRule type="cellIs" dxfId="1003" priority="340" stopIfTrue="1" operator="equal">
      <formula>"Napkin Hs"</formula>
    </cfRule>
  </conditionalFormatting>
  <conditionalFormatting sqref="C70">
    <cfRule type="cellIs" dxfId="1002" priority="337" stopIfTrue="1" operator="equal">
      <formula>"Towel"</formula>
    </cfRule>
    <cfRule type="cellIs" dxfId="1001" priority="338" stopIfTrue="1" operator="equal">
      <formula>"Napkin Hs"</formula>
    </cfRule>
  </conditionalFormatting>
  <conditionalFormatting sqref="C70">
    <cfRule type="cellIs" dxfId="1000" priority="339" stopIfTrue="1" operator="equal">
      <formula>"Towel"</formula>
    </cfRule>
  </conditionalFormatting>
  <conditionalFormatting sqref="B69:C69">
    <cfRule type="cellIs" dxfId="999" priority="335" stopIfTrue="1" operator="equal">
      <formula>"Towel"</formula>
    </cfRule>
    <cfRule type="cellIs" dxfId="998" priority="336" stopIfTrue="1" operator="equal">
      <formula>"Napkin Hs"</formula>
    </cfRule>
  </conditionalFormatting>
  <conditionalFormatting sqref="C69">
    <cfRule type="cellIs" dxfId="997" priority="334" stopIfTrue="1" operator="equal">
      <formula>"Napkin Hs"</formula>
    </cfRule>
  </conditionalFormatting>
  <conditionalFormatting sqref="C69">
    <cfRule type="cellIs" dxfId="996" priority="331" stopIfTrue="1" operator="equal">
      <formula>"Towel"</formula>
    </cfRule>
    <cfRule type="cellIs" dxfId="995" priority="332" stopIfTrue="1" operator="equal">
      <formula>"Napkin Hs"</formula>
    </cfRule>
  </conditionalFormatting>
  <conditionalFormatting sqref="C69">
    <cfRule type="cellIs" dxfId="994" priority="333" stopIfTrue="1" operator="equal">
      <formula>"Towel"</formula>
    </cfRule>
  </conditionalFormatting>
  <conditionalFormatting sqref="B78:C78">
    <cfRule type="cellIs" dxfId="993" priority="329" stopIfTrue="1" operator="equal">
      <formula>"Towel"</formula>
    </cfRule>
    <cfRule type="cellIs" dxfId="992" priority="330" stopIfTrue="1" operator="equal">
      <formula>"Napkin Hs"</formula>
    </cfRule>
  </conditionalFormatting>
  <conditionalFormatting sqref="C78">
    <cfRule type="cellIs" dxfId="991" priority="328" stopIfTrue="1" operator="equal">
      <formula>"Napkin Hs"</formula>
    </cfRule>
  </conditionalFormatting>
  <conditionalFormatting sqref="C78">
    <cfRule type="cellIs" dxfId="990" priority="325" stopIfTrue="1" operator="equal">
      <formula>"Towel"</formula>
    </cfRule>
    <cfRule type="cellIs" dxfId="989" priority="326" stopIfTrue="1" operator="equal">
      <formula>"Napkin Hs"</formula>
    </cfRule>
  </conditionalFormatting>
  <conditionalFormatting sqref="C78">
    <cfRule type="cellIs" dxfId="988" priority="327" stopIfTrue="1" operator="equal">
      <formula>"Towel"</formula>
    </cfRule>
  </conditionalFormatting>
  <conditionalFormatting sqref="B76:C77">
    <cfRule type="cellIs" dxfId="987" priority="323" stopIfTrue="1" operator="equal">
      <formula>"Towel"</formula>
    </cfRule>
    <cfRule type="cellIs" dxfId="986" priority="324" stopIfTrue="1" operator="equal">
      <formula>"Napkin Hs"</formula>
    </cfRule>
  </conditionalFormatting>
  <conditionalFormatting sqref="C76:C77">
    <cfRule type="cellIs" dxfId="985" priority="322" stopIfTrue="1" operator="equal">
      <formula>"Napkin Hs"</formula>
    </cfRule>
  </conditionalFormatting>
  <conditionalFormatting sqref="C76:C77">
    <cfRule type="cellIs" dxfId="984" priority="319" stopIfTrue="1" operator="equal">
      <formula>"Towel"</formula>
    </cfRule>
    <cfRule type="cellIs" dxfId="983" priority="320" stopIfTrue="1" operator="equal">
      <formula>"Napkin Hs"</formula>
    </cfRule>
  </conditionalFormatting>
  <conditionalFormatting sqref="C76:C77">
    <cfRule type="cellIs" dxfId="982" priority="321" stopIfTrue="1" operator="equal">
      <formula>"Towel"</formula>
    </cfRule>
  </conditionalFormatting>
  <conditionalFormatting sqref="B75:C75">
    <cfRule type="cellIs" dxfId="981" priority="317" stopIfTrue="1" operator="equal">
      <formula>"Towel"</formula>
    </cfRule>
    <cfRule type="cellIs" dxfId="980" priority="318" stopIfTrue="1" operator="equal">
      <formula>"Napkin Hs"</formula>
    </cfRule>
  </conditionalFormatting>
  <conditionalFormatting sqref="C75">
    <cfRule type="cellIs" dxfId="979" priority="316" stopIfTrue="1" operator="equal">
      <formula>"Napkin Hs"</formula>
    </cfRule>
  </conditionalFormatting>
  <conditionalFormatting sqref="C75">
    <cfRule type="cellIs" dxfId="978" priority="313" stopIfTrue="1" operator="equal">
      <formula>"Towel"</formula>
    </cfRule>
    <cfRule type="cellIs" dxfId="977" priority="314" stopIfTrue="1" operator="equal">
      <formula>"Napkin Hs"</formula>
    </cfRule>
  </conditionalFormatting>
  <conditionalFormatting sqref="C75">
    <cfRule type="cellIs" dxfId="976" priority="315" stopIfTrue="1" operator="equal">
      <formula>"Towel"</formula>
    </cfRule>
  </conditionalFormatting>
  <conditionalFormatting sqref="B74:C74">
    <cfRule type="cellIs" dxfId="975" priority="311" stopIfTrue="1" operator="equal">
      <formula>"Towel"</formula>
    </cfRule>
    <cfRule type="cellIs" dxfId="974" priority="312" stopIfTrue="1" operator="equal">
      <formula>"Napkin Hs"</formula>
    </cfRule>
  </conditionalFormatting>
  <conditionalFormatting sqref="C74">
    <cfRule type="cellIs" dxfId="973" priority="310" stopIfTrue="1" operator="equal">
      <formula>"Napkin Hs"</formula>
    </cfRule>
  </conditionalFormatting>
  <conditionalFormatting sqref="C74">
    <cfRule type="cellIs" dxfId="972" priority="307" stopIfTrue="1" operator="equal">
      <formula>"Towel"</formula>
    </cfRule>
    <cfRule type="cellIs" dxfId="971" priority="308" stopIfTrue="1" operator="equal">
      <formula>"Napkin Hs"</formula>
    </cfRule>
  </conditionalFormatting>
  <conditionalFormatting sqref="C74">
    <cfRule type="cellIs" dxfId="970" priority="309" stopIfTrue="1" operator="equal">
      <formula>"Towel"</formula>
    </cfRule>
  </conditionalFormatting>
  <conditionalFormatting sqref="B81:C82">
    <cfRule type="cellIs" dxfId="969" priority="305" stopIfTrue="1" operator="equal">
      <formula>"Towel"</formula>
    </cfRule>
    <cfRule type="cellIs" dxfId="968" priority="306" stopIfTrue="1" operator="equal">
      <formula>"Napkin Hs"</formula>
    </cfRule>
  </conditionalFormatting>
  <conditionalFormatting sqref="C81:C82">
    <cfRule type="cellIs" dxfId="967" priority="304" stopIfTrue="1" operator="equal">
      <formula>"Napkin Hs"</formula>
    </cfRule>
  </conditionalFormatting>
  <conditionalFormatting sqref="C81:C82">
    <cfRule type="cellIs" dxfId="966" priority="301" stopIfTrue="1" operator="equal">
      <formula>"Towel"</formula>
    </cfRule>
    <cfRule type="cellIs" dxfId="965" priority="302" stopIfTrue="1" operator="equal">
      <formula>"Napkin Hs"</formula>
    </cfRule>
  </conditionalFormatting>
  <conditionalFormatting sqref="C81:C82">
    <cfRule type="cellIs" dxfId="964" priority="303" stopIfTrue="1" operator="equal">
      <formula>"Towel"</formula>
    </cfRule>
  </conditionalFormatting>
  <conditionalFormatting sqref="B80:C80">
    <cfRule type="cellIs" dxfId="963" priority="299" stopIfTrue="1" operator="equal">
      <formula>"Towel"</formula>
    </cfRule>
    <cfRule type="cellIs" dxfId="962" priority="300" stopIfTrue="1" operator="equal">
      <formula>"Napkin Hs"</formula>
    </cfRule>
  </conditionalFormatting>
  <conditionalFormatting sqref="C80">
    <cfRule type="cellIs" dxfId="961" priority="298" stopIfTrue="1" operator="equal">
      <formula>"Napkin Hs"</formula>
    </cfRule>
  </conditionalFormatting>
  <conditionalFormatting sqref="C80">
    <cfRule type="cellIs" dxfId="960" priority="295" stopIfTrue="1" operator="equal">
      <formula>"Towel"</formula>
    </cfRule>
    <cfRule type="cellIs" dxfId="959" priority="296" stopIfTrue="1" operator="equal">
      <formula>"Napkin Hs"</formula>
    </cfRule>
  </conditionalFormatting>
  <conditionalFormatting sqref="C80">
    <cfRule type="cellIs" dxfId="958" priority="297" stopIfTrue="1" operator="equal">
      <formula>"Towel"</formula>
    </cfRule>
  </conditionalFormatting>
  <conditionalFormatting sqref="B79:C79">
    <cfRule type="cellIs" dxfId="957" priority="293" stopIfTrue="1" operator="equal">
      <formula>"Towel"</formula>
    </cfRule>
    <cfRule type="cellIs" dxfId="956" priority="294" stopIfTrue="1" operator="equal">
      <formula>"Napkin Hs"</formula>
    </cfRule>
  </conditionalFormatting>
  <conditionalFormatting sqref="C79">
    <cfRule type="cellIs" dxfId="955" priority="292" stopIfTrue="1" operator="equal">
      <formula>"Napkin Hs"</formula>
    </cfRule>
  </conditionalFormatting>
  <conditionalFormatting sqref="C79">
    <cfRule type="cellIs" dxfId="954" priority="289" stopIfTrue="1" operator="equal">
      <formula>"Towel"</formula>
    </cfRule>
    <cfRule type="cellIs" dxfId="953" priority="290" stopIfTrue="1" operator="equal">
      <formula>"Napkin Hs"</formula>
    </cfRule>
  </conditionalFormatting>
  <conditionalFormatting sqref="C79">
    <cfRule type="cellIs" dxfId="952" priority="291" stopIfTrue="1" operator="equal">
      <formula>"Towel"</formula>
    </cfRule>
  </conditionalFormatting>
  <conditionalFormatting sqref="B86:C87">
    <cfRule type="cellIs" dxfId="951" priority="287" stopIfTrue="1" operator="equal">
      <formula>"Towel"</formula>
    </cfRule>
    <cfRule type="cellIs" dxfId="950" priority="288" stopIfTrue="1" operator="equal">
      <formula>"Napkin Hs"</formula>
    </cfRule>
  </conditionalFormatting>
  <conditionalFormatting sqref="C86:C87">
    <cfRule type="cellIs" dxfId="949" priority="286" stopIfTrue="1" operator="equal">
      <formula>"Napkin Hs"</formula>
    </cfRule>
  </conditionalFormatting>
  <conditionalFormatting sqref="C86:C87">
    <cfRule type="cellIs" dxfId="948" priority="283" stopIfTrue="1" operator="equal">
      <formula>"Towel"</formula>
    </cfRule>
    <cfRule type="cellIs" dxfId="947" priority="284" stopIfTrue="1" operator="equal">
      <formula>"Napkin Hs"</formula>
    </cfRule>
  </conditionalFormatting>
  <conditionalFormatting sqref="C86:C87">
    <cfRule type="cellIs" dxfId="946" priority="285" stopIfTrue="1" operator="equal">
      <formula>"Towel"</formula>
    </cfRule>
  </conditionalFormatting>
  <conditionalFormatting sqref="B85:C85">
    <cfRule type="cellIs" dxfId="945" priority="281" stopIfTrue="1" operator="equal">
      <formula>"Towel"</formula>
    </cfRule>
    <cfRule type="cellIs" dxfId="944" priority="282" stopIfTrue="1" operator="equal">
      <formula>"Napkin Hs"</formula>
    </cfRule>
  </conditionalFormatting>
  <conditionalFormatting sqref="C85">
    <cfRule type="cellIs" dxfId="943" priority="280" stopIfTrue="1" operator="equal">
      <formula>"Napkin Hs"</formula>
    </cfRule>
  </conditionalFormatting>
  <conditionalFormatting sqref="C85">
    <cfRule type="cellIs" dxfId="942" priority="277" stopIfTrue="1" operator="equal">
      <formula>"Towel"</formula>
    </cfRule>
    <cfRule type="cellIs" dxfId="941" priority="278" stopIfTrue="1" operator="equal">
      <formula>"Napkin Hs"</formula>
    </cfRule>
  </conditionalFormatting>
  <conditionalFormatting sqref="C85">
    <cfRule type="cellIs" dxfId="940" priority="279" stopIfTrue="1" operator="equal">
      <formula>"Towel"</formula>
    </cfRule>
  </conditionalFormatting>
  <conditionalFormatting sqref="B84:C84">
    <cfRule type="cellIs" dxfId="939" priority="275" stopIfTrue="1" operator="equal">
      <formula>"Towel"</formula>
    </cfRule>
    <cfRule type="cellIs" dxfId="938" priority="276" stopIfTrue="1" operator="equal">
      <formula>"Napkin Hs"</formula>
    </cfRule>
  </conditionalFormatting>
  <conditionalFormatting sqref="C84">
    <cfRule type="cellIs" dxfId="937" priority="274" stopIfTrue="1" operator="equal">
      <formula>"Napkin Hs"</formula>
    </cfRule>
  </conditionalFormatting>
  <conditionalFormatting sqref="C84">
    <cfRule type="cellIs" dxfId="936" priority="271" stopIfTrue="1" operator="equal">
      <formula>"Towel"</formula>
    </cfRule>
    <cfRule type="cellIs" dxfId="935" priority="272" stopIfTrue="1" operator="equal">
      <formula>"Napkin Hs"</formula>
    </cfRule>
  </conditionalFormatting>
  <conditionalFormatting sqref="C84">
    <cfRule type="cellIs" dxfId="934" priority="273" stopIfTrue="1" operator="equal">
      <formula>"Towel"</formula>
    </cfRule>
  </conditionalFormatting>
  <conditionalFormatting sqref="B93:C93">
    <cfRule type="cellIs" dxfId="933" priority="263" stopIfTrue="1" operator="equal">
      <formula>"Towel"</formula>
    </cfRule>
    <cfRule type="cellIs" dxfId="932" priority="264" stopIfTrue="1" operator="equal">
      <formula>"Napkin Hs"</formula>
    </cfRule>
  </conditionalFormatting>
  <conditionalFormatting sqref="C93">
    <cfRule type="cellIs" dxfId="931" priority="262" stopIfTrue="1" operator="equal">
      <formula>"Napkin Hs"</formula>
    </cfRule>
  </conditionalFormatting>
  <conditionalFormatting sqref="C93">
    <cfRule type="cellIs" dxfId="930" priority="259" stopIfTrue="1" operator="equal">
      <formula>"Towel"</formula>
    </cfRule>
    <cfRule type="cellIs" dxfId="929" priority="260" stopIfTrue="1" operator="equal">
      <formula>"Napkin Hs"</formula>
    </cfRule>
  </conditionalFormatting>
  <conditionalFormatting sqref="C93">
    <cfRule type="cellIs" dxfId="928" priority="261" stopIfTrue="1" operator="equal">
      <formula>"Towel"</formula>
    </cfRule>
  </conditionalFormatting>
  <conditionalFormatting sqref="B91:C92">
    <cfRule type="cellIs" dxfId="927" priority="245" stopIfTrue="1" operator="equal">
      <formula>"Towel"</formula>
    </cfRule>
    <cfRule type="cellIs" dxfId="926" priority="246" stopIfTrue="1" operator="equal">
      <formula>"Napkin Hs"</formula>
    </cfRule>
  </conditionalFormatting>
  <conditionalFormatting sqref="C91:C92">
    <cfRule type="cellIs" dxfId="925" priority="244" stopIfTrue="1" operator="equal">
      <formula>"Napkin Hs"</formula>
    </cfRule>
  </conditionalFormatting>
  <conditionalFormatting sqref="C91:C92">
    <cfRule type="cellIs" dxfId="924" priority="241" stopIfTrue="1" operator="equal">
      <formula>"Towel"</formula>
    </cfRule>
    <cfRule type="cellIs" dxfId="923" priority="242" stopIfTrue="1" operator="equal">
      <formula>"Napkin Hs"</formula>
    </cfRule>
  </conditionalFormatting>
  <conditionalFormatting sqref="C91:C92">
    <cfRule type="cellIs" dxfId="922" priority="243" stopIfTrue="1" operator="equal">
      <formula>"Towel"</formula>
    </cfRule>
  </conditionalFormatting>
  <conditionalFormatting sqref="B90:C90">
    <cfRule type="cellIs" dxfId="921" priority="239" stopIfTrue="1" operator="equal">
      <formula>"Towel"</formula>
    </cfRule>
    <cfRule type="cellIs" dxfId="920" priority="240" stopIfTrue="1" operator="equal">
      <formula>"Napkin Hs"</formula>
    </cfRule>
  </conditionalFormatting>
  <conditionalFormatting sqref="C90">
    <cfRule type="cellIs" dxfId="919" priority="238" stopIfTrue="1" operator="equal">
      <formula>"Napkin Hs"</formula>
    </cfRule>
  </conditionalFormatting>
  <conditionalFormatting sqref="C90">
    <cfRule type="cellIs" dxfId="918" priority="235" stopIfTrue="1" operator="equal">
      <formula>"Towel"</formula>
    </cfRule>
    <cfRule type="cellIs" dxfId="917" priority="236" stopIfTrue="1" operator="equal">
      <formula>"Napkin Hs"</formula>
    </cfRule>
  </conditionalFormatting>
  <conditionalFormatting sqref="C90">
    <cfRule type="cellIs" dxfId="916" priority="237" stopIfTrue="1" operator="equal">
      <formula>"Towel"</formula>
    </cfRule>
  </conditionalFormatting>
  <conditionalFormatting sqref="B89:C89">
    <cfRule type="cellIs" dxfId="915" priority="233" stopIfTrue="1" operator="equal">
      <formula>"Towel"</formula>
    </cfRule>
    <cfRule type="cellIs" dxfId="914" priority="234" stopIfTrue="1" operator="equal">
      <formula>"Napkin Hs"</formula>
    </cfRule>
  </conditionalFormatting>
  <conditionalFormatting sqref="C89">
    <cfRule type="cellIs" dxfId="913" priority="232" stopIfTrue="1" operator="equal">
      <formula>"Napkin Hs"</formula>
    </cfRule>
  </conditionalFormatting>
  <conditionalFormatting sqref="C89">
    <cfRule type="cellIs" dxfId="912" priority="229" stopIfTrue="1" operator="equal">
      <formula>"Towel"</formula>
    </cfRule>
    <cfRule type="cellIs" dxfId="911" priority="230" stopIfTrue="1" operator="equal">
      <formula>"Napkin Hs"</formula>
    </cfRule>
  </conditionalFormatting>
  <conditionalFormatting sqref="C89">
    <cfRule type="cellIs" dxfId="910" priority="231" stopIfTrue="1" operator="equal">
      <formula>"Towel"</formula>
    </cfRule>
  </conditionalFormatting>
  <conditionalFormatting sqref="B96:C97">
    <cfRule type="cellIs" dxfId="909" priority="227" stopIfTrue="1" operator="equal">
      <formula>"Towel"</formula>
    </cfRule>
    <cfRule type="cellIs" dxfId="908" priority="228" stopIfTrue="1" operator="equal">
      <formula>"Napkin Hs"</formula>
    </cfRule>
  </conditionalFormatting>
  <conditionalFormatting sqref="C96:C97">
    <cfRule type="cellIs" dxfId="907" priority="226" stopIfTrue="1" operator="equal">
      <formula>"Napkin Hs"</formula>
    </cfRule>
  </conditionalFormatting>
  <conditionalFormatting sqref="C96:C97">
    <cfRule type="cellIs" dxfId="906" priority="223" stopIfTrue="1" operator="equal">
      <formula>"Towel"</formula>
    </cfRule>
    <cfRule type="cellIs" dxfId="905" priority="224" stopIfTrue="1" operator="equal">
      <formula>"Napkin Hs"</formula>
    </cfRule>
  </conditionalFormatting>
  <conditionalFormatting sqref="C96:C97">
    <cfRule type="cellIs" dxfId="904" priority="225" stopIfTrue="1" operator="equal">
      <formula>"Towel"</formula>
    </cfRule>
  </conditionalFormatting>
  <conditionalFormatting sqref="B95:C95">
    <cfRule type="cellIs" dxfId="903" priority="221" stopIfTrue="1" operator="equal">
      <formula>"Towel"</formula>
    </cfRule>
    <cfRule type="cellIs" dxfId="902" priority="222" stopIfTrue="1" operator="equal">
      <formula>"Napkin Hs"</formula>
    </cfRule>
  </conditionalFormatting>
  <conditionalFormatting sqref="C95">
    <cfRule type="cellIs" dxfId="901" priority="220" stopIfTrue="1" operator="equal">
      <formula>"Napkin Hs"</formula>
    </cfRule>
  </conditionalFormatting>
  <conditionalFormatting sqref="C95">
    <cfRule type="cellIs" dxfId="900" priority="217" stopIfTrue="1" operator="equal">
      <formula>"Towel"</formula>
    </cfRule>
    <cfRule type="cellIs" dxfId="899" priority="218" stopIfTrue="1" operator="equal">
      <formula>"Napkin Hs"</formula>
    </cfRule>
  </conditionalFormatting>
  <conditionalFormatting sqref="C95">
    <cfRule type="cellIs" dxfId="898" priority="219" stopIfTrue="1" operator="equal">
      <formula>"Towel"</formula>
    </cfRule>
  </conditionalFormatting>
  <conditionalFormatting sqref="B94:C94">
    <cfRule type="cellIs" dxfId="897" priority="215" stopIfTrue="1" operator="equal">
      <formula>"Towel"</formula>
    </cfRule>
    <cfRule type="cellIs" dxfId="896" priority="216" stopIfTrue="1" operator="equal">
      <formula>"Napkin Hs"</formula>
    </cfRule>
  </conditionalFormatting>
  <conditionalFormatting sqref="C94">
    <cfRule type="cellIs" dxfId="895" priority="214" stopIfTrue="1" operator="equal">
      <formula>"Napkin Hs"</formula>
    </cfRule>
  </conditionalFormatting>
  <conditionalFormatting sqref="C94">
    <cfRule type="cellIs" dxfId="894" priority="211" stopIfTrue="1" operator="equal">
      <formula>"Towel"</formula>
    </cfRule>
    <cfRule type="cellIs" dxfId="893" priority="212" stopIfTrue="1" operator="equal">
      <formula>"Napkin Hs"</formula>
    </cfRule>
  </conditionalFormatting>
  <conditionalFormatting sqref="C94">
    <cfRule type="cellIs" dxfId="892" priority="213" stopIfTrue="1" operator="equal">
      <formula>"Towel"</formula>
    </cfRule>
  </conditionalFormatting>
  <conditionalFormatting sqref="B101:C102">
    <cfRule type="cellIs" dxfId="891" priority="209" stopIfTrue="1" operator="equal">
      <formula>"Towel"</formula>
    </cfRule>
    <cfRule type="cellIs" dxfId="890" priority="210" stopIfTrue="1" operator="equal">
      <formula>"Napkin Hs"</formula>
    </cfRule>
  </conditionalFormatting>
  <conditionalFormatting sqref="C101:C102">
    <cfRule type="cellIs" dxfId="889" priority="208" stopIfTrue="1" operator="equal">
      <formula>"Napkin Hs"</formula>
    </cfRule>
  </conditionalFormatting>
  <conditionalFormatting sqref="C101:C102">
    <cfRule type="cellIs" dxfId="888" priority="205" stopIfTrue="1" operator="equal">
      <formula>"Towel"</formula>
    </cfRule>
    <cfRule type="cellIs" dxfId="887" priority="206" stopIfTrue="1" operator="equal">
      <formula>"Napkin Hs"</formula>
    </cfRule>
  </conditionalFormatting>
  <conditionalFormatting sqref="C101:C102">
    <cfRule type="cellIs" dxfId="886" priority="207" stopIfTrue="1" operator="equal">
      <formula>"Towel"</formula>
    </cfRule>
  </conditionalFormatting>
  <conditionalFormatting sqref="B100:C100">
    <cfRule type="cellIs" dxfId="885" priority="203" stopIfTrue="1" operator="equal">
      <formula>"Towel"</formula>
    </cfRule>
    <cfRule type="cellIs" dxfId="884" priority="204" stopIfTrue="1" operator="equal">
      <formula>"Napkin Hs"</formula>
    </cfRule>
  </conditionalFormatting>
  <conditionalFormatting sqref="C100">
    <cfRule type="cellIs" dxfId="883" priority="202" stopIfTrue="1" operator="equal">
      <formula>"Napkin Hs"</formula>
    </cfRule>
  </conditionalFormatting>
  <conditionalFormatting sqref="C100">
    <cfRule type="cellIs" dxfId="882" priority="199" stopIfTrue="1" operator="equal">
      <formula>"Towel"</formula>
    </cfRule>
    <cfRule type="cellIs" dxfId="881" priority="200" stopIfTrue="1" operator="equal">
      <formula>"Napkin Hs"</formula>
    </cfRule>
  </conditionalFormatting>
  <conditionalFormatting sqref="C100">
    <cfRule type="cellIs" dxfId="880" priority="201" stopIfTrue="1" operator="equal">
      <formula>"Towel"</formula>
    </cfRule>
  </conditionalFormatting>
  <conditionalFormatting sqref="B99:C99">
    <cfRule type="cellIs" dxfId="879" priority="197" stopIfTrue="1" operator="equal">
      <formula>"Towel"</formula>
    </cfRule>
    <cfRule type="cellIs" dxfId="878" priority="198" stopIfTrue="1" operator="equal">
      <formula>"Napkin Hs"</formula>
    </cfRule>
  </conditionalFormatting>
  <conditionalFormatting sqref="C99">
    <cfRule type="cellIs" dxfId="877" priority="196" stopIfTrue="1" operator="equal">
      <formula>"Napkin Hs"</formula>
    </cfRule>
  </conditionalFormatting>
  <conditionalFormatting sqref="C99">
    <cfRule type="cellIs" dxfId="876" priority="193" stopIfTrue="1" operator="equal">
      <formula>"Towel"</formula>
    </cfRule>
    <cfRule type="cellIs" dxfId="875" priority="194" stopIfTrue="1" operator="equal">
      <formula>"Napkin Hs"</formula>
    </cfRule>
  </conditionalFormatting>
  <conditionalFormatting sqref="C99">
    <cfRule type="cellIs" dxfId="874" priority="195" stopIfTrue="1" operator="equal">
      <formula>"Towel"</formula>
    </cfRule>
  </conditionalFormatting>
  <conditionalFormatting sqref="B106:C107">
    <cfRule type="cellIs" dxfId="873" priority="191" stopIfTrue="1" operator="equal">
      <formula>"Towel"</formula>
    </cfRule>
    <cfRule type="cellIs" dxfId="872" priority="192" stopIfTrue="1" operator="equal">
      <formula>"Napkin Hs"</formula>
    </cfRule>
  </conditionalFormatting>
  <conditionalFormatting sqref="C106:C107">
    <cfRule type="cellIs" dxfId="871" priority="190" stopIfTrue="1" operator="equal">
      <formula>"Napkin Hs"</formula>
    </cfRule>
  </conditionalFormatting>
  <conditionalFormatting sqref="C106:C107">
    <cfRule type="cellIs" dxfId="870" priority="187" stopIfTrue="1" operator="equal">
      <formula>"Towel"</formula>
    </cfRule>
    <cfRule type="cellIs" dxfId="869" priority="188" stopIfTrue="1" operator="equal">
      <formula>"Napkin Hs"</formula>
    </cfRule>
  </conditionalFormatting>
  <conditionalFormatting sqref="C106:C107">
    <cfRule type="cellIs" dxfId="868" priority="189" stopIfTrue="1" operator="equal">
      <formula>"Towel"</formula>
    </cfRule>
  </conditionalFormatting>
  <conditionalFormatting sqref="B105:C105">
    <cfRule type="cellIs" dxfId="867" priority="185" stopIfTrue="1" operator="equal">
      <formula>"Towel"</formula>
    </cfRule>
    <cfRule type="cellIs" dxfId="866" priority="186" stopIfTrue="1" operator="equal">
      <formula>"Napkin Hs"</formula>
    </cfRule>
  </conditionalFormatting>
  <conditionalFormatting sqref="C105">
    <cfRule type="cellIs" dxfId="865" priority="184" stopIfTrue="1" operator="equal">
      <formula>"Napkin Hs"</formula>
    </cfRule>
  </conditionalFormatting>
  <conditionalFormatting sqref="C105">
    <cfRule type="cellIs" dxfId="864" priority="181" stopIfTrue="1" operator="equal">
      <formula>"Towel"</formula>
    </cfRule>
    <cfRule type="cellIs" dxfId="863" priority="182" stopIfTrue="1" operator="equal">
      <formula>"Napkin Hs"</formula>
    </cfRule>
  </conditionalFormatting>
  <conditionalFormatting sqref="C105">
    <cfRule type="cellIs" dxfId="862" priority="183" stopIfTrue="1" operator="equal">
      <formula>"Towel"</formula>
    </cfRule>
  </conditionalFormatting>
  <conditionalFormatting sqref="B104:C104">
    <cfRule type="cellIs" dxfId="861" priority="179" stopIfTrue="1" operator="equal">
      <formula>"Towel"</formula>
    </cfRule>
    <cfRule type="cellIs" dxfId="860" priority="180" stopIfTrue="1" operator="equal">
      <formula>"Napkin Hs"</formula>
    </cfRule>
  </conditionalFormatting>
  <conditionalFormatting sqref="C104">
    <cfRule type="cellIs" dxfId="859" priority="178" stopIfTrue="1" operator="equal">
      <formula>"Napkin Hs"</formula>
    </cfRule>
  </conditionalFormatting>
  <conditionalFormatting sqref="C104">
    <cfRule type="cellIs" dxfId="858" priority="175" stopIfTrue="1" operator="equal">
      <formula>"Towel"</formula>
    </cfRule>
    <cfRule type="cellIs" dxfId="857" priority="176" stopIfTrue="1" operator="equal">
      <formula>"Napkin Hs"</formula>
    </cfRule>
  </conditionalFormatting>
  <conditionalFormatting sqref="C104">
    <cfRule type="cellIs" dxfId="856" priority="177" stopIfTrue="1" operator="equal">
      <formula>"Towel"</formula>
    </cfRule>
  </conditionalFormatting>
  <conditionalFormatting sqref="B111:C112">
    <cfRule type="cellIs" dxfId="855" priority="173" stopIfTrue="1" operator="equal">
      <formula>"Towel"</formula>
    </cfRule>
    <cfRule type="cellIs" dxfId="854" priority="174" stopIfTrue="1" operator="equal">
      <formula>"Napkin Hs"</formula>
    </cfRule>
  </conditionalFormatting>
  <conditionalFormatting sqref="C111:C112">
    <cfRule type="cellIs" dxfId="853" priority="172" stopIfTrue="1" operator="equal">
      <formula>"Napkin Hs"</formula>
    </cfRule>
  </conditionalFormatting>
  <conditionalFormatting sqref="C111:C112">
    <cfRule type="cellIs" dxfId="852" priority="169" stopIfTrue="1" operator="equal">
      <formula>"Towel"</formula>
    </cfRule>
    <cfRule type="cellIs" dxfId="851" priority="170" stopIfTrue="1" operator="equal">
      <formula>"Napkin Hs"</formula>
    </cfRule>
  </conditionalFormatting>
  <conditionalFormatting sqref="C111:C112">
    <cfRule type="cellIs" dxfId="850" priority="171" stopIfTrue="1" operator="equal">
      <formula>"Towel"</formula>
    </cfRule>
  </conditionalFormatting>
  <conditionalFormatting sqref="B110:C110">
    <cfRule type="cellIs" dxfId="849" priority="167" stopIfTrue="1" operator="equal">
      <formula>"Towel"</formula>
    </cfRule>
    <cfRule type="cellIs" dxfId="848" priority="168" stopIfTrue="1" operator="equal">
      <formula>"Napkin Hs"</formula>
    </cfRule>
  </conditionalFormatting>
  <conditionalFormatting sqref="C110">
    <cfRule type="cellIs" dxfId="847" priority="166" stopIfTrue="1" operator="equal">
      <formula>"Napkin Hs"</formula>
    </cfRule>
  </conditionalFormatting>
  <conditionalFormatting sqref="C110">
    <cfRule type="cellIs" dxfId="846" priority="163" stopIfTrue="1" operator="equal">
      <formula>"Towel"</formula>
    </cfRule>
    <cfRule type="cellIs" dxfId="845" priority="164" stopIfTrue="1" operator="equal">
      <formula>"Napkin Hs"</formula>
    </cfRule>
  </conditionalFormatting>
  <conditionalFormatting sqref="C110">
    <cfRule type="cellIs" dxfId="844" priority="165" stopIfTrue="1" operator="equal">
      <formula>"Towel"</formula>
    </cfRule>
  </conditionalFormatting>
  <conditionalFormatting sqref="B109:C109">
    <cfRule type="cellIs" dxfId="843" priority="161" stopIfTrue="1" operator="equal">
      <formula>"Towel"</formula>
    </cfRule>
    <cfRule type="cellIs" dxfId="842" priority="162" stopIfTrue="1" operator="equal">
      <formula>"Napkin Hs"</formula>
    </cfRule>
  </conditionalFormatting>
  <conditionalFormatting sqref="C109">
    <cfRule type="cellIs" dxfId="841" priority="160" stopIfTrue="1" operator="equal">
      <formula>"Napkin Hs"</formula>
    </cfRule>
  </conditionalFormatting>
  <conditionalFormatting sqref="C109">
    <cfRule type="cellIs" dxfId="840" priority="157" stopIfTrue="1" operator="equal">
      <formula>"Towel"</formula>
    </cfRule>
    <cfRule type="cellIs" dxfId="839" priority="158" stopIfTrue="1" operator="equal">
      <formula>"Napkin Hs"</formula>
    </cfRule>
  </conditionalFormatting>
  <conditionalFormatting sqref="C109">
    <cfRule type="cellIs" dxfId="838" priority="159" stopIfTrue="1" operator="equal">
      <formula>"Towel"</formula>
    </cfRule>
  </conditionalFormatting>
  <conditionalFormatting sqref="B116:C117">
    <cfRule type="cellIs" dxfId="837" priority="155" stopIfTrue="1" operator="equal">
      <formula>"Towel"</formula>
    </cfRule>
    <cfRule type="cellIs" dxfId="836" priority="156" stopIfTrue="1" operator="equal">
      <formula>"Napkin Hs"</formula>
    </cfRule>
  </conditionalFormatting>
  <conditionalFormatting sqref="C116:C117">
    <cfRule type="cellIs" dxfId="835" priority="154" stopIfTrue="1" operator="equal">
      <formula>"Napkin Hs"</formula>
    </cfRule>
  </conditionalFormatting>
  <conditionalFormatting sqref="C116:C117">
    <cfRule type="cellIs" dxfId="834" priority="151" stopIfTrue="1" operator="equal">
      <formula>"Towel"</formula>
    </cfRule>
    <cfRule type="cellIs" dxfId="833" priority="152" stopIfTrue="1" operator="equal">
      <formula>"Napkin Hs"</formula>
    </cfRule>
  </conditionalFormatting>
  <conditionalFormatting sqref="C116:C117">
    <cfRule type="cellIs" dxfId="832" priority="153" stopIfTrue="1" operator="equal">
      <formula>"Towel"</formula>
    </cfRule>
  </conditionalFormatting>
  <conditionalFormatting sqref="B115:C115">
    <cfRule type="cellIs" dxfId="831" priority="149" stopIfTrue="1" operator="equal">
      <formula>"Towel"</formula>
    </cfRule>
    <cfRule type="cellIs" dxfId="830" priority="150" stopIfTrue="1" operator="equal">
      <formula>"Napkin Hs"</formula>
    </cfRule>
  </conditionalFormatting>
  <conditionalFormatting sqref="C115">
    <cfRule type="cellIs" dxfId="829" priority="148" stopIfTrue="1" operator="equal">
      <formula>"Napkin Hs"</formula>
    </cfRule>
  </conditionalFormatting>
  <conditionalFormatting sqref="C115">
    <cfRule type="cellIs" dxfId="828" priority="145" stopIfTrue="1" operator="equal">
      <formula>"Towel"</formula>
    </cfRule>
    <cfRule type="cellIs" dxfId="827" priority="146" stopIfTrue="1" operator="equal">
      <formula>"Napkin Hs"</formula>
    </cfRule>
  </conditionalFormatting>
  <conditionalFormatting sqref="C115">
    <cfRule type="cellIs" dxfId="826" priority="147" stopIfTrue="1" operator="equal">
      <formula>"Towel"</formula>
    </cfRule>
  </conditionalFormatting>
  <conditionalFormatting sqref="B114:C114">
    <cfRule type="cellIs" dxfId="825" priority="143" stopIfTrue="1" operator="equal">
      <formula>"Towel"</formula>
    </cfRule>
    <cfRule type="cellIs" dxfId="824" priority="144" stopIfTrue="1" operator="equal">
      <formula>"Napkin Hs"</formula>
    </cfRule>
  </conditionalFormatting>
  <conditionalFormatting sqref="C114">
    <cfRule type="cellIs" dxfId="823" priority="142" stopIfTrue="1" operator="equal">
      <formula>"Napkin Hs"</formula>
    </cfRule>
  </conditionalFormatting>
  <conditionalFormatting sqref="C114">
    <cfRule type="cellIs" dxfId="822" priority="139" stopIfTrue="1" operator="equal">
      <formula>"Towel"</formula>
    </cfRule>
    <cfRule type="cellIs" dxfId="821" priority="140" stopIfTrue="1" operator="equal">
      <formula>"Napkin Hs"</formula>
    </cfRule>
  </conditionalFormatting>
  <conditionalFormatting sqref="C114">
    <cfRule type="cellIs" dxfId="820" priority="141" stopIfTrue="1" operator="equal">
      <formula>"Towel"</formula>
    </cfRule>
  </conditionalFormatting>
  <conditionalFormatting sqref="B123:C123">
    <cfRule type="cellIs" dxfId="819" priority="119" stopIfTrue="1" operator="equal">
      <formula>"Towel"</formula>
    </cfRule>
    <cfRule type="cellIs" dxfId="818" priority="120" stopIfTrue="1" operator="equal">
      <formula>"Napkin Hs"</formula>
    </cfRule>
  </conditionalFormatting>
  <conditionalFormatting sqref="C123">
    <cfRule type="cellIs" dxfId="817" priority="118" stopIfTrue="1" operator="equal">
      <formula>"Napkin Hs"</formula>
    </cfRule>
  </conditionalFormatting>
  <conditionalFormatting sqref="C123">
    <cfRule type="cellIs" dxfId="816" priority="115" stopIfTrue="1" operator="equal">
      <formula>"Towel"</formula>
    </cfRule>
    <cfRule type="cellIs" dxfId="815" priority="116" stopIfTrue="1" operator="equal">
      <formula>"Napkin Hs"</formula>
    </cfRule>
  </conditionalFormatting>
  <conditionalFormatting sqref="C123">
    <cfRule type="cellIs" dxfId="814" priority="117" stopIfTrue="1" operator="equal">
      <formula>"Towel"</formula>
    </cfRule>
  </conditionalFormatting>
  <conditionalFormatting sqref="B121:C122">
    <cfRule type="cellIs" dxfId="813" priority="113" stopIfTrue="1" operator="equal">
      <formula>"Towel"</formula>
    </cfRule>
    <cfRule type="cellIs" dxfId="812" priority="114" stopIfTrue="1" operator="equal">
      <formula>"Napkin Hs"</formula>
    </cfRule>
  </conditionalFormatting>
  <conditionalFormatting sqref="C121:C122">
    <cfRule type="cellIs" dxfId="811" priority="112" stopIfTrue="1" operator="equal">
      <formula>"Napkin Hs"</formula>
    </cfRule>
  </conditionalFormatting>
  <conditionalFormatting sqref="C121:C122">
    <cfRule type="cellIs" dxfId="810" priority="109" stopIfTrue="1" operator="equal">
      <formula>"Towel"</formula>
    </cfRule>
    <cfRule type="cellIs" dxfId="809" priority="110" stopIfTrue="1" operator="equal">
      <formula>"Napkin Hs"</formula>
    </cfRule>
  </conditionalFormatting>
  <conditionalFormatting sqref="C121:C122">
    <cfRule type="cellIs" dxfId="808" priority="111" stopIfTrue="1" operator="equal">
      <formula>"Towel"</formula>
    </cfRule>
  </conditionalFormatting>
  <conditionalFormatting sqref="B120:C120">
    <cfRule type="cellIs" dxfId="807" priority="107" stopIfTrue="1" operator="equal">
      <formula>"Towel"</formula>
    </cfRule>
    <cfRule type="cellIs" dxfId="806" priority="108" stopIfTrue="1" operator="equal">
      <formula>"Napkin Hs"</formula>
    </cfRule>
  </conditionalFormatting>
  <conditionalFormatting sqref="C120">
    <cfRule type="cellIs" dxfId="805" priority="106" stopIfTrue="1" operator="equal">
      <formula>"Napkin Hs"</formula>
    </cfRule>
  </conditionalFormatting>
  <conditionalFormatting sqref="C120">
    <cfRule type="cellIs" dxfId="804" priority="103" stopIfTrue="1" operator="equal">
      <formula>"Towel"</formula>
    </cfRule>
    <cfRule type="cellIs" dxfId="803" priority="104" stopIfTrue="1" operator="equal">
      <formula>"Napkin Hs"</formula>
    </cfRule>
  </conditionalFormatting>
  <conditionalFormatting sqref="C120">
    <cfRule type="cellIs" dxfId="802" priority="105" stopIfTrue="1" operator="equal">
      <formula>"Towel"</formula>
    </cfRule>
  </conditionalFormatting>
  <conditionalFormatting sqref="B119:C119">
    <cfRule type="cellIs" dxfId="801" priority="101" stopIfTrue="1" operator="equal">
      <formula>"Towel"</formula>
    </cfRule>
    <cfRule type="cellIs" dxfId="800" priority="102" stopIfTrue="1" operator="equal">
      <formula>"Napkin Hs"</formula>
    </cfRule>
  </conditionalFormatting>
  <conditionalFormatting sqref="C119">
    <cfRule type="cellIs" dxfId="799" priority="100" stopIfTrue="1" operator="equal">
      <formula>"Napkin Hs"</formula>
    </cfRule>
  </conditionalFormatting>
  <conditionalFormatting sqref="C119">
    <cfRule type="cellIs" dxfId="798" priority="97" stopIfTrue="1" operator="equal">
      <formula>"Towel"</formula>
    </cfRule>
    <cfRule type="cellIs" dxfId="797" priority="98" stopIfTrue="1" operator="equal">
      <formula>"Napkin Hs"</formula>
    </cfRule>
  </conditionalFormatting>
  <conditionalFormatting sqref="C119">
    <cfRule type="cellIs" dxfId="796" priority="99" stopIfTrue="1" operator="equal">
      <formula>"Towel"</formula>
    </cfRule>
  </conditionalFormatting>
  <conditionalFormatting sqref="B126:C127">
    <cfRule type="cellIs" dxfId="795" priority="95" stopIfTrue="1" operator="equal">
      <formula>"Towel"</formula>
    </cfRule>
    <cfRule type="cellIs" dxfId="794" priority="96" stopIfTrue="1" operator="equal">
      <formula>"Napkin Hs"</formula>
    </cfRule>
  </conditionalFormatting>
  <conditionalFormatting sqref="C126:C127">
    <cfRule type="cellIs" dxfId="793" priority="94" stopIfTrue="1" operator="equal">
      <formula>"Napkin Hs"</formula>
    </cfRule>
  </conditionalFormatting>
  <conditionalFormatting sqref="C126:C127">
    <cfRule type="cellIs" dxfId="792" priority="91" stopIfTrue="1" operator="equal">
      <formula>"Towel"</formula>
    </cfRule>
    <cfRule type="cellIs" dxfId="791" priority="92" stopIfTrue="1" operator="equal">
      <formula>"Napkin Hs"</formula>
    </cfRule>
  </conditionalFormatting>
  <conditionalFormatting sqref="C126:C127">
    <cfRule type="cellIs" dxfId="790" priority="93" stopIfTrue="1" operator="equal">
      <formula>"Towel"</formula>
    </cfRule>
  </conditionalFormatting>
  <conditionalFormatting sqref="B125:C125">
    <cfRule type="cellIs" dxfId="789" priority="89" stopIfTrue="1" operator="equal">
      <formula>"Towel"</formula>
    </cfRule>
    <cfRule type="cellIs" dxfId="788" priority="90" stopIfTrue="1" operator="equal">
      <formula>"Napkin Hs"</formula>
    </cfRule>
  </conditionalFormatting>
  <conditionalFormatting sqref="C125">
    <cfRule type="cellIs" dxfId="787" priority="88" stopIfTrue="1" operator="equal">
      <formula>"Napkin Hs"</formula>
    </cfRule>
  </conditionalFormatting>
  <conditionalFormatting sqref="C125">
    <cfRule type="cellIs" dxfId="786" priority="85" stopIfTrue="1" operator="equal">
      <formula>"Towel"</formula>
    </cfRule>
    <cfRule type="cellIs" dxfId="785" priority="86" stopIfTrue="1" operator="equal">
      <formula>"Napkin Hs"</formula>
    </cfRule>
  </conditionalFormatting>
  <conditionalFormatting sqref="C125">
    <cfRule type="cellIs" dxfId="784" priority="87" stopIfTrue="1" operator="equal">
      <formula>"Towel"</formula>
    </cfRule>
  </conditionalFormatting>
  <conditionalFormatting sqref="B124:C124">
    <cfRule type="cellIs" dxfId="783" priority="83" stopIfTrue="1" operator="equal">
      <formula>"Towel"</formula>
    </cfRule>
    <cfRule type="cellIs" dxfId="782" priority="84" stopIfTrue="1" operator="equal">
      <formula>"Napkin Hs"</formula>
    </cfRule>
  </conditionalFormatting>
  <conditionalFormatting sqref="C124">
    <cfRule type="cellIs" dxfId="781" priority="82" stopIfTrue="1" operator="equal">
      <formula>"Napkin Hs"</formula>
    </cfRule>
  </conditionalFormatting>
  <conditionalFormatting sqref="C124">
    <cfRule type="cellIs" dxfId="780" priority="79" stopIfTrue="1" operator="equal">
      <formula>"Towel"</formula>
    </cfRule>
    <cfRule type="cellIs" dxfId="779" priority="80" stopIfTrue="1" operator="equal">
      <formula>"Napkin Hs"</formula>
    </cfRule>
  </conditionalFormatting>
  <conditionalFormatting sqref="C124">
    <cfRule type="cellIs" dxfId="778" priority="81" stopIfTrue="1" operator="equal">
      <formula>"Towel"</formula>
    </cfRule>
  </conditionalFormatting>
  <conditionalFormatting sqref="B131:C132">
    <cfRule type="cellIs" dxfId="777" priority="77" stopIfTrue="1" operator="equal">
      <formula>"Towel"</formula>
    </cfRule>
    <cfRule type="cellIs" dxfId="776" priority="78" stopIfTrue="1" operator="equal">
      <formula>"Napkin Hs"</formula>
    </cfRule>
  </conditionalFormatting>
  <conditionalFormatting sqref="C131:C132">
    <cfRule type="cellIs" dxfId="775" priority="76" stopIfTrue="1" operator="equal">
      <formula>"Napkin Hs"</formula>
    </cfRule>
  </conditionalFormatting>
  <conditionalFormatting sqref="C131:C132">
    <cfRule type="cellIs" dxfId="774" priority="73" stopIfTrue="1" operator="equal">
      <formula>"Towel"</formula>
    </cfRule>
    <cfRule type="cellIs" dxfId="773" priority="74" stopIfTrue="1" operator="equal">
      <formula>"Napkin Hs"</formula>
    </cfRule>
  </conditionalFormatting>
  <conditionalFormatting sqref="C131:C132">
    <cfRule type="cellIs" dxfId="772" priority="75" stopIfTrue="1" operator="equal">
      <formula>"Towel"</formula>
    </cfRule>
  </conditionalFormatting>
  <conditionalFormatting sqref="B130:C130">
    <cfRule type="cellIs" dxfId="771" priority="71" stopIfTrue="1" operator="equal">
      <formula>"Towel"</formula>
    </cfRule>
    <cfRule type="cellIs" dxfId="770" priority="72" stopIfTrue="1" operator="equal">
      <formula>"Napkin Hs"</formula>
    </cfRule>
  </conditionalFormatting>
  <conditionalFormatting sqref="C130">
    <cfRule type="cellIs" dxfId="769" priority="70" stopIfTrue="1" operator="equal">
      <formula>"Napkin Hs"</formula>
    </cfRule>
  </conditionalFormatting>
  <conditionalFormatting sqref="C130">
    <cfRule type="cellIs" dxfId="768" priority="67" stopIfTrue="1" operator="equal">
      <formula>"Towel"</formula>
    </cfRule>
    <cfRule type="cellIs" dxfId="767" priority="68" stopIfTrue="1" operator="equal">
      <formula>"Napkin Hs"</formula>
    </cfRule>
  </conditionalFormatting>
  <conditionalFormatting sqref="C130">
    <cfRule type="cellIs" dxfId="766" priority="69" stopIfTrue="1" operator="equal">
      <formula>"Towel"</formula>
    </cfRule>
  </conditionalFormatting>
  <conditionalFormatting sqref="B129:C129">
    <cfRule type="cellIs" dxfId="765" priority="65" stopIfTrue="1" operator="equal">
      <formula>"Towel"</formula>
    </cfRule>
    <cfRule type="cellIs" dxfId="764" priority="66" stopIfTrue="1" operator="equal">
      <formula>"Napkin Hs"</formula>
    </cfRule>
  </conditionalFormatting>
  <conditionalFormatting sqref="C129">
    <cfRule type="cellIs" dxfId="763" priority="64" stopIfTrue="1" operator="equal">
      <formula>"Napkin Hs"</formula>
    </cfRule>
  </conditionalFormatting>
  <conditionalFormatting sqref="C129">
    <cfRule type="cellIs" dxfId="762" priority="61" stopIfTrue="1" operator="equal">
      <formula>"Towel"</formula>
    </cfRule>
    <cfRule type="cellIs" dxfId="761" priority="62" stopIfTrue="1" operator="equal">
      <formula>"Napkin Hs"</formula>
    </cfRule>
  </conditionalFormatting>
  <conditionalFormatting sqref="C129">
    <cfRule type="cellIs" dxfId="760" priority="63" stopIfTrue="1" operator="equal">
      <formula>"Towel"</formula>
    </cfRule>
  </conditionalFormatting>
  <conditionalFormatting sqref="B136:C137">
    <cfRule type="cellIs" dxfId="759" priority="59" stopIfTrue="1" operator="equal">
      <formula>"Towel"</formula>
    </cfRule>
    <cfRule type="cellIs" dxfId="758" priority="60" stopIfTrue="1" operator="equal">
      <formula>"Napkin Hs"</formula>
    </cfRule>
  </conditionalFormatting>
  <conditionalFormatting sqref="C136:C137">
    <cfRule type="cellIs" dxfId="757" priority="58" stopIfTrue="1" operator="equal">
      <formula>"Napkin Hs"</formula>
    </cfRule>
  </conditionalFormatting>
  <conditionalFormatting sqref="C136:C137">
    <cfRule type="cellIs" dxfId="756" priority="55" stopIfTrue="1" operator="equal">
      <formula>"Towel"</formula>
    </cfRule>
    <cfRule type="cellIs" dxfId="755" priority="56" stopIfTrue="1" operator="equal">
      <formula>"Napkin Hs"</formula>
    </cfRule>
  </conditionalFormatting>
  <conditionalFormatting sqref="C136:C137">
    <cfRule type="cellIs" dxfId="754" priority="57" stopIfTrue="1" operator="equal">
      <formula>"Towel"</formula>
    </cfRule>
  </conditionalFormatting>
  <conditionalFormatting sqref="B135:C135">
    <cfRule type="cellIs" dxfId="753" priority="53" stopIfTrue="1" operator="equal">
      <formula>"Towel"</formula>
    </cfRule>
    <cfRule type="cellIs" dxfId="752" priority="54" stopIfTrue="1" operator="equal">
      <formula>"Napkin Hs"</formula>
    </cfRule>
  </conditionalFormatting>
  <conditionalFormatting sqref="C135">
    <cfRule type="cellIs" dxfId="751" priority="52" stopIfTrue="1" operator="equal">
      <formula>"Napkin Hs"</formula>
    </cfRule>
  </conditionalFormatting>
  <conditionalFormatting sqref="C135">
    <cfRule type="cellIs" dxfId="750" priority="49" stopIfTrue="1" operator="equal">
      <formula>"Towel"</formula>
    </cfRule>
    <cfRule type="cellIs" dxfId="749" priority="50" stopIfTrue="1" operator="equal">
      <formula>"Napkin Hs"</formula>
    </cfRule>
  </conditionalFormatting>
  <conditionalFormatting sqref="C135">
    <cfRule type="cellIs" dxfId="748" priority="51" stopIfTrue="1" operator="equal">
      <formula>"Towel"</formula>
    </cfRule>
  </conditionalFormatting>
  <conditionalFormatting sqref="B134:C134">
    <cfRule type="cellIs" dxfId="747" priority="47" stopIfTrue="1" operator="equal">
      <formula>"Towel"</formula>
    </cfRule>
    <cfRule type="cellIs" dxfId="746" priority="48" stopIfTrue="1" operator="equal">
      <formula>"Napkin Hs"</formula>
    </cfRule>
  </conditionalFormatting>
  <conditionalFormatting sqref="C134">
    <cfRule type="cellIs" dxfId="745" priority="46" stopIfTrue="1" operator="equal">
      <formula>"Napkin Hs"</formula>
    </cfRule>
  </conditionalFormatting>
  <conditionalFormatting sqref="C134">
    <cfRule type="cellIs" dxfId="744" priority="43" stopIfTrue="1" operator="equal">
      <formula>"Towel"</formula>
    </cfRule>
    <cfRule type="cellIs" dxfId="743" priority="44" stopIfTrue="1" operator="equal">
      <formula>"Napkin Hs"</formula>
    </cfRule>
  </conditionalFormatting>
  <conditionalFormatting sqref="C134">
    <cfRule type="cellIs" dxfId="742" priority="45" stopIfTrue="1" operator="equal">
      <formula>"Towel"</formula>
    </cfRule>
  </conditionalFormatting>
  <conditionalFormatting sqref="B143:C143">
    <cfRule type="cellIs" dxfId="741" priority="41" stopIfTrue="1" operator="equal">
      <formula>"Towel"</formula>
    </cfRule>
    <cfRule type="cellIs" dxfId="740" priority="42" stopIfTrue="1" operator="equal">
      <formula>"Napkin Hs"</formula>
    </cfRule>
  </conditionalFormatting>
  <conditionalFormatting sqref="C143">
    <cfRule type="cellIs" dxfId="739" priority="40" stopIfTrue="1" operator="equal">
      <formula>"Napkin Hs"</formula>
    </cfRule>
  </conditionalFormatting>
  <conditionalFormatting sqref="C143">
    <cfRule type="cellIs" dxfId="738" priority="37" stopIfTrue="1" operator="equal">
      <formula>"Towel"</formula>
    </cfRule>
    <cfRule type="cellIs" dxfId="737" priority="38" stopIfTrue="1" operator="equal">
      <formula>"Napkin Hs"</formula>
    </cfRule>
  </conditionalFormatting>
  <conditionalFormatting sqref="C143">
    <cfRule type="cellIs" dxfId="736" priority="39" stopIfTrue="1" operator="equal">
      <formula>"Towel"</formula>
    </cfRule>
  </conditionalFormatting>
  <conditionalFormatting sqref="B141:C142">
    <cfRule type="cellIs" dxfId="735" priority="35" stopIfTrue="1" operator="equal">
      <formula>"Towel"</formula>
    </cfRule>
    <cfRule type="cellIs" dxfId="734" priority="36" stopIfTrue="1" operator="equal">
      <formula>"Napkin Hs"</formula>
    </cfRule>
  </conditionalFormatting>
  <conditionalFormatting sqref="C141:C142">
    <cfRule type="cellIs" dxfId="733" priority="34" stopIfTrue="1" operator="equal">
      <formula>"Napkin Hs"</formula>
    </cfRule>
  </conditionalFormatting>
  <conditionalFormatting sqref="C141:C142">
    <cfRule type="cellIs" dxfId="732" priority="31" stopIfTrue="1" operator="equal">
      <formula>"Towel"</formula>
    </cfRule>
    <cfRule type="cellIs" dxfId="731" priority="32" stopIfTrue="1" operator="equal">
      <formula>"Napkin Hs"</formula>
    </cfRule>
  </conditionalFormatting>
  <conditionalFormatting sqref="C141:C142">
    <cfRule type="cellIs" dxfId="730" priority="33" stopIfTrue="1" operator="equal">
      <formula>"Towel"</formula>
    </cfRule>
  </conditionalFormatting>
  <conditionalFormatting sqref="B140:C140">
    <cfRule type="cellIs" dxfId="729" priority="29" stopIfTrue="1" operator="equal">
      <formula>"Towel"</formula>
    </cfRule>
    <cfRule type="cellIs" dxfId="728" priority="30" stopIfTrue="1" operator="equal">
      <formula>"Napkin Hs"</formula>
    </cfRule>
  </conditionalFormatting>
  <conditionalFormatting sqref="C140">
    <cfRule type="cellIs" dxfId="727" priority="28" stopIfTrue="1" operator="equal">
      <formula>"Napkin Hs"</formula>
    </cfRule>
  </conditionalFormatting>
  <conditionalFormatting sqref="C140">
    <cfRule type="cellIs" dxfId="726" priority="25" stopIfTrue="1" operator="equal">
      <formula>"Towel"</formula>
    </cfRule>
    <cfRule type="cellIs" dxfId="725" priority="26" stopIfTrue="1" operator="equal">
      <formula>"Napkin Hs"</formula>
    </cfRule>
  </conditionalFormatting>
  <conditionalFormatting sqref="C140">
    <cfRule type="cellIs" dxfId="724" priority="27" stopIfTrue="1" operator="equal">
      <formula>"Towel"</formula>
    </cfRule>
  </conditionalFormatting>
  <conditionalFormatting sqref="B139:C139">
    <cfRule type="cellIs" dxfId="723" priority="23" stopIfTrue="1" operator="equal">
      <formula>"Towel"</formula>
    </cfRule>
    <cfRule type="cellIs" dxfId="722" priority="24" stopIfTrue="1" operator="equal">
      <formula>"Napkin Hs"</formula>
    </cfRule>
  </conditionalFormatting>
  <conditionalFormatting sqref="C139">
    <cfRule type="cellIs" dxfId="721" priority="22" stopIfTrue="1" operator="equal">
      <formula>"Napkin Hs"</formula>
    </cfRule>
  </conditionalFormatting>
  <conditionalFormatting sqref="C139">
    <cfRule type="cellIs" dxfId="720" priority="19" stopIfTrue="1" operator="equal">
      <formula>"Towel"</formula>
    </cfRule>
    <cfRule type="cellIs" dxfId="719" priority="20" stopIfTrue="1" operator="equal">
      <formula>"Napkin Hs"</formula>
    </cfRule>
  </conditionalFormatting>
  <conditionalFormatting sqref="C139">
    <cfRule type="cellIs" dxfId="718" priority="21" stopIfTrue="1" operator="equal">
      <formula>"Towel"</formula>
    </cfRule>
  </conditionalFormatting>
  <conditionalFormatting sqref="B146:C147">
    <cfRule type="cellIs" dxfId="717" priority="17" stopIfTrue="1" operator="equal">
      <formula>"Towel"</formula>
    </cfRule>
    <cfRule type="cellIs" dxfId="716" priority="18" stopIfTrue="1" operator="equal">
      <formula>"Napkin Hs"</formula>
    </cfRule>
  </conditionalFormatting>
  <conditionalFormatting sqref="C146:C147">
    <cfRule type="cellIs" dxfId="715" priority="16" stopIfTrue="1" operator="equal">
      <formula>"Napkin Hs"</formula>
    </cfRule>
  </conditionalFormatting>
  <conditionalFormatting sqref="C146:C147">
    <cfRule type="cellIs" dxfId="714" priority="13" stopIfTrue="1" operator="equal">
      <formula>"Towel"</formula>
    </cfRule>
    <cfRule type="cellIs" dxfId="713" priority="14" stopIfTrue="1" operator="equal">
      <formula>"Napkin Hs"</formula>
    </cfRule>
  </conditionalFormatting>
  <conditionalFormatting sqref="C146:C147">
    <cfRule type="cellIs" dxfId="712" priority="15" stopIfTrue="1" operator="equal">
      <formula>"Towel"</formula>
    </cfRule>
  </conditionalFormatting>
  <conditionalFormatting sqref="B145:C145">
    <cfRule type="cellIs" dxfId="711" priority="11" stopIfTrue="1" operator="equal">
      <formula>"Towel"</formula>
    </cfRule>
    <cfRule type="cellIs" dxfId="710" priority="12" stopIfTrue="1" operator="equal">
      <formula>"Napkin Hs"</formula>
    </cfRule>
  </conditionalFormatting>
  <conditionalFormatting sqref="C145">
    <cfRule type="cellIs" dxfId="709" priority="10" stopIfTrue="1" operator="equal">
      <formula>"Napkin Hs"</formula>
    </cfRule>
  </conditionalFormatting>
  <conditionalFormatting sqref="C145">
    <cfRule type="cellIs" dxfId="708" priority="7" stopIfTrue="1" operator="equal">
      <formula>"Towel"</formula>
    </cfRule>
    <cfRule type="cellIs" dxfId="707" priority="8" stopIfTrue="1" operator="equal">
      <formula>"Napkin Hs"</formula>
    </cfRule>
  </conditionalFormatting>
  <conditionalFormatting sqref="C145">
    <cfRule type="cellIs" dxfId="706" priority="9" stopIfTrue="1" operator="equal">
      <formula>"Towel"</formula>
    </cfRule>
  </conditionalFormatting>
  <conditionalFormatting sqref="B144:C144">
    <cfRule type="cellIs" dxfId="705" priority="5" stopIfTrue="1" operator="equal">
      <formula>"Towel"</formula>
    </cfRule>
    <cfRule type="cellIs" dxfId="704" priority="6" stopIfTrue="1" operator="equal">
      <formula>"Napkin Hs"</formula>
    </cfRule>
  </conditionalFormatting>
  <conditionalFormatting sqref="C144">
    <cfRule type="cellIs" dxfId="703" priority="4" stopIfTrue="1" operator="equal">
      <formula>"Napkin Hs"</formula>
    </cfRule>
  </conditionalFormatting>
  <conditionalFormatting sqref="C144">
    <cfRule type="cellIs" dxfId="702" priority="1" stopIfTrue="1" operator="equal">
      <formula>"Towel"</formula>
    </cfRule>
    <cfRule type="cellIs" dxfId="701" priority="2" stopIfTrue="1" operator="equal">
      <formula>"Napkin Hs"</formula>
    </cfRule>
  </conditionalFormatting>
  <conditionalFormatting sqref="C144">
    <cfRule type="cellIs" dxfId="700" priority="3" stopIfTrue="1" operator="equal">
      <formula>"Towel"</formula>
    </cfRule>
  </conditionalFormatting>
  <pageMargins left="0.75" right="0.75" top="1" bottom="1" header="0.5" footer="0.5"/>
  <pageSetup scale="2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F214"/>
  <sheetViews>
    <sheetView zoomScale="90" zoomScaleNormal="90" workbookViewId="0">
      <pane xSplit="6" ySplit="6" topLeftCell="S7" activePane="bottomRight" state="frozen"/>
      <selection activeCell="H11" sqref="H11"/>
      <selection pane="topRight" activeCell="H11" sqref="H11"/>
      <selection pane="bottomLeft" activeCell="H11" sqref="H11"/>
      <selection pane="bottomRight" activeCell="AC6" sqref="AC6:AC145"/>
    </sheetView>
  </sheetViews>
  <sheetFormatPr defaultColWidth="10.28515625" defaultRowHeight="12"/>
  <cols>
    <col min="1" max="1" width="12.28515625" style="29" customWidth="1"/>
    <col min="2" max="3" width="14.140625" style="29" customWidth="1"/>
    <col min="4" max="4" width="10.28515625" style="29" customWidth="1"/>
    <col min="5" max="5" width="7.5703125" style="29" bestFit="1" customWidth="1"/>
    <col min="6" max="6" width="7" style="54" customWidth="1"/>
    <col min="7" max="9" width="10.28515625" style="29" customWidth="1"/>
    <col min="10" max="11" width="10.28515625" style="83" customWidth="1"/>
    <col min="12" max="13" width="12.7109375" style="55" customWidth="1"/>
    <col min="14" max="15" width="10.28515625" style="29" customWidth="1"/>
    <col min="16" max="16" width="16.85546875" style="29" bestFit="1" customWidth="1"/>
    <col min="17" max="17" width="12.7109375" style="333" customWidth="1"/>
    <col min="18" max="19" width="10.28515625" style="29" customWidth="1"/>
    <col min="20" max="20" width="10.7109375" style="29" customWidth="1"/>
    <col min="21" max="21" width="10.28515625" style="29" customWidth="1"/>
    <col min="22" max="22" width="12.28515625" style="29" customWidth="1"/>
    <col min="23" max="23" width="13" style="29" customWidth="1"/>
    <col min="24" max="24" width="10.28515625" style="29" customWidth="1"/>
    <col min="25" max="25" width="10.140625" style="29" customWidth="1"/>
    <col min="26" max="28" width="10.28515625" style="29" customWidth="1"/>
    <col min="29" max="29" width="12" style="29" customWidth="1"/>
    <col min="30" max="30" width="11.42578125" style="29" bestFit="1" customWidth="1"/>
    <col min="31" max="31" width="41.42578125" style="29" customWidth="1"/>
    <col min="32" max="38" width="10.28515625" style="29" customWidth="1"/>
    <col min="39" max="39" width="11.7109375" style="29" customWidth="1"/>
    <col min="40" max="41" width="10.28515625" style="29" customWidth="1"/>
    <col min="42" max="43" width="12.42578125" style="29" customWidth="1"/>
    <col min="44" max="44" width="29.7109375" style="29" bestFit="1" customWidth="1"/>
    <col min="45" max="16384" width="10.28515625" style="29"/>
  </cols>
  <sheetData>
    <row r="1" spans="1:58" s="22" customFormat="1" ht="15.75">
      <c r="A1" s="21" t="s">
        <v>397</v>
      </c>
      <c r="G1" s="23"/>
      <c r="H1" s="23"/>
      <c r="I1" s="23"/>
      <c r="J1" s="80"/>
      <c r="K1" s="80"/>
      <c r="L1" s="24"/>
      <c r="M1" s="24"/>
      <c r="O1" s="23"/>
      <c r="P1" s="25"/>
      <c r="Q1" s="23"/>
      <c r="R1" s="25"/>
      <c r="S1" s="25"/>
      <c r="W1" s="25"/>
      <c r="X1" s="26"/>
      <c r="Y1" s="26"/>
      <c r="Z1" s="25"/>
      <c r="AF1" s="25"/>
      <c r="AG1" s="25"/>
      <c r="AH1" s="25"/>
      <c r="AI1" s="25"/>
      <c r="AJ1" s="25"/>
      <c r="AK1" s="25"/>
      <c r="AL1" s="25"/>
      <c r="AM1" s="25"/>
      <c r="AN1" s="25"/>
      <c r="AO1" s="25"/>
      <c r="AP1" s="25"/>
      <c r="AQ1" s="25"/>
      <c r="AR1" s="25"/>
      <c r="AS1" s="25"/>
      <c r="AT1" s="25"/>
      <c r="AU1" s="25"/>
      <c r="AV1" s="25"/>
      <c r="AW1" s="25"/>
      <c r="AX1" s="25"/>
      <c r="AY1" s="25"/>
      <c r="AZ1" s="25"/>
      <c r="BA1" s="25"/>
    </row>
    <row r="2" spans="1:58" s="22" customFormat="1">
      <c r="A2" s="90"/>
      <c r="G2" s="23"/>
      <c r="H2" s="23"/>
      <c r="I2" s="23"/>
      <c r="J2" s="80"/>
      <c r="K2" s="80"/>
      <c r="L2" s="24"/>
      <c r="M2" s="24"/>
      <c r="O2" s="23"/>
      <c r="P2" s="25"/>
      <c r="Q2" s="23"/>
      <c r="R2" s="25"/>
      <c r="S2" s="25"/>
      <c r="W2" s="25"/>
      <c r="X2" s="26"/>
      <c r="Y2" s="26"/>
      <c r="Z2" s="25"/>
      <c r="AF2" s="25"/>
      <c r="AG2" s="25"/>
      <c r="AH2" s="25"/>
      <c r="AI2" s="25"/>
      <c r="AJ2" s="25"/>
      <c r="AK2" s="25"/>
      <c r="AL2" s="25"/>
      <c r="AM2" s="25"/>
      <c r="AN2" s="25"/>
      <c r="AO2" s="25"/>
      <c r="AP2" s="25"/>
      <c r="AQ2" s="25"/>
      <c r="AR2" s="25"/>
      <c r="AS2" s="25"/>
      <c r="AT2" s="25"/>
      <c r="AU2" s="25"/>
      <c r="AV2" s="25"/>
      <c r="AW2" s="25"/>
      <c r="AX2" s="25"/>
      <c r="AY2" s="25"/>
      <c r="AZ2" s="25"/>
      <c r="BA2" s="25"/>
    </row>
    <row r="3" spans="1:58" ht="24" customHeight="1">
      <c r="A3" s="644" t="s">
        <v>8</v>
      </c>
      <c r="B3" s="644" t="s">
        <v>9</v>
      </c>
      <c r="C3" s="644" t="s">
        <v>184</v>
      </c>
      <c r="D3" s="644" t="s">
        <v>91</v>
      </c>
      <c r="E3" s="644" t="s">
        <v>92</v>
      </c>
      <c r="F3" s="644" t="s">
        <v>93</v>
      </c>
      <c r="G3" s="673" t="s">
        <v>94</v>
      </c>
      <c r="H3" s="674"/>
      <c r="I3" s="674"/>
      <c r="J3" s="674"/>
      <c r="K3" s="675"/>
      <c r="L3" s="679" t="s">
        <v>95</v>
      </c>
      <c r="M3" s="680"/>
      <c r="N3" s="681"/>
      <c r="O3" s="669" t="s">
        <v>96</v>
      </c>
      <c r="P3" s="654" t="s">
        <v>108</v>
      </c>
      <c r="Q3" s="669" t="s">
        <v>97</v>
      </c>
      <c r="R3" s="661" t="s">
        <v>98</v>
      </c>
      <c r="S3" s="661" t="s">
        <v>99</v>
      </c>
      <c r="T3" s="644" t="s">
        <v>156</v>
      </c>
      <c r="U3" s="644" t="s">
        <v>155</v>
      </c>
      <c r="V3" s="644" t="s">
        <v>157</v>
      </c>
      <c r="W3" s="661" t="s">
        <v>144</v>
      </c>
      <c r="X3" s="697" t="s">
        <v>101</v>
      </c>
      <c r="Y3" s="697" t="s">
        <v>296</v>
      </c>
      <c r="Z3" s="661" t="s">
        <v>102</v>
      </c>
      <c r="AA3" s="644" t="s">
        <v>158</v>
      </c>
      <c r="AB3" s="644" t="s">
        <v>169</v>
      </c>
      <c r="AC3" s="644" t="s">
        <v>167</v>
      </c>
      <c r="AD3" s="644" t="s">
        <v>126</v>
      </c>
      <c r="AE3" s="644" t="s">
        <v>127</v>
      </c>
      <c r="AF3" s="672" t="s">
        <v>128</v>
      </c>
      <c r="AG3" s="672"/>
      <c r="AH3" s="672"/>
      <c r="AI3" s="672"/>
      <c r="AJ3" s="672"/>
      <c r="AK3" s="672"/>
      <c r="AL3" s="672"/>
      <c r="AM3" s="666" t="s">
        <v>129</v>
      </c>
      <c r="AN3" s="650" t="s">
        <v>103</v>
      </c>
      <c r="AO3" s="650"/>
      <c r="AP3" s="650"/>
      <c r="AQ3" s="650"/>
      <c r="AR3" s="650"/>
      <c r="AS3" s="651" t="s">
        <v>104</v>
      </c>
      <c r="AT3" s="662" t="s">
        <v>292</v>
      </c>
      <c r="AU3" s="663"/>
      <c r="AV3" s="646" t="s">
        <v>130</v>
      </c>
      <c r="AW3" s="647"/>
      <c r="AX3" s="648" t="s">
        <v>130</v>
      </c>
      <c r="AY3" s="649"/>
      <c r="AZ3" s="655" t="s">
        <v>308</v>
      </c>
      <c r="BA3" s="660" t="s">
        <v>105</v>
      </c>
      <c r="BB3" s="692" t="s">
        <v>106</v>
      </c>
      <c r="BC3" s="692" t="s">
        <v>107</v>
      </c>
      <c r="BD3" s="686" t="s">
        <v>398</v>
      </c>
      <c r="BE3" s="689" t="s">
        <v>399</v>
      </c>
      <c r="BF3" s="692" t="s">
        <v>400</v>
      </c>
    </row>
    <row r="4" spans="1:58" ht="12" customHeight="1">
      <c r="A4" s="645"/>
      <c r="B4" s="645"/>
      <c r="C4" s="645"/>
      <c r="D4" s="645"/>
      <c r="E4" s="645"/>
      <c r="F4" s="645"/>
      <c r="G4" s="676"/>
      <c r="H4" s="677"/>
      <c r="I4" s="677"/>
      <c r="J4" s="677"/>
      <c r="K4" s="678"/>
      <c r="L4" s="682"/>
      <c r="M4" s="683"/>
      <c r="N4" s="684"/>
      <c r="O4" s="670"/>
      <c r="P4" s="642"/>
      <c r="Q4" s="670"/>
      <c r="R4" s="685"/>
      <c r="S4" s="685"/>
      <c r="T4" s="645"/>
      <c r="U4" s="645"/>
      <c r="V4" s="645"/>
      <c r="W4" s="685"/>
      <c r="X4" s="698"/>
      <c r="Y4" s="698"/>
      <c r="Z4" s="685"/>
      <c r="AA4" s="645"/>
      <c r="AB4" s="645"/>
      <c r="AC4" s="645"/>
      <c r="AD4" s="645"/>
      <c r="AE4" s="645"/>
      <c r="AF4" s="694" t="s">
        <v>131</v>
      </c>
      <c r="AG4" s="695"/>
      <c r="AH4" s="696"/>
      <c r="AI4" s="642" t="s">
        <v>223</v>
      </c>
      <c r="AJ4" s="642" t="s">
        <v>15</v>
      </c>
      <c r="AK4" s="642" t="s">
        <v>132</v>
      </c>
      <c r="AL4" s="642" t="s">
        <v>18</v>
      </c>
      <c r="AM4" s="667"/>
      <c r="AN4" s="653" t="s">
        <v>109</v>
      </c>
      <c r="AO4" s="653" t="s">
        <v>15</v>
      </c>
      <c r="AP4" s="653" t="s">
        <v>110</v>
      </c>
      <c r="AQ4" s="653" t="s">
        <v>18</v>
      </c>
      <c r="AR4" s="660" t="s">
        <v>111</v>
      </c>
      <c r="AS4" s="651"/>
      <c r="AT4" s="664"/>
      <c r="AU4" s="665"/>
      <c r="AV4" s="514" t="s">
        <v>6</v>
      </c>
      <c r="AW4" s="514" t="s">
        <v>133</v>
      </c>
      <c r="AX4" s="515" t="s">
        <v>6</v>
      </c>
      <c r="AY4" s="516" t="s">
        <v>133</v>
      </c>
      <c r="AZ4" s="656"/>
      <c r="BA4" s="660"/>
      <c r="BB4" s="692"/>
      <c r="BC4" s="692"/>
      <c r="BD4" s="687"/>
      <c r="BE4" s="690"/>
      <c r="BF4" s="692"/>
    </row>
    <row r="5" spans="1:58" s="32" customFormat="1" ht="48">
      <c r="A5" s="645"/>
      <c r="B5" s="645"/>
      <c r="C5" s="671"/>
      <c r="D5" s="645"/>
      <c r="E5" s="645"/>
      <c r="F5" s="645"/>
      <c r="G5" s="532" t="s">
        <v>112</v>
      </c>
      <c r="H5" s="531" t="s">
        <v>113</v>
      </c>
      <c r="I5" s="30" t="s">
        <v>114</v>
      </c>
      <c r="J5" s="81" t="s">
        <v>115</v>
      </c>
      <c r="K5" s="81" t="s">
        <v>100</v>
      </c>
      <c r="L5" s="31" t="s">
        <v>116</v>
      </c>
      <c r="M5" s="31" t="s">
        <v>117</v>
      </c>
      <c r="N5" s="531" t="s">
        <v>118</v>
      </c>
      <c r="O5" s="670"/>
      <c r="P5" s="643"/>
      <c r="Q5" s="670"/>
      <c r="R5" s="685"/>
      <c r="S5" s="685"/>
      <c r="T5" s="645"/>
      <c r="U5" s="645"/>
      <c r="V5" s="645"/>
      <c r="W5" s="685"/>
      <c r="X5" s="698"/>
      <c r="Y5" s="699"/>
      <c r="Z5" s="685"/>
      <c r="AA5" s="645"/>
      <c r="AB5" s="671"/>
      <c r="AC5" s="645"/>
      <c r="AD5" s="671"/>
      <c r="AE5" s="645"/>
      <c r="AF5" s="444" t="s">
        <v>297</v>
      </c>
      <c r="AG5" s="530" t="s">
        <v>298</v>
      </c>
      <c r="AH5" s="530" t="s">
        <v>299</v>
      </c>
      <c r="AI5" s="643"/>
      <c r="AJ5" s="643"/>
      <c r="AK5" s="643"/>
      <c r="AL5" s="643"/>
      <c r="AM5" s="668"/>
      <c r="AN5" s="654"/>
      <c r="AO5" s="654"/>
      <c r="AP5" s="654"/>
      <c r="AQ5" s="654"/>
      <c r="AR5" s="661"/>
      <c r="AS5" s="652"/>
      <c r="AT5" s="533" t="s">
        <v>293</v>
      </c>
      <c r="AU5" s="533" t="s">
        <v>294</v>
      </c>
      <c r="AV5" s="517" t="s">
        <v>295</v>
      </c>
      <c r="AW5" s="517" t="s">
        <v>295</v>
      </c>
      <c r="AX5" s="515" t="s">
        <v>17</v>
      </c>
      <c r="AY5" s="515" t="s">
        <v>17</v>
      </c>
      <c r="AZ5" s="657"/>
      <c r="BA5" s="661"/>
      <c r="BB5" s="644"/>
      <c r="BC5" s="644"/>
      <c r="BD5" s="688"/>
      <c r="BE5" s="691"/>
      <c r="BF5" s="693"/>
    </row>
    <row r="6" spans="1:58" ht="12.75" customHeight="1">
      <c r="A6" s="40">
        <f>+Report1!A9</f>
        <v>45901</v>
      </c>
      <c r="B6" s="41" t="s">
        <v>7</v>
      </c>
      <c r="C6" s="415">
        <f t="shared" ref="C6" si="0">(M6*E6*O6*Q6)/100000000</f>
        <v>42.960455999999994</v>
      </c>
      <c r="D6" s="41" t="s">
        <v>304</v>
      </c>
      <c r="E6" s="42">
        <v>12</v>
      </c>
      <c r="F6" s="42">
        <v>1</v>
      </c>
      <c r="G6" s="500">
        <v>1230</v>
      </c>
      <c r="H6" s="44">
        <v>0.23</v>
      </c>
      <c r="I6" s="45">
        <v>0.88</v>
      </c>
      <c r="J6" s="82">
        <f t="shared" ref="J6" si="1">E6*G6*(1-H6)*1440/1000000*2.74</f>
        <v>44.842533120000006</v>
      </c>
      <c r="K6" s="82">
        <f t="shared" ref="K6" si="2">(IF(G6&lt;L6,L6,G6)*(1-IF(H6&lt;N6,H6,N6))*E6*O6*Q6)/100000000</f>
        <v>42.960455999999994</v>
      </c>
      <c r="L6" s="35">
        <v>1230</v>
      </c>
      <c r="M6" s="35">
        <v>947.09999999999991</v>
      </c>
      <c r="N6" s="46">
        <f t="shared" ref="N6" si="3">1-(M6/L6)</f>
        <v>0.23000000000000009</v>
      </c>
      <c r="O6" s="47">
        <f>+'Trim Rwd'!H4</f>
        <v>262.5</v>
      </c>
      <c r="P6" s="48">
        <f t="shared" ref="P6" si="4">O6*(Q6-R6-S6)</f>
        <v>359362.5</v>
      </c>
      <c r="Q6" s="47">
        <v>1440</v>
      </c>
      <c r="R6" s="501">
        <v>0</v>
      </c>
      <c r="S6" s="501">
        <v>71</v>
      </c>
      <c r="T6" s="37">
        <f t="shared" ref="T6" si="5">E6*M6*O6*Q6/100000000</f>
        <v>42.960455999999994</v>
      </c>
      <c r="U6" s="37">
        <f t="shared" ref="U6" si="6">E6*M6*O6*(Q6-R6-S6)/100000000</f>
        <v>40.842266849999994</v>
      </c>
      <c r="V6" s="37">
        <f t="shared" ref="V6" si="7">E6*G6*(1-N6)*O6/100*(R6+S6)/1000000</f>
        <v>2.1181891499999996</v>
      </c>
      <c r="W6" s="37">
        <f>+'1'!K7/1000</f>
        <v>38.948</v>
      </c>
      <c r="X6" s="502">
        <f>SUM(W6:W9)/SUM(K6:K9)</f>
        <v>0.96558565393253748</v>
      </c>
      <c r="Y6" s="211">
        <v>0</v>
      </c>
      <c r="Z6" s="37">
        <f>+'1'!D25/1000</f>
        <v>0</v>
      </c>
      <c r="AA6" s="49">
        <f>SUM(U6:U9)-SUM(W6:W9)-SUM(Z6:Z9)-SUM(Y6:Y9)</f>
        <v>-0.63973315000000497</v>
      </c>
      <c r="AB6" s="49">
        <f>(SUM(K6:K9)-SUM(W6:W9)-SUM(Y6:Y9)-SUM(Z6:Z9)-SUM(AC6:AC9)-SUM(V6:V9))-AA6</f>
        <v>0</v>
      </c>
      <c r="AC6" s="37">
        <f>K6-T6</f>
        <v>0</v>
      </c>
      <c r="AD6" s="37">
        <f>+AM6+BA6</f>
        <v>35</v>
      </c>
      <c r="AE6" s="230" t="s">
        <v>411</v>
      </c>
      <c r="AF6" s="37">
        <v>35</v>
      </c>
      <c r="AG6" s="37"/>
      <c r="AH6" s="37"/>
      <c r="AI6" s="503"/>
      <c r="AJ6" s="37"/>
      <c r="AK6" s="37"/>
      <c r="AL6" s="37"/>
      <c r="AM6" s="37">
        <f t="shared" ref="AM6:AM8" si="8">SUM(AF6:AL6)+AT6+AV6+AX6</f>
        <v>35</v>
      </c>
      <c r="AN6" s="37"/>
      <c r="AO6" s="37"/>
      <c r="AP6" s="37"/>
      <c r="AQ6" s="37"/>
      <c r="AR6" s="37">
        <f>SUM(AN6:AQ6)</f>
        <v>0</v>
      </c>
      <c r="AS6" s="37"/>
      <c r="AT6" s="37"/>
      <c r="AU6" s="37"/>
      <c r="AV6" s="37"/>
      <c r="AW6" s="37"/>
      <c r="AX6" s="37"/>
      <c r="AY6" s="37"/>
      <c r="AZ6" s="37"/>
      <c r="BA6" s="37">
        <f>+AR6+AS6+AU6+AW6+AY6+AZ6</f>
        <v>0</v>
      </c>
      <c r="BB6" s="33">
        <v>7</v>
      </c>
      <c r="BC6" s="51"/>
      <c r="BD6" s="51"/>
      <c r="BE6" s="33"/>
      <c r="BF6" s="51"/>
    </row>
    <row r="7" spans="1:58" ht="12.95" customHeight="1">
      <c r="A7" s="40"/>
      <c r="B7" s="41" t="s">
        <v>7</v>
      </c>
      <c r="C7" s="415"/>
      <c r="D7" s="41"/>
      <c r="E7" s="42">
        <v>13</v>
      </c>
      <c r="F7" s="42"/>
      <c r="G7" s="500"/>
      <c r="H7" s="44"/>
      <c r="I7" s="45"/>
      <c r="J7" s="82"/>
      <c r="K7" s="82"/>
      <c r="L7" s="35"/>
      <c r="M7" s="35"/>
      <c r="N7" s="46"/>
      <c r="O7" s="47"/>
      <c r="P7" s="48"/>
      <c r="Q7" s="47"/>
      <c r="R7" s="501"/>
      <c r="S7" s="501"/>
      <c r="T7" s="37"/>
      <c r="U7" s="37"/>
      <c r="V7" s="37"/>
      <c r="W7" s="37">
        <f>+'1'!K8/1000</f>
        <v>2.5339999999999998</v>
      </c>
      <c r="X7" s="38"/>
      <c r="Y7" s="211"/>
      <c r="Z7" s="37"/>
      <c r="AA7" s="37"/>
      <c r="AB7" s="37"/>
      <c r="AC7" s="37"/>
      <c r="AD7" s="37">
        <f>+AM7+BA7</f>
        <v>10</v>
      </c>
      <c r="AE7" s="230" t="s">
        <v>412</v>
      </c>
      <c r="AF7" s="37"/>
      <c r="AG7" s="37">
        <v>10</v>
      </c>
      <c r="AH7" s="37"/>
      <c r="AI7" s="503"/>
      <c r="AJ7" s="37"/>
      <c r="AK7" s="37"/>
      <c r="AL7" s="37"/>
      <c r="AM7" s="37">
        <f t="shared" si="8"/>
        <v>10</v>
      </c>
      <c r="AN7" s="83"/>
      <c r="AO7" s="37"/>
      <c r="AP7" s="37"/>
      <c r="AQ7" s="37"/>
      <c r="AR7" s="37">
        <f t="shared" ref="AR7:AR8" si="9">SUM(AN7:AQ7)</f>
        <v>0</v>
      </c>
      <c r="AS7" s="37"/>
      <c r="AT7" s="37"/>
      <c r="AU7" s="37"/>
      <c r="AV7" s="37"/>
      <c r="AW7" s="37"/>
      <c r="AX7" s="37"/>
      <c r="AY7" s="37"/>
      <c r="AZ7" s="37"/>
      <c r="BA7" s="37">
        <f>+AR7+AS7+AU7+AW7+AY7+AZ7</f>
        <v>0</v>
      </c>
      <c r="BB7" s="50"/>
      <c r="BC7" s="51">
        <v>10</v>
      </c>
      <c r="BD7" s="51"/>
      <c r="BE7" s="50"/>
      <c r="BF7" s="51"/>
    </row>
    <row r="8" spans="1:58" ht="12.95" customHeight="1">
      <c r="A8" s="40"/>
      <c r="B8" s="41"/>
      <c r="C8" s="415"/>
      <c r="D8" s="41"/>
      <c r="E8" s="42"/>
      <c r="F8" s="42"/>
      <c r="G8" s="43"/>
      <c r="H8" s="44"/>
      <c r="I8" s="45"/>
      <c r="J8" s="82"/>
      <c r="K8" s="82"/>
      <c r="L8" s="35"/>
      <c r="M8" s="35"/>
      <c r="N8" s="46"/>
      <c r="O8" s="47"/>
      <c r="P8" s="48"/>
      <c r="Q8" s="47"/>
      <c r="R8" s="501"/>
      <c r="S8" s="501"/>
      <c r="T8" s="37"/>
      <c r="U8" s="37"/>
      <c r="V8" s="37"/>
      <c r="W8" s="37"/>
      <c r="X8" s="38"/>
      <c r="Y8" s="211"/>
      <c r="Z8" s="37"/>
      <c r="AA8" s="37"/>
      <c r="AB8" s="37"/>
      <c r="AC8" s="37"/>
      <c r="AD8" s="37">
        <f>+AM8+BA8</f>
        <v>26</v>
      </c>
      <c r="AE8" s="230" t="s">
        <v>413</v>
      </c>
      <c r="AF8" s="33"/>
      <c r="AG8" s="33"/>
      <c r="AH8" s="33">
        <v>26</v>
      </c>
      <c r="AJ8" s="37"/>
      <c r="AK8" s="37"/>
      <c r="AL8" s="37"/>
      <c r="AM8" s="37">
        <f t="shared" si="8"/>
        <v>26</v>
      </c>
      <c r="AN8" s="37"/>
      <c r="AO8" s="37"/>
      <c r="AP8" s="37"/>
      <c r="AQ8" s="37"/>
      <c r="AR8" s="37">
        <f t="shared" si="9"/>
        <v>0</v>
      </c>
      <c r="AS8" s="37"/>
      <c r="AT8" s="37"/>
      <c r="AU8" s="37"/>
      <c r="AV8" s="37"/>
      <c r="AW8" s="37"/>
      <c r="AX8" s="37"/>
      <c r="AY8" s="37"/>
      <c r="AZ8" s="37"/>
      <c r="BA8" s="37">
        <f>+AR8+AS8+AU8+AW8+AY8+AZ8</f>
        <v>0</v>
      </c>
      <c r="BB8" s="33"/>
      <c r="BC8" s="504"/>
      <c r="BD8" s="504"/>
      <c r="BE8" s="33"/>
      <c r="BF8" s="504"/>
    </row>
    <row r="9" spans="1:58" ht="12.95" customHeight="1">
      <c r="A9" s="40"/>
      <c r="B9" s="41"/>
      <c r="C9" s="415"/>
      <c r="D9" s="41"/>
      <c r="E9" s="42"/>
      <c r="F9" s="42"/>
      <c r="G9" s="43"/>
      <c r="H9" s="44"/>
      <c r="I9" s="45"/>
      <c r="J9" s="82"/>
      <c r="K9" s="82"/>
      <c r="L9" s="35"/>
      <c r="M9" s="35"/>
      <c r="N9" s="46"/>
      <c r="O9" s="47"/>
      <c r="P9" s="48"/>
      <c r="Q9" s="34"/>
      <c r="R9" s="501"/>
      <c r="S9" s="501"/>
      <c r="T9" s="37"/>
      <c r="U9" s="37"/>
      <c r="V9" s="37"/>
      <c r="W9" s="37"/>
      <c r="X9" s="38"/>
      <c r="Y9" s="211"/>
      <c r="Z9" s="37"/>
      <c r="AA9" s="37"/>
      <c r="AB9" s="37"/>
      <c r="AC9" s="37"/>
      <c r="AD9" s="37"/>
      <c r="AE9" s="233"/>
      <c r="AF9" s="37"/>
      <c r="AG9" s="37"/>
      <c r="AH9" s="37"/>
      <c r="AI9" s="503"/>
      <c r="AJ9" s="37"/>
      <c r="AK9" s="37"/>
      <c r="AL9" s="37"/>
      <c r="AM9" s="37"/>
      <c r="AN9" s="37"/>
      <c r="AO9" s="37"/>
      <c r="AP9" s="37"/>
      <c r="AQ9" s="37"/>
      <c r="AR9" s="37"/>
      <c r="AS9" s="37"/>
      <c r="AT9" s="37"/>
      <c r="AU9" s="37"/>
      <c r="AV9" s="37"/>
      <c r="AW9" s="37"/>
      <c r="AX9" s="37"/>
      <c r="AY9" s="37"/>
      <c r="AZ9" s="37"/>
      <c r="BA9" s="37"/>
      <c r="BB9" s="50"/>
      <c r="BC9" s="51"/>
      <c r="BD9" s="51"/>
      <c r="BE9" s="50"/>
      <c r="BF9" s="51"/>
    </row>
    <row r="10" spans="1:58" ht="12.75" customHeight="1">
      <c r="A10" s="40">
        <v>45902</v>
      </c>
      <c r="B10" s="41" t="s">
        <v>7</v>
      </c>
      <c r="C10" s="415">
        <f t="shared" ref="C10:C11" si="10">(M10*E10*O10*Q10)/100000000</f>
        <v>21.799353412941169</v>
      </c>
      <c r="D10" s="41" t="s">
        <v>304</v>
      </c>
      <c r="E10" s="42">
        <v>12</v>
      </c>
      <c r="F10" s="42">
        <v>1</v>
      </c>
      <c r="G10" s="500">
        <v>1230</v>
      </c>
      <c r="H10" s="44">
        <v>0.23</v>
      </c>
      <c r="I10" s="45">
        <v>0.88</v>
      </c>
      <c r="J10" s="82">
        <f t="shared" ref="J10:J11" si="11">E10*G10*(1-H10)*1440/1000000*2.74</f>
        <v>44.842533120000006</v>
      </c>
      <c r="K10" s="82">
        <f t="shared" ref="K10:K11" si="12">(IF(G10&lt;L10,L10,G10)*(1-IF(H10&lt;N10,H10,N10))*E10*O10*Q10)/100000000</f>
        <v>21.911203069411759</v>
      </c>
      <c r="L10" s="35">
        <v>1223.7212449255751</v>
      </c>
      <c r="M10" s="35">
        <v>942.26535859269268</v>
      </c>
      <c r="N10" s="46">
        <f t="shared" ref="N10:N11" si="13">1-(M10/L10)</f>
        <v>0.23000000000000009</v>
      </c>
      <c r="O10" s="47">
        <f>+'Trim Rwd'!H7</f>
        <v>260.88235294117646</v>
      </c>
      <c r="P10" s="48">
        <f t="shared" ref="P10:P11" si="14">O10*(Q10-R10-S10)</f>
        <v>182356.76470588235</v>
      </c>
      <c r="Q10" s="47">
        <v>739</v>
      </c>
      <c r="R10" s="501">
        <v>0</v>
      </c>
      <c r="S10" s="501">
        <v>40</v>
      </c>
      <c r="T10" s="37">
        <f t="shared" ref="T10:T11" si="15">E10*M10*O10*Q10/100000000</f>
        <v>21.799353412941169</v>
      </c>
      <c r="U10" s="37">
        <f t="shared" ref="U10:U11" si="16">E10*M10*O10*(Q10-R10-S10)/100000000</f>
        <v>20.619415474486981</v>
      </c>
      <c r="V10" s="37">
        <f t="shared" ref="V10:V11" si="17">E10*G10*(1-N10)*O10/100*(R10+S10)/1000000</f>
        <v>1.1859920470588232</v>
      </c>
      <c r="W10" s="37">
        <f>+'2'!K7/1000</f>
        <v>17.890999999999998</v>
      </c>
      <c r="X10" s="502">
        <f>SUM(W10:W13)/SUM(K10:K13)</f>
        <v>0.73741505056736756</v>
      </c>
      <c r="Y10" s="211">
        <v>0</v>
      </c>
      <c r="Z10" s="37">
        <f>+'1'!D29/1000</f>
        <v>0</v>
      </c>
      <c r="AA10" s="49">
        <f>SUM(U10:U13)-SUM(W10:W13)-SUM(Z10:Z13)-SUM(Y10:Y13)</f>
        <v>7.8765482085811298</v>
      </c>
      <c r="AB10" s="49">
        <f>(SUM(K10:K13)-SUM(W10:W13)-SUM(Y10:Y13)-SUM(Z10:Z13)-SUM(AC10:AC13)-SUM(V10:V13))-AA10</f>
        <v>-2.8590402698779549E-2</v>
      </c>
      <c r="AC10" s="37">
        <f>K10-T10</f>
        <v>0.11184965647058931</v>
      </c>
      <c r="AD10" s="37">
        <f>+AM10+BA10</f>
        <v>28</v>
      </c>
      <c r="AE10" s="230" t="s">
        <v>435</v>
      </c>
      <c r="AF10" s="37">
        <v>28</v>
      </c>
      <c r="AG10" s="37"/>
      <c r="AH10" s="37"/>
      <c r="AI10" s="503"/>
      <c r="AJ10" s="37"/>
      <c r="AK10" s="37"/>
      <c r="AL10" s="37"/>
      <c r="AM10" s="37">
        <f t="shared" ref="AM10:AM12" si="18">SUM(AF10:AL10)+AT10+AV10+AX10</f>
        <v>28</v>
      </c>
      <c r="AN10" s="37"/>
      <c r="AO10" s="37"/>
      <c r="AP10" s="37"/>
      <c r="AQ10" s="37"/>
      <c r="AR10" s="37">
        <f>SUM(AN10:AQ10)</f>
        <v>0</v>
      </c>
      <c r="AS10" s="37"/>
      <c r="AT10" s="37"/>
      <c r="AU10" s="37"/>
      <c r="AV10" s="37"/>
      <c r="AW10" s="37"/>
      <c r="AX10" s="37"/>
      <c r="AY10" s="37"/>
      <c r="AZ10" s="37"/>
      <c r="BA10" s="37">
        <f>+AR10+AS10+AU10+AW10+AY10+AZ10</f>
        <v>0</v>
      </c>
      <c r="BB10" s="33">
        <v>13</v>
      </c>
      <c r="BC10" s="51"/>
      <c r="BD10" s="51"/>
      <c r="BE10" s="33"/>
      <c r="BF10" s="51"/>
    </row>
    <row r="11" spans="1:58" ht="12.95" customHeight="1">
      <c r="A11" s="40"/>
      <c r="B11" s="41" t="s">
        <v>7</v>
      </c>
      <c r="C11" s="415">
        <f t="shared" si="10"/>
        <v>20.298478200000002</v>
      </c>
      <c r="D11" s="41" t="s">
        <v>304</v>
      </c>
      <c r="E11" s="42">
        <v>13</v>
      </c>
      <c r="F11" s="42">
        <v>1</v>
      </c>
      <c r="G11" s="500">
        <v>1230</v>
      </c>
      <c r="H11" s="44">
        <v>0.22</v>
      </c>
      <c r="I11" s="45">
        <v>0.88</v>
      </c>
      <c r="J11" s="82">
        <f t="shared" si="11"/>
        <v>49.210312320000007</v>
      </c>
      <c r="K11" s="82">
        <f t="shared" si="12"/>
        <v>20.983229279999996</v>
      </c>
      <c r="L11" s="35">
        <v>1205.3138373751783</v>
      </c>
      <c r="M11" s="35">
        <v>928.09165477888735</v>
      </c>
      <c r="N11" s="46">
        <f t="shared" si="13"/>
        <v>0.22999999999999998</v>
      </c>
      <c r="O11" s="47">
        <f>+'Trim Rwd'!H9</f>
        <v>240</v>
      </c>
      <c r="P11" s="48">
        <f t="shared" si="14"/>
        <v>159120</v>
      </c>
      <c r="Q11" s="47">
        <v>701</v>
      </c>
      <c r="R11" s="501">
        <v>0</v>
      </c>
      <c r="S11" s="501">
        <f>78-S10</f>
        <v>38</v>
      </c>
      <c r="T11" s="37">
        <f t="shared" si="15"/>
        <v>20.298478200000002</v>
      </c>
      <c r="U11" s="37">
        <f t="shared" si="16"/>
        <v>19.198132734094148</v>
      </c>
      <c r="V11" s="37">
        <f t="shared" si="17"/>
        <v>1.1228817600000003</v>
      </c>
      <c r="W11" s="37">
        <f>+'2'!K8/1000</f>
        <v>13.74</v>
      </c>
      <c r="X11" s="38"/>
      <c r="Y11" s="211"/>
      <c r="Z11" s="37">
        <f>+'2'!D25/1000</f>
        <v>0.31</v>
      </c>
      <c r="AA11" s="37"/>
      <c r="AB11" s="37"/>
      <c r="AC11" s="37">
        <f>K11-T11</f>
        <v>0.68475107999999452</v>
      </c>
      <c r="AD11" s="37">
        <f>+AM11+BA11</f>
        <v>8</v>
      </c>
      <c r="AE11" s="230" t="s">
        <v>431</v>
      </c>
      <c r="AF11" s="37"/>
      <c r="AG11" s="37">
        <v>8</v>
      </c>
      <c r="AH11" s="37"/>
      <c r="AI11" s="503"/>
      <c r="AJ11" s="37"/>
      <c r="AK11" s="37"/>
      <c r="AL11" s="37"/>
      <c r="AM11" s="37">
        <f t="shared" si="18"/>
        <v>8</v>
      </c>
      <c r="AN11" s="83"/>
      <c r="AO11" s="37"/>
      <c r="AP11" s="37"/>
      <c r="AQ11" s="37"/>
      <c r="AR11" s="37">
        <f t="shared" ref="AR11:AR12" si="19">SUM(AN11:AQ11)</f>
        <v>0</v>
      </c>
      <c r="AS11" s="37"/>
      <c r="AT11" s="37"/>
      <c r="AU11" s="37"/>
      <c r="AV11" s="37"/>
      <c r="AW11" s="37"/>
      <c r="AX11" s="37"/>
      <c r="AY11" s="37"/>
      <c r="AZ11" s="37"/>
      <c r="BA11" s="37">
        <f>+AR11+AS11+AU11+AW11+AY11+AZ11</f>
        <v>0</v>
      </c>
      <c r="BB11" s="50"/>
      <c r="BC11" s="51">
        <v>4</v>
      </c>
      <c r="BD11" s="51"/>
      <c r="BE11" s="50"/>
      <c r="BF11" s="51"/>
    </row>
    <row r="12" spans="1:58" ht="12.95" customHeight="1">
      <c r="A12" s="40"/>
      <c r="B12" s="41"/>
      <c r="C12" s="415"/>
      <c r="D12" s="41"/>
      <c r="E12" s="42"/>
      <c r="F12" s="42"/>
      <c r="G12" s="43"/>
      <c r="H12" s="44"/>
      <c r="I12" s="45"/>
      <c r="J12" s="82"/>
      <c r="K12" s="82"/>
      <c r="L12" s="35"/>
      <c r="M12" s="35"/>
      <c r="N12" s="46"/>
      <c r="O12" s="47"/>
      <c r="P12" s="48"/>
      <c r="Q12" s="47"/>
      <c r="R12" s="501"/>
      <c r="S12" s="501"/>
      <c r="T12" s="37"/>
      <c r="U12" s="37"/>
      <c r="V12" s="37"/>
      <c r="W12" s="37"/>
      <c r="X12" s="38"/>
      <c r="Y12" s="211"/>
      <c r="Z12" s="37"/>
      <c r="AA12" s="37"/>
      <c r="AB12" s="37"/>
      <c r="AC12" s="37"/>
      <c r="AD12" s="37">
        <f>+AM12+BA12</f>
        <v>42</v>
      </c>
      <c r="AE12" s="230" t="s">
        <v>436</v>
      </c>
      <c r="AF12" s="33"/>
      <c r="AG12" s="33"/>
      <c r="AH12" s="33">
        <v>42</v>
      </c>
      <c r="AJ12" s="37"/>
      <c r="AK12" s="37"/>
      <c r="AL12" s="37"/>
      <c r="AM12" s="37">
        <f t="shared" si="18"/>
        <v>42</v>
      </c>
      <c r="AN12" s="37"/>
      <c r="AO12" s="37"/>
      <c r="AP12" s="37"/>
      <c r="AQ12" s="37"/>
      <c r="AR12" s="37">
        <f t="shared" si="19"/>
        <v>0</v>
      </c>
      <c r="AS12" s="37"/>
      <c r="AT12" s="37"/>
      <c r="AU12" s="37"/>
      <c r="AV12" s="37"/>
      <c r="AW12" s="37"/>
      <c r="AX12" s="37"/>
      <c r="AY12" s="37"/>
      <c r="AZ12" s="37"/>
      <c r="BA12" s="37">
        <f>+AR12+AS12+AU12+AW12+AY12+AZ12</f>
        <v>0</v>
      </c>
      <c r="BB12" s="33"/>
      <c r="BC12" s="504"/>
      <c r="BD12" s="504"/>
      <c r="BE12" s="33"/>
      <c r="BF12" s="504"/>
    </row>
    <row r="13" spans="1:58" ht="12.95" customHeight="1">
      <c r="A13" s="40"/>
      <c r="B13" s="41"/>
      <c r="C13" s="415"/>
      <c r="D13" s="41"/>
      <c r="E13" s="42"/>
      <c r="F13" s="42"/>
      <c r="G13" s="500"/>
      <c r="H13" s="44"/>
      <c r="I13" s="45"/>
      <c r="J13" s="82"/>
      <c r="K13" s="82"/>
      <c r="L13" s="35"/>
      <c r="M13" s="35"/>
      <c r="N13" s="46"/>
      <c r="O13" s="47"/>
      <c r="P13" s="48"/>
      <c r="Q13" s="47"/>
      <c r="R13" s="501"/>
      <c r="S13" s="501"/>
      <c r="T13" s="37"/>
      <c r="U13" s="37"/>
      <c r="V13" s="37"/>
      <c r="W13" s="37"/>
      <c r="X13" s="38"/>
      <c r="Y13" s="211"/>
      <c r="Z13" s="37"/>
      <c r="AA13" s="37"/>
      <c r="AB13" s="37"/>
      <c r="AC13" s="37"/>
      <c r="AD13" s="37"/>
      <c r="AE13" s="230"/>
      <c r="AF13" s="37"/>
      <c r="AG13" s="37"/>
      <c r="AH13" s="37"/>
      <c r="AI13" s="503"/>
      <c r="AJ13" s="37"/>
      <c r="AK13" s="37"/>
      <c r="AL13" s="37"/>
      <c r="AM13" s="37"/>
      <c r="AN13" s="83"/>
      <c r="AO13" s="37"/>
      <c r="AP13" s="37"/>
      <c r="AQ13" s="37"/>
      <c r="AR13" s="37"/>
      <c r="AS13" s="37"/>
      <c r="AT13" s="37"/>
      <c r="AU13" s="37"/>
      <c r="AV13" s="37"/>
      <c r="AW13" s="37"/>
      <c r="AX13" s="37"/>
      <c r="AY13" s="37"/>
      <c r="AZ13" s="37"/>
      <c r="BA13" s="37"/>
      <c r="BB13" s="50"/>
      <c r="BC13" s="51"/>
      <c r="BD13" s="51"/>
      <c r="BE13" s="50"/>
      <c r="BF13" s="51"/>
    </row>
    <row r="14" spans="1:58" ht="12.75" customHeight="1">
      <c r="A14" s="40">
        <v>45903</v>
      </c>
      <c r="B14" s="41" t="s">
        <v>7</v>
      </c>
      <c r="C14" s="415">
        <f t="shared" ref="C14:C15" si="20">(M14*E14*O14*Q14)/100000000</f>
        <v>5.0825174400000002</v>
      </c>
      <c r="D14" s="41" t="s">
        <v>304</v>
      </c>
      <c r="E14" s="42">
        <v>13</v>
      </c>
      <c r="F14" s="42">
        <v>1</v>
      </c>
      <c r="G14" s="500">
        <v>1230</v>
      </c>
      <c r="H14" s="44">
        <v>0.22</v>
      </c>
      <c r="I14" s="45">
        <v>0.88</v>
      </c>
      <c r="J14" s="82">
        <f t="shared" ref="J14:J15" si="21">E14*G14*(1-H14)*1440/1000000*2.74</f>
        <v>49.210312320000007</v>
      </c>
      <c r="K14" s="82">
        <f t="shared" ref="K14:K15" si="22">(IF(G14&lt;L14,L14,G14)*(1-IF(H14&lt;N14,H14,N14))*E14*O14*Q14)/100000000</f>
        <v>5.1485241599999991</v>
      </c>
      <c r="L14" s="35">
        <v>1230</v>
      </c>
      <c r="M14" s="35">
        <v>947.09999999999991</v>
      </c>
      <c r="N14" s="46">
        <f t="shared" ref="N14:N15" si="23">1-(M14/L14)</f>
        <v>0.23000000000000009</v>
      </c>
      <c r="O14" s="47">
        <f>+'Trim Rwd'!H11</f>
        <v>240</v>
      </c>
      <c r="P14" s="48">
        <f t="shared" ref="P14:P15" si="24">O14*(Q14-R14-S14)</f>
        <v>37920</v>
      </c>
      <c r="Q14" s="47">
        <v>172</v>
      </c>
      <c r="R14" s="501">
        <v>0</v>
      </c>
      <c r="S14" s="501">
        <v>14</v>
      </c>
      <c r="T14" s="37">
        <f t="shared" ref="T14:T15" si="25">E14*M14*O14*Q14/100000000</f>
        <v>5.0825174400000002</v>
      </c>
      <c r="U14" s="37">
        <f t="shared" ref="U14:U15" si="26">E14*M14*O14*(Q14-R14-S14)/100000000</f>
        <v>4.6688241599999998</v>
      </c>
      <c r="V14" s="37">
        <f t="shared" ref="V14:V15" si="27">E14*G14*(1-N14)*O14/100*(R14+S14)/1000000</f>
        <v>0.41369328000000005</v>
      </c>
      <c r="W14" s="37">
        <f>+'3'!K8/1000</f>
        <v>6.9539999999999997</v>
      </c>
      <c r="X14" s="502">
        <f>SUM(W14:W17)/SUM(K14:K17)</f>
        <v>0.75118846449180476</v>
      </c>
      <c r="Y14" s="211">
        <v>0</v>
      </c>
      <c r="Z14" s="37">
        <f>+'1'!D33/1000</f>
        <v>0</v>
      </c>
      <c r="AA14" s="49">
        <f>SUM(U14:U17)-SUM(W14:W17)-SUM(Z14:Z17)-SUM(Y14:Y17)</f>
        <v>7.2042503548580372</v>
      </c>
      <c r="AB14" s="49">
        <f>(SUM(K14:K17)-SUM(W14:W17)-SUM(Y14:Y17)-SUM(Z14:Z17)-SUM(AC14:AC17)-SUM(V14:V17))-AA14</f>
        <v>-2.8135034858039809E-2</v>
      </c>
      <c r="AC14" s="37">
        <f>K14-T14</f>
        <v>6.6006719999998964E-2</v>
      </c>
      <c r="AD14" s="37">
        <f>+AM14+BA14</f>
        <v>32</v>
      </c>
      <c r="AE14" s="230" t="s">
        <v>455</v>
      </c>
      <c r="AF14" s="37">
        <v>32</v>
      </c>
      <c r="AG14" s="37"/>
      <c r="AH14" s="37"/>
      <c r="AI14" s="503"/>
      <c r="AJ14" s="37"/>
      <c r="AK14" s="37"/>
      <c r="AL14" s="37"/>
      <c r="AM14" s="37">
        <f t="shared" ref="AM14:AM16" si="28">SUM(AF14:AL14)+AT14+AV14+AX14</f>
        <v>32</v>
      </c>
      <c r="AN14" s="37"/>
      <c r="AO14" s="37"/>
      <c r="AP14" s="37"/>
      <c r="AQ14" s="37"/>
      <c r="AR14" s="37">
        <f>SUM(AN14:AQ14)</f>
        <v>0</v>
      </c>
      <c r="AS14" s="37"/>
      <c r="AT14" s="37"/>
      <c r="AU14" s="37"/>
      <c r="AV14" s="37"/>
      <c r="AW14" s="37"/>
      <c r="AX14" s="37"/>
      <c r="AY14" s="37"/>
      <c r="AZ14" s="37"/>
      <c r="BA14" s="37">
        <f>+AR14+AS14+AU14+AW14+AY14+AZ14</f>
        <v>0</v>
      </c>
      <c r="BB14" s="33">
        <v>9</v>
      </c>
      <c r="BC14" s="51"/>
      <c r="BD14" s="51"/>
      <c r="BE14" s="33"/>
      <c r="BF14" s="51"/>
    </row>
    <row r="15" spans="1:58" ht="12.95" customHeight="1">
      <c r="A15" s="40"/>
      <c r="B15" s="41" t="s">
        <v>7</v>
      </c>
      <c r="C15" s="415">
        <f t="shared" si="20"/>
        <v>36.598868459999998</v>
      </c>
      <c r="D15" s="41" t="s">
        <v>304</v>
      </c>
      <c r="E15" s="42">
        <v>12</v>
      </c>
      <c r="F15" s="42">
        <v>1</v>
      </c>
      <c r="G15" s="500">
        <v>1230</v>
      </c>
      <c r="H15" s="44">
        <v>0.23</v>
      </c>
      <c r="I15" s="45">
        <v>0.88</v>
      </c>
      <c r="J15" s="82">
        <f t="shared" si="21"/>
        <v>44.842533120000006</v>
      </c>
      <c r="K15" s="82">
        <f t="shared" si="22"/>
        <v>37.10851452</v>
      </c>
      <c r="L15" s="35">
        <v>1213.1072555205046</v>
      </c>
      <c r="M15" s="35">
        <v>934.09258675078854</v>
      </c>
      <c r="N15" s="46">
        <f t="shared" si="23"/>
        <v>0.22999999999999998</v>
      </c>
      <c r="O15" s="47">
        <f>+'Trim Rwd'!H13</f>
        <v>257.5</v>
      </c>
      <c r="P15" s="48">
        <f t="shared" si="24"/>
        <v>308485</v>
      </c>
      <c r="Q15" s="47">
        <v>1268</v>
      </c>
      <c r="R15" s="501">
        <v>0</v>
      </c>
      <c r="S15" s="501">
        <v>70</v>
      </c>
      <c r="T15" s="37">
        <f t="shared" si="25"/>
        <v>36.598868459999998</v>
      </c>
      <c r="U15" s="37">
        <f t="shared" si="26"/>
        <v>34.578426194858039</v>
      </c>
      <c r="V15" s="37">
        <f t="shared" si="27"/>
        <v>2.0485773000000003</v>
      </c>
      <c r="W15" s="37">
        <f>+'3'!K7/1000</f>
        <v>24.789000000000001</v>
      </c>
      <c r="X15" s="38"/>
      <c r="Y15" s="211"/>
      <c r="Z15" s="37">
        <f>+'3'!D25/1000</f>
        <v>0.3</v>
      </c>
      <c r="AA15" s="37"/>
      <c r="AB15" s="37"/>
      <c r="AC15" s="37">
        <f>K15-T15</f>
        <v>0.50964606000000146</v>
      </c>
      <c r="AD15" s="37">
        <f>+AM15+BA15</f>
        <v>2</v>
      </c>
      <c r="AE15" s="230" t="s">
        <v>452</v>
      </c>
      <c r="AF15" s="37"/>
      <c r="AG15" s="37">
        <v>2</v>
      </c>
      <c r="AH15" s="37"/>
      <c r="AI15" s="503"/>
      <c r="AJ15" s="37"/>
      <c r="AK15" s="37"/>
      <c r="AL15" s="37"/>
      <c r="AM15" s="37">
        <f t="shared" si="28"/>
        <v>2</v>
      </c>
      <c r="AN15" s="83"/>
      <c r="AO15" s="37"/>
      <c r="AP15" s="37"/>
      <c r="AQ15" s="37"/>
      <c r="AR15" s="37">
        <f t="shared" ref="AR15:AR16" si="29">SUM(AN15:AQ15)</f>
        <v>0</v>
      </c>
      <c r="AS15" s="37"/>
      <c r="AT15" s="37"/>
      <c r="AU15" s="37"/>
      <c r="AV15" s="37"/>
      <c r="AW15" s="37"/>
      <c r="AX15" s="37"/>
      <c r="AY15" s="37"/>
      <c r="AZ15" s="37"/>
      <c r="BA15" s="37">
        <f>+AR15+AS15+AU15+AW15+AY15+AZ15</f>
        <v>0</v>
      </c>
      <c r="BB15" s="50"/>
      <c r="BC15" s="51">
        <v>1</v>
      </c>
      <c r="BD15" s="51"/>
      <c r="BE15" s="50"/>
      <c r="BF15" s="51"/>
    </row>
    <row r="16" spans="1:58" ht="12.95" customHeight="1">
      <c r="A16" s="40"/>
      <c r="B16" s="41"/>
      <c r="C16" s="415"/>
      <c r="D16" s="41"/>
      <c r="E16" s="42"/>
      <c r="F16" s="42"/>
      <c r="G16" s="43"/>
      <c r="H16" s="44"/>
      <c r="I16" s="45"/>
      <c r="J16" s="82"/>
      <c r="K16" s="82"/>
      <c r="L16" s="35"/>
      <c r="M16" s="35"/>
      <c r="N16" s="46"/>
      <c r="O16" s="47"/>
      <c r="P16" s="48"/>
      <c r="Q16" s="47"/>
      <c r="R16" s="501"/>
      <c r="S16" s="501"/>
      <c r="T16" s="37"/>
      <c r="U16" s="37"/>
      <c r="V16" s="37"/>
      <c r="W16" s="37"/>
      <c r="X16" s="38"/>
      <c r="Y16" s="211"/>
      <c r="Z16" s="37"/>
      <c r="AA16" s="37"/>
      <c r="AB16" s="37"/>
      <c r="AC16" s="37"/>
      <c r="AD16" s="37">
        <f>+AM16+BA16</f>
        <v>50</v>
      </c>
      <c r="AE16" s="230" t="s">
        <v>413</v>
      </c>
      <c r="AF16" s="33"/>
      <c r="AG16" s="33"/>
      <c r="AH16" s="33">
        <v>50</v>
      </c>
      <c r="AJ16" s="37"/>
      <c r="AK16" s="37"/>
      <c r="AL16" s="37"/>
      <c r="AM16" s="37">
        <f t="shared" si="28"/>
        <v>50</v>
      </c>
      <c r="AN16" s="37"/>
      <c r="AO16" s="37"/>
      <c r="AP16" s="37"/>
      <c r="AQ16" s="37"/>
      <c r="AR16" s="37">
        <f t="shared" si="29"/>
        <v>0</v>
      </c>
      <c r="AS16" s="37"/>
      <c r="AT16" s="37"/>
      <c r="AU16" s="37"/>
      <c r="AV16" s="37"/>
      <c r="AW16" s="37"/>
      <c r="AX16" s="37"/>
      <c r="AY16" s="37"/>
      <c r="AZ16" s="37"/>
      <c r="BA16" s="37">
        <f>+AR16+AS16+AU16+AW16+AY16+AZ16</f>
        <v>0</v>
      </c>
      <c r="BB16" s="33"/>
      <c r="BC16" s="504"/>
      <c r="BD16" s="504"/>
      <c r="BE16" s="33"/>
      <c r="BF16" s="504"/>
    </row>
    <row r="17" spans="1:58" ht="12.95" customHeight="1">
      <c r="A17" s="40"/>
      <c r="B17" s="41"/>
      <c r="C17" s="415"/>
      <c r="D17" s="41"/>
      <c r="E17" s="42"/>
      <c r="F17" s="42"/>
      <c r="G17" s="500"/>
      <c r="H17" s="44"/>
      <c r="I17" s="45"/>
      <c r="J17" s="82"/>
      <c r="K17" s="82"/>
      <c r="L17" s="35"/>
      <c r="M17" s="35"/>
      <c r="N17" s="46"/>
      <c r="O17" s="47"/>
      <c r="P17" s="48"/>
      <c r="Q17" s="47"/>
      <c r="R17" s="501"/>
      <c r="S17" s="501"/>
      <c r="T17" s="37"/>
      <c r="U17" s="37"/>
      <c r="V17" s="37"/>
      <c r="W17" s="37"/>
      <c r="X17" s="38"/>
      <c r="Y17" s="211"/>
      <c r="Z17" s="37"/>
      <c r="AA17" s="37"/>
      <c r="AB17" s="37"/>
      <c r="AC17" s="37"/>
      <c r="AD17" s="37"/>
      <c r="AE17" s="230"/>
      <c r="AF17" s="37"/>
      <c r="AG17" s="37"/>
      <c r="AH17" s="37"/>
      <c r="AI17" s="503"/>
      <c r="AJ17" s="37"/>
      <c r="AK17" s="37"/>
      <c r="AL17" s="37"/>
      <c r="AM17" s="37"/>
      <c r="AN17" s="83"/>
      <c r="AO17" s="37"/>
      <c r="AP17" s="37"/>
      <c r="AQ17" s="37"/>
      <c r="AR17" s="37"/>
      <c r="AS17" s="37"/>
      <c r="AT17" s="37"/>
      <c r="AU17" s="37"/>
      <c r="AV17" s="37"/>
      <c r="AW17" s="37"/>
      <c r="AX17" s="37"/>
      <c r="AY17" s="37"/>
      <c r="AZ17" s="37"/>
      <c r="BA17" s="37"/>
      <c r="BB17" s="50"/>
      <c r="BC17" s="51"/>
      <c r="BD17" s="51"/>
      <c r="BE17" s="50"/>
      <c r="BF17" s="51"/>
    </row>
    <row r="18" spans="1:58" ht="12.75" customHeight="1">
      <c r="A18" s="40">
        <v>45904</v>
      </c>
      <c r="B18" s="41" t="s">
        <v>7</v>
      </c>
      <c r="C18" s="415">
        <f t="shared" ref="C18:C19" si="30">(M18*E18*O18*Q18)/100000000</f>
        <v>10.850777850000002</v>
      </c>
      <c r="D18" s="41" t="s">
        <v>304</v>
      </c>
      <c r="E18" s="42">
        <v>12</v>
      </c>
      <c r="F18" s="42">
        <v>1</v>
      </c>
      <c r="G18" s="500">
        <v>1230</v>
      </c>
      <c r="H18" s="44">
        <v>0.23</v>
      </c>
      <c r="I18" s="45">
        <v>0.88</v>
      </c>
      <c r="J18" s="82">
        <f t="shared" ref="J18:J19" si="31">E18*G18*(1-H18)*1440/1000000*2.74</f>
        <v>44.842533120000006</v>
      </c>
      <c r="K18" s="82">
        <f t="shared" ref="K18:K19" si="32">(IF(G18&lt;L18,L18,G18)*(1-IF(H18&lt;N18,H18,N18))*E18*O18*Q18)/100000000</f>
        <v>11.030129550000002</v>
      </c>
      <c r="L18" s="35">
        <v>1210</v>
      </c>
      <c r="M18" s="35">
        <v>931.7</v>
      </c>
      <c r="N18" s="46">
        <f t="shared" ref="N18:N19" si="33">1-(M18/L18)</f>
        <v>0.22999999999999998</v>
      </c>
      <c r="O18" s="47">
        <f>+'Trim Rwd'!H15</f>
        <v>248.21428571428572</v>
      </c>
      <c r="P18" s="48">
        <f t="shared" ref="P18:P19" si="34">O18*(Q18-R18-S18)</f>
        <v>92583.92857142858</v>
      </c>
      <c r="Q18" s="47">
        <v>391</v>
      </c>
      <c r="R18" s="501">
        <v>0</v>
      </c>
      <c r="S18" s="501">
        <v>18</v>
      </c>
      <c r="T18" s="37">
        <f t="shared" ref="T18:T19" si="35">E18*M18*O18*Q18/100000000</f>
        <v>10.850777850000002</v>
      </c>
      <c r="U18" s="37">
        <f t="shared" ref="U18:U19" si="36">E18*M18*O18*(Q18-R18-S18)/100000000</f>
        <v>10.351253550000001</v>
      </c>
      <c r="V18" s="37">
        <f t="shared" ref="V18:V19" si="37">E18*G18*(1-N18)*O18/100*(R18+S18)/1000000</f>
        <v>0.50778089999999998</v>
      </c>
      <c r="W18" s="37">
        <f>+'4'!K7/1000</f>
        <v>14.723000000000001</v>
      </c>
      <c r="X18" s="502">
        <f>SUM(W18:W21)/SUM(K18:K21)</f>
        <v>0.93365626458741036</v>
      </c>
      <c r="Y18" s="211">
        <v>0</v>
      </c>
      <c r="Z18" s="37">
        <v>1.06</v>
      </c>
      <c r="AA18" s="49">
        <f>SUM(U18:U21)-SUM(W18:W21)-SUM(Z18:Z21)-SUM(Y18:Y21)</f>
        <v>-0.73084762826500826</v>
      </c>
      <c r="AB18" s="49">
        <f>(SUM(K18:K21)-SUM(W18:W21)-SUM(Y18:Y21)-SUM(Z18:Z21)-SUM(AC18:AC21)-SUM(V18:V21))-AA18</f>
        <v>-9.5394217349920041E-3</v>
      </c>
      <c r="AC18" s="37">
        <f>K18-T18</f>
        <v>0.17935169999999978</v>
      </c>
      <c r="AD18" s="37">
        <f>+AM18+BA18</f>
        <v>18</v>
      </c>
      <c r="AE18" s="230" t="s">
        <v>470</v>
      </c>
      <c r="AF18" s="37">
        <v>18</v>
      </c>
      <c r="AG18" s="37"/>
      <c r="AH18" s="37"/>
      <c r="AI18" s="503"/>
      <c r="AJ18" s="37"/>
      <c r="AK18" s="37"/>
      <c r="AL18" s="37"/>
      <c r="AM18" s="37">
        <f t="shared" ref="AM18:AM20" si="38">SUM(AF18:AL18)+AT18+AV18+AX18</f>
        <v>18</v>
      </c>
      <c r="AN18" s="37"/>
      <c r="AO18" s="37"/>
      <c r="AP18" s="37"/>
      <c r="AQ18" s="37"/>
      <c r="AR18" s="37">
        <f>SUM(AN18:AQ18)</f>
        <v>0</v>
      </c>
      <c r="AS18" s="37"/>
      <c r="AT18" s="37"/>
      <c r="AU18" s="37"/>
      <c r="AV18" s="37"/>
      <c r="AW18" s="37"/>
      <c r="AX18" s="37"/>
      <c r="AY18" s="37"/>
      <c r="AZ18" s="37"/>
      <c r="BA18" s="37">
        <f>+AR18+AS18+AU18+AW18+AY18+AZ18</f>
        <v>0</v>
      </c>
      <c r="BB18" s="33">
        <v>6</v>
      </c>
      <c r="BC18" s="51"/>
      <c r="BD18" s="51"/>
      <c r="BE18" s="33"/>
      <c r="BF18" s="51"/>
    </row>
    <row r="19" spans="1:58" ht="12.95" customHeight="1">
      <c r="A19" s="40"/>
      <c r="B19" s="41" t="s">
        <v>7</v>
      </c>
      <c r="C19" s="415">
        <f t="shared" si="30"/>
        <v>32.492376</v>
      </c>
      <c r="D19" s="41" t="s">
        <v>304</v>
      </c>
      <c r="E19" s="42">
        <v>14</v>
      </c>
      <c r="F19" s="42">
        <v>1</v>
      </c>
      <c r="G19" s="500">
        <v>1230</v>
      </c>
      <c r="H19" s="44">
        <v>0.25</v>
      </c>
      <c r="I19" s="45">
        <v>0.88</v>
      </c>
      <c r="J19" s="82">
        <f t="shared" si="31"/>
        <v>50.957424000000003</v>
      </c>
      <c r="K19" s="82">
        <f t="shared" si="32"/>
        <v>32.514803999999998</v>
      </c>
      <c r="L19" s="35">
        <v>1229.1515729265968</v>
      </c>
      <c r="M19" s="35">
        <v>921.86367969494756</v>
      </c>
      <c r="N19" s="46">
        <f t="shared" si="33"/>
        <v>0.25</v>
      </c>
      <c r="O19" s="47">
        <f>+'Trim Rwd'!H18</f>
        <v>240</v>
      </c>
      <c r="P19" s="48">
        <f t="shared" si="34"/>
        <v>237360</v>
      </c>
      <c r="Q19" s="47">
        <v>1049</v>
      </c>
      <c r="R19" s="501">
        <v>0</v>
      </c>
      <c r="S19" s="501">
        <v>60</v>
      </c>
      <c r="T19" s="37">
        <f t="shared" si="35"/>
        <v>32.492376</v>
      </c>
      <c r="U19" s="37">
        <f t="shared" si="36"/>
        <v>30.633898821734988</v>
      </c>
      <c r="V19" s="37">
        <f t="shared" si="37"/>
        <v>1.8597600000000001</v>
      </c>
      <c r="W19" s="37">
        <f>+'4'!K9/1000</f>
        <v>25.933</v>
      </c>
      <c r="X19" s="38"/>
      <c r="Y19" s="211"/>
      <c r="Z19" s="37">
        <v>0</v>
      </c>
      <c r="AA19" s="37"/>
      <c r="AB19" s="37"/>
      <c r="AC19" s="37">
        <f>K19-T19</f>
        <v>2.2427999999997894E-2</v>
      </c>
      <c r="AD19" s="37">
        <f>+AM19+BA19</f>
        <v>2</v>
      </c>
      <c r="AE19" s="230" t="s">
        <v>452</v>
      </c>
      <c r="AF19" s="37"/>
      <c r="AG19" s="37">
        <v>2</v>
      </c>
      <c r="AH19" s="37"/>
      <c r="AI19" s="503"/>
      <c r="AJ19" s="37"/>
      <c r="AK19" s="37"/>
      <c r="AL19" s="37"/>
      <c r="AM19" s="37">
        <f t="shared" si="38"/>
        <v>2</v>
      </c>
      <c r="AN19" s="83"/>
      <c r="AO19" s="37"/>
      <c r="AP19" s="37"/>
      <c r="AQ19" s="37"/>
      <c r="AR19" s="37">
        <f t="shared" ref="AR19:AR20" si="39">SUM(AN19:AQ19)</f>
        <v>0</v>
      </c>
      <c r="AS19" s="37"/>
      <c r="AT19" s="37"/>
      <c r="AU19" s="37"/>
      <c r="AV19" s="37"/>
      <c r="AW19" s="37"/>
      <c r="AX19" s="37"/>
      <c r="AY19" s="37"/>
      <c r="AZ19" s="37"/>
      <c r="BA19" s="37">
        <f>+AR19+AS19+AU19+AW19+AY19+AZ19</f>
        <v>0</v>
      </c>
      <c r="BB19" s="50"/>
      <c r="BC19" s="51">
        <v>1</v>
      </c>
      <c r="BD19" s="51"/>
      <c r="BE19" s="50"/>
      <c r="BF19" s="51"/>
    </row>
    <row r="20" spans="1:58" ht="12.95" customHeight="1">
      <c r="A20" s="40"/>
      <c r="B20" s="41"/>
      <c r="C20" s="415"/>
      <c r="D20" s="41"/>
      <c r="E20" s="42"/>
      <c r="F20" s="42"/>
      <c r="G20" s="43"/>
      <c r="H20" s="44"/>
      <c r="I20" s="45"/>
      <c r="J20" s="82"/>
      <c r="K20" s="82"/>
      <c r="L20" s="35"/>
      <c r="M20" s="35"/>
      <c r="N20" s="46"/>
      <c r="O20" s="47"/>
      <c r="P20" s="48"/>
      <c r="Q20" s="47"/>
      <c r="R20" s="501"/>
      <c r="S20" s="501"/>
      <c r="T20" s="37"/>
      <c r="U20" s="37"/>
      <c r="V20" s="37"/>
      <c r="W20" s="37"/>
      <c r="X20" s="38"/>
      <c r="Y20" s="211"/>
      <c r="Z20" s="37"/>
      <c r="AA20" s="37"/>
      <c r="AB20" s="37"/>
      <c r="AC20" s="37"/>
      <c r="AD20" s="37">
        <f>+AM20+BA20</f>
        <v>58</v>
      </c>
      <c r="AE20" s="230" t="s">
        <v>436</v>
      </c>
      <c r="AF20" s="33"/>
      <c r="AG20" s="33"/>
      <c r="AH20" s="33">
        <v>58</v>
      </c>
      <c r="AJ20" s="37"/>
      <c r="AK20" s="37"/>
      <c r="AL20" s="37"/>
      <c r="AM20" s="37">
        <f t="shared" si="38"/>
        <v>58</v>
      </c>
      <c r="AN20" s="37"/>
      <c r="AO20" s="37"/>
      <c r="AP20" s="37"/>
      <c r="AQ20" s="37"/>
      <c r="AR20" s="37">
        <f t="shared" si="39"/>
        <v>0</v>
      </c>
      <c r="AS20" s="37"/>
      <c r="AT20" s="37"/>
      <c r="AU20" s="37"/>
      <c r="AV20" s="37"/>
      <c r="AW20" s="37"/>
      <c r="AX20" s="37"/>
      <c r="AY20" s="37"/>
      <c r="AZ20" s="37"/>
      <c r="BA20" s="37">
        <f>+AR20+AS20+AU20+AW20+AY20+AZ20</f>
        <v>0</v>
      </c>
      <c r="BB20" s="33"/>
      <c r="BC20" s="504"/>
      <c r="BD20" s="504"/>
      <c r="BE20" s="33"/>
      <c r="BF20" s="504"/>
    </row>
    <row r="21" spans="1:58" ht="12.95" customHeight="1">
      <c r="A21" s="40"/>
      <c r="B21" s="41"/>
      <c r="C21" s="415"/>
      <c r="D21" s="41"/>
      <c r="E21" s="42"/>
      <c r="F21" s="42"/>
      <c r="G21" s="43"/>
      <c r="H21" s="44"/>
      <c r="I21" s="45"/>
      <c r="J21" s="82"/>
      <c r="K21" s="82"/>
      <c r="L21" s="35"/>
      <c r="M21" s="35"/>
      <c r="N21" s="46"/>
      <c r="O21" s="47"/>
      <c r="P21" s="48"/>
      <c r="Q21" s="34"/>
      <c r="R21" s="501"/>
      <c r="S21" s="501"/>
      <c r="T21" s="37"/>
      <c r="U21" s="37"/>
      <c r="V21" s="37"/>
      <c r="W21" s="37"/>
      <c r="X21" s="38"/>
      <c r="Y21" s="211"/>
      <c r="Z21" s="37"/>
      <c r="AA21" s="37"/>
      <c r="AB21" s="37"/>
      <c r="AC21" s="37"/>
      <c r="AD21" s="37"/>
      <c r="AE21" s="233"/>
      <c r="AF21" s="37"/>
      <c r="AG21" s="37"/>
      <c r="AH21" s="37"/>
      <c r="AI21" s="503"/>
      <c r="AJ21" s="37"/>
      <c r="AK21" s="37"/>
      <c r="AL21" s="37"/>
      <c r="AM21" s="37"/>
      <c r="AN21" s="37"/>
      <c r="AO21" s="37"/>
      <c r="AP21" s="37"/>
      <c r="AQ21" s="37"/>
      <c r="AR21" s="37"/>
      <c r="AS21" s="37"/>
      <c r="AT21" s="37"/>
      <c r="AU21" s="37"/>
      <c r="AV21" s="37"/>
      <c r="AW21" s="37"/>
      <c r="AX21" s="37"/>
      <c r="AY21" s="37"/>
      <c r="AZ21" s="37"/>
      <c r="BA21" s="37"/>
      <c r="BB21" s="50"/>
      <c r="BC21" s="51"/>
      <c r="BD21" s="51"/>
      <c r="BE21" s="33"/>
      <c r="BF21" s="51"/>
    </row>
    <row r="22" spans="1:58" ht="12.75" customHeight="1">
      <c r="A22" s="40">
        <v>45905</v>
      </c>
      <c r="B22" s="41" t="s">
        <v>7</v>
      </c>
      <c r="C22" s="415">
        <f t="shared" ref="C22" si="40">(M22*E22*O22*Q22)/100000000</f>
        <v>44.634239999999998</v>
      </c>
      <c r="D22" s="41" t="s">
        <v>304</v>
      </c>
      <c r="E22" s="42">
        <v>14</v>
      </c>
      <c r="F22" s="42">
        <v>1</v>
      </c>
      <c r="G22" s="500">
        <v>1230</v>
      </c>
      <c r="H22" s="44">
        <v>0.25</v>
      </c>
      <c r="I22" s="45">
        <v>0.88</v>
      </c>
      <c r="J22" s="82">
        <f t="shared" ref="J22" si="41">E22*G22*(1-H22)*1440/1000000*2.74</f>
        <v>50.957424000000003</v>
      </c>
      <c r="K22" s="82">
        <f t="shared" ref="K22" si="42">(IF(G22&lt;L22,L22,G22)*(1-IF(H22&lt;N22,H22,N22))*E22*O22*Q22)/100000000</f>
        <v>44.634239999999998</v>
      </c>
      <c r="L22" s="35">
        <v>1230</v>
      </c>
      <c r="M22" s="35">
        <v>922.5</v>
      </c>
      <c r="N22" s="46">
        <f t="shared" ref="N22" si="43">1-(M22/L22)</f>
        <v>0.25</v>
      </c>
      <c r="O22" s="47">
        <f>+'Trim Rwd'!H20</f>
        <v>240</v>
      </c>
      <c r="P22" s="48">
        <f t="shared" ref="P22" si="44">O22*(Q22-R22-S22)</f>
        <v>327360</v>
      </c>
      <c r="Q22" s="47">
        <v>1440</v>
      </c>
      <c r="R22" s="501">
        <v>0</v>
      </c>
      <c r="S22" s="501">
        <v>76</v>
      </c>
      <c r="T22" s="37">
        <f t="shared" ref="T22" si="45">E22*M22*O22*Q22/100000000</f>
        <v>44.634239999999998</v>
      </c>
      <c r="U22" s="37">
        <f t="shared" ref="U22" si="46">E22*M22*O22*(Q22-R22-S22)/100000000</f>
        <v>42.278543999999997</v>
      </c>
      <c r="V22" s="37">
        <f t="shared" ref="V22" si="47">E22*G22*(1-N22)*O22/100*(R22+S22)/1000000</f>
        <v>2.355696</v>
      </c>
      <c r="W22" s="37">
        <f>+'5'!K9/1000</f>
        <v>41.62</v>
      </c>
      <c r="X22" s="502">
        <f>SUM(W22:W25)/SUM(K22:K25)</f>
        <v>0.93246798870105096</v>
      </c>
      <c r="Y22" s="211">
        <v>0</v>
      </c>
      <c r="Z22" s="37">
        <f>+'5'!D7/1000</f>
        <v>0</v>
      </c>
      <c r="AA22" s="49">
        <f>SUM(U22:U25)-SUM(W22:W25)-SUM(Z22:Z25)-SUM(Y22:Y25)</f>
        <v>0.65854399999999913</v>
      </c>
      <c r="AB22" s="49">
        <f>(SUM(K22:K25)-SUM(W22:W25)-SUM(Y22:Y25)-SUM(Z22:Z25)-SUM(AC22:AC25)-SUM(V22:V25))-AA22</f>
        <v>1.7763568394002505E-15</v>
      </c>
      <c r="AC22" s="37">
        <f>K22-T22</f>
        <v>0</v>
      </c>
      <c r="AD22" s="37">
        <f>+AM22+BA22</f>
        <v>18</v>
      </c>
      <c r="AE22" s="230" t="s">
        <v>470</v>
      </c>
      <c r="AF22" s="37">
        <v>18</v>
      </c>
      <c r="AG22" s="37"/>
      <c r="AH22" s="37"/>
      <c r="AI22" s="503"/>
      <c r="AJ22" s="37"/>
      <c r="AK22" s="37"/>
      <c r="AL22" s="37"/>
      <c r="AM22" s="37">
        <f t="shared" ref="AM22:AM24" si="48">SUM(AF22:AL22)+AT22+AV22+AX22</f>
        <v>18</v>
      </c>
      <c r="AN22" s="37"/>
      <c r="AO22" s="37"/>
      <c r="AP22" s="37"/>
      <c r="AQ22" s="37"/>
      <c r="AR22" s="37">
        <f>SUM(AN22:AQ22)</f>
        <v>0</v>
      </c>
      <c r="AS22" s="37"/>
      <c r="AT22" s="37"/>
      <c r="AU22" s="37"/>
      <c r="AV22" s="37"/>
      <c r="AW22" s="37"/>
      <c r="AX22" s="37"/>
      <c r="AY22" s="37"/>
      <c r="AZ22" s="37"/>
      <c r="BA22" s="37">
        <f>+AR22+AS22+AU22+AW22+AY22+AZ22</f>
        <v>0</v>
      </c>
      <c r="BB22" s="33">
        <v>6</v>
      </c>
      <c r="BC22" s="51"/>
      <c r="BD22" s="51"/>
      <c r="BE22" s="33"/>
      <c r="BF22" s="51"/>
    </row>
    <row r="23" spans="1:58" ht="12.95" customHeight="1">
      <c r="A23" s="40"/>
      <c r="B23" s="41"/>
      <c r="C23" s="415"/>
      <c r="D23" s="41"/>
      <c r="E23" s="42"/>
      <c r="F23" s="42"/>
      <c r="G23" s="500"/>
      <c r="H23" s="44"/>
      <c r="I23" s="45"/>
      <c r="J23" s="82"/>
      <c r="K23" s="82"/>
      <c r="L23" s="35"/>
      <c r="M23" s="35"/>
      <c r="N23" s="46"/>
      <c r="O23" s="47"/>
      <c r="P23" s="48"/>
      <c r="Q23" s="47"/>
      <c r="R23" s="501"/>
      <c r="S23" s="501"/>
      <c r="T23" s="37"/>
      <c r="U23" s="37"/>
      <c r="V23" s="37"/>
      <c r="W23" s="37"/>
      <c r="X23" s="38"/>
      <c r="Y23" s="211"/>
      <c r="Z23" s="37"/>
      <c r="AA23" s="37"/>
      <c r="AB23" s="37"/>
      <c r="AC23" s="37"/>
      <c r="AD23" s="37">
        <f>+AM23+BA23</f>
        <v>4</v>
      </c>
      <c r="AE23" s="230" t="s">
        <v>406</v>
      </c>
      <c r="AF23" s="37"/>
      <c r="AG23" s="37">
        <v>4</v>
      </c>
      <c r="AH23" s="37"/>
      <c r="AI23" s="503"/>
      <c r="AJ23" s="37"/>
      <c r="AK23" s="37"/>
      <c r="AL23" s="37"/>
      <c r="AM23" s="37">
        <f t="shared" si="48"/>
        <v>4</v>
      </c>
      <c r="AN23" s="83"/>
      <c r="AO23" s="37"/>
      <c r="AP23" s="37"/>
      <c r="AQ23" s="37"/>
      <c r="AR23" s="37">
        <f t="shared" ref="AR23:AR24" si="49">SUM(AN23:AQ23)</f>
        <v>0</v>
      </c>
      <c r="AS23" s="37"/>
      <c r="AT23" s="37"/>
      <c r="AU23" s="37"/>
      <c r="AV23" s="37"/>
      <c r="AW23" s="37"/>
      <c r="AX23" s="37"/>
      <c r="AY23" s="37"/>
      <c r="AZ23" s="37"/>
      <c r="BA23" s="37">
        <f>+AR23+AS23+AU23+AW23+AY23+AZ23</f>
        <v>0</v>
      </c>
      <c r="BB23" s="50"/>
      <c r="BC23" s="51">
        <v>2</v>
      </c>
      <c r="BD23" s="51"/>
      <c r="BE23" s="50"/>
      <c r="BF23" s="51"/>
    </row>
    <row r="24" spans="1:58" ht="12.95" customHeight="1">
      <c r="A24" s="40"/>
      <c r="B24" s="41"/>
      <c r="C24" s="415"/>
      <c r="D24" s="41"/>
      <c r="E24" s="42"/>
      <c r="F24" s="42"/>
      <c r="G24" s="43"/>
      <c r="H24" s="44"/>
      <c r="I24" s="45"/>
      <c r="J24" s="82"/>
      <c r="K24" s="82"/>
      <c r="L24" s="35"/>
      <c r="M24" s="35"/>
      <c r="N24" s="46"/>
      <c r="O24" s="47"/>
      <c r="P24" s="48"/>
      <c r="Q24" s="47"/>
      <c r="R24" s="501"/>
      <c r="S24" s="501"/>
      <c r="T24" s="37"/>
      <c r="U24" s="37"/>
      <c r="V24" s="37"/>
      <c r="W24" s="37"/>
      <c r="X24" s="38"/>
      <c r="Y24" s="211"/>
      <c r="Z24" s="37"/>
      <c r="AA24" s="37"/>
      <c r="AB24" s="37"/>
      <c r="AC24" s="37"/>
      <c r="AD24" s="37">
        <f>+AM24+BA24</f>
        <v>54</v>
      </c>
      <c r="AE24" s="230" t="s">
        <v>436</v>
      </c>
      <c r="AF24" s="33"/>
      <c r="AG24" s="33"/>
      <c r="AH24" s="33">
        <v>54</v>
      </c>
      <c r="AJ24" s="37"/>
      <c r="AK24" s="37"/>
      <c r="AL24" s="37"/>
      <c r="AM24" s="37">
        <f t="shared" si="48"/>
        <v>54</v>
      </c>
      <c r="AN24" s="37"/>
      <c r="AO24" s="37"/>
      <c r="AP24" s="37"/>
      <c r="AQ24" s="37"/>
      <c r="AR24" s="37">
        <f t="shared" si="49"/>
        <v>0</v>
      </c>
      <c r="AS24" s="37"/>
      <c r="AT24" s="37"/>
      <c r="AU24" s="37"/>
      <c r="AV24" s="37"/>
      <c r="AW24" s="37"/>
      <c r="AX24" s="37"/>
      <c r="AY24" s="37"/>
      <c r="AZ24" s="37"/>
      <c r="BA24" s="37">
        <f>+AR24+AS24+AU24+AW24+AY24+AZ24</f>
        <v>0</v>
      </c>
      <c r="BB24" s="33"/>
      <c r="BC24" s="504"/>
      <c r="BD24" s="504"/>
      <c r="BE24" s="33"/>
      <c r="BF24" s="504"/>
    </row>
    <row r="25" spans="1:58" ht="12.95" customHeight="1">
      <c r="A25" s="40"/>
      <c r="B25" s="41"/>
      <c r="C25" s="415"/>
      <c r="D25" s="41"/>
      <c r="E25" s="42"/>
      <c r="F25" s="42"/>
      <c r="G25" s="43"/>
      <c r="H25" s="44"/>
      <c r="I25" s="45"/>
      <c r="J25" s="82"/>
      <c r="K25" s="82"/>
      <c r="L25" s="35"/>
      <c r="M25" s="35"/>
      <c r="N25" s="46"/>
      <c r="O25" s="47"/>
      <c r="P25" s="48"/>
      <c r="Q25" s="47"/>
      <c r="R25" s="501"/>
      <c r="S25" s="501"/>
      <c r="T25" s="37"/>
      <c r="U25" s="37"/>
      <c r="V25" s="37"/>
      <c r="W25" s="37"/>
      <c r="X25" s="38"/>
      <c r="Y25" s="211"/>
      <c r="Z25" s="37"/>
      <c r="AA25" s="37"/>
      <c r="AB25" s="37"/>
      <c r="AC25" s="37"/>
      <c r="AD25" s="37"/>
      <c r="AE25" s="230"/>
      <c r="AF25" s="33"/>
      <c r="AG25" s="33"/>
      <c r="AH25" s="33"/>
      <c r="AJ25" s="37"/>
      <c r="AK25" s="37"/>
      <c r="AL25" s="37"/>
      <c r="AM25" s="37"/>
      <c r="AN25" s="37"/>
      <c r="AO25" s="37"/>
      <c r="AP25" s="37"/>
      <c r="AQ25" s="37"/>
      <c r="AR25" s="37"/>
      <c r="AS25" s="37"/>
      <c r="AT25" s="37"/>
      <c r="AU25" s="37"/>
      <c r="AV25" s="37"/>
      <c r="AW25" s="37"/>
      <c r="AX25" s="37"/>
      <c r="AY25" s="37"/>
      <c r="AZ25" s="37"/>
      <c r="BA25" s="37"/>
      <c r="BB25" s="33"/>
      <c r="BC25" s="504"/>
      <c r="BD25" s="51"/>
      <c r="BE25" s="51"/>
      <c r="BF25" s="51"/>
    </row>
    <row r="26" spans="1:58" ht="12.75" customHeight="1">
      <c r="A26" s="40">
        <v>45906</v>
      </c>
      <c r="B26" s="41" t="s">
        <v>7</v>
      </c>
      <c r="C26" s="415">
        <f t="shared" ref="C26" si="50">(M26*E26*O26*Q26)/100000000</f>
        <v>44.634239999999998</v>
      </c>
      <c r="D26" s="41" t="s">
        <v>304</v>
      </c>
      <c r="E26" s="42">
        <v>14</v>
      </c>
      <c r="F26" s="42">
        <v>1</v>
      </c>
      <c r="G26" s="500">
        <v>1230</v>
      </c>
      <c r="H26" s="44">
        <v>0.25</v>
      </c>
      <c r="I26" s="45">
        <v>0.88</v>
      </c>
      <c r="J26" s="82">
        <f t="shared" ref="J26" si="51">E26*G26*(1-H26)*1440/1000000*2.74</f>
        <v>50.957424000000003</v>
      </c>
      <c r="K26" s="82">
        <f t="shared" ref="K26" si="52">(IF(G26&lt;L26,L26,G26)*(1-IF(H26&lt;N26,H26,N26))*E26*O26*Q26)/100000000</f>
        <v>44.634239999999998</v>
      </c>
      <c r="L26" s="35">
        <v>1230</v>
      </c>
      <c r="M26" s="35">
        <v>922.5</v>
      </c>
      <c r="N26" s="46">
        <f t="shared" ref="N26" si="53">1-(M26/L26)</f>
        <v>0.25</v>
      </c>
      <c r="O26" s="47">
        <f>+'Trim Rwd'!H22</f>
        <v>240</v>
      </c>
      <c r="P26" s="48">
        <f t="shared" ref="P26" si="54">O26*(Q26-R26-S26)</f>
        <v>212160</v>
      </c>
      <c r="Q26" s="47">
        <v>1440</v>
      </c>
      <c r="R26" s="501">
        <v>515</v>
      </c>
      <c r="S26" s="501">
        <v>41</v>
      </c>
      <c r="T26" s="37">
        <f t="shared" ref="T26" si="55">E26*M26*O26*Q26/100000000</f>
        <v>44.634239999999998</v>
      </c>
      <c r="U26" s="37">
        <f t="shared" ref="U26" si="56">E26*M26*O26*(Q26-R26-S26)/100000000</f>
        <v>27.400463999999999</v>
      </c>
      <c r="V26" s="37">
        <f t="shared" ref="V26" si="57">E26*G26*(1-N26)*O26/100*(R26+S26)/1000000</f>
        <v>17.233775999999999</v>
      </c>
      <c r="W26" s="37">
        <f>+'6'!K9/1000</f>
        <v>22.628</v>
      </c>
      <c r="X26" s="502">
        <f>SUM(W26:W29)/SUM(K26:K29)</f>
        <v>0.50696505642305101</v>
      </c>
      <c r="Y26" s="211">
        <v>0</v>
      </c>
      <c r="Z26" s="37">
        <f>+'5'!D11/1000</f>
        <v>0</v>
      </c>
      <c r="AA26" s="49">
        <f>SUM(U26:U29)-SUM(W26:W29)-SUM(Z26:Z29)-SUM(Y26:Y29)</f>
        <v>4.7724639999999994</v>
      </c>
      <c r="AB26" s="49">
        <f>(SUM(K26:K29)-SUM(W26:W29)-SUM(Y26:Y29)-SUM(Z26:Z29)-SUM(AC26:AC29)-SUM(V26:V29))-AA26</f>
        <v>0</v>
      </c>
      <c r="AC26" s="37">
        <f>K26-T26</f>
        <v>0</v>
      </c>
      <c r="AD26" s="37">
        <f>+AM26+BA26</f>
        <v>12</v>
      </c>
      <c r="AE26" s="230" t="s">
        <v>470</v>
      </c>
      <c r="AF26" s="37">
        <v>12</v>
      </c>
      <c r="AG26" s="37"/>
      <c r="AH26" s="37"/>
      <c r="AI26" s="503"/>
      <c r="AJ26" s="37"/>
      <c r="AK26" s="37"/>
      <c r="AL26" s="37"/>
      <c r="AM26" s="37">
        <f t="shared" ref="AM26:AM28" si="58">SUM(AF26:AL26)+AT26+AV26+AX26</f>
        <v>12</v>
      </c>
      <c r="AN26" s="37"/>
      <c r="AO26" s="37"/>
      <c r="AP26" s="37"/>
      <c r="AQ26" s="37"/>
      <c r="AR26" s="37">
        <f>SUM(AN26:AQ26)</f>
        <v>0</v>
      </c>
      <c r="AS26" s="37"/>
      <c r="AT26" s="37"/>
      <c r="AU26" s="37"/>
      <c r="AV26" s="37"/>
      <c r="AW26" s="37"/>
      <c r="AX26" s="37"/>
      <c r="AY26" s="37"/>
      <c r="AZ26" s="37"/>
      <c r="BA26" s="37">
        <f>+AR26+AS26+AU26+AW26+AY26+AZ26</f>
        <v>0</v>
      </c>
      <c r="BB26" s="33">
        <v>6</v>
      </c>
      <c r="BC26" s="51"/>
      <c r="BD26" s="51"/>
      <c r="BE26" s="33"/>
      <c r="BF26" s="51"/>
    </row>
    <row r="27" spans="1:58" ht="12.95" customHeight="1">
      <c r="A27" s="40"/>
      <c r="B27" s="41"/>
      <c r="C27" s="415"/>
      <c r="D27" s="41"/>
      <c r="E27" s="42"/>
      <c r="F27" s="42"/>
      <c r="G27" s="500"/>
      <c r="H27" s="44"/>
      <c r="I27" s="45"/>
      <c r="J27" s="82"/>
      <c r="K27" s="82"/>
      <c r="L27" s="35"/>
      <c r="M27" s="35"/>
      <c r="N27" s="46"/>
      <c r="O27" s="47"/>
      <c r="P27" s="48"/>
      <c r="Q27" s="47"/>
      <c r="R27" s="501"/>
      <c r="S27" s="501"/>
      <c r="T27" s="37"/>
      <c r="U27" s="37"/>
      <c r="V27" s="37"/>
      <c r="W27" s="37"/>
      <c r="X27" s="38"/>
      <c r="Y27" s="211"/>
      <c r="Z27" s="37"/>
      <c r="AA27" s="37"/>
      <c r="AB27" s="37"/>
      <c r="AC27" s="37"/>
      <c r="AD27" s="37">
        <f>+AM27+BA27</f>
        <v>0</v>
      </c>
      <c r="AE27" s="230" t="s">
        <v>432</v>
      </c>
      <c r="AF27" s="37"/>
      <c r="AG27" s="37">
        <v>0</v>
      </c>
      <c r="AH27" s="37"/>
      <c r="AI27" s="503"/>
      <c r="AJ27" s="37"/>
      <c r="AK27" s="37"/>
      <c r="AL27" s="37"/>
      <c r="AM27" s="37">
        <f t="shared" si="58"/>
        <v>0</v>
      </c>
      <c r="AN27" s="83"/>
      <c r="AO27" s="37"/>
      <c r="AP27" s="37"/>
      <c r="AQ27" s="37"/>
      <c r="AR27" s="37">
        <f t="shared" ref="AR27:AR28" si="59">SUM(AN27:AQ27)</f>
        <v>0</v>
      </c>
      <c r="AS27" s="37"/>
      <c r="AT27" s="37"/>
      <c r="AU27" s="37"/>
      <c r="AV27" s="37"/>
      <c r="AW27" s="37"/>
      <c r="AX27" s="37"/>
      <c r="AY27" s="37"/>
      <c r="AZ27" s="37"/>
      <c r="BA27" s="37">
        <f>+AR27+AS27+AU27+AW27+AY27+AZ27</f>
        <v>0</v>
      </c>
      <c r="BB27" s="50"/>
      <c r="BC27" s="51">
        <v>0</v>
      </c>
      <c r="BD27" s="51"/>
      <c r="BE27" s="50"/>
      <c r="BF27" s="51"/>
    </row>
    <row r="28" spans="1:58" ht="12.95" customHeight="1">
      <c r="A28" s="40"/>
      <c r="B28" s="41"/>
      <c r="C28" s="415"/>
      <c r="D28" s="41"/>
      <c r="E28" s="42"/>
      <c r="F28" s="42"/>
      <c r="G28" s="43"/>
      <c r="H28" s="44"/>
      <c r="I28" s="45"/>
      <c r="J28" s="82"/>
      <c r="K28" s="82"/>
      <c r="L28" s="35"/>
      <c r="M28" s="35"/>
      <c r="N28" s="46"/>
      <c r="O28" s="47"/>
      <c r="P28" s="48"/>
      <c r="Q28" s="47"/>
      <c r="R28" s="501"/>
      <c r="S28" s="501"/>
      <c r="T28" s="37"/>
      <c r="U28" s="37"/>
      <c r="V28" s="37"/>
      <c r="W28" s="37"/>
      <c r="X28" s="38"/>
      <c r="Y28" s="211"/>
      <c r="Z28" s="37"/>
      <c r="AA28" s="37"/>
      <c r="AB28" s="37"/>
      <c r="AC28" s="37"/>
      <c r="AD28" s="37">
        <f>+AM28+BA28</f>
        <v>29</v>
      </c>
      <c r="AE28" s="230" t="s">
        <v>492</v>
      </c>
      <c r="AF28" s="33"/>
      <c r="AG28" s="33"/>
      <c r="AH28" s="33">
        <v>29</v>
      </c>
      <c r="AJ28" s="37"/>
      <c r="AK28" s="37"/>
      <c r="AL28" s="37"/>
      <c r="AM28" s="37">
        <f t="shared" si="58"/>
        <v>29</v>
      </c>
      <c r="AN28" s="37"/>
      <c r="AO28" s="37"/>
      <c r="AP28" s="37"/>
      <c r="AQ28" s="37"/>
      <c r="AR28" s="37">
        <f t="shared" si="59"/>
        <v>0</v>
      </c>
      <c r="AS28" s="37"/>
      <c r="AT28" s="37"/>
      <c r="AU28" s="37"/>
      <c r="AV28" s="37"/>
      <c r="AW28" s="37"/>
      <c r="AX28" s="37"/>
      <c r="AY28" s="37"/>
      <c r="AZ28" s="37"/>
      <c r="BA28" s="37">
        <f>+AR28+AS28+AU28+AW28+AY28+AZ28</f>
        <v>0</v>
      </c>
      <c r="BB28" s="33"/>
      <c r="BC28" s="504"/>
      <c r="BD28" s="504"/>
      <c r="BE28" s="33"/>
      <c r="BF28" s="504"/>
    </row>
    <row r="29" spans="1:58" ht="12.95" customHeight="1">
      <c r="A29" s="40"/>
      <c r="B29" s="41"/>
      <c r="C29" s="415"/>
      <c r="D29" s="41"/>
      <c r="E29" s="42"/>
      <c r="F29" s="42"/>
      <c r="G29" s="43"/>
      <c r="H29" s="44"/>
      <c r="I29" s="45"/>
      <c r="J29" s="82"/>
      <c r="K29" s="82"/>
      <c r="L29" s="35"/>
      <c r="M29" s="35"/>
      <c r="N29" s="46"/>
      <c r="O29" s="47"/>
      <c r="P29" s="48"/>
      <c r="Q29" s="47"/>
      <c r="R29" s="501"/>
      <c r="S29" s="501"/>
      <c r="T29" s="37"/>
      <c r="U29" s="37"/>
      <c r="V29" s="37"/>
      <c r="W29" s="37"/>
      <c r="X29" s="38"/>
      <c r="Y29" s="211"/>
      <c r="Z29" s="37"/>
      <c r="AA29" s="37"/>
      <c r="AB29" s="37"/>
      <c r="AC29" s="37"/>
      <c r="AD29" s="37">
        <f>+AM29+BA29</f>
        <v>515</v>
      </c>
      <c r="AE29" s="230" t="s">
        <v>493</v>
      </c>
      <c r="AF29" s="33"/>
      <c r="AG29" s="33"/>
      <c r="AH29" s="33"/>
      <c r="AJ29" s="37"/>
      <c r="AK29" s="37"/>
      <c r="AL29" s="37"/>
      <c r="AM29" s="37">
        <f t="shared" ref="AM29" si="60">SUM(AF29:AL29)+AT29+AV29+AX29</f>
        <v>0</v>
      </c>
      <c r="AN29" s="37"/>
      <c r="AO29" s="37"/>
      <c r="AP29" s="37">
        <v>515</v>
      </c>
      <c r="AQ29" s="37"/>
      <c r="AR29" s="37">
        <f t="shared" ref="AR29" si="61">SUM(AN29:AQ29)</f>
        <v>515</v>
      </c>
      <c r="AS29" s="37"/>
      <c r="AT29" s="37"/>
      <c r="AU29" s="37"/>
      <c r="AV29" s="37"/>
      <c r="AW29" s="37"/>
      <c r="AX29" s="37"/>
      <c r="AY29" s="37"/>
      <c r="AZ29" s="37"/>
      <c r="BA29" s="37">
        <f>+AR29+AS29+AU29+AW29+AY29+AZ29</f>
        <v>515</v>
      </c>
      <c r="BB29" s="33"/>
      <c r="BC29" s="504"/>
      <c r="BD29" s="504"/>
      <c r="BE29" s="33"/>
      <c r="BF29" s="504"/>
    </row>
    <row r="30" spans="1:58" ht="12.95" customHeight="1">
      <c r="A30" s="40"/>
      <c r="B30" s="41"/>
      <c r="C30" s="415"/>
      <c r="D30" s="41"/>
      <c r="E30" s="42"/>
      <c r="F30" s="42"/>
      <c r="G30" s="43"/>
      <c r="H30" s="44"/>
      <c r="I30" s="45"/>
      <c r="J30" s="82"/>
      <c r="K30" s="82"/>
      <c r="L30" s="35"/>
      <c r="M30" s="35"/>
      <c r="N30" s="46"/>
      <c r="O30" s="47"/>
      <c r="P30" s="48"/>
      <c r="Q30" s="47"/>
      <c r="R30" s="501"/>
      <c r="S30" s="501"/>
      <c r="T30" s="37"/>
      <c r="U30" s="37"/>
      <c r="V30" s="37"/>
      <c r="W30" s="37"/>
      <c r="X30" s="38"/>
      <c r="Y30" s="211"/>
      <c r="Z30" s="37"/>
      <c r="AA30" s="37"/>
      <c r="AB30" s="37"/>
      <c r="AC30" s="37"/>
      <c r="AD30" s="37"/>
      <c r="AE30" s="230"/>
      <c r="AF30" s="33"/>
      <c r="AG30" s="33"/>
      <c r="AH30" s="33"/>
      <c r="AJ30" s="37"/>
      <c r="AK30" s="37"/>
      <c r="AL30" s="37"/>
      <c r="AM30" s="37"/>
      <c r="AN30" s="37"/>
      <c r="AO30" s="37"/>
      <c r="AP30" s="37"/>
      <c r="AQ30" s="37"/>
      <c r="AR30" s="37"/>
      <c r="AS30" s="37"/>
      <c r="AT30" s="37"/>
      <c r="AU30" s="37"/>
      <c r="AV30" s="37"/>
      <c r="AW30" s="37"/>
      <c r="AX30" s="37"/>
      <c r="AY30" s="37"/>
      <c r="AZ30" s="37"/>
      <c r="BA30" s="37"/>
      <c r="BB30" s="33"/>
      <c r="BC30" s="504"/>
      <c r="BD30" s="51"/>
      <c r="BE30" s="50"/>
      <c r="BF30" s="51"/>
    </row>
    <row r="31" spans="1:58" ht="12.75" customHeight="1">
      <c r="A31" s="40">
        <v>45907</v>
      </c>
      <c r="B31" s="41" t="s">
        <v>7</v>
      </c>
      <c r="C31" s="415">
        <f t="shared" ref="C31:C33" si="62">(M31*E31*O31*Q31)/100000000</f>
        <v>7.7489999999999997</v>
      </c>
      <c r="D31" s="41" t="s">
        <v>304</v>
      </c>
      <c r="E31" s="42">
        <v>14</v>
      </c>
      <c r="F31" s="42">
        <v>1</v>
      </c>
      <c r="G31" s="500">
        <v>1230</v>
      </c>
      <c r="H31" s="44">
        <v>0.25</v>
      </c>
      <c r="I31" s="45">
        <v>0.88</v>
      </c>
      <c r="J31" s="82">
        <f t="shared" ref="J31:J33" si="63">E31*G31*(1-H31)*1440/1000000*2.74</f>
        <v>50.957424000000003</v>
      </c>
      <c r="K31" s="82">
        <f t="shared" ref="K31:K33" si="64">(IF(G31&lt;L31,L31,G31)*(1-IF(H31&lt;N31,H31,N31))*E31*O31*Q31)/100000000</f>
        <v>7.7489999999999997</v>
      </c>
      <c r="L31" s="35">
        <v>1230</v>
      </c>
      <c r="M31" s="35">
        <v>922.5</v>
      </c>
      <c r="N31" s="46">
        <f t="shared" ref="N31:N33" si="65">1-(M31/L31)</f>
        <v>0.25</v>
      </c>
      <c r="O31" s="47">
        <f>+'Trim Rwd'!H24</f>
        <v>240</v>
      </c>
      <c r="P31" s="48">
        <f t="shared" ref="P31:P33" si="66">O31*(Q31-R31-S31)</f>
        <v>57360</v>
      </c>
      <c r="Q31" s="47">
        <v>250</v>
      </c>
      <c r="R31" s="501">
        <v>0</v>
      </c>
      <c r="S31" s="501">
        <f>56-S32-S33</f>
        <v>11</v>
      </c>
      <c r="T31" s="37">
        <f t="shared" ref="T31:T33" si="67">E31*M31*O31*Q31/100000000</f>
        <v>7.7489999999999997</v>
      </c>
      <c r="U31" s="37">
        <f t="shared" ref="U31:U33" si="68">E31*M31*O31*(Q31-R31-S31)/100000000</f>
        <v>7.4080440000000003</v>
      </c>
      <c r="V31" s="37">
        <f t="shared" ref="V31:V33" si="69">E31*G31*(1-N31)*O31/100*(R31+S31)/1000000</f>
        <v>0.34095599999999998</v>
      </c>
      <c r="W31" s="37">
        <f>+'7'!K9/1000</f>
        <v>10.379</v>
      </c>
      <c r="X31" s="502">
        <f>SUM(W31:W34)/SUM(K31:K34)</f>
        <v>0.82946545192385601</v>
      </c>
      <c r="Y31" s="211">
        <v>0</v>
      </c>
      <c r="Z31" s="37">
        <f>+'5'!D16/1000</f>
        <v>0</v>
      </c>
      <c r="AA31" s="49">
        <f>SUM(U31:U34)-SUM(W31:W34)-SUM(Z31:Z34)-SUM(Y31:Y34)</f>
        <v>1.9728486949171185</v>
      </c>
      <c r="AB31" s="49">
        <f>(SUM(K31:K34)-SUM(W31:W34)-SUM(Y31:Y34)-SUM(Z31:Z34)-SUM(AC31:AC34)-SUM(V31:V34))-AA31</f>
        <v>-3.8728745303873602E-2</v>
      </c>
      <c r="AC31" s="37">
        <f>K31-T31</f>
        <v>0</v>
      </c>
      <c r="AD31" s="37">
        <f>+AM31+BA31</f>
        <v>18</v>
      </c>
      <c r="AE31" s="230" t="s">
        <v>470</v>
      </c>
      <c r="AF31" s="37">
        <v>18</v>
      </c>
      <c r="AG31" s="37"/>
      <c r="AH31" s="37"/>
      <c r="AI31" s="503"/>
      <c r="AJ31" s="37"/>
      <c r="AK31" s="37"/>
      <c r="AL31" s="37"/>
      <c r="AM31" s="37">
        <f t="shared" ref="AM31:AM34" si="70">SUM(AF31:AL31)+AT31+AV31+AX31</f>
        <v>18</v>
      </c>
      <c r="AN31" s="37"/>
      <c r="AO31" s="37"/>
      <c r="AP31" s="37"/>
      <c r="AQ31" s="37"/>
      <c r="AR31" s="37">
        <f>SUM(AN31:AQ31)</f>
        <v>0</v>
      </c>
      <c r="AS31" s="37"/>
      <c r="AT31" s="37"/>
      <c r="AU31" s="37"/>
      <c r="AV31" s="37"/>
      <c r="AW31" s="37"/>
      <c r="AX31" s="37"/>
      <c r="AY31" s="37"/>
      <c r="AZ31" s="37"/>
      <c r="BA31" s="37">
        <f>+AR31+AS31+AU31+AW31+AY31+AZ31</f>
        <v>0</v>
      </c>
      <c r="BB31" s="33">
        <v>6</v>
      </c>
      <c r="BC31" s="51"/>
      <c r="BD31" s="51"/>
      <c r="BE31" s="33"/>
      <c r="BF31" s="51"/>
    </row>
    <row r="32" spans="1:58" ht="12.95" customHeight="1">
      <c r="A32" s="40"/>
      <c r="B32" s="41" t="s">
        <v>7</v>
      </c>
      <c r="C32" s="415">
        <f t="shared" si="62"/>
        <v>4.7336057999999994</v>
      </c>
      <c r="D32" s="41" t="s">
        <v>304</v>
      </c>
      <c r="E32" s="42">
        <v>12</v>
      </c>
      <c r="F32" s="42">
        <v>1</v>
      </c>
      <c r="G32" s="500">
        <v>1230</v>
      </c>
      <c r="H32" s="44">
        <v>0.23</v>
      </c>
      <c r="I32" s="45">
        <v>0.88</v>
      </c>
      <c r="J32" s="82">
        <f t="shared" si="63"/>
        <v>44.842533120000006</v>
      </c>
      <c r="K32" s="82">
        <f t="shared" si="64"/>
        <v>4.7336057999999994</v>
      </c>
      <c r="L32" s="35">
        <v>1230</v>
      </c>
      <c r="M32" s="35">
        <v>947.09999999999991</v>
      </c>
      <c r="N32" s="46">
        <f t="shared" si="65"/>
        <v>0.23000000000000009</v>
      </c>
      <c r="O32" s="47">
        <f>+'Trim Rwd'!H25</f>
        <v>245</v>
      </c>
      <c r="P32" s="48">
        <f t="shared" si="66"/>
        <v>40425</v>
      </c>
      <c r="Q32" s="47">
        <v>170</v>
      </c>
      <c r="R32" s="501">
        <v>0</v>
      </c>
      <c r="S32" s="501">
        <v>5</v>
      </c>
      <c r="T32" s="37">
        <f t="shared" si="67"/>
        <v>4.7336057999999994</v>
      </c>
      <c r="U32" s="37">
        <f t="shared" si="68"/>
        <v>4.5943820999999998</v>
      </c>
      <c r="V32" s="37">
        <f t="shared" si="69"/>
        <v>0.13922369999999998</v>
      </c>
      <c r="W32" s="37">
        <f>+'7'!K7/1000</f>
        <v>4.2249999999999996</v>
      </c>
      <c r="X32" s="38"/>
      <c r="Y32" s="211"/>
      <c r="Z32" s="37"/>
      <c r="AA32" s="37"/>
      <c r="AB32" s="37"/>
      <c r="AC32" s="37">
        <f>K32-T32</f>
        <v>0</v>
      </c>
      <c r="AD32" s="37">
        <f>+AM32+BA32</f>
        <v>0</v>
      </c>
      <c r="AE32" s="230" t="s">
        <v>432</v>
      </c>
      <c r="AF32" s="37"/>
      <c r="AG32" s="37">
        <v>0</v>
      </c>
      <c r="AH32" s="37"/>
      <c r="AI32" s="503"/>
      <c r="AJ32" s="37"/>
      <c r="AK32" s="37"/>
      <c r="AL32" s="37"/>
      <c r="AM32" s="37">
        <f t="shared" si="70"/>
        <v>0</v>
      </c>
      <c r="AN32" s="83"/>
      <c r="AO32" s="37"/>
      <c r="AP32" s="37"/>
      <c r="AQ32" s="37"/>
      <c r="AR32" s="37">
        <f t="shared" ref="AR32:AR34" si="71">SUM(AN32:AQ32)</f>
        <v>0</v>
      </c>
      <c r="AS32" s="37"/>
      <c r="AT32" s="37"/>
      <c r="AU32" s="37"/>
      <c r="AV32" s="37"/>
      <c r="AW32" s="37"/>
      <c r="AX32" s="37"/>
      <c r="AY32" s="37"/>
      <c r="AZ32" s="37"/>
      <c r="BA32" s="37">
        <f>+AR32+AS32+AU32+AW32+AY32+AZ32</f>
        <v>0</v>
      </c>
      <c r="BB32" s="50"/>
      <c r="BC32" s="51">
        <v>0</v>
      </c>
      <c r="BD32" s="51"/>
      <c r="BE32" s="50"/>
      <c r="BF32" s="51"/>
    </row>
    <row r="33" spans="1:58" ht="12.95" customHeight="1">
      <c r="A33" s="40"/>
      <c r="B33" s="41" t="s">
        <v>494</v>
      </c>
      <c r="C33" s="415">
        <f t="shared" si="62"/>
        <v>28.84232490961325</v>
      </c>
      <c r="D33" s="41" t="s">
        <v>304</v>
      </c>
      <c r="E33" s="42">
        <v>12</v>
      </c>
      <c r="F33" s="42">
        <v>1</v>
      </c>
      <c r="G33" s="500">
        <v>1230</v>
      </c>
      <c r="H33" s="44">
        <v>0.23</v>
      </c>
      <c r="I33" s="45">
        <v>0.88</v>
      </c>
      <c r="J33" s="82">
        <f t="shared" si="63"/>
        <v>44.842533120000006</v>
      </c>
      <c r="K33" s="82">
        <f t="shared" si="64"/>
        <v>29.097185039999996</v>
      </c>
      <c r="L33" s="35">
        <v>1219.2265193370165</v>
      </c>
      <c r="M33" s="35">
        <v>938.80441988950258</v>
      </c>
      <c r="N33" s="46">
        <f t="shared" si="65"/>
        <v>0.23000000000000009</v>
      </c>
      <c r="O33" s="47">
        <f>+'Trim Rwd'!H26</f>
        <v>251</v>
      </c>
      <c r="P33" s="48">
        <f t="shared" si="66"/>
        <v>217115</v>
      </c>
      <c r="Q33" s="47">
        <f>905+115</f>
        <v>1020</v>
      </c>
      <c r="R33" s="501">
        <v>115</v>
      </c>
      <c r="S33" s="501">
        <v>40</v>
      </c>
      <c r="T33" s="37">
        <f t="shared" si="67"/>
        <v>28.84232490961325</v>
      </c>
      <c r="U33" s="37">
        <f t="shared" si="68"/>
        <v>24.459422594917122</v>
      </c>
      <c r="V33" s="37">
        <f t="shared" si="69"/>
        <v>4.4216310599999993</v>
      </c>
      <c r="W33" s="37">
        <f>+'7'!K10/1000</f>
        <v>19.885000000000002</v>
      </c>
      <c r="X33" s="38"/>
      <c r="Y33" s="211"/>
      <c r="Z33" s="37"/>
      <c r="AA33" s="37"/>
      <c r="AB33" s="37"/>
      <c r="AC33" s="37">
        <f>K33-T33</f>
        <v>0.25486013038674571</v>
      </c>
      <c r="AD33" s="37">
        <f>+AM33+BA33</f>
        <v>38</v>
      </c>
      <c r="AE33" s="230" t="s">
        <v>436</v>
      </c>
      <c r="AF33" s="33"/>
      <c r="AG33" s="33"/>
      <c r="AH33" s="33">
        <v>38</v>
      </c>
      <c r="AJ33" s="37"/>
      <c r="AK33" s="37"/>
      <c r="AL33" s="37"/>
      <c r="AM33" s="37">
        <f t="shared" si="70"/>
        <v>38</v>
      </c>
      <c r="AN33" s="37"/>
      <c r="AO33" s="37"/>
      <c r="AP33" s="37"/>
      <c r="AQ33" s="37"/>
      <c r="AR33" s="37">
        <f t="shared" si="71"/>
        <v>0</v>
      </c>
      <c r="AS33" s="37"/>
      <c r="AT33" s="37"/>
      <c r="AU33" s="37"/>
      <c r="AV33" s="37"/>
      <c r="AW33" s="37"/>
      <c r="AX33" s="37"/>
      <c r="AY33" s="37"/>
      <c r="AZ33" s="37"/>
      <c r="BA33" s="37">
        <f>+AR33+AS33+AU33+AW33+AY33+AZ33</f>
        <v>0</v>
      </c>
      <c r="BB33" s="33"/>
      <c r="BC33" s="504"/>
      <c r="BD33" s="504"/>
      <c r="BE33" s="33"/>
      <c r="BF33" s="504"/>
    </row>
    <row r="34" spans="1:58" ht="12.95" customHeight="1">
      <c r="A34" s="40"/>
      <c r="B34" s="41"/>
      <c r="C34" s="415"/>
      <c r="D34" s="41"/>
      <c r="E34" s="42"/>
      <c r="F34" s="42"/>
      <c r="G34" s="43"/>
      <c r="H34" s="44"/>
      <c r="I34" s="45"/>
      <c r="J34" s="82"/>
      <c r="K34" s="82"/>
      <c r="L34" s="35"/>
      <c r="M34" s="35"/>
      <c r="N34" s="46"/>
      <c r="O34" s="47"/>
      <c r="P34" s="48"/>
      <c r="Q34" s="47"/>
      <c r="R34" s="501"/>
      <c r="S34" s="501"/>
      <c r="T34" s="37"/>
      <c r="U34" s="37"/>
      <c r="V34" s="37"/>
      <c r="W34" s="37"/>
      <c r="X34" s="38"/>
      <c r="Y34" s="211"/>
      <c r="Z34" s="37"/>
      <c r="AA34" s="37"/>
      <c r="AB34" s="37"/>
      <c r="AC34" s="37"/>
      <c r="AD34" s="37">
        <f>+AM34+BA34</f>
        <v>115</v>
      </c>
      <c r="AE34" s="230" t="s">
        <v>495</v>
      </c>
      <c r="AF34" s="33"/>
      <c r="AG34" s="33"/>
      <c r="AH34" s="33"/>
      <c r="AJ34" s="37"/>
      <c r="AK34" s="37"/>
      <c r="AL34" s="37"/>
      <c r="AM34" s="37">
        <f t="shared" si="70"/>
        <v>0</v>
      </c>
      <c r="AN34" s="37"/>
      <c r="AO34" s="37"/>
      <c r="AP34" s="37"/>
      <c r="AQ34" s="37"/>
      <c r="AR34" s="37">
        <f t="shared" si="71"/>
        <v>0</v>
      </c>
      <c r="AS34" s="37">
        <v>115</v>
      </c>
      <c r="AT34" s="37"/>
      <c r="AU34" s="37"/>
      <c r="AV34" s="37"/>
      <c r="AW34" s="37"/>
      <c r="AX34" s="37"/>
      <c r="AY34" s="37"/>
      <c r="AZ34" s="37"/>
      <c r="BA34" s="37">
        <f>+AR34+AS34+AU34+AW34+AY34+AZ34</f>
        <v>115</v>
      </c>
      <c r="BB34" s="33"/>
      <c r="BC34" s="504"/>
      <c r="BD34" s="504"/>
      <c r="BE34" s="33"/>
      <c r="BF34" s="504"/>
    </row>
    <row r="35" spans="1:58" ht="12.95" customHeight="1">
      <c r="A35" s="40"/>
      <c r="B35" s="41"/>
      <c r="C35" s="415"/>
      <c r="D35" s="41"/>
      <c r="E35" s="42"/>
      <c r="F35" s="42"/>
      <c r="G35" s="43"/>
      <c r="H35" s="44"/>
      <c r="I35" s="45"/>
      <c r="J35" s="82"/>
      <c r="K35" s="82"/>
      <c r="L35" s="35"/>
      <c r="M35" s="35"/>
      <c r="N35" s="46"/>
      <c r="O35" s="47"/>
      <c r="P35" s="48"/>
      <c r="Q35" s="47"/>
      <c r="R35" s="501"/>
      <c r="S35" s="501"/>
      <c r="T35" s="37"/>
      <c r="U35" s="37"/>
      <c r="V35" s="37"/>
      <c r="W35" s="37"/>
      <c r="X35" s="38"/>
      <c r="Y35" s="211"/>
      <c r="Z35" s="37"/>
      <c r="AA35" s="37"/>
      <c r="AB35" s="37"/>
      <c r="AC35" s="37"/>
      <c r="AD35" s="37"/>
      <c r="AE35" s="230"/>
      <c r="AF35" s="33"/>
      <c r="AG35" s="33"/>
      <c r="AH35" s="33"/>
      <c r="AJ35" s="37"/>
      <c r="AK35" s="37"/>
      <c r="AL35" s="37"/>
      <c r="AM35" s="37"/>
      <c r="AN35" s="37"/>
      <c r="AO35" s="37"/>
      <c r="AP35" s="37"/>
      <c r="AQ35" s="37"/>
      <c r="AR35" s="37"/>
      <c r="AS35" s="37"/>
      <c r="AT35" s="37"/>
      <c r="AU35" s="37"/>
      <c r="AV35" s="37"/>
      <c r="AW35" s="37"/>
      <c r="AX35" s="37"/>
      <c r="AY35" s="37"/>
      <c r="AZ35" s="37"/>
      <c r="BA35" s="37"/>
      <c r="BB35" s="33"/>
      <c r="BC35" s="504"/>
      <c r="BD35" s="51"/>
      <c r="BE35" s="50"/>
      <c r="BF35" s="51"/>
    </row>
    <row r="36" spans="1:58" ht="12.75" customHeight="1">
      <c r="A36" s="40">
        <v>45908</v>
      </c>
      <c r="B36" s="41" t="s">
        <v>424</v>
      </c>
      <c r="C36" s="415">
        <f t="shared" ref="C36" si="72">(M36*E36*O36*Q36)/100000000</f>
        <v>40.718576342983418</v>
      </c>
      <c r="D36" s="41" t="s">
        <v>304</v>
      </c>
      <c r="E36" s="42">
        <v>12</v>
      </c>
      <c r="F36" s="42">
        <v>1</v>
      </c>
      <c r="G36" s="500">
        <v>1230</v>
      </c>
      <c r="H36" s="44">
        <v>0.23</v>
      </c>
      <c r="I36" s="45">
        <v>0.88</v>
      </c>
      <c r="J36" s="82">
        <f t="shared" ref="J36" si="73">E36*G36*(1-H36)*1440/1000000*2.74</f>
        <v>44.842533120000006</v>
      </c>
      <c r="K36" s="82">
        <f t="shared" ref="K36" si="74">(IF(G36&lt;L36,L36,G36)*(1-IF(H36&lt;N36,H36,N36))*E36*O36*Q36)/100000000</f>
        <v>41.078378879999995</v>
      </c>
      <c r="L36" s="35">
        <v>1219.2265193370165</v>
      </c>
      <c r="M36" s="35">
        <v>938.80441988950258</v>
      </c>
      <c r="N36" s="46">
        <f t="shared" ref="N36" si="75">1-(M36/L36)</f>
        <v>0.23000000000000009</v>
      </c>
      <c r="O36" s="47">
        <v>251</v>
      </c>
      <c r="P36" s="48">
        <f t="shared" ref="P36" si="76">O36*(Q36-R36-S36)</f>
        <v>0</v>
      </c>
      <c r="Q36" s="47">
        <v>1440</v>
      </c>
      <c r="R36" s="501">
        <v>1440</v>
      </c>
      <c r="S36" s="501">
        <v>0</v>
      </c>
      <c r="T36" s="37">
        <f t="shared" ref="T36" si="77">E36*M36*O36*Q36/100000000</f>
        <v>40.718576342983418</v>
      </c>
      <c r="U36" s="37">
        <f t="shared" ref="U36" si="78">E36*M36*O36*(Q36-R36-S36)/100000000</f>
        <v>0</v>
      </c>
      <c r="V36" s="37">
        <f t="shared" ref="V36" si="79">E36*G36*(1-N36)*O36/100*(R36+S36)/1000000</f>
        <v>41.078378879999995</v>
      </c>
      <c r="W36" s="37">
        <f>+'7'!K13/1000</f>
        <v>0</v>
      </c>
      <c r="X36" s="502">
        <f>SUM(W36:W39)/SUM(K36:K39)</f>
        <v>0</v>
      </c>
      <c r="Y36" s="211">
        <v>0</v>
      </c>
      <c r="Z36" s="37">
        <f>+'5'!D21/1000</f>
        <v>0</v>
      </c>
      <c r="AA36" s="49">
        <f>SUM(U36:U39)-SUM(W36:W39)-SUM(Z36:Z39)-SUM(Y36:Y39)</f>
        <v>0</v>
      </c>
      <c r="AB36" s="49">
        <f>(SUM(K36:K39)-SUM(W36:W39)-SUM(Y36:Y39)-SUM(Z36:Z39)-SUM(AC36:AC39)-SUM(V36:V39))-AA36</f>
        <v>-0.35980253701657716</v>
      </c>
      <c r="AC36" s="37">
        <f>K36-T36</f>
        <v>0.35980253701657716</v>
      </c>
      <c r="AD36" s="37">
        <f>+AM36+BA36</f>
        <v>0</v>
      </c>
      <c r="AE36" s="230" t="s">
        <v>466</v>
      </c>
      <c r="AF36" s="37">
        <v>0</v>
      </c>
      <c r="AG36" s="37"/>
      <c r="AH36" s="37"/>
      <c r="AI36" s="503"/>
      <c r="AJ36" s="37"/>
      <c r="AK36" s="37"/>
      <c r="AL36" s="37"/>
      <c r="AM36" s="37">
        <f t="shared" ref="AM36:AM39" si="80">SUM(AF36:AL36)+AT36+AV36+AX36</f>
        <v>0</v>
      </c>
      <c r="AN36" s="37"/>
      <c r="AO36" s="37"/>
      <c r="AP36" s="37"/>
      <c r="AQ36" s="37"/>
      <c r="AR36" s="37">
        <f>SUM(AN36:AQ36)</f>
        <v>0</v>
      </c>
      <c r="AS36" s="37"/>
      <c r="AT36" s="37"/>
      <c r="AU36" s="37"/>
      <c r="AV36" s="37"/>
      <c r="AW36" s="37"/>
      <c r="AX36" s="37"/>
      <c r="AY36" s="37"/>
      <c r="AZ36" s="37"/>
      <c r="BA36" s="37">
        <f>+AR36+AS36+AU36+AW36+AY36+AZ36</f>
        <v>0</v>
      </c>
      <c r="BB36" s="33">
        <v>0</v>
      </c>
      <c r="BC36" s="51"/>
      <c r="BD36" s="51"/>
      <c r="BE36" s="33"/>
      <c r="BF36" s="51"/>
    </row>
    <row r="37" spans="1:58" ht="12.95" customHeight="1">
      <c r="A37" s="40"/>
      <c r="B37" s="41"/>
      <c r="C37" s="415"/>
      <c r="D37" s="41"/>
      <c r="E37" s="42"/>
      <c r="F37" s="42"/>
      <c r="G37" s="500"/>
      <c r="H37" s="44"/>
      <c r="I37" s="45"/>
      <c r="J37" s="82"/>
      <c r="K37" s="82"/>
      <c r="L37" s="35"/>
      <c r="M37" s="35"/>
      <c r="N37" s="46"/>
      <c r="O37" s="47"/>
      <c r="P37" s="48"/>
      <c r="Q37" s="47"/>
      <c r="R37" s="501"/>
      <c r="S37" s="501"/>
      <c r="T37" s="37"/>
      <c r="U37" s="37"/>
      <c r="V37" s="37"/>
      <c r="W37" s="37"/>
      <c r="X37" s="38"/>
      <c r="Y37" s="211"/>
      <c r="Z37" s="37"/>
      <c r="AA37" s="37"/>
      <c r="AB37" s="37"/>
      <c r="AC37" s="37"/>
      <c r="AD37" s="37">
        <f>+AM37+BA37</f>
        <v>0</v>
      </c>
      <c r="AE37" s="230" t="s">
        <v>432</v>
      </c>
      <c r="AF37" s="37"/>
      <c r="AG37" s="37">
        <v>0</v>
      </c>
      <c r="AH37" s="37"/>
      <c r="AI37" s="503"/>
      <c r="AJ37" s="37"/>
      <c r="AK37" s="37"/>
      <c r="AL37" s="37"/>
      <c r="AM37" s="37">
        <f t="shared" si="80"/>
        <v>0</v>
      </c>
      <c r="AN37" s="83"/>
      <c r="AO37" s="37"/>
      <c r="AP37" s="37"/>
      <c r="AQ37" s="37"/>
      <c r="AR37" s="37">
        <f t="shared" ref="AR37:AR38" si="81">SUM(AN37:AQ37)</f>
        <v>0</v>
      </c>
      <c r="AS37" s="37"/>
      <c r="AT37" s="37"/>
      <c r="AU37" s="37"/>
      <c r="AV37" s="37"/>
      <c r="AW37" s="37"/>
      <c r="AX37" s="37"/>
      <c r="AY37" s="37"/>
      <c r="AZ37" s="37"/>
      <c r="BA37" s="37">
        <f>+AR37+AS37+AU37+AW37+AY37+AZ37</f>
        <v>0</v>
      </c>
      <c r="BB37" s="50"/>
      <c r="BC37" s="51">
        <v>0</v>
      </c>
      <c r="BD37" s="51"/>
      <c r="BE37" s="50"/>
      <c r="BF37" s="51"/>
    </row>
    <row r="38" spans="1:58" ht="12.95" customHeight="1">
      <c r="A38" s="40"/>
      <c r="B38" s="41"/>
      <c r="C38" s="415"/>
      <c r="D38" s="41"/>
      <c r="E38" s="42"/>
      <c r="F38" s="42"/>
      <c r="G38" s="43"/>
      <c r="H38" s="44"/>
      <c r="I38" s="45"/>
      <c r="J38" s="82"/>
      <c r="K38" s="82"/>
      <c r="L38" s="35"/>
      <c r="M38" s="35"/>
      <c r="N38" s="46"/>
      <c r="O38" s="47"/>
      <c r="P38" s="48"/>
      <c r="Q38" s="47"/>
      <c r="R38" s="501"/>
      <c r="S38" s="501"/>
      <c r="T38" s="37"/>
      <c r="U38" s="37"/>
      <c r="V38" s="37"/>
      <c r="W38" s="37"/>
      <c r="X38" s="38"/>
      <c r="Y38" s="211"/>
      <c r="Z38" s="37"/>
      <c r="AA38" s="37"/>
      <c r="AB38" s="37"/>
      <c r="AC38" s="37"/>
      <c r="AD38" s="37">
        <f>+AM38+BA38</f>
        <v>0</v>
      </c>
      <c r="AE38" s="230" t="s">
        <v>507</v>
      </c>
      <c r="AF38" s="33"/>
      <c r="AG38" s="33"/>
      <c r="AH38" s="33">
        <v>0</v>
      </c>
      <c r="AJ38" s="37"/>
      <c r="AK38" s="37"/>
      <c r="AL38" s="37"/>
      <c r="AM38" s="37">
        <f t="shared" si="80"/>
        <v>0</v>
      </c>
      <c r="AN38" s="37"/>
      <c r="AO38" s="37"/>
      <c r="AP38" s="37"/>
      <c r="AQ38" s="37"/>
      <c r="AR38" s="37">
        <f t="shared" si="81"/>
        <v>0</v>
      </c>
      <c r="AS38" s="37"/>
      <c r="AT38" s="37"/>
      <c r="AU38" s="37"/>
      <c r="AV38" s="37"/>
      <c r="AW38" s="37"/>
      <c r="AX38" s="37"/>
      <c r="AY38" s="37"/>
      <c r="AZ38" s="37"/>
      <c r="BA38" s="37">
        <f>+AR38+AS38+AU38+AW38+AY38+AZ38</f>
        <v>0</v>
      </c>
      <c r="BB38" s="33"/>
      <c r="BC38" s="504"/>
      <c r="BD38" s="504"/>
      <c r="BE38" s="33"/>
      <c r="BF38" s="504"/>
    </row>
    <row r="39" spans="1:58" ht="12.95" customHeight="1">
      <c r="A39" s="40"/>
      <c r="B39" s="41"/>
      <c r="C39" s="415"/>
      <c r="D39" s="41"/>
      <c r="E39" s="42"/>
      <c r="F39" s="42"/>
      <c r="G39" s="43"/>
      <c r="H39" s="44"/>
      <c r="I39" s="45"/>
      <c r="J39" s="82"/>
      <c r="K39" s="82"/>
      <c r="L39" s="35"/>
      <c r="M39" s="35"/>
      <c r="N39" s="46"/>
      <c r="O39" s="47"/>
      <c r="P39" s="48"/>
      <c r="Q39" s="47"/>
      <c r="R39" s="501"/>
      <c r="S39" s="501"/>
      <c r="T39" s="37"/>
      <c r="U39" s="37"/>
      <c r="V39" s="37"/>
      <c r="W39" s="37"/>
      <c r="X39" s="38"/>
      <c r="Y39" s="211"/>
      <c r="Z39" s="37"/>
      <c r="AA39" s="37"/>
      <c r="AB39" s="37"/>
      <c r="AC39" s="37"/>
      <c r="AD39" s="37">
        <f>+AM39+BA39</f>
        <v>1440</v>
      </c>
      <c r="AE39" s="230" t="s">
        <v>508</v>
      </c>
      <c r="AF39" s="33"/>
      <c r="AG39" s="33"/>
      <c r="AH39" s="33"/>
      <c r="AJ39" s="37"/>
      <c r="AK39" s="37"/>
      <c r="AL39" s="37"/>
      <c r="AM39" s="37">
        <f t="shared" si="80"/>
        <v>0</v>
      </c>
      <c r="AN39" s="37"/>
      <c r="AO39" s="37"/>
      <c r="AP39" s="37"/>
      <c r="AQ39" s="37"/>
      <c r="AR39" s="37">
        <f t="shared" ref="AR39" si="82">SUM(AN39:AQ39)</f>
        <v>0</v>
      </c>
      <c r="AS39" s="37">
        <v>1440</v>
      </c>
      <c r="AT39" s="37"/>
      <c r="AU39" s="37"/>
      <c r="AV39" s="37"/>
      <c r="AW39" s="37"/>
      <c r="AX39" s="37"/>
      <c r="AY39" s="37"/>
      <c r="AZ39" s="37"/>
      <c r="BA39" s="37">
        <f>+AR39+AS39+AU39+AW39+AY39+AZ39</f>
        <v>1440</v>
      </c>
      <c r="BB39" s="33"/>
      <c r="BC39" s="504"/>
      <c r="BD39" s="504"/>
      <c r="BE39" s="33"/>
      <c r="BF39" s="504"/>
    </row>
    <row r="40" spans="1:58" ht="12.95" customHeight="1">
      <c r="A40" s="40"/>
      <c r="B40" s="41"/>
      <c r="C40" s="415"/>
      <c r="D40" s="41"/>
      <c r="E40" s="42"/>
      <c r="F40" s="42"/>
      <c r="G40" s="500"/>
      <c r="H40" s="44"/>
      <c r="I40" s="45"/>
      <c r="J40" s="82"/>
      <c r="K40" s="82"/>
      <c r="L40" s="35"/>
      <c r="M40" s="35"/>
      <c r="N40" s="46"/>
      <c r="O40" s="47"/>
      <c r="P40" s="48"/>
      <c r="Q40" s="47"/>
      <c r="R40" s="501"/>
      <c r="S40" s="501"/>
      <c r="T40" s="37"/>
      <c r="U40" s="37"/>
      <c r="V40" s="37"/>
      <c r="W40" s="37"/>
      <c r="X40" s="38"/>
      <c r="Y40" s="211"/>
      <c r="Z40" s="37"/>
      <c r="AA40" s="37"/>
      <c r="AB40" s="37"/>
      <c r="AC40" s="37"/>
      <c r="AD40" s="37"/>
      <c r="AE40" s="230"/>
      <c r="AF40" s="37"/>
      <c r="AG40" s="37"/>
      <c r="AH40" s="37"/>
      <c r="AI40" s="503"/>
      <c r="AJ40" s="37"/>
      <c r="AK40" s="37"/>
      <c r="AL40" s="37"/>
      <c r="AM40" s="37"/>
      <c r="AN40" s="83"/>
      <c r="AO40" s="37"/>
      <c r="AP40" s="37"/>
      <c r="AQ40" s="37"/>
      <c r="AR40" s="37"/>
      <c r="AS40" s="37"/>
      <c r="AT40" s="37"/>
      <c r="AU40" s="37"/>
      <c r="AV40" s="37"/>
      <c r="AW40" s="37"/>
      <c r="AX40" s="37"/>
      <c r="AY40" s="37"/>
      <c r="AZ40" s="37"/>
      <c r="BA40" s="37"/>
      <c r="BB40" s="50"/>
      <c r="BC40" s="51"/>
      <c r="BD40" s="504"/>
      <c r="BE40" s="33"/>
      <c r="BF40" s="504"/>
    </row>
    <row r="41" spans="1:58" ht="12.75" customHeight="1">
      <c r="A41" s="40">
        <v>45909</v>
      </c>
      <c r="B41" s="41" t="s">
        <v>7</v>
      </c>
      <c r="C41" s="415">
        <f t="shared" ref="C41:C42" si="83">(M41*E41*O41*Q41)/100000000</f>
        <v>13.7178503847</v>
      </c>
      <c r="D41" s="41" t="s">
        <v>304</v>
      </c>
      <c r="E41" s="42">
        <v>12</v>
      </c>
      <c r="F41" s="42">
        <v>1</v>
      </c>
      <c r="G41" s="500">
        <v>1230</v>
      </c>
      <c r="H41" s="44">
        <v>0.23</v>
      </c>
      <c r="I41" s="45">
        <v>0.88</v>
      </c>
      <c r="J41" s="82">
        <f t="shared" ref="J41:J42" si="84">E41*G41*(1-H41)*1440/1000000*2.74</f>
        <v>44.842533120000006</v>
      </c>
      <c r="K41" s="82">
        <f t="shared" ref="K41:K42" si="85">(IF(G41&lt;L41,L41,G41)*(1-IF(H41&lt;N41,H41,N41))*E41*O41*Q41)/100000000</f>
        <v>15.508287055800004</v>
      </c>
      <c r="L41" s="35">
        <v>1087.9961089494163</v>
      </c>
      <c r="M41" s="35">
        <v>837.75700389105054</v>
      </c>
      <c r="N41" s="46">
        <f t="shared" ref="N41:N42" si="86">1-(M41/L41)</f>
        <v>0.22999999999999998</v>
      </c>
      <c r="O41" s="47">
        <f>+'Trim Rwd'!H30</f>
        <v>265.47500000000002</v>
      </c>
      <c r="P41" s="48">
        <f t="shared" ref="P41:P42" si="87">O41*(Q41-R41-S41)</f>
        <v>128755.37500000001</v>
      </c>
      <c r="Q41" s="47">
        <v>514</v>
      </c>
      <c r="R41" s="501">
        <v>0</v>
      </c>
      <c r="S41" s="501">
        <v>29</v>
      </c>
      <c r="T41" s="37">
        <f t="shared" ref="T41:T42" si="88">E41*M41*O41*Q41/100000000</f>
        <v>13.7178503847</v>
      </c>
      <c r="U41" s="37">
        <f t="shared" ref="U41:U42" si="89">E41*M41*O41*(Q41-R41-S41)/100000000</f>
        <v>12.943886063384243</v>
      </c>
      <c r="V41" s="37">
        <f t="shared" ref="V41:V42" si="90">E41*G41*(1-N41)*O41/100*(R41+S41)/1000000</f>
        <v>0.87498117630000016</v>
      </c>
      <c r="W41" s="37">
        <f>+'9'!K7/1000</f>
        <v>11.49</v>
      </c>
      <c r="X41" s="502">
        <f>SUM(W41:W44)/SUM(K41:K44)</f>
        <v>0.75825127882432952</v>
      </c>
      <c r="Y41" s="211">
        <v>0</v>
      </c>
      <c r="Z41" s="37">
        <f>+'5'!D26/1000</f>
        <v>0</v>
      </c>
      <c r="AA41" s="49">
        <f>SUM(U41:U44)-SUM(W41:W44)-SUM(Z41:Z44)-SUM(Y41:Y44)</f>
        <v>4.7437423108140457</v>
      </c>
      <c r="AB41" s="49">
        <f>(SUM(K41:K44)-SUM(W41:W44)-SUM(Y41:Y44)-SUM(Z41:Z44)-SUM(AC41:AC44)-SUM(V41:V44))-AA41</f>
        <v>-0.16847928241404553</v>
      </c>
      <c r="AC41" s="37">
        <f>K41-T41</f>
        <v>1.7904366711000037</v>
      </c>
      <c r="AD41" s="37">
        <f>+AM41+BA41</f>
        <v>21</v>
      </c>
      <c r="AE41" s="230" t="s">
        <v>453</v>
      </c>
      <c r="AF41" s="37">
        <v>21</v>
      </c>
      <c r="AG41" s="37"/>
      <c r="AH41" s="37"/>
      <c r="AI41" s="503"/>
      <c r="AJ41" s="37"/>
      <c r="AK41" s="37"/>
      <c r="AL41" s="37"/>
      <c r="AM41" s="37">
        <f t="shared" ref="AM41:AM43" si="91">SUM(AF41:AL41)+AT41+AV41+AX41</f>
        <v>21</v>
      </c>
      <c r="AN41" s="37"/>
      <c r="AO41" s="37"/>
      <c r="AP41" s="37"/>
      <c r="AQ41" s="37"/>
      <c r="AR41" s="37">
        <f>SUM(AN41:AQ41)</f>
        <v>0</v>
      </c>
      <c r="AS41" s="37"/>
      <c r="AT41" s="37"/>
      <c r="AU41" s="37"/>
      <c r="AV41" s="37"/>
      <c r="AW41" s="37"/>
      <c r="AX41" s="37"/>
      <c r="AY41" s="37"/>
      <c r="AZ41" s="37"/>
      <c r="BA41" s="37">
        <f>+AR41+AS41+AU41+AW41+AY41+AZ41</f>
        <v>0</v>
      </c>
      <c r="BB41" s="33">
        <v>4</v>
      </c>
      <c r="BC41" s="51"/>
      <c r="BD41" s="51"/>
      <c r="BE41" s="33"/>
      <c r="BF41" s="51"/>
    </row>
    <row r="42" spans="1:58" ht="12.95" customHeight="1">
      <c r="A42" s="40"/>
      <c r="B42" s="41" t="s">
        <v>7</v>
      </c>
      <c r="C42" s="415">
        <f t="shared" si="83"/>
        <v>27.560753219999995</v>
      </c>
      <c r="D42" s="41" t="s">
        <v>304</v>
      </c>
      <c r="E42" s="42">
        <v>13</v>
      </c>
      <c r="F42" s="42">
        <v>1</v>
      </c>
      <c r="G42" s="500">
        <v>1230</v>
      </c>
      <c r="H42" s="44">
        <v>0.22</v>
      </c>
      <c r="I42" s="45">
        <v>0.88</v>
      </c>
      <c r="J42" s="82">
        <f t="shared" si="84"/>
        <v>49.210312320000007</v>
      </c>
      <c r="K42" s="82">
        <f t="shared" si="85"/>
        <v>30.028068719999997</v>
      </c>
      <c r="L42" s="35">
        <v>1143.5961123110151</v>
      </c>
      <c r="M42" s="35">
        <v>880.56900647948157</v>
      </c>
      <c r="N42" s="46">
        <f t="shared" si="86"/>
        <v>0.22999999999999998</v>
      </c>
      <c r="O42" s="47">
        <f>+'Trim Rwd'!H32</f>
        <v>260</v>
      </c>
      <c r="P42" s="48">
        <f t="shared" si="87"/>
        <v>232960</v>
      </c>
      <c r="Q42" s="47">
        <v>926</v>
      </c>
      <c r="R42" s="501">
        <v>0</v>
      </c>
      <c r="S42" s="501">
        <v>30</v>
      </c>
      <c r="T42" s="37">
        <f t="shared" si="88"/>
        <v>27.560753219999995</v>
      </c>
      <c r="U42" s="37">
        <f t="shared" si="89"/>
        <v>26.6678562474298</v>
      </c>
      <c r="V42" s="37">
        <f t="shared" si="90"/>
        <v>0.96035940000000009</v>
      </c>
      <c r="W42" s="37">
        <f>+'9'!K8/1000</f>
        <v>23.038</v>
      </c>
      <c r="X42" s="38"/>
      <c r="Y42" s="211"/>
      <c r="Z42" s="37">
        <f>+'9'!D17/1000</f>
        <v>0.34</v>
      </c>
      <c r="AA42" s="37"/>
      <c r="AB42" s="37"/>
      <c r="AC42" s="37">
        <f>K42-T42</f>
        <v>2.4673155000000015</v>
      </c>
      <c r="AD42" s="37">
        <f>+AM42+BA42</f>
        <v>15</v>
      </c>
      <c r="AE42" s="230" t="s">
        <v>521</v>
      </c>
      <c r="AF42" s="37"/>
      <c r="AG42" s="37">
        <v>15</v>
      </c>
      <c r="AH42" s="37"/>
      <c r="AI42" s="503"/>
      <c r="AJ42" s="37"/>
      <c r="AK42" s="37"/>
      <c r="AL42" s="37"/>
      <c r="AM42" s="37">
        <f t="shared" si="91"/>
        <v>15</v>
      </c>
      <c r="AN42" s="83"/>
      <c r="AO42" s="37"/>
      <c r="AP42" s="37"/>
      <c r="AQ42" s="37"/>
      <c r="AR42" s="37">
        <f t="shared" ref="AR42:AR43" si="92">SUM(AN42:AQ42)</f>
        <v>0</v>
      </c>
      <c r="AS42" s="37"/>
      <c r="AT42" s="37"/>
      <c r="AU42" s="37"/>
      <c r="AV42" s="37"/>
      <c r="AW42" s="37"/>
      <c r="AX42" s="37"/>
      <c r="AY42" s="37"/>
      <c r="AZ42" s="37"/>
      <c r="BA42" s="37">
        <f>+AR42+AS42+AU42+AW42+AY42+AZ42</f>
        <v>0</v>
      </c>
      <c r="BB42" s="50"/>
      <c r="BC42" s="51">
        <v>13</v>
      </c>
      <c r="BD42" s="51"/>
      <c r="BE42" s="50"/>
      <c r="BF42" s="51"/>
    </row>
    <row r="43" spans="1:58" ht="12.95" customHeight="1">
      <c r="A43" s="40"/>
      <c r="B43" s="41"/>
      <c r="C43" s="415"/>
      <c r="D43" s="41"/>
      <c r="E43" s="42"/>
      <c r="F43" s="42"/>
      <c r="G43" s="43"/>
      <c r="H43" s="44"/>
      <c r="I43" s="45"/>
      <c r="J43" s="82"/>
      <c r="K43" s="82"/>
      <c r="L43" s="35"/>
      <c r="M43" s="35"/>
      <c r="N43" s="46"/>
      <c r="O43" s="47"/>
      <c r="P43" s="48"/>
      <c r="Q43" s="47"/>
      <c r="R43" s="501"/>
      <c r="S43" s="501"/>
      <c r="T43" s="37"/>
      <c r="U43" s="37"/>
      <c r="V43" s="37"/>
      <c r="W43" s="37"/>
      <c r="X43" s="38"/>
      <c r="Y43" s="211"/>
      <c r="Z43" s="37"/>
      <c r="AA43" s="37"/>
      <c r="AB43" s="37"/>
      <c r="AC43" s="37"/>
      <c r="AD43" s="37">
        <f>+AM43+BA43</f>
        <v>23</v>
      </c>
      <c r="AE43" s="230" t="s">
        <v>522</v>
      </c>
      <c r="AF43" s="33"/>
      <c r="AG43" s="33"/>
      <c r="AH43" s="33">
        <v>23</v>
      </c>
      <c r="AJ43" s="37"/>
      <c r="AK43" s="37"/>
      <c r="AL43" s="37"/>
      <c r="AM43" s="37">
        <f t="shared" si="91"/>
        <v>23</v>
      </c>
      <c r="AN43" s="37"/>
      <c r="AO43" s="37"/>
      <c r="AP43" s="37"/>
      <c r="AQ43" s="37"/>
      <c r="AR43" s="37">
        <f t="shared" si="92"/>
        <v>0</v>
      </c>
      <c r="AS43" s="37"/>
      <c r="AT43" s="37"/>
      <c r="AU43" s="37"/>
      <c r="AV43" s="37"/>
      <c r="AW43" s="37"/>
      <c r="AX43" s="37"/>
      <c r="AY43" s="37"/>
      <c r="AZ43" s="37"/>
      <c r="BA43" s="37">
        <f>+AR43+AS43+AU43+AW43+AY43+AZ43</f>
        <v>0</v>
      </c>
      <c r="BB43" s="33"/>
      <c r="BC43" s="504"/>
      <c r="BD43" s="504"/>
      <c r="BE43" s="33"/>
      <c r="BF43" s="504"/>
    </row>
    <row r="44" spans="1:58" ht="13.5" customHeight="1">
      <c r="A44" s="40"/>
      <c r="B44" s="41"/>
      <c r="C44" s="415"/>
      <c r="D44" s="41"/>
      <c r="E44" s="42"/>
      <c r="F44" s="42"/>
      <c r="G44" s="500"/>
      <c r="H44" s="44"/>
      <c r="I44" s="45"/>
      <c r="J44" s="82"/>
      <c r="K44" s="82"/>
      <c r="L44" s="35"/>
      <c r="M44" s="35"/>
      <c r="N44" s="46"/>
      <c r="O44" s="47"/>
      <c r="P44" s="48"/>
      <c r="Q44" s="47"/>
      <c r="R44" s="501"/>
      <c r="S44" s="501"/>
      <c r="T44" s="37"/>
      <c r="U44" s="37"/>
      <c r="V44" s="37"/>
      <c r="W44" s="37"/>
      <c r="X44" s="502"/>
      <c r="Y44" s="211"/>
      <c r="Z44" s="37"/>
      <c r="AA44" s="49"/>
      <c r="AB44" s="49"/>
      <c r="AC44" s="37"/>
      <c r="AD44" s="37"/>
      <c r="AE44" s="230"/>
      <c r="AF44" s="37"/>
      <c r="AG44" s="37"/>
      <c r="AH44" s="37"/>
      <c r="AI44" s="503"/>
      <c r="AJ44" s="37"/>
      <c r="AK44" s="37"/>
      <c r="AL44" s="37"/>
      <c r="AM44" s="37"/>
      <c r="AN44" s="37"/>
      <c r="AO44" s="37"/>
      <c r="AP44" s="37"/>
      <c r="AQ44" s="37"/>
      <c r="AR44" s="37"/>
      <c r="AS44" s="37"/>
      <c r="AT44" s="37"/>
      <c r="AU44" s="37"/>
      <c r="AV44" s="37"/>
      <c r="AW44" s="37"/>
      <c r="AX44" s="37"/>
      <c r="AY44" s="37"/>
      <c r="AZ44" s="37"/>
      <c r="BA44" s="37"/>
      <c r="BB44" s="33"/>
      <c r="BC44" s="51"/>
      <c r="BD44" s="51"/>
      <c r="BE44" s="33"/>
      <c r="BF44" s="51"/>
    </row>
    <row r="45" spans="1:58" ht="12.75" customHeight="1">
      <c r="A45" s="40">
        <v>45910</v>
      </c>
      <c r="B45" s="41" t="s">
        <v>7</v>
      </c>
      <c r="C45" s="415">
        <f t="shared" ref="C45:C46" si="93">(M45*E45*O45*Q45)/100000000</f>
        <v>24.415557634285712</v>
      </c>
      <c r="D45" s="41" t="s">
        <v>304</v>
      </c>
      <c r="E45" s="42">
        <v>12</v>
      </c>
      <c r="F45" s="42">
        <v>1</v>
      </c>
      <c r="G45" s="500">
        <v>1230</v>
      </c>
      <c r="H45" s="44">
        <v>0.23</v>
      </c>
      <c r="I45" s="45">
        <v>0.88</v>
      </c>
      <c r="J45" s="82">
        <f t="shared" ref="J45:J46" si="94">E45*G45*(1-H45)*1440/1000000*2.74</f>
        <v>44.842533120000006</v>
      </c>
      <c r="K45" s="82">
        <f t="shared" ref="K45:K46" si="95">(IF(G45&lt;L45,L45,G45)*(1-IF(H45&lt;N45,H45,N45))*E45*O45*Q45)/100000000</f>
        <v>24.415557634285712</v>
      </c>
      <c r="L45" s="35">
        <v>1230</v>
      </c>
      <c r="M45" s="35">
        <v>947.09999999999991</v>
      </c>
      <c r="N45" s="46">
        <f t="shared" ref="N45:N46" si="96">1-(M45/L45)</f>
        <v>0.23000000000000009</v>
      </c>
      <c r="O45" s="47">
        <f>+'Trim Rwd'!H34</f>
        <v>263.59183673469386</v>
      </c>
      <c r="P45" s="48">
        <f t="shared" ref="P45:P46" si="97">O45*(Q45-R45-S45)</f>
        <v>199539.02040816325</v>
      </c>
      <c r="Q45" s="47">
        <v>815</v>
      </c>
      <c r="R45" s="501">
        <v>0</v>
      </c>
      <c r="S45" s="501">
        <v>58</v>
      </c>
      <c r="T45" s="37">
        <f t="shared" ref="T45:T46" si="98">E45*M45*O45*Q45/100000000</f>
        <v>24.415557634285712</v>
      </c>
      <c r="U45" s="37">
        <f t="shared" ref="U45:U46" si="99">E45*M45*O45*(Q45-R45-S45)/100000000</f>
        <v>22.678008747428571</v>
      </c>
      <c r="V45" s="37">
        <f t="shared" ref="V45:V46" si="100">E45*G45*(1-N45)*O45/100*(R45+S45)/1000000</f>
        <v>1.7375488868571427</v>
      </c>
      <c r="W45" s="37">
        <f>+'10'!K7/1000</f>
        <v>23.588999999999999</v>
      </c>
      <c r="X45" s="502">
        <f>SUM(W45:W48)/SUM(K45:K48)</f>
        <v>0.85091417551168358</v>
      </c>
      <c r="Y45" s="211">
        <f>+SUM(RBP!AG3:AG4)</f>
        <v>0</v>
      </c>
      <c r="Z45" s="37">
        <f>+'10'!D7/1000</f>
        <v>6.0279999999999996</v>
      </c>
      <c r="AA45" s="49">
        <f>SUM(U45:U48)-SUM(W45:W48)-SUM(Z45:Z48)-SUM(Y45:Y48)</f>
        <v>-2.3934450025714264</v>
      </c>
      <c r="AB45" s="49">
        <f>(SUM(K45:K48)-SUM(W45:W48)-SUM(Y45:Y48)-SUM(Z45:Z48)-SUM(AC45:AC48)-SUM(V45:V48))-AA45</f>
        <v>-7.9936057773011271E-15</v>
      </c>
      <c r="AC45" s="37">
        <f>K45-T45</f>
        <v>0</v>
      </c>
      <c r="AD45" s="37">
        <f>+AM45+BA45</f>
        <v>0</v>
      </c>
      <c r="AE45" s="230" t="s">
        <v>466</v>
      </c>
      <c r="AF45" s="37">
        <v>0</v>
      </c>
      <c r="AG45" s="37"/>
      <c r="AH45" s="37"/>
      <c r="AI45" s="37"/>
      <c r="AJ45" s="37"/>
      <c r="AK45" s="37"/>
      <c r="AL45" s="37"/>
      <c r="AM45" s="37">
        <f t="shared" ref="AM45:AM47" si="101">SUM(AF45:AL45)+AT45+AV45+AX45</f>
        <v>0</v>
      </c>
      <c r="AN45" s="37"/>
      <c r="AO45" s="37"/>
      <c r="AP45" s="37"/>
      <c r="AQ45" s="37"/>
      <c r="AR45" s="37">
        <f>SUM(AN45:AQ45)</f>
        <v>0</v>
      </c>
      <c r="AS45" s="37"/>
      <c r="AT45" s="37"/>
      <c r="AU45" s="37"/>
      <c r="AV45" s="37"/>
      <c r="AW45" s="37"/>
      <c r="AX45" s="37"/>
      <c r="AY45" s="37"/>
      <c r="AZ45" s="37"/>
      <c r="BA45" s="37">
        <f>+AR45+AS45+AU45+AW45+AY45+AZ45</f>
        <v>0</v>
      </c>
      <c r="BB45" s="33">
        <v>0</v>
      </c>
      <c r="BC45" s="51"/>
      <c r="BD45" s="51"/>
      <c r="BE45" s="33"/>
      <c r="BF45" s="51"/>
    </row>
    <row r="46" spans="1:58" ht="12.95" customHeight="1">
      <c r="A46" s="40"/>
      <c r="B46" s="41" t="s">
        <v>7</v>
      </c>
      <c r="C46" s="415">
        <f t="shared" si="93"/>
        <v>19.237968749999997</v>
      </c>
      <c r="D46" s="41" t="s">
        <v>304</v>
      </c>
      <c r="E46" s="42">
        <v>12.5</v>
      </c>
      <c r="F46" s="42">
        <v>1</v>
      </c>
      <c r="G46" s="500">
        <v>1230</v>
      </c>
      <c r="H46" s="44">
        <v>0.22</v>
      </c>
      <c r="I46" s="45">
        <v>0.88</v>
      </c>
      <c r="J46" s="82">
        <f t="shared" si="94"/>
        <v>47.317608000000007</v>
      </c>
      <c r="K46" s="82">
        <f t="shared" si="95"/>
        <v>19.4878125</v>
      </c>
      <c r="L46" s="35">
        <v>1230</v>
      </c>
      <c r="M46" s="35">
        <v>947.09999999999991</v>
      </c>
      <c r="N46" s="46">
        <f t="shared" si="96"/>
        <v>0.23000000000000009</v>
      </c>
      <c r="O46" s="47">
        <f>+'Trim Rwd'!H36</f>
        <v>260</v>
      </c>
      <c r="P46" s="48">
        <f t="shared" si="97"/>
        <v>154700</v>
      </c>
      <c r="Q46" s="47">
        <v>625</v>
      </c>
      <c r="R46" s="501">
        <v>0</v>
      </c>
      <c r="S46" s="501">
        <v>30</v>
      </c>
      <c r="T46" s="37">
        <f t="shared" si="98"/>
        <v>19.237968749999997</v>
      </c>
      <c r="U46" s="37">
        <f t="shared" si="99"/>
        <v>18.314546249999999</v>
      </c>
      <c r="V46" s="37">
        <f t="shared" si="100"/>
        <v>0.92342249999999992</v>
      </c>
      <c r="W46" s="37">
        <f>+'10'!K11/1000</f>
        <v>13.769</v>
      </c>
      <c r="X46" s="38"/>
      <c r="Y46" s="211"/>
      <c r="Z46" s="37">
        <f>+'9'!D21/1000</f>
        <v>0</v>
      </c>
      <c r="AA46" s="37"/>
      <c r="AB46" s="37"/>
      <c r="AC46" s="37">
        <f>K46-T46</f>
        <v>0.24984375000000369</v>
      </c>
      <c r="AD46" s="37">
        <f>+AM46+BA46</f>
        <v>10</v>
      </c>
      <c r="AE46" s="230" t="s">
        <v>412</v>
      </c>
      <c r="AF46" s="37"/>
      <c r="AG46" s="37">
        <v>10</v>
      </c>
      <c r="AH46" s="37"/>
      <c r="AI46" s="37"/>
      <c r="AJ46" s="37"/>
      <c r="AK46" s="37"/>
      <c r="AL46" s="37"/>
      <c r="AM46" s="37">
        <f t="shared" si="101"/>
        <v>10</v>
      </c>
      <c r="AN46" s="83"/>
      <c r="AO46" s="37"/>
      <c r="AP46" s="37"/>
      <c r="AQ46" s="37"/>
      <c r="AR46" s="37">
        <f t="shared" ref="AR46:AR47" si="102">SUM(AN46:AQ46)</f>
        <v>0</v>
      </c>
      <c r="AS46" s="37"/>
      <c r="AT46" s="37"/>
      <c r="AU46" s="37"/>
      <c r="AV46" s="37"/>
      <c r="AW46" s="37"/>
      <c r="AX46" s="37"/>
      <c r="AY46" s="37"/>
      <c r="AZ46" s="37"/>
      <c r="BA46" s="37">
        <f>+AR46+AS46+AU46+AW46+AY46+AZ46</f>
        <v>0</v>
      </c>
      <c r="BB46" s="50"/>
      <c r="BC46" s="51">
        <v>10</v>
      </c>
      <c r="BD46" s="51"/>
      <c r="BE46" s="50"/>
      <c r="BF46" s="51"/>
    </row>
    <row r="47" spans="1:58" ht="12.95" customHeight="1">
      <c r="A47" s="40"/>
      <c r="B47" s="41"/>
      <c r="C47" s="415"/>
      <c r="D47" s="41"/>
      <c r="E47" s="42"/>
      <c r="F47" s="42"/>
      <c r="G47" s="43"/>
      <c r="H47" s="44"/>
      <c r="I47" s="45"/>
      <c r="J47" s="82"/>
      <c r="K47" s="82"/>
      <c r="L47" s="35"/>
      <c r="M47" s="35"/>
      <c r="N47" s="46"/>
      <c r="O47" s="47"/>
      <c r="P47" s="48"/>
      <c r="Q47" s="47"/>
      <c r="R47" s="501"/>
      <c r="S47" s="501"/>
      <c r="T47" s="37"/>
      <c r="U47" s="37"/>
      <c r="V47" s="37"/>
      <c r="W47" s="37"/>
      <c r="X47" s="38"/>
      <c r="Y47" s="211"/>
      <c r="Z47" s="37"/>
      <c r="AA47" s="37"/>
      <c r="AB47" s="37"/>
      <c r="AC47" s="37"/>
      <c r="AD47" s="37">
        <f>+AM47+BA47</f>
        <v>43</v>
      </c>
      <c r="AE47" s="230" t="s">
        <v>413</v>
      </c>
      <c r="AF47" s="33"/>
      <c r="AG47" s="33"/>
      <c r="AH47" s="33">
        <v>43</v>
      </c>
      <c r="AI47" s="33"/>
      <c r="AJ47" s="37"/>
      <c r="AK47" s="37"/>
      <c r="AL47" s="37"/>
      <c r="AM47" s="37">
        <f t="shared" si="101"/>
        <v>43</v>
      </c>
      <c r="AN47" s="37"/>
      <c r="AO47" s="37"/>
      <c r="AP47" s="37"/>
      <c r="AQ47" s="37"/>
      <c r="AR47" s="37">
        <f t="shared" si="102"/>
        <v>0</v>
      </c>
      <c r="AS47" s="37"/>
      <c r="AT47" s="37"/>
      <c r="AU47" s="37"/>
      <c r="AV47" s="37"/>
      <c r="AW47" s="37"/>
      <c r="AX47" s="37"/>
      <c r="AY47" s="37"/>
      <c r="AZ47" s="37"/>
      <c r="BA47" s="37">
        <f>+AR47+AS47+AU47+AW47+AY47+AZ47</f>
        <v>0</v>
      </c>
      <c r="BB47" s="33"/>
      <c r="BC47" s="504"/>
      <c r="BD47" s="504"/>
      <c r="BE47" s="33"/>
      <c r="BF47" s="504"/>
    </row>
    <row r="48" spans="1:58" ht="12.95" customHeight="1">
      <c r="A48" s="40"/>
      <c r="B48" s="41"/>
      <c r="C48" s="415"/>
      <c r="D48" s="41"/>
      <c r="E48" s="42"/>
      <c r="F48" s="42"/>
      <c r="G48" s="43"/>
      <c r="H48" s="44"/>
      <c r="I48" s="45"/>
      <c r="J48" s="82"/>
      <c r="K48" s="82"/>
      <c r="L48" s="35"/>
      <c r="M48" s="35"/>
      <c r="N48" s="46"/>
      <c r="O48" s="47"/>
      <c r="P48" s="48"/>
      <c r="Q48" s="47"/>
      <c r="R48" s="501"/>
      <c r="S48" s="501"/>
      <c r="T48" s="37"/>
      <c r="U48" s="37"/>
      <c r="V48" s="37"/>
      <c r="W48" s="37"/>
      <c r="X48" s="38"/>
      <c r="Y48" s="211"/>
      <c r="Z48" s="37"/>
      <c r="AA48" s="37"/>
      <c r="AB48" s="37"/>
      <c r="AC48" s="37"/>
      <c r="AD48" s="37">
        <f>+AM48+BA48</f>
        <v>35</v>
      </c>
      <c r="AE48" s="230" t="s">
        <v>534</v>
      </c>
      <c r="AF48" s="33"/>
      <c r="AG48" s="33"/>
      <c r="AH48" s="33"/>
      <c r="AI48" s="33"/>
      <c r="AJ48" s="37"/>
      <c r="AK48" s="37">
        <v>35</v>
      </c>
      <c r="AL48" s="37"/>
      <c r="AM48" s="37">
        <f t="shared" ref="AM48" si="103">SUM(AF48:AL48)+AT48+AV48+AX48</f>
        <v>35</v>
      </c>
      <c r="AN48" s="37"/>
      <c r="AO48" s="37"/>
      <c r="AP48" s="37"/>
      <c r="AQ48" s="37"/>
      <c r="AR48" s="37">
        <f t="shared" ref="AR48" si="104">SUM(AN48:AQ48)</f>
        <v>0</v>
      </c>
      <c r="AS48" s="37"/>
      <c r="AT48" s="37"/>
      <c r="AU48" s="37"/>
      <c r="AV48" s="37"/>
      <c r="AW48" s="37"/>
      <c r="AX48" s="37"/>
      <c r="AY48" s="37"/>
      <c r="AZ48" s="37"/>
      <c r="BA48" s="37">
        <f>+AR48+AS48+AU48+AW48+AY48+AZ48</f>
        <v>0</v>
      </c>
      <c r="BB48" s="33"/>
      <c r="BC48" s="504"/>
      <c r="BD48" s="504"/>
      <c r="BE48" s="33"/>
      <c r="BF48" s="504"/>
    </row>
    <row r="49" spans="1:58" ht="12.95" customHeight="1">
      <c r="A49" s="40"/>
      <c r="B49" s="41"/>
      <c r="C49" s="415"/>
      <c r="D49" s="41"/>
      <c r="E49" s="42"/>
      <c r="F49" s="42"/>
      <c r="G49" s="43"/>
      <c r="H49" s="44"/>
      <c r="I49" s="45"/>
      <c r="J49" s="82"/>
      <c r="K49" s="82"/>
      <c r="L49" s="35"/>
      <c r="M49" s="35"/>
      <c r="N49" s="46"/>
      <c r="O49" s="47"/>
      <c r="P49" s="48"/>
      <c r="Q49" s="47"/>
      <c r="R49" s="501"/>
      <c r="S49" s="501"/>
      <c r="T49" s="37"/>
      <c r="U49" s="37"/>
      <c r="V49" s="37"/>
      <c r="W49" s="37"/>
      <c r="X49" s="38"/>
      <c r="Y49" s="211"/>
      <c r="Z49" s="37"/>
      <c r="AA49" s="37"/>
      <c r="AB49" s="37"/>
      <c r="AC49" s="37"/>
      <c r="AD49" s="37"/>
      <c r="AE49" s="230"/>
      <c r="AF49" s="37"/>
      <c r="AG49" s="37"/>
      <c r="AH49" s="37"/>
      <c r="AI49" s="37"/>
      <c r="AJ49" s="37"/>
      <c r="AK49" s="37"/>
      <c r="AL49" s="37"/>
      <c r="AM49" s="37"/>
      <c r="AN49" s="37"/>
      <c r="AO49" s="37"/>
      <c r="AP49" s="37"/>
      <c r="AQ49" s="37"/>
      <c r="AR49" s="37"/>
      <c r="AS49" s="37"/>
      <c r="AT49" s="37"/>
      <c r="AU49" s="37"/>
      <c r="AV49" s="37"/>
      <c r="AW49" s="37"/>
      <c r="AX49" s="37"/>
      <c r="AY49" s="37"/>
      <c r="AZ49" s="37"/>
      <c r="BA49" s="37"/>
      <c r="BB49" s="50"/>
      <c r="BC49" s="51"/>
      <c r="BD49" s="51"/>
      <c r="BE49" s="51"/>
      <c r="BF49" s="51"/>
    </row>
    <row r="50" spans="1:58" ht="12.75" customHeight="1">
      <c r="A50" s="40">
        <v>45911</v>
      </c>
      <c r="B50" s="41" t="s">
        <v>7</v>
      </c>
      <c r="C50" s="415">
        <f t="shared" ref="C50:C51" si="105">(M50*E50*O50*Q50)/100000000</f>
        <v>32.661854549351951</v>
      </c>
      <c r="D50" s="41" t="s">
        <v>304</v>
      </c>
      <c r="E50" s="42">
        <v>12.5</v>
      </c>
      <c r="F50" s="42">
        <v>1</v>
      </c>
      <c r="G50" s="500">
        <v>1230</v>
      </c>
      <c r="H50" s="44">
        <v>0.22</v>
      </c>
      <c r="I50" s="45">
        <v>0.88</v>
      </c>
      <c r="J50" s="82">
        <f t="shared" ref="J50:J51" si="106">E50*G50*(1-H50)*1440/1000000*2.74</f>
        <v>47.317608000000007</v>
      </c>
      <c r="K50" s="82">
        <f t="shared" ref="K50:K51" si="107">(IF(G50&lt;L50,L50,G50)*(1-IF(H50&lt;N50,H50,N50))*E50*O50*Q50)/100000000</f>
        <v>34.392091499999999</v>
      </c>
      <c r="L50" s="35">
        <v>1183.2901296111665</v>
      </c>
      <c r="M50" s="35">
        <v>911.13339980059823</v>
      </c>
      <c r="N50" s="46">
        <f t="shared" ref="N50:N51" si="108">1-(M50/L50)</f>
        <v>0.22999999999999998</v>
      </c>
      <c r="O50" s="47">
        <f>+'Trim Rwd'!H38</f>
        <v>260</v>
      </c>
      <c r="P50" s="48">
        <f t="shared" ref="P50:P51" si="109">O50*(Q50-R50-S50)</f>
        <v>250380</v>
      </c>
      <c r="Q50" s="47">
        <f>1003+100</f>
        <v>1103</v>
      </c>
      <c r="R50" s="501">
        <v>100</v>
      </c>
      <c r="S50" s="501">
        <v>40</v>
      </c>
      <c r="T50" s="37">
        <f t="shared" ref="T50:T51" si="110">E50*M50*O50*Q50/100000000</f>
        <v>32.661854549351951</v>
      </c>
      <c r="U50" s="37">
        <f t="shared" ref="U50:U51" si="111">E50*M50*O50*(Q50-R50-S50)/100000000</f>
        <v>28.516197580259227</v>
      </c>
      <c r="V50" s="37">
        <f t="shared" ref="V50:V51" si="112">E50*G50*(1-N50)*O50/100*(R50+S50)/1000000</f>
        <v>4.3093050000000002</v>
      </c>
      <c r="W50" s="37">
        <f>+'11'!K11/1000</f>
        <v>28.785</v>
      </c>
      <c r="X50" s="502">
        <f>SUM(W50:W53)/SUM(K50:K53)</f>
        <v>0.87485288103060255</v>
      </c>
      <c r="Y50" s="211">
        <f>+SUM(RBP!AG8:AG9)</f>
        <v>0</v>
      </c>
      <c r="Z50" s="37">
        <f>+'11'!D25/1000</f>
        <v>0.28499999999999998</v>
      </c>
      <c r="AA50" s="49">
        <f>SUM(U50:U53)-SUM(W50:W53)-SUM(Z50:Z53)-SUM(Y50:Y53)</f>
        <v>-0.98146494774077175</v>
      </c>
      <c r="AB50" s="49">
        <f>(SUM(K50:K53)-SUM(W50:W53)-SUM(Y50:Y53)-SUM(Z50:Z53)-SUM(AC50:AC53)-SUM(V50:V53))-AA50</f>
        <v>-0.16364803090727364</v>
      </c>
      <c r="AC50" s="37">
        <f>K50-T50</f>
        <v>1.7302369506480488</v>
      </c>
      <c r="AD50" s="37">
        <f>+AM50+BA50</f>
        <v>10</v>
      </c>
      <c r="AE50" s="230" t="s">
        <v>550</v>
      </c>
      <c r="AF50" s="37">
        <v>10</v>
      </c>
      <c r="AG50" s="37"/>
      <c r="AH50" s="37"/>
      <c r="AI50" s="37"/>
      <c r="AJ50" s="37"/>
      <c r="AK50" s="37"/>
      <c r="AL50" s="37"/>
      <c r="AM50" s="37">
        <f t="shared" ref="AM50:AM52" si="113">SUM(AF50:AL50)+AT50+AV50+AX50</f>
        <v>10</v>
      </c>
      <c r="AN50" s="37"/>
      <c r="AO50" s="37"/>
      <c r="AP50" s="37"/>
      <c r="AQ50" s="37"/>
      <c r="AR50" s="37">
        <f>SUM(AN50:AQ50)</f>
        <v>0</v>
      </c>
      <c r="AS50" s="37"/>
      <c r="AT50" s="37"/>
      <c r="AU50" s="37"/>
      <c r="AV50" s="37"/>
      <c r="AW50" s="37"/>
      <c r="AX50" s="37"/>
      <c r="AY50" s="37"/>
      <c r="AZ50" s="37"/>
      <c r="BA50" s="37">
        <f>+AR50+AS50+AU50+AW50+AY50+AZ50</f>
        <v>0</v>
      </c>
      <c r="BB50" s="33">
        <v>5</v>
      </c>
      <c r="BC50" s="51"/>
      <c r="BD50" s="51"/>
      <c r="BE50" s="33"/>
      <c r="BF50" s="51"/>
    </row>
    <row r="51" spans="1:58" ht="12.95" customHeight="1">
      <c r="A51" s="40"/>
      <c r="B51" s="41" t="s">
        <v>7</v>
      </c>
      <c r="C51" s="415">
        <f t="shared" si="105"/>
        <v>10.111391135999998</v>
      </c>
      <c r="D51" s="41" t="s">
        <v>304</v>
      </c>
      <c r="E51" s="42">
        <v>12</v>
      </c>
      <c r="F51" s="42">
        <v>1</v>
      </c>
      <c r="G51" s="500">
        <v>1230</v>
      </c>
      <c r="H51" s="44">
        <v>0.23</v>
      </c>
      <c r="I51" s="45">
        <v>0.88</v>
      </c>
      <c r="J51" s="82">
        <f t="shared" si="106"/>
        <v>44.842533120000006</v>
      </c>
      <c r="K51" s="82">
        <f t="shared" si="107"/>
        <v>10.111391135999998</v>
      </c>
      <c r="L51" s="35">
        <v>1230</v>
      </c>
      <c r="M51" s="35">
        <v>947.09999999999991</v>
      </c>
      <c r="N51" s="46">
        <f t="shared" si="108"/>
        <v>0.23000000000000009</v>
      </c>
      <c r="O51" s="47">
        <f>+'Trim Rwd'!H39</f>
        <v>264</v>
      </c>
      <c r="P51" s="48">
        <f t="shared" si="109"/>
        <v>85536</v>
      </c>
      <c r="Q51" s="47">
        <v>337</v>
      </c>
      <c r="R51" s="501">
        <v>0</v>
      </c>
      <c r="S51" s="501">
        <v>13</v>
      </c>
      <c r="T51" s="37">
        <f t="shared" si="110"/>
        <v>10.111391135999998</v>
      </c>
      <c r="U51" s="37">
        <f t="shared" si="111"/>
        <v>9.7213374720000001</v>
      </c>
      <c r="V51" s="37">
        <f t="shared" si="112"/>
        <v>0.39005366399999997</v>
      </c>
      <c r="W51" s="37">
        <f>+'11'!K7/1000</f>
        <v>10.148999999999999</v>
      </c>
      <c r="X51" s="38"/>
      <c r="Y51" s="211"/>
      <c r="Z51" s="37">
        <f>+'9'!D26/1000</f>
        <v>0</v>
      </c>
      <c r="AA51" s="37"/>
      <c r="AB51" s="37"/>
      <c r="AC51" s="37">
        <f>K51-T51</f>
        <v>0</v>
      </c>
      <c r="AD51" s="37">
        <f>+AM51+BA51</f>
        <v>0</v>
      </c>
      <c r="AE51" s="230" t="s">
        <v>432</v>
      </c>
      <c r="AF51" s="37"/>
      <c r="AG51" s="37">
        <v>0</v>
      </c>
      <c r="AH51" s="37"/>
      <c r="AI51" s="37"/>
      <c r="AJ51" s="37"/>
      <c r="AK51" s="37"/>
      <c r="AL51" s="37"/>
      <c r="AM51" s="37">
        <f t="shared" si="113"/>
        <v>0</v>
      </c>
      <c r="AN51" s="83"/>
      <c r="AO51" s="37"/>
      <c r="AP51" s="37"/>
      <c r="AQ51" s="37"/>
      <c r="AR51" s="37">
        <f t="shared" ref="AR51:AR52" si="114">SUM(AN51:AQ51)</f>
        <v>0</v>
      </c>
      <c r="AS51" s="37"/>
      <c r="AT51" s="37"/>
      <c r="AU51" s="37"/>
      <c r="AV51" s="37"/>
      <c r="AW51" s="37"/>
      <c r="AX51" s="37"/>
      <c r="AY51" s="37"/>
      <c r="AZ51" s="37"/>
      <c r="BA51" s="37">
        <f>+AR51+AS51+AU51+AW51+AY51+AZ51</f>
        <v>0</v>
      </c>
      <c r="BB51" s="50"/>
      <c r="BC51" s="51">
        <v>0</v>
      </c>
      <c r="BD51" s="51"/>
      <c r="BE51" s="50"/>
      <c r="BF51" s="51"/>
    </row>
    <row r="52" spans="1:58" ht="12.95" customHeight="1">
      <c r="A52" s="40"/>
      <c r="B52" s="41"/>
      <c r="C52" s="415"/>
      <c r="D52" s="41"/>
      <c r="E52" s="42"/>
      <c r="F52" s="42"/>
      <c r="G52" s="43"/>
      <c r="H52" s="44"/>
      <c r="I52" s="45"/>
      <c r="J52" s="82"/>
      <c r="K52" s="82"/>
      <c r="L52" s="35"/>
      <c r="M52" s="35"/>
      <c r="N52" s="46"/>
      <c r="O52" s="47"/>
      <c r="P52" s="48"/>
      <c r="Q52" s="47"/>
      <c r="R52" s="501"/>
      <c r="S52" s="501"/>
      <c r="T52" s="37"/>
      <c r="U52" s="37"/>
      <c r="V52" s="37"/>
      <c r="W52" s="37"/>
      <c r="X52" s="38"/>
      <c r="Y52" s="211"/>
      <c r="Z52" s="37"/>
      <c r="AA52" s="37"/>
      <c r="AB52" s="37"/>
      <c r="AC52" s="37"/>
      <c r="AD52" s="37">
        <f>+AM52+BA52</f>
        <v>43</v>
      </c>
      <c r="AE52" s="230" t="s">
        <v>413</v>
      </c>
      <c r="AF52" s="33"/>
      <c r="AG52" s="33"/>
      <c r="AH52" s="33">
        <v>43</v>
      </c>
      <c r="AI52" s="33"/>
      <c r="AJ52" s="37"/>
      <c r="AK52" s="37"/>
      <c r="AL52" s="37"/>
      <c r="AM52" s="37">
        <f t="shared" si="113"/>
        <v>43</v>
      </c>
      <c r="AN52" s="37"/>
      <c r="AO52" s="37"/>
      <c r="AP52" s="37"/>
      <c r="AQ52" s="37"/>
      <c r="AR52" s="37">
        <f t="shared" si="114"/>
        <v>0</v>
      </c>
      <c r="AS52" s="37"/>
      <c r="AT52" s="37"/>
      <c r="AU52" s="37"/>
      <c r="AV52" s="37"/>
      <c r="AW52" s="37"/>
      <c r="AX52" s="37"/>
      <c r="AY52" s="37"/>
      <c r="AZ52" s="37"/>
      <c r="BA52" s="37">
        <f>+AR52+AS52+AU52+AW52+AY52+AZ52</f>
        <v>0</v>
      </c>
      <c r="BB52" s="33"/>
      <c r="BC52" s="504"/>
      <c r="BD52" s="504"/>
      <c r="BE52" s="33"/>
      <c r="BF52" s="504"/>
    </row>
    <row r="53" spans="1:58" ht="12.95" customHeight="1">
      <c r="A53" s="40"/>
      <c r="B53" s="41"/>
      <c r="C53" s="415"/>
      <c r="D53" s="41"/>
      <c r="E53" s="42"/>
      <c r="F53" s="42"/>
      <c r="G53" s="43"/>
      <c r="H53" s="44"/>
      <c r="I53" s="45"/>
      <c r="J53" s="82"/>
      <c r="K53" s="82"/>
      <c r="L53" s="35"/>
      <c r="M53" s="35"/>
      <c r="N53" s="46"/>
      <c r="O53" s="47"/>
      <c r="P53" s="48"/>
      <c r="Q53" s="47"/>
      <c r="R53" s="501"/>
      <c r="S53" s="501"/>
      <c r="T53" s="37"/>
      <c r="U53" s="37"/>
      <c r="V53" s="37"/>
      <c r="W53" s="37"/>
      <c r="X53" s="38"/>
      <c r="Y53" s="211"/>
      <c r="Z53" s="37"/>
      <c r="AA53" s="37"/>
      <c r="AB53" s="37"/>
      <c r="AC53" s="37"/>
      <c r="AD53" s="37">
        <f>+AM53+BA53</f>
        <v>100</v>
      </c>
      <c r="AE53" s="230" t="s">
        <v>549</v>
      </c>
      <c r="AF53" s="33"/>
      <c r="AG53" s="33"/>
      <c r="AH53" s="33"/>
      <c r="AI53" s="33"/>
      <c r="AJ53" s="37"/>
      <c r="AK53" s="37"/>
      <c r="AL53" s="37"/>
      <c r="AM53" s="37">
        <f t="shared" ref="AM53" si="115">SUM(AF53:AL53)+AT53+AV53+AX53</f>
        <v>0</v>
      </c>
      <c r="AN53" s="37">
        <v>100</v>
      </c>
      <c r="AO53" s="37"/>
      <c r="AP53" s="37"/>
      <c r="AQ53" s="37"/>
      <c r="AR53" s="37">
        <f t="shared" ref="AR53" si="116">SUM(AN53:AQ53)</f>
        <v>100</v>
      </c>
      <c r="AS53" s="37"/>
      <c r="AT53" s="37"/>
      <c r="AU53" s="37"/>
      <c r="AV53" s="37"/>
      <c r="AW53" s="37"/>
      <c r="AX53" s="37"/>
      <c r="AY53" s="37"/>
      <c r="AZ53" s="37"/>
      <c r="BA53" s="37">
        <f>+AR53+AS53+AU53+AW53+AY53+AZ53</f>
        <v>100</v>
      </c>
      <c r="BB53" s="33"/>
      <c r="BC53" s="504"/>
      <c r="BD53" s="504"/>
      <c r="BE53" s="33"/>
      <c r="BF53" s="504"/>
    </row>
    <row r="54" spans="1:58" ht="12.95" customHeight="1">
      <c r="A54" s="40"/>
      <c r="B54" s="41"/>
      <c r="C54" s="415"/>
      <c r="D54" s="41"/>
      <c r="E54" s="42"/>
      <c r="F54" s="42"/>
      <c r="G54" s="43"/>
      <c r="H54" s="44"/>
      <c r="I54" s="45"/>
      <c r="J54" s="82"/>
      <c r="K54" s="82"/>
      <c r="L54" s="35"/>
      <c r="M54" s="35"/>
      <c r="N54" s="46"/>
      <c r="O54" s="47"/>
      <c r="P54" s="48"/>
      <c r="Q54" s="47"/>
      <c r="R54" s="501"/>
      <c r="S54" s="501"/>
      <c r="T54" s="37"/>
      <c r="U54" s="37"/>
      <c r="V54" s="37"/>
      <c r="W54" s="37"/>
      <c r="X54" s="38"/>
      <c r="Y54" s="211"/>
      <c r="Z54" s="37"/>
      <c r="AA54" s="37"/>
      <c r="AB54" s="37"/>
      <c r="AC54" s="37"/>
      <c r="AD54" s="37"/>
      <c r="AE54" s="233"/>
      <c r="AF54" s="37"/>
      <c r="AG54" s="37"/>
      <c r="AH54" s="37"/>
      <c r="AI54" s="37"/>
      <c r="AJ54" s="37"/>
      <c r="AK54" s="37"/>
      <c r="AL54" s="37"/>
      <c r="AM54" s="37"/>
      <c r="AN54" s="37"/>
      <c r="AO54" s="37"/>
      <c r="AP54" s="37"/>
      <c r="AQ54" s="37"/>
      <c r="AR54" s="37"/>
      <c r="AS54" s="37"/>
      <c r="AT54" s="37"/>
      <c r="AU54" s="37"/>
      <c r="AV54" s="37"/>
      <c r="AW54" s="37"/>
      <c r="AX54" s="37"/>
      <c r="AY54" s="37"/>
      <c r="AZ54" s="37"/>
      <c r="BA54" s="37"/>
      <c r="BB54" s="33"/>
      <c r="BC54" s="51"/>
      <c r="BD54" s="51"/>
      <c r="BE54" s="51"/>
      <c r="BF54" s="51"/>
    </row>
    <row r="55" spans="1:58" ht="12.75" customHeight="1">
      <c r="A55" s="40">
        <v>45912</v>
      </c>
      <c r="B55" s="41" t="s">
        <v>7</v>
      </c>
      <c r="C55" s="415">
        <f t="shared" ref="C55:C57" si="117">(M55*E55*O55*Q55)/100000000</f>
        <v>20.490623999999997</v>
      </c>
      <c r="D55" s="41" t="s">
        <v>304</v>
      </c>
      <c r="E55" s="42">
        <v>12</v>
      </c>
      <c r="F55" s="42">
        <v>1</v>
      </c>
      <c r="G55" s="500">
        <v>1230</v>
      </c>
      <c r="H55" s="44">
        <v>0.23</v>
      </c>
      <c r="I55" s="45">
        <v>0.88</v>
      </c>
      <c r="J55" s="82">
        <f t="shared" ref="J55:J57" si="118">E55*G55*(1-H55)*1440/1000000*2.74</f>
        <v>44.842533120000006</v>
      </c>
      <c r="K55" s="82">
        <f t="shared" ref="K55:K57" si="119">(IF(G55&lt;L55,L55,G55)*(1-IF(H55&lt;N55,H55,N55))*E55*O55*Q55)/100000000</f>
        <v>20.552827679999996</v>
      </c>
      <c r="L55" s="35">
        <v>1226.2773722627737</v>
      </c>
      <c r="M55" s="35">
        <v>944.23357664233561</v>
      </c>
      <c r="N55" s="46">
        <f t="shared" ref="N55:N57" si="120">1-(M55/L55)</f>
        <v>0.23000000000000009</v>
      </c>
      <c r="O55" s="47">
        <f>+'Trim Rwd'!H41</f>
        <v>264</v>
      </c>
      <c r="P55" s="48">
        <f t="shared" ref="P55:P57" si="121">O55*(Q55-R55-S55)</f>
        <v>169224</v>
      </c>
      <c r="Q55" s="47">
        <v>685</v>
      </c>
      <c r="R55" s="501">
        <v>0</v>
      </c>
      <c r="S55" s="501">
        <v>44</v>
      </c>
      <c r="T55" s="37">
        <f t="shared" ref="T55:T57" si="122">E55*M55*O55*Q55/100000000</f>
        <v>20.490623999999997</v>
      </c>
      <c r="U55" s="37">
        <f t="shared" ref="U55:U57" si="123">E55*M55*O55*(Q55-R55-S55)/100000000</f>
        <v>19.174437932846711</v>
      </c>
      <c r="V55" s="37">
        <f t="shared" ref="V55:V57" si="124">E55*G55*(1-N55)*O55/100*(R55+S55)/1000000</f>
        <v>1.3201816319999997</v>
      </c>
      <c r="W55" s="37">
        <f>+'12'!K7/1000</f>
        <v>22.85</v>
      </c>
      <c r="X55" s="502">
        <f>SUM(W55:W58)/SUM(K55:K58)</f>
        <v>0.88333888551721618</v>
      </c>
      <c r="Y55" s="211">
        <v>0</v>
      </c>
      <c r="Z55" s="37">
        <f>+'11'!D30/1000</f>
        <v>0</v>
      </c>
      <c r="AA55" s="49">
        <f>SUM(U55:U58)-SUM(W55:W58)-SUM(Z55:Z58)-SUM(Y55:Y58)</f>
        <v>2.018622037846705</v>
      </c>
      <c r="AB55" s="49">
        <f>(SUM(K55:K58)-SUM(W55:W58)-SUM(Y55:Y58)-SUM(Z55:Z58)-SUM(AC55:AC58)-SUM(V55:V58))-AA55</f>
        <v>0.15135528015328159</v>
      </c>
      <c r="AC55" s="37">
        <f>K55-T55</f>
        <v>6.220367999999965E-2</v>
      </c>
      <c r="AD55" s="37">
        <f>+AM55+BA55</f>
        <v>33</v>
      </c>
      <c r="AE55" s="230" t="s">
        <v>561</v>
      </c>
      <c r="AF55" s="37">
        <v>33</v>
      </c>
      <c r="AG55" s="37"/>
      <c r="AH55" s="37"/>
      <c r="AI55" s="37"/>
      <c r="AJ55" s="37"/>
      <c r="AK55" s="37"/>
      <c r="AL55" s="37"/>
      <c r="AM55" s="37">
        <f t="shared" ref="AM55:AM57" si="125">SUM(AF55:AL55)+AT55+AV55+AX55</f>
        <v>33</v>
      </c>
      <c r="AN55" s="37"/>
      <c r="AO55" s="37"/>
      <c r="AP55" s="37"/>
      <c r="AQ55" s="37"/>
      <c r="AR55" s="37">
        <f>SUM(AN55:AQ55)</f>
        <v>0</v>
      </c>
      <c r="AS55" s="37"/>
      <c r="AT55" s="37"/>
      <c r="AU55" s="37"/>
      <c r="AV55" s="37"/>
      <c r="AW55" s="37"/>
      <c r="AX55" s="37"/>
      <c r="AY55" s="37"/>
      <c r="AZ55" s="37"/>
      <c r="BA55" s="37">
        <f>+AR55+AS55+AU55+AW55+AY55+AZ55</f>
        <v>0</v>
      </c>
      <c r="BB55" s="33">
        <v>4</v>
      </c>
      <c r="BC55" s="51"/>
      <c r="BD55" s="51"/>
      <c r="BE55" s="33"/>
      <c r="BF55" s="51"/>
    </row>
    <row r="56" spans="1:58" ht="12.95" customHeight="1">
      <c r="A56" s="40"/>
      <c r="B56" s="41" t="s">
        <v>7</v>
      </c>
      <c r="C56" s="415">
        <f t="shared" si="117"/>
        <v>12.432960539999998</v>
      </c>
      <c r="D56" s="41" t="s">
        <v>304</v>
      </c>
      <c r="E56" s="42">
        <v>13.5</v>
      </c>
      <c r="F56" s="42">
        <v>1</v>
      </c>
      <c r="G56" s="500">
        <v>1230</v>
      </c>
      <c r="H56" s="44">
        <v>0.22</v>
      </c>
      <c r="I56" s="45">
        <v>0.88</v>
      </c>
      <c r="J56" s="82">
        <f t="shared" si="118"/>
        <v>51.10301664</v>
      </c>
      <c r="K56" s="82">
        <f t="shared" si="119"/>
        <v>12.59442756</v>
      </c>
      <c r="L56" s="35">
        <v>1230</v>
      </c>
      <c r="M56" s="35">
        <v>947.09999999999991</v>
      </c>
      <c r="N56" s="46">
        <f t="shared" si="120"/>
        <v>0.23000000000000009</v>
      </c>
      <c r="O56" s="47">
        <f>+'Trim Rwd'!H42</f>
        <v>260</v>
      </c>
      <c r="P56" s="48">
        <f t="shared" si="121"/>
        <v>92040</v>
      </c>
      <c r="Q56" s="47">
        <v>374</v>
      </c>
      <c r="R56" s="501">
        <v>0</v>
      </c>
      <c r="S56" s="501">
        <v>20</v>
      </c>
      <c r="T56" s="37">
        <f t="shared" si="122"/>
        <v>12.432960539999998</v>
      </c>
      <c r="U56" s="37">
        <f t="shared" si="123"/>
        <v>11.768096339999998</v>
      </c>
      <c r="V56" s="37">
        <f t="shared" si="124"/>
        <v>0.66486419999999979</v>
      </c>
      <c r="W56" s="37">
        <f>+'12'!K12/1000</f>
        <v>11.625</v>
      </c>
      <c r="X56" s="38"/>
      <c r="Y56" s="211"/>
      <c r="Z56" s="37">
        <f>+'9'!D31/1000</f>
        <v>0</v>
      </c>
      <c r="AA56" s="37"/>
      <c r="AB56" s="37"/>
      <c r="AC56" s="37">
        <f>K56-T56</f>
        <v>0.16146702000000168</v>
      </c>
      <c r="AD56" s="37">
        <f>+AM56+BA56</f>
        <v>0</v>
      </c>
      <c r="AE56" s="230" t="s">
        <v>432</v>
      </c>
      <c r="AF56" s="37"/>
      <c r="AG56" s="37">
        <v>0</v>
      </c>
      <c r="AH56" s="37"/>
      <c r="AI56" s="37"/>
      <c r="AJ56" s="37"/>
      <c r="AK56" s="37"/>
      <c r="AL56" s="37"/>
      <c r="AM56" s="37">
        <f t="shared" si="125"/>
        <v>0</v>
      </c>
      <c r="AN56" s="83"/>
      <c r="AO56" s="37"/>
      <c r="AP56" s="37"/>
      <c r="AQ56" s="37"/>
      <c r="AR56" s="37">
        <f t="shared" ref="AR56:AR57" si="126">SUM(AN56:AQ56)</f>
        <v>0</v>
      </c>
      <c r="AS56" s="37"/>
      <c r="AT56" s="37"/>
      <c r="AU56" s="37"/>
      <c r="AV56" s="37"/>
      <c r="AW56" s="37"/>
      <c r="AX56" s="37"/>
      <c r="AY56" s="37"/>
      <c r="AZ56" s="37"/>
      <c r="BA56" s="37">
        <f>+AR56+AS56+AU56+AW56+AY56+AZ56</f>
        <v>0</v>
      </c>
      <c r="BB56" s="50"/>
      <c r="BC56" s="51">
        <v>0</v>
      </c>
      <c r="BD56" s="51"/>
      <c r="BE56" s="50"/>
      <c r="BF56" s="51"/>
    </row>
    <row r="57" spans="1:58" ht="12.95" customHeight="1">
      <c r="A57" s="40"/>
      <c r="B57" s="41" t="s">
        <v>7</v>
      </c>
      <c r="C57" s="415">
        <f t="shared" si="117"/>
        <v>11.962015064999999</v>
      </c>
      <c r="D57" s="41" t="s">
        <v>304</v>
      </c>
      <c r="E57" s="42">
        <v>13</v>
      </c>
      <c r="F57" s="42">
        <v>1</v>
      </c>
      <c r="G57" s="500">
        <v>1230</v>
      </c>
      <c r="H57" s="44">
        <v>0.22</v>
      </c>
      <c r="I57" s="45">
        <v>0.88</v>
      </c>
      <c r="J57" s="82">
        <f t="shared" si="118"/>
        <v>49.210312320000007</v>
      </c>
      <c r="K57" s="82">
        <f t="shared" si="119"/>
        <v>12.117365909999998</v>
      </c>
      <c r="L57" s="35">
        <v>1230</v>
      </c>
      <c r="M57" s="35">
        <v>947.09999999999991</v>
      </c>
      <c r="N57" s="46">
        <f t="shared" si="120"/>
        <v>0.23000000000000009</v>
      </c>
      <c r="O57" s="47">
        <f>+'Trim Rwd'!H43</f>
        <v>255</v>
      </c>
      <c r="P57" s="48">
        <f t="shared" si="121"/>
        <v>92055</v>
      </c>
      <c r="Q57" s="47">
        <v>381</v>
      </c>
      <c r="R57" s="501">
        <v>0</v>
      </c>
      <c r="S57" s="501">
        <v>20</v>
      </c>
      <c r="T57" s="37">
        <f t="shared" si="122"/>
        <v>11.962015064999999</v>
      </c>
      <c r="U57" s="37">
        <f t="shared" si="123"/>
        <v>11.334087765</v>
      </c>
      <c r="V57" s="37">
        <f t="shared" si="124"/>
        <v>0.62792730000000008</v>
      </c>
      <c r="W57" s="37">
        <f>+'12'!K8/1000</f>
        <v>5.5090000000000003</v>
      </c>
      <c r="X57" s="38"/>
      <c r="Y57" s="211"/>
      <c r="Z57" s="37">
        <f>+'12'!D26/1000</f>
        <v>0.27400000000000002</v>
      </c>
      <c r="AA57" s="37"/>
      <c r="AB57" s="37"/>
      <c r="AC57" s="37"/>
      <c r="AD57" s="37">
        <f>+AM57+BA57</f>
        <v>51</v>
      </c>
      <c r="AE57" s="230" t="s">
        <v>522</v>
      </c>
      <c r="AF57" s="33"/>
      <c r="AG57" s="33"/>
      <c r="AH57" s="33">
        <v>51</v>
      </c>
      <c r="AI57" s="33"/>
      <c r="AJ57" s="37"/>
      <c r="AK57" s="37"/>
      <c r="AL57" s="37"/>
      <c r="AM57" s="37">
        <f t="shared" si="125"/>
        <v>51</v>
      </c>
      <c r="AN57" s="37"/>
      <c r="AO57" s="37"/>
      <c r="AP57" s="37"/>
      <c r="AQ57" s="37"/>
      <c r="AR57" s="37">
        <f t="shared" si="126"/>
        <v>0</v>
      </c>
      <c r="AS57" s="37"/>
      <c r="AT57" s="37"/>
      <c r="AU57" s="37"/>
      <c r="AV57" s="37"/>
      <c r="AW57" s="37"/>
      <c r="AX57" s="37"/>
      <c r="AY57" s="37"/>
      <c r="AZ57" s="37"/>
      <c r="BA57" s="37">
        <f>+AR57+AS57+AU57+AW57+AY57+AZ57</f>
        <v>0</v>
      </c>
      <c r="BB57" s="33"/>
      <c r="BC57" s="504"/>
      <c r="BD57" s="504"/>
      <c r="BE57" s="33"/>
      <c r="BF57" s="504"/>
    </row>
    <row r="58" spans="1:58" ht="12.95" customHeight="1">
      <c r="A58" s="40"/>
      <c r="B58" s="41"/>
      <c r="C58" s="415"/>
      <c r="D58" s="41"/>
      <c r="E58" s="42"/>
      <c r="F58" s="42"/>
      <c r="G58" s="43"/>
      <c r="H58" s="44"/>
      <c r="I58" s="45"/>
      <c r="J58" s="82"/>
      <c r="K58" s="82"/>
      <c r="L58" s="35"/>
      <c r="M58" s="35"/>
      <c r="N58" s="46"/>
      <c r="O58" s="47"/>
      <c r="P58" s="48"/>
      <c r="Q58" s="34"/>
      <c r="R58" s="501"/>
      <c r="S58" s="501"/>
      <c r="T58" s="37"/>
      <c r="U58" s="37"/>
      <c r="V58" s="37"/>
      <c r="W58" s="37"/>
      <c r="X58" s="38"/>
      <c r="Y58" s="211"/>
      <c r="Z58" s="37"/>
      <c r="AA58" s="37"/>
      <c r="AB58" s="37"/>
      <c r="AC58" s="37"/>
      <c r="AD58" s="37"/>
      <c r="AE58" s="233"/>
      <c r="AF58" s="37"/>
      <c r="AG58" s="37"/>
      <c r="AH58" s="37"/>
      <c r="AI58" s="503"/>
      <c r="AJ58" s="37"/>
      <c r="AK58" s="37"/>
      <c r="AL58" s="37"/>
      <c r="AM58" s="37"/>
      <c r="AN58" s="37"/>
      <c r="AO58" s="37"/>
      <c r="AP58" s="37"/>
      <c r="AQ58" s="37"/>
      <c r="AR58" s="37"/>
      <c r="AS58" s="37"/>
      <c r="AT58" s="37"/>
      <c r="AU58" s="37"/>
      <c r="AV58" s="37"/>
      <c r="AW58" s="37"/>
      <c r="AX58" s="37"/>
      <c r="AY58" s="37"/>
      <c r="AZ58" s="37"/>
      <c r="BA58" s="37"/>
      <c r="BB58" s="50"/>
      <c r="BC58" s="51"/>
      <c r="BD58" s="51"/>
      <c r="BE58" s="51"/>
      <c r="BF58" s="51"/>
    </row>
    <row r="59" spans="1:58" ht="12.75" customHeight="1">
      <c r="A59" s="40">
        <v>45913</v>
      </c>
      <c r="B59" s="41" t="s">
        <v>7</v>
      </c>
      <c r="C59" s="415">
        <f t="shared" ref="C59:C60" si="127">(M59*E59*O59*Q59)/100000000</f>
        <v>9.10494585</v>
      </c>
      <c r="D59" s="41" t="s">
        <v>304</v>
      </c>
      <c r="E59" s="42">
        <v>13</v>
      </c>
      <c r="F59" s="42">
        <v>1</v>
      </c>
      <c r="G59" s="500">
        <v>1230</v>
      </c>
      <c r="H59" s="44">
        <v>0.22</v>
      </c>
      <c r="I59" s="45">
        <v>0.88</v>
      </c>
      <c r="J59" s="82">
        <f t="shared" ref="J59:J60" si="128">E59*G59*(1-H59)*1440/1000000*2.74</f>
        <v>49.210312320000007</v>
      </c>
      <c r="K59" s="82">
        <f t="shared" ref="K59:K60" si="129">(IF(G59&lt;L59,L59,G59)*(1-IF(H59&lt;N59,H59,N59))*E59*O59*Q59)/100000000</f>
        <v>9.223191899999998</v>
      </c>
      <c r="L59" s="35">
        <v>1230</v>
      </c>
      <c r="M59" s="35">
        <v>947.09999999999991</v>
      </c>
      <c r="N59" s="46">
        <f t="shared" ref="N59:N60" si="130">1-(M59/L59)</f>
        <v>0.23000000000000009</v>
      </c>
      <c r="O59" s="47">
        <f>+'Trim Rwd'!H45</f>
        <v>255</v>
      </c>
      <c r="P59" s="48">
        <f t="shared" ref="P59:P60" si="131">O59*(Q59-R59-S59)</f>
        <v>70890</v>
      </c>
      <c r="Q59" s="47">
        <v>290</v>
      </c>
      <c r="R59" s="501">
        <v>0</v>
      </c>
      <c r="S59" s="501">
        <v>12</v>
      </c>
      <c r="T59" s="37">
        <f t="shared" ref="T59:T60" si="132">E59*M59*O59*Q59/100000000</f>
        <v>9.10494585</v>
      </c>
      <c r="U59" s="37">
        <f t="shared" ref="U59:U60" si="133">E59*M59*O59*(Q59-R59-S59)/100000000</f>
        <v>8.7281894700000002</v>
      </c>
      <c r="V59" s="37">
        <f t="shared" ref="V59:V60" si="134">E59*G59*(1-N59)*O59/100*(R59+S59)/1000000</f>
        <v>0.37675638</v>
      </c>
      <c r="W59" s="37">
        <f>+'13'!K8/1000</f>
        <v>14.430999999999999</v>
      </c>
      <c r="X59" s="502">
        <f>SUM(W59:W62)/SUM(K59:K62)</f>
        <v>1.3276665708884197</v>
      </c>
      <c r="Y59" s="211">
        <v>0</v>
      </c>
      <c r="Z59" s="37">
        <f>+'13'!D7/1000</f>
        <v>0.185</v>
      </c>
      <c r="AA59" s="49">
        <f>SUM(U59:U62)-SUM(W59:W62)-SUM(Z59:Z62)-SUM(Y59:Y62)</f>
        <v>-5.7252119699999993</v>
      </c>
      <c r="AB59" s="49">
        <f>(SUM(K59:K62)-SUM(W59:W62)-SUM(Y59:Y62)-SUM(Z59:Z62)-SUM(AC59:AC62)-SUM(V59:V62))-AA59</f>
        <v>0</v>
      </c>
      <c r="AC59" s="37">
        <f>K59-T59</f>
        <v>0.11824604999999799</v>
      </c>
      <c r="AD59" s="37">
        <f>+AM59+BA59</f>
        <v>0</v>
      </c>
      <c r="AE59" s="230" t="s">
        <v>466</v>
      </c>
      <c r="AF59" s="37">
        <v>0</v>
      </c>
      <c r="AG59" s="37"/>
      <c r="AH59" s="37"/>
      <c r="AI59" s="37"/>
      <c r="AJ59" s="37"/>
      <c r="AK59" s="37"/>
      <c r="AL59" s="37"/>
      <c r="AM59" s="37">
        <f t="shared" ref="AM59:AM61" si="135">SUM(AF59:AL59)+AT59+AV59+AX59</f>
        <v>0</v>
      </c>
      <c r="AN59" s="37"/>
      <c r="AO59" s="37"/>
      <c r="AP59" s="37"/>
      <c r="AQ59" s="37"/>
      <c r="AR59" s="37">
        <f>SUM(AN59:AQ59)</f>
        <v>0</v>
      </c>
      <c r="AS59" s="37"/>
      <c r="AT59" s="37"/>
      <c r="AU59" s="37"/>
      <c r="AV59" s="37"/>
      <c r="AW59" s="37"/>
      <c r="AX59" s="37"/>
      <c r="AY59" s="37"/>
      <c r="AZ59" s="37"/>
      <c r="BA59" s="37">
        <f>+AR59+AS59+AU59+AW59+AY59+AZ59</f>
        <v>0</v>
      </c>
      <c r="BB59" s="33">
        <v>0</v>
      </c>
      <c r="BC59" s="51"/>
      <c r="BD59" s="51"/>
      <c r="BE59" s="33"/>
      <c r="BF59" s="51"/>
    </row>
    <row r="60" spans="1:58" ht="12.95" customHeight="1">
      <c r="A60" s="40"/>
      <c r="B60" s="41" t="s">
        <v>7</v>
      </c>
      <c r="C60" s="415">
        <f t="shared" si="127"/>
        <v>4.8006604800000003</v>
      </c>
      <c r="D60" s="41" t="s">
        <v>304</v>
      </c>
      <c r="E60" s="42">
        <v>12</v>
      </c>
      <c r="F60" s="42">
        <v>1</v>
      </c>
      <c r="G60" s="500">
        <v>1230</v>
      </c>
      <c r="H60" s="44">
        <v>0.23</v>
      </c>
      <c r="I60" s="45">
        <v>0.88</v>
      </c>
      <c r="J60" s="82">
        <f t="shared" si="128"/>
        <v>44.842533120000006</v>
      </c>
      <c r="K60" s="82">
        <f t="shared" si="129"/>
        <v>4.8006604800000003</v>
      </c>
      <c r="L60" s="35">
        <v>1230</v>
      </c>
      <c r="M60" s="35">
        <v>947.09999999999991</v>
      </c>
      <c r="N60" s="46">
        <f t="shared" si="130"/>
        <v>0.23000000000000009</v>
      </c>
      <c r="O60" s="47">
        <f>+'Trim Rwd'!H46</f>
        <v>264</v>
      </c>
      <c r="P60" s="48">
        <f t="shared" si="131"/>
        <v>38280</v>
      </c>
      <c r="Q60" s="47">
        <f>1150-990</f>
        <v>160</v>
      </c>
      <c r="R60" s="501">
        <f>990-990</f>
        <v>0</v>
      </c>
      <c r="S60" s="501">
        <v>15</v>
      </c>
      <c r="T60" s="37">
        <f t="shared" si="132"/>
        <v>4.8006604800000003</v>
      </c>
      <c r="U60" s="37">
        <f t="shared" si="133"/>
        <v>4.3505985599999999</v>
      </c>
      <c r="V60" s="37">
        <f t="shared" si="134"/>
        <v>0.45006191999999995</v>
      </c>
      <c r="W60" s="37">
        <f>+'13'!K7/1000</f>
        <v>4.1879999999999997</v>
      </c>
      <c r="X60" s="38"/>
      <c r="Y60" s="211"/>
      <c r="Z60" s="37">
        <v>0</v>
      </c>
      <c r="AA60" s="37"/>
      <c r="AB60" s="37"/>
      <c r="AC60" s="37">
        <f>K60-T60</f>
        <v>0</v>
      </c>
      <c r="AD60" s="37">
        <f>+AM60+BA60</f>
        <v>12</v>
      </c>
      <c r="AE60" s="230" t="s">
        <v>408</v>
      </c>
      <c r="AF60" s="37"/>
      <c r="AG60" s="37">
        <v>12</v>
      </c>
      <c r="AH60" s="37"/>
      <c r="AI60" s="37"/>
      <c r="AJ60" s="37"/>
      <c r="AK60" s="37"/>
      <c r="AL60" s="37"/>
      <c r="AM60" s="37">
        <f t="shared" si="135"/>
        <v>12</v>
      </c>
      <c r="AN60" s="83"/>
      <c r="AO60" s="37"/>
      <c r="AP60" s="37"/>
      <c r="AQ60" s="37"/>
      <c r="AR60" s="37">
        <f t="shared" ref="AR60:AR61" si="136">SUM(AN60:AQ60)</f>
        <v>0</v>
      </c>
      <c r="AS60" s="37"/>
      <c r="AT60" s="37"/>
      <c r="AU60" s="37"/>
      <c r="AV60" s="37"/>
      <c r="AW60" s="37"/>
      <c r="AX60" s="37"/>
      <c r="AY60" s="37"/>
      <c r="AZ60" s="37"/>
      <c r="BA60" s="37">
        <f>+AR60+AS60+AU60+AW60+AY60+AZ60</f>
        <v>0</v>
      </c>
      <c r="BB60" s="50"/>
      <c r="BC60" s="51">
        <v>3</v>
      </c>
      <c r="BD60" s="51"/>
      <c r="BE60" s="50"/>
      <c r="BF60" s="51"/>
    </row>
    <row r="61" spans="1:58" ht="12.95" customHeight="1">
      <c r="A61" s="40"/>
      <c r="B61" s="41"/>
      <c r="C61" s="415"/>
      <c r="D61" s="41"/>
      <c r="E61" s="42"/>
      <c r="F61" s="42"/>
      <c r="G61" s="43"/>
      <c r="H61" s="44"/>
      <c r="I61" s="45"/>
      <c r="J61" s="82"/>
      <c r="K61" s="82"/>
      <c r="L61" s="35"/>
      <c r="M61" s="35"/>
      <c r="N61" s="46"/>
      <c r="O61" s="47"/>
      <c r="P61" s="48"/>
      <c r="Q61" s="47"/>
      <c r="R61" s="501"/>
      <c r="S61" s="501"/>
      <c r="T61" s="37"/>
      <c r="U61" s="37"/>
      <c r="V61" s="37"/>
      <c r="W61" s="37"/>
      <c r="X61" s="38"/>
      <c r="Y61" s="211"/>
      <c r="Z61" s="37"/>
      <c r="AA61" s="37"/>
      <c r="AB61" s="37"/>
      <c r="AC61" s="37"/>
      <c r="AD61" s="37">
        <f>+AM61+BA61</f>
        <v>15</v>
      </c>
      <c r="AE61" s="230" t="s">
        <v>386</v>
      </c>
      <c r="AF61" s="33"/>
      <c r="AG61" s="33"/>
      <c r="AH61" s="33">
        <v>15</v>
      </c>
      <c r="AI61" s="33"/>
      <c r="AJ61" s="37"/>
      <c r="AK61" s="37"/>
      <c r="AL61" s="37"/>
      <c r="AM61" s="37">
        <f t="shared" si="135"/>
        <v>15</v>
      </c>
      <c r="AN61" s="37"/>
      <c r="AO61" s="37"/>
      <c r="AP61" s="37"/>
      <c r="AQ61" s="37"/>
      <c r="AR61" s="37">
        <f t="shared" si="136"/>
        <v>0</v>
      </c>
      <c r="AS61" s="37"/>
      <c r="AT61" s="37"/>
      <c r="AU61" s="37"/>
      <c r="AV61" s="37"/>
      <c r="AW61" s="37"/>
      <c r="AX61" s="37"/>
      <c r="AY61" s="37"/>
      <c r="AZ61" s="37"/>
      <c r="BA61" s="37">
        <f>+AR61+AS61+AU61+AW61+AY61+AZ61</f>
        <v>0</v>
      </c>
      <c r="BB61" s="33"/>
      <c r="BC61" s="504"/>
      <c r="BD61" s="504"/>
      <c r="BE61" s="33"/>
      <c r="BF61" s="504"/>
    </row>
    <row r="62" spans="1:58" ht="12.95" customHeight="1">
      <c r="A62" s="40"/>
      <c r="B62" s="41"/>
      <c r="C62" s="415"/>
      <c r="D62" s="41"/>
      <c r="E62" s="42"/>
      <c r="F62" s="42"/>
      <c r="G62" s="43"/>
      <c r="H62" s="44"/>
      <c r="I62" s="45"/>
      <c r="J62" s="82"/>
      <c r="K62" s="82"/>
      <c r="L62" s="35"/>
      <c r="M62" s="35"/>
      <c r="N62" s="46"/>
      <c r="O62" s="47"/>
      <c r="P62" s="48"/>
      <c r="Q62" s="47"/>
      <c r="R62" s="501"/>
      <c r="S62" s="501"/>
      <c r="T62" s="37"/>
      <c r="U62" s="37"/>
      <c r="V62" s="37"/>
      <c r="W62" s="37"/>
      <c r="X62" s="38"/>
      <c r="Y62" s="211"/>
      <c r="Z62" s="37"/>
      <c r="AA62" s="37"/>
      <c r="AB62" s="37"/>
      <c r="AC62" s="37"/>
      <c r="AD62" s="37">
        <f>+AM62+BA62</f>
        <v>0</v>
      </c>
      <c r="AE62" s="230" t="s">
        <v>571</v>
      </c>
      <c r="AF62" s="33"/>
      <c r="AG62" s="33"/>
      <c r="AH62" s="33"/>
      <c r="AI62" s="33"/>
      <c r="AJ62" s="37"/>
      <c r="AK62" s="37"/>
      <c r="AL62" s="37"/>
      <c r="AM62" s="37">
        <f t="shared" ref="AM62" si="137">SUM(AF62:AL62)+AT62+AV62+AX62</f>
        <v>0</v>
      </c>
      <c r="AN62" s="37"/>
      <c r="AO62" s="37"/>
      <c r="AP62" s="37"/>
      <c r="AQ62" s="37"/>
      <c r="AR62" s="37">
        <f t="shared" ref="AR62" si="138">SUM(AN62:AQ62)</f>
        <v>0</v>
      </c>
      <c r="AS62" s="37"/>
      <c r="AT62" s="37"/>
      <c r="AU62" s="37">
        <f>990-990</f>
        <v>0</v>
      </c>
      <c r="AV62" s="37"/>
      <c r="AW62" s="37"/>
      <c r="AX62" s="37"/>
      <c r="AY62" s="37"/>
      <c r="AZ62" s="37"/>
      <c r="BA62" s="37">
        <f>+AR62+AS62+AU62+AW62+AY62+AZ62</f>
        <v>0</v>
      </c>
      <c r="BB62" s="33"/>
      <c r="BC62" s="504"/>
      <c r="BD62" s="504"/>
      <c r="BE62" s="33"/>
      <c r="BF62" s="504"/>
    </row>
    <row r="63" spans="1:58" ht="12.95" customHeight="1">
      <c r="A63" s="40"/>
      <c r="B63" s="41"/>
      <c r="C63" s="415"/>
      <c r="D63" s="41"/>
      <c r="E63" s="42"/>
      <c r="F63" s="42"/>
      <c r="G63" s="43"/>
      <c r="H63" s="44"/>
      <c r="I63" s="45"/>
      <c r="J63" s="82"/>
      <c r="K63" s="82"/>
      <c r="L63" s="35"/>
      <c r="M63" s="35"/>
      <c r="N63" s="46"/>
      <c r="O63" s="47"/>
      <c r="P63" s="48"/>
      <c r="Q63" s="34"/>
      <c r="R63" s="501"/>
      <c r="S63" s="501"/>
      <c r="T63" s="37"/>
      <c r="U63" s="37"/>
      <c r="V63" s="37"/>
      <c r="W63" s="37"/>
      <c r="X63" s="38"/>
      <c r="Y63" s="211"/>
      <c r="Z63" s="37"/>
      <c r="AA63" s="37"/>
      <c r="AB63" s="37"/>
      <c r="AC63" s="37"/>
      <c r="AD63" s="37"/>
      <c r="AE63" s="233"/>
      <c r="AF63" s="37"/>
      <c r="AG63" s="37"/>
      <c r="AH63" s="37"/>
      <c r="AI63" s="503"/>
      <c r="AJ63" s="37"/>
      <c r="AK63" s="37"/>
      <c r="AL63" s="37"/>
      <c r="AM63" s="37"/>
      <c r="AN63" s="37"/>
      <c r="AO63" s="37"/>
      <c r="AP63" s="37"/>
      <c r="AQ63" s="37"/>
      <c r="AR63" s="37"/>
      <c r="AS63" s="37"/>
      <c r="AT63" s="37"/>
      <c r="AU63" s="37"/>
      <c r="AV63" s="37"/>
      <c r="AW63" s="37"/>
      <c r="AX63" s="37"/>
      <c r="AY63" s="37"/>
      <c r="AZ63" s="37"/>
      <c r="BA63" s="37"/>
      <c r="BB63" s="50"/>
      <c r="BC63" s="51"/>
      <c r="BD63" s="51"/>
      <c r="BE63" s="50"/>
      <c r="BF63" s="51"/>
    </row>
    <row r="64" spans="1:58" ht="12.75" customHeight="1">
      <c r="A64" s="40">
        <v>45914</v>
      </c>
      <c r="B64" s="41" t="s">
        <v>424</v>
      </c>
      <c r="C64" s="415">
        <f t="shared" ref="C64" si="139">(M64*E64*O64*Q64)/100000000</f>
        <v>0</v>
      </c>
      <c r="D64" s="41" t="s">
        <v>304</v>
      </c>
      <c r="E64" s="42">
        <v>12</v>
      </c>
      <c r="F64" s="42">
        <v>1</v>
      </c>
      <c r="G64" s="500">
        <v>1230</v>
      </c>
      <c r="H64" s="44">
        <v>0.23</v>
      </c>
      <c r="I64" s="45">
        <v>0.88</v>
      </c>
      <c r="J64" s="82">
        <f t="shared" ref="J64" si="140">E64*G64*(1-H64)*1440/1000000*2.74</f>
        <v>44.842533120000006</v>
      </c>
      <c r="K64" s="82">
        <f t="shared" ref="K64" si="141">(IF(G64&lt;L64,L64,G64)*(1-IF(H64&lt;N64,H64,N64))*E64*O64*Q64)/100000000</f>
        <v>0</v>
      </c>
      <c r="L64" s="35">
        <v>1230</v>
      </c>
      <c r="M64" s="35">
        <v>947.09999999999991</v>
      </c>
      <c r="N64" s="46">
        <f t="shared" ref="N64" si="142">1-(M64/L64)</f>
        <v>0.23000000000000009</v>
      </c>
      <c r="O64" s="47">
        <f>+'Trim Rwd'!H48</f>
        <v>264</v>
      </c>
      <c r="P64" s="48">
        <f t="shared" ref="P64" si="143">O64*(Q64-R64-S64)</f>
        <v>0</v>
      </c>
      <c r="Q64" s="47">
        <f>1440-1440</f>
        <v>0</v>
      </c>
      <c r="R64" s="501">
        <f>1440-1440</f>
        <v>0</v>
      </c>
      <c r="S64" s="501">
        <v>0</v>
      </c>
      <c r="T64" s="37">
        <f t="shared" ref="T64" si="144">E64*M64*O64*Q64/100000000</f>
        <v>0</v>
      </c>
      <c r="U64" s="37">
        <f t="shared" ref="U64" si="145">E64*M64*O64*(Q64-R64-S64)/100000000</f>
        <v>0</v>
      </c>
      <c r="V64" s="37">
        <f t="shared" ref="V64" si="146">E64*G64*(1-N64)*O64/100*(R64+S64)/1000000</f>
        <v>0</v>
      </c>
      <c r="W64" s="37">
        <v>0</v>
      </c>
      <c r="X64" s="502" t="e">
        <f>SUM(W64:W67)/SUM(K64:K67)</f>
        <v>#DIV/0!</v>
      </c>
      <c r="Y64" s="211">
        <f>+SUM(RBP!AG3:AG4)</f>
        <v>0</v>
      </c>
      <c r="Z64" s="37">
        <v>0</v>
      </c>
      <c r="AA64" s="49">
        <f>SUM(U64:U67)-SUM(W64:W67)-SUM(Z64:Z67)-SUM(Y64:Y67)</f>
        <v>0</v>
      </c>
      <c r="AB64" s="49">
        <f>(SUM(K64:K67)-SUM(W64:W67)-SUM(Y64:Y67)-SUM(Z64:Z67)-SUM(AC64:AC67)-SUM(V64:V67))-AA64</f>
        <v>0</v>
      </c>
      <c r="AC64" s="37">
        <f>K64-T64</f>
        <v>0</v>
      </c>
      <c r="AD64" s="37">
        <f>+AM64+BA64</f>
        <v>0</v>
      </c>
      <c r="AE64" s="230" t="s">
        <v>466</v>
      </c>
      <c r="AF64" s="37">
        <v>0</v>
      </c>
      <c r="AG64" s="37"/>
      <c r="AH64" s="37"/>
      <c r="AI64" s="37"/>
      <c r="AJ64" s="37"/>
      <c r="AK64" s="37"/>
      <c r="AL64" s="37"/>
      <c r="AM64" s="37">
        <f t="shared" ref="AM64:AM66" si="147">SUM(AF64:AL64)+AT64+AV64+AX64</f>
        <v>0</v>
      </c>
      <c r="AN64" s="37"/>
      <c r="AO64" s="37"/>
      <c r="AP64" s="37"/>
      <c r="AQ64" s="37"/>
      <c r="AR64" s="37">
        <f>SUM(AN64:AQ64)</f>
        <v>0</v>
      </c>
      <c r="AS64" s="37"/>
      <c r="AT64" s="37"/>
      <c r="AU64" s="37"/>
      <c r="AV64" s="37"/>
      <c r="AW64" s="37"/>
      <c r="AX64" s="37"/>
      <c r="AY64" s="37"/>
      <c r="AZ64" s="37"/>
      <c r="BA64" s="37">
        <f>+AR64+AS64+AU64+AW64+AY64+AZ64</f>
        <v>0</v>
      </c>
      <c r="BB64" s="33">
        <v>0</v>
      </c>
      <c r="BC64" s="51"/>
      <c r="BD64" s="51"/>
      <c r="BE64" s="33"/>
      <c r="BF64" s="51"/>
    </row>
    <row r="65" spans="1:58" ht="12.95" customHeight="1">
      <c r="A65" s="40"/>
      <c r="B65" s="41"/>
      <c r="C65" s="415"/>
      <c r="D65" s="41"/>
      <c r="E65" s="42"/>
      <c r="F65" s="42"/>
      <c r="G65" s="500"/>
      <c r="H65" s="44"/>
      <c r="I65" s="45"/>
      <c r="J65" s="82"/>
      <c r="K65" s="82"/>
      <c r="L65" s="35"/>
      <c r="M65" s="35"/>
      <c r="N65" s="46"/>
      <c r="O65" s="47"/>
      <c r="P65" s="48"/>
      <c r="Q65" s="47"/>
      <c r="R65" s="501"/>
      <c r="S65" s="501"/>
      <c r="T65" s="37"/>
      <c r="U65" s="37"/>
      <c r="V65" s="37"/>
      <c r="W65" s="37">
        <v>0</v>
      </c>
      <c r="X65" s="38"/>
      <c r="Y65" s="211"/>
      <c r="Z65" s="37">
        <v>0</v>
      </c>
      <c r="AA65" s="37"/>
      <c r="AB65" s="37"/>
      <c r="AC65" s="37">
        <f>K65-T65</f>
        <v>0</v>
      </c>
      <c r="AD65" s="37">
        <f>+AM65+BA65</f>
        <v>0</v>
      </c>
      <c r="AE65" s="230" t="s">
        <v>432</v>
      </c>
      <c r="AF65" s="37"/>
      <c r="AG65" s="37">
        <v>0</v>
      </c>
      <c r="AH65" s="37"/>
      <c r="AI65" s="37"/>
      <c r="AJ65" s="37"/>
      <c r="AK65" s="37"/>
      <c r="AL65" s="37"/>
      <c r="AM65" s="37">
        <f t="shared" si="147"/>
        <v>0</v>
      </c>
      <c r="AN65" s="83"/>
      <c r="AO65" s="37"/>
      <c r="AP65" s="37"/>
      <c r="AQ65" s="37"/>
      <c r="AR65" s="37">
        <f t="shared" ref="AR65:AR66" si="148">SUM(AN65:AQ65)</f>
        <v>0</v>
      </c>
      <c r="AS65" s="37"/>
      <c r="AT65" s="37"/>
      <c r="AU65" s="37"/>
      <c r="AV65" s="37"/>
      <c r="AW65" s="37"/>
      <c r="AX65" s="37"/>
      <c r="AY65" s="37"/>
      <c r="AZ65" s="37"/>
      <c r="BA65" s="37">
        <f>+AR65+AS65+AU65+AW65+AY65+AZ65</f>
        <v>0</v>
      </c>
      <c r="BB65" s="50"/>
      <c r="BC65" s="51">
        <v>0</v>
      </c>
      <c r="BD65" s="51"/>
      <c r="BE65" s="50"/>
      <c r="BF65" s="51"/>
    </row>
    <row r="66" spans="1:58" ht="12.95" customHeight="1">
      <c r="A66" s="40"/>
      <c r="B66" s="41"/>
      <c r="C66" s="415"/>
      <c r="D66" s="41"/>
      <c r="E66" s="42"/>
      <c r="F66" s="42"/>
      <c r="G66" s="43"/>
      <c r="H66" s="44"/>
      <c r="I66" s="45"/>
      <c r="J66" s="82"/>
      <c r="K66" s="82"/>
      <c r="L66" s="35"/>
      <c r="M66" s="35"/>
      <c r="N66" s="46"/>
      <c r="O66" s="47"/>
      <c r="P66" s="48"/>
      <c r="Q66" s="47"/>
      <c r="R66" s="501"/>
      <c r="S66" s="501"/>
      <c r="T66" s="37"/>
      <c r="U66" s="37"/>
      <c r="V66" s="37"/>
      <c r="W66" s="37"/>
      <c r="X66" s="38"/>
      <c r="Y66" s="211"/>
      <c r="Z66" s="37"/>
      <c r="AA66" s="37"/>
      <c r="AB66" s="37"/>
      <c r="AC66" s="37"/>
      <c r="AD66" s="37">
        <f>+AM66+BA66</f>
        <v>0</v>
      </c>
      <c r="AE66" s="230" t="s">
        <v>507</v>
      </c>
      <c r="AF66" s="33"/>
      <c r="AG66" s="33"/>
      <c r="AH66" s="33">
        <v>0</v>
      </c>
      <c r="AI66" s="33"/>
      <c r="AJ66" s="37"/>
      <c r="AK66" s="37"/>
      <c r="AL66" s="37"/>
      <c r="AM66" s="37">
        <f t="shared" si="147"/>
        <v>0</v>
      </c>
      <c r="AN66" s="37"/>
      <c r="AO66" s="37"/>
      <c r="AP66" s="37"/>
      <c r="AQ66" s="37"/>
      <c r="AR66" s="37">
        <f t="shared" si="148"/>
        <v>0</v>
      </c>
      <c r="AS66" s="37"/>
      <c r="AT66" s="37"/>
      <c r="AU66" s="37"/>
      <c r="AV66" s="37"/>
      <c r="AW66" s="37"/>
      <c r="AX66" s="37"/>
      <c r="AY66" s="37"/>
      <c r="AZ66" s="37"/>
      <c r="BA66" s="37">
        <f>+AR66+AS66+AU66+AW66+AY66+AZ66</f>
        <v>0</v>
      </c>
      <c r="BB66" s="33"/>
      <c r="BC66" s="504"/>
      <c r="BD66" s="504"/>
      <c r="BE66" s="33"/>
      <c r="BF66" s="504"/>
    </row>
    <row r="67" spans="1:58" ht="12.95" customHeight="1">
      <c r="A67" s="40"/>
      <c r="B67" s="41"/>
      <c r="C67" s="415"/>
      <c r="D67" s="41"/>
      <c r="E67" s="42"/>
      <c r="F67" s="42"/>
      <c r="G67" s="43"/>
      <c r="H67" s="44"/>
      <c r="I67" s="45"/>
      <c r="J67" s="82"/>
      <c r="K67" s="82"/>
      <c r="L67" s="35"/>
      <c r="M67" s="35"/>
      <c r="N67" s="46"/>
      <c r="O67" s="47"/>
      <c r="P67" s="48"/>
      <c r="Q67" s="47"/>
      <c r="R67" s="501"/>
      <c r="S67" s="501"/>
      <c r="T67" s="37"/>
      <c r="U67" s="37"/>
      <c r="V67" s="37"/>
      <c r="W67" s="37"/>
      <c r="X67" s="38"/>
      <c r="Y67" s="211"/>
      <c r="Z67" s="37"/>
      <c r="AA67" s="37"/>
      <c r="AB67" s="37"/>
      <c r="AC67" s="37"/>
      <c r="AD67" s="37">
        <f>+AM67+BA67</f>
        <v>0</v>
      </c>
      <c r="AE67" s="230" t="s">
        <v>586</v>
      </c>
      <c r="AF67" s="33"/>
      <c r="AG67" s="33"/>
      <c r="AH67" s="33"/>
      <c r="AI67" s="33"/>
      <c r="AJ67" s="37"/>
      <c r="AK67" s="37"/>
      <c r="AL67" s="37"/>
      <c r="AM67" s="37">
        <f t="shared" ref="AM67" si="149">SUM(AF67:AL67)+AT67+AV67+AX67</f>
        <v>0</v>
      </c>
      <c r="AN67" s="37"/>
      <c r="AO67" s="37"/>
      <c r="AP67" s="37"/>
      <c r="AQ67" s="37"/>
      <c r="AR67" s="37">
        <f t="shared" ref="AR67" si="150">SUM(AN67:AQ67)</f>
        <v>0</v>
      </c>
      <c r="AS67" s="37"/>
      <c r="AT67" s="37"/>
      <c r="AU67" s="37">
        <f>1440-1440</f>
        <v>0</v>
      </c>
      <c r="AV67" s="37"/>
      <c r="AW67" s="37"/>
      <c r="AX67" s="37"/>
      <c r="AY67" s="37"/>
      <c r="AZ67" s="37"/>
      <c r="BA67" s="37">
        <f>+AR67+AS67+AU67+AW67+AY67+AZ67</f>
        <v>0</v>
      </c>
      <c r="BB67" s="33"/>
      <c r="BC67" s="504"/>
      <c r="BD67" s="504"/>
      <c r="BE67" s="33"/>
      <c r="BF67" s="504"/>
    </row>
    <row r="68" spans="1:58" ht="12.95" customHeight="1">
      <c r="A68" s="40"/>
      <c r="B68" s="41"/>
      <c r="C68" s="415"/>
      <c r="D68" s="41"/>
      <c r="E68" s="42"/>
      <c r="F68" s="42"/>
      <c r="G68" s="43"/>
      <c r="H68" s="44"/>
      <c r="I68" s="45"/>
      <c r="J68" s="82"/>
      <c r="K68" s="82"/>
      <c r="L68" s="35"/>
      <c r="M68" s="35"/>
      <c r="N68" s="46"/>
      <c r="O68" s="47"/>
      <c r="P68" s="48"/>
      <c r="Q68" s="47"/>
      <c r="R68" s="501"/>
      <c r="S68" s="501"/>
      <c r="T68" s="37"/>
      <c r="U68" s="37"/>
      <c r="V68" s="37"/>
      <c r="W68" s="37"/>
      <c r="X68" s="38"/>
      <c r="Y68" s="211"/>
      <c r="Z68" s="37"/>
      <c r="AA68" s="37"/>
      <c r="AB68" s="37"/>
      <c r="AC68" s="37"/>
      <c r="AD68" s="37"/>
      <c r="AE68" s="230"/>
      <c r="AF68" s="33"/>
      <c r="AG68" s="33"/>
      <c r="AH68" s="33"/>
      <c r="AJ68" s="37"/>
      <c r="AK68" s="37"/>
      <c r="AL68" s="37"/>
      <c r="AM68" s="37"/>
      <c r="AN68" s="37"/>
      <c r="AO68" s="37"/>
      <c r="AP68" s="37"/>
      <c r="AQ68" s="37"/>
      <c r="AR68" s="37"/>
      <c r="AS68" s="37"/>
      <c r="AT68" s="37"/>
      <c r="AU68" s="37"/>
      <c r="AV68" s="37"/>
      <c r="AW68" s="37"/>
      <c r="AX68" s="37"/>
      <c r="AY68" s="37"/>
      <c r="AZ68" s="37"/>
      <c r="BA68" s="37"/>
      <c r="BB68" s="33"/>
      <c r="BC68" s="504"/>
      <c r="BD68" s="51"/>
      <c r="BE68" s="50"/>
      <c r="BF68" s="51"/>
    </row>
    <row r="69" spans="1:58" ht="12.75" customHeight="1">
      <c r="A69" s="40">
        <v>45915</v>
      </c>
      <c r="B69" s="41" t="s">
        <v>424</v>
      </c>
      <c r="C69" s="415">
        <f t="shared" ref="C69" si="151">(M69*E69*O69*Q69)/100000000</f>
        <v>0</v>
      </c>
      <c r="D69" s="41" t="s">
        <v>304</v>
      </c>
      <c r="E69" s="42">
        <v>12</v>
      </c>
      <c r="F69" s="42">
        <v>1</v>
      </c>
      <c r="G69" s="500">
        <v>1230</v>
      </c>
      <c r="H69" s="44">
        <v>0.23</v>
      </c>
      <c r="I69" s="45">
        <v>0.88</v>
      </c>
      <c r="J69" s="82">
        <f t="shared" ref="J69" si="152">E69*G69*(1-H69)*1440/1000000*2.74</f>
        <v>44.842533120000006</v>
      </c>
      <c r="K69" s="82">
        <f t="shared" ref="K69" si="153">(IF(G69&lt;L69,L69,G69)*(1-IF(H69&lt;N69,H69,N69))*E69*O69*Q69)/100000000</f>
        <v>0</v>
      </c>
      <c r="L69" s="35">
        <v>1230</v>
      </c>
      <c r="M69" s="35">
        <v>947.09999999999991</v>
      </c>
      <c r="N69" s="46">
        <f t="shared" ref="N69" si="154">1-(M69/L69)</f>
        <v>0.23000000000000009</v>
      </c>
      <c r="O69" s="47">
        <f>+'Trim Rwd'!H50</f>
        <v>264</v>
      </c>
      <c r="P69" s="48">
        <f t="shared" ref="P69" si="155">O69*(Q69-R69-S69)</f>
        <v>0</v>
      </c>
      <c r="Q69" s="47">
        <f>1440-1440</f>
        <v>0</v>
      </c>
      <c r="R69" s="501">
        <f>1440-1440</f>
        <v>0</v>
      </c>
      <c r="S69" s="501">
        <v>0</v>
      </c>
      <c r="T69" s="37">
        <f t="shared" ref="T69" si="156">E69*M69*O69*Q69/100000000</f>
        <v>0</v>
      </c>
      <c r="U69" s="37">
        <f t="shared" ref="U69" si="157">E69*M69*O69*(Q69-R69-S69)/100000000</f>
        <v>0</v>
      </c>
      <c r="V69" s="37">
        <f t="shared" ref="V69" si="158">E69*G69*(1-N69)*O69/100*(R69+S69)/1000000</f>
        <v>0</v>
      </c>
      <c r="W69" s="37">
        <v>0</v>
      </c>
      <c r="X69" s="502" t="e">
        <f>SUM(W69:W72)/SUM(K69:K72)</f>
        <v>#DIV/0!</v>
      </c>
      <c r="Y69" s="211">
        <f>+SUM(RBP!AG8:AG9)</f>
        <v>0</v>
      </c>
      <c r="Z69" s="37">
        <v>0</v>
      </c>
      <c r="AA69" s="49">
        <f>SUM(U69:U72)-SUM(W69:W72)-SUM(Z69:Z72)-SUM(Y69:Y72)</f>
        <v>0</v>
      </c>
      <c r="AB69" s="49">
        <f>(SUM(K69:K72)-SUM(W69:W72)-SUM(Y69:Y72)-SUM(Z69:Z72)-SUM(AC69:AC72)-SUM(V69:V72))-AA69</f>
        <v>0</v>
      </c>
      <c r="AC69" s="37">
        <f>K69-T69</f>
        <v>0</v>
      </c>
      <c r="AD69" s="37">
        <f>+AM69+BA69</f>
        <v>0</v>
      </c>
      <c r="AE69" s="230" t="s">
        <v>466</v>
      </c>
      <c r="AF69" s="37">
        <v>0</v>
      </c>
      <c r="AG69" s="37"/>
      <c r="AH69" s="37"/>
      <c r="AI69" s="37"/>
      <c r="AJ69" s="37"/>
      <c r="AK69" s="37"/>
      <c r="AL69" s="37"/>
      <c r="AM69" s="37">
        <f t="shared" ref="AM69:AM71" si="159">SUM(AF69:AL69)+AT69+AV69+AX69</f>
        <v>0</v>
      </c>
      <c r="AN69" s="37"/>
      <c r="AO69" s="37"/>
      <c r="AP69" s="37"/>
      <c r="AQ69" s="37"/>
      <c r="AR69" s="37">
        <f>SUM(AN69:AQ69)</f>
        <v>0</v>
      </c>
      <c r="AS69" s="37"/>
      <c r="AT69" s="37"/>
      <c r="AU69" s="37"/>
      <c r="AV69" s="37"/>
      <c r="AW69" s="37"/>
      <c r="AX69" s="37"/>
      <c r="AY69" s="37"/>
      <c r="AZ69" s="37"/>
      <c r="BA69" s="37">
        <f>+AR69+AS69+AU69+AW69+AY69+AZ69</f>
        <v>0</v>
      </c>
      <c r="BB69" s="33">
        <v>0</v>
      </c>
      <c r="BC69" s="51"/>
      <c r="BD69" s="51"/>
      <c r="BE69" s="33"/>
      <c r="BF69" s="51"/>
    </row>
    <row r="70" spans="1:58" ht="12.95" customHeight="1">
      <c r="A70" s="40"/>
      <c r="B70" s="41"/>
      <c r="C70" s="415"/>
      <c r="D70" s="41"/>
      <c r="E70" s="42"/>
      <c r="F70" s="42"/>
      <c r="G70" s="500"/>
      <c r="H70" s="44"/>
      <c r="I70" s="45"/>
      <c r="J70" s="82"/>
      <c r="K70" s="82"/>
      <c r="L70" s="35"/>
      <c r="M70" s="35"/>
      <c r="N70" s="46"/>
      <c r="O70" s="47"/>
      <c r="P70" s="48"/>
      <c r="Q70" s="47"/>
      <c r="R70" s="501"/>
      <c r="S70" s="501"/>
      <c r="T70" s="37"/>
      <c r="U70" s="37"/>
      <c r="V70" s="37"/>
      <c r="W70" s="37">
        <v>0</v>
      </c>
      <c r="X70" s="38"/>
      <c r="Y70" s="211"/>
      <c r="Z70" s="37">
        <v>0</v>
      </c>
      <c r="AA70" s="37"/>
      <c r="AB70" s="37"/>
      <c r="AC70" s="37">
        <f>K70-T70</f>
        <v>0</v>
      </c>
      <c r="AD70" s="37">
        <f>+AM70+BA70</f>
        <v>0</v>
      </c>
      <c r="AE70" s="230" t="s">
        <v>432</v>
      </c>
      <c r="AF70" s="37"/>
      <c r="AG70" s="37">
        <v>0</v>
      </c>
      <c r="AH70" s="37"/>
      <c r="AI70" s="37"/>
      <c r="AJ70" s="37"/>
      <c r="AK70" s="37"/>
      <c r="AL70" s="37"/>
      <c r="AM70" s="37">
        <f t="shared" si="159"/>
        <v>0</v>
      </c>
      <c r="AN70" s="83"/>
      <c r="AO70" s="37"/>
      <c r="AP70" s="37"/>
      <c r="AQ70" s="37"/>
      <c r="AR70" s="37">
        <f t="shared" ref="AR70:AR71" si="160">SUM(AN70:AQ70)</f>
        <v>0</v>
      </c>
      <c r="AS70" s="37"/>
      <c r="AT70" s="37"/>
      <c r="AU70" s="37"/>
      <c r="AV70" s="37"/>
      <c r="AW70" s="37"/>
      <c r="AX70" s="37"/>
      <c r="AY70" s="37"/>
      <c r="AZ70" s="37"/>
      <c r="BA70" s="37">
        <f>+AR70+AS70+AU70+AW70+AY70+AZ70</f>
        <v>0</v>
      </c>
      <c r="BB70" s="50"/>
      <c r="BC70" s="51">
        <v>0</v>
      </c>
      <c r="BD70" s="51"/>
      <c r="BE70" s="50"/>
      <c r="BF70" s="51"/>
    </row>
    <row r="71" spans="1:58" ht="12.95" customHeight="1">
      <c r="A71" s="40"/>
      <c r="B71" s="41"/>
      <c r="C71" s="415"/>
      <c r="D71" s="41"/>
      <c r="E71" s="42"/>
      <c r="F71" s="42"/>
      <c r="G71" s="43"/>
      <c r="H71" s="44"/>
      <c r="I71" s="45"/>
      <c r="J71" s="82"/>
      <c r="K71" s="82"/>
      <c r="L71" s="35"/>
      <c r="M71" s="35"/>
      <c r="N71" s="46"/>
      <c r="O71" s="47"/>
      <c r="P71" s="48"/>
      <c r="Q71" s="47"/>
      <c r="R71" s="501"/>
      <c r="S71" s="501"/>
      <c r="T71" s="37"/>
      <c r="U71" s="37"/>
      <c r="V71" s="37"/>
      <c r="W71" s="37"/>
      <c r="X71" s="38"/>
      <c r="Y71" s="211"/>
      <c r="Z71" s="37"/>
      <c r="AA71" s="37"/>
      <c r="AB71" s="37"/>
      <c r="AC71" s="37"/>
      <c r="AD71" s="37">
        <f>+AM71+BA71</f>
        <v>0</v>
      </c>
      <c r="AE71" s="230" t="s">
        <v>507</v>
      </c>
      <c r="AF71" s="33"/>
      <c r="AG71" s="33"/>
      <c r="AH71" s="33">
        <v>0</v>
      </c>
      <c r="AI71" s="33"/>
      <c r="AJ71" s="37"/>
      <c r="AK71" s="37"/>
      <c r="AL71" s="37"/>
      <c r="AM71" s="37">
        <f t="shared" si="159"/>
        <v>0</v>
      </c>
      <c r="AN71" s="37"/>
      <c r="AO71" s="37"/>
      <c r="AP71" s="37"/>
      <c r="AQ71" s="37"/>
      <c r="AR71" s="37">
        <f t="shared" si="160"/>
        <v>0</v>
      </c>
      <c r="AS71" s="37"/>
      <c r="AT71" s="37"/>
      <c r="AU71" s="37"/>
      <c r="AV71" s="37"/>
      <c r="AW71" s="37"/>
      <c r="AX71" s="37"/>
      <c r="AY71" s="37"/>
      <c r="AZ71" s="37"/>
      <c r="BA71" s="37">
        <f>+AR71+AS71+AU71+AW71+AY71+AZ71</f>
        <v>0</v>
      </c>
      <c r="BB71" s="33"/>
      <c r="BC71" s="504"/>
      <c r="BD71" s="504"/>
      <c r="BE71" s="33"/>
      <c r="BF71" s="504"/>
    </row>
    <row r="72" spans="1:58" ht="12.95" customHeight="1">
      <c r="A72" s="40"/>
      <c r="B72" s="41"/>
      <c r="C72" s="415"/>
      <c r="D72" s="41"/>
      <c r="E72" s="42"/>
      <c r="F72" s="42"/>
      <c r="G72" s="43"/>
      <c r="H72" s="44"/>
      <c r="I72" s="45"/>
      <c r="J72" s="82"/>
      <c r="K72" s="82"/>
      <c r="L72" s="35"/>
      <c r="M72" s="35"/>
      <c r="N72" s="46"/>
      <c r="O72" s="47"/>
      <c r="P72" s="48"/>
      <c r="Q72" s="47"/>
      <c r="R72" s="501"/>
      <c r="S72" s="501"/>
      <c r="T72" s="37"/>
      <c r="U72" s="37"/>
      <c r="V72" s="37"/>
      <c r="W72" s="37"/>
      <c r="X72" s="38"/>
      <c r="Y72" s="211"/>
      <c r="Z72" s="37"/>
      <c r="AA72" s="37"/>
      <c r="AB72" s="37"/>
      <c r="AC72" s="37"/>
      <c r="AD72" s="37">
        <f>+AM72+BA72</f>
        <v>0</v>
      </c>
      <c r="AE72" s="230" t="s">
        <v>586</v>
      </c>
      <c r="AF72" s="33"/>
      <c r="AG72" s="33"/>
      <c r="AH72" s="33"/>
      <c r="AI72" s="33"/>
      <c r="AJ72" s="37"/>
      <c r="AK72" s="37"/>
      <c r="AL72" s="37"/>
      <c r="AM72" s="37">
        <f t="shared" ref="AM72" si="161">SUM(AF72:AL72)+AT72+AV72+AX72</f>
        <v>0</v>
      </c>
      <c r="AN72" s="37"/>
      <c r="AO72" s="37"/>
      <c r="AP72" s="37"/>
      <c r="AQ72" s="37"/>
      <c r="AR72" s="37">
        <f t="shared" ref="AR72" si="162">SUM(AN72:AQ72)</f>
        <v>0</v>
      </c>
      <c r="AS72" s="37"/>
      <c r="AT72" s="37"/>
      <c r="AU72" s="37">
        <f>1440-1440</f>
        <v>0</v>
      </c>
      <c r="AV72" s="37"/>
      <c r="AW72" s="37"/>
      <c r="AX72" s="37"/>
      <c r="AY72" s="37"/>
      <c r="AZ72" s="37"/>
      <c r="BA72" s="37">
        <f>+AR72+AS72+AU72+AW72+AY72+AZ72</f>
        <v>0</v>
      </c>
      <c r="BB72" s="33"/>
      <c r="BC72" s="504"/>
      <c r="BD72" s="504"/>
      <c r="BE72" s="33"/>
      <c r="BF72" s="504"/>
    </row>
    <row r="73" spans="1:58" ht="12.95" customHeight="1">
      <c r="A73" s="40"/>
      <c r="B73" s="41"/>
      <c r="C73" s="415"/>
      <c r="D73" s="41"/>
      <c r="E73" s="42"/>
      <c r="F73" s="42"/>
      <c r="G73" s="43"/>
      <c r="H73" s="44"/>
      <c r="I73" s="45"/>
      <c r="J73" s="82"/>
      <c r="K73" s="82"/>
      <c r="L73" s="35"/>
      <c r="M73" s="35"/>
      <c r="N73" s="46"/>
      <c r="O73" s="47"/>
      <c r="P73" s="48"/>
      <c r="Q73" s="47"/>
      <c r="R73" s="501"/>
      <c r="S73" s="501"/>
      <c r="T73" s="37"/>
      <c r="U73" s="37"/>
      <c r="V73" s="37"/>
      <c r="W73" s="37"/>
      <c r="X73" s="38"/>
      <c r="Y73" s="211"/>
      <c r="Z73" s="37"/>
      <c r="AA73" s="37"/>
      <c r="AB73" s="37"/>
      <c r="AC73" s="37"/>
      <c r="AD73" s="37"/>
      <c r="AE73" s="230"/>
      <c r="AF73" s="33"/>
      <c r="AG73" s="33"/>
      <c r="AH73" s="33"/>
      <c r="AJ73" s="37"/>
      <c r="AK73" s="37"/>
      <c r="AL73" s="37"/>
      <c r="AM73" s="37"/>
      <c r="AN73" s="37"/>
      <c r="AO73" s="37"/>
      <c r="AP73" s="37"/>
      <c r="AQ73" s="37"/>
      <c r="AR73" s="37"/>
      <c r="AS73" s="37"/>
      <c r="AT73" s="37"/>
      <c r="AU73" s="37"/>
      <c r="AV73" s="37"/>
      <c r="AW73" s="37"/>
      <c r="AX73" s="37"/>
      <c r="AY73" s="37"/>
      <c r="AZ73" s="37"/>
      <c r="BA73" s="37"/>
      <c r="BB73" s="33"/>
      <c r="BC73" s="504"/>
      <c r="BD73" s="51"/>
      <c r="BE73" s="50"/>
      <c r="BF73" s="51"/>
    </row>
    <row r="74" spans="1:58" ht="12.75" customHeight="1">
      <c r="A74" s="40">
        <v>45916</v>
      </c>
      <c r="B74" s="41" t="s">
        <v>424</v>
      </c>
      <c r="C74" s="415">
        <f t="shared" ref="C74" si="163">(M74*E74*O74*Q74)/100000000</f>
        <v>0</v>
      </c>
      <c r="D74" s="41" t="s">
        <v>304</v>
      </c>
      <c r="E74" s="42">
        <v>12</v>
      </c>
      <c r="F74" s="42">
        <v>1</v>
      </c>
      <c r="G74" s="500">
        <v>1230</v>
      </c>
      <c r="H74" s="44">
        <v>0.23</v>
      </c>
      <c r="I74" s="45">
        <v>0.88</v>
      </c>
      <c r="J74" s="82">
        <f t="shared" ref="J74" si="164">E74*G74*(1-H74)*1440/1000000*2.74</f>
        <v>44.842533120000006</v>
      </c>
      <c r="K74" s="82">
        <f t="shared" ref="K74" si="165">(IF(G74&lt;L74,L74,G74)*(1-IF(H74&lt;N74,H74,N74))*E74*O74*Q74)/100000000</f>
        <v>0</v>
      </c>
      <c r="L74" s="35">
        <v>1230</v>
      </c>
      <c r="M74" s="35">
        <v>947.09999999999991</v>
      </c>
      <c r="N74" s="46">
        <f t="shared" ref="N74" si="166">1-(M74/L74)</f>
        <v>0.23000000000000009</v>
      </c>
      <c r="O74" s="47">
        <f>+'Trim Rwd'!H52</f>
        <v>264</v>
      </c>
      <c r="P74" s="48">
        <f t="shared" ref="P74" si="167">O74*(Q74-R74-S74)</f>
        <v>0</v>
      </c>
      <c r="Q74" s="47">
        <f>1440-1440</f>
        <v>0</v>
      </c>
      <c r="R74" s="501">
        <f>1440-1440</f>
        <v>0</v>
      </c>
      <c r="S74" s="501">
        <v>0</v>
      </c>
      <c r="T74" s="37">
        <f t="shared" ref="T74" si="168">E74*M74*O74*Q74/100000000</f>
        <v>0</v>
      </c>
      <c r="U74" s="37">
        <f t="shared" ref="U74" si="169">E74*M74*O74*(Q74-R74-S74)/100000000</f>
        <v>0</v>
      </c>
      <c r="V74" s="37">
        <f t="shared" ref="V74" si="170">E74*G74*(1-N74)*O74/100*(R74+S74)/1000000</f>
        <v>0</v>
      </c>
      <c r="W74" s="37">
        <v>0</v>
      </c>
      <c r="X74" s="502" t="e">
        <f>SUM(W74:W77)/SUM(K74:K77)</f>
        <v>#DIV/0!</v>
      </c>
      <c r="Y74" s="211">
        <v>0</v>
      </c>
      <c r="Z74" s="37">
        <f>+'16'!D7/1000</f>
        <v>0.69</v>
      </c>
      <c r="AA74" s="49">
        <f>SUM(U74:U77)-SUM(W74:W77)-SUM(Z74:Z77)-SUM(Y74:Y77)</f>
        <v>-0.69</v>
      </c>
      <c r="AB74" s="49">
        <f>(SUM(K74:K77)-SUM(W74:W77)-SUM(Y74:Y77)-SUM(Z74:Z77)-SUM(AC74:AC77)-SUM(V74:V77))-AA74</f>
        <v>0</v>
      </c>
      <c r="AC74" s="37">
        <f>K74-T74</f>
        <v>0</v>
      </c>
      <c r="AD74" s="37">
        <f>+AM74+BA74</f>
        <v>0</v>
      </c>
      <c r="AE74" s="230" t="s">
        <v>466</v>
      </c>
      <c r="AF74" s="37">
        <v>0</v>
      </c>
      <c r="AG74" s="37"/>
      <c r="AH74" s="37"/>
      <c r="AI74" s="37"/>
      <c r="AJ74" s="37"/>
      <c r="AK74" s="37"/>
      <c r="AL74" s="37"/>
      <c r="AM74" s="37">
        <f t="shared" ref="AM74:AM76" si="171">SUM(AF74:AL74)+AT74+AV74+AX74</f>
        <v>0</v>
      </c>
      <c r="AN74" s="37"/>
      <c r="AO74" s="37"/>
      <c r="AP74" s="37"/>
      <c r="AQ74" s="37"/>
      <c r="AR74" s="37">
        <f>SUM(AN74:AQ74)</f>
        <v>0</v>
      </c>
      <c r="AS74" s="37"/>
      <c r="AT74" s="37"/>
      <c r="AU74" s="37"/>
      <c r="AV74" s="37"/>
      <c r="AW74" s="37"/>
      <c r="AX74" s="37"/>
      <c r="AY74" s="37"/>
      <c r="AZ74" s="37"/>
      <c r="BA74" s="37">
        <f>+AR74+AS74+AU74+AW74+AY74+AZ74</f>
        <v>0</v>
      </c>
      <c r="BB74" s="33">
        <v>0</v>
      </c>
      <c r="BC74" s="51"/>
      <c r="BD74" s="51"/>
      <c r="BE74" s="33"/>
      <c r="BF74" s="51"/>
    </row>
    <row r="75" spans="1:58" ht="12.95" customHeight="1">
      <c r="A75" s="40"/>
      <c r="B75" s="41"/>
      <c r="C75" s="415"/>
      <c r="D75" s="41"/>
      <c r="E75" s="42"/>
      <c r="F75" s="42"/>
      <c r="G75" s="500"/>
      <c r="H75" s="44"/>
      <c r="I75" s="45"/>
      <c r="J75" s="82"/>
      <c r="K75" s="82"/>
      <c r="L75" s="35"/>
      <c r="M75" s="35"/>
      <c r="N75" s="46"/>
      <c r="O75" s="47"/>
      <c r="P75" s="48"/>
      <c r="Q75" s="47"/>
      <c r="R75" s="501"/>
      <c r="S75" s="501"/>
      <c r="T75" s="37"/>
      <c r="U75" s="37"/>
      <c r="V75" s="37"/>
      <c r="W75" s="37">
        <v>0</v>
      </c>
      <c r="X75" s="38"/>
      <c r="Y75" s="211"/>
      <c r="Z75" s="37">
        <v>0</v>
      </c>
      <c r="AA75" s="37"/>
      <c r="AB75" s="37"/>
      <c r="AC75" s="37">
        <f>K75-T75</f>
        <v>0</v>
      </c>
      <c r="AD75" s="37">
        <f>+AM75+BA75</f>
        <v>0</v>
      </c>
      <c r="AE75" s="230" t="s">
        <v>432</v>
      </c>
      <c r="AF75" s="37"/>
      <c r="AG75" s="37">
        <v>0</v>
      </c>
      <c r="AH75" s="37"/>
      <c r="AI75" s="37"/>
      <c r="AJ75" s="37"/>
      <c r="AK75" s="37"/>
      <c r="AL75" s="37"/>
      <c r="AM75" s="37">
        <f t="shared" si="171"/>
        <v>0</v>
      </c>
      <c r="AN75" s="83"/>
      <c r="AO75" s="37"/>
      <c r="AP75" s="37"/>
      <c r="AQ75" s="37"/>
      <c r="AR75" s="37">
        <f t="shared" ref="AR75:AR76" si="172">SUM(AN75:AQ75)</f>
        <v>0</v>
      </c>
      <c r="AS75" s="37"/>
      <c r="AT75" s="37"/>
      <c r="AU75" s="37"/>
      <c r="AV75" s="37"/>
      <c r="AW75" s="37"/>
      <c r="AX75" s="37"/>
      <c r="AY75" s="37"/>
      <c r="AZ75" s="37"/>
      <c r="BA75" s="37">
        <f>+AR75+AS75+AU75+AW75+AY75+AZ75</f>
        <v>0</v>
      </c>
      <c r="BB75" s="50"/>
      <c r="BC75" s="51">
        <v>0</v>
      </c>
      <c r="BD75" s="51"/>
      <c r="BE75" s="50"/>
      <c r="BF75" s="51"/>
    </row>
    <row r="76" spans="1:58" ht="12.95" customHeight="1">
      <c r="A76" s="40"/>
      <c r="B76" s="41"/>
      <c r="C76" s="415"/>
      <c r="D76" s="41"/>
      <c r="E76" s="42"/>
      <c r="F76" s="42"/>
      <c r="G76" s="43"/>
      <c r="H76" s="44"/>
      <c r="I76" s="45"/>
      <c r="J76" s="82"/>
      <c r="K76" s="82"/>
      <c r="L76" s="35"/>
      <c r="M76" s="35"/>
      <c r="N76" s="46"/>
      <c r="O76" s="47"/>
      <c r="P76" s="48"/>
      <c r="Q76" s="47"/>
      <c r="R76" s="501"/>
      <c r="S76" s="501"/>
      <c r="T76" s="37"/>
      <c r="U76" s="37"/>
      <c r="V76" s="37"/>
      <c r="W76" s="37"/>
      <c r="X76" s="38"/>
      <c r="Y76" s="211"/>
      <c r="Z76" s="37"/>
      <c r="AA76" s="37"/>
      <c r="AB76" s="37"/>
      <c r="AC76" s="37"/>
      <c r="AD76" s="37">
        <f>+AM76+BA76</f>
        <v>0</v>
      </c>
      <c r="AE76" s="230" t="s">
        <v>507</v>
      </c>
      <c r="AF76" s="33"/>
      <c r="AG76" s="33"/>
      <c r="AH76" s="33">
        <v>0</v>
      </c>
      <c r="AI76" s="33"/>
      <c r="AJ76" s="37"/>
      <c r="AK76" s="37"/>
      <c r="AL76" s="37"/>
      <c r="AM76" s="37">
        <f t="shared" si="171"/>
        <v>0</v>
      </c>
      <c r="AN76" s="37"/>
      <c r="AO76" s="37"/>
      <c r="AP76" s="37"/>
      <c r="AQ76" s="37"/>
      <c r="AR76" s="37">
        <f t="shared" si="172"/>
        <v>0</v>
      </c>
      <c r="AS76" s="37"/>
      <c r="AT76" s="37"/>
      <c r="AU76" s="37"/>
      <c r="AV76" s="37"/>
      <c r="AW76" s="37"/>
      <c r="AX76" s="37"/>
      <c r="AY76" s="37"/>
      <c r="AZ76" s="37"/>
      <c r="BA76" s="37">
        <f>+AR76+AS76+AU76+AW76+AY76+AZ76</f>
        <v>0</v>
      </c>
      <c r="BB76" s="33"/>
      <c r="BC76" s="504"/>
      <c r="BD76" s="504"/>
      <c r="BE76" s="33"/>
      <c r="BF76" s="504"/>
    </row>
    <row r="77" spans="1:58" ht="12.95" customHeight="1">
      <c r="A77" s="40"/>
      <c r="B77" s="41"/>
      <c r="C77" s="415"/>
      <c r="D77" s="41"/>
      <c r="E77" s="42"/>
      <c r="F77" s="42"/>
      <c r="G77" s="43"/>
      <c r="H77" s="44"/>
      <c r="I77" s="45"/>
      <c r="J77" s="82"/>
      <c r="K77" s="82"/>
      <c r="L77" s="35"/>
      <c r="M77" s="35"/>
      <c r="N77" s="46"/>
      <c r="O77" s="47"/>
      <c r="P77" s="48"/>
      <c r="Q77" s="47"/>
      <c r="R77" s="501"/>
      <c r="S77" s="501"/>
      <c r="T77" s="37"/>
      <c r="U77" s="37"/>
      <c r="V77" s="37"/>
      <c r="W77" s="37"/>
      <c r="X77" s="38"/>
      <c r="Y77" s="211"/>
      <c r="Z77" s="37"/>
      <c r="AA77" s="37"/>
      <c r="AB77" s="37"/>
      <c r="AC77" s="37"/>
      <c r="AD77" s="37">
        <f>+AM77+BA77</f>
        <v>0</v>
      </c>
      <c r="AE77" s="230" t="s">
        <v>586</v>
      </c>
      <c r="AF77" s="33"/>
      <c r="AG77" s="33"/>
      <c r="AH77" s="33"/>
      <c r="AI77" s="33"/>
      <c r="AJ77" s="37"/>
      <c r="AK77" s="37"/>
      <c r="AL77" s="37"/>
      <c r="AM77" s="37">
        <f t="shared" ref="AM77" si="173">SUM(AF77:AL77)+AT77+AV77+AX77</f>
        <v>0</v>
      </c>
      <c r="AN77" s="37"/>
      <c r="AO77" s="37"/>
      <c r="AP77" s="37"/>
      <c r="AQ77" s="37"/>
      <c r="AR77" s="37">
        <f t="shared" ref="AR77" si="174">SUM(AN77:AQ77)</f>
        <v>0</v>
      </c>
      <c r="AS77" s="37"/>
      <c r="AT77" s="37"/>
      <c r="AU77" s="37">
        <f>1440-1440</f>
        <v>0</v>
      </c>
      <c r="AV77" s="37"/>
      <c r="AW77" s="37"/>
      <c r="AX77" s="37"/>
      <c r="AY77" s="37"/>
      <c r="AZ77" s="37"/>
      <c r="BA77" s="37">
        <f>+AR77+AS77+AU77+AW77+AY77+AZ77</f>
        <v>0</v>
      </c>
      <c r="BB77" s="33"/>
      <c r="BC77" s="504"/>
      <c r="BD77" s="504"/>
      <c r="BE77" s="33"/>
      <c r="BF77" s="504"/>
    </row>
    <row r="78" spans="1:58" ht="13.5" customHeight="1">
      <c r="A78" s="40"/>
      <c r="B78" s="41"/>
      <c r="C78" s="415"/>
      <c r="D78" s="41"/>
      <c r="E78" s="42"/>
      <c r="F78" s="42"/>
      <c r="G78" s="43"/>
      <c r="H78" s="44"/>
      <c r="I78" s="45"/>
      <c r="J78" s="82"/>
      <c r="K78" s="82"/>
      <c r="L78" s="35"/>
      <c r="M78" s="35"/>
      <c r="N78" s="46"/>
      <c r="O78" s="47"/>
      <c r="P78" s="48"/>
      <c r="Q78" s="47"/>
      <c r="R78" s="501"/>
      <c r="S78" s="501"/>
      <c r="T78" s="37"/>
      <c r="U78" s="37"/>
      <c r="V78" s="37"/>
      <c r="W78" s="37"/>
      <c r="X78" s="38"/>
      <c r="Y78" s="211"/>
      <c r="Z78" s="37"/>
      <c r="AA78" s="49"/>
      <c r="AB78" s="49"/>
      <c r="AC78" s="37"/>
      <c r="AD78" s="37"/>
      <c r="AE78" s="230"/>
      <c r="AF78" s="37"/>
      <c r="AG78" s="37"/>
      <c r="AH78" s="37"/>
      <c r="AI78" s="503"/>
      <c r="AJ78" s="37"/>
      <c r="AK78" s="37"/>
      <c r="AL78" s="37"/>
      <c r="AM78" s="37"/>
      <c r="AN78" s="37"/>
      <c r="AO78" s="37"/>
      <c r="AP78" s="37"/>
      <c r="AQ78" s="37"/>
      <c r="AR78" s="37"/>
      <c r="AS78" s="37"/>
      <c r="AT78" s="37"/>
      <c r="AU78" s="37"/>
      <c r="AV78" s="37"/>
      <c r="AW78" s="37"/>
      <c r="AX78" s="37"/>
      <c r="AY78" s="37"/>
      <c r="AZ78" s="37"/>
      <c r="BA78" s="37"/>
      <c r="BB78" s="33"/>
      <c r="BC78" s="504"/>
      <c r="BD78" s="51"/>
      <c r="BE78" s="51"/>
      <c r="BF78" s="51"/>
    </row>
    <row r="79" spans="1:58" ht="12.75" customHeight="1">
      <c r="A79" s="40">
        <v>45917</v>
      </c>
      <c r="B79" s="41" t="s">
        <v>424</v>
      </c>
      <c r="C79" s="415">
        <f t="shared" ref="C79" si="175">(M79*E79*O79*Q79)/100000000</f>
        <v>0</v>
      </c>
      <c r="D79" s="41" t="s">
        <v>304</v>
      </c>
      <c r="E79" s="42">
        <v>12</v>
      </c>
      <c r="F79" s="42">
        <v>1</v>
      </c>
      <c r="G79" s="500">
        <v>1230</v>
      </c>
      <c r="H79" s="44">
        <v>0.23</v>
      </c>
      <c r="I79" s="45">
        <v>0.88</v>
      </c>
      <c r="J79" s="82">
        <f t="shared" ref="J79" si="176">E79*G79*(1-H79)*1440/1000000*2.74</f>
        <v>44.842533120000006</v>
      </c>
      <c r="K79" s="82">
        <f t="shared" ref="K79" si="177">(IF(G79&lt;L79,L79,G79)*(1-IF(H79&lt;N79,H79,N79))*E79*O79*Q79)/100000000</f>
        <v>0</v>
      </c>
      <c r="L79" s="35">
        <v>1230</v>
      </c>
      <c r="M79" s="35">
        <v>947.09999999999991</v>
      </c>
      <c r="N79" s="46">
        <f t="shared" ref="N79" si="178">1-(M79/L79)</f>
        <v>0.23000000000000009</v>
      </c>
      <c r="O79" s="47">
        <f>+'Trim Rwd'!H54</f>
        <v>264</v>
      </c>
      <c r="P79" s="48">
        <f t="shared" ref="P79" si="179">O79*(Q79-R79-S79)</f>
        <v>0</v>
      </c>
      <c r="Q79" s="47">
        <f>1440-1440</f>
        <v>0</v>
      </c>
      <c r="R79" s="501">
        <f>1440-1440</f>
        <v>0</v>
      </c>
      <c r="S79" s="501">
        <v>0</v>
      </c>
      <c r="T79" s="37">
        <f t="shared" ref="T79" si="180">E79*M79*O79*Q79/100000000</f>
        <v>0</v>
      </c>
      <c r="U79" s="37">
        <f t="shared" ref="U79" si="181">E79*M79*O79*(Q79-R79-S79)/100000000</f>
        <v>0</v>
      </c>
      <c r="V79" s="37">
        <f t="shared" ref="V79" si="182">E79*G79*(1-N79)*O79/100*(R79+S79)/1000000</f>
        <v>0</v>
      </c>
      <c r="W79" s="37">
        <v>0</v>
      </c>
      <c r="X79" s="502" t="e">
        <f>SUM(W79:W82)/SUM(K79:K82)</f>
        <v>#DIV/0!</v>
      </c>
      <c r="Y79" s="211">
        <f>+SUM(RBP!AG3:AG4)</f>
        <v>0</v>
      </c>
      <c r="Z79" s="37">
        <f>+'17'!D34/1000</f>
        <v>0.98</v>
      </c>
      <c r="AA79" s="49">
        <f>SUM(U79:U82)-SUM(W79:W82)-SUM(Z79:Z82)-SUM(Y79:Y82)</f>
        <v>-0.98</v>
      </c>
      <c r="AB79" s="49">
        <f>(SUM(K79:K82)-SUM(W79:W82)-SUM(Y79:Y82)-SUM(Z79:Z82)-SUM(AC79:AC82)-SUM(V79:V82))-AA79</f>
        <v>0</v>
      </c>
      <c r="AC79" s="37">
        <f>K79-T79</f>
        <v>0</v>
      </c>
      <c r="AD79" s="37">
        <f>+AM79+BA79</f>
        <v>0</v>
      </c>
      <c r="AE79" s="230" t="s">
        <v>466</v>
      </c>
      <c r="AF79" s="37">
        <v>0</v>
      </c>
      <c r="AG79" s="37"/>
      <c r="AH79" s="37"/>
      <c r="AI79" s="37"/>
      <c r="AJ79" s="37"/>
      <c r="AK79" s="37"/>
      <c r="AL79" s="37"/>
      <c r="AM79" s="37">
        <f t="shared" ref="AM79:AM81" si="183">SUM(AF79:AL79)+AT79+AV79+AX79</f>
        <v>0</v>
      </c>
      <c r="AN79" s="37"/>
      <c r="AO79" s="37"/>
      <c r="AP79" s="37"/>
      <c r="AQ79" s="37"/>
      <c r="AR79" s="37">
        <f>SUM(AN79:AQ79)</f>
        <v>0</v>
      </c>
      <c r="AS79" s="37"/>
      <c r="AT79" s="37"/>
      <c r="AU79" s="37"/>
      <c r="AV79" s="37"/>
      <c r="AW79" s="37"/>
      <c r="AX79" s="37"/>
      <c r="AY79" s="37"/>
      <c r="AZ79" s="37"/>
      <c r="BA79" s="37">
        <f>+AR79+AS79+AU79+AW79+AY79+AZ79</f>
        <v>0</v>
      </c>
      <c r="BB79" s="33">
        <v>0</v>
      </c>
      <c r="BC79" s="51"/>
      <c r="BD79" s="51"/>
      <c r="BE79" s="33"/>
      <c r="BF79" s="51"/>
    </row>
    <row r="80" spans="1:58" ht="12.95" customHeight="1">
      <c r="A80" s="40"/>
      <c r="B80" s="41"/>
      <c r="C80" s="415"/>
      <c r="D80" s="41"/>
      <c r="E80" s="42"/>
      <c r="F80" s="42"/>
      <c r="G80" s="500"/>
      <c r="H80" s="44"/>
      <c r="I80" s="45"/>
      <c r="J80" s="82"/>
      <c r="K80" s="82"/>
      <c r="L80" s="35"/>
      <c r="M80" s="35"/>
      <c r="N80" s="46"/>
      <c r="O80" s="47"/>
      <c r="P80" s="48"/>
      <c r="Q80" s="47"/>
      <c r="R80" s="501"/>
      <c r="S80" s="501"/>
      <c r="T80" s="37"/>
      <c r="U80" s="37"/>
      <c r="V80" s="37"/>
      <c r="W80" s="37">
        <v>0</v>
      </c>
      <c r="X80" s="38"/>
      <c r="Y80" s="211"/>
      <c r="Z80" s="37">
        <v>0</v>
      </c>
      <c r="AA80" s="37"/>
      <c r="AB80" s="37"/>
      <c r="AC80" s="37">
        <f>K80-T80</f>
        <v>0</v>
      </c>
      <c r="AD80" s="37">
        <f>+AM80+BA80</f>
        <v>0</v>
      </c>
      <c r="AE80" s="230" t="s">
        <v>432</v>
      </c>
      <c r="AF80" s="37"/>
      <c r="AG80" s="37">
        <v>0</v>
      </c>
      <c r="AH80" s="37"/>
      <c r="AI80" s="37"/>
      <c r="AJ80" s="37"/>
      <c r="AK80" s="37"/>
      <c r="AL80" s="37"/>
      <c r="AM80" s="37">
        <f t="shared" si="183"/>
        <v>0</v>
      </c>
      <c r="AN80" s="83"/>
      <c r="AO80" s="37"/>
      <c r="AP80" s="37"/>
      <c r="AQ80" s="37"/>
      <c r="AR80" s="37">
        <f t="shared" ref="AR80:AR81" si="184">SUM(AN80:AQ80)</f>
        <v>0</v>
      </c>
      <c r="AS80" s="37"/>
      <c r="AT80" s="37"/>
      <c r="AU80" s="37"/>
      <c r="AV80" s="37"/>
      <c r="AW80" s="37"/>
      <c r="AX80" s="37"/>
      <c r="AY80" s="37"/>
      <c r="AZ80" s="37"/>
      <c r="BA80" s="37">
        <f>+AR80+AS80+AU80+AW80+AY80+AZ80</f>
        <v>0</v>
      </c>
      <c r="BB80" s="50"/>
      <c r="BC80" s="51">
        <v>0</v>
      </c>
      <c r="BD80" s="51"/>
      <c r="BE80" s="50"/>
      <c r="BF80" s="51"/>
    </row>
    <row r="81" spans="1:58" ht="12.95" customHeight="1">
      <c r="A81" s="40"/>
      <c r="B81" s="41"/>
      <c r="C81" s="415"/>
      <c r="D81" s="41"/>
      <c r="E81" s="42"/>
      <c r="F81" s="42"/>
      <c r="G81" s="43"/>
      <c r="H81" s="44"/>
      <c r="I81" s="45"/>
      <c r="J81" s="82"/>
      <c r="K81" s="82"/>
      <c r="L81" s="35"/>
      <c r="M81" s="35"/>
      <c r="N81" s="46"/>
      <c r="O81" s="47"/>
      <c r="P81" s="48"/>
      <c r="Q81" s="47"/>
      <c r="R81" s="501"/>
      <c r="S81" s="501"/>
      <c r="T81" s="37"/>
      <c r="U81" s="37"/>
      <c r="V81" s="37"/>
      <c r="W81" s="37"/>
      <c r="X81" s="38"/>
      <c r="Y81" s="211"/>
      <c r="Z81" s="37"/>
      <c r="AA81" s="37"/>
      <c r="AB81" s="37"/>
      <c r="AC81" s="37"/>
      <c r="AD81" s="37">
        <f>+AM81+BA81</f>
        <v>0</v>
      </c>
      <c r="AE81" s="230" t="s">
        <v>507</v>
      </c>
      <c r="AF81" s="33"/>
      <c r="AG81" s="33"/>
      <c r="AH81" s="33">
        <v>0</v>
      </c>
      <c r="AI81" s="33"/>
      <c r="AJ81" s="37"/>
      <c r="AK81" s="37"/>
      <c r="AL81" s="37"/>
      <c r="AM81" s="37">
        <f t="shared" si="183"/>
        <v>0</v>
      </c>
      <c r="AN81" s="37"/>
      <c r="AO81" s="37"/>
      <c r="AP81" s="37"/>
      <c r="AQ81" s="37"/>
      <c r="AR81" s="37">
        <f t="shared" si="184"/>
        <v>0</v>
      </c>
      <c r="AS81" s="37"/>
      <c r="AT81" s="37"/>
      <c r="AU81" s="37"/>
      <c r="AV81" s="37"/>
      <c r="AW81" s="37"/>
      <c r="AX81" s="37"/>
      <c r="AY81" s="37"/>
      <c r="AZ81" s="37"/>
      <c r="BA81" s="37">
        <f>+AR81+AS81+AU81+AW81+AY81+AZ81</f>
        <v>0</v>
      </c>
      <c r="BB81" s="33"/>
      <c r="BC81" s="504"/>
      <c r="BD81" s="504"/>
      <c r="BE81" s="33"/>
      <c r="BF81" s="504"/>
    </row>
    <row r="82" spans="1:58" ht="12.95" customHeight="1">
      <c r="A82" s="40"/>
      <c r="B82" s="41"/>
      <c r="C82" s="415"/>
      <c r="D82" s="41"/>
      <c r="E82" s="42"/>
      <c r="F82" s="42"/>
      <c r="G82" s="43"/>
      <c r="H82" s="44"/>
      <c r="I82" s="45"/>
      <c r="J82" s="82"/>
      <c r="K82" s="82"/>
      <c r="L82" s="35"/>
      <c r="M82" s="35"/>
      <c r="N82" s="46"/>
      <c r="O82" s="47"/>
      <c r="P82" s="48"/>
      <c r="Q82" s="47"/>
      <c r="R82" s="501"/>
      <c r="S82" s="501"/>
      <c r="T82" s="37"/>
      <c r="U82" s="37"/>
      <c r="V82" s="37"/>
      <c r="W82" s="37"/>
      <c r="X82" s="38"/>
      <c r="Y82" s="211"/>
      <c r="Z82" s="37"/>
      <c r="AA82" s="37"/>
      <c r="AB82" s="37"/>
      <c r="AC82" s="37"/>
      <c r="AD82" s="37">
        <f>+AM82+BA82</f>
        <v>0</v>
      </c>
      <c r="AE82" s="230" t="s">
        <v>586</v>
      </c>
      <c r="AF82" s="33"/>
      <c r="AG82" s="33"/>
      <c r="AH82" s="33"/>
      <c r="AI82" s="33"/>
      <c r="AJ82" s="37"/>
      <c r="AK82" s="37"/>
      <c r="AL82" s="37"/>
      <c r="AM82" s="37">
        <f t="shared" ref="AM82" si="185">SUM(AF82:AL82)+AT82+AV82+AX82</f>
        <v>0</v>
      </c>
      <c r="AN82" s="37"/>
      <c r="AO82" s="37"/>
      <c r="AP82" s="37"/>
      <c r="AQ82" s="37"/>
      <c r="AR82" s="37">
        <f t="shared" ref="AR82" si="186">SUM(AN82:AQ82)</f>
        <v>0</v>
      </c>
      <c r="AS82" s="37"/>
      <c r="AT82" s="37"/>
      <c r="AU82" s="37">
        <f>1440-1440</f>
        <v>0</v>
      </c>
      <c r="AV82" s="37"/>
      <c r="AW82" s="37"/>
      <c r="AX82" s="37"/>
      <c r="AY82" s="37"/>
      <c r="AZ82" s="37"/>
      <c r="BA82" s="37">
        <f>+AR82+AS82+AU82+AW82+AY82+AZ82</f>
        <v>0</v>
      </c>
      <c r="BB82" s="33"/>
      <c r="BC82" s="504"/>
      <c r="BD82" s="504"/>
      <c r="BE82" s="33"/>
      <c r="BF82" s="504"/>
    </row>
    <row r="83" spans="1:58" ht="13.5" customHeight="1">
      <c r="A83" s="40"/>
      <c r="B83" s="41"/>
      <c r="C83" s="415"/>
      <c r="D83" s="41"/>
      <c r="E83" s="42"/>
      <c r="F83" s="42"/>
      <c r="G83" s="500"/>
      <c r="H83" s="44"/>
      <c r="I83" s="45"/>
      <c r="J83" s="82"/>
      <c r="K83" s="82"/>
      <c r="L83" s="35"/>
      <c r="M83" s="35"/>
      <c r="N83" s="46"/>
      <c r="O83" s="47"/>
      <c r="P83" s="48"/>
      <c r="Q83" s="47"/>
      <c r="R83" s="501"/>
      <c r="S83" s="501"/>
      <c r="T83" s="37"/>
      <c r="U83" s="37"/>
      <c r="V83" s="37"/>
      <c r="W83" s="37"/>
      <c r="X83" s="502"/>
      <c r="Y83" s="211"/>
      <c r="Z83" s="37"/>
      <c r="AA83" s="49"/>
      <c r="AB83" s="49"/>
      <c r="AC83" s="37"/>
      <c r="AD83" s="37"/>
      <c r="AE83" s="230"/>
      <c r="AF83" s="37"/>
      <c r="AG83" s="37"/>
      <c r="AH83" s="37"/>
      <c r="AI83" s="503"/>
      <c r="AJ83" s="37"/>
      <c r="AK83" s="37"/>
      <c r="AL83" s="37"/>
      <c r="AM83" s="37"/>
      <c r="AN83" s="37"/>
      <c r="AO83" s="37"/>
      <c r="AP83" s="37"/>
      <c r="AQ83" s="37"/>
      <c r="AR83" s="37"/>
      <c r="AS83" s="37"/>
      <c r="AT83" s="37"/>
      <c r="AU83" s="37"/>
      <c r="AV83" s="37"/>
      <c r="AW83" s="37"/>
      <c r="AX83" s="37"/>
      <c r="AY83" s="37"/>
      <c r="AZ83" s="37"/>
      <c r="BA83" s="37"/>
      <c r="BB83" s="33"/>
      <c r="BC83" s="51"/>
      <c r="BD83" s="51"/>
      <c r="BE83" s="51"/>
      <c r="BF83" s="51"/>
    </row>
    <row r="84" spans="1:58" ht="12.75" customHeight="1">
      <c r="A84" s="40">
        <v>45918</v>
      </c>
      <c r="B84" s="41" t="s">
        <v>424</v>
      </c>
      <c r="C84" s="415">
        <f t="shared" ref="C84" si="187">(M84*E84*O84*Q84)/100000000</f>
        <v>0</v>
      </c>
      <c r="D84" s="41" t="s">
        <v>304</v>
      </c>
      <c r="E84" s="42">
        <v>12</v>
      </c>
      <c r="F84" s="42">
        <v>1</v>
      </c>
      <c r="G84" s="500">
        <v>1230</v>
      </c>
      <c r="H84" s="44">
        <v>0.23</v>
      </c>
      <c r="I84" s="45">
        <v>0.88</v>
      </c>
      <c r="J84" s="82">
        <f t="shared" ref="J84" si="188">E84*G84*(1-H84)*1440/1000000*2.74</f>
        <v>44.842533120000006</v>
      </c>
      <c r="K84" s="82">
        <f t="shared" ref="K84" si="189">(IF(G84&lt;L84,L84,G84)*(1-IF(H84&lt;N84,H84,N84))*E84*O84*Q84)/100000000</f>
        <v>0</v>
      </c>
      <c r="L84" s="35">
        <v>1230</v>
      </c>
      <c r="M84" s="35">
        <v>947.09999999999991</v>
      </c>
      <c r="N84" s="46">
        <f t="shared" ref="N84" si="190">1-(M84/L84)</f>
        <v>0.23000000000000009</v>
      </c>
      <c r="O84" s="47">
        <f>+'Trim Rwd'!H56</f>
        <v>264</v>
      </c>
      <c r="P84" s="48">
        <f t="shared" ref="P84" si="191">O84*(Q84-R84-S84)</f>
        <v>0</v>
      </c>
      <c r="Q84" s="47">
        <f>1440-1440</f>
        <v>0</v>
      </c>
      <c r="R84" s="501">
        <f>1440-1440</f>
        <v>0</v>
      </c>
      <c r="S84" s="501">
        <v>0</v>
      </c>
      <c r="T84" s="37">
        <f t="shared" ref="T84" si="192">E84*M84*O84*Q84/100000000</f>
        <v>0</v>
      </c>
      <c r="U84" s="37">
        <f t="shared" ref="U84" si="193">E84*M84*O84*(Q84-R84-S84)/100000000</f>
        <v>0</v>
      </c>
      <c r="V84" s="37">
        <f t="shared" ref="V84" si="194">E84*G84*(1-N84)*O84/100*(R84+S84)/1000000</f>
        <v>0</v>
      </c>
      <c r="W84" s="37">
        <v>0</v>
      </c>
      <c r="X84" s="502" t="e">
        <f>SUM(W84:W87)/SUM(K84:K87)</f>
        <v>#DIV/0!</v>
      </c>
      <c r="Y84" s="211">
        <f>+SUM(RBP!AG8:AG9)</f>
        <v>0</v>
      </c>
      <c r="Z84" s="37">
        <f>+'18'!D7/1000</f>
        <v>0.2</v>
      </c>
      <c r="AA84" s="49">
        <f>SUM(U84:U87)-SUM(W84:W87)-SUM(Z84:Z87)-SUM(Y84:Y87)</f>
        <v>-0.2</v>
      </c>
      <c r="AB84" s="49">
        <f>(SUM(K84:K87)-SUM(W84:W87)-SUM(Y84:Y87)-SUM(Z84:Z87)-SUM(AC84:AC87)-SUM(V84:V87))-AA84</f>
        <v>0</v>
      </c>
      <c r="AC84" s="37">
        <f>K84-T84</f>
        <v>0</v>
      </c>
      <c r="AD84" s="37">
        <f>+AM84+BA84</f>
        <v>0</v>
      </c>
      <c r="AE84" s="230" t="s">
        <v>466</v>
      </c>
      <c r="AF84" s="37">
        <v>0</v>
      </c>
      <c r="AG84" s="37"/>
      <c r="AH84" s="37"/>
      <c r="AI84" s="37"/>
      <c r="AJ84" s="37"/>
      <c r="AK84" s="37"/>
      <c r="AL84" s="37"/>
      <c r="AM84" s="37">
        <f t="shared" ref="AM84:AM86" si="195">SUM(AF84:AL84)+AT84+AV84+AX84</f>
        <v>0</v>
      </c>
      <c r="AN84" s="37"/>
      <c r="AO84" s="37"/>
      <c r="AP84" s="37"/>
      <c r="AQ84" s="37"/>
      <c r="AR84" s="37">
        <f>SUM(AN84:AQ84)</f>
        <v>0</v>
      </c>
      <c r="AS84" s="37"/>
      <c r="AT84" s="37"/>
      <c r="AU84" s="37"/>
      <c r="AV84" s="37"/>
      <c r="AW84" s="37"/>
      <c r="AX84" s="37"/>
      <c r="AY84" s="37"/>
      <c r="AZ84" s="37"/>
      <c r="BA84" s="37">
        <f>+AR84+AS84+AU84+AW84+AY84+AZ84</f>
        <v>0</v>
      </c>
      <c r="BB84" s="33">
        <v>0</v>
      </c>
      <c r="BC84" s="51"/>
      <c r="BD84" s="51"/>
      <c r="BE84" s="33"/>
      <c r="BF84" s="51"/>
    </row>
    <row r="85" spans="1:58" ht="12.95" customHeight="1">
      <c r="A85" s="40"/>
      <c r="B85" s="41"/>
      <c r="C85" s="415"/>
      <c r="D85" s="41"/>
      <c r="E85" s="42"/>
      <c r="F85" s="42"/>
      <c r="G85" s="500"/>
      <c r="H85" s="44"/>
      <c r="I85" s="45"/>
      <c r="J85" s="82"/>
      <c r="K85" s="82"/>
      <c r="L85" s="35"/>
      <c r="M85" s="35"/>
      <c r="N85" s="46"/>
      <c r="O85" s="47"/>
      <c r="P85" s="48"/>
      <c r="Q85" s="47"/>
      <c r="R85" s="501"/>
      <c r="S85" s="501"/>
      <c r="T85" s="37"/>
      <c r="U85" s="37"/>
      <c r="V85" s="37"/>
      <c r="W85" s="37">
        <v>0</v>
      </c>
      <c r="X85" s="38"/>
      <c r="Y85" s="211"/>
      <c r="Z85" s="37">
        <v>0</v>
      </c>
      <c r="AA85" s="37"/>
      <c r="AB85" s="37"/>
      <c r="AC85" s="37">
        <f>K85-T85</f>
        <v>0</v>
      </c>
      <c r="AD85" s="37">
        <f>+AM85+BA85</f>
        <v>0</v>
      </c>
      <c r="AE85" s="230" t="s">
        <v>432</v>
      </c>
      <c r="AF85" s="37"/>
      <c r="AG85" s="37">
        <v>0</v>
      </c>
      <c r="AH85" s="37"/>
      <c r="AI85" s="37"/>
      <c r="AJ85" s="37"/>
      <c r="AK85" s="37"/>
      <c r="AL85" s="37"/>
      <c r="AM85" s="37">
        <f t="shared" si="195"/>
        <v>0</v>
      </c>
      <c r="AN85" s="83"/>
      <c r="AO85" s="37"/>
      <c r="AP85" s="37"/>
      <c r="AQ85" s="37"/>
      <c r="AR85" s="37">
        <f t="shared" ref="AR85:AR86" si="196">SUM(AN85:AQ85)</f>
        <v>0</v>
      </c>
      <c r="AS85" s="37"/>
      <c r="AT85" s="37"/>
      <c r="AU85" s="37"/>
      <c r="AV85" s="37"/>
      <c r="AW85" s="37"/>
      <c r="AX85" s="37"/>
      <c r="AY85" s="37"/>
      <c r="AZ85" s="37"/>
      <c r="BA85" s="37">
        <f>+AR85+AS85+AU85+AW85+AY85+AZ85</f>
        <v>0</v>
      </c>
      <c r="BB85" s="50"/>
      <c r="BC85" s="51">
        <v>0</v>
      </c>
      <c r="BD85" s="51"/>
      <c r="BE85" s="50"/>
      <c r="BF85" s="51"/>
    </row>
    <row r="86" spans="1:58" ht="12.95" customHeight="1">
      <c r="A86" s="40"/>
      <c r="B86" s="41"/>
      <c r="C86" s="415"/>
      <c r="D86" s="41"/>
      <c r="E86" s="42"/>
      <c r="F86" s="42"/>
      <c r="G86" s="43"/>
      <c r="H86" s="44"/>
      <c r="I86" s="45"/>
      <c r="J86" s="82"/>
      <c r="K86" s="82"/>
      <c r="L86" s="35"/>
      <c r="M86" s="35"/>
      <c r="N86" s="46"/>
      <c r="O86" s="47"/>
      <c r="P86" s="48"/>
      <c r="Q86" s="47"/>
      <c r="R86" s="501"/>
      <c r="S86" s="501"/>
      <c r="T86" s="37"/>
      <c r="U86" s="37"/>
      <c r="V86" s="37"/>
      <c r="W86" s="37"/>
      <c r="X86" s="38"/>
      <c r="Y86" s="211"/>
      <c r="Z86" s="37"/>
      <c r="AA86" s="37"/>
      <c r="AB86" s="37"/>
      <c r="AC86" s="37"/>
      <c r="AD86" s="37">
        <f>+AM86+BA86</f>
        <v>0</v>
      </c>
      <c r="AE86" s="230" t="s">
        <v>507</v>
      </c>
      <c r="AF86" s="33"/>
      <c r="AG86" s="33"/>
      <c r="AH86" s="33">
        <v>0</v>
      </c>
      <c r="AI86" s="33"/>
      <c r="AJ86" s="37"/>
      <c r="AK86" s="37"/>
      <c r="AL86" s="37"/>
      <c r="AM86" s="37">
        <f t="shared" si="195"/>
        <v>0</v>
      </c>
      <c r="AN86" s="37"/>
      <c r="AO86" s="37"/>
      <c r="AP86" s="37"/>
      <c r="AQ86" s="37"/>
      <c r="AR86" s="37">
        <f t="shared" si="196"/>
        <v>0</v>
      </c>
      <c r="AS86" s="37"/>
      <c r="AT86" s="37"/>
      <c r="AU86" s="37"/>
      <c r="AV86" s="37"/>
      <c r="AW86" s="37"/>
      <c r="AX86" s="37"/>
      <c r="AY86" s="37"/>
      <c r="AZ86" s="37"/>
      <c r="BA86" s="37">
        <f>+AR86+AS86+AU86+AW86+AY86+AZ86</f>
        <v>0</v>
      </c>
      <c r="BB86" s="33"/>
      <c r="BC86" s="504"/>
      <c r="BD86" s="504"/>
      <c r="BE86" s="33"/>
      <c r="BF86" s="504"/>
    </row>
    <row r="87" spans="1:58" ht="12.95" customHeight="1">
      <c r="A87" s="40"/>
      <c r="B87" s="41"/>
      <c r="C87" s="415"/>
      <c r="D87" s="41"/>
      <c r="E87" s="42"/>
      <c r="F87" s="42"/>
      <c r="G87" s="43"/>
      <c r="H87" s="44"/>
      <c r="I87" s="45"/>
      <c r="J87" s="82"/>
      <c r="K87" s="82"/>
      <c r="L87" s="35"/>
      <c r="M87" s="35"/>
      <c r="N87" s="46"/>
      <c r="O87" s="47"/>
      <c r="P87" s="48"/>
      <c r="Q87" s="47"/>
      <c r="R87" s="501"/>
      <c r="S87" s="501"/>
      <c r="T87" s="37"/>
      <c r="U87" s="37"/>
      <c r="V87" s="37"/>
      <c r="W87" s="37"/>
      <c r="X87" s="38"/>
      <c r="Y87" s="211"/>
      <c r="Z87" s="37"/>
      <c r="AA87" s="37"/>
      <c r="AB87" s="37"/>
      <c r="AC87" s="37"/>
      <c r="AD87" s="37">
        <f>+AM87+BA87</f>
        <v>0</v>
      </c>
      <c r="AE87" s="230" t="s">
        <v>586</v>
      </c>
      <c r="AF87" s="33"/>
      <c r="AG87" s="33"/>
      <c r="AH87" s="33"/>
      <c r="AI87" s="33"/>
      <c r="AJ87" s="37"/>
      <c r="AK87" s="37"/>
      <c r="AL87" s="37"/>
      <c r="AM87" s="37">
        <f t="shared" ref="AM87" si="197">SUM(AF87:AL87)+AT87+AV87+AX87</f>
        <v>0</v>
      </c>
      <c r="AN87" s="37"/>
      <c r="AO87" s="37"/>
      <c r="AP87" s="37"/>
      <c r="AQ87" s="37"/>
      <c r="AR87" s="37">
        <f t="shared" ref="AR87" si="198">SUM(AN87:AQ87)</f>
        <v>0</v>
      </c>
      <c r="AS87" s="37"/>
      <c r="AT87" s="37"/>
      <c r="AU87" s="37">
        <f>1440-1440</f>
        <v>0</v>
      </c>
      <c r="AV87" s="37"/>
      <c r="AW87" s="37"/>
      <c r="AX87" s="37"/>
      <c r="AY87" s="37"/>
      <c r="AZ87" s="37"/>
      <c r="BA87" s="37">
        <f>+AR87+AS87+AU87+AW87+AY87+AZ87</f>
        <v>0</v>
      </c>
      <c r="BB87" s="33"/>
      <c r="BC87" s="504"/>
      <c r="BD87" s="504"/>
      <c r="BE87" s="33"/>
      <c r="BF87" s="504"/>
    </row>
    <row r="88" spans="1:58" ht="13.5" customHeight="1">
      <c r="A88" s="40"/>
      <c r="B88" s="41"/>
      <c r="C88" s="415"/>
      <c r="D88" s="41"/>
      <c r="E88" s="42"/>
      <c r="F88" s="42"/>
      <c r="G88" s="500"/>
      <c r="H88" s="44"/>
      <c r="I88" s="45"/>
      <c r="J88" s="82"/>
      <c r="K88" s="82"/>
      <c r="L88" s="35"/>
      <c r="M88" s="35"/>
      <c r="N88" s="46"/>
      <c r="O88" s="47"/>
      <c r="P88" s="48"/>
      <c r="Q88" s="47"/>
      <c r="R88" s="501"/>
      <c r="S88" s="501"/>
      <c r="T88" s="37"/>
      <c r="U88" s="37"/>
      <c r="V88" s="37"/>
      <c r="W88" s="37"/>
      <c r="X88" s="502"/>
      <c r="Y88" s="211"/>
      <c r="Z88" s="37"/>
      <c r="AA88" s="49"/>
      <c r="AB88" s="49"/>
      <c r="AC88" s="37"/>
      <c r="AD88" s="37"/>
      <c r="AE88" s="230"/>
      <c r="AF88" s="37"/>
      <c r="AG88" s="37"/>
      <c r="AH88" s="37"/>
      <c r="AI88" s="503"/>
      <c r="AJ88" s="37"/>
      <c r="AK88" s="37"/>
      <c r="AL88" s="37"/>
      <c r="AM88" s="37"/>
      <c r="AN88" s="37"/>
      <c r="AO88" s="37"/>
      <c r="AP88" s="37"/>
      <c r="AQ88" s="37"/>
      <c r="AR88" s="37"/>
      <c r="AS88" s="37"/>
      <c r="AT88" s="37"/>
      <c r="AU88" s="37"/>
      <c r="AV88" s="37"/>
      <c r="AW88" s="37"/>
      <c r="AX88" s="37"/>
      <c r="AY88" s="37"/>
      <c r="AZ88" s="37"/>
      <c r="BA88" s="37"/>
      <c r="BB88" s="33"/>
      <c r="BC88" s="51"/>
      <c r="BD88" s="51"/>
      <c r="BE88" s="51"/>
      <c r="BF88" s="51"/>
    </row>
    <row r="89" spans="1:58" ht="12.75" customHeight="1">
      <c r="A89" s="40">
        <v>45919</v>
      </c>
      <c r="B89" s="41" t="s">
        <v>424</v>
      </c>
      <c r="C89" s="415">
        <f t="shared" ref="C89" si="199">(M89*E89*O89*Q89)/100000000</f>
        <v>0</v>
      </c>
      <c r="D89" s="41" t="s">
        <v>304</v>
      </c>
      <c r="E89" s="42">
        <v>12</v>
      </c>
      <c r="F89" s="42">
        <v>1</v>
      </c>
      <c r="G89" s="500">
        <v>1230</v>
      </c>
      <c r="H89" s="44">
        <v>0.23</v>
      </c>
      <c r="I89" s="45">
        <v>0.88</v>
      </c>
      <c r="J89" s="82">
        <f t="shared" ref="J89" si="200">E89*G89*(1-H89)*1440/1000000*2.74</f>
        <v>44.842533120000006</v>
      </c>
      <c r="K89" s="82">
        <f t="shared" ref="K89" si="201">(IF(G89&lt;L89,L89,G89)*(1-IF(H89&lt;N89,H89,N89))*E89*O89*Q89)/100000000</f>
        <v>0</v>
      </c>
      <c r="L89" s="35">
        <v>1230</v>
      </c>
      <c r="M89" s="35">
        <v>947.09999999999991</v>
      </c>
      <c r="N89" s="46">
        <f t="shared" ref="N89" si="202">1-(M89/L89)</f>
        <v>0.23000000000000009</v>
      </c>
      <c r="O89" s="47">
        <f>+'Trim Rwd'!H58</f>
        <v>264</v>
      </c>
      <c r="P89" s="48">
        <f t="shared" ref="P89" si="203">O89*(Q89-R89-S89)</f>
        <v>0</v>
      </c>
      <c r="Q89" s="47">
        <f>1440-1440</f>
        <v>0</v>
      </c>
      <c r="R89" s="501">
        <f>1440-1440</f>
        <v>0</v>
      </c>
      <c r="S89" s="501">
        <v>0</v>
      </c>
      <c r="T89" s="37">
        <f t="shared" ref="T89" si="204">E89*M89*O89*Q89/100000000</f>
        <v>0</v>
      </c>
      <c r="U89" s="37">
        <f t="shared" ref="U89" si="205">E89*M89*O89*(Q89-R89-S89)/100000000</f>
        <v>0</v>
      </c>
      <c r="V89" s="37">
        <f t="shared" ref="V89" si="206">E89*G89*(1-N89)*O89/100*(R89+S89)/1000000</f>
        <v>0</v>
      </c>
      <c r="W89" s="37">
        <v>0</v>
      </c>
      <c r="X89" s="502" t="e">
        <f>SUM(W89:W92)/SUM(K89:K92)</f>
        <v>#DIV/0!</v>
      </c>
      <c r="Y89" s="211">
        <v>0</v>
      </c>
      <c r="Z89" s="37">
        <v>0</v>
      </c>
      <c r="AA89" s="49">
        <f>SUM(U89:U92)-SUM(W89:W92)-SUM(Z89:Z92)-SUM(Y89:Y92)</f>
        <v>0</v>
      </c>
      <c r="AB89" s="49">
        <f>(SUM(K89:K92)-SUM(W89:W92)-SUM(Y89:Y92)-SUM(Z89:Z92)-SUM(AC89:AC92)-SUM(V89:V92))-AA89</f>
        <v>0</v>
      </c>
      <c r="AC89" s="37">
        <f>K89-T89</f>
        <v>0</v>
      </c>
      <c r="AD89" s="37">
        <f>+AM89+BA89</f>
        <v>0</v>
      </c>
      <c r="AE89" s="230" t="s">
        <v>466</v>
      </c>
      <c r="AF89" s="37">
        <v>0</v>
      </c>
      <c r="AG89" s="37"/>
      <c r="AH89" s="37"/>
      <c r="AI89" s="37"/>
      <c r="AJ89" s="37"/>
      <c r="AK89" s="37"/>
      <c r="AL89" s="37"/>
      <c r="AM89" s="37">
        <f t="shared" ref="AM89:AM91" si="207">SUM(AF89:AL89)+AT89+AV89+AX89</f>
        <v>0</v>
      </c>
      <c r="AN89" s="37"/>
      <c r="AO89" s="37"/>
      <c r="AP89" s="37"/>
      <c r="AQ89" s="37"/>
      <c r="AR89" s="37">
        <f>SUM(AN89:AQ89)</f>
        <v>0</v>
      </c>
      <c r="AS89" s="37"/>
      <c r="AT89" s="37"/>
      <c r="AU89" s="37"/>
      <c r="AV89" s="37"/>
      <c r="AW89" s="37"/>
      <c r="AX89" s="37"/>
      <c r="AY89" s="37"/>
      <c r="AZ89" s="37"/>
      <c r="BA89" s="37">
        <f>+AR89+AS89+AU89+AW89+AY89+AZ89</f>
        <v>0</v>
      </c>
      <c r="BB89" s="33">
        <v>0</v>
      </c>
      <c r="BC89" s="51"/>
      <c r="BD89" s="51"/>
      <c r="BE89" s="33"/>
      <c r="BF89" s="51"/>
    </row>
    <row r="90" spans="1:58" ht="12.95" customHeight="1">
      <c r="A90" s="40"/>
      <c r="B90" s="41"/>
      <c r="C90" s="415"/>
      <c r="D90" s="41"/>
      <c r="E90" s="42"/>
      <c r="F90" s="42"/>
      <c r="G90" s="500"/>
      <c r="H90" s="44"/>
      <c r="I90" s="45"/>
      <c r="J90" s="82"/>
      <c r="K90" s="82"/>
      <c r="L90" s="35"/>
      <c r="M90" s="35"/>
      <c r="N90" s="46"/>
      <c r="O90" s="47"/>
      <c r="P90" s="48"/>
      <c r="Q90" s="47"/>
      <c r="R90" s="501"/>
      <c r="S90" s="501"/>
      <c r="T90" s="37"/>
      <c r="U90" s="37"/>
      <c r="V90" s="37"/>
      <c r="W90" s="37">
        <v>0</v>
      </c>
      <c r="X90" s="38"/>
      <c r="Y90" s="211"/>
      <c r="Z90" s="37">
        <v>0</v>
      </c>
      <c r="AA90" s="37"/>
      <c r="AB90" s="37"/>
      <c r="AC90" s="37">
        <f>K90-T90</f>
        <v>0</v>
      </c>
      <c r="AD90" s="37">
        <f>+AM90+BA90</f>
        <v>0</v>
      </c>
      <c r="AE90" s="230" t="s">
        <v>432</v>
      </c>
      <c r="AF90" s="37"/>
      <c r="AG90" s="37">
        <v>0</v>
      </c>
      <c r="AH90" s="37"/>
      <c r="AI90" s="37"/>
      <c r="AJ90" s="37"/>
      <c r="AK90" s="37"/>
      <c r="AL90" s="37"/>
      <c r="AM90" s="37">
        <f t="shared" si="207"/>
        <v>0</v>
      </c>
      <c r="AN90" s="83"/>
      <c r="AO90" s="37"/>
      <c r="AP90" s="37"/>
      <c r="AQ90" s="37"/>
      <c r="AR90" s="37">
        <f t="shared" ref="AR90:AR91" si="208">SUM(AN90:AQ90)</f>
        <v>0</v>
      </c>
      <c r="AS90" s="37"/>
      <c r="AT90" s="37"/>
      <c r="AU90" s="37"/>
      <c r="AV90" s="37"/>
      <c r="AW90" s="37"/>
      <c r="AX90" s="37"/>
      <c r="AY90" s="37"/>
      <c r="AZ90" s="37"/>
      <c r="BA90" s="37">
        <f>+AR90+AS90+AU90+AW90+AY90+AZ90</f>
        <v>0</v>
      </c>
      <c r="BB90" s="50"/>
      <c r="BC90" s="51">
        <v>0</v>
      </c>
      <c r="BD90" s="51"/>
      <c r="BE90" s="50"/>
      <c r="BF90" s="51"/>
    </row>
    <row r="91" spans="1:58" ht="12.95" customHeight="1">
      <c r="A91" s="40"/>
      <c r="B91" s="41"/>
      <c r="C91" s="415"/>
      <c r="D91" s="41"/>
      <c r="E91" s="42"/>
      <c r="F91" s="42"/>
      <c r="G91" s="43"/>
      <c r="H91" s="44"/>
      <c r="I91" s="45"/>
      <c r="J91" s="82"/>
      <c r="K91" s="82"/>
      <c r="L91" s="35"/>
      <c r="M91" s="35"/>
      <c r="N91" s="46"/>
      <c r="O91" s="47"/>
      <c r="P91" s="48"/>
      <c r="Q91" s="47"/>
      <c r="R91" s="501"/>
      <c r="S91" s="501"/>
      <c r="T91" s="37"/>
      <c r="U91" s="37"/>
      <c r="V91" s="37"/>
      <c r="W91" s="37"/>
      <c r="X91" s="38"/>
      <c r="Y91" s="211"/>
      <c r="Z91" s="37"/>
      <c r="AA91" s="37"/>
      <c r="AB91" s="37"/>
      <c r="AC91" s="37"/>
      <c r="AD91" s="37">
        <f>+AM91+BA91</f>
        <v>0</v>
      </c>
      <c r="AE91" s="230" t="s">
        <v>507</v>
      </c>
      <c r="AF91" s="33"/>
      <c r="AG91" s="33"/>
      <c r="AH91" s="33">
        <v>0</v>
      </c>
      <c r="AI91" s="33"/>
      <c r="AJ91" s="37"/>
      <c r="AK91" s="37"/>
      <c r="AL91" s="37"/>
      <c r="AM91" s="37">
        <f t="shared" si="207"/>
        <v>0</v>
      </c>
      <c r="AN91" s="37"/>
      <c r="AO91" s="37"/>
      <c r="AP91" s="37"/>
      <c r="AQ91" s="37"/>
      <c r="AR91" s="37">
        <f t="shared" si="208"/>
        <v>0</v>
      </c>
      <c r="AS91" s="37"/>
      <c r="AT91" s="37"/>
      <c r="AU91" s="37"/>
      <c r="AV91" s="37"/>
      <c r="AW91" s="37"/>
      <c r="AX91" s="37"/>
      <c r="AY91" s="37"/>
      <c r="AZ91" s="37"/>
      <c r="BA91" s="37">
        <f>+AR91+AS91+AU91+AW91+AY91+AZ91</f>
        <v>0</v>
      </c>
      <c r="BB91" s="33"/>
      <c r="BC91" s="504"/>
      <c r="BD91" s="504"/>
      <c r="BE91" s="33"/>
      <c r="BF91" s="504"/>
    </row>
    <row r="92" spans="1:58" ht="12.95" customHeight="1">
      <c r="A92" s="40"/>
      <c r="B92" s="41"/>
      <c r="C92" s="415"/>
      <c r="D92" s="41"/>
      <c r="E92" s="42"/>
      <c r="F92" s="42"/>
      <c r="G92" s="43"/>
      <c r="H92" s="44"/>
      <c r="I92" s="45"/>
      <c r="J92" s="82"/>
      <c r="K92" s="82"/>
      <c r="L92" s="35"/>
      <c r="M92" s="35"/>
      <c r="N92" s="46"/>
      <c r="O92" s="47"/>
      <c r="P92" s="48"/>
      <c r="Q92" s="47"/>
      <c r="R92" s="501"/>
      <c r="S92" s="501"/>
      <c r="T92" s="37"/>
      <c r="U92" s="37"/>
      <c r="V92" s="37"/>
      <c r="W92" s="37"/>
      <c r="X92" s="38"/>
      <c r="Y92" s="211"/>
      <c r="Z92" s="37"/>
      <c r="AA92" s="37"/>
      <c r="AB92" s="37"/>
      <c r="AC92" s="37"/>
      <c r="AD92" s="37">
        <f>+AM92+BA92</f>
        <v>0</v>
      </c>
      <c r="AE92" s="230" t="s">
        <v>586</v>
      </c>
      <c r="AF92" s="33"/>
      <c r="AG92" s="33"/>
      <c r="AH92" s="33"/>
      <c r="AI92" s="33"/>
      <c r="AJ92" s="37"/>
      <c r="AK92" s="37"/>
      <c r="AL92" s="37"/>
      <c r="AM92" s="37">
        <f t="shared" ref="AM92" si="209">SUM(AF92:AL92)+AT92+AV92+AX92</f>
        <v>0</v>
      </c>
      <c r="AN92" s="37"/>
      <c r="AO92" s="37"/>
      <c r="AP92" s="37"/>
      <c r="AQ92" s="37"/>
      <c r="AR92" s="37">
        <f t="shared" ref="AR92" si="210">SUM(AN92:AQ92)</f>
        <v>0</v>
      </c>
      <c r="AS92" s="37"/>
      <c r="AT92" s="37"/>
      <c r="AU92" s="37">
        <f>1440-1440</f>
        <v>0</v>
      </c>
      <c r="AV92" s="37"/>
      <c r="AW92" s="37"/>
      <c r="AX92" s="37"/>
      <c r="AY92" s="37"/>
      <c r="AZ92" s="37"/>
      <c r="BA92" s="37">
        <f>+AR92+AS92+AU92+AW92+AY92+AZ92</f>
        <v>0</v>
      </c>
      <c r="BB92" s="33"/>
      <c r="BC92" s="504"/>
      <c r="BD92" s="504"/>
      <c r="BE92" s="33"/>
      <c r="BF92" s="504"/>
    </row>
    <row r="93" spans="1:58" ht="13.5" customHeight="1">
      <c r="A93" s="40"/>
      <c r="B93" s="41"/>
      <c r="C93" s="415"/>
      <c r="D93" s="41"/>
      <c r="E93" s="42"/>
      <c r="F93" s="42"/>
      <c r="G93" s="43"/>
      <c r="H93" s="44"/>
      <c r="I93" s="45"/>
      <c r="J93" s="82"/>
      <c r="K93" s="82"/>
      <c r="L93" s="35"/>
      <c r="M93" s="35"/>
      <c r="N93" s="46"/>
      <c r="O93" s="47"/>
      <c r="P93" s="48"/>
      <c r="Q93" s="47"/>
      <c r="R93" s="501"/>
      <c r="S93" s="501"/>
      <c r="T93" s="37"/>
      <c r="U93" s="37"/>
      <c r="V93" s="37"/>
      <c r="W93" s="37"/>
      <c r="X93" s="38"/>
      <c r="Y93" s="211"/>
      <c r="Z93" s="37"/>
      <c r="AA93" s="49"/>
      <c r="AB93" s="49"/>
      <c r="AC93" s="37"/>
      <c r="AD93" s="37"/>
      <c r="AE93" s="230"/>
      <c r="AF93" s="37"/>
      <c r="AG93" s="37"/>
      <c r="AH93" s="37"/>
      <c r="AI93" s="503"/>
      <c r="AJ93" s="37"/>
      <c r="AK93" s="37"/>
      <c r="AL93" s="37"/>
      <c r="AM93" s="37"/>
      <c r="AN93" s="37"/>
      <c r="AO93" s="37"/>
      <c r="AP93" s="37"/>
      <c r="AQ93" s="37"/>
      <c r="AR93" s="37"/>
      <c r="AS93" s="37"/>
      <c r="AT93" s="37"/>
      <c r="AU93" s="37"/>
      <c r="AV93" s="37"/>
      <c r="AW93" s="37"/>
      <c r="AX93" s="37"/>
      <c r="AY93" s="37"/>
      <c r="AZ93" s="37"/>
      <c r="BA93" s="37"/>
      <c r="BB93" s="33"/>
      <c r="BC93" s="504"/>
      <c r="BD93" s="51"/>
      <c r="BE93" s="51"/>
      <c r="BF93" s="51"/>
    </row>
    <row r="94" spans="1:58" ht="12.75" customHeight="1">
      <c r="A94" s="40">
        <v>45920</v>
      </c>
      <c r="B94" s="41" t="s">
        <v>424</v>
      </c>
      <c r="C94" s="415">
        <f t="shared" ref="C94" si="211">(M94*E94*O94*Q94)/100000000</f>
        <v>0</v>
      </c>
      <c r="D94" s="41" t="s">
        <v>304</v>
      </c>
      <c r="E94" s="42">
        <v>12</v>
      </c>
      <c r="F94" s="42">
        <v>1</v>
      </c>
      <c r="G94" s="500">
        <v>1230</v>
      </c>
      <c r="H94" s="44">
        <v>0.23</v>
      </c>
      <c r="I94" s="45">
        <v>0.88</v>
      </c>
      <c r="J94" s="82">
        <f t="shared" ref="J94" si="212">E94*G94*(1-H94)*1440/1000000*2.74</f>
        <v>44.842533120000006</v>
      </c>
      <c r="K94" s="82">
        <f t="shared" ref="K94" si="213">(IF(G94&lt;L94,L94,G94)*(1-IF(H94&lt;N94,H94,N94))*E94*O94*Q94)/100000000</f>
        <v>0</v>
      </c>
      <c r="L94" s="35">
        <v>1230</v>
      </c>
      <c r="M94" s="35">
        <v>947.09999999999991</v>
      </c>
      <c r="N94" s="46">
        <f t="shared" ref="N94" si="214">1-(M94/L94)</f>
        <v>0.23000000000000009</v>
      </c>
      <c r="O94" s="47">
        <f>+'Trim Rwd'!H60</f>
        <v>264</v>
      </c>
      <c r="P94" s="48">
        <f t="shared" ref="P94" si="215">O94*(Q94-R94-S94)</f>
        <v>0</v>
      </c>
      <c r="Q94" s="47">
        <f>1440-1440</f>
        <v>0</v>
      </c>
      <c r="R94" s="501">
        <f>1440-1440</f>
        <v>0</v>
      </c>
      <c r="S94" s="501">
        <v>0</v>
      </c>
      <c r="T94" s="37">
        <f t="shared" ref="T94" si="216">E94*M94*O94*Q94/100000000</f>
        <v>0</v>
      </c>
      <c r="U94" s="37">
        <f t="shared" ref="U94" si="217">E94*M94*O94*(Q94-R94-S94)/100000000</f>
        <v>0</v>
      </c>
      <c r="V94" s="37">
        <f t="shared" ref="V94" si="218">E94*G94*(1-N94)*O94/100*(R94+S94)/1000000</f>
        <v>0</v>
      </c>
      <c r="W94" s="37">
        <v>0</v>
      </c>
      <c r="X94" s="502" t="e">
        <f>SUM(W94:W97)/SUM(K94:K97)</f>
        <v>#DIV/0!</v>
      </c>
      <c r="Y94" s="211">
        <f>+SUM(RBP!AG18:AG19)</f>
        <v>0</v>
      </c>
      <c r="Z94" s="37">
        <v>0</v>
      </c>
      <c r="AA94" s="49">
        <f>SUM(U94:U97)-SUM(W94:W97)-SUM(Z94:Z97)-SUM(Y94:Y97)</f>
        <v>0</v>
      </c>
      <c r="AB94" s="49">
        <f>(SUM(K94:K97)-SUM(W94:W97)-SUM(Y94:Y97)-SUM(Z94:Z97)-SUM(AC94:AC97)-SUM(V94:V97))-AA94</f>
        <v>0</v>
      </c>
      <c r="AC94" s="37">
        <f>K94-T94</f>
        <v>0</v>
      </c>
      <c r="AD94" s="37">
        <f>+AM94+BA94</f>
        <v>0</v>
      </c>
      <c r="AE94" s="230" t="s">
        <v>466</v>
      </c>
      <c r="AF94" s="37">
        <v>0</v>
      </c>
      <c r="AG94" s="37"/>
      <c r="AH94" s="37"/>
      <c r="AI94" s="37"/>
      <c r="AJ94" s="37"/>
      <c r="AK94" s="37"/>
      <c r="AL94" s="37"/>
      <c r="AM94" s="37">
        <f t="shared" ref="AM94:AM96" si="219">SUM(AF94:AL94)+AT94+AV94+AX94</f>
        <v>0</v>
      </c>
      <c r="AN94" s="37"/>
      <c r="AO94" s="37"/>
      <c r="AP94" s="37"/>
      <c r="AQ94" s="37"/>
      <c r="AR94" s="37">
        <f>SUM(AN94:AQ94)</f>
        <v>0</v>
      </c>
      <c r="AS94" s="37"/>
      <c r="AT94" s="37"/>
      <c r="AU94" s="37"/>
      <c r="AV94" s="37"/>
      <c r="AW94" s="37"/>
      <c r="AX94" s="37"/>
      <c r="AY94" s="37"/>
      <c r="AZ94" s="37"/>
      <c r="BA94" s="37">
        <f>+AR94+AS94+AU94+AW94+AY94+AZ94</f>
        <v>0</v>
      </c>
      <c r="BB94" s="33">
        <v>0</v>
      </c>
      <c r="BC94" s="51"/>
      <c r="BD94" s="51"/>
      <c r="BE94" s="33"/>
      <c r="BF94" s="51"/>
    </row>
    <row r="95" spans="1:58" ht="12.95" customHeight="1">
      <c r="A95" s="40"/>
      <c r="B95" s="41"/>
      <c r="C95" s="415"/>
      <c r="D95" s="41"/>
      <c r="E95" s="42"/>
      <c r="F95" s="42"/>
      <c r="G95" s="500"/>
      <c r="H95" s="44"/>
      <c r="I95" s="45"/>
      <c r="J95" s="82"/>
      <c r="K95" s="82"/>
      <c r="L95" s="35"/>
      <c r="M95" s="35"/>
      <c r="N95" s="46"/>
      <c r="O95" s="47"/>
      <c r="P95" s="48"/>
      <c r="Q95" s="47"/>
      <c r="R95" s="501"/>
      <c r="S95" s="501"/>
      <c r="T95" s="37"/>
      <c r="U95" s="37"/>
      <c r="V95" s="37"/>
      <c r="W95" s="37">
        <v>0</v>
      </c>
      <c r="X95" s="38"/>
      <c r="Y95" s="211"/>
      <c r="Z95" s="37">
        <v>0</v>
      </c>
      <c r="AA95" s="37"/>
      <c r="AB95" s="37"/>
      <c r="AC95" s="37">
        <f>K95-T95</f>
        <v>0</v>
      </c>
      <c r="AD95" s="37">
        <f>+AM95+BA95</f>
        <v>0</v>
      </c>
      <c r="AE95" s="230" t="s">
        <v>432</v>
      </c>
      <c r="AF95" s="37"/>
      <c r="AG95" s="37">
        <v>0</v>
      </c>
      <c r="AH95" s="37"/>
      <c r="AI95" s="37"/>
      <c r="AJ95" s="37"/>
      <c r="AK95" s="37"/>
      <c r="AL95" s="37"/>
      <c r="AM95" s="37">
        <f t="shared" si="219"/>
        <v>0</v>
      </c>
      <c r="AN95" s="83"/>
      <c r="AO95" s="37"/>
      <c r="AP95" s="37"/>
      <c r="AQ95" s="37"/>
      <c r="AR95" s="37">
        <f t="shared" ref="AR95:AR96" si="220">SUM(AN95:AQ95)</f>
        <v>0</v>
      </c>
      <c r="AS95" s="37"/>
      <c r="AT95" s="37"/>
      <c r="AU95" s="37"/>
      <c r="AV95" s="37"/>
      <c r="AW95" s="37"/>
      <c r="AX95" s="37"/>
      <c r="AY95" s="37"/>
      <c r="AZ95" s="37"/>
      <c r="BA95" s="37">
        <f>+AR95+AS95+AU95+AW95+AY95+AZ95</f>
        <v>0</v>
      </c>
      <c r="BB95" s="50"/>
      <c r="BC95" s="51">
        <v>0</v>
      </c>
      <c r="BD95" s="51"/>
      <c r="BE95" s="50"/>
      <c r="BF95" s="51"/>
    </row>
    <row r="96" spans="1:58" ht="12.95" customHeight="1">
      <c r="A96" s="40"/>
      <c r="B96" s="41"/>
      <c r="C96" s="415"/>
      <c r="D96" s="41"/>
      <c r="E96" s="42"/>
      <c r="F96" s="42"/>
      <c r="G96" s="43"/>
      <c r="H96" s="44"/>
      <c r="I96" s="45"/>
      <c r="J96" s="82"/>
      <c r="K96" s="82"/>
      <c r="L96" s="35"/>
      <c r="M96" s="35"/>
      <c r="N96" s="46"/>
      <c r="O96" s="47"/>
      <c r="P96" s="48"/>
      <c r="Q96" s="47"/>
      <c r="R96" s="501"/>
      <c r="S96" s="501"/>
      <c r="T96" s="37"/>
      <c r="U96" s="37"/>
      <c r="V96" s="37"/>
      <c r="W96" s="37"/>
      <c r="X96" s="38"/>
      <c r="Y96" s="211"/>
      <c r="Z96" s="37"/>
      <c r="AA96" s="37"/>
      <c r="AB96" s="37"/>
      <c r="AC96" s="37"/>
      <c r="AD96" s="37">
        <f>+AM96+BA96</f>
        <v>0</v>
      </c>
      <c r="AE96" s="230" t="s">
        <v>507</v>
      </c>
      <c r="AF96" s="33"/>
      <c r="AG96" s="33"/>
      <c r="AH96" s="33">
        <v>0</v>
      </c>
      <c r="AI96" s="33"/>
      <c r="AJ96" s="37"/>
      <c r="AK96" s="37"/>
      <c r="AL96" s="37"/>
      <c r="AM96" s="37">
        <f t="shared" si="219"/>
        <v>0</v>
      </c>
      <c r="AN96" s="37"/>
      <c r="AO96" s="37"/>
      <c r="AP96" s="37"/>
      <c r="AQ96" s="37"/>
      <c r="AR96" s="37">
        <f t="shared" si="220"/>
        <v>0</v>
      </c>
      <c r="AS96" s="37"/>
      <c r="AT96" s="37"/>
      <c r="AU96" s="37"/>
      <c r="AV96" s="37"/>
      <c r="AW96" s="37"/>
      <c r="AX96" s="37"/>
      <c r="AY96" s="37"/>
      <c r="AZ96" s="37"/>
      <c r="BA96" s="37">
        <f>+AR96+AS96+AU96+AW96+AY96+AZ96</f>
        <v>0</v>
      </c>
      <c r="BB96" s="33"/>
      <c r="BC96" s="504"/>
      <c r="BD96" s="504"/>
      <c r="BE96" s="33"/>
      <c r="BF96" s="504"/>
    </row>
    <row r="97" spans="1:58" ht="12.95" customHeight="1">
      <c r="A97" s="40"/>
      <c r="B97" s="41"/>
      <c r="C97" s="415"/>
      <c r="D97" s="41"/>
      <c r="E97" s="42"/>
      <c r="F97" s="42"/>
      <c r="G97" s="43"/>
      <c r="H97" s="44"/>
      <c r="I97" s="45"/>
      <c r="J97" s="82"/>
      <c r="K97" s="82"/>
      <c r="L97" s="35"/>
      <c r="M97" s="35"/>
      <c r="N97" s="46"/>
      <c r="O97" s="47"/>
      <c r="P97" s="48"/>
      <c r="Q97" s="47"/>
      <c r="R97" s="501"/>
      <c r="S97" s="501"/>
      <c r="T97" s="37"/>
      <c r="U97" s="37"/>
      <c r="V97" s="37"/>
      <c r="W97" s="37"/>
      <c r="X97" s="38"/>
      <c r="Y97" s="211"/>
      <c r="Z97" s="37"/>
      <c r="AA97" s="37"/>
      <c r="AB97" s="37"/>
      <c r="AC97" s="37"/>
      <c r="AD97" s="37">
        <f>+AM97+BA97</f>
        <v>0</v>
      </c>
      <c r="AE97" s="230" t="s">
        <v>586</v>
      </c>
      <c r="AF97" s="33"/>
      <c r="AG97" s="33"/>
      <c r="AH97" s="33"/>
      <c r="AI97" s="33"/>
      <c r="AJ97" s="37"/>
      <c r="AK97" s="37"/>
      <c r="AL97" s="37"/>
      <c r="AM97" s="37">
        <f t="shared" ref="AM97" si="221">SUM(AF97:AL97)+AT97+AV97+AX97</f>
        <v>0</v>
      </c>
      <c r="AN97" s="37"/>
      <c r="AO97" s="37"/>
      <c r="AP97" s="37"/>
      <c r="AQ97" s="37"/>
      <c r="AR97" s="37">
        <f t="shared" ref="AR97" si="222">SUM(AN97:AQ97)</f>
        <v>0</v>
      </c>
      <c r="AS97" s="37"/>
      <c r="AT97" s="37"/>
      <c r="AU97" s="37">
        <f>1440-1440</f>
        <v>0</v>
      </c>
      <c r="AV97" s="37"/>
      <c r="AW97" s="37"/>
      <c r="AX97" s="37"/>
      <c r="AY97" s="37"/>
      <c r="AZ97" s="37"/>
      <c r="BA97" s="37">
        <f>+AR97+AS97+AU97+AW97+AY97+AZ97</f>
        <v>0</v>
      </c>
      <c r="BB97" s="33"/>
      <c r="BC97" s="504"/>
      <c r="BD97" s="504"/>
      <c r="BE97" s="33"/>
      <c r="BF97" s="504"/>
    </row>
    <row r="98" spans="1:58" ht="13.5" customHeight="1">
      <c r="A98" s="40"/>
      <c r="B98" s="41"/>
      <c r="C98" s="415"/>
      <c r="D98" s="41"/>
      <c r="E98" s="42"/>
      <c r="F98" s="42"/>
      <c r="G98" s="500"/>
      <c r="H98" s="44"/>
      <c r="I98" s="45"/>
      <c r="J98" s="82"/>
      <c r="K98" s="82"/>
      <c r="L98" s="35"/>
      <c r="M98" s="35"/>
      <c r="N98" s="46"/>
      <c r="O98" s="47"/>
      <c r="P98" s="48"/>
      <c r="Q98" s="47"/>
      <c r="R98" s="501"/>
      <c r="S98" s="501"/>
      <c r="T98" s="37"/>
      <c r="U98" s="37"/>
      <c r="V98" s="37"/>
      <c r="W98" s="37"/>
      <c r="X98" s="502"/>
      <c r="Y98" s="211"/>
      <c r="Z98" s="37"/>
      <c r="AA98" s="49"/>
      <c r="AB98" s="49"/>
      <c r="AC98" s="37"/>
      <c r="AD98" s="37"/>
      <c r="AE98" s="230"/>
      <c r="AF98" s="37"/>
      <c r="AG98" s="37"/>
      <c r="AH98" s="37"/>
      <c r="AI98" s="503"/>
      <c r="AJ98" s="37"/>
      <c r="AK98" s="37"/>
      <c r="AL98" s="37"/>
      <c r="AM98" s="37"/>
      <c r="AN98" s="37"/>
      <c r="AO98" s="37"/>
      <c r="AP98" s="37"/>
      <c r="AQ98" s="37"/>
      <c r="AR98" s="37"/>
      <c r="AS98" s="37"/>
      <c r="AT98" s="37"/>
      <c r="AU98" s="37"/>
      <c r="AV98" s="37"/>
      <c r="AW98" s="37"/>
      <c r="AX98" s="37"/>
      <c r="AY98" s="37"/>
      <c r="AZ98" s="37"/>
      <c r="BA98" s="37"/>
      <c r="BB98" s="33"/>
      <c r="BC98" s="51"/>
      <c r="BD98" s="51"/>
      <c r="BE98" s="51"/>
      <c r="BF98" s="51"/>
    </row>
    <row r="99" spans="1:58" ht="12.75" customHeight="1">
      <c r="A99" s="40">
        <v>45921</v>
      </c>
      <c r="B99" s="41" t="s">
        <v>424</v>
      </c>
      <c r="C99" s="415">
        <f t="shared" ref="C99" si="223">(M99*E99*O99*Q99)/100000000</f>
        <v>0</v>
      </c>
      <c r="D99" s="41" t="s">
        <v>304</v>
      </c>
      <c r="E99" s="42">
        <v>12</v>
      </c>
      <c r="F99" s="42">
        <v>1</v>
      </c>
      <c r="G99" s="500">
        <v>1230</v>
      </c>
      <c r="H99" s="44">
        <v>0.23</v>
      </c>
      <c r="I99" s="45">
        <v>0.88</v>
      </c>
      <c r="J99" s="82">
        <f t="shared" ref="J99" si="224">E99*G99*(1-H99)*1440/1000000*2.74</f>
        <v>44.842533120000006</v>
      </c>
      <c r="K99" s="82">
        <f t="shared" ref="K99" si="225">(IF(G99&lt;L99,L99,G99)*(1-IF(H99&lt;N99,H99,N99))*E99*O99*Q99)/100000000</f>
        <v>0</v>
      </c>
      <c r="L99" s="35">
        <v>1230</v>
      </c>
      <c r="M99" s="35">
        <v>947.09999999999991</v>
      </c>
      <c r="N99" s="46">
        <f t="shared" ref="N99" si="226">1-(M99/L99)</f>
        <v>0.23000000000000009</v>
      </c>
      <c r="O99" s="47">
        <f>+'Trim Rwd'!H62</f>
        <v>264</v>
      </c>
      <c r="P99" s="48">
        <f t="shared" ref="P99" si="227">O99*(Q99-R99-S99)</f>
        <v>0</v>
      </c>
      <c r="Q99" s="47">
        <f>1440-1440</f>
        <v>0</v>
      </c>
      <c r="R99" s="501">
        <f>1440-1440</f>
        <v>0</v>
      </c>
      <c r="S99" s="501">
        <v>0</v>
      </c>
      <c r="T99" s="37">
        <f t="shared" ref="T99" si="228">E99*M99*O99*Q99/100000000</f>
        <v>0</v>
      </c>
      <c r="U99" s="37">
        <f t="shared" ref="U99" si="229">E99*M99*O99*(Q99-R99-S99)/100000000</f>
        <v>0</v>
      </c>
      <c r="V99" s="37">
        <f t="shared" ref="V99" si="230">E99*G99*(1-N99)*O99/100*(R99+S99)/1000000</f>
        <v>0</v>
      </c>
      <c r="W99" s="37">
        <v>0</v>
      </c>
      <c r="X99" s="502" t="e">
        <f>SUM(W99:W102)/SUM(K99:K102)</f>
        <v>#DIV/0!</v>
      </c>
      <c r="Y99" s="211">
        <f>+SUM(RBP!AG23:AG24)</f>
        <v>0</v>
      </c>
      <c r="Z99" s="37">
        <v>0</v>
      </c>
      <c r="AA99" s="49">
        <f>SUM(U99:U102)-SUM(W99:W102)-SUM(Z99:Z102)-SUM(Y99:Y102)</f>
        <v>0</v>
      </c>
      <c r="AB99" s="49">
        <f>(SUM(K99:K102)-SUM(W99:W102)-SUM(Y99:Y102)-SUM(Z99:Z102)-SUM(AC99:AC102)-SUM(V99:V102))-AA99</f>
        <v>0</v>
      </c>
      <c r="AC99" s="37">
        <f>K99-T99</f>
        <v>0</v>
      </c>
      <c r="AD99" s="37">
        <f>+AM99+BA99</f>
        <v>0</v>
      </c>
      <c r="AE99" s="230" t="s">
        <v>466</v>
      </c>
      <c r="AF99" s="37">
        <v>0</v>
      </c>
      <c r="AG99" s="37"/>
      <c r="AH99" s="37"/>
      <c r="AI99" s="37"/>
      <c r="AJ99" s="37"/>
      <c r="AK99" s="37"/>
      <c r="AL99" s="37"/>
      <c r="AM99" s="37">
        <f t="shared" ref="AM99:AM101" si="231">SUM(AF99:AL99)+AT99+AV99+AX99</f>
        <v>0</v>
      </c>
      <c r="AN99" s="37"/>
      <c r="AO99" s="37"/>
      <c r="AP99" s="37"/>
      <c r="AQ99" s="37"/>
      <c r="AR99" s="37">
        <f>SUM(AN99:AQ99)</f>
        <v>0</v>
      </c>
      <c r="AS99" s="37"/>
      <c r="AT99" s="37"/>
      <c r="AU99" s="37"/>
      <c r="AV99" s="37"/>
      <c r="AW99" s="37"/>
      <c r="AX99" s="37"/>
      <c r="AY99" s="37"/>
      <c r="AZ99" s="37"/>
      <c r="BA99" s="37">
        <f>+AR99+AS99+AU99+AW99+AY99+AZ99</f>
        <v>0</v>
      </c>
      <c r="BB99" s="33">
        <v>0</v>
      </c>
      <c r="BC99" s="51"/>
      <c r="BD99" s="51"/>
      <c r="BE99" s="33"/>
      <c r="BF99" s="51"/>
    </row>
    <row r="100" spans="1:58" ht="12.95" customHeight="1">
      <c r="A100" s="40"/>
      <c r="B100" s="41"/>
      <c r="C100" s="415"/>
      <c r="D100" s="41"/>
      <c r="E100" s="42"/>
      <c r="F100" s="42"/>
      <c r="G100" s="500"/>
      <c r="H100" s="44"/>
      <c r="I100" s="45"/>
      <c r="J100" s="82"/>
      <c r="K100" s="82"/>
      <c r="L100" s="35"/>
      <c r="M100" s="35"/>
      <c r="N100" s="46"/>
      <c r="O100" s="47"/>
      <c r="P100" s="48"/>
      <c r="Q100" s="47"/>
      <c r="R100" s="501"/>
      <c r="S100" s="501"/>
      <c r="T100" s="37"/>
      <c r="U100" s="37"/>
      <c r="V100" s="37"/>
      <c r="W100" s="37">
        <v>0</v>
      </c>
      <c r="X100" s="38"/>
      <c r="Y100" s="211"/>
      <c r="Z100" s="37">
        <v>0</v>
      </c>
      <c r="AA100" s="37"/>
      <c r="AB100" s="37"/>
      <c r="AC100" s="37">
        <f>K100-T100</f>
        <v>0</v>
      </c>
      <c r="AD100" s="37">
        <f>+AM100+BA100</f>
        <v>0</v>
      </c>
      <c r="AE100" s="230" t="s">
        <v>432</v>
      </c>
      <c r="AF100" s="37"/>
      <c r="AG100" s="37">
        <v>0</v>
      </c>
      <c r="AH100" s="37"/>
      <c r="AI100" s="37"/>
      <c r="AJ100" s="37"/>
      <c r="AK100" s="37"/>
      <c r="AL100" s="37"/>
      <c r="AM100" s="37">
        <f t="shared" si="231"/>
        <v>0</v>
      </c>
      <c r="AN100" s="83"/>
      <c r="AO100" s="37"/>
      <c r="AP100" s="37"/>
      <c r="AQ100" s="37"/>
      <c r="AR100" s="37">
        <f t="shared" ref="AR100:AR101" si="232">SUM(AN100:AQ100)</f>
        <v>0</v>
      </c>
      <c r="AS100" s="37"/>
      <c r="AT100" s="37"/>
      <c r="AU100" s="37"/>
      <c r="AV100" s="37"/>
      <c r="AW100" s="37"/>
      <c r="AX100" s="37"/>
      <c r="AY100" s="37"/>
      <c r="AZ100" s="37"/>
      <c r="BA100" s="37">
        <f>+AR100+AS100+AU100+AW100+AY100+AZ100</f>
        <v>0</v>
      </c>
      <c r="BB100" s="50"/>
      <c r="BC100" s="51">
        <v>0</v>
      </c>
      <c r="BD100" s="51"/>
      <c r="BE100" s="50"/>
      <c r="BF100" s="51"/>
    </row>
    <row r="101" spans="1:58" ht="12.95" customHeight="1">
      <c r="A101" s="40"/>
      <c r="B101" s="41"/>
      <c r="C101" s="415"/>
      <c r="D101" s="41"/>
      <c r="E101" s="42"/>
      <c r="F101" s="42"/>
      <c r="G101" s="43"/>
      <c r="H101" s="44"/>
      <c r="I101" s="45"/>
      <c r="J101" s="82"/>
      <c r="K101" s="82"/>
      <c r="L101" s="35"/>
      <c r="M101" s="35"/>
      <c r="N101" s="46"/>
      <c r="O101" s="47"/>
      <c r="P101" s="48"/>
      <c r="Q101" s="47"/>
      <c r="R101" s="501"/>
      <c r="S101" s="501"/>
      <c r="T101" s="37"/>
      <c r="U101" s="37"/>
      <c r="V101" s="37"/>
      <c r="W101" s="37"/>
      <c r="X101" s="38"/>
      <c r="Y101" s="211"/>
      <c r="Z101" s="37"/>
      <c r="AA101" s="37"/>
      <c r="AB101" s="37"/>
      <c r="AC101" s="37"/>
      <c r="AD101" s="37">
        <f>+AM101+BA101</f>
        <v>0</v>
      </c>
      <c r="AE101" s="230" t="s">
        <v>507</v>
      </c>
      <c r="AF101" s="33"/>
      <c r="AG101" s="33"/>
      <c r="AH101" s="33">
        <v>0</v>
      </c>
      <c r="AI101" s="33"/>
      <c r="AJ101" s="37"/>
      <c r="AK101" s="37"/>
      <c r="AL101" s="37"/>
      <c r="AM101" s="37">
        <f t="shared" si="231"/>
        <v>0</v>
      </c>
      <c r="AN101" s="37"/>
      <c r="AO101" s="37"/>
      <c r="AP101" s="37"/>
      <c r="AQ101" s="37"/>
      <c r="AR101" s="37">
        <f t="shared" si="232"/>
        <v>0</v>
      </c>
      <c r="AS101" s="37"/>
      <c r="AT101" s="37"/>
      <c r="AU101" s="37"/>
      <c r="AV101" s="37"/>
      <c r="AW101" s="37"/>
      <c r="AX101" s="37"/>
      <c r="AY101" s="37"/>
      <c r="AZ101" s="37"/>
      <c r="BA101" s="37">
        <f>+AR101+AS101+AU101+AW101+AY101+AZ101</f>
        <v>0</v>
      </c>
      <c r="BB101" s="33"/>
      <c r="BC101" s="504"/>
      <c r="BD101" s="504"/>
      <c r="BE101" s="33"/>
      <c r="BF101" s="504"/>
    </row>
    <row r="102" spans="1:58" ht="12.95" customHeight="1">
      <c r="A102" s="40"/>
      <c r="B102" s="41"/>
      <c r="C102" s="415"/>
      <c r="D102" s="41"/>
      <c r="E102" s="42"/>
      <c r="F102" s="42"/>
      <c r="G102" s="43"/>
      <c r="H102" s="44"/>
      <c r="I102" s="45"/>
      <c r="J102" s="82"/>
      <c r="K102" s="82"/>
      <c r="L102" s="35"/>
      <c r="M102" s="35"/>
      <c r="N102" s="46"/>
      <c r="O102" s="47"/>
      <c r="P102" s="48"/>
      <c r="Q102" s="47"/>
      <c r="R102" s="501"/>
      <c r="S102" s="501"/>
      <c r="T102" s="37"/>
      <c r="U102" s="37"/>
      <c r="V102" s="37"/>
      <c r="W102" s="37"/>
      <c r="X102" s="38"/>
      <c r="Y102" s="211"/>
      <c r="Z102" s="37"/>
      <c r="AA102" s="37"/>
      <c r="AB102" s="37"/>
      <c r="AC102" s="37"/>
      <c r="AD102" s="37">
        <f>+AM102+BA102</f>
        <v>0</v>
      </c>
      <c r="AE102" s="230" t="s">
        <v>586</v>
      </c>
      <c r="AF102" s="33"/>
      <c r="AG102" s="33"/>
      <c r="AH102" s="33"/>
      <c r="AI102" s="33"/>
      <c r="AJ102" s="37"/>
      <c r="AK102" s="37"/>
      <c r="AL102" s="37"/>
      <c r="AM102" s="37">
        <f t="shared" ref="AM102" si="233">SUM(AF102:AL102)+AT102+AV102+AX102</f>
        <v>0</v>
      </c>
      <c r="AN102" s="37"/>
      <c r="AO102" s="37"/>
      <c r="AP102" s="37"/>
      <c r="AQ102" s="37"/>
      <c r="AR102" s="37">
        <f t="shared" ref="AR102" si="234">SUM(AN102:AQ102)</f>
        <v>0</v>
      </c>
      <c r="AS102" s="37"/>
      <c r="AT102" s="37"/>
      <c r="AU102" s="37">
        <f>1440-1440</f>
        <v>0</v>
      </c>
      <c r="AV102" s="37"/>
      <c r="AW102" s="37"/>
      <c r="AX102" s="37"/>
      <c r="AY102" s="37"/>
      <c r="AZ102" s="37"/>
      <c r="BA102" s="37">
        <f>+AR102+AS102+AU102+AW102+AY102+AZ102</f>
        <v>0</v>
      </c>
      <c r="BB102" s="33"/>
      <c r="BC102" s="504"/>
      <c r="BD102" s="504"/>
      <c r="BE102" s="33"/>
      <c r="BF102" s="504"/>
    </row>
    <row r="103" spans="1:58" ht="13.5" customHeight="1">
      <c r="A103" s="40"/>
      <c r="B103" s="41"/>
      <c r="C103" s="415"/>
      <c r="D103" s="41"/>
      <c r="E103" s="42"/>
      <c r="F103" s="42"/>
      <c r="G103" s="500"/>
      <c r="H103" s="44"/>
      <c r="I103" s="45"/>
      <c r="J103" s="82"/>
      <c r="K103" s="82"/>
      <c r="L103" s="35"/>
      <c r="M103" s="35"/>
      <c r="N103" s="46"/>
      <c r="O103" s="47"/>
      <c r="P103" s="48"/>
      <c r="Q103" s="47"/>
      <c r="R103" s="501"/>
      <c r="S103" s="501"/>
      <c r="T103" s="37"/>
      <c r="U103" s="37"/>
      <c r="V103" s="37"/>
      <c r="W103" s="37"/>
      <c r="X103" s="502"/>
      <c r="Y103" s="211"/>
      <c r="Z103" s="37"/>
      <c r="AA103" s="49"/>
      <c r="AB103" s="49"/>
      <c r="AC103" s="37"/>
      <c r="AD103" s="37"/>
      <c r="AE103" s="230"/>
      <c r="AF103" s="37"/>
      <c r="AG103" s="37"/>
      <c r="AH103" s="37"/>
      <c r="AI103" s="503"/>
      <c r="AJ103" s="37"/>
      <c r="AK103" s="37"/>
      <c r="AL103" s="37"/>
      <c r="AM103" s="37"/>
      <c r="AN103" s="37"/>
      <c r="AO103" s="37"/>
      <c r="AP103" s="37"/>
      <c r="AQ103" s="37"/>
      <c r="AR103" s="37"/>
      <c r="AS103" s="37"/>
      <c r="AT103" s="37"/>
      <c r="AU103" s="37"/>
      <c r="AV103" s="37"/>
      <c r="AW103" s="37"/>
      <c r="AX103" s="37"/>
      <c r="AY103" s="37"/>
      <c r="AZ103" s="37"/>
      <c r="BA103" s="37"/>
      <c r="BB103" s="33"/>
      <c r="BC103" s="51"/>
      <c r="BD103" s="51"/>
      <c r="BE103" s="51"/>
      <c r="BF103" s="51"/>
    </row>
    <row r="104" spans="1:58" ht="12.75" customHeight="1">
      <c r="A104" s="40">
        <v>45922</v>
      </c>
      <c r="B104" s="41" t="s">
        <v>424</v>
      </c>
      <c r="C104" s="415">
        <f t="shared" ref="C104" si="235">(M104*E104*O104*Q104)/100000000</f>
        <v>0</v>
      </c>
      <c r="D104" s="41" t="s">
        <v>304</v>
      </c>
      <c r="E104" s="42">
        <v>12</v>
      </c>
      <c r="F104" s="42">
        <v>1</v>
      </c>
      <c r="G104" s="500">
        <v>1230</v>
      </c>
      <c r="H104" s="44">
        <v>0.23</v>
      </c>
      <c r="I104" s="45">
        <v>0.88</v>
      </c>
      <c r="J104" s="82">
        <f t="shared" ref="J104" si="236">E104*G104*(1-H104)*1440/1000000*2.74</f>
        <v>44.842533120000006</v>
      </c>
      <c r="K104" s="82">
        <f t="shared" ref="K104" si="237">(IF(G104&lt;L104,L104,G104)*(1-IF(H104&lt;N104,H104,N104))*E104*O104*Q104)/100000000</f>
        <v>0</v>
      </c>
      <c r="L104" s="35">
        <v>1230</v>
      </c>
      <c r="M104" s="35">
        <v>947.09999999999991</v>
      </c>
      <c r="N104" s="46">
        <f t="shared" ref="N104" si="238">1-(M104/L104)</f>
        <v>0.23000000000000009</v>
      </c>
      <c r="O104" s="47">
        <f>+'Trim Rwd'!H64</f>
        <v>264</v>
      </c>
      <c r="P104" s="48">
        <f t="shared" ref="P104" si="239">O104*(Q104-R104-S104)</f>
        <v>0</v>
      </c>
      <c r="Q104" s="47">
        <f>1440-1440</f>
        <v>0</v>
      </c>
      <c r="R104" s="501">
        <f>1440-1440</f>
        <v>0</v>
      </c>
      <c r="S104" s="501">
        <v>0</v>
      </c>
      <c r="T104" s="37">
        <f t="shared" ref="T104" si="240">E104*M104*O104*Q104/100000000</f>
        <v>0</v>
      </c>
      <c r="U104" s="37">
        <f t="shared" ref="U104" si="241">E104*M104*O104*(Q104-R104-S104)/100000000</f>
        <v>0</v>
      </c>
      <c r="V104" s="37">
        <f t="shared" ref="V104" si="242">E104*G104*(1-N104)*O104/100*(R104+S104)/1000000</f>
        <v>0</v>
      </c>
      <c r="W104" s="37">
        <v>0</v>
      </c>
      <c r="X104" s="502" t="e">
        <f>SUM(W104:W107)/SUM(K104:K107)</f>
        <v>#DIV/0!</v>
      </c>
      <c r="Y104" s="211">
        <f>+SUM(RBP!AG3:AG4)</f>
        <v>0</v>
      </c>
      <c r="Z104" s="37">
        <v>0</v>
      </c>
      <c r="AA104" s="49">
        <f>SUM(U104:U107)-SUM(W104:W107)-SUM(Z104:Z107)-SUM(Y104:Y107)</f>
        <v>0</v>
      </c>
      <c r="AB104" s="49">
        <f>(SUM(K104:K107)-SUM(W104:W107)-SUM(Y104:Y107)-SUM(Z104:Z107)-SUM(AC104:AC107)-SUM(V104:V107))-AA104</f>
        <v>0</v>
      </c>
      <c r="AC104" s="37">
        <f>K104-T104</f>
        <v>0</v>
      </c>
      <c r="AD104" s="37">
        <f>+AM104+BA104</f>
        <v>0</v>
      </c>
      <c r="AE104" s="230" t="s">
        <v>466</v>
      </c>
      <c r="AF104" s="37">
        <v>0</v>
      </c>
      <c r="AG104" s="37"/>
      <c r="AH104" s="37"/>
      <c r="AI104" s="37"/>
      <c r="AJ104" s="37"/>
      <c r="AK104" s="37"/>
      <c r="AL104" s="37"/>
      <c r="AM104" s="37">
        <f t="shared" ref="AM104:AM106" si="243">SUM(AF104:AL104)+AT104+AV104+AX104</f>
        <v>0</v>
      </c>
      <c r="AN104" s="37"/>
      <c r="AO104" s="37"/>
      <c r="AP104" s="37"/>
      <c r="AQ104" s="37"/>
      <c r="AR104" s="37">
        <f>SUM(AN104:AQ104)</f>
        <v>0</v>
      </c>
      <c r="AS104" s="37"/>
      <c r="AT104" s="37"/>
      <c r="AU104" s="37"/>
      <c r="AV104" s="37"/>
      <c r="AW104" s="37"/>
      <c r="AX104" s="37"/>
      <c r="AY104" s="37"/>
      <c r="AZ104" s="37"/>
      <c r="BA104" s="37">
        <f>+AR104+AS104+AU104+AW104+AY104+AZ104</f>
        <v>0</v>
      </c>
      <c r="BB104" s="33">
        <v>0</v>
      </c>
      <c r="BC104" s="51"/>
      <c r="BD104" s="51"/>
      <c r="BE104" s="33"/>
      <c r="BF104" s="51"/>
    </row>
    <row r="105" spans="1:58" ht="12.95" customHeight="1">
      <c r="A105" s="40"/>
      <c r="B105" s="41"/>
      <c r="C105" s="415"/>
      <c r="D105" s="41"/>
      <c r="E105" s="42"/>
      <c r="F105" s="42"/>
      <c r="G105" s="500"/>
      <c r="H105" s="44"/>
      <c r="I105" s="45"/>
      <c r="J105" s="82"/>
      <c r="K105" s="82"/>
      <c r="L105" s="35"/>
      <c r="M105" s="35"/>
      <c r="N105" s="46"/>
      <c r="O105" s="47"/>
      <c r="P105" s="48"/>
      <c r="Q105" s="47"/>
      <c r="R105" s="501"/>
      <c r="S105" s="501"/>
      <c r="T105" s="37"/>
      <c r="U105" s="37"/>
      <c r="V105" s="37"/>
      <c r="W105" s="37">
        <v>0</v>
      </c>
      <c r="X105" s="38"/>
      <c r="Y105" s="211"/>
      <c r="Z105" s="37">
        <v>0</v>
      </c>
      <c r="AA105" s="37"/>
      <c r="AB105" s="37"/>
      <c r="AC105" s="37">
        <f>K105-T105</f>
        <v>0</v>
      </c>
      <c r="AD105" s="37">
        <f>+AM105+BA105</f>
        <v>0</v>
      </c>
      <c r="AE105" s="230" t="s">
        <v>432</v>
      </c>
      <c r="AF105" s="37"/>
      <c r="AG105" s="37">
        <v>0</v>
      </c>
      <c r="AH105" s="37"/>
      <c r="AI105" s="37"/>
      <c r="AJ105" s="37"/>
      <c r="AK105" s="37"/>
      <c r="AL105" s="37"/>
      <c r="AM105" s="37">
        <f t="shared" si="243"/>
        <v>0</v>
      </c>
      <c r="AN105" s="83"/>
      <c r="AO105" s="37"/>
      <c r="AP105" s="37"/>
      <c r="AQ105" s="37"/>
      <c r="AR105" s="37">
        <f t="shared" ref="AR105:AR106" si="244">SUM(AN105:AQ105)</f>
        <v>0</v>
      </c>
      <c r="AS105" s="37"/>
      <c r="AT105" s="37"/>
      <c r="AU105" s="37"/>
      <c r="AV105" s="37"/>
      <c r="AW105" s="37"/>
      <c r="AX105" s="37"/>
      <c r="AY105" s="37"/>
      <c r="AZ105" s="37"/>
      <c r="BA105" s="37">
        <f>+AR105+AS105+AU105+AW105+AY105+AZ105</f>
        <v>0</v>
      </c>
      <c r="BB105" s="50"/>
      <c r="BC105" s="51">
        <v>0</v>
      </c>
      <c r="BD105" s="51"/>
      <c r="BE105" s="50"/>
      <c r="BF105" s="51"/>
    </row>
    <row r="106" spans="1:58" ht="12.95" customHeight="1">
      <c r="A106" s="40"/>
      <c r="B106" s="41"/>
      <c r="C106" s="415"/>
      <c r="D106" s="41"/>
      <c r="E106" s="42"/>
      <c r="F106" s="42"/>
      <c r="G106" s="43"/>
      <c r="H106" s="44"/>
      <c r="I106" s="45"/>
      <c r="J106" s="82"/>
      <c r="K106" s="82"/>
      <c r="L106" s="35"/>
      <c r="M106" s="35"/>
      <c r="N106" s="46"/>
      <c r="O106" s="47"/>
      <c r="P106" s="48"/>
      <c r="Q106" s="47"/>
      <c r="R106" s="501"/>
      <c r="S106" s="501"/>
      <c r="T106" s="37"/>
      <c r="U106" s="37"/>
      <c r="V106" s="37"/>
      <c r="W106" s="37"/>
      <c r="X106" s="38"/>
      <c r="Y106" s="211"/>
      <c r="Z106" s="37"/>
      <c r="AA106" s="37"/>
      <c r="AB106" s="37"/>
      <c r="AC106" s="37"/>
      <c r="AD106" s="37">
        <f>+AM106+BA106</f>
        <v>0</v>
      </c>
      <c r="AE106" s="230" t="s">
        <v>507</v>
      </c>
      <c r="AF106" s="33"/>
      <c r="AG106" s="33"/>
      <c r="AH106" s="33">
        <v>0</v>
      </c>
      <c r="AI106" s="33"/>
      <c r="AJ106" s="37"/>
      <c r="AK106" s="37"/>
      <c r="AL106" s="37"/>
      <c r="AM106" s="37">
        <f t="shared" si="243"/>
        <v>0</v>
      </c>
      <c r="AN106" s="37"/>
      <c r="AO106" s="37"/>
      <c r="AP106" s="37"/>
      <c r="AQ106" s="37"/>
      <c r="AR106" s="37">
        <f t="shared" si="244"/>
        <v>0</v>
      </c>
      <c r="AS106" s="37"/>
      <c r="AT106" s="37"/>
      <c r="AU106" s="37"/>
      <c r="AV106" s="37"/>
      <c r="AW106" s="37"/>
      <c r="AX106" s="37"/>
      <c r="AY106" s="37"/>
      <c r="AZ106" s="37"/>
      <c r="BA106" s="37">
        <f>+AR106+AS106+AU106+AW106+AY106+AZ106</f>
        <v>0</v>
      </c>
      <c r="BB106" s="33"/>
      <c r="BC106" s="504"/>
      <c r="BD106" s="504"/>
      <c r="BE106" s="33"/>
      <c r="BF106" s="504"/>
    </row>
    <row r="107" spans="1:58" ht="12.95" customHeight="1">
      <c r="A107" s="40"/>
      <c r="B107" s="41"/>
      <c r="C107" s="415"/>
      <c r="D107" s="41"/>
      <c r="E107" s="42"/>
      <c r="F107" s="42"/>
      <c r="G107" s="43"/>
      <c r="H107" s="44"/>
      <c r="I107" s="45"/>
      <c r="J107" s="82"/>
      <c r="K107" s="82"/>
      <c r="L107" s="35"/>
      <c r="M107" s="35"/>
      <c r="N107" s="46"/>
      <c r="O107" s="47"/>
      <c r="P107" s="48"/>
      <c r="Q107" s="47"/>
      <c r="R107" s="501"/>
      <c r="S107" s="501"/>
      <c r="T107" s="37"/>
      <c r="U107" s="37"/>
      <c r="V107" s="37"/>
      <c r="W107" s="37"/>
      <c r="X107" s="38"/>
      <c r="Y107" s="211"/>
      <c r="Z107" s="37"/>
      <c r="AA107" s="37"/>
      <c r="AB107" s="37"/>
      <c r="AC107" s="37"/>
      <c r="AD107" s="37">
        <f>+AM107+BA107</f>
        <v>0</v>
      </c>
      <c r="AE107" s="230" t="s">
        <v>586</v>
      </c>
      <c r="AF107" s="33"/>
      <c r="AG107" s="33"/>
      <c r="AH107" s="33"/>
      <c r="AI107" s="33"/>
      <c r="AJ107" s="37"/>
      <c r="AK107" s="37"/>
      <c r="AL107" s="37"/>
      <c r="AM107" s="37">
        <f t="shared" ref="AM107" si="245">SUM(AF107:AL107)+AT107+AV107+AX107</f>
        <v>0</v>
      </c>
      <c r="AN107" s="37"/>
      <c r="AO107" s="37"/>
      <c r="AP107" s="37"/>
      <c r="AQ107" s="37"/>
      <c r="AR107" s="37">
        <f t="shared" ref="AR107" si="246">SUM(AN107:AQ107)</f>
        <v>0</v>
      </c>
      <c r="AS107" s="37"/>
      <c r="AT107" s="37"/>
      <c r="AU107" s="37">
        <f>1440-1440</f>
        <v>0</v>
      </c>
      <c r="AV107" s="37"/>
      <c r="AW107" s="37"/>
      <c r="AX107" s="37"/>
      <c r="AY107" s="37"/>
      <c r="AZ107" s="37"/>
      <c r="BA107" s="37">
        <f>+AR107+AS107+AU107+AW107+AY107+AZ107</f>
        <v>0</v>
      </c>
      <c r="BB107" s="33"/>
      <c r="BC107" s="504"/>
      <c r="BD107" s="504"/>
      <c r="BE107" s="33"/>
      <c r="BF107" s="504"/>
    </row>
    <row r="108" spans="1:58" ht="16.5" customHeight="1">
      <c r="A108" s="40"/>
      <c r="B108" s="41"/>
      <c r="C108" s="415"/>
      <c r="D108" s="41"/>
      <c r="E108" s="42"/>
      <c r="F108" s="42"/>
      <c r="G108" s="500"/>
      <c r="H108" s="44"/>
      <c r="I108" s="45"/>
      <c r="J108" s="82"/>
      <c r="K108" s="82"/>
      <c r="L108" s="35"/>
      <c r="M108" s="35"/>
      <c r="N108" s="46"/>
      <c r="O108" s="47"/>
      <c r="P108" s="48"/>
      <c r="Q108" s="47"/>
      <c r="R108" s="501"/>
      <c r="S108" s="501"/>
      <c r="T108" s="37"/>
      <c r="U108" s="37"/>
      <c r="V108" s="37"/>
      <c r="W108" s="37"/>
      <c r="X108" s="502"/>
      <c r="Y108" s="211"/>
      <c r="Z108" s="37"/>
      <c r="AA108" s="49"/>
      <c r="AB108" s="49"/>
      <c r="AC108" s="37"/>
      <c r="AD108" s="37"/>
      <c r="AE108" s="230"/>
      <c r="AF108" s="37"/>
      <c r="AG108" s="37"/>
      <c r="AH108" s="37"/>
      <c r="AI108" s="503"/>
      <c r="AJ108" s="37"/>
      <c r="AK108" s="37"/>
      <c r="AL108" s="37"/>
      <c r="AM108" s="37"/>
      <c r="AN108" s="37"/>
      <c r="AO108" s="37"/>
      <c r="AP108" s="37"/>
      <c r="AQ108" s="37"/>
      <c r="AR108" s="37"/>
      <c r="AS108" s="37"/>
      <c r="AT108" s="37"/>
      <c r="AU108" s="37"/>
      <c r="AV108" s="37"/>
      <c r="AW108" s="37"/>
      <c r="AX108" s="37"/>
      <c r="AY108" s="37"/>
      <c r="AZ108" s="37"/>
      <c r="BA108" s="37"/>
      <c r="BB108" s="33"/>
      <c r="BC108" s="51"/>
      <c r="BD108" s="51"/>
      <c r="BE108" s="51"/>
      <c r="BF108" s="51"/>
    </row>
    <row r="109" spans="1:58" ht="12.75" customHeight="1">
      <c r="A109" s="40">
        <v>45923</v>
      </c>
      <c r="B109" s="41" t="s">
        <v>424</v>
      </c>
      <c r="C109" s="415">
        <f t="shared" ref="C109" si="247">(M109*E109*O109*Q109)/100000000</f>
        <v>0</v>
      </c>
      <c r="D109" s="41" t="s">
        <v>304</v>
      </c>
      <c r="E109" s="42">
        <v>12</v>
      </c>
      <c r="F109" s="42">
        <v>1</v>
      </c>
      <c r="G109" s="500">
        <v>1230</v>
      </c>
      <c r="H109" s="44">
        <v>0.23</v>
      </c>
      <c r="I109" s="45">
        <v>0.88</v>
      </c>
      <c r="J109" s="82">
        <f t="shared" ref="J109" si="248">E109*G109*(1-H109)*1440/1000000*2.74</f>
        <v>44.842533120000006</v>
      </c>
      <c r="K109" s="82">
        <f t="shared" ref="K109" si="249">(IF(G109&lt;L109,L109,G109)*(1-IF(H109&lt;N109,H109,N109))*E109*O109*Q109)/100000000</f>
        <v>0</v>
      </c>
      <c r="L109" s="35">
        <v>1230</v>
      </c>
      <c r="M109" s="35">
        <v>947.09999999999991</v>
      </c>
      <c r="N109" s="46">
        <f t="shared" ref="N109" si="250">1-(M109/L109)</f>
        <v>0.23000000000000009</v>
      </c>
      <c r="O109" s="47">
        <f>+'Trim Rwd'!H66</f>
        <v>264</v>
      </c>
      <c r="P109" s="48">
        <f t="shared" ref="P109" si="251">O109*(Q109-R109-S109)</f>
        <v>0</v>
      </c>
      <c r="Q109" s="47">
        <f>1440-1440</f>
        <v>0</v>
      </c>
      <c r="R109" s="501">
        <f>1440-1440</f>
        <v>0</v>
      </c>
      <c r="S109" s="501">
        <v>0</v>
      </c>
      <c r="T109" s="37">
        <f t="shared" ref="T109" si="252">E109*M109*O109*Q109/100000000</f>
        <v>0</v>
      </c>
      <c r="U109" s="37">
        <f t="shared" ref="U109" si="253">E109*M109*O109*(Q109-R109-S109)/100000000</f>
        <v>0</v>
      </c>
      <c r="V109" s="37">
        <f t="shared" ref="V109" si="254">E109*G109*(1-N109)*O109/100*(R109+S109)/1000000</f>
        <v>0</v>
      </c>
      <c r="W109" s="37">
        <v>0</v>
      </c>
      <c r="X109" s="502" t="e">
        <f>SUM(W109:W112)/SUM(K109:K112)</f>
        <v>#DIV/0!</v>
      </c>
      <c r="Y109" s="211">
        <f>+SUM(RBP!AG8:AG9)</f>
        <v>0</v>
      </c>
      <c r="Z109" s="37">
        <v>0</v>
      </c>
      <c r="AA109" s="49">
        <f>SUM(U109:U112)-SUM(W109:W112)-SUM(Z109:Z112)-SUM(Y109:Y112)</f>
        <v>0</v>
      </c>
      <c r="AB109" s="49">
        <f>(SUM(K109:K112)-SUM(W109:W112)-SUM(Y109:Y112)-SUM(Z109:Z112)-SUM(AC109:AC112)-SUM(V109:V112))-AA109</f>
        <v>0</v>
      </c>
      <c r="AC109" s="37">
        <f>K109-T109</f>
        <v>0</v>
      </c>
      <c r="AD109" s="37">
        <f>+AM109+BA109</f>
        <v>0</v>
      </c>
      <c r="AE109" s="230" t="s">
        <v>466</v>
      </c>
      <c r="AF109" s="37">
        <v>0</v>
      </c>
      <c r="AG109" s="37"/>
      <c r="AH109" s="37"/>
      <c r="AI109" s="37"/>
      <c r="AJ109" s="37"/>
      <c r="AK109" s="37"/>
      <c r="AL109" s="37"/>
      <c r="AM109" s="37">
        <f t="shared" ref="AM109:AM111" si="255">SUM(AF109:AL109)+AT109+AV109+AX109</f>
        <v>0</v>
      </c>
      <c r="AN109" s="37"/>
      <c r="AO109" s="37"/>
      <c r="AP109" s="37"/>
      <c r="AQ109" s="37"/>
      <c r="AR109" s="37">
        <f>SUM(AN109:AQ109)</f>
        <v>0</v>
      </c>
      <c r="AS109" s="37"/>
      <c r="AT109" s="37"/>
      <c r="AU109" s="37"/>
      <c r="AV109" s="37"/>
      <c r="AW109" s="37"/>
      <c r="AX109" s="37"/>
      <c r="AY109" s="37"/>
      <c r="AZ109" s="37"/>
      <c r="BA109" s="37">
        <f>+AR109+AS109+AU109+AW109+AY109+AZ109</f>
        <v>0</v>
      </c>
      <c r="BB109" s="33">
        <v>0</v>
      </c>
      <c r="BC109" s="51"/>
      <c r="BD109" s="51"/>
      <c r="BE109" s="33"/>
      <c r="BF109" s="51"/>
    </row>
    <row r="110" spans="1:58" ht="12.95" customHeight="1">
      <c r="A110" s="40"/>
      <c r="B110" s="41"/>
      <c r="C110" s="415"/>
      <c r="D110" s="41"/>
      <c r="E110" s="42"/>
      <c r="F110" s="42"/>
      <c r="G110" s="500"/>
      <c r="H110" s="44"/>
      <c r="I110" s="45"/>
      <c r="J110" s="82"/>
      <c r="K110" s="82"/>
      <c r="L110" s="35"/>
      <c r="M110" s="35"/>
      <c r="N110" s="46"/>
      <c r="O110" s="47"/>
      <c r="P110" s="48"/>
      <c r="Q110" s="47"/>
      <c r="R110" s="501"/>
      <c r="S110" s="501"/>
      <c r="T110" s="37"/>
      <c r="U110" s="37"/>
      <c r="V110" s="37"/>
      <c r="W110" s="37">
        <v>0</v>
      </c>
      <c r="X110" s="38"/>
      <c r="Y110" s="211"/>
      <c r="Z110" s="37">
        <v>0</v>
      </c>
      <c r="AA110" s="37"/>
      <c r="AB110" s="37"/>
      <c r="AC110" s="37">
        <f>K110-T110</f>
        <v>0</v>
      </c>
      <c r="AD110" s="37">
        <f>+AM110+BA110</f>
        <v>0</v>
      </c>
      <c r="AE110" s="230" t="s">
        <v>432</v>
      </c>
      <c r="AF110" s="37"/>
      <c r="AG110" s="37">
        <v>0</v>
      </c>
      <c r="AH110" s="37"/>
      <c r="AI110" s="37"/>
      <c r="AJ110" s="37"/>
      <c r="AK110" s="37"/>
      <c r="AL110" s="37"/>
      <c r="AM110" s="37">
        <f t="shared" si="255"/>
        <v>0</v>
      </c>
      <c r="AN110" s="83"/>
      <c r="AO110" s="37"/>
      <c r="AP110" s="37"/>
      <c r="AQ110" s="37"/>
      <c r="AR110" s="37">
        <f t="shared" ref="AR110:AR111" si="256">SUM(AN110:AQ110)</f>
        <v>0</v>
      </c>
      <c r="AS110" s="37"/>
      <c r="AT110" s="37"/>
      <c r="AU110" s="37"/>
      <c r="AV110" s="37"/>
      <c r="AW110" s="37"/>
      <c r="AX110" s="37"/>
      <c r="AY110" s="37"/>
      <c r="AZ110" s="37"/>
      <c r="BA110" s="37">
        <f>+AR110+AS110+AU110+AW110+AY110+AZ110</f>
        <v>0</v>
      </c>
      <c r="BB110" s="50"/>
      <c r="BC110" s="51">
        <v>0</v>
      </c>
      <c r="BD110" s="51"/>
      <c r="BE110" s="50"/>
      <c r="BF110" s="51"/>
    </row>
    <row r="111" spans="1:58" ht="12.95" customHeight="1">
      <c r="A111" s="40"/>
      <c r="B111" s="41"/>
      <c r="C111" s="415"/>
      <c r="D111" s="41"/>
      <c r="E111" s="42"/>
      <c r="F111" s="42"/>
      <c r="G111" s="43"/>
      <c r="H111" s="44"/>
      <c r="I111" s="45"/>
      <c r="J111" s="82"/>
      <c r="K111" s="82"/>
      <c r="L111" s="35"/>
      <c r="M111" s="35"/>
      <c r="N111" s="46"/>
      <c r="O111" s="47"/>
      <c r="P111" s="48"/>
      <c r="Q111" s="47"/>
      <c r="R111" s="501"/>
      <c r="S111" s="501"/>
      <c r="T111" s="37"/>
      <c r="U111" s="37"/>
      <c r="V111" s="37"/>
      <c r="W111" s="37"/>
      <c r="X111" s="38"/>
      <c r="Y111" s="211"/>
      <c r="Z111" s="37"/>
      <c r="AA111" s="37"/>
      <c r="AB111" s="37"/>
      <c r="AC111" s="37"/>
      <c r="AD111" s="37">
        <f>+AM111+BA111</f>
        <v>0</v>
      </c>
      <c r="AE111" s="230" t="s">
        <v>507</v>
      </c>
      <c r="AF111" s="33"/>
      <c r="AG111" s="33"/>
      <c r="AH111" s="33">
        <v>0</v>
      </c>
      <c r="AI111" s="33"/>
      <c r="AJ111" s="37"/>
      <c r="AK111" s="37"/>
      <c r="AL111" s="37"/>
      <c r="AM111" s="37">
        <f t="shared" si="255"/>
        <v>0</v>
      </c>
      <c r="AN111" s="37"/>
      <c r="AO111" s="37"/>
      <c r="AP111" s="37"/>
      <c r="AQ111" s="37"/>
      <c r="AR111" s="37">
        <f t="shared" si="256"/>
        <v>0</v>
      </c>
      <c r="AS111" s="37"/>
      <c r="AT111" s="37"/>
      <c r="AU111" s="37"/>
      <c r="AV111" s="37"/>
      <c r="AW111" s="37"/>
      <c r="AX111" s="37"/>
      <c r="AY111" s="37"/>
      <c r="AZ111" s="37"/>
      <c r="BA111" s="37">
        <f>+AR111+AS111+AU111+AW111+AY111+AZ111</f>
        <v>0</v>
      </c>
      <c r="BB111" s="33"/>
      <c r="BC111" s="504"/>
      <c r="BD111" s="504"/>
      <c r="BE111" s="33"/>
      <c r="BF111" s="504"/>
    </row>
    <row r="112" spans="1:58" ht="12.95" customHeight="1">
      <c r="A112" s="40"/>
      <c r="B112" s="41"/>
      <c r="C112" s="415"/>
      <c r="D112" s="41"/>
      <c r="E112" s="42"/>
      <c r="F112" s="42"/>
      <c r="G112" s="43"/>
      <c r="H112" s="44"/>
      <c r="I112" s="45"/>
      <c r="J112" s="82"/>
      <c r="K112" s="82"/>
      <c r="L112" s="35"/>
      <c r="M112" s="35"/>
      <c r="N112" s="46"/>
      <c r="O112" s="47"/>
      <c r="P112" s="48"/>
      <c r="Q112" s="47"/>
      <c r="R112" s="501"/>
      <c r="S112" s="501"/>
      <c r="T112" s="37"/>
      <c r="U112" s="37"/>
      <c r="V112" s="37"/>
      <c r="W112" s="37"/>
      <c r="X112" s="38"/>
      <c r="Y112" s="211"/>
      <c r="Z112" s="37"/>
      <c r="AA112" s="37"/>
      <c r="AB112" s="37"/>
      <c r="AC112" s="37"/>
      <c r="AD112" s="37">
        <f>+AM112+BA112</f>
        <v>0</v>
      </c>
      <c r="AE112" s="230" t="s">
        <v>586</v>
      </c>
      <c r="AF112" s="33"/>
      <c r="AG112" s="33"/>
      <c r="AH112" s="33"/>
      <c r="AI112" s="33"/>
      <c r="AJ112" s="37"/>
      <c r="AK112" s="37"/>
      <c r="AL112" s="37"/>
      <c r="AM112" s="37">
        <f t="shared" ref="AM112" si="257">SUM(AF112:AL112)+AT112+AV112+AX112</f>
        <v>0</v>
      </c>
      <c r="AN112" s="37"/>
      <c r="AO112" s="37"/>
      <c r="AP112" s="37"/>
      <c r="AQ112" s="37"/>
      <c r="AR112" s="37">
        <f t="shared" ref="AR112" si="258">SUM(AN112:AQ112)</f>
        <v>0</v>
      </c>
      <c r="AS112" s="37"/>
      <c r="AT112" s="37"/>
      <c r="AU112" s="37">
        <f>1440-1440</f>
        <v>0</v>
      </c>
      <c r="AV112" s="37"/>
      <c r="AW112" s="37"/>
      <c r="AX112" s="37"/>
      <c r="AY112" s="37"/>
      <c r="AZ112" s="37"/>
      <c r="BA112" s="37">
        <f>+AR112+AS112+AU112+AW112+AY112+AZ112</f>
        <v>0</v>
      </c>
      <c r="BB112" s="33"/>
      <c r="BC112" s="504"/>
      <c r="BD112" s="504"/>
      <c r="BE112" s="33"/>
      <c r="BF112" s="504"/>
    </row>
    <row r="113" spans="1:58" ht="16.5" customHeight="1">
      <c r="A113" s="40"/>
      <c r="B113" s="41"/>
      <c r="C113" s="415"/>
      <c r="D113" s="41"/>
      <c r="E113" s="42"/>
      <c r="F113" s="42"/>
      <c r="G113" s="500"/>
      <c r="H113" s="44"/>
      <c r="I113" s="45"/>
      <c r="J113" s="82"/>
      <c r="K113" s="82"/>
      <c r="L113" s="35"/>
      <c r="M113" s="35"/>
      <c r="N113" s="46"/>
      <c r="O113" s="47"/>
      <c r="P113" s="48"/>
      <c r="Q113" s="47"/>
      <c r="R113" s="501"/>
      <c r="S113" s="501"/>
      <c r="T113" s="37"/>
      <c r="U113" s="37"/>
      <c r="V113" s="37"/>
      <c r="W113" s="37"/>
      <c r="X113" s="502"/>
      <c r="Y113" s="211"/>
      <c r="Z113" s="37"/>
      <c r="AA113" s="49"/>
      <c r="AB113" s="49"/>
      <c r="AC113" s="37"/>
      <c r="AD113" s="37"/>
      <c r="AE113" s="230"/>
      <c r="AF113" s="37"/>
      <c r="AG113" s="37"/>
      <c r="AH113" s="37"/>
      <c r="AI113" s="503"/>
      <c r="AJ113" s="37"/>
      <c r="AK113" s="37"/>
      <c r="AL113" s="37"/>
      <c r="AM113" s="37"/>
      <c r="AN113" s="37"/>
      <c r="AO113" s="37"/>
      <c r="AP113" s="37"/>
      <c r="AQ113" s="37"/>
      <c r="AR113" s="37"/>
      <c r="AS113" s="37"/>
      <c r="AT113" s="37"/>
      <c r="AU113" s="37"/>
      <c r="AV113" s="37"/>
      <c r="AW113" s="37"/>
      <c r="AX113" s="37"/>
      <c r="AY113" s="37"/>
      <c r="AZ113" s="37"/>
      <c r="BA113" s="37"/>
      <c r="BB113" s="33"/>
      <c r="BC113" s="51"/>
      <c r="BD113" s="51"/>
      <c r="BE113" s="51"/>
      <c r="BF113" s="51"/>
    </row>
    <row r="114" spans="1:58" ht="12.75" customHeight="1">
      <c r="A114" s="40">
        <v>45924</v>
      </c>
      <c r="B114" s="41" t="s">
        <v>424</v>
      </c>
      <c r="C114" s="415">
        <f t="shared" ref="C114" si="259">(M114*E114*O114*Q114)/100000000</f>
        <v>0</v>
      </c>
      <c r="D114" s="41" t="s">
        <v>304</v>
      </c>
      <c r="E114" s="42">
        <v>12</v>
      </c>
      <c r="F114" s="42">
        <v>1</v>
      </c>
      <c r="G114" s="500">
        <v>1230</v>
      </c>
      <c r="H114" s="44">
        <v>0.23</v>
      </c>
      <c r="I114" s="45">
        <v>0.88</v>
      </c>
      <c r="J114" s="82">
        <f t="shared" ref="J114" si="260">E114*G114*(1-H114)*1440/1000000*2.74</f>
        <v>44.842533120000006</v>
      </c>
      <c r="K114" s="82">
        <f t="shared" ref="K114" si="261">(IF(G114&lt;L114,L114,G114)*(1-IF(H114&lt;N114,H114,N114))*E114*O114*Q114)/100000000</f>
        <v>0</v>
      </c>
      <c r="L114" s="35">
        <v>1230</v>
      </c>
      <c r="M114" s="35">
        <v>947.09999999999991</v>
      </c>
      <c r="N114" s="46">
        <f t="shared" ref="N114" si="262">1-(M114/L114)</f>
        <v>0.23000000000000009</v>
      </c>
      <c r="O114" s="47">
        <f>+'Trim Rwd'!H68</f>
        <v>264</v>
      </c>
      <c r="P114" s="48">
        <f t="shared" ref="P114" si="263">O114*(Q114-R114-S114)</f>
        <v>0</v>
      </c>
      <c r="Q114" s="47">
        <f>1440-1440</f>
        <v>0</v>
      </c>
      <c r="R114" s="501">
        <f>1440-1440</f>
        <v>0</v>
      </c>
      <c r="S114" s="501">
        <v>0</v>
      </c>
      <c r="T114" s="37">
        <f t="shared" ref="T114" si="264">E114*M114*O114*Q114/100000000</f>
        <v>0</v>
      </c>
      <c r="U114" s="37">
        <f t="shared" ref="U114" si="265">E114*M114*O114*(Q114-R114-S114)/100000000</f>
        <v>0</v>
      </c>
      <c r="V114" s="37">
        <f t="shared" ref="V114" si="266">E114*G114*(1-N114)*O114/100*(R114+S114)/1000000</f>
        <v>0</v>
      </c>
      <c r="W114" s="37">
        <v>0</v>
      </c>
      <c r="X114" s="502" t="e">
        <f>SUM(W114:W117)/SUM(K114:K117)</f>
        <v>#DIV/0!</v>
      </c>
      <c r="Y114" s="211">
        <v>0</v>
      </c>
      <c r="Z114" s="37">
        <v>0</v>
      </c>
      <c r="AA114" s="49">
        <f>SUM(U114:U117)-SUM(W114:W117)-SUM(Z114:Z117)-SUM(Y114:Y117)</f>
        <v>0</v>
      </c>
      <c r="AB114" s="49">
        <f>(SUM(K114:K117)-SUM(W114:W117)-SUM(Y114:Y117)-SUM(Z114:Z117)-SUM(AC114:AC117)-SUM(V114:V117))-AA114</f>
        <v>0</v>
      </c>
      <c r="AC114" s="37">
        <f>K114-T114</f>
        <v>0</v>
      </c>
      <c r="AD114" s="37">
        <f>+AM114+BA114</f>
        <v>0</v>
      </c>
      <c r="AE114" s="230" t="s">
        <v>466</v>
      </c>
      <c r="AF114" s="37">
        <v>0</v>
      </c>
      <c r="AG114" s="37"/>
      <c r="AH114" s="37"/>
      <c r="AI114" s="37"/>
      <c r="AJ114" s="37"/>
      <c r="AK114" s="37"/>
      <c r="AL114" s="37"/>
      <c r="AM114" s="37">
        <f t="shared" ref="AM114:AM116" si="267">SUM(AF114:AL114)+AT114+AV114+AX114</f>
        <v>0</v>
      </c>
      <c r="AN114" s="37"/>
      <c r="AO114" s="37"/>
      <c r="AP114" s="37"/>
      <c r="AQ114" s="37"/>
      <c r="AR114" s="37">
        <f>SUM(AN114:AQ114)</f>
        <v>0</v>
      </c>
      <c r="AS114" s="37"/>
      <c r="AT114" s="37"/>
      <c r="AU114" s="37"/>
      <c r="AV114" s="37"/>
      <c r="AW114" s="37"/>
      <c r="AX114" s="37"/>
      <c r="AY114" s="37"/>
      <c r="AZ114" s="37"/>
      <c r="BA114" s="37">
        <f>+AR114+AS114+AU114+AW114+AY114+AZ114</f>
        <v>0</v>
      </c>
      <c r="BB114" s="33">
        <v>0</v>
      </c>
      <c r="BC114" s="51"/>
      <c r="BD114" s="51"/>
      <c r="BE114" s="33"/>
      <c r="BF114" s="51"/>
    </row>
    <row r="115" spans="1:58" ht="12.95" customHeight="1">
      <c r="A115" s="40"/>
      <c r="B115" s="41"/>
      <c r="C115" s="415"/>
      <c r="D115" s="41"/>
      <c r="E115" s="42"/>
      <c r="F115" s="42"/>
      <c r="G115" s="500"/>
      <c r="H115" s="44"/>
      <c r="I115" s="45"/>
      <c r="J115" s="82"/>
      <c r="K115" s="82"/>
      <c r="L115" s="35"/>
      <c r="M115" s="35"/>
      <c r="N115" s="46"/>
      <c r="O115" s="47"/>
      <c r="P115" s="48"/>
      <c r="Q115" s="47"/>
      <c r="R115" s="501"/>
      <c r="S115" s="501"/>
      <c r="T115" s="37"/>
      <c r="U115" s="37"/>
      <c r="V115" s="37"/>
      <c r="W115" s="37">
        <v>0</v>
      </c>
      <c r="X115" s="38"/>
      <c r="Y115" s="211"/>
      <c r="Z115" s="37">
        <v>0</v>
      </c>
      <c r="AA115" s="37"/>
      <c r="AB115" s="37"/>
      <c r="AC115" s="37">
        <f>K115-T115</f>
        <v>0</v>
      </c>
      <c r="AD115" s="37">
        <f>+AM115+BA115</f>
        <v>0</v>
      </c>
      <c r="AE115" s="230" t="s">
        <v>432</v>
      </c>
      <c r="AF115" s="37"/>
      <c r="AG115" s="37">
        <v>0</v>
      </c>
      <c r="AH115" s="37"/>
      <c r="AI115" s="37"/>
      <c r="AJ115" s="37"/>
      <c r="AK115" s="37"/>
      <c r="AL115" s="37"/>
      <c r="AM115" s="37">
        <f t="shared" si="267"/>
        <v>0</v>
      </c>
      <c r="AN115" s="83"/>
      <c r="AO115" s="37"/>
      <c r="AP115" s="37"/>
      <c r="AQ115" s="37"/>
      <c r="AR115" s="37">
        <f t="shared" ref="AR115:AR116" si="268">SUM(AN115:AQ115)</f>
        <v>0</v>
      </c>
      <c r="AS115" s="37"/>
      <c r="AT115" s="37"/>
      <c r="AU115" s="37"/>
      <c r="AV115" s="37"/>
      <c r="AW115" s="37"/>
      <c r="AX115" s="37"/>
      <c r="AY115" s="37"/>
      <c r="AZ115" s="37"/>
      <c r="BA115" s="37">
        <f>+AR115+AS115+AU115+AW115+AY115+AZ115</f>
        <v>0</v>
      </c>
      <c r="BB115" s="50"/>
      <c r="BC115" s="51">
        <v>0</v>
      </c>
      <c r="BD115" s="51"/>
      <c r="BE115" s="50"/>
      <c r="BF115" s="51"/>
    </row>
    <row r="116" spans="1:58" ht="12.95" customHeight="1">
      <c r="A116" s="40"/>
      <c r="B116" s="41"/>
      <c r="C116" s="415"/>
      <c r="D116" s="41"/>
      <c r="E116" s="42"/>
      <c r="F116" s="42"/>
      <c r="G116" s="43"/>
      <c r="H116" s="44"/>
      <c r="I116" s="45"/>
      <c r="J116" s="82"/>
      <c r="K116" s="82"/>
      <c r="L116" s="35"/>
      <c r="M116" s="35"/>
      <c r="N116" s="46"/>
      <c r="O116" s="47"/>
      <c r="P116" s="48"/>
      <c r="Q116" s="47"/>
      <c r="R116" s="501"/>
      <c r="S116" s="501"/>
      <c r="T116" s="37"/>
      <c r="U116" s="37"/>
      <c r="V116" s="37"/>
      <c r="W116" s="37"/>
      <c r="X116" s="38"/>
      <c r="Y116" s="211"/>
      <c r="Z116" s="37"/>
      <c r="AA116" s="37"/>
      <c r="AB116" s="37"/>
      <c r="AC116" s="37"/>
      <c r="AD116" s="37">
        <f>+AM116+BA116</f>
        <v>0</v>
      </c>
      <c r="AE116" s="230" t="s">
        <v>507</v>
      </c>
      <c r="AF116" s="33"/>
      <c r="AG116" s="33"/>
      <c r="AH116" s="33">
        <v>0</v>
      </c>
      <c r="AI116" s="33"/>
      <c r="AJ116" s="37"/>
      <c r="AK116" s="37"/>
      <c r="AL116" s="37"/>
      <c r="AM116" s="37">
        <f t="shared" si="267"/>
        <v>0</v>
      </c>
      <c r="AN116" s="37"/>
      <c r="AO116" s="37"/>
      <c r="AP116" s="37"/>
      <c r="AQ116" s="37"/>
      <c r="AR116" s="37">
        <f t="shared" si="268"/>
        <v>0</v>
      </c>
      <c r="AS116" s="37"/>
      <c r="AT116" s="37"/>
      <c r="AU116" s="37"/>
      <c r="AV116" s="37"/>
      <c r="AW116" s="37"/>
      <c r="AX116" s="37"/>
      <c r="AY116" s="37"/>
      <c r="AZ116" s="37"/>
      <c r="BA116" s="37">
        <f>+AR116+AS116+AU116+AW116+AY116+AZ116</f>
        <v>0</v>
      </c>
      <c r="BB116" s="33"/>
      <c r="BC116" s="504"/>
      <c r="BD116" s="504"/>
      <c r="BE116" s="33"/>
      <c r="BF116" s="504"/>
    </row>
    <row r="117" spans="1:58" ht="12.95" customHeight="1">
      <c r="A117" s="40"/>
      <c r="B117" s="41"/>
      <c r="C117" s="415"/>
      <c r="D117" s="41"/>
      <c r="E117" s="42"/>
      <c r="F117" s="42"/>
      <c r="G117" s="43"/>
      <c r="H117" s="44"/>
      <c r="I117" s="45"/>
      <c r="J117" s="82"/>
      <c r="K117" s="82"/>
      <c r="L117" s="35"/>
      <c r="M117" s="35"/>
      <c r="N117" s="46"/>
      <c r="O117" s="47"/>
      <c r="P117" s="48"/>
      <c r="Q117" s="47"/>
      <c r="R117" s="501"/>
      <c r="S117" s="501"/>
      <c r="T117" s="37"/>
      <c r="U117" s="37"/>
      <c r="V117" s="37"/>
      <c r="W117" s="37"/>
      <c r="X117" s="38"/>
      <c r="Y117" s="211"/>
      <c r="Z117" s="37"/>
      <c r="AA117" s="37"/>
      <c r="AB117" s="37"/>
      <c r="AC117" s="37"/>
      <c r="AD117" s="37">
        <f>+AM117+BA117</f>
        <v>0</v>
      </c>
      <c r="AE117" s="230" t="s">
        <v>586</v>
      </c>
      <c r="AF117" s="33"/>
      <c r="AG117" s="33"/>
      <c r="AH117" s="33"/>
      <c r="AI117" s="33"/>
      <c r="AJ117" s="37"/>
      <c r="AK117" s="37"/>
      <c r="AL117" s="37"/>
      <c r="AM117" s="37">
        <f t="shared" ref="AM117" si="269">SUM(AF117:AL117)+AT117+AV117+AX117</f>
        <v>0</v>
      </c>
      <c r="AN117" s="37"/>
      <c r="AO117" s="37"/>
      <c r="AP117" s="37"/>
      <c r="AQ117" s="37"/>
      <c r="AR117" s="37">
        <f t="shared" ref="AR117" si="270">SUM(AN117:AQ117)</f>
        <v>0</v>
      </c>
      <c r="AS117" s="37"/>
      <c r="AT117" s="37"/>
      <c r="AU117" s="37">
        <f>1440-1440</f>
        <v>0</v>
      </c>
      <c r="AV117" s="37"/>
      <c r="AW117" s="37"/>
      <c r="AX117" s="37"/>
      <c r="AY117" s="37"/>
      <c r="AZ117" s="37"/>
      <c r="BA117" s="37">
        <f>+AR117+AS117+AU117+AW117+AY117+AZ117</f>
        <v>0</v>
      </c>
      <c r="BB117" s="33"/>
      <c r="BC117" s="504"/>
      <c r="BD117" s="504"/>
      <c r="BE117" s="33"/>
      <c r="BF117" s="504"/>
    </row>
    <row r="118" spans="1:58" ht="16.5" customHeight="1">
      <c r="A118" s="40"/>
      <c r="B118" s="41"/>
      <c r="C118" s="415"/>
      <c r="D118" s="41"/>
      <c r="E118" s="42"/>
      <c r="F118" s="42"/>
      <c r="G118" s="500"/>
      <c r="H118" s="44"/>
      <c r="I118" s="45"/>
      <c r="J118" s="82"/>
      <c r="K118" s="82"/>
      <c r="L118" s="35"/>
      <c r="M118" s="35"/>
      <c r="N118" s="46"/>
      <c r="O118" s="47"/>
      <c r="P118" s="48"/>
      <c r="Q118" s="47"/>
      <c r="R118" s="501"/>
      <c r="S118" s="501"/>
      <c r="T118" s="37"/>
      <c r="U118" s="37"/>
      <c r="V118" s="37"/>
      <c r="W118" s="37"/>
      <c r="X118" s="502"/>
      <c r="Y118" s="211"/>
      <c r="Z118" s="37"/>
      <c r="AA118" s="49"/>
      <c r="AB118" s="49"/>
      <c r="AC118" s="37"/>
      <c r="AD118" s="37"/>
      <c r="AE118" s="230"/>
      <c r="AF118" s="37"/>
      <c r="AG118" s="37"/>
      <c r="AH118" s="37"/>
      <c r="AI118" s="503"/>
      <c r="AJ118" s="37"/>
      <c r="AK118" s="37"/>
      <c r="AL118" s="37"/>
      <c r="AM118" s="37"/>
      <c r="AN118" s="37"/>
      <c r="AO118" s="37"/>
      <c r="AP118" s="37"/>
      <c r="AQ118" s="37"/>
      <c r="AR118" s="37"/>
      <c r="AS118" s="37"/>
      <c r="AT118" s="37"/>
      <c r="AU118" s="37"/>
      <c r="AV118" s="37"/>
      <c r="AW118" s="37"/>
      <c r="AX118" s="37"/>
      <c r="AY118" s="37"/>
      <c r="AZ118" s="37"/>
      <c r="BA118" s="37"/>
      <c r="BB118" s="33"/>
      <c r="BC118" s="51"/>
      <c r="BD118" s="51"/>
      <c r="BE118" s="51"/>
      <c r="BF118" s="51"/>
    </row>
    <row r="119" spans="1:58" ht="12.75" customHeight="1">
      <c r="A119" s="40">
        <v>45925</v>
      </c>
      <c r="B119" s="41" t="s">
        <v>424</v>
      </c>
      <c r="C119" s="415">
        <f t="shared" ref="C119" si="271">(M119*E119*O119*Q119)/100000000</f>
        <v>0</v>
      </c>
      <c r="D119" s="41" t="s">
        <v>304</v>
      </c>
      <c r="E119" s="42">
        <v>12</v>
      </c>
      <c r="F119" s="42">
        <v>1</v>
      </c>
      <c r="G119" s="500">
        <v>1230</v>
      </c>
      <c r="H119" s="44">
        <v>0.23</v>
      </c>
      <c r="I119" s="45">
        <v>0.88</v>
      </c>
      <c r="J119" s="82">
        <f t="shared" ref="J119" si="272">E119*G119*(1-H119)*1440/1000000*2.74</f>
        <v>44.842533120000006</v>
      </c>
      <c r="K119" s="82">
        <f t="shared" ref="K119" si="273">(IF(G119&lt;L119,L119,G119)*(1-IF(H119&lt;N119,H119,N119))*E119*O119*Q119)/100000000</f>
        <v>0</v>
      </c>
      <c r="L119" s="35">
        <v>1230</v>
      </c>
      <c r="M119" s="35">
        <v>947.09999999999991</v>
      </c>
      <c r="N119" s="46">
        <f t="shared" ref="N119" si="274">1-(M119/L119)</f>
        <v>0.23000000000000009</v>
      </c>
      <c r="O119" s="47">
        <f>+'Trim Rwd'!H70</f>
        <v>264</v>
      </c>
      <c r="P119" s="48">
        <f t="shared" ref="P119" si="275">O119*(Q119-R119-S119)</f>
        <v>0</v>
      </c>
      <c r="Q119" s="47">
        <f>1440-1440</f>
        <v>0</v>
      </c>
      <c r="R119" s="501">
        <f>1440-1440</f>
        <v>0</v>
      </c>
      <c r="S119" s="501">
        <v>0</v>
      </c>
      <c r="T119" s="37">
        <f t="shared" ref="T119" si="276">E119*M119*O119*Q119/100000000</f>
        <v>0</v>
      </c>
      <c r="U119" s="37">
        <f t="shared" ref="U119" si="277">E119*M119*O119*(Q119-R119-S119)/100000000</f>
        <v>0</v>
      </c>
      <c r="V119" s="37">
        <f t="shared" ref="V119" si="278">E119*G119*(1-N119)*O119/100*(R119+S119)/1000000</f>
        <v>0</v>
      </c>
      <c r="W119" s="37">
        <v>0</v>
      </c>
      <c r="X119" s="502" t="e">
        <f>SUM(W119:W122)/SUM(K119:K122)</f>
        <v>#DIV/0!</v>
      </c>
      <c r="Y119" s="211">
        <f>+SUM(RBP!AG18:AG19)</f>
        <v>0</v>
      </c>
      <c r="Z119" s="37">
        <v>0</v>
      </c>
      <c r="AA119" s="49">
        <f>SUM(U119:U122)-SUM(W119:W122)-SUM(Z119:Z122)-SUM(Y119:Y122)</f>
        <v>0</v>
      </c>
      <c r="AB119" s="49">
        <f>(SUM(K119:K122)-SUM(W119:W122)-SUM(Y119:Y122)-SUM(Z119:Z122)-SUM(AC119:AC122)-SUM(V119:V122))-AA119</f>
        <v>0</v>
      </c>
      <c r="AC119" s="37">
        <f>K119-T119</f>
        <v>0</v>
      </c>
      <c r="AD119" s="37">
        <f>+AM119+BA119</f>
        <v>0</v>
      </c>
      <c r="AE119" s="230" t="s">
        <v>466</v>
      </c>
      <c r="AF119" s="37">
        <v>0</v>
      </c>
      <c r="AG119" s="37"/>
      <c r="AH119" s="37"/>
      <c r="AI119" s="37"/>
      <c r="AJ119" s="37"/>
      <c r="AK119" s="37"/>
      <c r="AL119" s="37"/>
      <c r="AM119" s="37">
        <f t="shared" ref="AM119:AM121" si="279">SUM(AF119:AL119)+AT119+AV119+AX119</f>
        <v>0</v>
      </c>
      <c r="AN119" s="37"/>
      <c r="AO119" s="37"/>
      <c r="AP119" s="37"/>
      <c r="AQ119" s="37"/>
      <c r="AR119" s="37">
        <f>SUM(AN119:AQ119)</f>
        <v>0</v>
      </c>
      <c r="AS119" s="37"/>
      <c r="AT119" s="37"/>
      <c r="AU119" s="37"/>
      <c r="AV119" s="37"/>
      <c r="AW119" s="37"/>
      <c r="AX119" s="37"/>
      <c r="AY119" s="37"/>
      <c r="AZ119" s="37"/>
      <c r="BA119" s="37">
        <f>+AR119+AS119+AU119+AW119+AY119+AZ119</f>
        <v>0</v>
      </c>
      <c r="BB119" s="33">
        <v>0</v>
      </c>
      <c r="BC119" s="51"/>
      <c r="BD119" s="51"/>
      <c r="BE119" s="33"/>
      <c r="BF119" s="51"/>
    </row>
    <row r="120" spans="1:58" ht="12.95" customHeight="1">
      <c r="A120" s="40"/>
      <c r="B120" s="41"/>
      <c r="C120" s="415"/>
      <c r="D120" s="41"/>
      <c r="E120" s="42"/>
      <c r="F120" s="42"/>
      <c r="G120" s="500"/>
      <c r="H120" s="44"/>
      <c r="I120" s="45"/>
      <c r="J120" s="82"/>
      <c r="K120" s="82"/>
      <c r="L120" s="35"/>
      <c r="M120" s="35"/>
      <c r="N120" s="46"/>
      <c r="O120" s="47"/>
      <c r="P120" s="48"/>
      <c r="Q120" s="47"/>
      <c r="R120" s="501"/>
      <c r="S120" s="501"/>
      <c r="T120" s="37"/>
      <c r="U120" s="37"/>
      <c r="V120" s="37"/>
      <c r="W120" s="37">
        <v>0</v>
      </c>
      <c r="X120" s="38"/>
      <c r="Y120" s="211"/>
      <c r="Z120" s="37">
        <v>0</v>
      </c>
      <c r="AA120" s="37"/>
      <c r="AB120" s="37"/>
      <c r="AC120" s="37">
        <f>K120-T120</f>
        <v>0</v>
      </c>
      <c r="AD120" s="37">
        <f>+AM120+BA120</f>
        <v>0</v>
      </c>
      <c r="AE120" s="230" t="s">
        <v>432</v>
      </c>
      <c r="AF120" s="37"/>
      <c r="AG120" s="37">
        <v>0</v>
      </c>
      <c r="AH120" s="37"/>
      <c r="AI120" s="37"/>
      <c r="AJ120" s="37"/>
      <c r="AK120" s="37"/>
      <c r="AL120" s="37"/>
      <c r="AM120" s="37">
        <f t="shared" si="279"/>
        <v>0</v>
      </c>
      <c r="AN120" s="83"/>
      <c r="AO120" s="37"/>
      <c r="AP120" s="37"/>
      <c r="AQ120" s="37"/>
      <c r="AR120" s="37">
        <f t="shared" ref="AR120:AR121" si="280">SUM(AN120:AQ120)</f>
        <v>0</v>
      </c>
      <c r="AS120" s="37"/>
      <c r="AT120" s="37"/>
      <c r="AU120" s="37"/>
      <c r="AV120" s="37"/>
      <c r="AW120" s="37"/>
      <c r="AX120" s="37"/>
      <c r="AY120" s="37"/>
      <c r="AZ120" s="37"/>
      <c r="BA120" s="37">
        <f>+AR120+AS120+AU120+AW120+AY120+AZ120</f>
        <v>0</v>
      </c>
      <c r="BB120" s="50"/>
      <c r="BC120" s="51">
        <v>0</v>
      </c>
      <c r="BD120" s="51"/>
      <c r="BE120" s="50"/>
      <c r="BF120" s="51"/>
    </row>
    <row r="121" spans="1:58" ht="12.95" customHeight="1">
      <c r="A121" s="40"/>
      <c r="B121" s="41"/>
      <c r="C121" s="415"/>
      <c r="D121" s="41"/>
      <c r="E121" s="42"/>
      <c r="F121" s="42"/>
      <c r="G121" s="43"/>
      <c r="H121" s="44"/>
      <c r="I121" s="45"/>
      <c r="J121" s="82"/>
      <c r="K121" s="82"/>
      <c r="L121" s="35"/>
      <c r="M121" s="35"/>
      <c r="N121" s="46"/>
      <c r="O121" s="47"/>
      <c r="P121" s="48"/>
      <c r="Q121" s="47"/>
      <c r="R121" s="501"/>
      <c r="S121" s="501"/>
      <c r="T121" s="37"/>
      <c r="U121" s="37"/>
      <c r="V121" s="37"/>
      <c r="W121" s="37"/>
      <c r="X121" s="38"/>
      <c r="Y121" s="211"/>
      <c r="Z121" s="37"/>
      <c r="AA121" s="37"/>
      <c r="AB121" s="37"/>
      <c r="AC121" s="37"/>
      <c r="AD121" s="37">
        <f>+AM121+BA121</f>
        <v>0</v>
      </c>
      <c r="AE121" s="230" t="s">
        <v>507</v>
      </c>
      <c r="AF121" s="33"/>
      <c r="AG121" s="33"/>
      <c r="AH121" s="33">
        <v>0</v>
      </c>
      <c r="AI121" s="33"/>
      <c r="AJ121" s="37"/>
      <c r="AK121" s="37"/>
      <c r="AL121" s="37"/>
      <c r="AM121" s="37">
        <f t="shared" si="279"/>
        <v>0</v>
      </c>
      <c r="AN121" s="37"/>
      <c r="AO121" s="37"/>
      <c r="AP121" s="37"/>
      <c r="AQ121" s="37"/>
      <c r="AR121" s="37">
        <f t="shared" si="280"/>
        <v>0</v>
      </c>
      <c r="AS121" s="37"/>
      <c r="AT121" s="37"/>
      <c r="AU121" s="37"/>
      <c r="AV121" s="37"/>
      <c r="AW121" s="37"/>
      <c r="AX121" s="37"/>
      <c r="AY121" s="37"/>
      <c r="AZ121" s="37"/>
      <c r="BA121" s="37">
        <f>+AR121+AS121+AU121+AW121+AY121+AZ121</f>
        <v>0</v>
      </c>
      <c r="BB121" s="33"/>
      <c r="BC121" s="504"/>
      <c r="BD121" s="504"/>
      <c r="BE121" s="33"/>
      <c r="BF121" s="504"/>
    </row>
    <row r="122" spans="1:58" ht="12.95" customHeight="1">
      <c r="A122" s="40"/>
      <c r="B122" s="41"/>
      <c r="C122" s="415"/>
      <c r="D122" s="41"/>
      <c r="E122" s="42"/>
      <c r="F122" s="42"/>
      <c r="G122" s="43"/>
      <c r="H122" s="44"/>
      <c r="I122" s="45"/>
      <c r="J122" s="82"/>
      <c r="K122" s="82"/>
      <c r="L122" s="35"/>
      <c r="M122" s="35"/>
      <c r="N122" s="46"/>
      <c r="O122" s="47"/>
      <c r="P122" s="48"/>
      <c r="Q122" s="47"/>
      <c r="R122" s="501"/>
      <c r="S122" s="501"/>
      <c r="T122" s="37"/>
      <c r="U122" s="37"/>
      <c r="V122" s="37"/>
      <c r="W122" s="37"/>
      <c r="X122" s="38"/>
      <c r="Y122" s="211"/>
      <c r="Z122" s="37"/>
      <c r="AA122" s="37"/>
      <c r="AB122" s="37"/>
      <c r="AC122" s="37"/>
      <c r="AD122" s="37">
        <f>+AM122+BA122</f>
        <v>0</v>
      </c>
      <c r="AE122" s="230" t="s">
        <v>586</v>
      </c>
      <c r="AF122" s="33"/>
      <c r="AG122" s="33"/>
      <c r="AH122" s="33"/>
      <c r="AI122" s="33"/>
      <c r="AJ122" s="37"/>
      <c r="AK122" s="37"/>
      <c r="AL122" s="37"/>
      <c r="AM122" s="37">
        <f t="shared" ref="AM122" si="281">SUM(AF122:AL122)+AT122+AV122+AX122</f>
        <v>0</v>
      </c>
      <c r="AN122" s="37"/>
      <c r="AO122" s="37"/>
      <c r="AP122" s="37"/>
      <c r="AQ122" s="37"/>
      <c r="AR122" s="37">
        <f t="shared" ref="AR122" si="282">SUM(AN122:AQ122)</f>
        <v>0</v>
      </c>
      <c r="AS122" s="37"/>
      <c r="AT122" s="37"/>
      <c r="AU122" s="37">
        <f>1440-1440</f>
        <v>0</v>
      </c>
      <c r="AV122" s="37"/>
      <c r="AW122" s="37"/>
      <c r="AX122" s="37"/>
      <c r="AY122" s="37"/>
      <c r="AZ122" s="37"/>
      <c r="BA122" s="37">
        <f>+AR122+AS122+AU122+AW122+AY122+AZ122</f>
        <v>0</v>
      </c>
      <c r="BB122" s="33"/>
      <c r="BC122" s="504"/>
      <c r="BD122" s="504"/>
      <c r="BE122" s="33"/>
      <c r="BF122" s="504"/>
    </row>
    <row r="123" spans="1:58" ht="16.5" customHeight="1">
      <c r="A123" s="40"/>
      <c r="B123" s="41"/>
      <c r="C123" s="415"/>
      <c r="D123" s="41"/>
      <c r="E123" s="42"/>
      <c r="F123" s="42"/>
      <c r="G123" s="500"/>
      <c r="H123" s="44"/>
      <c r="I123" s="45"/>
      <c r="J123" s="82"/>
      <c r="K123" s="82"/>
      <c r="L123" s="35"/>
      <c r="M123" s="35"/>
      <c r="N123" s="46"/>
      <c r="O123" s="47"/>
      <c r="P123" s="48"/>
      <c r="Q123" s="47"/>
      <c r="R123" s="501"/>
      <c r="S123" s="501"/>
      <c r="T123" s="37"/>
      <c r="U123" s="37"/>
      <c r="V123" s="37"/>
      <c r="W123" s="37"/>
      <c r="X123" s="502"/>
      <c r="Y123" s="211"/>
      <c r="Z123" s="37"/>
      <c r="AA123" s="49"/>
      <c r="AB123" s="49"/>
      <c r="AC123" s="37"/>
      <c r="AD123" s="37"/>
      <c r="AE123" s="230"/>
      <c r="AF123" s="37"/>
      <c r="AG123" s="37"/>
      <c r="AH123" s="37"/>
      <c r="AI123" s="503"/>
      <c r="AJ123" s="37"/>
      <c r="AK123" s="37"/>
      <c r="AL123" s="37"/>
      <c r="AM123" s="37"/>
      <c r="AN123" s="37"/>
      <c r="AO123" s="37"/>
      <c r="AP123" s="37"/>
      <c r="AQ123" s="37"/>
      <c r="AR123" s="37"/>
      <c r="AS123" s="37"/>
      <c r="AT123" s="37"/>
      <c r="AU123" s="37"/>
      <c r="AV123" s="37"/>
      <c r="AW123" s="37"/>
      <c r="AX123" s="37"/>
      <c r="AY123" s="37"/>
      <c r="AZ123" s="37"/>
      <c r="BA123" s="37"/>
      <c r="BB123" s="33"/>
      <c r="BC123" s="51"/>
      <c r="BD123" s="51"/>
      <c r="BE123" s="51"/>
      <c r="BF123" s="51"/>
    </row>
    <row r="124" spans="1:58" ht="12.75" customHeight="1">
      <c r="A124" s="40">
        <v>45926</v>
      </c>
      <c r="B124" s="41" t="s">
        <v>424</v>
      </c>
      <c r="C124" s="415">
        <f t="shared" ref="C124" si="283">(M124*E124*O124*Q124)/100000000</f>
        <v>0</v>
      </c>
      <c r="D124" s="41" t="s">
        <v>304</v>
      </c>
      <c r="E124" s="42">
        <v>12</v>
      </c>
      <c r="F124" s="42">
        <v>1</v>
      </c>
      <c r="G124" s="500">
        <v>1230</v>
      </c>
      <c r="H124" s="44">
        <v>0.23</v>
      </c>
      <c r="I124" s="45">
        <v>0.88</v>
      </c>
      <c r="J124" s="82">
        <f t="shared" ref="J124" si="284">E124*G124*(1-H124)*1440/1000000*2.74</f>
        <v>44.842533120000006</v>
      </c>
      <c r="K124" s="82">
        <f t="shared" ref="K124" si="285">(IF(G124&lt;L124,L124,G124)*(1-IF(H124&lt;N124,H124,N124))*E124*O124*Q124)/100000000</f>
        <v>0</v>
      </c>
      <c r="L124" s="35">
        <v>1230</v>
      </c>
      <c r="M124" s="35">
        <v>947.09999999999991</v>
      </c>
      <c r="N124" s="46">
        <f t="shared" ref="N124" si="286">1-(M124/L124)</f>
        <v>0.23000000000000009</v>
      </c>
      <c r="O124" s="47">
        <f>+'Trim Rwd'!H72</f>
        <v>264</v>
      </c>
      <c r="P124" s="48">
        <f t="shared" ref="P124" si="287">O124*(Q124-R124-S124)</f>
        <v>0</v>
      </c>
      <c r="Q124" s="47">
        <f>1440-1440</f>
        <v>0</v>
      </c>
      <c r="R124" s="501">
        <f>1440-1440</f>
        <v>0</v>
      </c>
      <c r="S124" s="501">
        <v>0</v>
      </c>
      <c r="T124" s="37">
        <f t="shared" ref="T124" si="288">E124*M124*O124*Q124/100000000</f>
        <v>0</v>
      </c>
      <c r="U124" s="37">
        <f t="shared" ref="U124" si="289">E124*M124*O124*(Q124-R124-S124)/100000000</f>
        <v>0</v>
      </c>
      <c r="V124" s="37">
        <f t="shared" ref="V124" si="290">E124*G124*(1-N124)*O124/100*(R124+S124)/1000000</f>
        <v>0</v>
      </c>
      <c r="W124" s="37">
        <v>0</v>
      </c>
      <c r="X124" s="502" t="e">
        <f>SUM(W124:W127)/SUM(K124:K127)</f>
        <v>#DIV/0!</v>
      </c>
      <c r="Y124" s="211">
        <f>+SUM(RBP!AG23:AG24)</f>
        <v>0</v>
      </c>
      <c r="Z124" s="37">
        <v>0</v>
      </c>
      <c r="AA124" s="49">
        <f>SUM(U124:U127)-SUM(W124:W127)-SUM(Z124:Z127)-SUM(Y124:Y127)</f>
        <v>0</v>
      </c>
      <c r="AB124" s="49">
        <f>(SUM(K124:K127)-SUM(W124:W127)-SUM(Y124:Y127)-SUM(Z124:Z127)-SUM(AC124:AC127)-SUM(V124:V127))-AA124</f>
        <v>0</v>
      </c>
      <c r="AC124" s="37">
        <f>K124-T124</f>
        <v>0</v>
      </c>
      <c r="AD124" s="37">
        <f>+AM124+BA124</f>
        <v>0</v>
      </c>
      <c r="AE124" s="230" t="s">
        <v>466</v>
      </c>
      <c r="AF124" s="37">
        <v>0</v>
      </c>
      <c r="AG124" s="37"/>
      <c r="AH124" s="37"/>
      <c r="AI124" s="37"/>
      <c r="AJ124" s="37"/>
      <c r="AK124" s="37"/>
      <c r="AL124" s="37"/>
      <c r="AM124" s="37">
        <f t="shared" ref="AM124:AM126" si="291">SUM(AF124:AL124)+AT124+AV124+AX124</f>
        <v>0</v>
      </c>
      <c r="AN124" s="37"/>
      <c r="AO124" s="37"/>
      <c r="AP124" s="37"/>
      <c r="AQ124" s="37"/>
      <c r="AR124" s="37">
        <f>SUM(AN124:AQ124)</f>
        <v>0</v>
      </c>
      <c r="AS124" s="37"/>
      <c r="AT124" s="37"/>
      <c r="AU124" s="37"/>
      <c r="AV124" s="37"/>
      <c r="AW124" s="37"/>
      <c r="AX124" s="37"/>
      <c r="AY124" s="37"/>
      <c r="AZ124" s="37"/>
      <c r="BA124" s="37">
        <f>+AR124+AS124+AU124+AW124+AY124+AZ124</f>
        <v>0</v>
      </c>
      <c r="BB124" s="33">
        <v>0</v>
      </c>
      <c r="BC124" s="51"/>
      <c r="BD124" s="51"/>
      <c r="BE124" s="33"/>
      <c r="BF124" s="51"/>
    </row>
    <row r="125" spans="1:58" ht="12.95" customHeight="1">
      <c r="A125" s="40"/>
      <c r="B125" s="41"/>
      <c r="C125" s="415"/>
      <c r="D125" s="41"/>
      <c r="E125" s="42"/>
      <c r="F125" s="42"/>
      <c r="G125" s="500"/>
      <c r="H125" s="44"/>
      <c r="I125" s="45"/>
      <c r="J125" s="82"/>
      <c r="K125" s="82"/>
      <c r="L125" s="35"/>
      <c r="M125" s="35"/>
      <c r="N125" s="46"/>
      <c r="O125" s="47"/>
      <c r="P125" s="48"/>
      <c r="Q125" s="47"/>
      <c r="R125" s="501"/>
      <c r="S125" s="501"/>
      <c r="T125" s="37"/>
      <c r="U125" s="37"/>
      <c r="V125" s="37"/>
      <c r="W125" s="37">
        <v>0</v>
      </c>
      <c r="X125" s="38"/>
      <c r="Y125" s="211"/>
      <c r="Z125" s="37">
        <v>0</v>
      </c>
      <c r="AA125" s="37"/>
      <c r="AB125" s="37"/>
      <c r="AC125" s="37">
        <f>K125-T125</f>
        <v>0</v>
      </c>
      <c r="AD125" s="37">
        <f>+AM125+BA125</f>
        <v>0</v>
      </c>
      <c r="AE125" s="230" t="s">
        <v>432</v>
      </c>
      <c r="AF125" s="37"/>
      <c r="AG125" s="37">
        <v>0</v>
      </c>
      <c r="AH125" s="37"/>
      <c r="AI125" s="37"/>
      <c r="AJ125" s="37"/>
      <c r="AK125" s="37"/>
      <c r="AL125" s="37"/>
      <c r="AM125" s="37">
        <f t="shared" si="291"/>
        <v>0</v>
      </c>
      <c r="AN125" s="83"/>
      <c r="AO125" s="37"/>
      <c r="AP125" s="37"/>
      <c r="AQ125" s="37"/>
      <c r="AR125" s="37">
        <f t="shared" ref="AR125:AR126" si="292">SUM(AN125:AQ125)</f>
        <v>0</v>
      </c>
      <c r="AS125" s="37"/>
      <c r="AT125" s="37"/>
      <c r="AU125" s="37"/>
      <c r="AV125" s="37"/>
      <c r="AW125" s="37"/>
      <c r="AX125" s="37"/>
      <c r="AY125" s="37"/>
      <c r="AZ125" s="37"/>
      <c r="BA125" s="37">
        <f>+AR125+AS125+AU125+AW125+AY125+AZ125</f>
        <v>0</v>
      </c>
      <c r="BB125" s="50"/>
      <c r="BC125" s="51">
        <v>0</v>
      </c>
      <c r="BD125" s="51"/>
      <c r="BE125" s="50"/>
      <c r="BF125" s="51"/>
    </row>
    <row r="126" spans="1:58" ht="12.95" customHeight="1">
      <c r="A126" s="40"/>
      <c r="B126" s="41"/>
      <c r="C126" s="415"/>
      <c r="D126" s="41"/>
      <c r="E126" s="42"/>
      <c r="F126" s="42"/>
      <c r="G126" s="43"/>
      <c r="H126" s="44"/>
      <c r="I126" s="45"/>
      <c r="J126" s="82"/>
      <c r="K126" s="82"/>
      <c r="L126" s="35"/>
      <c r="M126" s="35"/>
      <c r="N126" s="46"/>
      <c r="O126" s="47"/>
      <c r="P126" s="48"/>
      <c r="Q126" s="47"/>
      <c r="R126" s="501"/>
      <c r="S126" s="501"/>
      <c r="T126" s="37"/>
      <c r="U126" s="37"/>
      <c r="V126" s="37"/>
      <c r="W126" s="37"/>
      <c r="X126" s="38"/>
      <c r="Y126" s="211"/>
      <c r="Z126" s="37"/>
      <c r="AA126" s="37"/>
      <c r="AB126" s="37"/>
      <c r="AC126" s="37"/>
      <c r="AD126" s="37">
        <f>+AM126+BA126</f>
        <v>0</v>
      </c>
      <c r="AE126" s="230" t="s">
        <v>507</v>
      </c>
      <c r="AF126" s="33"/>
      <c r="AG126" s="33"/>
      <c r="AH126" s="33">
        <v>0</v>
      </c>
      <c r="AI126" s="33"/>
      <c r="AJ126" s="37"/>
      <c r="AK126" s="37"/>
      <c r="AL126" s="37"/>
      <c r="AM126" s="37">
        <f t="shared" si="291"/>
        <v>0</v>
      </c>
      <c r="AN126" s="37"/>
      <c r="AO126" s="37"/>
      <c r="AP126" s="37"/>
      <c r="AQ126" s="37"/>
      <c r="AR126" s="37">
        <f t="shared" si="292"/>
        <v>0</v>
      </c>
      <c r="AS126" s="37"/>
      <c r="AT126" s="37"/>
      <c r="AU126" s="37"/>
      <c r="AV126" s="37"/>
      <c r="AW126" s="37"/>
      <c r="AX126" s="37"/>
      <c r="AY126" s="37"/>
      <c r="AZ126" s="37"/>
      <c r="BA126" s="37">
        <f>+AR126+AS126+AU126+AW126+AY126+AZ126</f>
        <v>0</v>
      </c>
      <c r="BB126" s="33"/>
      <c r="BC126" s="504"/>
      <c r="BD126" s="504"/>
      <c r="BE126" s="33"/>
      <c r="BF126" s="504"/>
    </row>
    <row r="127" spans="1:58" ht="12.95" customHeight="1">
      <c r="A127" s="40"/>
      <c r="B127" s="41"/>
      <c r="C127" s="415"/>
      <c r="D127" s="41"/>
      <c r="E127" s="42"/>
      <c r="F127" s="42"/>
      <c r="G127" s="43"/>
      <c r="H127" s="44"/>
      <c r="I127" s="45"/>
      <c r="J127" s="82"/>
      <c r="K127" s="82"/>
      <c r="L127" s="35"/>
      <c r="M127" s="35"/>
      <c r="N127" s="46"/>
      <c r="O127" s="47"/>
      <c r="P127" s="48"/>
      <c r="Q127" s="47"/>
      <c r="R127" s="501"/>
      <c r="S127" s="501"/>
      <c r="T127" s="37"/>
      <c r="U127" s="37"/>
      <c r="V127" s="37"/>
      <c r="W127" s="37"/>
      <c r="X127" s="38"/>
      <c r="Y127" s="211"/>
      <c r="Z127" s="37"/>
      <c r="AA127" s="37"/>
      <c r="AB127" s="37"/>
      <c r="AC127" s="37"/>
      <c r="AD127" s="37">
        <f>+AM127+BA127</f>
        <v>0</v>
      </c>
      <c r="AE127" s="230" t="s">
        <v>586</v>
      </c>
      <c r="AF127" s="33"/>
      <c r="AG127" s="33"/>
      <c r="AH127" s="33"/>
      <c r="AI127" s="33"/>
      <c r="AJ127" s="37"/>
      <c r="AK127" s="37"/>
      <c r="AL127" s="37"/>
      <c r="AM127" s="37">
        <f t="shared" ref="AM127" si="293">SUM(AF127:AL127)+AT127+AV127+AX127</f>
        <v>0</v>
      </c>
      <c r="AN127" s="37"/>
      <c r="AO127" s="37"/>
      <c r="AP127" s="37"/>
      <c r="AQ127" s="37"/>
      <c r="AR127" s="37">
        <f t="shared" ref="AR127" si="294">SUM(AN127:AQ127)</f>
        <v>0</v>
      </c>
      <c r="AS127" s="37"/>
      <c r="AT127" s="37"/>
      <c r="AU127" s="37">
        <f>1440-1440</f>
        <v>0</v>
      </c>
      <c r="AV127" s="37"/>
      <c r="AW127" s="37"/>
      <c r="AX127" s="37"/>
      <c r="AY127" s="37"/>
      <c r="AZ127" s="37"/>
      <c r="BA127" s="37">
        <f>+AR127+AS127+AU127+AW127+AY127+AZ127</f>
        <v>0</v>
      </c>
      <c r="BB127" s="33"/>
      <c r="BC127" s="504"/>
      <c r="BD127" s="504"/>
      <c r="BE127" s="33"/>
      <c r="BF127" s="504"/>
    </row>
    <row r="128" spans="1:58" ht="16.5" customHeight="1">
      <c r="A128" s="40"/>
      <c r="B128" s="41"/>
      <c r="C128" s="415"/>
      <c r="D128" s="41"/>
      <c r="E128" s="42"/>
      <c r="F128" s="42"/>
      <c r="G128" s="500"/>
      <c r="H128" s="44"/>
      <c r="I128" s="45"/>
      <c r="J128" s="82"/>
      <c r="K128" s="82"/>
      <c r="L128" s="35"/>
      <c r="M128" s="35"/>
      <c r="N128" s="46"/>
      <c r="O128" s="47"/>
      <c r="P128" s="48"/>
      <c r="Q128" s="47"/>
      <c r="R128" s="501"/>
      <c r="S128" s="501"/>
      <c r="T128" s="37"/>
      <c r="U128" s="37"/>
      <c r="V128" s="37"/>
      <c r="W128" s="37"/>
      <c r="X128" s="502"/>
      <c r="Y128" s="211"/>
      <c r="Z128" s="37"/>
      <c r="AA128" s="49"/>
      <c r="AB128" s="49"/>
      <c r="AC128" s="37"/>
      <c r="AD128" s="37"/>
      <c r="AE128" s="230"/>
      <c r="AF128" s="37"/>
      <c r="AG128" s="37"/>
      <c r="AH128" s="37"/>
      <c r="AI128" s="503"/>
      <c r="AJ128" s="37"/>
      <c r="AK128" s="37"/>
      <c r="AL128" s="37"/>
      <c r="AM128" s="37"/>
      <c r="AN128" s="37"/>
      <c r="AO128" s="37"/>
      <c r="AP128" s="37"/>
      <c r="AQ128" s="37"/>
      <c r="AR128" s="37"/>
      <c r="AS128" s="37"/>
      <c r="AT128" s="37"/>
      <c r="AU128" s="37"/>
      <c r="AV128" s="37"/>
      <c r="AW128" s="37"/>
      <c r="AX128" s="37"/>
      <c r="AY128" s="37"/>
      <c r="AZ128" s="37"/>
      <c r="BA128" s="37"/>
      <c r="BB128" s="33"/>
      <c r="BC128" s="51"/>
      <c r="BD128" s="504"/>
      <c r="BE128" s="33"/>
      <c r="BF128" s="504"/>
    </row>
    <row r="129" spans="1:58" ht="12.75" customHeight="1">
      <c r="A129" s="40">
        <v>45927</v>
      </c>
      <c r="B129" s="41" t="s">
        <v>424</v>
      </c>
      <c r="C129" s="415">
        <f t="shared" ref="C129" si="295">(M129*E129*O129*Q129)/100000000</f>
        <v>0</v>
      </c>
      <c r="D129" s="41" t="s">
        <v>304</v>
      </c>
      <c r="E129" s="42">
        <v>12</v>
      </c>
      <c r="F129" s="42">
        <v>1</v>
      </c>
      <c r="G129" s="500">
        <v>1230</v>
      </c>
      <c r="H129" s="44">
        <v>0.23</v>
      </c>
      <c r="I129" s="45">
        <v>0.88</v>
      </c>
      <c r="J129" s="82">
        <f t="shared" ref="J129" si="296">E129*G129*(1-H129)*1440/1000000*2.74</f>
        <v>44.842533120000006</v>
      </c>
      <c r="K129" s="82">
        <f t="shared" ref="K129" si="297">(IF(G129&lt;L129,L129,G129)*(1-IF(H129&lt;N129,H129,N129))*E129*O129*Q129)/100000000</f>
        <v>0</v>
      </c>
      <c r="L129" s="35">
        <v>1230</v>
      </c>
      <c r="M129" s="35">
        <v>947.09999999999991</v>
      </c>
      <c r="N129" s="46">
        <f t="shared" ref="N129" si="298">1-(M129/L129)</f>
        <v>0.23000000000000009</v>
      </c>
      <c r="O129" s="47">
        <f>+'Trim Rwd'!H74</f>
        <v>264</v>
      </c>
      <c r="P129" s="48">
        <f t="shared" ref="P129" si="299">O129*(Q129-R129-S129)</f>
        <v>0</v>
      </c>
      <c r="Q129" s="47">
        <f>1440-1440</f>
        <v>0</v>
      </c>
      <c r="R129" s="501">
        <f>1440-1440</f>
        <v>0</v>
      </c>
      <c r="S129" s="501">
        <v>0</v>
      </c>
      <c r="T129" s="37">
        <f t="shared" ref="T129" si="300">E129*M129*O129*Q129/100000000</f>
        <v>0</v>
      </c>
      <c r="U129" s="37">
        <f t="shared" ref="U129" si="301">E129*M129*O129*(Q129-R129-S129)/100000000</f>
        <v>0</v>
      </c>
      <c r="V129" s="37">
        <f t="shared" ref="V129" si="302">E129*G129*(1-N129)*O129/100*(R129+S129)/1000000</f>
        <v>0</v>
      </c>
      <c r="W129" s="37">
        <v>0</v>
      </c>
      <c r="X129" s="502" t="e">
        <f>SUM(W129:W132)/SUM(K129:K132)</f>
        <v>#DIV/0!</v>
      </c>
      <c r="Y129" s="211">
        <f>+SUM(RBP!AG28:AG29)</f>
        <v>0</v>
      </c>
      <c r="Z129" s="37">
        <v>0</v>
      </c>
      <c r="AA129" s="49">
        <f>SUM(U129:U132)-SUM(W129:W132)-SUM(Z129:Z132)-SUM(Y129:Y132)</f>
        <v>0</v>
      </c>
      <c r="AB129" s="49">
        <f>(SUM(K129:K132)-SUM(W129:W132)-SUM(Y129:Y132)-SUM(Z129:Z132)-SUM(AC129:AC132)-SUM(V129:V132))-AA129</f>
        <v>0</v>
      </c>
      <c r="AC129" s="37">
        <f>K129-T129</f>
        <v>0</v>
      </c>
      <c r="AD129" s="37">
        <f>+AM129+BA129</f>
        <v>0</v>
      </c>
      <c r="AE129" s="230" t="s">
        <v>466</v>
      </c>
      <c r="AF129" s="37">
        <v>0</v>
      </c>
      <c r="AG129" s="37"/>
      <c r="AH129" s="37"/>
      <c r="AI129" s="37"/>
      <c r="AJ129" s="37"/>
      <c r="AK129" s="37"/>
      <c r="AL129" s="37"/>
      <c r="AM129" s="37">
        <f t="shared" ref="AM129:AM131" si="303">SUM(AF129:AL129)+AT129+AV129+AX129</f>
        <v>0</v>
      </c>
      <c r="AN129" s="37"/>
      <c r="AO129" s="37"/>
      <c r="AP129" s="37"/>
      <c r="AQ129" s="37"/>
      <c r="AR129" s="37">
        <f>SUM(AN129:AQ129)</f>
        <v>0</v>
      </c>
      <c r="AS129" s="37"/>
      <c r="AT129" s="37"/>
      <c r="AU129" s="37"/>
      <c r="AV129" s="37"/>
      <c r="AW129" s="37"/>
      <c r="AX129" s="37"/>
      <c r="AY129" s="37"/>
      <c r="AZ129" s="37"/>
      <c r="BA129" s="37">
        <f>+AR129+AS129+AU129+AW129+AY129+AZ129</f>
        <v>0</v>
      </c>
      <c r="BB129" s="33">
        <v>0</v>
      </c>
      <c r="BC129" s="51"/>
      <c r="BD129" s="51"/>
      <c r="BE129" s="33"/>
      <c r="BF129" s="51"/>
    </row>
    <row r="130" spans="1:58" ht="12.95" customHeight="1">
      <c r="A130" s="40"/>
      <c r="B130" s="41"/>
      <c r="C130" s="415"/>
      <c r="D130" s="41"/>
      <c r="E130" s="42"/>
      <c r="F130" s="42"/>
      <c r="G130" s="500"/>
      <c r="H130" s="44"/>
      <c r="I130" s="45"/>
      <c r="J130" s="82"/>
      <c r="K130" s="82"/>
      <c r="L130" s="35"/>
      <c r="M130" s="35"/>
      <c r="N130" s="46"/>
      <c r="O130" s="47"/>
      <c r="P130" s="48"/>
      <c r="Q130" s="47"/>
      <c r="R130" s="501"/>
      <c r="S130" s="501"/>
      <c r="T130" s="37"/>
      <c r="U130" s="37"/>
      <c r="V130" s="37"/>
      <c r="W130" s="37">
        <v>0</v>
      </c>
      <c r="X130" s="38"/>
      <c r="Y130" s="211"/>
      <c r="Z130" s="37">
        <v>0</v>
      </c>
      <c r="AA130" s="37"/>
      <c r="AB130" s="37"/>
      <c r="AC130" s="37">
        <f>K130-T130</f>
        <v>0</v>
      </c>
      <c r="AD130" s="37">
        <f>+AM130+BA130</f>
        <v>0</v>
      </c>
      <c r="AE130" s="230" t="s">
        <v>432</v>
      </c>
      <c r="AF130" s="37"/>
      <c r="AG130" s="37">
        <v>0</v>
      </c>
      <c r="AH130" s="37"/>
      <c r="AI130" s="37"/>
      <c r="AJ130" s="37"/>
      <c r="AK130" s="37"/>
      <c r="AL130" s="37"/>
      <c r="AM130" s="37">
        <f t="shared" si="303"/>
        <v>0</v>
      </c>
      <c r="AN130" s="83"/>
      <c r="AO130" s="37"/>
      <c r="AP130" s="37"/>
      <c r="AQ130" s="37"/>
      <c r="AR130" s="37">
        <f t="shared" ref="AR130:AR131" si="304">SUM(AN130:AQ130)</f>
        <v>0</v>
      </c>
      <c r="AS130" s="37"/>
      <c r="AT130" s="37"/>
      <c r="AU130" s="37"/>
      <c r="AV130" s="37"/>
      <c r="AW130" s="37"/>
      <c r="AX130" s="37"/>
      <c r="AY130" s="37"/>
      <c r="AZ130" s="37"/>
      <c r="BA130" s="37">
        <f>+AR130+AS130+AU130+AW130+AY130+AZ130</f>
        <v>0</v>
      </c>
      <c r="BB130" s="50"/>
      <c r="BC130" s="51">
        <v>0</v>
      </c>
      <c r="BD130" s="51"/>
      <c r="BE130" s="50"/>
      <c r="BF130" s="51"/>
    </row>
    <row r="131" spans="1:58" ht="12.95" customHeight="1">
      <c r="A131" s="40"/>
      <c r="B131" s="41"/>
      <c r="C131" s="415"/>
      <c r="D131" s="41"/>
      <c r="E131" s="42"/>
      <c r="F131" s="42"/>
      <c r="G131" s="43"/>
      <c r="H131" s="44"/>
      <c r="I131" s="45"/>
      <c r="J131" s="82"/>
      <c r="K131" s="82"/>
      <c r="L131" s="35"/>
      <c r="M131" s="35"/>
      <c r="N131" s="46"/>
      <c r="O131" s="47"/>
      <c r="P131" s="48"/>
      <c r="Q131" s="47"/>
      <c r="R131" s="501"/>
      <c r="S131" s="501"/>
      <c r="T131" s="37"/>
      <c r="U131" s="37"/>
      <c r="V131" s="37"/>
      <c r="W131" s="37"/>
      <c r="X131" s="38"/>
      <c r="Y131" s="211"/>
      <c r="Z131" s="37"/>
      <c r="AA131" s="37"/>
      <c r="AB131" s="37"/>
      <c r="AC131" s="37"/>
      <c r="AD131" s="37">
        <f>+AM131+BA131</f>
        <v>0</v>
      </c>
      <c r="AE131" s="230" t="s">
        <v>507</v>
      </c>
      <c r="AF131" s="33"/>
      <c r="AG131" s="33"/>
      <c r="AH131" s="33">
        <v>0</v>
      </c>
      <c r="AI131" s="33"/>
      <c r="AJ131" s="37"/>
      <c r="AK131" s="37"/>
      <c r="AL131" s="37"/>
      <c r="AM131" s="37">
        <f t="shared" si="303"/>
        <v>0</v>
      </c>
      <c r="AN131" s="37"/>
      <c r="AO131" s="37"/>
      <c r="AP131" s="37"/>
      <c r="AQ131" s="37"/>
      <c r="AR131" s="37">
        <f t="shared" si="304"/>
        <v>0</v>
      </c>
      <c r="AS131" s="37"/>
      <c r="AT131" s="37"/>
      <c r="AU131" s="37"/>
      <c r="AV131" s="37"/>
      <c r="AW131" s="37"/>
      <c r="AX131" s="37"/>
      <c r="AY131" s="37"/>
      <c r="AZ131" s="37"/>
      <c r="BA131" s="37">
        <f>+AR131+AS131+AU131+AW131+AY131+AZ131</f>
        <v>0</v>
      </c>
      <c r="BB131" s="33"/>
      <c r="BC131" s="504"/>
      <c r="BD131" s="504"/>
      <c r="BE131" s="33"/>
      <c r="BF131" s="504"/>
    </row>
    <row r="132" spans="1:58" ht="12.95" customHeight="1">
      <c r="A132" s="40"/>
      <c r="B132" s="41"/>
      <c r="C132" s="415"/>
      <c r="D132" s="41"/>
      <c r="E132" s="42"/>
      <c r="F132" s="42"/>
      <c r="G132" s="43"/>
      <c r="H132" s="44"/>
      <c r="I132" s="45"/>
      <c r="J132" s="82"/>
      <c r="K132" s="82"/>
      <c r="L132" s="35"/>
      <c r="M132" s="35"/>
      <c r="N132" s="46"/>
      <c r="O132" s="47"/>
      <c r="P132" s="48"/>
      <c r="Q132" s="47"/>
      <c r="R132" s="501"/>
      <c r="S132" s="501"/>
      <c r="T132" s="37"/>
      <c r="U132" s="37"/>
      <c r="V132" s="37"/>
      <c r="W132" s="37"/>
      <c r="X132" s="38"/>
      <c r="Y132" s="211"/>
      <c r="Z132" s="37"/>
      <c r="AA132" s="37"/>
      <c r="AB132" s="37"/>
      <c r="AC132" s="37"/>
      <c r="AD132" s="37">
        <f>+AM132+BA132</f>
        <v>0</v>
      </c>
      <c r="AE132" s="230" t="s">
        <v>586</v>
      </c>
      <c r="AF132" s="33"/>
      <c r="AG132" s="33"/>
      <c r="AH132" s="33"/>
      <c r="AI132" s="33"/>
      <c r="AJ132" s="37"/>
      <c r="AK132" s="37"/>
      <c r="AL132" s="37"/>
      <c r="AM132" s="37">
        <f t="shared" ref="AM132" si="305">SUM(AF132:AL132)+AT132+AV132+AX132</f>
        <v>0</v>
      </c>
      <c r="AN132" s="37"/>
      <c r="AO132" s="37"/>
      <c r="AP132" s="37"/>
      <c r="AQ132" s="37"/>
      <c r="AR132" s="37">
        <f t="shared" ref="AR132" si="306">SUM(AN132:AQ132)</f>
        <v>0</v>
      </c>
      <c r="AS132" s="37"/>
      <c r="AT132" s="37"/>
      <c r="AU132" s="37">
        <f>1440-1440</f>
        <v>0</v>
      </c>
      <c r="AV132" s="37"/>
      <c r="AW132" s="37"/>
      <c r="AX132" s="37"/>
      <c r="AY132" s="37"/>
      <c r="AZ132" s="37"/>
      <c r="BA132" s="37">
        <f>+AR132+AS132+AU132+AW132+AY132+AZ132</f>
        <v>0</v>
      </c>
      <c r="BB132" s="33"/>
      <c r="BC132" s="504"/>
      <c r="BD132" s="504"/>
      <c r="BE132" s="33"/>
      <c r="BF132" s="504"/>
    </row>
    <row r="133" spans="1:58" ht="16.5" customHeight="1">
      <c r="A133" s="40"/>
      <c r="B133" s="41"/>
      <c r="C133" s="415"/>
      <c r="D133" s="41"/>
      <c r="E133" s="42"/>
      <c r="F133" s="42"/>
      <c r="G133" s="500"/>
      <c r="H133" s="44"/>
      <c r="I133" s="45"/>
      <c r="J133" s="82"/>
      <c r="K133" s="82"/>
      <c r="L133" s="35"/>
      <c r="M133" s="35"/>
      <c r="N133" s="46"/>
      <c r="O133" s="47"/>
      <c r="P133" s="48"/>
      <c r="Q133" s="47"/>
      <c r="R133" s="501"/>
      <c r="S133" s="501"/>
      <c r="T133" s="37"/>
      <c r="U133" s="37"/>
      <c r="V133" s="37"/>
      <c r="W133" s="37"/>
      <c r="X133" s="502"/>
      <c r="Y133" s="211"/>
      <c r="Z133" s="37"/>
      <c r="AA133" s="49"/>
      <c r="AB133" s="49"/>
      <c r="AC133" s="37"/>
      <c r="AD133" s="37"/>
      <c r="AE133" s="230"/>
      <c r="AF133" s="37"/>
      <c r="AG133" s="37"/>
      <c r="AH133" s="37"/>
      <c r="AI133" s="503"/>
      <c r="AJ133" s="37"/>
      <c r="AK133" s="37"/>
      <c r="AL133" s="37"/>
      <c r="AM133" s="37"/>
      <c r="AN133" s="37"/>
      <c r="AO133" s="37"/>
      <c r="AP133" s="37"/>
      <c r="AQ133" s="37"/>
      <c r="AR133" s="37"/>
      <c r="AS133" s="37"/>
      <c r="AT133" s="37"/>
      <c r="AU133" s="37"/>
      <c r="AV133" s="37"/>
      <c r="AW133" s="37"/>
      <c r="AX133" s="37"/>
      <c r="AY133" s="37"/>
      <c r="AZ133" s="37"/>
      <c r="BA133" s="37"/>
      <c r="BB133" s="33"/>
      <c r="BC133" s="51"/>
      <c r="BD133" s="504"/>
      <c r="BE133" s="33"/>
      <c r="BF133" s="504"/>
    </row>
    <row r="134" spans="1:58" ht="12.75" customHeight="1">
      <c r="A134" s="40">
        <v>45928</v>
      </c>
      <c r="B134" s="41" t="s">
        <v>424</v>
      </c>
      <c r="C134" s="415">
        <f t="shared" ref="C134" si="307">(M134*E134*O134*Q134)/100000000</f>
        <v>0</v>
      </c>
      <c r="D134" s="41" t="s">
        <v>304</v>
      </c>
      <c r="E134" s="42">
        <v>12</v>
      </c>
      <c r="F134" s="42">
        <v>1</v>
      </c>
      <c r="G134" s="500">
        <v>1230</v>
      </c>
      <c r="H134" s="44">
        <v>0.23</v>
      </c>
      <c r="I134" s="45">
        <v>0.88</v>
      </c>
      <c r="J134" s="82">
        <f t="shared" ref="J134" si="308">E134*G134*(1-H134)*1440/1000000*2.74</f>
        <v>44.842533120000006</v>
      </c>
      <c r="K134" s="82">
        <f t="shared" ref="K134" si="309">(IF(G134&lt;L134,L134,G134)*(1-IF(H134&lt;N134,H134,N134))*E134*O134*Q134)/100000000</f>
        <v>0</v>
      </c>
      <c r="L134" s="35">
        <v>1230</v>
      </c>
      <c r="M134" s="35">
        <v>947.09999999999991</v>
      </c>
      <c r="N134" s="46">
        <f t="shared" ref="N134" si="310">1-(M134/L134)</f>
        <v>0.23000000000000009</v>
      </c>
      <c r="O134" s="47">
        <f>+'Trim Rwd'!H76</f>
        <v>264</v>
      </c>
      <c r="P134" s="48">
        <f t="shared" ref="P134" si="311">O134*(Q134-R134-S134)</f>
        <v>0</v>
      </c>
      <c r="Q134" s="47">
        <f>1440-1440</f>
        <v>0</v>
      </c>
      <c r="R134" s="501">
        <f>1440-1440</f>
        <v>0</v>
      </c>
      <c r="S134" s="501">
        <v>0</v>
      </c>
      <c r="T134" s="37">
        <f t="shared" ref="T134" si="312">E134*M134*O134*Q134/100000000</f>
        <v>0</v>
      </c>
      <c r="U134" s="37">
        <f t="shared" ref="U134" si="313">E134*M134*O134*(Q134-R134-S134)/100000000</f>
        <v>0</v>
      </c>
      <c r="V134" s="37">
        <f t="shared" ref="V134" si="314">E134*G134*(1-N134)*O134/100*(R134+S134)/1000000</f>
        <v>0</v>
      </c>
      <c r="W134" s="37">
        <v>0</v>
      </c>
      <c r="X134" s="502" t="e">
        <f>SUM(W134:W137)/SUM(K134:K137)</f>
        <v>#DIV/0!</v>
      </c>
      <c r="Y134" s="211">
        <v>0</v>
      </c>
      <c r="Z134" s="37">
        <v>0</v>
      </c>
      <c r="AA134" s="49">
        <f>SUM(U134:U137)-SUM(W134:W137)-SUM(Z134:Z137)-SUM(Y134:Y137)</f>
        <v>0</v>
      </c>
      <c r="AB134" s="49">
        <f>(SUM(K134:K137)-SUM(W134:W137)-SUM(Y134:Y137)-SUM(Z134:Z137)-SUM(AC134:AC137)-SUM(V134:V137))-AA134</f>
        <v>0</v>
      </c>
      <c r="AC134" s="37">
        <f>K134-T134</f>
        <v>0</v>
      </c>
      <c r="AD134" s="37">
        <f>+AM134+BA134</f>
        <v>0</v>
      </c>
      <c r="AE134" s="230" t="s">
        <v>466</v>
      </c>
      <c r="AF134" s="37">
        <v>0</v>
      </c>
      <c r="AG134" s="37"/>
      <c r="AH134" s="37"/>
      <c r="AI134" s="37"/>
      <c r="AJ134" s="37"/>
      <c r="AK134" s="37"/>
      <c r="AL134" s="37"/>
      <c r="AM134" s="37">
        <f t="shared" ref="AM134:AM136" si="315">SUM(AF134:AL134)+AT134+AV134+AX134</f>
        <v>0</v>
      </c>
      <c r="AN134" s="37"/>
      <c r="AO134" s="37"/>
      <c r="AP134" s="37"/>
      <c r="AQ134" s="37"/>
      <c r="AR134" s="37">
        <f>SUM(AN134:AQ134)</f>
        <v>0</v>
      </c>
      <c r="AS134" s="37"/>
      <c r="AT134" s="37"/>
      <c r="AU134" s="37"/>
      <c r="AV134" s="37"/>
      <c r="AW134" s="37"/>
      <c r="AX134" s="37"/>
      <c r="AY134" s="37"/>
      <c r="AZ134" s="37"/>
      <c r="BA134" s="37">
        <f>+AR134+AS134+AU134+AW134+AY134+AZ134</f>
        <v>0</v>
      </c>
      <c r="BB134" s="33">
        <v>0</v>
      </c>
      <c r="BC134" s="51"/>
      <c r="BD134" s="51"/>
      <c r="BE134" s="33"/>
      <c r="BF134" s="51"/>
    </row>
    <row r="135" spans="1:58" ht="12.95" customHeight="1">
      <c r="A135" s="40"/>
      <c r="B135" s="41"/>
      <c r="C135" s="415"/>
      <c r="D135" s="41"/>
      <c r="E135" s="42"/>
      <c r="F135" s="42"/>
      <c r="G135" s="500"/>
      <c r="H135" s="44"/>
      <c r="I135" s="45"/>
      <c r="J135" s="82"/>
      <c r="K135" s="82"/>
      <c r="L135" s="35"/>
      <c r="M135" s="35"/>
      <c r="N135" s="46"/>
      <c r="O135" s="47"/>
      <c r="P135" s="48"/>
      <c r="Q135" s="47"/>
      <c r="R135" s="501"/>
      <c r="S135" s="501"/>
      <c r="T135" s="37"/>
      <c r="U135" s="37"/>
      <c r="V135" s="37"/>
      <c r="W135" s="37">
        <v>0</v>
      </c>
      <c r="X135" s="38"/>
      <c r="Y135" s="211"/>
      <c r="Z135" s="37">
        <v>0</v>
      </c>
      <c r="AA135" s="37"/>
      <c r="AB135" s="37"/>
      <c r="AC135" s="37">
        <f>K135-T135</f>
        <v>0</v>
      </c>
      <c r="AD135" s="37">
        <f>+AM135+BA135</f>
        <v>0</v>
      </c>
      <c r="AE135" s="230" t="s">
        <v>432</v>
      </c>
      <c r="AF135" s="37"/>
      <c r="AG135" s="37">
        <v>0</v>
      </c>
      <c r="AH135" s="37"/>
      <c r="AI135" s="37"/>
      <c r="AJ135" s="37"/>
      <c r="AK135" s="37"/>
      <c r="AL135" s="37"/>
      <c r="AM135" s="37">
        <f t="shared" si="315"/>
        <v>0</v>
      </c>
      <c r="AN135" s="83"/>
      <c r="AO135" s="37"/>
      <c r="AP135" s="37"/>
      <c r="AQ135" s="37"/>
      <c r="AR135" s="37">
        <f t="shared" ref="AR135:AR136" si="316">SUM(AN135:AQ135)</f>
        <v>0</v>
      </c>
      <c r="AS135" s="37"/>
      <c r="AT135" s="37"/>
      <c r="AU135" s="37"/>
      <c r="AV135" s="37"/>
      <c r="AW135" s="37"/>
      <c r="AX135" s="37"/>
      <c r="AY135" s="37"/>
      <c r="AZ135" s="37"/>
      <c r="BA135" s="37">
        <f>+AR135+AS135+AU135+AW135+AY135+AZ135</f>
        <v>0</v>
      </c>
      <c r="BB135" s="50"/>
      <c r="BC135" s="51">
        <v>0</v>
      </c>
      <c r="BD135" s="51"/>
      <c r="BE135" s="50"/>
      <c r="BF135" s="51"/>
    </row>
    <row r="136" spans="1:58" ht="12.95" customHeight="1">
      <c r="A136" s="40"/>
      <c r="B136" s="41"/>
      <c r="C136" s="415"/>
      <c r="D136" s="41"/>
      <c r="E136" s="42"/>
      <c r="F136" s="42"/>
      <c r="G136" s="43"/>
      <c r="H136" s="44"/>
      <c r="I136" s="45"/>
      <c r="J136" s="82"/>
      <c r="K136" s="82"/>
      <c r="L136" s="35"/>
      <c r="M136" s="35"/>
      <c r="N136" s="46"/>
      <c r="O136" s="47"/>
      <c r="P136" s="48"/>
      <c r="Q136" s="47"/>
      <c r="R136" s="501"/>
      <c r="S136" s="501"/>
      <c r="T136" s="37"/>
      <c r="U136" s="37"/>
      <c r="V136" s="37"/>
      <c r="W136" s="37"/>
      <c r="X136" s="38"/>
      <c r="Y136" s="211"/>
      <c r="Z136" s="37"/>
      <c r="AA136" s="37"/>
      <c r="AB136" s="37"/>
      <c r="AC136" s="37"/>
      <c r="AD136" s="37">
        <f>+AM136+BA136</f>
        <v>0</v>
      </c>
      <c r="AE136" s="230" t="s">
        <v>507</v>
      </c>
      <c r="AF136" s="33"/>
      <c r="AG136" s="33"/>
      <c r="AH136" s="33">
        <v>0</v>
      </c>
      <c r="AI136" s="33"/>
      <c r="AJ136" s="37"/>
      <c r="AK136" s="37"/>
      <c r="AL136" s="37"/>
      <c r="AM136" s="37">
        <f t="shared" si="315"/>
        <v>0</v>
      </c>
      <c r="AN136" s="37"/>
      <c r="AO136" s="37"/>
      <c r="AP136" s="37"/>
      <c r="AQ136" s="37"/>
      <c r="AR136" s="37">
        <f t="shared" si="316"/>
        <v>0</v>
      </c>
      <c r="AS136" s="37"/>
      <c r="AT136" s="37"/>
      <c r="AU136" s="37"/>
      <c r="AV136" s="37"/>
      <c r="AW136" s="37"/>
      <c r="AX136" s="37"/>
      <c r="AY136" s="37"/>
      <c r="AZ136" s="37"/>
      <c r="BA136" s="37">
        <f>+AR136+AS136+AU136+AW136+AY136+AZ136</f>
        <v>0</v>
      </c>
      <c r="BB136" s="33"/>
      <c r="BC136" s="504"/>
      <c r="BD136" s="504"/>
      <c r="BE136" s="33"/>
      <c r="BF136" s="504"/>
    </row>
    <row r="137" spans="1:58" ht="12.95" customHeight="1">
      <c r="A137" s="40"/>
      <c r="B137" s="41"/>
      <c r="C137" s="415"/>
      <c r="D137" s="41"/>
      <c r="E137" s="42"/>
      <c r="F137" s="42"/>
      <c r="G137" s="43"/>
      <c r="H137" s="44"/>
      <c r="I137" s="45"/>
      <c r="J137" s="82"/>
      <c r="K137" s="82"/>
      <c r="L137" s="35"/>
      <c r="M137" s="35"/>
      <c r="N137" s="46"/>
      <c r="O137" s="47"/>
      <c r="P137" s="48"/>
      <c r="Q137" s="47"/>
      <c r="R137" s="501"/>
      <c r="S137" s="501"/>
      <c r="T137" s="37"/>
      <c r="U137" s="37"/>
      <c r="V137" s="37"/>
      <c r="W137" s="37"/>
      <c r="X137" s="38"/>
      <c r="Y137" s="211"/>
      <c r="Z137" s="37"/>
      <c r="AA137" s="37"/>
      <c r="AB137" s="37"/>
      <c r="AC137" s="37"/>
      <c r="AD137" s="37">
        <f>+AM137+BA137</f>
        <v>0</v>
      </c>
      <c r="AE137" s="230" t="s">
        <v>586</v>
      </c>
      <c r="AF137" s="33"/>
      <c r="AG137" s="33"/>
      <c r="AH137" s="33"/>
      <c r="AI137" s="33"/>
      <c r="AJ137" s="37"/>
      <c r="AK137" s="37"/>
      <c r="AL137" s="37"/>
      <c r="AM137" s="37">
        <f t="shared" ref="AM137" si="317">SUM(AF137:AL137)+AT137+AV137+AX137</f>
        <v>0</v>
      </c>
      <c r="AN137" s="37"/>
      <c r="AO137" s="37"/>
      <c r="AP137" s="37"/>
      <c r="AQ137" s="37"/>
      <c r="AR137" s="37">
        <f t="shared" ref="AR137" si="318">SUM(AN137:AQ137)</f>
        <v>0</v>
      </c>
      <c r="AS137" s="37"/>
      <c r="AT137" s="37"/>
      <c r="AU137" s="37">
        <f>1440-1440</f>
        <v>0</v>
      </c>
      <c r="AV137" s="37"/>
      <c r="AW137" s="37"/>
      <c r="AX137" s="37"/>
      <c r="AY137" s="37"/>
      <c r="AZ137" s="37"/>
      <c r="BA137" s="37">
        <f>+AR137+AS137+AU137+AW137+AY137+AZ137</f>
        <v>0</v>
      </c>
      <c r="BB137" s="33"/>
      <c r="BC137" s="504"/>
      <c r="BD137" s="504"/>
      <c r="BE137" s="33"/>
      <c r="BF137" s="504"/>
    </row>
    <row r="138" spans="1:58" ht="16.5" customHeight="1">
      <c r="A138" s="40"/>
      <c r="B138" s="41"/>
      <c r="C138" s="415"/>
      <c r="D138" s="41"/>
      <c r="E138" s="42"/>
      <c r="F138" s="42"/>
      <c r="G138" s="500"/>
      <c r="H138" s="44"/>
      <c r="I138" s="45"/>
      <c r="J138" s="82"/>
      <c r="K138" s="82"/>
      <c r="L138" s="35"/>
      <c r="M138" s="35"/>
      <c r="N138" s="46"/>
      <c r="O138" s="47"/>
      <c r="P138" s="48"/>
      <c r="Q138" s="47"/>
      <c r="R138" s="501"/>
      <c r="S138" s="501"/>
      <c r="T138" s="37"/>
      <c r="U138" s="37"/>
      <c r="V138" s="37"/>
      <c r="W138" s="37"/>
      <c r="X138" s="502"/>
      <c r="Y138" s="211"/>
      <c r="Z138" s="37"/>
      <c r="AA138" s="49"/>
      <c r="AB138" s="49"/>
      <c r="AC138" s="37"/>
      <c r="AD138" s="37"/>
      <c r="AE138" s="230"/>
      <c r="AF138" s="37"/>
      <c r="AG138" s="37"/>
      <c r="AH138" s="37"/>
      <c r="AI138" s="503"/>
      <c r="AJ138" s="37"/>
      <c r="AK138" s="37"/>
      <c r="AL138" s="37"/>
      <c r="AM138" s="37"/>
      <c r="AN138" s="37"/>
      <c r="AO138" s="37"/>
      <c r="AP138" s="37"/>
      <c r="AQ138" s="37"/>
      <c r="AR138" s="37"/>
      <c r="AS138" s="37"/>
      <c r="AT138" s="37"/>
      <c r="AU138" s="37"/>
      <c r="AV138" s="37"/>
      <c r="AW138" s="37"/>
      <c r="AX138" s="37"/>
      <c r="AY138" s="37"/>
      <c r="AZ138" s="37"/>
      <c r="BA138" s="37"/>
      <c r="BB138" s="33"/>
      <c r="BC138" s="51"/>
      <c r="BD138" s="504"/>
      <c r="BE138" s="33"/>
      <c r="BF138" s="504"/>
    </row>
    <row r="139" spans="1:58" ht="12.75" customHeight="1">
      <c r="A139" s="40">
        <v>45929</v>
      </c>
      <c r="B139" s="41" t="s">
        <v>424</v>
      </c>
      <c r="C139" s="415">
        <f t="shared" ref="C139" si="319">(M139*E139*O139*Q139)/100000000</f>
        <v>0</v>
      </c>
      <c r="D139" s="41" t="s">
        <v>304</v>
      </c>
      <c r="E139" s="42">
        <v>12</v>
      </c>
      <c r="F139" s="42">
        <v>1</v>
      </c>
      <c r="G139" s="500">
        <v>1230</v>
      </c>
      <c r="H139" s="44">
        <v>0.23</v>
      </c>
      <c r="I139" s="45">
        <v>0.88</v>
      </c>
      <c r="J139" s="82">
        <f t="shared" ref="J139" si="320">E139*G139*(1-H139)*1440/1000000*2.74</f>
        <v>44.842533120000006</v>
      </c>
      <c r="K139" s="82">
        <f t="shared" ref="K139" si="321">(IF(G139&lt;L139,L139,G139)*(1-IF(H139&lt;N139,H139,N139))*E139*O139*Q139)/100000000</f>
        <v>0</v>
      </c>
      <c r="L139" s="35">
        <v>1230</v>
      </c>
      <c r="M139" s="35">
        <v>947.09999999999991</v>
      </c>
      <c r="N139" s="46">
        <f t="shared" ref="N139" si="322">1-(M139/L139)</f>
        <v>0.23000000000000009</v>
      </c>
      <c r="O139" s="47">
        <f>+'Trim Rwd'!H78</f>
        <v>264</v>
      </c>
      <c r="P139" s="48">
        <f t="shared" ref="P139" si="323">O139*(Q139-R139-S139)</f>
        <v>0</v>
      </c>
      <c r="Q139" s="47">
        <f>1440-1440</f>
        <v>0</v>
      </c>
      <c r="R139" s="501">
        <f>1440-1440</f>
        <v>0</v>
      </c>
      <c r="S139" s="501">
        <v>0</v>
      </c>
      <c r="T139" s="37">
        <f t="shared" ref="T139" si="324">E139*M139*O139*Q139/100000000</f>
        <v>0</v>
      </c>
      <c r="U139" s="37">
        <f t="shared" ref="U139" si="325">E139*M139*O139*(Q139-R139-S139)/100000000</f>
        <v>0</v>
      </c>
      <c r="V139" s="37">
        <f t="shared" ref="V139" si="326">E139*G139*(1-N139)*O139/100*(R139+S139)/1000000</f>
        <v>0</v>
      </c>
      <c r="W139" s="37">
        <v>0</v>
      </c>
      <c r="X139" s="502" t="e">
        <f>SUM(W139:W142)/SUM(K139:K142)</f>
        <v>#DIV/0!</v>
      </c>
      <c r="Y139" s="211">
        <v>0</v>
      </c>
      <c r="Z139" s="37">
        <v>0</v>
      </c>
      <c r="AA139" s="49">
        <f>SUM(U139:U142)-SUM(W139:W142)-SUM(Z139:Z142)-SUM(Y139:Y142)</f>
        <v>0</v>
      </c>
      <c r="AB139" s="49">
        <f>(SUM(K139:K142)-SUM(W139:W142)-SUM(Y139:Y142)-SUM(Z139:Z142)-SUM(AC139:AC142)-SUM(V139:V142))-AA139</f>
        <v>0</v>
      </c>
      <c r="AC139" s="37">
        <f>K139-T139</f>
        <v>0</v>
      </c>
      <c r="AD139" s="37">
        <f>+AM139+BA139</f>
        <v>0</v>
      </c>
      <c r="AE139" s="230" t="s">
        <v>466</v>
      </c>
      <c r="AF139" s="37">
        <v>0</v>
      </c>
      <c r="AG139" s="37"/>
      <c r="AH139" s="37"/>
      <c r="AI139" s="37"/>
      <c r="AJ139" s="37"/>
      <c r="AK139" s="37"/>
      <c r="AL139" s="37"/>
      <c r="AM139" s="37">
        <f t="shared" ref="AM139:AM141" si="327">SUM(AF139:AL139)+AT139+AV139+AX139</f>
        <v>0</v>
      </c>
      <c r="AN139" s="37"/>
      <c r="AO139" s="37"/>
      <c r="AP139" s="37"/>
      <c r="AQ139" s="37"/>
      <c r="AR139" s="37">
        <f>SUM(AN139:AQ139)</f>
        <v>0</v>
      </c>
      <c r="AS139" s="37"/>
      <c r="AT139" s="37"/>
      <c r="AU139" s="37"/>
      <c r="AV139" s="37"/>
      <c r="AW139" s="37"/>
      <c r="AX139" s="37"/>
      <c r="AY139" s="37"/>
      <c r="AZ139" s="37"/>
      <c r="BA139" s="37">
        <f>+AR139+AS139+AU139+AW139+AY139+AZ139</f>
        <v>0</v>
      </c>
      <c r="BB139" s="33">
        <v>0</v>
      </c>
      <c r="BC139" s="51"/>
      <c r="BD139" s="51"/>
      <c r="BE139" s="33"/>
      <c r="BF139" s="51"/>
    </row>
    <row r="140" spans="1:58" ht="12.95" customHeight="1">
      <c r="A140" s="40"/>
      <c r="B140" s="41"/>
      <c r="C140" s="415"/>
      <c r="D140" s="41"/>
      <c r="E140" s="42"/>
      <c r="F140" s="42"/>
      <c r="G140" s="500"/>
      <c r="H140" s="44"/>
      <c r="I140" s="45"/>
      <c r="J140" s="82"/>
      <c r="K140" s="82"/>
      <c r="L140" s="35"/>
      <c r="M140" s="35"/>
      <c r="N140" s="46"/>
      <c r="O140" s="47"/>
      <c r="P140" s="48"/>
      <c r="Q140" s="47"/>
      <c r="R140" s="501"/>
      <c r="S140" s="501"/>
      <c r="T140" s="37"/>
      <c r="U140" s="37"/>
      <c r="V140" s="37"/>
      <c r="W140" s="37">
        <v>0</v>
      </c>
      <c r="X140" s="38"/>
      <c r="Y140" s="211"/>
      <c r="Z140" s="37">
        <v>0</v>
      </c>
      <c r="AA140" s="37"/>
      <c r="AB140" s="37"/>
      <c r="AC140" s="37">
        <f>K140-T140</f>
        <v>0</v>
      </c>
      <c r="AD140" s="37">
        <f>+AM140+BA140</f>
        <v>0</v>
      </c>
      <c r="AE140" s="230" t="s">
        <v>432</v>
      </c>
      <c r="AF140" s="37"/>
      <c r="AG140" s="37">
        <v>0</v>
      </c>
      <c r="AH140" s="37"/>
      <c r="AI140" s="37"/>
      <c r="AJ140" s="37"/>
      <c r="AK140" s="37"/>
      <c r="AL140" s="37"/>
      <c r="AM140" s="37">
        <f t="shared" si="327"/>
        <v>0</v>
      </c>
      <c r="AN140" s="83"/>
      <c r="AO140" s="37"/>
      <c r="AP140" s="37"/>
      <c r="AQ140" s="37"/>
      <c r="AR140" s="37">
        <f t="shared" ref="AR140:AR141" si="328">SUM(AN140:AQ140)</f>
        <v>0</v>
      </c>
      <c r="AS140" s="37"/>
      <c r="AT140" s="37"/>
      <c r="AU140" s="37"/>
      <c r="AV140" s="37"/>
      <c r="AW140" s="37"/>
      <c r="AX140" s="37"/>
      <c r="AY140" s="37"/>
      <c r="AZ140" s="37"/>
      <c r="BA140" s="37">
        <f>+AR140+AS140+AU140+AW140+AY140+AZ140</f>
        <v>0</v>
      </c>
      <c r="BB140" s="50"/>
      <c r="BC140" s="51">
        <v>0</v>
      </c>
      <c r="BD140" s="51"/>
      <c r="BE140" s="50"/>
      <c r="BF140" s="51"/>
    </row>
    <row r="141" spans="1:58" ht="12.95" customHeight="1">
      <c r="A141" s="40"/>
      <c r="B141" s="41"/>
      <c r="C141" s="415"/>
      <c r="D141" s="41"/>
      <c r="E141" s="42"/>
      <c r="F141" s="42"/>
      <c r="G141" s="43"/>
      <c r="H141" s="44"/>
      <c r="I141" s="45"/>
      <c r="J141" s="82"/>
      <c r="K141" s="82"/>
      <c r="L141" s="35"/>
      <c r="M141" s="35"/>
      <c r="N141" s="46"/>
      <c r="O141" s="47"/>
      <c r="P141" s="48"/>
      <c r="Q141" s="47"/>
      <c r="R141" s="501"/>
      <c r="S141" s="501"/>
      <c r="T141" s="37"/>
      <c r="U141" s="37"/>
      <c r="V141" s="37"/>
      <c r="W141" s="37"/>
      <c r="X141" s="38"/>
      <c r="Y141" s="211"/>
      <c r="Z141" s="37"/>
      <c r="AA141" s="37"/>
      <c r="AB141" s="37"/>
      <c r="AC141" s="37"/>
      <c r="AD141" s="37">
        <f>+AM141+BA141</f>
        <v>0</v>
      </c>
      <c r="AE141" s="230" t="s">
        <v>507</v>
      </c>
      <c r="AF141" s="33"/>
      <c r="AG141" s="33"/>
      <c r="AH141" s="33">
        <v>0</v>
      </c>
      <c r="AI141" s="33"/>
      <c r="AJ141" s="37"/>
      <c r="AK141" s="37"/>
      <c r="AL141" s="37"/>
      <c r="AM141" s="37">
        <f t="shared" si="327"/>
        <v>0</v>
      </c>
      <c r="AN141" s="37"/>
      <c r="AO141" s="37"/>
      <c r="AP141" s="37"/>
      <c r="AQ141" s="37"/>
      <c r="AR141" s="37">
        <f t="shared" si="328"/>
        <v>0</v>
      </c>
      <c r="AS141" s="37"/>
      <c r="AT141" s="37"/>
      <c r="AU141" s="37"/>
      <c r="AV141" s="37"/>
      <c r="AW141" s="37"/>
      <c r="AX141" s="37"/>
      <c r="AY141" s="37"/>
      <c r="AZ141" s="37"/>
      <c r="BA141" s="37">
        <f>+AR141+AS141+AU141+AW141+AY141+AZ141</f>
        <v>0</v>
      </c>
      <c r="BB141" s="33"/>
      <c r="BC141" s="504"/>
      <c r="BD141" s="504"/>
      <c r="BE141" s="33"/>
      <c r="BF141" s="504"/>
    </row>
    <row r="142" spans="1:58" ht="12.95" customHeight="1">
      <c r="A142" s="40"/>
      <c r="B142" s="41"/>
      <c r="C142" s="415"/>
      <c r="D142" s="41"/>
      <c r="E142" s="42"/>
      <c r="F142" s="42"/>
      <c r="G142" s="43"/>
      <c r="H142" s="44"/>
      <c r="I142" s="45"/>
      <c r="J142" s="82"/>
      <c r="K142" s="82"/>
      <c r="L142" s="35"/>
      <c r="M142" s="35"/>
      <c r="N142" s="46"/>
      <c r="O142" s="47"/>
      <c r="P142" s="48"/>
      <c r="Q142" s="47"/>
      <c r="R142" s="501"/>
      <c r="S142" s="501"/>
      <c r="T142" s="37"/>
      <c r="U142" s="37"/>
      <c r="V142" s="37"/>
      <c r="W142" s="37"/>
      <c r="X142" s="38"/>
      <c r="Y142" s="211"/>
      <c r="Z142" s="37"/>
      <c r="AA142" s="37"/>
      <c r="AB142" s="37"/>
      <c r="AC142" s="37"/>
      <c r="AD142" s="37">
        <f>+AM142+BA142</f>
        <v>0</v>
      </c>
      <c r="AE142" s="230" t="s">
        <v>586</v>
      </c>
      <c r="AF142" s="33"/>
      <c r="AG142" s="33"/>
      <c r="AH142" s="33"/>
      <c r="AI142" s="33"/>
      <c r="AJ142" s="37"/>
      <c r="AK142" s="37"/>
      <c r="AL142" s="37"/>
      <c r="AM142" s="37">
        <f t="shared" ref="AM142" si="329">SUM(AF142:AL142)+AT142+AV142+AX142</f>
        <v>0</v>
      </c>
      <c r="AN142" s="37"/>
      <c r="AO142" s="37"/>
      <c r="AP142" s="37"/>
      <c r="AQ142" s="37"/>
      <c r="AR142" s="37">
        <f t="shared" ref="AR142" si="330">SUM(AN142:AQ142)</f>
        <v>0</v>
      </c>
      <c r="AS142" s="37"/>
      <c r="AT142" s="37"/>
      <c r="AU142" s="37">
        <f>1440-1440</f>
        <v>0</v>
      </c>
      <c r="AV142" s="37"/>
      <c r="AW142" s="37"/>
      <c r="AX142" s="37"/>
      <c r="AY142" s="37"/>
      <c r="AZ142" s="37"/>
      <c r="BA142" s="37">
        <f>+AR142+AS142+AU142+AW142+AY142+AZ142</f>
        <v>0</v>
      </c>
      <c r="BB142" s="33"/>
      <c r="BC142" s="504"/>
      <c r="BD142" s="504"/>
      <c r="BE142" s="33"/>
      <c r="BF142" s="504"/>
    </row>
    <row r="143" spans="1:58" ht="12.95" customHeight="1">
      <c r="A143" s="40"/>
      <c r="B143" s="41"/>
      <c r="C143" s="415"/>
      <c r="D143" s="41"/>
      <c r="E143" s="42"/>
      <c r="F143" s="42"/>
      <c r="G143" s="500"/>
      <c r="H143" s="44"/>
      <c r="I143" s="45"/>
      <c r="J143" s="82"/>
      <c r="K143" s="82"/>
      <c r="L143" s="35"/>
      <c r="M143" s="35"/>
      <c r="N143" s="46"/>
      <c r="O143" s="47"/>
      <c r="P143" s="48"/>
      <c r="Q143" s="47"/>
      <c r="R143" s="501"/>
      <c r="S143" s="501"/>
      <c r="T143" s="37"/>
      <c r="U143" s="37"/>
      <c r="V143" s="37"/>
      <c r="W143" s="37"/>
      <c r="X143" s="502"/>
      <c r="Y143" s="211"/>
      <c r="Z143" s="37"/>
      <c r="AA143" s="49"/>
      <c r="AB143" s="49"/>
      <c r="AC143" s="37"/>
      <c r="AD143" s="37"/>
      <c r="AE143" s="230"/>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3"/>
      <c r="BC143" s="51"/>
      <c r="BD143" s="51"/>
      <c r="BE143" s="51"/>
      <c r="BF143" s="51"/>
    </row>
    <row r="144" spans="1:58" ht="12.75" customHeight="1">
      <c r="A144" s="40">
        <v>45930</v>
      </c>
      <c r="B144" s="41" t="s">
        <v>424</v>
      </c>
      <c r="C144" s="415">
        <f t="shared" ref="C144" si="331">(M144*E144*O144*Q144)/100000000</f>
        <v>0</v>
      </c>
      <c r="D144" s="41" t="s">
        <v>304</v>
      </c>
      <c r="E144" s="42">
        <v>12</v>
      </c>
      <c r="F144" s="42">
        <v>1</v>
      </c>
      <c r="G144" s="500">
        <v>1230</v>
      </c>
      <c r="H144" s="44">
        <v>0.23</v>
      </c>
      <c r="I144" s="45">
        <v>0.88</v>
      </c>
      <c r="J144" s="82">
        <f t="shared" ref="J144" si="332">E144*G144*(1-H144)*1440/1000000*2.74</f>
        <v>44.842533120000006</v>
      </c>
      <c r="K144" s="82">
        <f t="shared" ref="K144" si="333">(IF(G144&lt;L144,L144,G144)*(1-IF(H144&lt;N144,H144,N144))*E144*O144*Q144)/100000000</f>
        <v>0</v>
      </c>
      <c r="L144" s="35">
        <v>1230</v>
      </c>
      <c r="M144" s="35">
        <v>947.09999999999991</v>
      </c>
      <c r="N144" s="46">
        <f t="shared" ref="N144" si="334">1-(M144/L144)</f>
        <v>0.23000000000000009</v>
      </c>
      <c r="O144" s="47">
        <f>+'Trim Rwd'!H80</f>
        <v>264</v>
      </c>
      <c r="P144" s="48">
        <f t="shared" ref="P144" si="335">O144*(Q144-R144-S144)</f>
        <v>0</v>
      </c>
      <c r="Q144" s="47">
        <f>1440-1440</f>
        <v>0</v>
      </c>
      <c r="R144" s="501">
        <f>1440-1440</f>
        <v>0</v>
      </c>
      <c r="S144" s="501">
        <v>0</v>
      </c>
      <c r="T144" s="37">
        <f t="shared" ref="T144" si="336">E144*M144*O144*Q144/100000000</f>
        <v>0</v>
      </c>
      <c r="U144" s="37">
        <f t="shared" ref="U144" si="337">E144*M144*O144*(Q144-R144-S144)/100000000</f>
        <v>0</v>
      </c>
      <c r="V144" s="37">
        <f t="shared" ref="V144" si="338">E144*G144*(1-N144)*O144/100*(R144+S144)/1000000</f>
        <v>0</v>
      </c>
      <c r="W144" s="37">
        <v>0</v>
      </c>
      <c r="X144" s="502" t="e">
        <f>SUM(W144:W147)/SUM(K144:K147)</f>
        <v>#DIV/0!</v>
      </c>
      <c r="Y144" s="211">
        <v>0</v>
      </c>
      <c r="Z144" s="37">
        <v>0</v>
      </c>
      <c r="AA144" s="49">
        <f>SUM(U144:U147)-SUM(W144:W147)-SUM(Z144:Z147)-SUM(Y144:Y147)</f>
        <v>0</v>
      </c>
      <c r="AB144" s="49">
        <f>(SUM(K144:K147)-SUM(W144:W147)-SUM(Y144:Y147)-SUM(Z144:Z147)-SUM(AC144:AC147)-SUM(V144:V147))-AA144</f>
        <v>0</v>
      </c>
      <c r="AC144" s="37">
        <f>K144-T144</f>
        <v>0</v>
      </c>
      <c r="AD144" s="37">
        <f>+AM144+BA144</f>
        <v>0</v>
      </c>
      <c r="AE144" s="230" t="s">
        <v>466</v>
      </c>
      <c r="AF144" s="37">
        <v>0</v>
      </c>
      <c r="AG144" s="37"/>
      <c r="AH144" s="37"/>
      <c r="AI144" s="37"/>
      <c r="AJ144" s="37"/>
      <c r="AK144" s="37"/>
      <c r="AL144" s="37"/>
      <c r="AM144" s="37">
        <f t="shared" ref="AM144:AM146" si="339">SUM(AF144:AL144)+AT144+AV144+AX144</f>
        <v>0</v>
      </c>
      <c r="AN144" s="37"/>
      <c r="AO144" s="37"/>
      <c r="AP144" s="37"/>
      <c r="AQ144" s="37"/>
      <c r="AR144" s="37">
        <f>SUM(AN144:AQ144)</f>
        <v>0</v>
      </c>
      <c r="AS144" s="37"/>
      <c r="AT144" s="37"/>
      <c r="AU144" s="37"/>
      <c r="AV144" s="37"/>
      <c r="AW144" s="37"/>
      <c r="AX144" s="37"/>
      <c r="AY144" s="37"/>
      <c r="AZ144" s="37"/>
      <c r="BA144" s="37">
        <f>+AR144+AS144+AU144+AW144+AY144+AZ144</f>
        <v>0</v>
      </c>
      <c r="BB144" s="33">
        <v>0</v>
      </c>
      <c r="BC144" s="51"/>
      <c r="BD144" s="51"/>
      <c r="BE144" s="33"/>
      <c r="BF144" s="51"/>
    </row>
    <row r="145" spans="1:58" ht="12.95" customHeight="1">
      <c r="A145" s="40"/>
      <c r="B145" s="41"/>
      <c r="C145" s="415"/>
      <c r="D145" s="41"/>
      <c r="E145" s="42"/>
      <c r="F145" s="42"/>
      <c r="G145" s="500"/>
      <c r="H145" s="44"/>
      <c r="I145" s="45"/>
      <c r="J145" s="82"/>
      <c r="K145" s="82"/>
      <c r="L145" s="35"/>
      <c r="M145" s="35"/>
      <c r="N145" s="46"/>
      <c r="O145" s="47"/>
      <c r="P145" s="48"/>
      <c r="Q145" s="47"/>
      <c r="R145" s="501"/>
      <c r="S145" s="501"/>
      <c r="T145" s="37"/>
      <c r="U145" s="37"/>
      <c r="V145" s="37"/>
      <c r="W145" s="37">
        <v>0</v>
      </c>
      <c r="X145" s="38"/>
      <c r="Y145" s="211"/>
      <c r="Z145" s="37">
        <v>0</v>
      </c>
      <c r="AA145" s="37"/>
      <c r="AB145" s="37"/>
      <c r="AC145" s="37">
        <f>K145-T145</f>
        <v>0</v>
      </c>
      <c r="AD145" s="37">
        <f>+AM145+BA145</f>
        <v>0</v>
      </c>
      <c r="AE145" s="230" t="s">
        <v>432</v>
      </c>
      <c r="AF145" s="37"/>
      <c r="AG145" s="37">
        <v>0</v>
      </c>
      <c r="AH145" s="37"/>
      <c r="AI145" s="37"/>
      <c r="AJ145" s="37"/>
      <c r="AK145" s="37"/>
      <c r="AL145" s="37"/>
      <c r="AM145" s="37">
        <f t="shared" si="339"/>
        <v>0</v>
      </c>
      <c r="AN145" s="83"/>
      <c r="AO145" s="37"/>
      <c r="AP145" s="37"/>
      <c r="AQ145" s="37"/>
      <c r="AR145" s="37">
        <f t="shared" ref="AR145:AR146" si="340">SUM(AN145:AQ145)</f>
        <v>0</v>
      </c>
      <c r="AS145" s="37"/>
      <c r="AT145" s="37"/>
      <c r="AU145" s="37"/>
      <c r="AV145" s="37"/>
      <c r="AW145" s="37"/>
      <c r="AX145" s="37"/>
      <c r="AY145" s="37"/>
      <c r="AZ145" s="37"/>
      <c r="BA145" s="37">
        <f>+AR145+AS145+AU145+AW145+AY145+AZ145</f>
        <v>0</v>
      </c>
      <c r="BB145" s="50"/>
      <c r="BC145" s="51">
        <v>0</v>
      </c>
      <c r="BD145" s="51"/>
      <c r="BE145" s="50"/>
      <c r="BF145" s="51"/>
    </row>
    <row r="146" spans="1:58" ht="12.95" customHeight="1">
      <c r="A146" s="40"/>
      <c r="B146" s="41"/>
      <c r="C146" s="415"/>
      <c r="D146" s="41"/>
      <c r="E146" s="42"/>
      <c r="F146" s="42"/>
      <c r="G146" s="43"/>
      <c r="H146" s="44"/>
      <c r="I146" s="45"/>
      <c r="J146" s="82"/>
      <c r="K146" s="82"/>
      <c r="L146" s="35"/>
      <c r="M146" s="35"/>
      <c r="N146" s="46"/>
      <c r="O146" s="47"/>
      <c r="P146" s="48"/>
      <c r="Q146" s="47"/>
      <c r="R146" s="501"/>
      <c r="S146" s="501"/>
      <c r="T146" s="37"/>
      <c r="U146" s="37"/>
      <c r="V146" s="37"/>
      <c r="W146" s="37"/>
      <c r="X146" s="38"/>
      <c r="Y146" s="211"/>
      <c r="Z146" s="37"/>
      <c r="AA146" s="37"/>
      <c r="AB146" s="37"/>
      <c r="AC146" s="37"/>
      <c r="AD146" s="37">
        <f>+AM146+BA146</f>
        <v>0</v>
      </c>
      <c r="AE146" s="230" t="s">
        <v>507</v>
      </c>
      <c r="AF146" s="33"/>
      <c r="AG146" s="33"/>
      <c r="AH146" s="33">
        <v>0</v>
      </c>
      <c r="AI146" s="33"/>
      <c r="AJ146" s="37"/>
      <c r="AK146" s="37"/>
      <c r="AL146" s="37"/>
      <c r="AM146" s="37">
        <f t="shared" si="339"/>
        <v>0</v>
      </c>
      <c r="AN146" s="37"/>
      <c r="AO146" s="37"/>
      <c r="AP146" s="37"/>
      <c r="AQ146" s="37"/>
      <c r="AR146" s="37">
        <f t="shared" si="340"/>
        <v>0</v>
      </c>
      <c r="AS146" s="37"/>
      <c r="AT146" s="37"/>
      <c r="AU146" s="37"/>
      <c r="AV146" s="37"/>
      <c r="AW146" s="37"/>
      <c r="AX146" s="37"/>
      <c r="AY146" s="37"/>
      <c r="AZ146" s="37"/>
      <c r="BA146" s="37">
        <f>+AR146+AS146+AU146+AW146+AY146+AZ146</f>
        <v>0</v>
      </c>
      <c r="BB146" s="33"/>
      <c r="BC146" s="504"/>
      <c r="BD146" s="504"/>
      <c r="BE146" s="33"/>
      <c r="BF146" s="504"/>
    </row>
    <row r="147" spans="1:58" ht="12.95" customHeight="1">
      <c r="A147" s="40"/>
      <c r="B147" s="41"/>
      <c r="C147" s="415"/>
      <c r="D147" s="41"/>
      <c r="E147" s="42"/>
      <c r="F147" s="42"/>
      <c r="G147" s="43"/>
      <c r="H147" s="44"/>
      <c r="I147" s="45"/>
      <c r="J147" s="82"/>
      <c r="K147" s="82"/>
      <c r="L147" s="35"/>
      <c r="M147" s="35"/>
      <c r="N147" s="46"/>
      <c r="O147" s="47"/>
      <c r="P147" s="48"/>
      <c r="Q147" s="47"/>
      <c r="R147" s="501"/>
      <c r="S147" s="501"/>
      <c r="T147" s="37"/>
      <c r="U147" s="37"/>
      <c r="V147" s="37"/>
      <c r="W147" s="37"/>
      <c r="X147" s="38"/>
      <c r="Y147" s="211"/>
      <c r="Z147" s="37"/>
      <c r="AA147" s="37"/>
      <c r="AB147" s="37"/>
      <c r="AC147" s="37"/>
      <c r="AD147" s="37">
        <f>+AM147+BA147</f>
        <v>0</v>
      </c>
      <c r="AE147" s="230" t="s">
        <v>586</v>
      </c>
      <c r="AF147" s="33"/>
      <c r="AG147" s="33"/>
      <c r="AH147" s="33"/>
      <c r="AI147" s="33"/>
      <c r="AJ147" s="37"/>
      <c r="AK147" s="37"/>
      <c r="AL147" s="37"/>
      <c r="AM147" s="37">
        <f t="shared" ref="AM147" si="341">SUM(AF147:AL147)+AT147+AV147+AX147</f>
        <v>0</v>
      </c>
      <c r="AN147" s="37"/>
      <c r="AO147" s="37"/>
      <c r="AP147" s="37"/>
      <c r="AQ147" s="37"/>
      <c r="AR147" s="37">
        <f t="shared" ref="AR147" si="342">SUM(AN147:AQ147)</f>
        <v>0</v>
      </c>
      <c r="AS147" s="37"/>
      <c r="AT147" s="37"/>
      <c r="AU147" s="37">
        <f>1440-1440</f>
        <v>0</v>
      </c>
      <c r="AV147" s="37"/>
      <c r="AW147" s="37"/>
      <c r="AX147" s="37"/>
      <c r="AY147" s="37"/>
      <c r="AZ147" s="37"/>
      <c r="BA147" s="37">
        <f>+AR147+AS147+AU147+AW147+AY147+AZ147</f>
        <v>0</v>
      </c>
      <c r="BB147" s="33"/>
      <c r="BC147" s="504"/>
      <c r="BD147" s="504"/>
      <c r="BE147" s="33"/>
      <c r="BF147" s="504"/>
    </row>
    <row r="148" spans="1:58" ht="12.95" customHeight="1">
      <c r="A148" s="40"/>
      <c r="B148" s="41"/>
      <c r="C148" s="415"/>
      <c r="D148" s="41"/>
      <c r="E148" s="42"/>
      <c r="F148" s="42"/>
      <c r="G148" s="500"/>
      <c r="H148" s="44"/>
      <c r="I148" s="45"/>
      <c r="J148" s="82"/>
      <c r="K148" s="82"/>
      <c r="L148" s="35"/>
      <c r="M148" s="35"/>
      <c r="N148" s="46"/>
      <c r="O148" s="47"/>
      <c r="P148" s="48"/>
      <c r="Q148" s="332"/>
      <c r="R148" s="50"/>
      <c r="S148" s="50"/>
      <c r="T148" s="37"/>
      <c r="U148" s="37"/>
      <c r="V148" s="37"/>
      <c r="W148" s="33"/>
      <c r="X148" s="38"/>
      <c r="Y148" s="38"/>
      <c r="Z148" s="33"/>
      <c r="AA148" s="49"/>
      <c r="AB148" s="49"/>
      <c r="AC148" s="37"/>
      <c r="AD148" s="37"/>
      <c r="AE148" s="20"/>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3"/>
      <c r="BC148" s="51"/>
      <c r="BD148" s="51"/>
      <c r="BE148" s="51"/>
      <c r="BF148" s="51"/>
    </row>
    <row r="149" spans="1:58">
      <c r="R149" s="505"/>
      <c r="S149" s="505"/>
      <c r="AA149" s="247">
        <f>U149-W149-Z149</f>
        <v>0</v>
      </c>
      <c r="AB149" s="247"/>
      <c r="AC149" s="248">
        <f>K149-T149</f>
        <v>0</v>
      </c>
      <c r="AD149" s="37"/>
      <c r="AF149" s="52"/>
      <c r="AG149" s="52"/>
      <c r="AH149" s="52"/>
      <c r="AI149" s="52"/>
      <c r="AJ149" s="52"/>
      <c r="AK149" s="52"/>
      <c r="AL149" s="52"/>
      <c r="AM149" s="37">
        <f t="shared" ref="AM149" si="343">SUM(AF149:AL149)</f>
        <v>0</v>
      </c>
      <c r="AN149" s="52"/>
      <c r="AO149" s="52"/>
      <c r="AP149" s="52"/>
      <c r="AQ149" s="52"/>
      <c r="AR149" s="37">
        <f t="shared" ref="AR149" si="344">SUM(AN149:AQ149)</f>
        <v>0</v>
      </c>
      <c r="AS149" s="52"/>
      <c r="AT149" s="52"/>
      <c r="AU149" s="52"/>
      <c r="AV149" s="52"/>
      <c r="AW149" s="52"/>
      <c r="AX149" s="52"/>
      <c r="AY149" s="52"/>
      <c r="AZ149" s="52"/>
      <c r="BA149" s="37"/>
      <c r="BB149" s="33"/>
      <c r="BC149" s="51"/>
      <c r="BD149" s="51"/>
      <c r="BE149" s="51"/>
      <c r="BF149" s="51"/>
    </row>
    <row r="150" spans="1:58" s="27" customFormat="1" ht="12.95" customHeight="1">
      <c r="A150" s="56"/>
      <c r="B150" s="57"/>
      <c r="C150" s="416">
        <f>SUM(C6:C148)</f>
        <v>527.89139602487569</v>
      </c>
      <c r="D150" s="57"/>
      <c r="E150" s="58"/>
      <c r="F150" s="58"/>
      <c r="G150" s="59"/>
      <c r="H150" s="59"/>
      <c r="I150" s="60">
        <v>0.85</v>
      </c>
      <c r="J150" s="82"/>
      <c r="K150" s="84">
        <f>SUM(K6:K148)</f>
        <v>536.81519237549753</v>
      </c>
      <c r="L150" s="62"/>
      <c r="M150" s="62"/>
      <c r="N150" s="63"/>
      <c r="O150" s="64">
        <f>P150/(Q150-R150-S150)</f>
        <v>253.7058983193684</v>
      </c>
      <c r="P150" s="61">
        <f>SUM(P6:P148)</f>
        <v>3745967.5886854744</v>
      </c>
      <c r="Q150" s="334">
        <f>SUM(Q6:Q149)</f>
        <v>17730</v>
      </c>
      <c r="R150" s="61">
        <f t="shared" ref="R150:W150" si="345">SUM(R6:R148)</f>
        <v>2170</v>
      </c>
      <c r="S150" s="61">
        <f t="shared" si="345"/>
        <v>795</v>
      </c>
      <c r="T150" s="61">
        <f t="shared" si="345"/>
        <v>527.89139602487569</v>
      </c>
      <c r="U150" s="61">
        <f t="shared" si="345"/>
        <v>441.23031690843982</v>
      </c>
      <c r="V150" s="358">
        <f t="shared" si="345"/>
        <v>87.461998136215954</v>
      </c>
      <c r="W150" s="447">
        <f t="shared" si="345"/>
        <v>413.67200000000003</v>
      </c>
      <c r="X150" s="496">
        <f>W150/K150</f>
        <v>0.77060412200599582</v>
      </c>
      <c r="Y150" s="359">
        <f>SUM(Y6:Y148)</f>
        <v>0</v>
      </c>
      <c r="Z150" s="447">
        <f>SUM(Z6:Z148)</f>
        <v>10.652000000000001</v>
      </c>
      <c r="AA150" s="61">
        <f>SUM(AA6:AA148)</f>
        <v>16.90631690843982</v>
      </c>
      <c r="AB150" s="61">
        <f>SUM(AB6:AB148)</f>
        <v>-0.64556817478030593</v>
      </c>
      <c r="AC150" s="61">
        <f>SUM(AC6:AC148)</f>
        <v>8.7684455056219619</v>
      </c>
      <c r="AD150" s="37">
        <f>SUM(AD6:AD149)</f>
        <v>2965</v>
      </c>
      <c r="AE150" s="65"/>
      <c r="AF150" s="61">
        <f t="shared" ref="AF150:BF150" si="346">SUM(AF6:AF149)</f>
        <v>225</v>
      </c>
      <c r="AG150" s="61">
        <f t="shared" si="346"/>
        <v>63</v>
      </c>
      <c r="AH150" s="61">
        <f t="shared" si="346"/>
        <v>472</v>
      </c>
      <c r="AI150" s="61">
        <f t="shared" si="346"/>
        <v>0</v>
      </c>
      <c r="AJ150" s="61">
        <f t="shared" si="346"/>
        <v>0</v>
      </c>
      <c r="AK150" s="61">
        <f t="shared" si="346"/>
        <v>35</v>
      </c>
      <c r="AL150" s="61">
        <f t="shared" si="346"/>
        <v>0</v>
      </c>
      <c r="AM150" s="61">
        <f t="shared" si="346"/>
        <v>795</v>
      </c>
      <c r="AN150" s="52">
        <f t="shared" si="346"/>
        <v>100</v>
      </c>
      <c r="AO150" s="52">
        <f t="shared" si="346"/>
        <v>0</v>
      </c>
      <c r="AP150" s="52">
        <f t="shared" si="346"/>
        <v>515</v>
      </c>
      <c r="AQ150" s="52">
        <f t="shared" si="346"/>
        <v>0</v>
      </c>
      <c r="AR150" s="61">
        <f t="shared" si="346"/>
        <v>615</v>
      </c>
      <c r="AS150" s="61">
        <f t="shared" si="346"/>
        <v>1555</v>
      </c>
      <c r="AT150" s="61">
        <f t="shared" si="346"/>
        <v>0</v>
      </c>
      <c r="AU150" s="61">
        <f t="shared" si="346"/>
        <v>0</v>
      </c>
      <c r="AV150" s="61">
        <f t="shared" si="346"/>
        <v>0</v>
      </c>
      <c r="AW150" s="61">
        <f t="shared" si="346"/>
        <v>0</v>
      </c>
      <c r="AX150" s="61">
        <f t="shared" si="346"/>
        <v>0</v>
      </c>
      <c r="AY150" s="61">
        <f t="shared" si="346"/>
        <v>0</v>
      </c>
      <c r="AZ150" s="61">
        <f t="shared" si="346"/>
        <v>0</v>
      </c>
      <c r="BA150" s="61">
        <f t="shared" si="346"/>
        <v>2170</v>
      </c>
      <c r="BB150" s="52">
        <f t="shared" si="346"/>
        <v>66</v>
      </c>
      <c r="BC150" s="52">
        <f t="shared" si="346"/>
        <v>44</v>
      </c>
      <c r="BD150" s="52">
        <f t="shared" si="346"/>
        <v>0</v>
      </c>
      <c r="BE150" s="52">
        <f t="shared" si="346"/>
        <v>0</v>
      </c>
      <c r="BF150" s="52">
        <f t="shared" si="346"/>
        <v>0</v>
      </c>
    </row>
    <row r="151" spans="1:58" s="27" customFormat="1" ht="12.95" customHeight="1">
      <c r="A151" s="56"/>
      <c r="B151" s="57"/>
      <c r="C151" s="57"/>
      <c r="D151" s="57"/>
      <c r="E151" s="58"/>
      <c r="F151" s="58"/>
      <c r="G151" s="59"/>
      <c r="H151" s="59"/>
      <c r="I151" s="59"/>
      <c r="J151" s="85"/>
      <c r="K151" s="85"/>
      <c r="L151" s="62"/>
      <c r="M151" s="62"/>
      <c r="N151" s="63"/>
      <c r="O151" s="658"/>
      <c r="P151" s="659"/>
      <c r="Q151" s="59">
        <f>30*1440-Q150</f>
        <v>25470</v>
      </c>
      <c r="R151" s="66">
        <f>R150/Q150</f>
        <v>0.12239142695995488</v>
      </c>
      <c r="S151" s="66">
        <f>S150/Q150</f>
        <v>4.4839255499153977E-2</v>
      </c>
      <c r="T151" s="345"/>
      <c r="U151" s="345"/>
      <c r="V151" s="347">
        <f>V150/K150</f>
        <v>0.16292757615368875</v>
      </c>
      <c r="W151" s="363" t="s">
        <v>171</v>
      </c>
      <c r="X151" s="497">
        <v>0.85</v>
      </c>
      <c r="Y151" s="360">
        <f>Y150/K150</f>
        <v>0</v>
      </c>
      <c r="Z151" s="67">
        <f>Z150/K150</f>
        <v>1.9842955548376173E-2</v>
      </c>
      <c r="AA151" s="67">
        <f>AA150/K150</f>
        <v>3.1493737786418681E-2</v>
      </c>
      <c r="AB151" s="67">
        <f>AB150/K150</f>
        <v>-1.2025892410450572E-3</v>
      </c>
      <c r="AC151" s="498">
        <f>AC150/K150</f>
        <v>1.6334197746565471E-2</v>
      </c>
      <c r="AD151" s="348"/>
      <c r="AE151" s="39"/>
      <c r="AF151" s="67">
        <f>AF150/$AD$150*$V$151</f>
        <v>1.2363812692944341E-2</v>
      </c>
      <c r="AG151" s="67">
        <f>AG150/$AD$150*$V$151</f>
        <v>3.4618675540244153E-3</v>
      </c>
      <c r="AH151" s="67">
        <f>AH150/$AD$150*$V$151</f>
        <v>2.5936531515865457E-2</v>
      </c>
      <c r="AI151" s="67">
        <f>AI150/$AD$150*$V$151</f>
        <v>0</v>
      </c>
      <c r="AJ151" s="67">
        <f t="shared" ref="AJ151:BA151" si="347">AJ150/$AD$150*$V$151</f>
        <v>0</v>
      </c>
      <c r="AK151" s="67">
        <f t="shared" si="347"/>
        <v>1.9232597522357861E-3</v>
      </c>
      <c r="AL151" s="67">
        <f t="shared" si="347"/>
        <v>0</v>
      </c>
      <c r="AM151" s="67">
        <f t="shared" si="347"/>
        <v>4.3685471515070004E-2</v>
      </c>
      <c r="AN151" s="67">
        <f t="shared" si="347"/>
        <v>5.4950278635308176E-3</v>
      </c>
      <c r="AO151" s="67">
        <f t="shared" si="347"/>
        <v>0</v>
      </c>
      <c r="AP151" s="67">
        <f t="shared" si="347"/>
        <v>2.8299393497183713E-2</v>
      </c>
      <c r="AQ151" s="67">
        <f t="shared" si="347"/>
        <v>0</v>
      </c>
      <c r="AR151" s="67">
        <f t="shared" si="347"/>
        <v>3.3794421360714526E-2</v>
      </c>
      <c r="AS151" s="67">
        <f t="shared" si="347"/>
        <v>8.5447683277904224E-2</v>
      </c>
      <c r="AT151" s="67">
        <f t="shared" si="347"/>
        <v>0</v>
      </c>
      <c r="AU151" s="67">
        <f t="shared" si="347"/>
        <v>0</v>
      </c>
      <c r="AV151" s="67">
        <f>AV150/$AD$150*$V$151</f>
        <v>0</v>
      </c>
      <c r="AW151" s="67">
        <f t="shared" ref="AW151:AZ151" si="348">AW150/$AD$150*$V$151</f>
        <v>0</v>
      </c>
      <c r="AX151" s="67">
        <f t="shared" si="348"/>
        <v>0</v>
      </c>
      <c r="AY151" s="67">
        <f t="shared" si="348"/>
        <v>0</v>
      </c>
      <c r="AZ151" s="67">
        <f t="shared" si="348"/>
        <v>0</v>
      </c>
      <c r="BA151" s="67">
        <f t="shared" si="347"/>
        <v>0.11924210463861876</v>
      </c>
      <c r="BB151" s="34" t="s">
        <v>170</v>
      </c>
      <c r="BC151" s="34" t="s">
        <v>170</v>
      </c>
      <c r="BD151" s="34" t="s">
        <v>401</v>
      </c>
      <c r="BE151" s="34" t="s">
        <v>401</v>
      </c>
      <c r="BF151" s="34" t="s">
        <v>401</v>
      </c>
    </row>
    <row r="152" spans="1:58" ht="12.95" customHeight="1">
      <c r="A152" s="56"/>
      <c r="B152" s="57"/>
      <c r="C152" s="57"/>
      <c r="D152" s="57"/>
      <c r="E152" s="58"/>
      <c r="F152" s="58"/>
      <c r="G152" s="34"/>
      <c r="H152" s="34"/>
      <c r="I152" s="34"/>
      <c r="J152" s="82"/>
      <c r="K152" s="82"/>
      <c r="L152" s="35"/>
      <c r="M152" s="35"/>
      <c r="N152" s="33"/>
      <c r="O152" s="36"/>
      <c r="P152" s="28"/>
      <c r="Q152" s="34"/>
      <c r="R152" s="37">
        <f>R150-(BA150)</f>
        <v>0</v>
      </c>
      <c r="S152" s="37">
        <f>S150-SUM(AF150:AL150)</f>
        <v>0</v>
      </c>
      <c r="T152" s="33"/>
      <c r="U152" s="33"/>
      <c r="V152" s="33"/>
      <c r="W152" s="361"/>
      <c r="X152" s="362"/>
      <c r="Y152" s="68">
        <f>+Y150-(SUM(RBP!AG3:AG4))</f>
        <v>0</v>
      </c>
      <c r="Z152" s="37"/>
      <c r="AA152" s="33"/>
      <c r="AB152" s="33"/>
      <c r="AC152" s="33"/>
      <c r="AD152" s="33"/>
      <c r="AE152" s="39"/>
      <c r="AF152" s="335"/>
      <c r="AG152" s="335"/>
      <c r="AH152" s="335"/>
      <c r="AI152" s="335"/>
      <c r="AJ152" s="77"/>
      <c r="AK152" s="77"/>
      <c r="AL152" s="77"/>
      <c r="AM152" s="77"/>
      <c r="AN152" s="77"/>
      <c r="AO152" s="77"/>
      <c r="AP152" s="77"/>
      <c r="AQ152" s="77"/>
      <c r="AR152" s="77"/>
      <c r="AS152" s="77"/>
      <c r="AT152" s="596">
        <v>0</v>
      </c>
      <c r="AU152" s="596">
        <v>25470</v>
      </c>
      <c r="AV152" s="596">
        <v>0</v>
      </c>
      <c r="AW152" s="596">
        <v>0</v>
      </c>
      <c r="AX152" s="596">
        <v>0</v>
      </c>
      <c r="AY152" s="596">
        <v>0</v>
      </c>
      <c r="AZ152" s="596">
        <v>0</v>
      </c>
      <c r="BA152" s="77"/>
      <c r="BB152" s="506">
        <f>BB150/($Q$150/1440)/2</f>
        <v>2.6802030456852792</v>
      </c>
      <c r="BC152" s="506">
        <f>BC150/($Q$150/1440)/2</f>
        <v>1.7868020304568528</v>
      </c>
      <c r="BD152" s="506">
        <f>BD150/($Q$150/1440)</f>
        <v>0</v>
      </c>
      <c r="BE152" s="506">
        <f>BE150/($Q$150/1440)</f>
        <v>0</v>
      </c>
      <c r="BF152" s="506">
        <f>BF150/($Q$150/1440)</f>
        <v>0</v>
      </c>
    </row>
    <row r="153" spans="1:58">
      <c r="A153" s="69"/>
      <c r="B153" s="70"/>
      <c r="C153" s="70"/>
      <c r="D153" s="70"/>
      <c r="E153" s="71"/>
      <c r="F153" s="71"/>
      <c r="G153" s="72"/>
      <c r="H153" s="72"/>
      <c r="I153" s="72"/>
      <c r="J153" s="86"/>
      <c r="K153" s="86"/>
      <c r="O153" s="73"/>
      <c r="P153" s="74"/>
      <c r="Q153" s="72"/>
      <c r="R153" s="53"/>
      <c r="S153" s="53"/>
      <c r="U153" s="75"/>
      <c r="V153" s="75"/>
      <c r="W153" s="76" t="s">
        <v>119</v>
      </c>
      <c r="X153" s="499">
        <f>W150/U150</f>
        <v>0.93754210476394251</v>
      </c>
      <c r="Y153" s="499"/>
      <c r="Z153" s="53"/>
      <c r="AD153" s="83"/>
      <c r="AE153" s="78"/>
      <c r="AF153" s="79"/>
      <c r="AG153" s="79"/>
      <c r="AH153" s="79"/>
      <c r="AI153" s="79"/>
      <c r="AJ153" s="79"/>
      <c r="AK153" s="79"/>
      <c r="AL153" s="79"/>
      <c r="AM153" s="79"/>
      <c r="AN153" s="77"/>
      <c r="AO153" s="77"/>
      <c r="AP153" s="77"/>
      <c r="AQ153" s="77"/>
      <c r="AR153" s="77"/>
      <c r="AS153" s="79"/>
      <c r="AT153" s="79"/>
      <c r="AU153" s="79"/>
      <c r="AV153" s="79"/>
      <c r="AW153" s="79"/>
      <c r="AX153" s="79"/>
      <c r="AY153" s="79"/>
      <c r="AZ153" s="79"/>
      <c r="BA153" s="77"/>
      <c r="BB153" s="27"/>
      <c r="BC153" s="77"/>
      <c r="BD153" s="77"/>
      <c r="BE153" s="27"/>
      <c r="BF153" s="77"/>
    </row>
    <row r="154" spans="1:58">
      <c r="A154" s="69"/>
      <c r="B154" s="70"/>
      <c r="C154" s="70"/>
      <c r="D154" s="70"/>
      <c r="E154" s="71"/>
      <c r="F154" s="71"/>
      <c r="G154" s="72"/>
      <c r="H154" s="72"/>
      <c r="I154" s="72"/>
      <c r="J154" s="86"/>
      <c r="K154" s="86"/>
      <c r="O154" s="73"/>
      <c r="P154" s="74"/>
      <c r="Q154" s="72"/>
      <c r="R154" s="53"/>
      <c r="S154" s="53"/>
      <c r="U154" s="75"/>
      <c r="V154" s="75"/>
      <c r="W154" s="76"/>
      <c r="X154" s="77"/>
      <c r="Y154" s="77"/>
      <c r="Z154" s="53"/>
      <c r="AA154" s="89"/>
      <c r="AB154" s="89"/>
      <c r="AD154" s="83"/>
      <c r="AE154" s="78"/>
      <c r="AF154" s="79"/>
      <c r="AG154" s="79"/>
      <c r="AH154" s="79"/>
      <c r="AI154" s="79"/>
      <c r="AJ154" s="79"/>
      <c r="AK154" s="79"/>
      <c r="AL154" s="79"/>
      <c r="AM154" s="79"/>
      <c r="AN154" s="79"/>
      <c r="AO154" s="77"/>
      <c r="AP154" s="77"/>
      <c r="AQ154" s="77"/>
      <c r="AR154" s="79"/>
      <c r="AS154" s="77"/>
      <c r="AT154" s="77"/>
      <c r="AU154" s="77"/>
      <c r="AV154" s="77"/>
      <c r="AW154" s="77"/>
      <c r="AX154" s="53"/>
      <c r="AY154" s="53"/>
      <c r="AZ154" s="77"/>
      <c r="BA154" s="77"/>
      <c r="BB154" s="27"/>
      <c r="BC154" s="77"/>
      <c r="BD154" s="77"/>
      <c r="BE154" s="27"/>
      <c r="BF154" s="77"/>
    </row>
    <row r="155" spans="1:58">
      <c r="A155" s="69"/>
      <c r="B155" s="70"/>
      <c r="C155" s="70"/>
      <c r="D155" s="70"/>
      <c r="E155" s="71"/>
      <c r="F155" s="71"/>
      <c r="G155" s="72"/>
      <c r="H155" s="72"/>
      <c r="I155" s="72"/>
      <c r="J155" s="86"/>
      <c r="K155" s="86"/>
      <c r="O155" s="73"/>
      <c r="P155" s="74"/>
      <c r="Q155" s="72"/>
      <c r="R155" s="346"/>
      <c r="S155" s="53"/>
      <c r="U155" s="75"/>
      <c r="V155" s="75"/>
      <c r="W155" s="76" t="s">
        <v>143</v>
      </c>
      <c r="X155" s="335">
        <f>+W150+Y150</f>
        <v>413.67200000000003</v>
      </c>
      <c r="Y155" s="77"/>
      <c r="Z155" s="53"/>
      <c r="AD155" s="83"/>
      <c r="AE155" s="78"/>
      <c r="AF155" s="83"/>
      <c r="AG155" s="83"/>
      <c r="AH155" s="83"/>
      <c r="AI155" s="83"/>
      <c r="AJ155" s="77"/>
      <c r="AK155" s="77"/>
      <c r="AL155" s="77"/>
      <c r="AM155" s="79"/>
      <c r="AN155" s="77"/>
      <c r="AO155" s="77"/>
      <c r="AP155" s="77"/>
      <c r="AQ155" s="77"/>
      <c r="AR155" s="79"/>
      <c r="AS155" s="77"/>
      <c r="AT155" s="77"/>
      <c r="AU155" s="77"/>
      <c r="AV155" s="77"/>
      <c r="AW155" s="77"/>
      <c r="AY155" s="29">
        <f>+Efficiency1!AU150+Efficiency1!AV150+Efficiency1!AW150+Efficiency1!AX150+Efficiency1!AY150+Efficiency1!AZ150</f>
        <v>25470</v>
      </c>
      <c r="AZ155" s="77"/>
      <c r="BA155" s="77"/>
      <c r="BB155" s="27"/>
      <c r="BC155" s="77"/>
      <c r="BD155" s="77"/>
      <c r="BE155" s="27"/>
      <c r="BF155" s="77"/>
    </row>
    <row r="156" spans="1:58">
      <c r="A156" s="69"/>
      <c r="C156" s="70" t="s">
        <v>300</v>
      </c>
      <c r="D156" s="70"/>
      <c r="E156" s="71"/>
      <c r="F156" s="71"/>
      <c r="G156" s="72"/>
      <c r="H156" s="72"/>
      <c r="I156" s="72"/>
      <c r="J156" s="86"/>
      <c r="K156" s="86"/>
      <c r="O156" s="73"/>
      <c r="P156" s="74"/>
      <c r="Q156" s="72"/>
      <c r="R156" s="346"/>
      <c r="S156" s="53"/>
      <c r="U156" s="75"/>
      <c r="V156" s="356"/>
      <c r="W156" s="357"/>
      <c r="X156" s="351"/>
      <c r="Y156" s="357"/>
      <c r="Z156" s="351"/>
      <c r="AD156" s="344"/>
      <c r="AE156" s="78"/>
      <c r="AF156" s="344"/>
      <c r="AG156" s="344"/>
      <c r="AH156" s="344"/>
      <c r="AI156" s="344"/>
      <c r="AJ156" s="77"/>
      <c r="AK156" s="77"/>
      <c r="AL156" s="77"/>
      <c r="AM156" s="77"/>
      <c r="AN156" s="77"/>
      <c r="AO156" s="77"/>
      <c r="AP156" s="77"/>
      <c r="AQ156" s="77"/>
      <c r="AR156" s="77"/>
      <c r="AS156" s="77"/>
      <c r="AT156" s="77"/>
      <c r="AU156" s="77"/>
      <c r="AV156" s="77"/>
      <c r="AW156" s="77"/>
      <c r="AX156" s="29" t="s">
        <v>629</v>
      </c>
      <c r="AY156" s="594">
        <f>+AY155-AU150+AT150+AV150+AW150+AX150+AY150+AZ150</f>
        <v>25470</v>
      </c>
      <c r="AZ156" s="77"/>
      <c r="BA156" s="77"/>
      <c r="BB156" s="27"/>
      <c r="BC156" s="77"/>
      <c r="BD156" s="77"/>
      <c r="BE156" s="27"/>
      <c r="BF156" s="77"/>
    </row>
    <row r="157" spans="1:58">
      <c r="A157" s="69"/>
      <c r="B157" s="70"/>
      <c r="C157" s="70" t="s">
        <v>301</v>
      </c>
      <c r="D157" s="70"/>
      <c r="E157" s="71"/>
      <c r="F157" s="71"/>
      <c r="G157" s="72"/>
      <c r="H157" s="72"/>
      <c r="I157" s="72"/>
      <c r="J157" s="86"/>
      <c r="K157" s="86"/>
      <c r="O157" s="73"/>
      <c r="P157" s="74"/>
      <c r="Q157" s="72"/>
      <c r="R157" s="346"/>
      <c r="S157" s="53"/>
      <c r="V157" s="349"/>
      <c r="W157" s="350" t="s">
        <v>307</v>
      </c>
      <c r="X157" s="349"/>
      <c r="Y157" s="349"/>
      <c r="Z157" s="351"/>
      <c r="AE157" s="78"/>
      <c r="AF157" s="53"/>
      <c r="AG157" s="53"/>
      <c r="AH157" s="53"/>
      <c r="AI157" s="53"/>
      <c r="AJ157" s="53"/>
      <c r="AK157" s="53"/>
      <c r="AL157" s="53"/>
      <c r="AM157" s="53"/>
      <c r="AN157" s="53"/>
      <c r="AO157" s="53"/>
      <c r="AP157" s="53"/>
      <c r="AQ157" s="53"/>
      <c r="AS157" s="53"/>
      <c r="AT157" s="53"/>
      <c r="AU157" s="53"/>
      <c r="AV157" s="53"/>
      <c r="AW157" s="53"/>
      <c r="AX157" s="53"/>
      <c r="AY157" s="53"/>
      <c r="AZ157" s="53"/>
      <c r="BA157" s="53"/>
      <c r="BB157" s="27"/>
      <c r="BE157" s="27"/>
    </row>
    <row r="158" spans="1:58">
      <c r="A158" s="69"/>
      <c r="B158" s="70"/>
      <c r="C158" s="70"/>
      <c r="D158" s="70"/>
      <c r="E158" s="71"/>
      <c r="F158" s="71"/>
      <c r="G158" s="72"/>
      <c r="H158" s="72"/>
      <c r="I158" s="72"/>
      <c r="J158" s="86"/>
      <c r="K158" s="86"/>
      <c r="O158" s="73"/>
      <c r="P158" s="74"/>
      <c r="Q158" s="72"/>
      <c r="R158" s="346"/>
      <c r="S158" s="53"/>
      <c r="V158" s="349"/>
      <c r="W158" s="352" t="s">
        <v>296</v>
      </c>
      <c r="X158" s="507">
        <f>Y151</f>
        <v>0</v>
      </c>
      <c r="Y158" s="353"/>
      <c r="Z158" s="351"/>
      <c r="AE158" s="78"/>
      <c r="AF158" s="53"/>
      <c r="AG158" s="53"/>
      <c r="AH158" s="53"/>
      <c r="AI158" s="53"/>
      <c r="AJ158" s="53"/>
      <c r="AK158" s="53"/>
      <c r="AL158" s="53"/>
      <c r="AO158" s="53"/>
      <c r="AP158" s="53"/>
      <c r="AQ158" s="53"/>
      <c r="AS158" s="53"/>
      <c r="AT158" s="53"/>
      <c r="AU158" s="53"/>
      <c r="AV158" s="53"/>
      <c r="AW158" s="53"/>
      <c r="AX158" s="53"/>
      <c r="AY158" s="53"/>
      <c r="AZ158" s="53"/>
      <c r="BA158" s="53"/>
      <c r="BB158" s="27"/>
      <c r="BE158" s="27"/>
    </row>
    <row r="159" spans="1:58">
      <c r="R159" s="89"/>
      <c r="V159" s="349"/>
      <c r="W159" s="352" t="s">
        <v>150</v>
      </c>
      <c r="X159" s="355">
        <f>Z151</f>
        <v>1.9842955548376173E-2</v>
      </c>
      <c r="Y159" s="354"/>
      <c r="Z159" s="349"/>
    </row>
    <row r="160" spans="1:58">
      <c r="R160" s="89"/>
      <c r="V160" s="349"/>
      <c r="W160" s="352" t="s">
        <v>151</v>
      </c>
      <c r="X160" s="355">
        <f>AC151</f>
        <v>1.6334197746565471E-2</v>
      </c>
      <c r="Y160" s="355"/>
      <c r="Z160" s="349"/>
    </row>
    <row r="161" spans="18:26" s="29" customFormat="1">
      <c r="R161" s="89"/>
      <c r="V161" s="349"/>
      <c r="W161" s="352" t="s">
        <v>152</v>
      </c>
      <c r="X161" s="355">
        <f>AA151</f>
        <v>3.1493737786418681E-2</v>
      </c>
      <c r="Y161" s="354"/>
      <c r="Z161" s="349"/>
    </row>
    <row r="162" spans="18:26" s="29" customFormat="1">
      <c r="V162" s="349"/>
      <c r="W162" s="352" t="s">
        <v>168</v>
      </c>
      <c r="X162" s="355">
        <f>AB151</f>
        <v>-1.2025892410450572E-3</v>
      </c>
      <c r="Y162" s="354" t="s">
        <v>166</v>
      </c>
      <c r="Z162" s="349"/>
    </row>
    <row r="163" spans="18:26" s="29" customFormat="1">
      <c r="V163" s="349"/>
      <c r="W163" s="352" t="s">
        <v>224</v>
      </c>
      <c r="X163" s="355">
        <f>AF151</f>
        <v>1.2363812692944341E-2</v>
      </c>
      <c r="Y163" s="354"/>
      <c r="Z163" s="349"/>
    </row>
    <row r="164" spans="18:26" s="29" customFormat="1">
      <c r="V164" s="349"/>
      <c r="W164" s="352" t="s">
        <v>225</v>
      </c>
      <c r="X164" s="355">
        <f>+AG151</f>
        <v>3.4618675540244153E-3</v>
      </c>
      <c r="Y164" s="354"/>
      <c r="Z164" s="349"/>
    </row>
    <row r="165" spans="18:26" s="29" customFormat="1">
      <c r="V165" s="349"/>
      <c r="W165" s="352" t="s">
        <v>302</v>
      </c>
      <c r="X165" s="355">
        <f>+AH151</f>
        <v>2.5936531515865457E-2</v>
      </c>
      <c r="Y165" s="354"/>
      <c r="Z165" s="349"/>
    </row>
    <row r="166" spans="18:26" s="29" customFormat="1">
      <c r="V166" s="349"/>
      <c r="W166" s="352" t="s">
        <v>226</v>
      </c>
      <c r="X166" s="355">
        <f>+AI151</f>
        <v>0</v>
      </c>
      <c r="Y166" s="354"/>
      <c r="Z166" s="349"/>
    </row>
    <row r="167" spans="18:26" s="29" customFormat="1">
      <c r="V167" s="349"/>
      <c r="W167" s="352" t="s">
        <v>159</v>
      </c>
      <c r="X167" s="355">
        <f>+AJ151</f>
        <v>0</v>
      </c>
      <c r="Y167" s="354"/>
      <c r="Z167" s="349"/>
    </row>
    <row r="168" spans="18:26" s="29" customFormat="1">
      <c r="V168" s="349"/>
      <c r="W168" s="352" t="s">
        <v>161</v>
      </c>
      <c r="X168" s="355">
        <f>+AK151</f>
        <v>1.9232597522357861E-3</v>
      </c>
      <c r="Y168" s="354"/>
      <c r="Z168" s="349"/>
    </row>
    <row r="169" spans="18:26" s="29" customFormat="1">
      <c r="V169" s="349"/>
      <c r="W169" s="352" t="s">
        <v>160</v>
      </c>
      <c r="X169" s="355">
        <f>+AL151</f>
        <v>0</v>
      </c>
      <c r="Y169" s="354"/>
      <c r="Z169" s="349"/>
    </row>
    <row r="170" spans="18:26" s="29" customFormat="1">
      <c r="V170" s="349"/>
      <c r="W170" s="352" t="s">
        <v>153</v>
      </c>
      <c r="X170" s="355">
        <f>+AN151</f>
        <v>5.4950278635308176E-3</v>
      </c>
      <c r="Y170" s="354"/>
      <c r="Z170" s="349"/>
    </row>
    <row r="171" spans="18:26" s="29" customFormat="1">
      <c r="V171" s="349"/>
      <c r="W171" s="352" t="s">
        <v>163</v>
      </c>
      <c r="X171" s="355">
        <f>+AO151</f>
        <v>0</v>
      </c>
      <c r="Y171" s="354"/>
      <c r="Z171" s="349"/>
    </row>
    <row r="172" spans="18:26" s="29" customFormat="1">
      <c r="V172" s="349"/>
      <c r="W172" s="352" t="s">
        <v>154</v>
      </c>
      <c r="X172" s="355">
        <f>+AP151</f>
        <v>2.8299393497183713E-2</v>
      </c>
      <c r="Y172" s="354"/>
      <c r="Z172" s="349"/>
    </row>
    <row r="173" spans="18:26" s="29" customFormat="1">
      <c r="V173" s="349"/>
      <c r="W173" s="352" t="s">
        <v>162</v>
      </c>
      <c r="X173" s="355">
        <f>+AQ151</f>
        <v>0</v>
      </c>
      <c r="Y173" s="354"/>
      <c r="Z173" s="349"/>
    </row>
    <row r="174" spans="18:26" s="29" customFormat="1">
      <c r="V174" s="349"/>
      <c r="W174" s="352" t="s">
        <v>165</v>
      </c>
      <c r="X174" s="355">
        <f>+AS151</f>
        <v>8.5447683277904224E-2</v>
      </c>
      <c r="Y174" s="354"/>
      <c r="Z174" s="349"/>
    </row>
    <row r="175" spans="18:26" s="29" customFormat="1">
      <c r="V175" s="349"/>
      <c r="W175" s="352" t="s">
        <v>303</v>
      </c>
      <c r="X175" s="355">
        <f>+AT151</f>
        <v>0</v>
      </c>
      <c r="Y175" s="354"/>
      <c r="Z175" s="349"/>
    </row>
    <row r="176" spans="18:26" s="29" customFormat="1">
      <c r="V176" s="349"/>
      <c r="W176" s="352" t="s">
        <v>240</v>
      </c>
      <c r="X176" s="355">
        <f>+AU151</f>
        <v>0</v>
      </c>
      <c r="Y176" s="354"/>
      <c r="Z176" s="349"/>
    </row>
    <row r="177" spans="22:26" s="29" customFormat="1">
      <c r="V177" s="349"/>
      <c r="W177" s="352" t="s">
        <v>309</v>
      </c>
      <c r="X177" s="355">
        <f>+AW151</f>
        <v>0</v>
      </c>
      <c r="Y177" s="354"/>
      <c r="Z177" s="349"/>
    </row>
    <row r="178" spans="22:26" s="29" customFormat="1">
      <c r="V178" s="349"/>
      <c r="W178" s="352" t="s">
        <v>310</v>
      </c>
      <c r="X178" s="355">
        <f>+AV151</f>
        <v>0</v>
      </c>
      <c r="Y178" s="354"/>
      <c r="Z178" s="349"/>
    </row>
    <row r="179" spans="22:26" s="29" customFormat="1">
      <c r="V179" s="349"/>
      <c r="W179" s="349" t="s">
        <v>164</v>
      </c>
      <c r="X179" s="355">
        <f>+AX151+AY151</f>
        <v>0</v>
      </c>
      <c r="Y179" s="355"/>
      <c r="Z179" s="349"/>
    </row>
    <row r="180" spans="22:26" s="29" customFormat="1">
      <c r="V180" s="349"/>
      <c r="W180" s="349" t="s">
        <v>308</v>
      </c>
      <c r="X180" s="355">
        <f>+AZ151</f>
        <v>0</v>
      </c>
      <c r="Y180" s="349"/>
      <c r="Z180" s="349"/>
    </row>
    <row r="181" spans="22:26" s="29" customFormat="1">
      <c r="V181" s="349"/>
      <c r="W181" s="349"/>
      <c r="X181" s="520">
        <f>SUM(X158:X180)</f>
        <v>0.22939587799400402</v>
      </c>
      <c r="Y181" s="349"/>
      <c r="Z181" s="349"/>
    </row>
    <row r="182" spans="22:26" s="29" customFormat="1"/>
    <row r="183" spans="22:26" s="29" customFormat="1"/>
    <row r="184" spans="22:26" s="29" customFormat="1">
      <c r="X184" s="89">
        <f>+X181+X150</f>
        <v>0.99999999999999978</v>
      </c>
    </row>
    <row r="185" spans="22:26" s="29" customFormat="1"/>
    <row r="186" spans="22:26" s="29" customFormat="1"/>
    <row r="187" spans="22:26" s="29" customFormat="1"/>
    <row r="188" spans="22:26" s="29" customFormat="1"/>
    <row r="189" spans="22:26" s="29" customFormat="1"/>
    <row r="190" spans="22:26" s="29" customFormat="1"/>
    <row r="191" spans="22:26" s="29" customFormat="1"/>
    <row r="192" spans="22:26" s="29" customFormat="1"/>
    <row r="193" s="29" customFormat="1"/>
    <row r="194" s="29" customFormat="1"/>
    <row r="195" s="29" customFormat="1"/>
    <row r="196" s="29" customFormat="1"/>
    <row r="197" s="29" customFormat="1"/>
    <row r="198" s="29" customFormat="1"/>
    <row r="199" s="29" customFormat="1"/>
    <row r="200" s="29" customFormat="1"/>
    <row r="201" s="29" customFormat="1"/>
    <row r="202" s="29" customFormat="1"/>
    <row r="203" s="29" customFormat="1"/>
    <row r="204" s="29" customFormat="1"/>
    <row r="205" s="29" customFormat="1"/>
    <row r="206" s="29" customFormat="1"/>
    <row r="207" s="29" customFormat="1"/>
    <row r="208" s="29" customFormat="1"/>
    <row r="209" s="29" customFormat="1"/>
    <row r="210" s="29" customFormat="1"/>
    <row r="211" s="29" customFormat="1"/>
    <row r="214" s="29" customFormat="1"/>
  </sheetData>
  <mergeCells count="50">
    <mergeCell ref="X3:X5"/>
    <mergeCell ref="G3:K4"/>
    <mergeCell ref="L3:N4"/>
    <mergeCell ref="O3:O5"/>
    <mergeCell ref="P3:P5"/>
    <mergeCell ref="Q3:Q5"/>
    <mergeCell ref="R3:R5"/>
    <mergeCell ref="T3:T5"/>
    <mergeCell ref="U3:U5"/>
    <mergeCell ref="F3:F5"/>
    <mergeCell ref="A3:A5"/>
    <mergeCell ref="B3:B5"/>
    <mergeCell ref="C3:C5"/>
    <mergeCell ref="D3:D5"/>
    <mergeCell ref="E3:E5"/>
    <mergeCell ref="AZ3:AZ5"/>
    <mergeCell ref="AR4:AR5"/>
    <mergeCell ref="BD3:BD5"/>
    <mergeCell ref="BE3:BE5"/>
    <mergeCell ref="BF3:BF5"/>
    <mergeCell ref="BA3:BA5"/>
    <mergeCell ref="BB3:BB5"/>
    <mergeCell ref="BC3:BC5"/>
    <mergeCell ref="AT3:AU4"/>
    <mergeCell ref="AV3:AW3"/>
    <mergeCell ref="AX3:AY3"/>
    <mergeCell ref="AM3:AM5"/>
    <mergeCell ref="AN3:AR3"/>
    <mergeCell ref="AS3:AS5"/>
    <mergeCell ref="AF4:AH4"/>
    <mergeCell ref="AI4:AI5"/>
    <mergeCell ref="AJ4:AJ5"/>
    <mergeCell ref="AK4:AK5"/>
    <mergeCell ref="AQ4:AQ5"/>
    <mergeCell ref="O151:P151"/>
    <mergeCell ref="AL4:AL5"/>
    <mergeCell ref="AN4:AN5"/>
    <mergeCell ref="AO4:AO5"/>
    <mergeCell ref="AP4:AP5"/>
    <mergeCell ref="Y3:Y5"/>
    <mergeCell ref="Z3:Z5"/>
    <mergeCell ref="AA3:AA5"/>
    <mergeCell ref="AB3:AB5"/>
    <mergeCell ref="AC3:AC5"/>
    <mergeCell ref="AD3:AD5"/>
    <mergeCell ref="S3:S5"/>
    <mergeCell ref="V3:V5"/>
    <mergeCell ref="W3:W5"/>
    <mergeCell ref="AE3:AE5"/>
    <mergeCell ref="AF3:AL3"/>
  </mergeCells>
  <conditionalFormatting sqref="C151 B149:B151 C149">
    <cfRule type="cellIs" dxfId="699" priority="5207" stopIfTrue="1" operator="equal">
      <formula>"Towel"</formula>
    </cfRule>
    <cfRule type="cellIs" dxfId="698" priority="5208" stopIfTrue="1" operator="equal">
      <formula>"Napkin Hs"</formula>
    </cfRule>
  </conditionalFormatting>
  <conditionalFormatting sqref="B6:C6 B8:C8 B54:C54 B7">
    <cfRule type="cellIs" dxfId="697" priority="707" stopIfTrue="1" operator="equal">
      <formula>"Towel"</formula>
    </cfRule>
    <cfRule type="cellIs" dxfId="696" priority="708" stopIfTrue="1" operator="equal">
      <formula>"Napkin Hs"</formula>
    </cfRule>
  </conditionalFormatting>
  <conditionalFormatting sqref="C7">
    <cfRule type="cellIs" dxfId="695" priority="685" stopIfTrue="1" operator="equal">
      <formula>"Towel"</formula>
    </cfRule>
    <cfRule type="cellIs" dxfId="694" priority="686" stopIfTrue="1" operator="equal">
      <formula>"Napkin Hs"</formula>
    </cfRule>
  </conditionalFormatting>
  <conditionalFormatting sqref="B13:C13">
    <cfRule type="cellIs" dxfId="693" priority="673" stopIfTrue="1" operator="equal">
      <formula>"Towel"</formula>
    </cfRule>
    <cfRule type="cellIs" dxfId="692" priority="674" stopIfTrue="1" operator="equal">
      <formula>"Napkin Hs"</formula>
    </cfRule>
  </conditionalFormatting>
  <conditionalFormatting sqref="B16:C17">
    <cfRule type="cellIs" dxfId="691" priority="689" stopIfTrue="1" operator="equal">
      <formula>"Towel"</formula>
    </cfRule>
    <cfRule type="cellIs" dxfId="690" priority="690" stopIfTrue="1" operator="equal">
      <formula>"Napkin Hs"</formula>
    </cfRule>
  </conditionalFormatting>
  <conditionalFormatting sqref="B49:C49">
    <cfRule type="cellIs" dxfId="689" priority="703" stopIfTrue="1" operator="equal">
      <formula>"Towel"</formula>
    </cfRule>
    <cfRule type="cellIs" dxfId="688" priority="704" stopIfTrue="1" operator="equal">
      <formula>"Napkin Hs"</formula>
    </cfRule>
  </conditionalFormatting>
  <conditionalFormatting sqref="C148">
    <cfRule type="cellIs" dxfId="687" priority="695" stopIfTrue="1" operator="equal">
      <formula>"Towel"</formula>
    </cfRule>
    <cfRule type="cellIs" dxfId="686" priority="696" stopIfTrue="1" operator="equal">
      <formula>"Napkin Hs"</formula>
    </cfRule>
  </conditionalFormatting>
  <conditionalFormatting sqref="B148:C148">
    <cfRule type="cellIs" dxfId="685" priority="693" stopIfTrue="1" operator="equal">
      <formula>"Towel"</formula>
    </cfRule>
    <cfRule type="cellIs" dxfId="684" priority="694" stopIfTrue="1" operator="equal">
      <formula>"Napkin Hs"</formula>
    </cfRule>
  </conditionalFormatting>
  <conditionalFormatting sqref="C6 C8 C54">
    <cfRule type="cellIs" dxfId="683" priority="706" stopIfTrue="1" operator="equal">
      <formula>"Napkin Hs"</formula>
    </cfRule>
  </conditionalFormatting>
  <conditionalFormatting sqref="C6:C8">
    <cfRule type="cellIs" dxfId="682" priority="683" stopIfTrue="1" operator="equal">
      <formula>"Towel"</formula>
    </cfRule>
    <cfRule type="cellIs" dxfId="681" priority="684" stopIfTrue="1" operator="equal">
      <formula>"Napkin Hs"</formula>
    </cfRule>
  </conditionalFormatting>
  <conditionalFormatting sqref="C7">
    <cfRule type="cellIs" dxfId="680" priority="681" stopIfTrue="1" operator="equal">
      <formula>"Towel"</formula>
    </cfRule>
    <cfRule type="cellIs" dxfId="679" priority="682" stopIfTrue="1" operator="equal">
      <formula>"Napkin Hs"</formula>
    </cfRule>
  </conditionalFormatting>
  <conditionalFormatting sqref="C16:C17">
    <cfRule type="cellIs" dxfId="678" priority="679" stopIfTrue="1" operator="equal">
      <formula>"Towel"</formula>
    </cfRule>
    <cfRule type="cellIs" dxfId="677" priority="680" stopIfTrue="1" operator="equal">
      <formula>"Napkin Hs"</formula>
    </cfRule>
  </conditionalFormatting>
  <conditionalFormatting sqref="C13">
    <cfRule type="cellIs" dxfId="676" priority="669" stopIfTrue="1" operator="equal">
      <formula>"Towel"</formula>
    </cfRule>
    <cfRule type="cellIs" dxfId="675" priority="670" stopIfTrue="1" operator="equal">
      <formula>"Napkin Hs"</formula>
    </cfRule>
  </conditionalFormatting>
  <conditionalFormatting sqref="C16:C17">
    <cfRule type="cellIs" dxfId="674" priority="687" stopIfTrue="1" operator="equal">
      <formula>"Towel"</formula>
    </cfRule>
    <cfRule type="cellIs" dxfId="673" priority="688" stopIfTrue="1" operator="equal">
      <formula>"Napkin Hs"</formula>
    </cfRule>
  </conditionalFormatting>
  <conditionalFormatting sqref="C54 C6 C8">
    <cfRule type="cellIs" dxfId="672" priority="705" stopIfTrue="1" operator="equal">
      <formula>"Towel"</formula>
    </cfRule>
  </conditionalFormatting>
  <conditionalFormatting sqref="C49">
    <cfRule type="cellIs" dxfId="671" priority="699" stopIfTrue="1" operator="equal">
      <formula>"Towel"</formula>
    </cfRule>
    <cfRule type="cellIs" dxfId="670" priority="700" stopIfTrue="1" operator="equal">
      <formula>"Napkin Hs"</formula>
    </cfRule>
  </conditionalFormatting>
  <conditionalFormatting sqref="C49">
    <cfRule type="cellIs" dxfId="669" priority="701" stopIfTrue="1" operator="equal">
      <formula>"Towel"</formula>
    </cfRule>
    <cfRule type="cellIs" dxfId="668" priority="702" stopIfTrue="1" operator="equal">
      <formula>"Napkin Hs"</formula>
    </cfRule>
  </conditionalFormatting>
  <conditionalFormatting sqref="C54">
    <cfRule type="cellIs" dxfId="667" priority="697" stopIfTrue="1" operator="equal">
      <formula>"Towel"</formula>
    </cfRule>
    <cfRule type="cellIs" dxfId="666" priority="698" stopIfTrue="1" operator="equal">
      <formula>"Napkin Hs"</formula>
    </cfRule>
  </conditionalFormatting>
  <conditionalFormatting sqref="C148">
    <cfRule type="cellIs" dxfId="665" priority="691" stopIfTrue="1" operator="equal">
      <formula>"Towel"</formula>
    </cfRule>
    <cfRule type="cellIs" dxfId="664" priority="692" stopIfTrue="1" operator="equal">
      <formula>"Napkin Hs"</formula>
    </cfRule>
  </conditionalFormatting>
  <conditionalFormatting sqref="B15:C15">
    <cfRule type="cellIs" dxfId="663" priority="677" stopIfTrue="1" operator="equal">
      <formula>"Towel"</formula>
    </cfRule>
    <cfRule type="cellIs" dxfId="662" priority="678" stopIfTrue="1" operator="equal">
      <formula>"Napkin Hs"</formula>
    </cfRule>
  </conditionalFormatting>
  <conditionalFormatting sqref="B9:C9">
    <cfRule type="cellIs" dxfId="661" priority="667" stopIfTrue="1" operator="equal">
      <formula>"Towel"</formula>
    </cfRule>
    <cfRule type="cellIs" dxfId="660" priority="668" stopIfTrue="1" operator="equal">
      <formula>"Napkin Hs"</formula>
    </cfRule>
  </conditionalFormatting>
  <conditionalFormatting sqref="C15">
    <cfRule type="cellIs" dxfId="659" priority="676" stopIfTrue="1" operator="equal">
      <formula>"Napkin Hs"</formula>
    </cfRule>
  </conditionalFormatting>
  <conditionalFormatting sqref="C13 C15">
    <cfRule type="cellIs" dxfId="658" priority="671" stopIfTrue="1" operator="equal">
      <formula>"Towel"</formula>
    </cfRule>
    <cfRule type="cellIs" dxfId="657" priority="672" stopIfTrue="1" operator="equal">
      <formula>"Napkin Hs"</formula>
    </cfRule>
  </conditionalFormatting>
  <conditionalFormatting sqref="C9">
    <cfRule type="cellIs" dxfId="656" priority="663" stopIfTrue="1" operator="equal">
      <formula>"Towel"</formula>
    </cfRule>
    <cfRule type="cellIs" dxfId="655" priority="664" stopIfTrue="1" operator="equal">
      <formula>"Napkin Hs"</formula>
    </cfRule>
  </conditionalFormatting>
  <conditionalFormatting sqref="C15">
    <cfRule type="cellIs" dxfId="654" priority="675" stopIfTrue="1" operator="equal">
      <formula>"Towel"</formula>
    </cfRule>
  </conditionalFormatting>
  <conditionalFormatting sqref="C9">
    <cfRule type="cellIs" dxfId="653" priority="666" stopIfTrue="1" operator="equal">
      <formula>"Napkin Hs"</formula>
    </cfRule>
  </conditionalFormatting>
  <conditionalFormatting sqref="C9">
    <cfRule type="cellIs" dxfId="652" priority="665" stopIfTrue="1" operator="equal">
      <formula>"Towel"</formula>
    </cfRule>
  </conditionalFormatting>
  <conditionalFormatting sqref="B40:C40">
    <cfRule type="cellIs" dxfId="651" priority="661" stopIfTrue="1" operator="equal">
      <formula>"Towel"</formula>
    </cfRule>
    <cfRule type="cellIs" dxfId="650" priority="662" stopIfTrue="1" operator="equal">
      <formula>"Napkin Hs"</formula>
    </cfRule>
  </conditionalFormatting>
  <conditionalFormatting sqref="C40">
    <cfRule type="cellIs" dxfId="649" priority="657" stopIfTrue="1" operator="equal">
      <formula>"Towel"</formula>
    </cfRule>
    <cfRule type="cellIs" dxfId="648" priority="658" stopIfTrue="1" operator="equal">
      <formula>"Napkin Hs"</formula>
    </cfRule>
  </conditionalFormatting>
  <conditionalFormatting sqref="C40">
    <cfRule type="cellIs" dxfId="647" priority="659" stopIfTrue="1" operator="equal">
      <formula>"Towel"</formula>
    </cfRule>
    <cfRule type="cellIs" dxfId="646" priority="660" stopIfTrue="1" operator="equal">
      <formula>"Napkin Hs"</formula>
    </cfRule>
  </conditionalFormatting>
  <conditionalFormatting sqref="B44:C44">
    <cfRule type="cellIs" dxfId="645" priority="655" stopIfTrue="1" operator="equal">
      <formula>"Towel"</formula>
    </cfRule>
    <cfRule type="cellIs" dxfId="644" priority="656" stopIfTrue="1" operator="equal">
      <formula>"Napkin Hs"</formula>
    </cfRule>
  </conditionalFormatting>
  <conditionalFormatting sqref="C44">
    <cfRule type="cellIs" dxfId="643" priority="654" stopIfTrue="1" operator="equal">
      <formula>"Napkin Hs"</formula>
    </cfRule>
  </conditionalFormatting>
  <conditionalFormatting sqref="C44">
    <cfRule type="cellIs" dxfId="642" priority="651" stopIfTrue="1" operator="equal">
      <formula>"Towel"</formula>
    </cfRule>
    <cfRule type="cellIs" dxfId="641" priority="652" stopIfTrue="1" operator="equal">
      <formula>"Napkin Hs"</formula>
    </cfRule>
  </conditionalFormatting>
  <conditionalFormatting sqref="C44">
    <cfRule type="cellIs" dxfId="640" priority="653" stopIfTrue="1" operator="equal">
      <formula>"Towel"</formula>
    </cfRule>
  </conditionalFormatting>
  <conditionalFormatting sqref="B58:C58">
    <cfRule type="cellIs" dxfId="639" priority="649" stopIfTrue="1" operator="equal">
      <formula>"Towel"</formula>
    </cfRule>
    <cfRule type="cellIs" dxfId="638" priority="650" stopIfTrue="1" operator="equal">
      <formula>"Napkin Hs"</formula>
    </cfRule>
  </conditionalFormatting>
  <conditionalFormatting sqref="C58">
    <cfRule type="cellIs" dxfId="637" priority="648" stopIfTrue="1" operator="equal">
      <formula>"Napkin Hs"</formula>
    </cfRule>
  </conditionalFormatting>
  <conditionalFormatting sqref="C58">
    <cfRule type="cellIs" dxfId="636" priority="645" stopIfTrue="1" operator="equal">
      <formula>"Towel"</formula>
    </cfRule>
    <cfRule type="cellIs" dxfId="635" priority="646" stopIfTrue="1" operator="equal">
      <formula>"Napkin Hs"</formula>
    </cfRule>
  </conditionalFormatting>
  <conditionalFormatting sqref="C58">
    <cfRule type="cellIs" dxfId="634" priority="647" stopIfTrue="1" operator="equal">
      <formula>"Towel"</formula>
    </cfRule>
  </conditionalFormatting>
  <conditionalFormatting sqref="B63:C63">
    <cfRule type="cellIs" dxfId="633" priority="643" stopIfTrue="1" operator="equal">
      <formula>"Towel"</formula>
    </cfRule>
    <cfRule type="cellIs" dxfId="632" priority="644" stopIfTrue="1" operator="equal">
      <formula>"Napkin Hs"</formula>
    </cfRule>
  </conditionalFormatting>
  <conditionalFormatting sqref="C63">
    <cfRule type="cellIs" dxfId="631" priority="642" stopIfTrue="1" operator="equal">
      <formula>"Napkin Hs"</formula>
    </cfRule>
  </conditionalFormatting>
  <conditionalFormatting sqref="C63">
    <cfRule type="cellIs" dxfId="630" priority="639" stopIfTrue="1" operator="equal">
      <formula>"Towel"</formula>
    </cfRule>
    <cfRule type="cellIs" dxfId="629" priority="640" stopIfTrue="1" operator="equal">
      <formula>"Napkin Hs"</formula>
    </cfRule>
  </conditionalFormatting>
  <conditionalFormatting sqref="C63">
    <cfRule type="cellIs" dxfId="628" priority="641" stopIfTrue="1" operator="equal">
      <formula>"Towel"</formula>
    </cfRule>
  </conditionalFormatting>
  <conditionalFormatting sqref="B68:C68">
    <cfRule type="cellIs" dxfId="627" priority="637" stopIfTrue="1" operator="equal">
      <formula>"Towel"</formula>
    </cfRule>
    <cfRule type="cellIs" dxfId="626" priority="638" stopIfTrue="1" operator="equal">
      <formula>"Napkin Hs"</formula>
    </cfRule>
  </conditionalFormatting>
  <conditionalFormatting sqref="C68">
    <cfRule type="cellIs" dxfId="625" priority="636" stopIfTrue="1" operator="equal">
      <formula>"Napkin Hs"</formula>
    </cfRule>
  </conditionalFormatting>
  <conditionalFormatting sqref="C68">
    <cfRule type="cellIs" dxfId="624" priority="633" stopIfTrue="1" operator="equal">
      <formula>"Towel"</formula>
    </cfRule>
    <cfRule type="cellIs" dxfId="623" priority="634" stopIfTrue="1" operator="equal">
      <formula>"Napkin Hs"</formula>
    </cfRule>
  </conditionalFormatting>
  <conditionalFormatting sqref="C68">
    <cfRule type="cellIs" dxfId="622" priority="635" stopIfTrue="1" operator="equal">
      <formula>"Towel"</formula>
    </cfRule>
  </conditionalFormatting>
  <conditionalFormatting sqref="B83:C83">
    <cfRule type="cellIs" dxfId="621" priority="631" stopIfTrue="1" operator="equal">
      <formula>"Towel"</formula>
    </cfRule>
    <cfRule type="cellIs" dxfId="620" priority="632" stopIfTrue="1" operator="equal">
      <formula>"Napkin Hs"</formula>
    </cfRule>
  </conditionalFormatting>
  <conditionalFormatting sqref="C83">
    <cfRule type="cellIs" dxfId="619" priority="627" stopIfTrue="1" operator="equal">
      <formula>"Towel"</formula>
    </cfRule>
    <cfRule type="cellIs" dxfId="618" priority="628" stopIfTrue="1" operator="equal">
      <formula>"Napkin Hs"</formula>
    </cfRule>
  </conditionalFormatting>
  <conditionalFormatting sqref="C83">
    <cfRule type="cellIs" dxfId="617" priority="630" stopIfTrue="1" operator="equal">
      <formula>"Napkin Hs"</formula>
    </cfRule>
  </conditionalFormatting>
  <conditionalFormatting sqref="C83">
    <cfRule type="cellIs" dxfId="616" priority="629" stopIfTrue="1" operator="equal">
      <formula>"Towel"</formula>
    </cfRule>
  </conditionalFormatting>
  <conditionalFormatting sqref="B88:C88">
    <cfRule type="cellIs" dxfId="615" priority="625" stopIfTrue="1" operator="equal">
      <formula>"Towel"</formula>
    </cfRule>
    <cfRule type="cellIs" dxfId="614" priority="626" stopIfTrue="1" operator="equal">
      <formula>"Napkin Hs"</formula>
    </cfRule>
  </conditionalFormatting>
  <conditionalFormatting sqref="C88">
    <cfRule type="cellIs" dxfId="613" priority="621" stopIfTrue="1" operator="equal">
      <formula>"Towel"</formula>
    </cfRule>
    <cfRule type="cellIs" dxfId="612" priority="622" stopIfTrue="1" operator="equal">
      <formula>"Napkin Hs"</formula>
    </cfRule>
  </conditionalFormatting>
  <conditionalFormatting sqref="C88">
    <cfRule type="cellIs" dxfId="611" priority="624" stopIfTrue="1" operator="equal">
      <formula>"Napkin Hs"</formula>
    </cfRule>
  </conditionalFormatting>
  <conditionalFormatting sqref="C88">
    <cfRule type="cellIs" dxfId="610" priority="623" stopIfTrue="1" operator="equal">
      <formula>"Towel"</formula>
    </cfRule>
  </conditionalFormatting>
  <conditionalFormatting sqref="B98:C98">
    <cfRule type="cellIs" dxfId="609" priority="619" stopIfTrue="1" operator="equal">
      <formula>"Towel"</formula>
    </cfRule>
    <cfRule type="cellIs" dxfId="608" priority="620" stopIfTrue="1" operator="equal">
      <formula>"Napkin Hs"</formula>
    </cfRule>
  </conditionalFormatting>
  <conditionalFormatting sqref="C98">
    <cfRule type="cellIs" dxfId="607" priority="618" stopIfTrue="1" operator="equal">
      <formula>"Napkin Hs"</formula>
    </cfRule>
  </conditionalFormatting>
  <conditionalFormatting sqref="C98">
    <cfRule type="cellIs" dxfId="606" priority="615" stopIfTrue="1" operator="equal">
      <formula>"Towel"</formula>
    </cfRule>
    <cfRule type="cellIs" dxfId="605" priority="616" stopIfTrue="1" operator="equal">
      <formula>"Napkin Hs"</formula>
    </cfRule>
  </conditionalFormatting>
  <conditionalFormatting sqref="C98">
    <cfRule type="cellIs" dxfId="604" priority="617" stopIfTrue="1" operator="equal">
      <formula>"Towel"</formula>
    </cfRule>
  </conditionalFormatting>
  <conditionalFormatting sqref="B103:C103">
    <cfRule type="cellIs" dxfId="603" priority="613" stopIfTrue="1" operator="equal">
      <formula>"Towel"</formula>
    </cfRule>
    <cfRule type="cellIs" dxfId="602" priority="614" stopIfTrue="1" operator="equal">
      <formula>"Napkin Hs"</formula>
    </cfRule>
  </conditionalFormatting>
  <conditionalFormatting sqref="C103">
    <cfRule type="cellIs" dxfId="601" priority="612" stopIfTrue="1" operator="equal">
      <formula>"Napkin Hs"</formula>
    </cfRule>
  </conditionalFormatting>
  <conditionalFormatting sqref="C103">
    <cfRule type="cellIs" dxfId="600" priority="609" stopIfTrue="1" operator="equal">
      <formula>"Towel"</formula>
    </cfRule>
    <cfRule type="cellIs" dxfId="599" priority="610" stopIfTrue="1" operator="equal">
      <formula>"Napkin Hs"</formula>
    </cfRule>
  </conditionalFormatting>
  <conditionalFormatting sqref="C103">
    <cfRule type="cellIs" dxfId="598" priority="611" stopIfTrue="1" operator="equal">
      <formula>"Towel"</formula>
    </cfRule>
  </conditionalFormatting>
  <conditionalFormatting sqref="B108:C108">
    <cfRule type="cellIs" dxfId="597" priority="607" stopIfTrue="1" operator="equal">
      <formula>"Towel"</formula>
    </cfRule>
    <cfRule type="cellIs" dxfId="596" priority="608" stopIfTrue="1" operator="equal">
      <formula>"Napkin Hs"</formula>
    </cfRule>
  </conditionalFormatting>
  <conditionalFormatting sqref="C108">
    <cfRule type="cellIs" dxfId="595" priority="606" stopIfTrue="1" operator="equal">
      <formula>"Napkin Hs"</formula>
    </cfRule>
  </conditionalFormatting>
  <conditionalFormatting sqref="C108">
    <cfRule type="cellIs" dxfId="594" priority="603" stopIfTrue="1" operator="equal">
      <formula>"Towel"</formula>
    </cfRule>
    <cfRule type="cellIs" dxfId="593" priority="604" stopIfTrue="1" operator="equal">
      <formula>"Napkin Hs"</formula>
    </cfRule>
  </conditionalFormatting>
  <conditionalFormatting sqref="C108">
    <cfRule type="cellIs" dxfId="592" priority="605" stopIfTrue="1" operator="equal">
      <formula>"Towel"</formula>
    </cfRule>
  </conditionalFormatting>
  <conditionalFormatting sqref="B113:C113">
    <cfRule type="cellIs" dxfId="591" priority="601" stopIfTrue="1" operator="equal">
      <formula>"Towel"</formula>
    </cfRule>
    <cfRule type="cellIs" dxfId="590" priority="602" stopIfTrue="1" operator="equal">
      <formula>"Napkin Hs"</formula>
    </cfRule>
  </conditionalFormatting>
  <conditionalFormatting sqref="C113">
    <cfRule type="cellIs" dxfId="589" priority="600" stopIfTrue="1" operator="equal">
      <formula>"Napkin Hs"</formula>
    </cfRule>
  </conditionalFormatting>
  <conditionalFormatting sqref="C113">
    <cfRule type="cellIs" dxfId="588" priority="597" stopIfTrue="1" operator="equal">
      <formula>"Towel"</formula>
    </cfRule>
    <cfRule type="cellIs" dxfId="587" priority="598" stopIfTrue="1" operator="equal">
      <formula>"Napkin Hs"</formula>
    </cfRule>
  </conditionalFormatting>
  <conditionalFormatting sqref="C113">
    <cfRule type="cellIs" dxfId="586" priority="599" stopIfTrue="1" operator="equal">
      <formula>"Towel"</formula>
    </cfRule>
  </conditionalFormatting>
  <conditionalFormatting sqref="B118:C118">
    <cfRule type="cellIs" dxfId="585" priority="595" stopIfTrue="1" operator="equal">
      <formula>"Towel"</formula>
    </cfRule>
    <cfRule type="cellIs" dxfId="584" priority="596" stopIfTrue="1" operator="equal">
      <formula>"Napkin Hs"</formula>
    </cfRule>
  </conditionalFormatting>
  <conditionalFormatting sqref="C118">
    <cfRule type="cellIs" dxfId="583" priority="594" stopIfTrue="1" operator="equal">
      <formula>"Napkin Hs"</formula>
    </cfRule>
  </conditionalFormatting>
  <conditionalFormatting sqref="C118">
    <cfRule type="cellIs" dxfId="582" priority="591" stopIfTrue="1" operator="equal">
      <formula>"Towel"</formula>
    </cfRule>
    <cfRule type="cellIs" dxfId="581" priority="592" stopIfTrue="1" operator="equal">
      <formula>"Napkin Hs"</formula>
    </cfRule>
  </conditionalFormatting>
  <conditionalFormatting sqref="C118">
    <cfRule type="cellIs" dxfId="580" priority="593" stopIfTrue="1" operator="equal">
      <formula>"Towel"</formula>
    </cfRule>
  </conditionalFormatting>
  <conditionalFormatting sqref="B128:C128">
    <cfRule type="cellIs" dxfId="579" priority="589" stopIfTrue="1" operator="equal">
      <formula>"Towel"</formula>
    </cfRule>
    <cfRule type="cellIs" dxfId="578" priority="590" stopIfTrue="1" operator="equal">
      <formula>"Napkin Hs"</formula>
    </cfRule>
  </conditionalFormatting>
  <conditionalFormatting sqref="C128">
    <cfRule type="cellIs" dxfId="577" priority="588" stopIfTrue="1" operator="equal">
      <formula>"Napkin Hs"</formula>
    </cfRule>
  </conditionalFormatting>
  <conditionalFormatting sqref="C128">
    <cfRule type="cellIs" dxfId="576" priority="585" stopIfTrue="1" operator="equal">
      <formula>"Towel"</formula>
    </cfRule>
    <cfRule type="cellIs" dxfId="575" priority="586" stopIfTrue="1" operator="equal">
      <formula>"Napkin Hs"</formula>
    </cfRule>
  </conditionalFormatting>
  <conditionalFormatting sqref="C128">
    <cfRule type="cellIs" dxfId="574" priority="587" stopIfTrue="1" operator="equal">
      <formula>"Towel"</formula>
    </cfRule>
  </conditionalFormatting>
  <conditionalFormatting sqref="B133:C133">
    <cfRule type="cellIs" dxfId="573" priority="583" stopIfTrue="1" operator="equal">
      <formula>"Towel"</formula>
    </cfRule>
    <cfRule type="cellIs" dxfId="572" priority="584" stopIfTrue="1" operator="equal">
      <formula>"Napkin Hs"</formula>
    </cfRule>
  </conditionalFormatting>
  <conditionalFormatting sqref="C133">
    <cfRule type="cellIs" dxfId="571" priority="579" stopIfTrue="1" operator="equal">
      <formula>"Towel"</formula>
    </cfRule>
    <cfRule type="cellIs" dxfId="570" priority="580" stopIfTrue="1" operator="equal">
      <formula>"Napkin Hs"</formula>
    </cfRule>
  </conditionalFormatting>
  <conditionalFormatting sqref="C133">
    <cfRule type="cellIs" dxfId="569" priority="582" stopIfTrue="1" operator="equal">
      <formula>"Napkin Hs"</formula>
    </cfRule>
  </conditionalFormatting>
  <conditionalFormatting sqref="C133">
    <cfRule type="cellIs" dxfId="568" priority="581" stopIfTrue="1" operator="equal">
      <formula>"Towel"</formula>
    </cfRule>
  </conditionalFormatting>
  <conditionalFormatting sqref="B138:C138">
    <cfRule type="cellIs" dxfId="567" priority="577" stopIfTrue="1" operator="equal">
      <formula>"Towel"</formula>
    </cfRule>
    <cfRule type="cellIs" dxfId="566" priority="578" stopIfTrue="1" operator="equal">
      <formula>"Napkin Hs"</formula>
    </cfRule>
  </conditionalFormatting>
  <conditionalFormatting sqref="C138">
    <cfRule type="cellIs" dxfId="565" priority="576" stopIfTrue="1" operator="equal">
      <formula>"Napkin Hs"</formula>
    </cfRule>
  </conditionalFormatting>
  <conditionalFormatting sqref="C138">
    <cfRule type="cellIs" dxfId="564" priority="573" stopIfTrue="1" operator="equal">
      <formula>"Towel"</formula>
    </cfRule>
    <cfRule type="cellIs" dxfId="563" priority="574" stopIfTrue="1" operator="equal">
      <formula>"Napkin Hs"</formula>
    </cfRule>
  </conditionalFormatting>
  <conditionalFormatting sqref="C138">
    <cfRule type="cellIs" dxfId="562" priority="575" stopIfTrue="1" operator="equal">
      <formula>"Towel"</formula>
    </cfRule>
  </conditionalFormatting>
  <conditionalFormatting sqref="B16:C16">
    <cfRule type="cellIs" dxfId="561" priority="553" stopIfTrue="1" operator="equal">
      <formula>"Towel"</formula>
    </cfRule>
    <cfRule type="cellIs" dxfId="560" priority="554" stopIfTrue="1" operator="equal">
      <formula>"Napkin Hs"</formula>
    </cfRule>
  </conditionalFormatting>
  <conditionalFormatting sqref="B13:C13">
    <cfRule type="cellIs" dxfId="559" priority="549" stopIfTrue="1" operator="equal">
      <formula>"Towel"</formula>
    </cfRule>
    <cfRule type="cellIs" dxfId="558" priority="550" stopIfTrue="1" operator="equal">
      <formula>"Napkin Hs"</formula>
    </cfRule>
  </conditionalFormatting>
  <conditionalFormatting sqref="B17:C17">
    <cfRule type="cellIs" dxfId="557" priority="543" stopIfTrue="1" operator="equal">
      <formula>"Towel"</formula>
    </cfRule>
    <cfRule type="cellIs" dxfId="556" priority="544" stopIfTrue="1" operator="equal">
      <formula>"Napkin Hs"</formula>
    </cfRule>
  </conditionalFormatting>
  <conditionalFormatting sqref="C16">
    <cfRule type="cellIs" dxfId="555" priority="552" stopIfTrue="1" operator="equal">
      <formula>"Napkin Hs"</formula>
    </cfRule>
  </conditionalFormatting>
  <conditionalFormatting sqref="C13 C16">
    <cfRule type="cellIs" dxfId="554" priority="547" stopIfTrue="1" operator="equal">
      <formula>"Towel"</formula>
    </cfRule>
    <cfRule type="cellIs" dxfId="553" priority="548" stopIfTrue="1" operator="equal">
      <formula>"Napkin Hs"</formula>
    </cfRule>
  </conditionalFormatting>
  <conditionalFormatting sqref="C13">
    <cfRule type="cellIs" dxfId="552" priority="545" stopIfTrue="1" operator="equal">
      <formula>"Towel"</formula>
    </cfRule>
    <cfRule type="cellIs" dxfId="551" priority="546" stopIfTrue="1" operator="equal">
      <formula>"Napkin Hs"</formula>
    </cfRule>
  </conditionalFormatting>
  <conditionalFormatting sqref="C17">
    <cfRule type="cellIs" dxfId="550" priority="541" stopIfTrue="1" operator="equal">
      <formula>"Towel"</formula>
    </cfRule>
    <cfRule type="cellIs" dxfId="549" priority="542" stopIfTrue="1" operator="equal">
      <formula>"Napkin Hs"</formula>
    </cfRule>
  </conditionalFormatting>
  <conditionalFormatting sqref="C16">
    <cfRule type="cellIs" dxfId="548" priority="551" stopIfTrue="1" operator="equal">
      <formula>"Towel"</formula>
    </cfRule>
  </conditionalFormatting>
  <conditionalFormatting sqref="B15:C15">
    <cfRule type="cellIs" dxfId="547" priority="539" stopIfTrue="1" operator="equal">
      <formula>"Towel"</formula>
    </cfRule>
    <cfRule type="cellIs" dxfId="546" priority="540" stopIfTrue="1" operator="equal">
      <formula>"Napkin Hs"</formula>
    </cfRule>
  </conditionalFormatting>
  <conditionalFormatting sqref="C15">
    <cfRule type="cellIs" dxfId="545" priority="535" stopIfTrue="1" operator="equal">
      <formula>"Towel"</formula>
    </cfRule>
    <cfRule type="cellIs" dxfId="544" priority="536" stopIfTrue="1" operator="equal">
      <formula>"Napkin Hs"</formula>
    </cfRule>
  </conditionalFormatting>
  <conditionalFormatting sqref="C15">
    <cfRule type="cellIs" dxfId="543" priority="538" stopIfTrue="1" operator="equal">
      <formula>"Napkin Hs"</formula>
    </cfRule>
  </conditionalFormatting>
  <conditionalFormatting sqref="C15">
    <cfRule type="cellIs" dxfId="542" priority="537" stopIfTrue="1" operator="equal">
      <formula>"Towel"</formula>
    </cfRule>
  </conditionalFormatting>
  <conditionalFormatting sqref="B21:C21">
    <cfRule type="cellIs" dxfId="541" priority="533" stopIfTrue="1" operator="equal">
      <formula>"Towel"</formula>
    </cfRule>
    <cfRule type="cellIs" dxfId="540" priority="534" stopIfTrue="1" operator="equal">
      <formula>"Napkin Hs"</formula>
    </cfRule>
  </conditionalFormatting>
  <conditionalFormatting sqref="C21">
    <cfRule type="cellIs" dxfId="539" priority="532" stopIfTrue="1" operator="equal">
      <formula>"Napkin Hs"</formula>
    </cfRule>
  </conditionalFormatting>
  <conditionalFormatting sqref="C21">
    <cfRule type="cellIs" dxfId="538" priority="529" stopIfTrue="1" operator="equal">
      <formula>"Towel"</formula>
    </cfRule>
    <cfRule type="cellIs" dxfId="537" priority="530" stopIfTrue="1" operator="equal">
      <formula>"Napkin Hs"</formula>
    </cfRule>
  </conditionalFormatting>
  <conditionalFormatting sqref="C21">
    <cfRule type="cellIs" dxfId="536" priority="531" stopIfTrue="1" operator="equal">
      <formula>"Towel"</formula>
    </cfRule>
  </conditionalFormatting>
  <conditionalFormatting sqref="B21:C21">
    <cfRule type="cellIs" dxfId="535" priority="527" stopIfTrue="1" operator="equal">
      <formula>"Towel"</formula>
    </cfRule>
    <cfRule type="cellIs" dxfId="534" priority="528" stopIfTrue="1" operator="equal">
      <formula>"Napkin Hs"</formula>
    </cfRule>
  </conditionalFormatting>
  <conditionalFormatting sqref="C21">
    <cfRule type="cellIs" dxfId="533" priority="523" stopIfTrue="1" operator="equal">
      <formula>"Towel"</formula>
    </cfRule>
    <cfRule type="cellIs" dxfId="532" priority="524" stopIfTrue="1" operator="equal">
      <formula>"Napkin Hs"</formula>
    </cfRule>
  </conditionalFormatting>
  <conditionalFormatting sqref="C21">
    <cfRule type="cellIs" dxfId="531" priority="526" stopIfTrue="1" operator="equal">
      <formula>"Napkin Hs"</formula>
    </cfRule>
  </conditionalFormatting>
  <conditionalFormatting sqref="C21">
    <cfRule type="cellIs" dxfId="530" priority="525" stopIfTrue="1" operator="equal">
      <formula>"Towel"</formula>
    </cfRule>
  </conditionalFormatting>
  <conditionalFormatting sqref="B25:C25">
    <cfRule type="cellIs" dxfId="529" priority="521" stopIfTrue="1" operator="equal">
      <formula>"Towel"</formula>
    </cfRule>
    <cfRule type="cellIs" dxfId="528" priority="522" stopIfTrue="1" operator="equal">
      <formula>"Napkin Hs"</formula>
    </cfRule>
  </conditionalFormatting>
  <conditionalFormatting sqref="C25">
    <cfRule type="cellIs" dxfId="527" priority="520" stopIfTrue="1" operator="equal">
      <formula>"Napkin Hs"</formula>
    </cfRule>
  </conditionalFormatting>
  <conditionalFormatting sqref="C25">
    <cfRule type="cellIs" dxfId="526" priority="517" stopIfTrue="1" operator="equal">
      <formula>"Towel"</formula>
    </cfRule>
    <cfRule type="cellIs" dxfId="525" priority="518" stopIfTrue="1" operator="equal">
      <formula>"Napkin Hs"</formula>
    </cfRule>
  </conditionalFormatting>
  <conditionalFormatting sqref="C25">
    <cfRule type="cellIs" dxfId="524" priority="519" stopIfTrue="1" operator="equal">
      <formula>"Towel"</formula>
    </cfRule>
  </conditionalFormatting>
  <conditionalFormatting sqref="B25:C25">
    <cfRule type="cellIs" dxfId="523" priority="515" stopIfTrue="1" operator="equal">
      <formula>"Towel"</formula>
    </cfRule>
    <cfRule type="cellIs" dxfId="522" priority="516" stopIfTrue="1" operator="equal">
      <formula>"Napkin Hs"</formula>
    </cfRule>
  </conditionalFormatting>
  <conditionalFormatting sqref="C25">
    <cfRule type="cellIs" dxfId="521" priority="514" stopIfTrue="1" operator="equal">
      <formula>"Napkin Hs"</formula>
    </cfRule>
  </conditionalFormatting>
  <conditionalFormatting sqref="C25">
    <cfRule type="cellIs" dxfId="520" priority="511" stopIfTrue="1" operator="equal">
      <formula>"Towel"</formula>
    </cfRule>
    <cfRule type="cellIs" dxfId="519" priority="512" stopIfTrue="1" operator="equal">
      <formula>"Napkin Hs"</formula>
    </cfRule>
  </conditionalFormatting>
  <conditionalFormatting sqref="C25">
    <cfRule type="cellIs" dxfId="518" priority="513" stopIfTrue="1" operator="equal">
      <formula>"Towel"</formula>
    </cfRule>
  </conditionalFormatting>
  <conditionalFormatting sqref="B30:C30">
    <cfRule type="cellIs" dxfId="517" priority="509" stopIfTrue="1" operator="equal">
      <formula>"Towel"</formula>
    </cfRule>
    <cfRule type="cellIs" dxfId="516" priority="510" stopIfTrue="1" operator="equal">
      <formula>"Napkin Hs"</formula>
    </cfRule>
  </conditionalFormatting>
  <conditionalFormatting sqref="C30">
    <cfRule type="cellIs" dxfId="515" priority="508" stopIfTrue="1" operator="equal">
      <formula>"Napkin Hs"</formula>
    </cfRule>
  </conditionalFormatting>
  <conditionalFormatting sqref="C30">
    <cfRule type="cellIs" dxfId="514" priority="505" stopIfTrue="1" operator="equal">
      <formula>"Towel"</formula>
    </cfRule>
    <cfRule type="cellIs" dxfId="513" priority="506" stopIfTrue="1" operator="equal">
      <formula>"Napkin Hs"</formula>
    </cfRule>
  </conditionalFormatting>
  <conditionalFormatting sqref="C30">
    <cfRule type="cellIs" dxfId="512" priority="507" stopIfTrue="1" operator="equal">
      <formula>"Towel"</formula>
    </cfRule>
  </conditionalFormatting>
  <conditionalFormatting sqref="B30:C30">
    <cfRule type="cellIs" dxfId="511" priority="503" stopIfTrue="1" operator="equal">
      <formula>"Towel"</formula>
    </cfRule>
    <cfRule type="cellIs" dxfId="510" priority="504" stopIfTrue="1" operator="equal">
      <formula>"Napkin Hs"</formula>
    </cfRule>
  </conditionalFormatting>
  <conditionalFormatting sqref="C30">
    <cfRule type="cellIs" dxfId="509" priority="502" stopIfTrue="1" operator="equal">
      <formula>"Napkin Hs"</formula>
    </cfRule>
  </conditionalFormatting>
  <conditionalFormatting sqref="C30">
    <cfRule type="cellIs" dxfId="508" priority="499" stopIfTrue="1" operator="equal">
      <formula>"Towel"</formula>
    </cfRule>
    <cfRule type="cellIs" dxfId="507" priority="500" stopIfTrue="1" operator="equal">
      <formula>"Napkin Hs"</formula>
    </cfRule>
  </conditionalFormatting>
  <conditionalFormatting sqref="C30">
    <cfRule type="cellIs" dxfId="506" priority="501" stopIfTrue="1" operator="equal">
      <formula>"Towel"</formula>
    </cfRule>
  </conditionalFormatting>
  <conditionalFormatting sqref="B35:C35">
    <cfRule type="cellIs" dxfId="505" priority="497" stopIfTrue="1" operator="equal">
      <formula>"Towel"</formula>
    </cfRule>
    <cfRule type="cellIs" dxfId="504" priority="498" stopIfTrue="1" operator="equal">
      <formula>"Napkin Hs"</formula>
    </cfRule>
  </conditionalFormatting>
  <conditionalFormatting sqref="C35">
    <cfRule type="cellIs" dxfId="503" priority="496" stopIfTrue="1" operator="equal">
      <formula>"Napkin Hs"</formula>
    </cfRule>
  </conditionalFormatting>
  <conditionalFormatting sqref="C35">
    <cfRule type="cellIs" dxfId="502" priority="493" stopIfTrue="1" operator="equal">
      <formula>"Towel"</formula>
    </cfRule>
    <cfRule type="cellIs" dxfId="501" priority="494" stopIfTrue="1" operator="equal">
      <formula>"Napkin Hs"</formula>
    </cfRule>
  </conditionalFormatting>
  <conditionalFormatting sqref="C35">
    <cfRule type="cellIs" dxfId="500" priority="495" stopIfTrue="1" operator="equal">
      <formula>"Towel"</formula>
    </cfRule>
  </conditionalFormatting>
  <conditionalFormatting sqref="B35:C35">
    <cfRule type="cellIs" dxfId="499" priority="491" stopIfTrue="1" operator="equal">
      <formula>"Towel"</formula>
    </cfRule>
    <cfRule type="cellIs" dxfId="498" priority="492" stopIfTrue="1" operator="equal">
      <formula>"Napkin Hs"</formula>
    </cfRule>
  </conditionalFormatting>
  <conditionalFormatting sqref="C35">
    <cfRule type="cellIs" dxfId="497" priority="490" stopIfTrue="1" operator="equal">
      <formula>"Napkin Hs"</formula>
    </cfRule>
  </conditionalFormatting>
  <conditionalFormatting sqref="C35">
    <cfRule type="cellIs" dxfId="496" priority="487" stopIfTrue="1" operator="equal">
      <formula>"Towel"</formula>
    </cfRule>
    <cfRule type="cellIs" dxfId="495" priority="488" stopIfTrue="1" operator="equal">
      <formula>"Napkin Hs"</formula>
    </cfRule>
  </conditionalFormatting>
  <conditionalFormatting sqref="C35">
    <cfRule type="cellIs" dxfId="494" priority="489" stopIfTrue="1" operator="equal">
      <formula>"Towel"</formula>
    </cfRule>
  </conditionalFormatting>
  <conditionalFormatting sqref="B10:C12">
    <cfRule type="cellIs" dxfId="493" priority="485" stopIfTrue="1" operator="equal">
      <formula>"Towel"</formula>
    </cfRule>
    <cfRule type="cellIs" dxfId="492" priority="486" stopIfTrue="1" operator="equal">
      <formula>"Napkin Hs"</formula>
    </cfRule>
  </conditionalFormatting>
  <conditionalFormatting sqref="C10:C12">
    <cfRule type="cellIs" dxfId="491" priority="484" stopIfTrue="1" operator="equal">
      <formula>"Napkin Hs"</formula>
    </cfRule>
  </conditionalFormatting>
  <conditionalFormatting sqref="C10:C12">
    <cfRule type="cellIs" dxfId="490" priority="481" stopIfTrue="1" operator="equal">
      <formula>"Towel"</formula>
    </cfRule>
    <cfRule type="cellIs" dxfId="489" priority="482" stopIfTrue="1" operator="equal">
      <formula>"Napkin Hs"</formula>
    </cfRule>
  </conditionalFormatting>
  <conditionalFormatting sqref="C10:C12">
    <cfRule type="cellIs" dxfId="488" priority="483" stopIfTrue="1" operator="equal">
      <formula>"Towel"</formula>
    </cfRule>
  </conditionalFormatting>
  <conditionalFormatting sqref="B17:C17">
    <cfRule type="cellIs" dxfId="487" priority="479" stopIfTrue="1" operator="equal">
      <formula>"Towel"</formula>
    </cfRule>
    <cfRule type="cellIs" dxfId="486" priority="480" stopIfTrue="1" operator="equal">
      <formula>"Napkin Hs"</formula>
    </cfRule>
  </conditionalFormatting>
  <conditionalFormatting sqref="C17">
    <cfRule type="cellIs" dxfId="485" priority="475" stopIfTrue="1" operator="equal">
      <formula>"Towel"</formula>
    </cfRule>
    <cfRule type="cellIs" dxfId="484" priority="476" stopIfTrue="1" operator="equal">
      <formula>"Napkin Hs"</formula>
    </cfRule>
  </conditionalFormatting>
  <conditionalFormatting sqref="C17">
    <cfRule type="cellIs" dxfId="483" priority="477" stopIfTrue="1" operator="equal">
      <formula>"Towel"</formula>
    </cfRule>
    <cfRule type="cellIs" dxfId="482" priority="478" stopIfTrue="1" operator="equal">
      <formula>"Napkin Hs"</formula>
    </cfRule>
  </conditionalFormatting>
  <conditionalFormatting sqref="B17:C17">
    <cfRule type="cellIs" dxfId="481" priority="473" stopIfTrue="1" operator="equal">
      <formula>"Towel"</formula>
    </cfRule>
    <cfRule type="cellIs" dxfId="480" priority="474" stopIfTrue="1" operator="equal">
      <formula>"Napkin Hs"</formula>
    </cfRule>
  </conditionalFormatting>
  <conditionalFormatting sqref="C17">
    <cfRule type="cellIs" dxfId="479" priority="471" stopIfTrue="1" operator="equal">
      <formula>"Towel"</formula>
    </cfRule>
    <cfRule type="cellIs" dxfId="478" priority="472" stopIfTrue="1" operator="equal">
      <formula>"Napkin Hs"</formula>
    </cfRule>
  </conditionalFormatting>
  <conditionalFormatting sqref="C17">
    <cfRule type="cellIs" dxfId="477" priority="469" stopIfTrue="1" operator="equal">
      <formula>"Towel"</formula>
    </cfRule>
    <cfRule type="cellIs" dxfId="476" priority="470" stopIfTrue="1" operator="equal">
      <formula>"Napkin Hs"</formula>
    </cfRule>
  </conditionalFormatting>
  <conditionalFormatting sqref="B15:C16">
    <cfRule type="cellIs" dxfId="475" priority="467" stopIfTrue="1" operator="equal">
      <formula>"Towel"</formula>
    </cfRule>
    <cfRule type="cellIs" dxfId="474" priority="468" stopIfTrue="1" operator="equal">
      <formula>"Napkin Hs"</formula>
    </cfRule>
  </conditionalFormatting>
  <conditionalFormatting sqref="C15:C16">
    <cfRule type="cellIs" dxfId="473" priority="466" stopIfTrue="1" operator="equal">
      <formula>"Napkin Hs"</formula>
    </cfRule>
  </conditionalFormatting>
  <conditionalFormatting sqref="C15:C16">
    <cfRule type="cellIs" dxfId="472" priority="463" stopIfTrue="1" operator="equal">
      <formula>"Towel"</formula>
    </cfRule>
    <cfRule type="cellIs" dxfId="471" priority="464" stopIfTrue="1" operator="equal">
      <formula>"Napkin Hs"</formula>
    </cfRule>
  </conditionalFormatting>
  <conditionalFormatting sqref="C15:C16">
    <cfRule type="cellIs" dxfId="470" priority="465" stopIfTrue="1" operator="equal">
      <formula>"Towel"</formula>
    </cfRule>
  </conditionalFormatting>
  <conditionalFormatting sqref="B14:C14">
    <cfRule type="cellIs" dxfId="469" priority="461" stopIfTrue="1" operator="equal">
      <formula>"Towel"</formula>
    </cfRule>
    <cfRule type="cellIs" dxfId="468" priority="462" stopIfTrue="1" operator="equal">
      <formula>"Napkin Hs"</formula>
    </cfRule>
  </conditionalFormatting>
  <conditionalFormatting sqref="C14">
    <cfRule type="cellIs" dxfId="467" priority="460" stopIfTrue="1" operator="equal">
      <formula>"Napkin Hs"</formula>
    </cfRule>
  </conditionalFormatting>
  <conditionalFormatting sqref="C14">
    <cfRule type="cellIs" dxfId="466" priority="457" stopIfTrue="1" operator="equal">
      <formula>"Towel"</formula>
    </cfRule>
    <cfRule type="cellIs" dxfId="465" priority="458" stopIfTrue="1" operator="equal">
      <formula>"Napkin Hs"</formula>
    </cfRule>
  </conditionalFormatting>
  <conditionalFormatting sqref="C14">
    <cfRule type="cellIs" dxfId="464" priority="459" stopIfTrue="1" operator="equal">
      <formula>"Towel"</formula>
    </cfRule>
  </conditionalFormatting>
  <conditionalFormatting sqref="B18:C20">
    <cfRule type="cellIs" dxfId="463" priority="455" stopIfTrue="1" operator="equal">
      <formula>"Towel"</formula>
    </cfRule>
    <cfRule type="cellIs" dxfId="462" priority="456" stopIfTrue="1" operator="equal">
      <formula>"Napkin Hs"</formula>
    </cfRule>
  </conditionalFormatting>
  <conditionalFormatting sqref="C18:C20">
    <cfRule type="cellIs" dxfId="461" priority="454" stopIfTrue="1" operator="equal">
      <formula>"Napkin Hs"</formula>
    </cfRule>
  </conditionalFormatting>
  <conditionalFormatting sqref="C18:C20">
    <cfRule type="cellIs" dxfId="460" priority="451" stopIfTrue="1" operator="equal">
      <formula>"Towel"</formula>
    </cfRule>
    <cfRule type="cellIs" dxfId="459" priority="452" stopIfTrue="1" operator="equal">
      <formula>"Napkin Hs"</formula>
    </cfRule>
  </conditionalFormatting>
  <conditionalFormatting sqref="C18:C20">
    <cfRule type="cellIs" dxfId="458" priority="453" stopIfTrue="1" operator="equal">
      <formula>"Towel"</formula>
    </cfRule>
  </conditionalFormatting>
  <conditionalFormatting sqref="B22:C24">
    <cfRule type="cellIs" dxfId="457" priority="449" stopIfTrue="1" operator="equal">
      <formula>"Towel"</formula>
    </cfRule>
    <cfRule type="cellIs" dxfId="456" priority="450" stopIfTrue="1" operator="equal">
      <formula>"Napkin Hs"</formula>
    </cfRule>
  </conditionalFormatting>
  <conditionalFormatting sqref="C22:C24">
    <cfRule type="cellIs" dxfId="455" priority="448" stopIfTrue="1" operator="equal">
      <formula>"Napkin Hs"</formula>
    </cfRule>
  </conditionalFormatting>
  <conditionalFormatting sqref="C22:C24">
    <cfRule type="cellIs" dxfId="454" priority="445" stopIfTrue="1" operator="equal">
      <formula>"Towel"</formula>
    </cfRule>
    <cfRule type="cellIs" dxfId="453" priority="446" stopIfTrue="1" operator="equal">
      <formula>"Napkin Hs"</formula>
    </cfRule>
  </conditionalFormatting>
  <conditionalFormatting sqref="C22:C24">
    <cfRule type="cellIs" dxfId="452" priority="447" stopIfTrue="1" operator="equal">
      <formula>"Towel"</formula>
    </cfRule>
  </conditionalFormatting>
  <conditionalFormatting sqref="B26:C29">
    <cfRule type="cellIs" dxfId="451" priority="443" stopIfTrue="1" operator="equal">
      <formula>"Towel"</formula>
    </cfRule>
    <cfRule type="cellIs" dxfId="450" priority="444" stopIfTrue="1" operator="equal">
      <formula>"Napkin Hs"</formula>
    </cfRule>
  </conditionalFormatting>
  <conditionalFormatting sqref="C26:C29">
    <cfRule type="cellIs" dxfId="449" priority="442" stopIfTrue="1" operator="equal">
      <formula>"Napkin Hs"</formula>
    </cfRule>
  </conditionalFormatting>
  <conditionalFormatting sqref="C26:C29">
    <cfRule type="cellIs" dxfId="448" priority="439" stopIfTrue="1" operator="equal">
      <formula>"Towel"</formula>
    </cfRule>
    <cfRule type="cellIs" dxfId="447" priority="440" stopIfTrue="1" operator="equal">
      <formula>"Napkin Hs"</formula>
    </cfRule>
  </conditionalFormatting>
  <conditionalFormatting sqref="C26:C29">
    <cfRule type="cellIs" dxfId="446" priority="441" stopIfTrue="1" operator="equal">
      <formula>"Towel"</formula>
    </cfRule>
  </conditionalFormatting>
  <conditionalFormatting sqref="B31:C34">
    <cfRule type="cellIs" dxfId="445" priority="437" stopIfTrue="1" operator="equal">
      <formula>"Towel"</formula>
    </cfRule>
    <cfRule type="cellIs" dxfId="444" priority="438" stopIfTrue="1" operator="equal">
      <formula>"Napkin Hs"</formula>
    </cfRule>
  </conditionalFormatting>
  <conditionalFormatting sqref="C31:C34">
    <cfRule type="cellIs" dxfId="443" priority="436" stopIfTrue="1" operator="equal">
      <formula>"Napkin Hs"</formula>
    </cfRule>
  </conditionalFormatting>
  <conditionalFormatting sqref="C31:C34">
    <cfRule type="cellIs" dxfId="442" priority="433" stopIfTrue="1" operator="equal">
      <formula>"Towel"</formula>
    </cfRule>
    <cfRule type="cellIs" dxfId="441" priority="434" stopIfTrue="1" operator="equal">
      <formula>"Napkin Hs"</formula>
    </cfRule>
  </conditionalFormatting>
  <conditionalFormatting sqref="C31:C34">
    <cfRule type="cellIs" dxfId="440" priority="435" stopIfTrue="1" operator="equal">
      <formula>"Towel"</formula>
    </cfRule>
  </conditionalFormatting>
  <conditionalFormatting sqref="B37:C38">
    <cfRule type="cellIs" dxfId="439" priority="431" stopIfTrue="1" operator="equal">
      <formula>"Towel"</formula>
    </cfRule>
    <cfRule type="cellIs" dxfId="438" priority="432" stopIfTrue="1" operator="equal">
      <formula>"Napkin Hs"</formula>
    </cfRule>
  </conditionalFormatting>
  <conditionalFormatting sqref="C37:C38">
    <cfRule type="cellIs" dxfId="437" priority="430" stopIfTrue="1" operator="equal">
      <formula>"Napkin Hs"</formula>
    </cfRule>
  </conditionalFormatting>
  <conditionalFormatting sqref="C37:C38">
    <cfRule type="cellIs" dxfId="436" priority="427" stopIfTrue="1" operator="equal">
      <formula>"Towel"</formula>
    </cfRule>
    <cfRule type="cellIs" dxfId="435" priority="428" stopIfTrue="1" operator="equal">
      <formula>"Napkin Hs"</formula>
    </cfRule>
  </conditionalFormatting>
  <conditionalFormatting sqref="C37:C38">
    <cfRule type="cellIs" dxfId="434" priority="429" stopIfTrue="1" operator="equal">
      <formula>"Towel"</formula>
    </cfRule>
  </conditionalFormatting>
  <conditionalFormatting sqref="B36:C36">
    <cfRule type="cellIs" dxfId="433" priority="425" stopIfTrue="1" operator="equal">
      <formula>"Towel"</formula>
    </cfRule>
    <cfRule type="cellIs" dxfId="432" priority="426" stopIfTrue="1" operator="equal">
      <formula>"Napkin Hs"</formula>
    </cfRule>
  </conditionalFormatting>
  <conditionalFormatting sqref="C36">
    <cfRule type="cellIs" dxfId="431" priority="424" stopIfTrue="1" operator="equal">
      <formula>"Napkin Hs"</formula>
    </cfRule>
  </conditionalFormatting>
  <conditionalFormatting sqref="C36">
    <cfRule type="cellIs" dxfId="430" priority="421" stopIfTrue="1" operator="equal">
      <formula>"Towel"</formula>
    </cfRule>
    <cfRule type="cellIs" dxfId="429" priority="422" stopIfTrue="1" operator="equal">
      <formula>"Napkin Hs"</formula>
    </cfRule>
  </conditionalFormatting>
  <conditionalFormatting sqref="C36">
    <cfRule type="cellIs" dxfId="428" priority="423" stopIfTrue="1" operator="equal">
      <formula>"Towel"</formula>
    </cfRule>
  </conditionalFormatting>
  <conditionalFormatting sqref="B39:C39">
    <cfRule type="cellIs" dxfId="427" priority="419" stopIfTrue="1" operator="equal">
      <formula>"Towel"</formula>
    </cfRule>
    <cfRule type="cellIs" dxfId="426" priority="420" stopIfTrue="1" operator="equal">
      <formula>"Napkin Hs"</formula>
    </cfRule>
  </conditionalFormatting>
  <conditionalFormatting sqref="C39">
    <cfRule type="cellIs" dxfId="425" priority="418" stopIfTrue="1" operator="equal">
      <formula>"Napkin Hs"</formula>
    </cfRule>
  </conditionalFormatting>
  <conditionalFormatting sqref="C39">
    <cfRule type="cellIs" dxfId="424" priority="415" stopIfTrue="1" operator="equal">
      <formula>"Towel"</formula>
    </cfRule>
    <cfRule type="cellIs" dxfId="423" priority="416" stopIfTrue="1" operator="equal">
      <formula>"Napkin Hs"</formula>
    </cfRule>
  </conditionalFormatting>
  <conditionalFormatting sqref="C39">
    <cfRule type="cellIs" dxfId="422" priority="417" stopIfTrue="1" operator="equal">
      <formula>"Towel"</formula>
    </cfRule>
  </conditionalFormatting>
  <conditionalFormatting sqref="B43:C43">
    <cfRule type="cellIs" dxfId="421" priority="413" stopIfTrue="1" operator="equal">
      <formula>"Towel"</formula>
    </cfRule>
    <cfRule type="cellIs" dxfId="420" priority="414" stopIfTrue="1" operator="equal">
      <formula>"Napkin Hs"</formula>
    </cfRule>
  </conditionalFormatting>
  <conditionalFormatting sqref="C43">
    <cfRule type="cellIs" dxfId="419" priority="412" stopIfTrue="1" operator="equal">
      <formula>"Napkin Hs"</formula>
    </cfRule>
  </conditionalFormatting>
  <conditionalFormatting sqref="C43">
    <cfRule type="cellIs" dxfId="418" priority="409" stopIfTrue="1" operator="equal">
      <formula>"Towel"</formula>
    </cfRule>
    <cfRule type="cellIs" dxfId="417" priority="410" stopIfTrue="1" operator="equal">
      <formula>"Napkin Hs"</formula>
    </cfRule>
  </conditionalFormatting>
  <conditionalFormatting sqref="C43">
    <cfRule type="cellIs" dxfId="416" priority="411" stopIfTrue="1" operator="equal">
      <formula>"Towel"</formula>
    </cfRule>
  </conditionalFormatting>
  <conditionalFormatting sqref="B41:C41">
    <cfRule type="cellIs" dxfId="415" priority="407" stopIfTrue="1" operator="equal">
      <formula>"Towel"</formula>
    </cfRule>
    <cfRule type="cellIs" dxfId="414" priority="408" stopIfTrue="1" operator="equal">
      <formula>"Napkin Hs"</formula>
    </cfRule>
  </conditionalFormatting>
  <conditionalFormatting sqref="C41">
    <cfRule type="cellIs" dxfId="413" priority="406" stopIfTrue="1" operator="equal">
      <formula>"Napkin Hs"</formula>
    </cfRule>
  </conditionalFormatting>
  <conditionalFormatting sqref="C41">
    <cfRule type="cellIs" dxfId="412" priority="403" stopIfTrue="1" operator="equal">
      <formula>"Towel"</formula>
    </cfRule>
    <cfRule type="cellIs" dxfId="411" priority="404" stopIfTrue="1" operator="equal">
      <formula>"Napkin Hs"</formula>
    </cfRule>
  </conditionalFormatting>
  <conditionalFormatting sqref="C41">
    <cfRule type="cellIs" dxfId="410" priority="405" stopIfTrue="1" operator="equal">
      <formula>"Towel"</formula>
    </cfRule>
  </conditionalFormatting>
  <conditionalFormatting sqref="B42:C42">
    <cfRule type="cellIs" dxfId="409" priority="401" stopIfTrue="1" operator="equal">
      <formula>"Towel"</formula>
    </cfRule>
    <cfRule type="cellIs" dxfId="408" priority="402" stopIfTrue="1" operator="equal">
      <formula>"Napkin Hs"</formula>
    </cfRule>
  </conditionalFormatting>
  <conditionalFormatting sqref="C42">
    <cfRule type="cellIs" dxfId="407" priority="400" stopIfTrue="1" operator="equal">
      <formula>"Napkin Hs"</formula>
    </cfRule>
  </conditionalFormatting>
  <conditionalFormatting sqref="C42">
    <cfRule type="cellIs" dxfId="406" priority="397" stopIfTrue="1" operator="equal">
      <formula>"Towel"</formula>
    </cfRule>
    <cfRule type="cellIs" dxfId="405" priority="398" stopIfTrue="1" operator="equal">
      <formula>"Napkin Hs"</formula>
    </cfRule>
  </conditionalFormatting>
  <conditionalFormatting sqref="C42">
    <cfRule type="cellIs" dxfId="404" priority="399" stopIfTrue="1" operator="equal">
      <formula>"Towel"</formula>
    </cfRule>
  </conditionalFormatting>
  <conditionalFormatting sqref="B47:C48">
    <cfRule type="cellIs" dxfId="403" priority="395" stopIfTrue="1" operator="equal">
      <formula>"Towel"</formula>
    </cfRule>
    <cfRule type="cellIs" dxfId="402" priority="396" stopIfTrue="1" operator="equal">
      <formula>"Napkin Hs"</formula>
    </cfRule>
  </conditionalFormatting>
  <conditionalFormatting sqref="C47:C48">
    <cfRule type="cellIs" dxfId="401" priority="394" stopIfTrue="1" operator="equal">
      <formula>"Napkin Hs"</formula>
    </cfRule>
  </conditionalFormatting>
  <conditionalFormatting sqref="C47:C48">
    <cfRule type="cellIs" dxfId="400" priority="391" stopIfTrue="1" operator="equal">
      <formula>"Towel"</formula>
    </cfRule>
    <cfRule type="cellIs" dxfId="399" priority="392" stopIfTrue="1" operator="equal">
      <formula>"Napkin Hs"</formula>
    </cfRule>
  </conditionalFormatting>
  <conditionalFormatting sqref="C47:C48">
    <cfRule type="cellIs" dxfId="398" priority="393" stopIfTrue="1" operator="equal">
      <formula>"Towel"</formula>
    </cfRule>
  </conditionalFormatting>
  <conditionalFormatting sqref="B45:C45">
    <cfRule type="cellIs" dxfId="397" priority="389" stopIfTrue="1" operator="equal">
      <formula>"Towel"</formula>
    </cfRule>
    <cfRule type="cellIs" dxfId="396" priority="390" stopIfTrue="1" operator="equal">
      <formula>"Napkin Hs"</formula>
    </cfRule>
  </conditionalFormatting>
  <conditionalFormatting sqref="C45">
    <cfRule type="cellIs" dxfId="395" priority="388" stopIfTrue="1" operator="equal">
      <formula>"Napkin Hs"</formula>
    </cfRule>
  </conditionalFormatting>
  <conditionalFormatting sqref="C45">
    <cfRule type="cellIs" dxfId="394" priority="385" stopIfTrue="1" operator="equal">
      <formula>"Towel"</formula>
    </cfRule>
    <cfRule type="cellIs" dxfId="393" priority="386" stopIfTrue="1" operator="equal">
      <formula>"Napkin Hs"</formula>
    </cfRule>
  </conditionalFormatting>
  <conditionalFormatting sqref="C45">
    <cfRule type="cellIs" dxfId="392" priority="387" stopIfTrue="1" operator="equal">
      <formula>"Towel"</formula>
    </cfRule>
  </conditionalFormatting>
  <conditionalFormatting sqref="B46:C46">
    <cfRule type="cellIs" dxfId="391" priority="383" stopIfTrue="1" operator="equal">
      <formula>"Towel"</formula>
    </cfRule>
    <cfRule type="cellIs" dxfId="390" priority="384" stopIfTrue="1" operator="equal">
      <formula>"Napkin Hs"</formula>
    </cfRule>
  </conditionalFormatting>
  <conditionalFormatting sqref="C46">
    <cfRule type="cellIs" dxfId="389" priority="382" stopIfTrue="1" operator="equal">
      <formula>"Napkin Hs"</formula>
    </cfRule>
  </conditionalFormatting>
  <conditionalFormatting sqref="C46">
    <cfRule type="cellIs" dxfId="388" priority="379" stopIfTrue="1" operator="equal">
      <formula>"Towel"</formula>
    </cfRule>
    <cfRule type="cellIs" dxfId="387" priority="380" stopIfTrue="1" operator="equal">
      <formula>"Napkin Hs"</formula>
    </cfRule>
  </conditionalFormatting>
  <conditionalFormatting sqref="C46">
    <cfRule type="cellIs" dxfId="386" priority="381" stopIfTrue="1" operator="equal">
      <formula>"Towel"</formula>
    </cfRule>
  </conditionalFormatting>
  <conditionalFormatting sqref="B52:C53">
    <cfRule type="cellIs" dxfId="385" priority="377" stopIfTrue="1" operator="equal">
      <formula>"Towel"</formula>
    </cfRule>
    <cfRule type="cellIs" dxfId="384" priority="378" stopIfTrue="1" operator="equal">
      <formula>"Napkin Hs"</formula>
    </cfRule>
  </conditionalFormatting>
  <conditionalFormatting sqref="C52:C53">
    <cfRule type="cellIs" dxfId="383" priority="376" stopIfTrue="1" operator="equal">
      <formula>"Napkin Hs"</formula>
    </cfRule>
  </conditionalFormatting>
  <conditionalFormatting sqref="C52:C53">
    <cfRule type="cellIs" dxfId="382" priority="373" stopIfTrue="1" operator="equal">
      <formula>"Towel"</formula>
    </cfRule>
    <cfRule type="cellIs" dxfId="381" priority="374" stopIfTrue="1" operator="equal">
      <formula>"Napkin Hs"</formula>
    </cfRule>
  </conditionalFormatting>
  <conditionalFormatting sqref="C52:C53">
    <cfRule type="cellIs" dxfId="380" priority="375" stopIfTrue="1" operator="equal">
      <formula>"Towel"</formula>
    </cfRule>
  </conditionalFormatting>
  <conditionalFormatting sqref="B50:C50">
    <cfRule type="cellIs" dxfId="379" priority="371" stopIfTrue="1" operator="equal">
      <formula>"Towel"</formula>
    </cfRule>
    <cfRule type="cellIs" dxfId="378" priority="372" stopIfTrue="1" operator="equal">
      <formula>"Napkin Hs"</formula>
    </cfRule>
  </conditionalFormatting>
  <conditionalFormatting sqref="C50">
    <cfRule type="cellIs" dxfId="377" priority="370" stopIfTrue="1" operator="equal">
      <formula>"Napkin Hs"</formula>
    </cfRule>
  </conditionalFormatting>
  <conditionalFormatting sqref="C50">
    <cfRule type="cellIs" dxfId="376" priority="367" stopIfTrue="1" operator="equal">
      <formula>"Towel"</formula>
    </cfRule>
    <cfRule type="cellIs" dxfId="375" priority="368" stopIfTrue="1" operator="equal">
      <formula>"Napkin Hs"</formula>
    </cfRule>
  </conditionalFormatting>
  <conditionalFormatting sqref="C50">
    <cfRule type="cellIs" dxfId="374" priority="369" stopIfTrue="1" operator="equal">
      <formula>"Towel"</formula>
    </cfRule>
  </conditionalFormatting>
  <conditionalFormatting sqref="B51:C51">
    <cfRule type="cellIs" dxfId="373" priority="365" stopIfTrue="1" operator="equal">
      <formula>"Towel"</formula>
    </cfRule>
    <cfRule type="cellIs" dxfId="372" priority="366" stopIfTrue="1" operator="equal">
      <formula>"Napkin Hs"</formula>
    </cfRule>
  </conditionalFormatting>
  <conditionalFormatting sqref="C51">
    <cfRule type="cellIs" dxfId="371" priority="364" stopIfTrue="1" operator="equal">
      <formula>"Napkin Hs"</formula>
    </cfRule>
  </conditionalFormatting>
  <conditionalFormatting sqref="C51">
    <cfRule type="cellIs" dxfId="370" priority="361" stopIfTrue="1" operator="equal">
      <formula>"Towel"</formula>
    </cfRule>
    <cfRule type="cellIs" dxfId="369" priority="362" stopIfTrue="1" operator="equal">
      <formula>"Napkin Hs"</formula>
    </cfRule>
  </conditionalFormatting>
  <conditionalFormatting sqref="C51">
    <cfRule type="cellIs" dxfId="368" priority="363" stopIfTrue="1" operator="equal">
      <formula>"Towel"</formula>
    </cfRule>
  </conditionalFormatting>
  <conditionalFormatting sqref="B55:C57">
    <cfRule type="cellIs" dxfId="367" priority="359" stopIfTrue="1" operator="equal">
      <formula>"Towel"</formula>
    </cfRule>
    <cfRule type="cellIs" dxfId="366" priority="360" stopIfTrue="1" operator="equal">
      <formula>"Napkin Hs"</formula>
    </cfRule>
  </conditionalFormatting>
  <conditionalFormatting sqref="C55:C57">
    <cfRule type="cellIs" dxfId="365" priority="358" stopIfTrue="1" operator="equal">
      <formula>"Napkin Hs"</formula>
    </cfRule>
  </conditionalFormatting>
  <conditionalFormatting sqref="C55:C57">
    <cfRule type="cellIs" dxfId="364" priority="355" stopIfTrue="1" operator="equal">
      <formula>"Towel"</formula>
    </cfRule>
    <cfRule type="cellIs" dxfId="363" priority="356" stopIfTrue="1" operator="equal">
      <formula>"Napkin Hs"</formula>
    </cfRule>
  </conditionalFormatting>
  <conditionalFormatting sqref="C55:C57">
    <cfRule type="cellIs" dxfId="362" priority="357" stopIfTrue="1" operator="equal">
      <formula>"Towel"</formula>
    </cfRule>
  </conditionalFormatting>
  <conditionalFormatting sqref="B61:C62">
    <cfRule type="cellIs" dxfId="361" priority="353" stopIfTrue="1" operator="equal">
      <formula>"Towel"</formula>
    </cfRule>
    <cfRule type="cellIs" dxfId="360" priority="354" stopIfTrue="1" operator="equal">
      <formula>"Napkin Hs"</formula>
    </cfRule>
  </conditionalFormatting>
  <conditionalFormatting sqref="C61:C62">
    <cfRule type="cellIs" dxfId="359" priority="352" stopIfTrue="1" operator="equal">
      <formula>"Napkin Hs"</formula>
    </cfRule>
  </conditionalFormatting>
  <conditionalFormatting sqref="C61:C62">
    <cfRule type="cellIs" dxfId="358" priority="349" stopIfTrue="1" operator="equal">
      <formula>"Towel"</formula>
    </cfRule>
    <cfRule type="cellIs" dxfId="357" priority="350" stopIfTrue="1" operator="equal">
      <formula>"Napkin Hs"</formula>
    </cfRule>
  </conditionalFormatting>
  <conditionalFormatting sqref="C61:C62">
    <cfRule type="cellIs" dxfId="356" priority="351" stopIfTrue="1" operator="equal">
      <formula>"Towel"</formula>
    </cfRule>
  </conditionalFormatting>
  <conditionalFormatting sqref="B59:C59">
    <cfRule type="cellIs" dxfId="355" priority="347" stopIfTrue="1" operator="equal">
      <formula>"Towel"</formula>
    </cfRule>
    <cfRule type="cellIs" dxfId="354" priority="348" stopIfTrue="1" operator="equal">
      <formula>"Napkin Hs"</formula>
    </cfRule>
  </conditionalFormatting>
  <conditionalFormatting sqref="C59">
    <cfRule type="cellIs" dxfId="353" priority="346" stopIfTrue="1" operator="equal">
      <formula>"Napkin Hs"</formula>
    </cfRule>
  </conditionalFormatting>
  <conditionalFormatting sqref="C59">
    <cfRule type="cellIs" dxfId="352" priority="343" stopIfTrue="1" operator="equal">
      <formula>"Towel"</formula>
    </cfRule>
    <cfRule type="cellIs" dxfId="351" priority="344" stopIfTrue="1" operator="equal">
      <formula>"Napkin Hs"</formula>
    </cfRule>
  </conditionalFormatting>
  <conditionalFormatting sqref="C59">
    <cfRule type="cellIs" dxfId="350" priority="345" stopIfTrue="1" operator="equal">
      <formula>"Towel"</formula>
    </cfRule>
  </conditionalFormatting>
  <conditionalFormatting sqref="B60:C60">
    <cfRule type="cellIs" dxfId="349" priority="341" stopIfTrue="1" operator="equal">
      <formula>"Towel"</formula>
    </cfRule>
    <cfRule type="cellIs" dxfId="348" priority="342" stopIfTrue="1" operator="equal">
      <formula>"Napkin Hs"</formula>
    </cfRule>
  </conditionalFormatting>
  <conditionalFormatting sqref="C60">
    <cfRule type="cellIs" dxfId="347" priority="340" stopIfTrue="1" operator="equal">
      <formula>"Napkin Hs"</formula>
    </cfRule>
  </conditionalFormatting>
  <conditionalFormatting sqref="C60">
    <cfRule type="cellIs" dxfId="346" priority="337" stopIfTrue="1" operator="equal">
      <formula>"Towel"</formula>
    </cfRule>
    <cfRule type="cellIs" dxfId="345" priority="338" stopIfTrue="1" operator="equal">
      <formula>"Napkin Hs"</formula>
    </cfRule>
  </conditionalFormatting>
  <conditionalFormatting sqref="C60">
    <cfRule type="cellIs" dxfId="344" priority="339" stopIfTrue="1" operator="equal">
      <formula>"Towel"</formula>
    </cfRule>
  </conditionalFormatting>
  <conditionalFormatting sqref="B66:C67">
    <cfRule type="cellIs" dxfId="343" priority="335" stopIfTrue="1" operator="equal">
      <formula>"Towel"</formula>
    </cfRule>
    <cfRule type="cellIs" dxfId="342" priority="336" stopIfTrue="1" operator="equal">
      <formula>"Napkin Hs"</formula>
    </cfRule>
  </conditionalFormatting>
  <conditionalFormatting sqref="C66:C67">
    <cfRule type="cellIs" dxfId="341" priority="334" stopIfTrue="1" operator="equal">
      <formula>"Napkin Hs"</formula>
    </cfRule>
  </conditionalFormatting>
  <conditionalFormatting sqref="C66:C67">
    <cfRule type="cellIs" dxfId="340" priority="331" stopIfTrue="1" operator="equal">
      <formula>"Towel"</formula>
    </cfRule>
    <cfRule type="cellIs" dxfId="339" priority="332" stopIfTrue="1" operator="equal">
      <formula>"Napkin Hs"</formula>
    </cfRule>
  </conditionalFormatting>
  <conditionalFormatting sqref="C66:C67">
    <cfRule type="cellIs" dxfId="338" priority="333" stopIfTrue="1" operator="equal">
      <formula>"Towel"</formula>
    </cfRule>
  </conditionalFormatting>
  <conditionalFormatting sqref="B65:C65">
    <cfRule type="cellIs" dxfId="337" priority="329" stopIfTrue="1" operator="equal">
      <formula>"Towel"</formula>
    </cfRule>
    <cfRule type="cellIs" dxfId="336" priority="330" stopIfTrue="1" operator="equal">
      <formula>"Napkin Hs"</formula>
    </cfRule>
  </conditionalFormatting>
  <conditionalFormatting sqref="C65">
    <cfRule type="cellIs" dxfId="335" priority="328" stopIfTrue="1" operator="equal">
      <formula>"Napkin Hs"</formula>
    </cfRule>
  </conditionalFormatting>
  <conditionalFormatting sqref="C65">
    <cfRule type="cellIs" dxfId="334" priority="325" stopIfTrue="1" operator="equal">
      <formula>"Towel"</formula>
    </cfRule>
    <cfRule type="cellIs" dxfId="333" priority="326" stopIfTrue="1" operator="equal">
      <formula>"Napkin Hs"</formula>
    </cfRule>
  </conditionalFormatting>
  <conditionalFormatting sqref="C65">
    <cfRule type="cellIs" dxfId="332" priority="327" stopIfTrue="1" operator="equal">
      <formula>"Towel"</formula>
    </cfRule>
  </conditionalFormatting>
  <conditionalFormatting sqref="B64:C64">
    <cfRule type="cellIs" dxfId="331" priority="323" stopIfTrue="1" operator="equal">
      <formula>"Towel"</formula>
    </cfRule>
    <cfRule type="cellIs" dxfId="330" priority="324" stopIfTrue="1" operator="equal">
      <formula>"Napkin Hs"</formula>
    </cfRule>
  </conditionalFormatting>
  <conditionalFormatting sqref="C64">
    <cfRule type="cellIs" dxfId="329" priority="322" stopIfTrue="1" operator="equal">
      <formula>"Napkin Hs"</formula>
    </cfRule>
  </conditionalFormatting>
  <conditionalFormatting sqref="C64">
    <cfRule type="cellIs" dxfId="328" priority="319" stopIfTrue="1" operator="equal">
      <formula>"Towel"</formula>
    </cfRule>
    <cfRule type="cellIs" dxfId="327" priority="320" stopIfTrue="1" operator="equal">
      <formula>"Napkin Hs"</formula>
    </cfRule>
  </conditionalFormatting>
  <conditionalFormatting sqref="C64">
    <cfRule type="cellIs" dxfId="326" priority="321" stopIfTrue="1" operator="equal">
      <formula>"Towel"</formula>
    </cfRule>
  </conditionalFormatting>
  <conditionalFormatting sqref="B73:C73">
    <cfRule type="cellIs" dxfId="325" priority="317" stopIfTrue="1" operator="equal">
      <formula>"Towel"</formula>
    </cfRule>
    <cfRule type="cellIs" dxfId="324" priority="318" stopIfTrue="1" operator="equal">
      <formula>"Napkin Hs"</formula>
    </cfRule>
  </conditionalFormatting>
  <conditionalFormatting sqref="C73">
    <cfRule type="cellIs" dxfId="323" priority="316" stopIfTrue="1" operator="equal">
      <formula>"Napkin Hs"</formula>
    </cfRule>
  </conditionalFormatting>
  <conditionalFormatting sqref="C73">
    <cfRule type="cellIs" dxfId="322" priority="313" stopIfTrue="1" operator="equal">
      <formula>"Towel"</formula>
    </cfRule>
    <cfRule type="cellIs" dxfId="321" priority="314" stopIfTrue="1" operator="equal">
      <formula>"Napkin Hs"</formula>
    </cfRule>
  </conditionalFormatting>
  <conditionalFormatting sqref="C73">
    <cfRule type="cellIs" dxfId="320" priority="315" stopIfTrue="1" operator="equal">
      <formula>"Towel"</formula>
    </cfRule>
  </conditionalFormatting>
  <conditionalFormatting sqref="B71:C72">
    <cfRule type="cellIs" dxfId="319" priority="311" stopIfTrue="1" operator="equal">
      <formula>"Towel"</formula>
    </cfRule>
    <cfRule type="cellIs" dxfId="318" priority="312" stopIfTrue="1" operator="equal">
      <formula>"Napkin Hs"</formula>
    </cfRule>
  </conditionalFormatting>
  <conditionalFormatting sqref="C71:C72">
    <cfRule type="cellIs" dxfId="317" priority="310" stopIfTrue="1" operator="equal">
      <formula>"Napkin Hs"</formula>
    </cfRule>
  </conditionalFormatting>
  <conditionalFormatting sqref="C71:C72">
    <cfRule type="cellIs" dxfId="316" priority="307" stopIfTrue="1" operator="equal">
      <formula>"Towel"</formula>
    </cfRule>
    <cfRule type="cellIs" dxfId="315" priority="308" stopIfTrue="1" operator="equal">
      <formula>"Napkin Hs"</formula>
    </cfRule>
  </conditionalFormatting>
  <conditionalFormatting sqref="C71:C72">
    <cfRule type="cellIs" dxfId="314" priority="309" stopIfTrue="1" operator="equal">
      <formula>"Towel"</formula>
    </cfRule>
  </conditionalFormatting>
  <conditionalFormatting sqref="B70:C70">
    <cfRule type="cellIs" dxfId="313" priority="305" stopIfTrue="1" operator="equal">
      <formula>"Towel"</formula>
    </cfRule>
    <cfRule type="cellIs" dxfId="312" priority="306" stopIfTrue="1" operator="equal">
      <formula>"Napkin Hs"</formula>
    </cfRule>
  </conditionalFormatting>
  <conditionalFormatting sqref="C70">
    <cfRule type="cellIs" dxfId="311" priority="304" stopIfTrue="1" operator="equal">
      <formula>"Napkin Hs"</formula>
    </cfRule>
  </conditionalFormatting>
  <conditionalFormatting sqref="C70">
    <cfRule type="cellIs" dxfId="310" priority="301" stopIfTrue="1" operator="equal">
      <formula>"Towel"</formula>
    </cfRule>
    <cfRule type="cellIs" dxfId="309" priority="302" stopIfTrue="1" operator="equal">
      <formula>"Napkin Hs"</formula>
    </cfRule>
  </conditionalFormatting>
  <conditionalFormatting sqref="C70">
    <cfRule type="cellIs" dxfId="308" priority="303" stopIfTrue="1" operator="equal">
      <formula>"Towel"</formula>
    </cfRule>
  </conditionalFormatting>
  <conditionalFormatting sqref="B69:C69">
    <cfRule type="cellIs" dxfId="307" priority="299" stopIfTrue="1" operator="equal">
      <formula>"Towel"</formula>
    </cfRule>
    <cfRule type="cellIs" dxfId="306" priority="300" stopIfTrue="1" operator="equal">
      <formula>"Napkin Hs"</formula>
    </cfRule>
  </conditionalFormatting>
  <conditionalFormatting sqref="C69">
    <cfRule type="cellIs" dxfId="305" priority="298" stopIfTrue="1" operator="equal">
      <formula>"Napkin Hs"</formula>
    </cfRule>
  </conditionalFormatting>
  <conditionalFormatting sqref="C69">
    <cfRule type="cellIs" dxfId="304" priority="295" stopIfTrue="1" operator="equal">
      <formula>"Towel"</formula>
    </cfRule>
    <cfRule type="cellIs" dxfId="303" priority="296" stopIfTrue="1" operator="equal">
      <formula>"Napkin Hs"</formula>
    </cfRule>
  </conditionalFormatting>
  <conditionalFormatting sqref="C69">
    <cfRule type="cellIs" dxfId="302" priority="297" stopIfTrue="1" operator="equal">
      <formula>"Towel"</formula>
    </cfRule>
  </conditionalFormatting>
  <conditionalFormatting sqref="B78:C78">
    <cfRule type="cellIs" dxfId="301" priority="293" stopIfTrue="1" operator="equal">
      <formula>"Towel"</formula>
    </cfRule>
    <cfRule type="cellIs" dxfId="300" priority="294" stopIfTrue="1" operator="equal">
      <formula>"Napkin Hs"</formula>
    </cfRule>
  </conditionalFormatting>
  <conditionalFormatting sqref="C78">
    <cfRule type="cellIs" dxfId="299" priority="292" stopIfTrue="1" operator="equal">
      <formula>"Napkin Hs"</formula>
    </cfRule>
  </conditionalFormatting>
  <conditionalFormatting sqref="C78">
    <cfRule type="cellIs" dxfId="298" priority="289" stopIfTrue="1" operator="equal">
      <formula>"Towel"</formula>
    </cfRule>
    <cfRule type="cellIs" dxfId="297" priority="290" stopIfTrue="1" operator="equal">
      <formula>"Napkin Hs"</formula>
    </cfRule>
  </conditionalFormatting>
  <conditionalFormatting sqref="C78">
    <cfRule type="cellIs" dxfId="296" priority="291" stopIfTrue="1" operator="equal">
      <formula>"Towel"</formula>
    </cfRule>
  </conditionalFormatting>
  <conditionalFormatting sqref="B76:C77">
    <cfRule type="cellIs" dxfId="295" priority="287" stopIfTrue="1" operator="equal">
      <formula>"Towel"</formula>
    </cfRule>
    <cfRule type="cellIs" dxfId="294" priority="288" stopIfTrue="1" operator="equal">
      <formula>"Napkin Hs"</formula>
    </cfRule>
  </conditionalFormatting>
  <conditionalFormatting sqref="C76:C77">
    <cfRule type="cellIs" dxfId="293" priority="286" stopIfTrue="1" operator="equal">
      <formula>"Napkin Hs"</formula>
    </cfRule>
  </conditionalFormatting>
  <conditionalFormatting sqref="C76:C77">
    <cfRule type="cellIs" dxfId="292" priority="283" stopIfTrue="1" operator="equal">
      <formula>"Towel"</formula>
    </cfRule>
    <cfRule type="cellIs" dxfId="291" priority="284" stopIfTrue="1" operator="equal">
      <formula>"Napkin Hs"</formula>
    </cfRule>
  </conditionalFormatting>
  <conditionalFormatting sqref="C76:C77">
    <cfRule type="cellIs" dxfId="290" priority="285" stopIfTrue="1" operator="equal">
      <formula>"Towel"</formula>
    </cfRule>
  </conditionalFormatting>
  <conditionalFormatting sqref="B75:C75">
    <cfRule type="cellIs" dxfId="289" priority="281" stopIfTrue="1" operator="equal">
      <formula>"Towel"</formula>
    </cfRule>
    <cfRule type="cellIs" dxfId="288" priority="282" stopIfTrue="1" operator="equal">
      <formula>"Napkin Hs"</formula>
    </cfRule>
  </conditionalFormatting>
  <conditionalFormatting sqref="C75">
    <cfRule type="cellIs" dxfId="287" priority="280" stopIfTrue="1" operator="equal">
      <formula>"Napkin Hs"</formula>
    </cfRule>
  </conditionalFormatting>
  <conditionalFormatting sqref="C75">
    <cfRule type="cellIs" dxfId="286" priority="277" stopIfTrue="1" operator="equal">
      <formula>"Towel"</formula>
    </cfRule>
    <cfRule type="cellIs" dxfId="285" priority="278" stopIfTrue="1" operator="equal">
      <formula>"Napkin Hs"</formula>
    </cfRule>
  </conditionalFormatting>
  <conditionalFormatting sqref="C75">
    <cfRule type="cellIs" dxfId="284" priority="279" stopIfTrue="1" operator="equal">
      <formula>"Towel"</formula>
    </cfRule>
  </conditionalFormatting>
  <conditionalFormatting sqref="B74:C74">
    <cfRule type="cellIs" dxfId="283" priority="275" stopIfTrue="1" operator="equal">
      <formula>"Towel"</formula>
    </cfRule>
    <cfRule type="cellIs" dxfId="282" priority="276" stopIfTrue="1" operator="equal">
      <formula>"Napkin Hs"</formula>
    </cfRule>
  </conditionalFormatting>
  <conditionalFormatting sqref="C74">
    <cfRule type="cellIs" dxfId="281" priority="274" stopIfTrue="1" operator="equal">
      <formula>"Napkin Hs"</formula>
    </cfRule>
  </conditionalFormatting>
  <conditionalFormatting sqref="C74">
    <cfRule type="cellIs" dxfId="280" priority="271" stopIfTrue="1" operator="equal">
      <formula>"Towel"</formula>
    </cfRule>
    <cfRule type="cellIs" dxfId="279" priority="272" stopIfTrue="1" operator="equal">
      <formula>"Napkin Hs"</formula>
    </cfRule>
  </conditionalFormatting>
  <conditionalFormatting sqref="C74">
    <cfRule type="cellIs" dxfId="278" priority="273" stopIfTrue="1" operator="equal">
      <formula>"Towel"</formula>
    </cfRule>
  </conditionalFormatting>
  <conditionalFormatting sqref="B81:C82">
    <cfRule type="cellIs" dxfId="277" priority="269" stopIfTrue="1" operator="equal">
      <formula>"Towel"</formula>
    </cfRule>
    <cfRule type="cellIs" dxfId="276" priority="270" stopIfTrue="1" operator="equal">
      <formula>"Napkin Hs"</formula>
    </cfRule>
  </conditionalFormatting>
  <conditionalFormatting sqref="C81:C82">
    <cfRule type="cellIs" dxfId="275" priority="268" stopIfTrue="1" operator="equal">
      <formula>"Napkin Hs"</formula>
    </cfRule>
  </conditionalFormatting>
  <conditionalFormatting sqref="C81:C82">
    <cfRule type="cellIs" dxfId="274" priority="265" stopIfTrue="1" operator="equal">
      <formula>"Towel"</formula>
    </cfRule>
    <cfRule type="cellIs" dxfId="273" priority="266" stopIfTrue="1" operator="equal">
      <formula>"Napkin Hs"</formula>
    </cfRule>
  </conditionalFormatting>
  <conditionalFormatting sqref="C81:C82">
    <cfRule type="cellIs" dxfId="272" priority="267" stopIfTrue="1" operator="equal">
      <formula>"Towel"</formula>
    </cfRule>
  </conditionalFormatting>
  <conditionalFormatting sqref="B80:C80">
    <cfRule type="cellIs" dxfId="271" priority="263" stopIfTrue="1" operator="equal">
      <formula>"Towel"</formula>
    </cfRule>
    <cfRule type="cellIs" dxfId="270" priority="264" stopIfTrue="1" operator="equal">
      <formula>"Napkin Hs"</formula>
    </cfRule>
  </conditionalFormatting>
  <conditionalFormatting sqref="C80">
    <cfRule type="cellIs" dxfId="269" priority="262" stopIfTrue="1" operator="equal">
      <formula>"Napkin Hs"</formula>
    </cfRule>
  </conditionalFormatting>
  <conditionalFormatting sqref="C80">
    <cfRule type="cellIs" dxfId="268" priority="259" stopIfTrue="1" operator="equal">
      <formula>"Towel"</formula>
    </cfRule>
    <cfRule type="cellIs" dxfId="267" priority="260" stopIfTrue="1" operator="equal">
      <formula>"Napkin Hs"</formula>
    </cfRule>
  </conditionalFormatting>
  <conditionalFormatting sqref="C80">
    <cfRule type="cellIs" dxfId="266" priority="261" stopIfTrue="1" operator="equal">
      <formula>"Towel"</formula>
    </cfRule>
  </conditionalFormatting>
  <conditionalFormatting sqref="B79:C79">
    <cfRule type="cellIs" dxfId="265" priority="257" stopIfTrue="1" operator="equal">
      <formula>"Towel"</formula>
    </cfRule>
    <cfRule type="cellIs" dxfId="264" priority="258" stopIfTrue="1" operator="equal">
      <formula>"Napkin Hs"</formula>
    </cfRule>
  </conditionalFormatting>
  <conditionalFormatting sqref="C79">
    <cfRule type="cellIs" dxfId="263" priority="256" stopIfTrue="1" operator="equal">
      <formula>"Napkin Hs"</formula>
    </cfRule>
  </conditionalFormatting>
  <conditionalFormatting sqref="C79">
    <cfRule type="cellIs" dxfId="262" priority="253" stopIfTrue="1" operator="equal">
      <formula>"Towel"</formula>
    </cfRule>
    <cfRule type="cellIs" dxfId="261" priority="254" stopIfTrue="1" operator="equal">
      <formula>"Napkin Hs"</formula>
    </cfRule>
  </conditionalFormatting>
  <conditionalFormatting sqref="C79">
    <cfRule type="cellIs" dxfId="260" priority="255" stopIfTrue="1" operator="equal">
      <formula>"Towel"</formula>
    </cfRule>
  </conditionalFormatting>
  <conditionalFormatting sqref="B86:C87">
    <cfRule type="cellIs" dxfId="259" priority="251" stopIfTrue="1" operator="equal">
      <formula>"Towel"</formula>
    </cfRule>
    <cfRule type="cellIs" dxfId="258" priority="252" stopIfTrue="1" operator="equal">
      <formula>"Napkin Hs"</formula>
    </cfRule>
  </conditionalFormatting>
  <conditionalFormatting sqref="C86:C87">
    <cfRule type="cellIs" dxfId="257" priority="250" stopIfTrue="1" operator="equal">
      <formula>"Napkin Hs"</formula>
    </cfRule>
  </conditionalFormatting>
  <conditionalFormatting sqref="C86:C87">
    <cfRule type="cellIs" dxfId="256" priority="247" stopIfTrue="1" operator="equal">
      <formula>"Towel"</formula>
    </cfRule>
    <cfRule type="cellIs" dxfId="255" priority="248" stopIfTrue="1" operator="equal">
      <formula>"Napkin Hs"</formula>
    </cfRule>
  </conditionalFormatting>
  <conditionalFormatting sqref="C86:C87">
    <cfRule type="cellIs" dxfId="254" priority="249" stopIfTrue="1" operator="equal">
      <formula>"Towel"</formula>
    </cfRule>
  </conditionalFormatting>
  <conditionalFormatting sqref="B85:C85">
    <cfRule type="cellIs" dxfId="253" priority="245" stopIfTrue="1" operator="equal">
      <formula>"Towel"</formula>
    </cfRule>
    <cfRule type="cellIs" dxfId="252" priority="246" stopIfTrue="1" operator="equal">
      <formula>"Napkin Hs"</formula>
    </cfRule>
  </conditionalFormatting>
  <conditionalFormatting sqref="C85">
    <cfRule type="cellIs" dxfId="251" priority="244" stopIfTrue="1" operator="equal">
      <formula>"Napkin Hs"</formula>
    </cfRule>
  </conditionalFormatting>
  <conditionalFormatting sqref="C85">
    <cfRule type="cellIs" dxfId="250" priority="241" stopIfTrue="1" operator="equal">
      <formula>"Towel"</formula>
    </cfRule>
    <cfRule type="cellIs" dxfId="249" priority="242" stopIfTrue="1" operator="equal">
      <formula>"Napkin Hs"</formula>
    </cfRule>
  </conditionalFormatting>
  <conditionalFormatting sqref="C85">
    <cfRule type="cellIs" dxfId="248" priority="243" stopIfTrue="1" operator="equal">
      <formula>"Towel"</formula>
    </cfRule>
  </conditionalFormatting>
  <conditionalFormatting sqref="B84:C84">
    <cfRule type="cellIs" dxfId="247" priority="239" stopIfTrue="1" operator="equal">
      <formula>"Towel"</formula>
    </cfRule>
    <cfRule type="cellIs" dxfId="246" priority="240" stopIfTrue="1" operator="equal">
      <formula>"Napkin Hs"</formula>
    </cfRule>
  </conditionalFormatting>
  <conditionalFormatting sqref="C84">
    <cfRule type="cellIs" dxfId="245" priority="238" stopIfTrue="1" operator="equal">
      <formula>"Napkin Hs"</formula>
    </cfRule>
  </conditionalFormatting>
  <conditionalFormatting sqref="C84">
    <cfRule type="cellIs" dxfId="244" priority="235" stopIfTrue="1" operator="equal">
      <formula>"Towel"</formula>
    </cfRule>
    <cfRule type="cellIs" dxfId="243" priority="236" stopIfTrue="1" operator="equal">
      <formula>"Napkin Hs"</formula>
    </cfRule>
  </conditionalFormatting>
  <conditionalFormatting sqref="C84">
    <cfRule type="cellIs" dxfId="242" priority="237" stopIfTrue="1" operator="equal">
      <formula>"Towel"</formula>
    </cfRule>
  </conditionalFormatting>
  <conditionalFormatting sqref="B93:C93">
    <cfRule type="cellIs" dxfId="241" priority="233" stopIfTrue="1" operator="equal">
      <formula>"Towel"</formula>
    </cfRule>
    <cfRule type="cellIs" dxfId="240" priority="234" stopIfTrue="1" operator="equal">
      <formula>"Napkin Hs"</formula>
    </cfRule>
  </conditionalFormatting>
  <conditionalFormatting sqref="C93">
    <cfRule type="cellIs" dxfId="239" priority="232" stopIfTrue="1" operator="equal">
      <formula>"Napkin Hs"</formula>
    </cfRule>
  </conditionalFormatting>
  <conditionalFormatting sqref="C93">
    <cfRule type="cellIs" dxfId="238" priority="229" stopIfTrue="1" operator="equal">
      <formula>"Towel"</formula>
    </cfRule>
    <cfRule type="cellIs" dxfId="237" priority="230" stopIfTrue="1" operator="equal">
      <formula>"Napkin Hs"</formula>
    </cfRule>
  </conditionalFormatting>
  <conditionalFormatting sqref="C93">
    <cfRule type="cellIs" dxfId="236" priority="231" stopIfTrue="1" operator="equal">
      <formula>"Towel"</formula>
    </cfRule>
  </conditionalFormatting>
  <conditionalFormatting sqref="B91:C92">
    <cfRule type="cellIs" dxfId="235" priority="227" stopIfTrue="1" operator="equal">
      <formula>"Towel"</formula>
    </cfRule>
    <cfRule type="cellIs" dxfId="234" priority="228" stopIfTrue="1" operator="equal">
      <formula>"Napkin Hs"</formula>
    </cfRule>
  </conditionalFormatting>
  <conditionalFormatting sqref="C91:C92">
    <cfRule type="cellIs" dxfId="233" priority="226" stopIfTrue="1" operator="equal">
      <formula>"Napkin Hs"</formula>
    </cfRule>
  </conditionalFormatting>
  <conditionalFormatting sqref="C91:C92">
    <cfRule type="cellIs" dxfId="232" priority="223" stopIfTrue="1" operator="equal">
      <formula>"Towel"</formula>
    </cfRule>
    <cfRule type="cellIs" dxfId="231" priority="224" stopIfTrue="1" operator="equal">
      <formula>"Napkin Hs"</formula>
    </cfRule>
  </conditionalFormatting>
  <conditionalFormatting sqref="C91:C92">
    <cfRule type="cellIs" dxfId="230" priority="225" stopIfTrue="1" operator="equal">
      <formula>"Towel"</formula>
    </cfRule>
  </conditionalFormatting>
  <conditionalFormatting sqref="B90:C90">
    <cfRule type="cellIs" dxfId="229" priority="221" stopIfTrue="1" operator="equal">
      <formula>"Towel"</formula>
    </cfRule>
    <cfRule type="cellIs" dxfId="228" priority="222" stopIfTrue="1" operator="equal">
      <formula>"Napkin Hs"</formula>
    </cfRule>
  </conditionalFormatting>
  <conditionalFormatting sqref="C90">
    <cfRule type="cellIs" dxfId="227" priority="220" stopIfTrue="1" operator="equal">
      <formula>"Napkin Hs"</formula>
    </cfRule>
  </conditionalFormatting>
  <conditionalFormatting sqref="C90">
    <cfRule type="cellIs" dxfId="226" priority="217" stopIfTrue="1" operator="equal">
      <formula>"Towel"</formula>
    </cfRule>
    <cfRule type="cellIs" dxfId="225" priority="218" stopIfTrue="1" operator="equal">
      <formula>"Napkin Hs"</formula>
    </cfRule>
  </conditionalFormatting>
  <conditionalFormatting sqref="C90">
    <cfRule type="cellIs" dxfId="224" priority="219" stopIfTrue="1" operator="equal">
      <formula>"Towel"</formula>
    </cfRule>
  </conditionalFormatting>
  <conditionalFormatting sqref="B89:C89">
    <cfRule type="cellIs" dxfId="223" priority="215" stopIfTrue="1" operator="equal">
      <formula>"Towel"</formula>
    </cfRule>
    <cfRule type="cellIs" dxfId="222" priority="216" stopIfTrue="1" operator="equal">
      <formula>"Napkin Hs"</formula>
    </cfRule>
  </conditionalFormatting>
  <conditionalFormatting sqref="C89">
    <cfRule type="cellIs" dxfId="221" priority="214" stopIfTrue="1" operator="equal">
      <formula>"Napkin Hs"</formula>
    </cfRule>
  </conditionalFormatting>
  <conditionalFormatting sqref="C89">
    <cfRule type="cellIs" dxfId="220" priority="211" stopIfTrue="1" operator="equal">
      <formula>"Towel"</formula>
    </cfRule>
    <cfRule type="cellIs" dxfId="219" priority="212" stopIfTrue="1" operator="equal">
      <formula>"Napkin Hs"</formula>
    </cfRule>
  </conditionalFormatting>
  <conditionalFormatting sqref="C89">
    <cfRule type="cellIs" dxfId="218" priority="213" stopIfTrue="1" operator="equal">
      <formula>"Towel"</formula>
    </cfRule>
  </conditionalFormatting>
  <conditionalFormatting sqref="B96:C97">
    <cfRule type="cellIs" dxfId="217" priority="209" stopIfTrue="1" operator="equal">
      <formula>"Towel"</formula>
    </cfRule>
    <cfRule type="cellIs" dxfId="216" priority="210" stopIfTrue="1" operator="equal">
      <formula>"Napkin Hs"</formula>
    </cfRule>
  </conditionalFormatting>
  <conditionalFormatting sqref="C96:C97">
    <cfRule type="cellIs" dxfId="215" priority="208" stopIfTrue="1" operator="equal">
      <formula>"Napkin Hs"</formula>
    </cfRule>
  </conditionalFormatting>
  <conditionalFormatting sqref="C96:C97">
    <cfRule type="cellIs" dxfId="214" priority="205" stopIfTrue="1" operator="equal">
      <formula>"Towel"</formula>
    </cfRule>
    <cfRule type="cellIs" dxfId="213" priority="206" stopIfTrue="1" operator="equal">
      <formula>"Napkin Hs"</formula>
    </cfRule>
  </conditionalFormatting>
  <conditionalFormatting sqref="C96:C97">
    <cfRule type="cellIs" dxfId="212" priority="207" stopIfTrue="1" operator="equal">
      <formula>"Towel"</formula>
    </cfRule>
  </conditionalFormatting>
  <conditionalFormatting sqref="B95:C95">
    <cfRule type="cellIs" dxfId="211" priority="203" stopIfTrue="1" operator="equal">
      <formula>"Towel"</formula>
    </cfRule>
    <cfRule type="cellIs" dxfId="210" priority="204" stopIfTrue="1" operator="equal">
      <formula>"Napkin Hs"</formula>
    </cfRule>
  </conditionalFormatting>
  <conditionalFormatting sqref="C95">
    <cfRule type="cellIs" dxfId="209" priority="202" stopIfTrue="1" operator="equal">
      <formula>"Napkin Hs"</formula>
    </cfRule>
  </conditionalFormatting>
  <conditionalFormatting sqref="C95">
    <cfRule type="cellIs" dxfId="208" priority="199" stopIfTrue="1" operator="equal">
      <formula>"Towel"</formula>
    </cfRule>
    <cfRule type="cellIs" dxfId="207" priority="200" stopIfTrue="1" operator="equal">
      <formula>"Napkin Hs"</formula>
    </cfRule>
  </conditionalFormatting>
  <conditionalFormatting sqref="C95">
    <cfRule type="cellIs" dxfId="206" priority="201" stopIfTrue="1" operator="equal">
      <formula>"Towel"</formula>
    </cfRule>
  </conditionalFormatting>
  <conditionalFormatting sqref="B94:C94">
    <cfRule type="cellIs" dxfId="205" priority="197" stopIfTrue="1" operator="equal">
      <formula>"Towel"</formula>
    </cfRule>
    <cfRule type="cellIs" dxfId="204" priority="198" stopIfTrue="1" operator="equal">
      <formula>"Napkin Hs"</formula>
    </cfRule>
  </conditionalFormatting>
  <conditionalFormatting sqref="C94">
    <cfRule type="cellIs" dxfId="203" priority="196" stopIfTrue="1" operator="equal">
      <formula>"Napkin Hs"</formula>
    </cfRule>
  </conditionalFormatting>
  <conditionalFormatting sqref="C94">
    <cfRule type="cellIs" dxfId="202" priority="193" stopIfTrue="1" operator="equal">
      <formula>"Towel"</formula>
    </cfRule>
    <cfRule type="cellIs" dxfId="201" priority="194" stopIfTrue="1" operator="equal">
      <formula>"Napkin Hs"</formula>
    </cfRule>
  </conditionalFormatting>
  <conditionalFormatting sqref="C94">
    <cfRule type="cellIs" dxfId="200" priority="195" stopIfTrue="1" operator="equal">
      <formula>"Towel"</formula>
    </cfRule>
  </conditionalFormatting>
  <conditionalFormatting sqref="B101:C102">
    <cfRule type="cellIs" dxfId="199" priority="191" stopIfTrue="1" operator="equal">
      <formula>"Towel"</formula>
    </cfRule>
    <cfRule type="cellIs" dxfId="198" priority="192" stopIfTrue="1" operator="equal">
      <formula>"Napkin Hs"</formula>
    </cfRule>
  </conditionalFormatting>
  <conditionalFormatting sqref="C101:C102">
    <cfRule type="cellIs" dxfId="197" priority="190" stopIfTrue="1" operator="equal">
      <formula>"Napkin Hs"</formula>
    </cfRule>
  </conditionalFormatting>
  <conditionalFormatting sqref="C101:C102">
    <cfRule type="cellIs" dxfId="196" priority="187" stopIfTrue="1" operator="equal">
      <formula>"Towel"</formula>
    </cfRule>
    <cfRule type="cellIs" dxfId="195" priority="188" stopIfTrue="1" operator="equal">
      <formula>"Napkin Hs"</formula>
    </cfRule>
  </conditionalFormatting>
  <conditionalFormatting sqref="C101:C102">
    <cfRule type="cellIs" dxfId="194" priority="189" stopIfTrue="1" operator="equal">
      <formula>"Towel"</formula>
    </cfRule>
  </conditionalFormatting>
  <conditionalFormatting sqref="B100:C100">
    <cfRule type="cellIs" dxfId="193" priority="185" stopIfTrue="1" operator="equal">
      <formula>"Towel"</formula>
    </cfRule>
    <cfRule type="cellIs" dxfId="192" priority="186" stopIfTrue="1" operator="equal">
      <formula>"Napkin Hs"</formula>
    </cfRule>
  </conditionalFormatting>
  <conditionalFormatting sqref="C100">
    <cfRule type="cellIs" dxfId="191" priority="184" stopIfTrue="1" operator="equal">
      <formula>"Napkin Hs"</formula>
    </cfRule>
  </conditionalFormatting>
  <conditionalFormatting sqref="C100">
    <cfRule type="cellIs" dxfId="190" priority="181" stopIfTrue="1" operator="equal">
      <formula>"Towel"</formula>
    </cfRule>
    <cfRule type="cellIs" dxfId="189" priority="182" stopIfTrue="1" operator="equal">
      <formula>"Napkin Hs"</formula>
    </cfRule>
  </conditionalFormatting>
  <conditionalFormatting sqref="C100">
    <cfRule type="cellIs" dxfId="188" priority="183" stopIfTrue="1" operator="equal">
      <formula>"Towel"</formula>
    </cfRule>
  </conditionalFormatting>
  <conditionalFormatting sqref="B99:C99">
    <cfRule type="cellIs" dxfId="187" priority="179" stopIfTrue="1" operator="equal">
      <formula>"Towel"</formula>
    </cfRule>
    <cfRule type="cellIs" dxfId="186" priority="180" stopIfTrue="1" operator="equal">
      <formula>"Napkin Hs"</formula>
    </cfRule>
  </conditionalFormatting>
  <conditionalFormatting sqref="C99">
    <cfRule type="cellIs" dxfId="185" priority="178" stopIfTrue="1" operator="equal">
      <formula>"Napkin Hs"</formula>
    </cfRule>
  </conditionalFormatting>
  <conditionalFormatting sqref="C99">
    <cfRule type="cellIs" dxfId="184" priority="175" stopIfTrue="1" operator="equal">
      <formula>"Towel"</formula>
    </cfRule>
    <cfRule type="cellIs" dxfId="183" priority="176" stopIfTrue="1" operator="equal">
      <formula>"Napkin Hs"</formula>
    </cfRule>
  </conditionalFormatting>
  <conditionalFormatting sqref="C99">
    <cfRule type="cellIs" dxfId="182" priority="177" stopIfTrue="1" operator="equal">
      <formula>"Towel"</formula>
    </cfRule>
  </conditionalFormatting>
  <conditionalFormatting sqref="B106:C107">
    <cfRule type="cellIs" dxfId="181" priority="173" stopIfTrue="1" operator="equal">
      <formula>"Towel"</formula>
    </cfRule>
    <cfRule type="cellIs" dxfId="180" priority="174" stopIfTrue="1" operator="equal">
      <formula>"Napkin Hs"</formula>
    </cfRule>
  </conditionalFormatting>
  <conditionalFormatting sqref="C106:C107">
    <cfRule type="cellIs" dxfId="179" priority="172" stopIfTrue="1" operator="equal">
      <formula>"Napkin Hs"</formula>
    </cfRule>
  </conditionalFormatting>
  <conditionalFormatting sqref="C106:C107">
    <cfRule type="cellIs" dxfId="178" priority="169" stopIfTrue="1" operator="equal">
      <formula>"Towel"</formula>
    </cfRule>
    <cfRule type="cellIs" dxfId="177" priority="170" stopIfTrue="1" operator="equal">
      <formula>"Napkin Hs"</formula>
    </cfRule>
  </conditionalFormatting>
  <conditionalFormatting sqref="C106:C107">
    <cfRule type="cellIs" dxfId="176" priority="171" stopIfTrue="1" operator="equal">
      <formula>"Towel"</formula>
    </cfRule>
  </conditionalFormatting>
  <conditionalFormatting sqref="B105:C105">
    <cfRule type="cellIs" dxfId="175" priority="167" stopIfTrue="1" operator="equal">
      <formula>"Towel"</formula>
    </cfRule>
    <cfRule type="cellIs" dxfId="174" priority="168" stopIfTrue="1" operator="equal">
      <formula>"Napkin Hs"</formula>
    </cfRule>
  </conditionalFormatting>
  <conditionalFormatting sqref="C105">
    <cfRule type="cellIs" dxfId="173" priority="166" stopIfTrue="1" operator="equal">
      <formula>"Napkin Hs"</formula>
    </cfRule>
  </conditionalFormatting>
  <conditionalFormatting sqref="C105">
    <cfRule type="cellIs" dxfId="172" priority="163" stopIfTrue="1" operator="equal">
      <formula>"Towel"</formula>
    </cfRule>
    <cfRule type="cellIs" dxfId="171" priority="164" stopIfTrue="1" operator="equal">
      <formula>"Napkin Hs"</formula>
    </cfRule>
  </conditionalFormatting>
  <conditionalFormatting sqref="C105">
    <cfRule type="cellIs" dxfId="170" priority="165" stopIfTrue="1" operator="equal">
      <formula>"Towel"</formula>
    </cfRule>
  </conditionalFormatting>
  <conditionalFormatting sqref="B104:C104">
    <cfRule type="cellIs" dxfId="169" priority="161" stopIfTrue="1" operator="equal">
      <formula>"Towel"</formula>
    </cfRule>
    <cfRule type="cellIs" dxfId="168" priority="162" stopIfTrue="1" operator="equal">
      <formula>"Napkin Hs"</formula>
    </cfRule>
  </conditionalFormatting>
  <conditionalFormatting sqref="C104">
    <cfRule type="cellIs" dxfId="167" priority="160" stopIfTrue="1" operator="equal">
      <formula>"Napkin Hs"</formula>
    </cfRule>
  </conditionalFormatting>
  <conditionalFormatting sqref="C104">
    <cfRule type="cellIs" dxfId="166" priority="157" stopIfTrue="1" operator="equal">
      <formula>"Towel"</formula>
    </cfRule>
    <cfRule type="cellIs" dxfId="165" priority="158" stopIfTrue="1" operator="equal">
      <formula>"Napkin Hs"</formula>
    </cfRule>
  </conditionalFormatting>
  <conditionalFormatting sqref="C104">
    <cfRule type="cellIs" dxfId="164" priority="159" stopIfTrue="1" operator="equal">
      <formula>"Towel"</formula>
    </cfRule>
  </conditionalFormatting>
  <conditionalFormatting sqref="B111:C112">
    <cfRule type="cellIs" dxfId="163" priority="155" stopIfTrue="1" operator="equal">
      <formula>"Towel"</formula>
    </cfRule>
    <cfRule type="cellIs" dxfId="162" priority="156" stopIfTrue="1" operator="equal">
      <formula>"Napkin Hs"</formula>
    </cfRule>
  </conditionalFormatting>
  <conditionalFormatting sqref="C111:C112">
    <cfRule type="cellIs" dxfId="161" priority="154" stopIfTrue="1" operator="equal">
      <formula>"Napkin Hs"</formula>
    </cfRule>
  </conditionalFormatting>
  <conditionalFormatting sqref="C111:C112">
    <cfRule type="cellIs" dxfId="160" priority="151" stopIfTrue="1" operator="equal">
      <formula>"Towel"</formula>
    </cfRule>
    <cfRule type="cellIs" dxfId="159" priority="152" stopIfTrue="1" operator="equal">
      <formula>"Napkin Hs"</formula>
    </cfRule>
  </conditionalFormatting>
  <conditionalFormatting sqref="C111:C112">
    <cfRule type="cellIs" dxfId="158" priority="153" stopIfTrue="1" operator="equal">
      <formula>"Towel"</formula>
    </cfRule>
  </conditionalFormatting>
  <conditionalFormatting sqref="B110:C110">
    <cfRule type="cellIs" dxfId="157" priority="149" stopIfTrue="1" operator="equal">
      <formula>"Towel"</formula>
    </cfRule>
    <cfRule type="cellIs" dxfId="156" priority="150" stopIfTrue="1" operator="equal">
      <formula>"Napkin Hs"</formula>
    </cfRule>
  </conditionalFormatting>
  <conditionalFormatting sqref="C110">
    <cfRule type="cellIs" dxfId="155" priority="148" stopIfTrue="1" operator="equal">
      <formula>"Napkin Hs"</formula>
    </cfRule>
  </conditionalFormatting>
  <conditionalFormatting sqref="C110">
    <cfRule type="cellIs" dxfId="154" priority="145" stopIfTrue="1" operator="equal">
      <formula>"Towel"</formula>
    </cfRule>
    <cfRule type="cellIs" dxfId="153" priority="146" stopIfTrue="1" operator="equal">
      <formula>"Napkin Hs"</formula>
    </cfRule>
  </conditionalFormatting>
  <conditionalFormatting sqref="C110">
    <cfRule type="cellIs" dxfId="152" priority="147" stopIfTrue="1" operator="equal">
      <formula>"Towel"</formula>
    </cfRule>
  </conditionalFormatting>
  <conditionalFormatting sqref="B109:C109">
    <cfRule type="cellIs" dxfId="151" priority="143" stopIfTrue="1" operator="equal">
      <formula>"Towel"</formula>
    </cfRule>
    <cfRule type="cellIs" dxfId="150" priority="144" stopIfTrue="1" operator="equal">
      <formula>"Napkin Hs"</formula>
    </cfRule>
  </conditionalFormatting>
  <conditionalFormatting sqref="C109">
    <cfRule type="cellIs" dxfId="149" priority="142" stopIfTrue="1" operator="equal">
      <formula>"Napkin Hs"</formula>
    </cfRule>
  </conditionalFormatting>
  <conditionalFormatting sqref="C109">
    <cfRule type="cellIs" dxfId="148" priority="139" stopIfTrue="1" operator="equal">
      <formula>"Towel"</formula>
    </cfRule>
    <cfRule type="cellIs" dxfId="147" priority="140" stopIfTrue="1" operator="equal">
      <formula>"Napkin Hs"</formula>
    </cfRule>
  </conditionalFormatting>
  <conditionalFormatting sqref="C109">
    <cfRule type="cellIs" dxfId="146" priority="141" stopIfTrue="1" operator="equal">
      <formula>"Towel"</formula>
    </cfRule>
  </conditionalFormatting>
  <conditionalFormatting sqref="B116:C117">
    <cfRule type="cellIs" dxfId="145" priority="137" stopIfTrue="1" operator="equal">
      <formula>"Towel"</formula>
    </cfRule>
    <cfRule type="cellIs" dxfId="144" priority="138" stopIfTrue="1" operator="equal">
      <formula>"Napkin Hs"</formula>
    </cfRule>
  </conditionalFormatting>
  <conditionalFormatting sqref="C116:C117">
    <cfRule type="cellIs" dxfId="143" priority="136" stopIfTrue="1" operator="equal">
      <formula>"Napkin Hs"</formula>
    </cfRule>
  </conditionalFormatting>
  <conditionalFormatting sqref="C116:C117">
    <cfRule type="cellIs" dxfId="142" priority="133" stopIfTrue="1" operator="equal">
      <formula>"Towel"</formula>
    </cfRule>
    <cfRule type="cellIs" dxfId="141" priority="134" stopIfTrue="1" operator="equal">
      <formula>"Napkin Hs"</formula>
    </cfRule>
  </conditionalFormatting>
  <conditionalFormatting sqref="C116:C117">
    <cfRule type="cellIs" dxfId="140" priority="135" stopIfTrue="1" operator="equal">
      <formula>"Towel"</formula>
    </cfRule>
  </conditionalFormatting>
  <conditionalFormatting sqref="B115:C115">
    <cfRule type="cellIs" dxfId="139" priority="131" stopIfTrue="1" operator="equal">
      <formula>"Towel"</formula>
    </cfRule>
    <cfRule type="cellIs" dxfId="138" priority="132" stopIfTrue="1" operator="equal">
      <formula>"Napkin Hs"</formula>
    </cfRule>
  </conditionalFormatting>
  <conditionalFormatting sqref="C115">
    <cfRule type="cellIs" dxfId="137" priority="130" stopIfTrue="1" operator="equal">
      <formula>"Napkin Hs"</formula>
    </cfRule>
  </conditionalFormatting>
  <conditionalFormatting sqref="C115">
    <cfRule type="cellIs" dxfId="136" priority="127" stopIfTrue="1" operator="equal">
      <formula>"Towel"</formula>
    </cfRule>
    <cfRule type="cellIs" dxfId="135" priority="128" stopIfTrue="1" operator="equal">
      <formula>"Napkin Hs"</formula>
    </cfRule>
  </conditionalFormatting>
  <conditionalFormatting sqref="C115">
    <cfRule type="cellIs" dxfId="134" priority="129" stopIfTrue="1" operator="equal">
      <formula>"Towel"</formula>
    </cfRule>
  </conditionalFormatting>
  <conditionalFormatting sqref="B114:C114">
    <cfRule type="cellIs" dxfId="133" priority="125" stopIfTrue="1" operator="equal">
      <formula>"Towel"</formula>
    </cfRule>
    <cfRule type="cellIs" dxfId="132" priority="126" stopIfTrue="1" operator="equal">
      <formula>"Napkin Hs"</formula>
    </cfRule>
  </conditionalFormatting>
  <conditionalFormatting sqref="C114">
    <cfRule type="cellIs" dxfId="131" priority="124" stopIfTrue="1" operator="equal">
      <formula>"Napkin Hs"</formula>
    </cfRule>
  </conditionalFormatting>
  <conditionalFormatting sqref="C114">
    <cfRule type="cellIs" dxfId="130" priority="121" stopIfTrue="1" operator="equal">
      <formula>"Towel"</formula>
    </cfRule>
    <cfRule type="cellIs" dxfId="129" priority="122" stopIfTrue="1" operator="equal">
      <formula>"Napkin Hs"</formula>
    </cfRule>
  </conditionalFormatting>
  <conditionalFormatting sqref="C114">
    <cfRule type="cellIs" dxfId="128" priority="123" stopIfTrue="1" operator="equal">
      <formula>"Towel"</formula>
    </cfRule>
  </conditionalFormatting>
  <conditionalFormatting sqref="B123:C123">
    <cfRule type="cellIs" dxfId="127" priority="119" stopIfTrue="1" operator="equal">
      <formula>"Towel"</formula>
    </cfRule>
    <cfRule type="cellIs" dxfId="126" priority="120" stopIfTrue="1" operator="equal">
      <formula>"Napkin Hs"</formula>
    </cfRule>
  </conditionalFormatting>
  <conditionalFormatting sqref="C123">
    <cfRule type="cellIs" dxfId="125" priority="118" stopIfTrue="1" operator="equal">
      <formula>"Napkin Hs"</formula>
    </cfRule>
  </conditionalFormatting>
  <conditionalFormatting sqref="C123">
    <cfRule type="cellIs" dxfId="124" priority="115" stopIfTrue="1" operator="equal">
      <formula>"Towel"</formula>
    </cfRule>
    <cfRule type="cellIs" dxfId="123" priority="116" stopIfTrue="1" operator="equal">
      <formula>"Napkin Hs"</formula>
    </cfRule>
  </conditionalFormatting>
  <conditionalFormatting sqref="C123">
    <cfRule type="cellIs" dxfId="122" priority="117" stopIfTrue="1" operator="equal">
      <formula>"Towel"</formula>
    </cfRule>
  </conditionalFormatting>
  <conditionalFormatting sqref="B121:C122">
    <cfRule type="cellIs" dxfId="121" priority="113" stopIfTrue="1" operator="equal">
      <formula>"Towel"</formula>
    </cfRule>
    <cfRule type="cellIs" dxfId="120" priority="114" stopIfTrue="1" operator="equal">
      <formula>"Napkin Hs"</formula>
    </cfRule>
  </conditionalFormatting>
  <conditionalFormatting sqref="C121:C122">
    <cfRule type="cellIs" dxfId="119" priority="112" stopIfTrue="1" operator="equal">
      <formula>"Napkin Hs"</formula>
    </cfRule>
  </conditionalFormatting>
  <conditionalFormatting sqref="C121:C122">
    <cfRule type="cellIs" dxfId="118" priority="109" stopIfTrue="1" operator="equal">
      <formula>"Towel"</formula>
    </cfRule>
    <cfRule type="cellIs" dxfId="117" priority="110" stopIfTrue="1" operator="equal">
      <formula>"Napkin Hs"</formula>
    </cfRule>
  </conditionalFormatting>
  <conditionalFormatting sqref="C121:C122">
    <cfRule type="cellIs" dxfId="116" priority="111" stopIfTrue="1" operator="equal">
      <formula>"Towel"</formula>
    </cfRule>
  </conditionalFormatting>
  <conditionalFormatting sqref="B120:C120">
    <cfRule type="cellIs" dxfId="115" priority="107" stopIfTrue="1" operator="equal">
      <formula>"Towel"</formula>
    </cfRule>
    <cfRule type="cellIs" dxfId="114" priority="108" stopIfTrue="1" operator="equal">
      <formula>"Napkin Hs"</formula>
    </cfRule>
  </conditionalFormatting>
  <conditionalFormatting sqref="C120">
    <cfRule type="cellIs" dxfId="113" priority="106" stopIfTrue="1" operator="equal">
      <formula>"Napkin Hs"</formula>
    </cfRule>
  </conditionalFormatting>
  <conditionalFormatting sqref="C120">
    <cfRule type="cellIs" dxfId="112" priority="103" stopIfTrue="1" operator="equal">
      <formula>"Towel"</formula>
    </cfRule>
    <cfRule type="cellIs" dxfId="111" priority="104" stopIfTrue="1" operator="equal">
      <formula>"Napkin Hs"</formula>
    </cfRule>
  </conditionalFormatting>
  <conditionalFormatting sqref="C120">
    <cfRule type="cellIs" dxfId="110" priority="105" stopIfTrue="1" operator="equal">
      <formula>"Towel"</formula>
    </cfRule>
  </conditionalFormatting>
  <conditionalFormatting sqref="B119:C119">
    <cfRule type="cellIs" dxfId="109" priority="101" stopIfTrue="1" operator="equal">
      <formula>"Towel"</formula>
    </cfRule>
    <cfRule type="cellIs" dxfId="108" priority="102" stopIfTrue="1" operator="equal">
      <formula>"Napkin Hs"</formula>
    </cfRule>
  </conditionalFormatting>
  <conditionalFormatting sqref="C119">
    <cfRule type="cellIs" dxfId="107" priority="100" stopIfTrue="1" operator="equal">
      <formula>"Napkin Hs"</formula>
    </cfRule>
  </conditionalFormatting>
  <conditionalFormatting sqref="C119">
    <cfRule type="cellIs" dxfId="106" priority="97" stopIfTrue="1" operator="equal">
      <formula>"Towel"</formula>
    </cfRule>
    <cfRule type="cellIs" dxfId="105" priority="98" stopIfTrue="1" operator="equal">
      <formula>"Napkin Hs"</formula>
    </cfRule>
  </conditionalFormatting>
  <conditionalFormatting sqref="C119">
    <cfRule type="cellIs" dxfId="104" priority="99" stopIfTrue="1" operator="equal">
      <formula>"Towel"</formula>
    </cfRule>
  </conditionalFormatting>
  <conditionalFormatting sqref="B126:C127">
    <cfRule type="cellIs" dxfId="103" priority="95" stopIfTrue="1" operator="equal">
      <formula>"Towel"</formula>
    </cfRule>
    <cfRule type="cellIs" dxfId="102" priority="96" stopIfTrue="1" operator="equal">
      <formula>"Napkin Hs"</formula>
    </cfRule>
  </conditionalFormatting>
  <conditionalFormatting sqref="C126:C127">
    <cfRule type="cellIs" dxfId="101" priority="94" stopIfTrue="1" operator="equal">
      <formula>"Napkin Hs"</formula>
    </cfRule>
  </conditionalFormatting>
  <conditionalFormatting sqref="C126:C127">
    <cfRule type="cellIs" dxfId="100" priority="91" stopIfTrue="1" operator="equal">
      <formula>"Towel"</formula>
    </cfRule>
    <cfRule type="cellIs" dxfId="99" priority="92" stopIfTrue="1" operator="equal">
      <formula>"Napkin Hs"</formula>
    </cfRule>
  </conditionalFormatting>
  <conditionalFormatting sqref="C126:C127">
    <cfRule type="cellIs" dxfId="98" priority="93" stopIfTrue="1" operator="equal">
      <formula>"Towel"</formula>
    </cfRule>
  </conditionalFormatting>
  <conditionalFormatting sqref="B125:C125">
    <cfRule type="cellIs" dxfId="97" priority="89" stopIfTrue="1" operator="equal">
      <formula>"Towel"</formula>
    </cfRule>
    <cfRule type="cellIs" dxfId="96" priority="90" stopIfTrue="1" operator="equal">
      <formula>"Napkin Hs"</formula>
    </cfRule>
  </conditionalFormatting>
  <conditionalFormatting sqref="C125">
    <cfRule type="cellIs" dxfId="95" priority="88" stopIfTrue="1" operator="equal">
      <formula>"Napkin Hs"</formula>
    </cfRule>
  </conditionalFormatting>
  <conditionalFormatting sqref="C125">
    <cfRule type="cellIs" dxfId="94" priority="85" stopIfTrue="1" operator="equal">
      <formula>"Towel"</formula>
    </cfRule>
    <cfRule type="cellIs" dxfId="93" priority="86" stopIfTrue="1" operator="equal">
      <formula>"Napkin Hs"</formula>
    </cfRule>
  </conditionalFormatting>
  <conditionalFormatting sqref="C125">
    <cfRule type="cellIs" dxfId="92" priority="87" stopIfTrue="1" operator="equal">
      <formula>"Towel"</formula>
    </cfRule>
  </conditionalFormatting>
  <conditionalFormatting sqref="B124:C124">
    <cfRule type="cellIs" dxfId="91" priority="83" stopIfTrue="1" operator="equal">
      <formula>"Towel"</formula>
    </cfRule>
    <cfRule type="cellIs" dxfId="90" priority="84" stopIfTrue="1" operator="equal">
      <formula>"Napkin Hs"</formula>
    </cfRule>
  </conditionalFormatting>
  <conditionalFormatting sqref="C124">
    <cfRule type="cellIs" dxfId="89" priority="82" stopIfTrue="1" operator="equal">
      <formula>"Napkin Hs"</formula>
    </cfRule>
  </conditionalFormatting>
  <conditionalFormatting sqref="C124">
    <cfRule type="cellIs" dxfId="88" priority="79" stopIfTrue="1" operator="equal">
      <formula>"Towel"</formula>
    </cfRule>
    <cfRule type="cellIs" dxfId="87" priority="80" stopIfTrue="1" operator="equal">
      <formula>"Napkin Hs"</formula>
    </cfRule>
  </conditionalFormatting>
  <conditionalFormatting sqref="C124">
    <cfRule type="cellIs" dxfId="86" priority="81" stopIfTrue="1" operator="equal">
      <formula>"Towel"</formula>
    </cfRule>
  </conditionalFormatting>
  <conditionalFormatting sqref="B131:C132">
    <cfRule type="cellIs" dxfId="85" priority="77" stopIfTrue="1" operator="equal">
      <formula>"Towel"</formula>
    </cfRule>
    <cfRule type="cellIs" dxfId="84" priority="78" stopIfTrue="1" operator="equal">
      <formula>"Napkin Hs"</formula>
    </cfRule>
  </conditionalFormatting>
  <conditionalFormatting sqref="C131:C132">
    <cfRule type="cellIs" dxfId="83" priority="76" stopIfTrue="1" operator="equal">
      <formula>"Napkin Hs"</formula>
    </cfRule>
  </conditionalFormatting>
  <conditionalFormatting sqref="C131:C132">
    <cfRule type="cellIs" dxfId="82" priority="73" stopIfTrue="1" operator="equal">
      <formula>"Towel"</formula>
    </cfRule>
    <cfRule type="cellIs" dxfId="81" priority="74" stopIfTrue="1" operator="equal">
      <formula>"Napkin Hs"</formula>
    </cfRule>
  </conditionalFormatting>
  <conditionalFormatting sqref="C131:C132">
    <cfRule type="cellIs" dxfId="80" priority="75" stopIfTrue="1" operator="equal">
      <formula>"Towel"</formula>
    </cfRule>
  </conditionalFormatting>
  <conditionalFormatting sqref="B130:C130">
    <cfRule type="cellIs" dxfId="79" priority="71" stopIfTrue="1" operator="equal">
      <formula>"Towel"</formula>
    </cfRule>
    <cfRule type="cellIs" dxfId="78" priority="72" stopIfTrue="1" operator="equal">
      <formula>"Napkin Hs"</formula>
    </cfRule>
  </conditionalFormatting>
  <conditionalFormatting sqref="C130">
    <cfRule type="cellIs" dxfId="77" priority="70" stopIfTrue="1" operator="equal">
      <formula>"Napkin Hs"</formula>
    </cfRule>
  </conditionalFormatting>
  <conditionalFormatting sqref="C130">
    <cfRule type="cellIs" dxfId="76" priority="67" stopIfTrue="1" operator="equal">
      <formula>"Towel"</formula>
    </cfRule>
    <cfRule type="cellIs" dxfId="75" priority="68" stopIfTrue="1" operator="equal">
      <formula>"Napkin Hs"</formula>
    </cfRule>
  </conditionalFormatting>
  <conditionalFormatting sqref="C130">
    <cfRule type="cellIs" dxfId="74" priority="69" stopIfTrue="1" operator="equal">
      <formula>"Towel"</formula>
    </cfRule>
  </conditionalFormatting>
  <conditionalFormatting sqref="B129:C129">
    <cfRule type="cellIs" dxfId="73" priority="65" stopIfTrue="1" operator="equal">
      <formula>"Towel"</formula>
    </cfRule>
    <cfRule type="cellIs" dxfId="72" priority="66" stopIfTrue="1" operator="equal">
      <formula>"Napkin Hs"</formula>
    </cfRule>
  </conditionalFormatting>
  <conditionalFormatting sqref="C129">
    <cfRule type="cellIs" dxfId="71" priority="64" stopIfTrue="1" operator="equal">
      <formula>"Napkin Hs"</formula>
    </cfRule>
  </conditionalFormatting>
  <conditionalFormatting sqref="C129">
    <cfRule type="cellIs" dxfId="70" priority="61" stopIfTrue="1" operator="equal">
      <formula>"Towel"</formula>
    </cfRule>
    <cfRule type="cellIs" dxfId="69" priority="62" stopIfTrue="1" operator="equal">
      <formula>"Napkin Hs"</formula>
    </cfRule>
  </conditionalFormatting>
  <conditionalFormatting sqref="C129">
    <cfRule type="cellIs" dxfId="68" priority="63" stopIfTrue="1" operator="equal">
      <formula>"Towel"</formula>
    </cfRule>
  </conditionalFormatting>
  <conditionalFormatting sqref="B136:C137">
    <cfRule type="cellIs" dxfId="67" priority="59" stopIfTrue="1" operator="equal">
      <formula>"Towel"</formula>
    </cfRule>
    <cfRule type="cellIs" dxfId="66" priority="60" stopIfTrue="1" operator="equal">
      <formula>"Napkin Hs"</formula>
    </cfRule>
  </conditionalFormatting>
  <conditionalFormatting sqref="C136:C137">
    <cfRule type="cellIs" dxfId="65" priority="58" stopIfTrue="1" operator="equal">
      <formula>"Napkin Hs"</formula>
    </cfRule>
  </conditionalFormatting>
  <conditionalFormatting sqref="C136:C137">
    <cfRule type="cellIs" dxfId="64" priority="55" stopIfTrue="1" operator="equal">
      <formula>"Towel"</formula>
    </cfRule>
    <cfRule type="cellIs" dxfId="63" priority="56" stopIfTrue="1" operator="equal">
      <formula>"Napkin Hs"</formula>
    </cfRule>
  </conditionalFormatting>
  <conditionalFormatting sqref="C136:C137">
    <cfRule type="cellIs" dxfId="62" priority="57" stopIfTrue="1" operator="equal">
      <formula>"Towel"</formula>
    </cfRule>
  </conditionalFormatting>
  <conditionalFormatting sqref="B135:C135">
    <cfRule type="cellIs" dxfId="61" priority="53" stopIfTrue="1" operator="equal">
      <formula>"Towel"</formula>
    </cfRule>
    <cfRule type="cellIs" dxfId="60" priority="54" stopIfTrue="1" operator="equal">
      <formula>"Napkin Hs"</formula>
    </cfRule>
  </conditionalFormatting>
  <conditionalFormatting sqref="C135">
    <cfRule type="cellIs" dxfId="59" priority="52" stopIfTrue="1" operator="equal">
      <formula>"Napkin Hs"</formula>
    </cfRule>
  </conditionalFormatting>
  <conditionalFormatting sqref="C135">
    <cfRule type="cellIs" dxfId="58" priority="49" stopIfTrue="1" operator="equal">
      <formula>"Towel"</formula>
    </cfRule>
    <cfRule type="cellIs" dxfId="57" priority="50" stopIfTrue="1" operator="equal">
      <formula>"Napkin Hs"</formula>
    </cfRule>
  </conditionalFormatting>
  <conditionalFormatting sqref="C135">
    <cfRule type="cellIs" dxfId="56" priority="51" stopIfTrue="1" operator="equal">
      <formula>"Towel"</formula>
    </cfRule>
  </conditionalFormatting>
  <conditionalFormatting sqref="B134:C134">
    <cfRule type="cellIs" dxfId="55" priority="47" stopIfTrue="1" operator="equal">
      <formula>"Towel"</formula>
    </cfRule>
    <cfRule type="cellIs" dxfId="54" priority="48" stopIfTrue="1" operator="equal">
      <formula>"Napkin Hs"</formula>
    </cfRule>
  </conditionalFormatting>
  <conditionalFormatting sqref="C134">
    <cfRule type="cellIs" dxfId="53" priority="46" stopIfTrue="1" operator="equal">
      <formula>"Napkin Hs"</formula>
    </cfRule>
  </conditionalFormatting>
  <conditionalFormatting sqref="C134">
    <cfRule type="cellIs" dxfId="52" priority="43" stopIfTrue="1" operator="equal">
      <formula>"Towel"</formula>
    </cfRule>
    <cfRule type="cellIs" dxfId="51" priority="44" stopIfTrue="1" operator="equal">
      <formula>"Napkin Hs"</formula>
    </cfRule>
  </conditionalFormatting>
  <conditionalFormatting sqref="C134">
    <cfRule type="cellIs" dxfId="50" priority="45" stopIfTrue="1" operator="equal">
      <formula>"Towel"</formula>
    </cfRule>
  </conditionalFormatting>
  <conditionalFormatting sqref="B143:C143">
    <cfRule type="cellIs" dxfId="49" priority="41" stopIfTrue="1" operator="equal">
      <formula>"Towel"</formula>
    </cfRule>
    <cfRule type="cellIs" dxfId="48" priority="42" stopIfTrue="1" operator="equal">
      <formula>"Napkin Hs"</formula>
    </cfRule>
  </conditionalFormatting>
  <conditionalFormatting sqref="C143">
    <cfRule type="cellIs" dxfId="47" priority="40" stopIfTrue="1" operator="equal">
      <formula>"Napkin Hs"</formula>
    </cfRule>
  </conditionalFormatting>
  <conditionalFormatting sqref="C143">
    <cfRule type="cellIs" dxfId="46" priority="37" stopIfTrue="1" operator="equal">
      <formula>"Towel"</formula>
    </cfRule>
    <cfRule type="cellIs" dxfId="45" priority="38" stopIfTrue="1" operator="equal">
      <formula>"Napkin Hs"</formula>
    </cfRule>
  </conditionalFormatting>
  <conditionalFormatting sqref="C143">
    <cfRule type="cellIs" dxfId="44" priority="39" stopIfTrue="1" operator="equal">
      <formula>"Towel"</formula>
    </cfRule>
  </conditionalFormatting>
  <conditionalFormatting sqref="B141:C142">
    <cfRule type="cellIs" dxfId="43" priority="35" stopIfTrue="1" operator="equal">
      <formula>"Towel"</formula>
    </cfRule>
    <cfRule type="cellIs" dxfId="42" priority="36" stopIfTrue="1" operator="equal">
      <formula>"Napkin Hs"</formula>
    </cfRule>
  </conditionalFormatting>
  <conditionalFormatting sqref="C141:C142">
    <cfRule type="cellIs" dxfId="41" priority="34" stopIfTrue="1" operator="equal">
      <formula>"Napkin Hs"</formula>
    </cfRule>
  </conditionalFormatting>
  <conditionalFormatting sqref="C141:C142">
    <cfRule type="cellIs" dxfId="40" priority="31" stopIfTrue="1" operator="equal">
      <formula>"Towel"</formula>
    </cfRule>
    <cfRule type="cellIs" dxfId="39" priority="32" stopIfTrue="1" operator="equal">
      <formula>"Napkin Hs"</formula>
    </cfRule>
  </conditionalFormatting>
  <conditionalFormatting sqref="C141:C142">
    <cfRule type="cellIs" dxfId="38" priority="33" stopIfTrue="1" operator="equal">
      <formula>"Towel"</formula>
    </cfRule>
  </conditionalFormatting>
  <conditionalFormatting sqref="B140:C140">
    <cfRule type="cellIs" dxfId="37" priority="29" stopIfTrue="1" operator="equal">
      <formula>"Towel"</formula>
    </cfRule>
    <cfRule type="cellIs" dxfId="36" priority="30" stopIfTrue="1" operator="equal">
      <formula>"Napkin Hs"</formula>
    </cfRule>
  </conditionalFormatting>
  <conditionalFormatting sqref="C140">
    <cfRule type="cellIs" dxfId="35" priority="28" stopIfTrue="1" operator="equal">
      <formula>"Napkin Hs"</formula>
    </cfRule>
  </conditionalFormatting>
  <conditionalFormatting sqref="C140">
    <cfRule type="cellIs" dxfId="34" priority="25" stopIfTrue="1" operator="equal">
      <formula>"Towel"</formula>
    </cfRule>
    <cfRule type="cellIs" dxfId="33" priority="26" stopIfTrue="1" operator="equal">
      <formula>"Napkin Hs"</formula>
    </cfRule>
  </conditionalFormatting>
  <conditionalFormatting sqref="C140">
    <cfRule type="cellIs" dxfId="32" priority="27" stopIfTrue="1" operator="equal">
      <formula>"Towel"</formula>
    </cfRule>
  </conditionalFormatting>
  <conditionalFormatting sqref="B139:C139">
    <cfRule type="cellIs" dxfId="31" priority="23" stopIfTrue="1" operator="equal">
      <formula>"Towel"</formula>
    </cfRule>
    <cfRule type="cellIs" dxfId="30" priority="24" stopIfTrue="1" operator="equal">
      <formula>"Napkin Hs"</formula>
    </cfRule>
  </conditionalFormatting>
  <conditionalFormatting sqref="C139">
    <cfRule type="cellIs" dxfId="29" priority="22" stopIfTrue="1" operator="equal">
      <formula>"Napkin Hs"</formula>
    </cfRule>
  </conditionalFormatting>
  <conditionalFormatting sqref="C139">
    <cfRule type="cellIs" dxfId="28" priority="19" stopIfTrue="1" operator="equal">
      <formula>"Towel"</formula>
    </cfRule>
    <cfRule type="cellIs" dxfId="27" priority="20" stopIfTrue="1" operator="equal">
      <formula>"Napkin Hs"</formula>
    </cfRule>
  </conditionalFormatting>
  <conditionalFormatting sqref="C139">
    <cfRule type="cellIs" dxfId="26" priority="21" stopIfTrue="1" operator="equal">
      <formula>"Towel"</formula>
    </cfRule>
  </conditionalFormatting>
  <conditionalFormatting sqref="B146:C147">
    <cfRule type="cellIs" dxfId="25" priority="17" stopIfTrue="1" operator="equal">
      <formula>"Towel"</formula>
    </cfRule>
    <cfRule type="cellIs" dxfId="24" priority="18" stopIfTrue="1" operator="equal">
      <formula>"Napkin Hs"</formula>
    </cfRule>
  </conditionalFormatting>
  <conditionalFormatting sqref="C146:C147">
    <cfRule type="cellIs" dxfId="23" priority="16" stopIfTrue="1" operator="equal">
      <formula>"Napkin Hs"</formula>
    </cfRule>
  </conditionalFormatting>
  <conditionalFormatting sqref="C146:C147">
    <cfRule type="cellIs" dxfId="22" priority="13" stopIfTrue="1" operator="equal">
      <formula>"Towel"</formula>
    </cfRule>
    <cfRule type="cellIs" dxfId="21" priority="14" stopIfTrue="1" operator="equal">
      <formula>"Napkin Hs"</formula>
    </cfRule>
  </conditionalFormatting>
  <conditionalFormatting sqref="C146:C147">
    <cfRule type="cellIs" dxfId="20" priority="15" stopIfTrue="1" operator="equal">
      <formula>"Towel"</formula>
    </cfRule>
  </conditionalFormatting>
  <conditionalFormatting sqref="B145:C145">
    <cfRule type="cellIs" dxfId="19" priority="11" stopIfTrue="1" operator="equal">
      <formula>"Towel"</formula>
    </cfRule>
    <cfRule type="cellIs" dxfId="18" priority="12" stopIfTrue="1" operator="equal">
      <formula>"Napkin Hs"</formula>
    </cfRule>
  </conditionalFormatting>
  <conditionalFormatting sqref="C145">
    <cfRule type="cellIs" dxfId="17" priority="10" stopIfTrue="1" operator="equal">
      <formula>"Napkin Hs"</formula>
    </cfRule>
  </conditionalFormatting>
  <conditionalFormatting sqref="C145">
    <cfRule type="cellIs" dxfId="16" priority="7" stopIfTrue="1" operator="equal">
      <formula>"Towel"</formula>
    </cfRule>
    <cfRule type="cellIs" dxfId="15" priority="8" stopIfTrue="1" operator="equal">
      <formula>"Napkin Hs"</formula>
    </cfRule>
  </conditionalFormatting>
  <conditionalFormatting sqref="C145">
    <cfRule type="cellIs" dxfId="14" priority="9" stopIfTrue="1" operator="equal">
      <formula>"Towel"</formula>
    </cfRule>
  </conditionalFormatting>
  <conditionalFormatting sqref="B144:C144">
    <cfRule type="cellIs" dxfId="13" priority="5" stopIfTrue="1" operator="equal">
      <formula>"Towel"</formula>
    </cfRule>
    <cfRule type="cellIs" dxfId="12" priority="6" stopIfTrue="1" operator="equal">
      <formula>"Napkin Hs"</formula>
    </cfRule>
  </conditionalFormatting>
  <conditionalFormatting sqref="C144">
    <cfRule type="cellIs" dxfId="11" priority="4" stopIfTrue="1" operator="equal">
      <formula>"Napkin Hs"</formula>
    </cfRule>
  </conditionalFormatting>
  <conditionalFormatting sqref="C144">
    <cfRule type="cellIs" dxfId="10" priority="1" stopIfTrue="1" operator="equal">
      <formula>"Towel"</formula>
    </cfRule>
    <cfRule type="cellIs" dxfId="9" priority="2" stopIfTrue="1" operator="equal">
      <formula>"Napkin Hs"</formula>
    </cfRule>
  </conditionalFormatting>
  <conditionalFormatting sqref="C144">
    <cfRule type="cellIs" dxfId="8" priority="3" stopIfTrue="1" operator="equal">
      <formula>"Towel"</formula>
    </cfRule>
  </conditionalFormatting>
  <pageMargins left="0.75" right="0.75" top="1" bottom="1" header="0.5" footer="0.5"/>
  <pageSetup scale="29"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V45"/>
  <sheetViews>
    <sheetView tabSelected="1" zoomScale="80" zoomScaleNormal="80" workbookViewId="0">
      <pane xSplit="5" ySplit="8" topLeftCell="KC9" activePane="bottomRight" state="frozen"/>
      <selection pane="topRight" activeCell="F1" sqref="F1"/>
      <selection pane="bottomLeft" activeCell="A9" sqref="A9"/>
      <selection pane="bottomRight" activeCell="KV45" sqref="KV45"/>
    </sheetView>
  </sheetViews>
  <sheetFormatPr defaultColWidth="10.42578125" defaultRowHeight="12.75"/>
  <cols>
    <col min="1" max="1" width="8.140625" style="259" customWidth="1"/>
    <col min="2" max="2" width="13.5703125" style="259" customWidth="1"/>
    <col min="3" max="3" width="12.5703125" style="260" customWidth="1"/>
    <col min="4" max="4" width="11.140625" style="260" customWidth="1"/>
    <col min="5" max="5" width="11" style="261" customWidth="1"/>
    <col min="6" max="17" width="12.42578125" style="521" customWidth="1"/>
    <col min="18" max="20" width="12.42578125" style="521" hidden="1" customWidth="1"/>
    <col min="21" max="269" width="12.42578125" style="521" customWidth="1"/>
    <col min="270" max="272" width="9.28515625" style="521" customWidth="1"/>
    <col min="273" max="303" width="5.5703125" style="521" customWidth="1"/>
    <col min="304" max="304" width="8.7109375" style="521" bestFit="1" customWidth="1"/>
    <col min="305" max="305" width="7.7109375" style="521" customWidth="1"/>
    <col min="306" max="306" width="21" style="521" bestFit="1" customWidth="1"/>
    <col min="307" max="307" width="19.85546875" style="521" bestFit="1" customWidth="1"/>
    <col min="308" max="16384" width="10.42578125" style="259"/>
  </cols>
  <sheetData>
    <row r="1" spans="1:308" ht="15.75">
      <c r="A1" s="554"/>
      <c r="B1" s="256"/>
      <c r="C1" s="257"/>
      <c r="D1" s="257"/>
      <c r="E1" s="258"/>
    </row>
    <row r="2" spans="1:308" ht="15.75">
      <c r="A2" s="554"/>
    </row>
    <row r="3" spans="1:308" ht="15">
      <c r="A3" s="555"/>
    </row>
    <row r="4" spans="1:308" ht="15.75">
      <c r="A4" s="493" t="s">
        <v>291</v>
      </c>
    </row>
    <row r="5" spans="1:308" ht="13.5" thickBot="1">
      <c r="F5" s="710" t="s">
        <v>311</v>
      </c>
      <c r="G5" s="711"/>
      <c r="H5" s="711"/>
      <c r="I5" s="711"/>
      <c r="J5" s="711"/>
      <c r="K5" s="711"/>
      <c r="L5" s="711"/>
      <c r="M5" s="711"/>
      <c r="N5" s="711"/>
      <c r="O5" s="711"/>
      <c r="P5" s="711"/>
      <c r="Q5" s="711"/>
      <c r="R5" s="711"/>
      <c r="S5" s="711"/>
      <c r="T5" s="711"/>
      <c r="U5" s="711"/>
      <c r="V5" s="711"/>
      <c r="W5" s="711"/>
      <c r="X5" s="711"/>
      <c r="Y5" s="711"/>
      <c r="Z5" s="711"/>
      <c r="AA5" s="711"/>
      <c r="AB5" s="711"/>
      <c r="AC5" s="711"/>
      <c r="AD5" s="711"/>
      <c r="AE5" s="711"/>
      <c r="AF5" s="711"/>
      <c r="AG5" s="711"/>
      <c r="AH5" s="711"/>
      <c r="AI5" s="711"/>
      <c r="AJ5" s="711"/>
      <c r="AK5" s="711"/>
      <c r="AL5" s="711"/>
      <c r="AM5" s="711"/>
      <c r="AN5" s="711"/>
      <c r="AO5" s="711"/>
      <c r="AP5" s="711"/>
      <c r="AQ5" s="711"/>
      <c r="AR5" s="711"/>
      <c r="AS5" s="711"/>
      <c r="AT5" s="711"/>
      <c r="AU5" s="711"/>
      <c r="AV5" s="711"/>
      <c r="AW5" s="711"/>
      <c r="AX5" s="711"/>
      <c r="AY5" s="711"/>
      <c r="AZ5" s="711"/>
      <c r="BA5" s="711"/>
      <c r="BB5" s="711"/>
      <c r="BC5" s="711"/>
      <c r="BD5" s="711"/>
      <c r="BE5" s="711"/>
      <c r="BF5" s="711"/>
      <c r="BG5" s="711"/>
      <c r="BH5" s="711"/>
      <c r="BI5" s="711"/>
      <c r="BJ5" s="711"/>
      <c r="BK5" s="711"/>
      <c r="BL5" s="711"/>
      <c r="BM5" s="711"/>
      <c r="BN5" s="711"/>
      <c r="BO5" s="711"/>
      <c r="BP5" s="711"/>
      <c r="BQ5" s="711"/>
      <c r="BR5" s="711"/>
      <c r="BS5" s="711"/>
      <c r="BT5" s="711"/>
      <c r="BU5" s="711"/>
      <c r="BV5" s="711"/>
      <c r="BW5" s="711"/>
      <c r="BX5" s="711"/>
      <c r="BY5" s="711"/>
      <c r="BZ5" s="711"/>
      <c r="CA5" s="711"/>
      <c r="CB5" s="711"/>
      <c r="CC5" s="711"/>
      <c r="CD5" s="711"/>
      <c r="CE5" s="711"/>
      <c r="CF5" s="711"/>
      <c r="CG5" s="711"/>
      <c r="CH5" s="711"/>
      <c r="CI5" s="711"/>
      <c r="CJ5" s="711"/>
      <c r="CK5" s="711"/>
      <c r="CL5" s="711"/>
      <c r="CM5" s="711"/>
      <c r="CN5" s="711"/>
      <c r="CO5" s="711"/>
      <c r="CP5" s="711"/>
      <c r="CQ5" s="711"/>
      <c r="CR5" s="711"/>
      <c r="CS5" s="711"/>
      <c r="CT5" s="711"/>
      <c r="CU5" s="711"/>
      <c r="CV5" s="711"/>
      <c r="CW5" s="711"/>
      <c r="CX5" s="711"/>
      <c r="CY5" s="711"/>
      <c r="CZ5" s="711"/>
      <c r="DA5" s="711"/>
      <c r="DB5" s="711"/>
      <c r="DC5" s="711"/>
      <c r="DD5" s="711"/>
      <c r="DE5" s="711"/>
      <c r="DF5" s="711"/>
      <c r="DG5" s="711"/>
      <c r="DH5" s="711"/>
      <c r="DI5" s="711"/>
      <c r="DJ5" s="711"/>
      <c r="DK5" s="711"/>
      <c r="DL5" s="711"/>
      <c r="DM5" s="711"/>
      <c r="DN5" s="711"/>
      <c r="DO5" s="711"/>
      <c r="DP5" s="711"/>
      <c r="DQ5" s="711"/>
      <c r="DR5" s="711"/>
      <c r="DS5" s="711"/>
      <c r="DT5" s="711"/>
      <c r="DU5" s="711"/>
      <c r="DV5" s="711"/>
      <c r="DW5" s="711"/>
      <c r="DX5" s="711"/>
      <c r="DY5" s="711"/>
      <c r="DZ5" s="711"/>
      <c r="EA5" s="711"/>
      <c r="EB5" s="711"/>
      <c r="EC5" s="711"/>
      <c r="ED5" s="711"/>
      <c r="EE5" s="711"/>
      <c r="EF5" s="711"/>
      <c r="EG5" s="711"/>
      <c r="EH5" s="711"/>
      <c r="EI5" s="711"/>
      <c r="EJ5" s="711"/>
      <c r="EK5" s="711"/>
      <c r="EL5" s="711"/>
      <c r="EM5" s="711"/>
      <c r="EN5" s="711"/>
      <c r="EO5" s="711"/>
      <c r="EP5" s="711"/>
      <c r="EQ5" s="711"/>
      <c r="ER5" s="711"/>
      <c r="ES5" s="711"/>
      <c r="ET5" s="711"/>
      <c r="EU5" s="711"/>
      <c r="EV5" s="711"/>
      <c r="EW5" s="711"/>
      <c r="EX5" s="711"/>
      <c r="EY5" s="711"/>
      <c r="EZ5" s="711"/>
      <c r="FA5" s="711"/>
      <c r="FB5" s="711"/>
      <c r="FC5" s="711"/>
      <c r="FD5" s="711"/>
      <c r="FE5" s="711"/>
      <c r="FF5" s="711"/>
      <c r="FG5" s="711"/>
      <c r="FH5" s="711"/>
      <c r="FI5" s="711"/>
      <c r="FJ5" s="711"/>
      <c r="FK5" s="711"/>
      <c r="FL5" s="711"/>
      <c r="FM5" s="711"/>
      <c r="FN5" s="711"/>
      <c r="FO5" s="711"/>
      <c r="FP5" s="711"/>
      <c r="FQ5" s="711"/>
      <c r="FR5" s="711"/>
      <c r="FS5" s="711"/>
      <c r="FT5" s="711"/>
      <c r="FU5" s="711"/>
      <c r="FV5" s="711"/>
      <c r="FW5" s="711"/>
      <c r="FX5" s="711"/>
      <c r="FY5" s="711"/>
      <c r="FZ5" s="711"/>
      <c r="GA5" s="711"/>
      <c r="GB5" s="711"/>
      <c r="GC5" s="712"/>
      <c r="GD5" s="710" t="s">
        <v>312</v>
      </c>
      <c r="GE5" s="711"/>
      <c r="GF5" s="711"/>
      <c r="GG5" s="711"/>
      <c r="GH5" s="711"/>
      <c r="GI5" s="711"/>
      <c r="GJ5" s="711"/>
      <c r="GK5" s="711"/>
      <c r="GL5" s="711"/>
      <c r="GM5" s="711"/>
      <c r="GN5" s="711"/>
      <c r="GO5" s="711"/>
      <c r="GP5" s="711"/>
      <c r="GQ5" s="711"/>
      <c r="GR5" s="711"/>
      <c r="GS5" s="711"/>
      <c r="GT5" s="711"/>
      <c r="GU5" s="711"/>
      <c r="GV5" s="711"/>
      <c r="GW5" s="711"/>
      <c r="GX5" s="711"/>
      <c r="GY5" s="711"/>
      <c r="GZ5" s="711"/>
      <c r="HA5" s="711"/>
      <c r="HB5" s="711"/>
      <c r="HC5" s="711"/>
      <c r="HD5" s="711"/>
      <c r="HE5" s="711"/>
      <c r="HF5" s="711"/>
      <c r="HG5" s="711"/>
      <c r="HH5" s="711"/>
      <c r="HI5" s="711"/>
      <c r="HJ5" s="711"/>
      <c r="HK5" s="711"/>
      <c r="HL5" s="711"/>
      <c r="HM5" s="711"/>
      <c r="HN5" s="711"/>
      <c r="HO5" s="711"/>
      <c r="HP5" s="711"/>
      <c r="HQ5" s="711"/>
      <c r="HR5" s="711"/>
      <c r="HS5" s="711"/>
      <c r="HT5" s="711"/>
      <c r="HU5" s="711"/>
      <c r="HV5" s="711"/>
      <c r="HW5" s="711"/>
      <c r="HX5" s="711"/>
      <c r="HY5" s="711"/>
      <c r="HZ5" s="711"/>
      <c r="IA5" s="711"/>
      <c r="IB5" s="711"/>
      <c r="IC5" s="711"/>
      <c r="ID5" s="711"/>
      <c r="IE5" s="711"/>
      <c r="IF5" s="711"/>
      <c r="IG5" s="711"/>
      <c r="IH5" s="711"/>
      <c r="II5" s="711"/>
      <c r="IJ5" s="711"/>
      <c r="IK5" s="711"/>
      <c r="IL5" s="711"/>
      <c r="IM5" s="711"/>
      <c r="IN5" s="711"/>
      <c r="IO5" s="711"/>
      <c r="IP5" s="711"/>
      <c r="IQ5" s="711"/>
      <c r="IR5" s="711"/>
      <c r="IS5" s="711"/>
      <c r="IT5" s="711"/>
      <c r="IU5" s="711"/>
      <c r="IV5" s="711"/>
      <c r="IW5" s="711"/>
      <c r="IX5" s="711"/>
      <c r="IY5" s="711"/>
      <c r="IZ5" s="711"/>
      <c r="JA5" s="711"/>
      <c r="JB5" s="711"/>
      <c r="JC5" s="711"/>
      <c r="JD5" s="711"/>
      <c r="JE5" s="711"/>
      <c r="JF5" s="711"/>
      <c r="JG5" s="711"/>
      <c r="JH5" s="711"/>
      <c r="JI5" s="711"/>
      <c r="JJ5" s="711"/>
      <c r="JK5" s="711"/>
      <c r="JL5" s="711"/>
      <c r="JM5" s="711"/>
      <c r="JN5" s="711"/>
      <c r="JO5" s="711"/>
      <c r="JP5" s="711"/>
      <c r="JQ5" s="711"/>
      <c r="JR5" s="711"/>
      <c r="JS5" s="711"/>
      <c r="JT5" s="711"/>
      <c r="JU5" s="711"/>
      <c r="JV5" s="711"/>
      <c r="JW5" s="711"/>
      <c r="JX5" s="711"/>
      <c r="JY5" s="711"/>
      <c r="JZ5" s="711"/>
      <c r="KA5" s="711"/>
      <c r="KB5" s="711"/>
      <c r="KC5" s="711"/>
      <c r="KD5" s="711"/>
      <c r="KE5" s="711"/>
      <c r="KF5" s="711"/>
      <c r="KG5" s="711"/>
      <c r="KH5" s="711"/>
      <c r="KI5" s="711"/>
      <c r="KJ5" s="711"/>
      <c r="KK5" s="711"/>
      <c r="KL5" s="711"/>
      <c r="KM5" s="711"/>
      <c r="KN5" s="711"/>
      <c r="KO5" s="711"/>
      <c r="KP5" s="711"/>
      <c r="KQ5" s="711"/>
      <c r="KR5" s="711"/>
      <c r="KS5" s="712"/>
      <c r="KT5" s="713" t="s">
        <v>313</v>
      </c>
      <c r="KU5" s="713" t="s">
        <v>312</v>
      </c>
    </row>
    <row r="6" spans="1:308">
      <c r="A6" s="714" t="s">
        <v>29</v>
      </c>
      <c r="B6" s="717" t="s">
        <v>4</v>
      </c>
      <c r="C6" s="717" t="s">
        <v>5</v>
      </c>
      <c r="D6" s="720" t="s">
        <v>41</v>
      </c>
      <c r="E6" s="723" t="s">
        <v>39</v>
      </c>
      <c r="F6" s="700" t="s">
        <v>314</v>
      </c>
      <c r="G6" s="709"/>
      <c r="H6" s="701"/>
      <c r="I6" s="700" t="s">
        <v>315</v>
      </c>
      <c r="J6" s="709"/>
      <c r="K6" s="701"/>
      <c r="L6" s="700" t="s">
        <v>316</v>
      </c>
      <c r="M6" s="709"/>
      <c r="N6" s="701"/>
      <c r="O6" s="700" t="s">
        <v>317</v>
      </c>
      <c r="P6" s="709"/>
      <c r="Q6" s="701"/>
      <c r="R6" s="700" t="s">
        <v>318</v>
      </c>
      <c r="S6" s="709"/>
      <c r="T6" s="701"/>
      <c r="U6" s="700" t="s">
        <v>319</v>
      </c>
      <c r="V6" s="709"/>
      <c r="W6" s="701"/>
      <c r="X6" s="700" t="s">
        <v>320</v>
      </c>
      <c r="Y6" s="709"/>
      <c r="Z6" s="701"/>
      <c r="AA6" s="700" t="s">
        <v>321</v>
      </c>
      <c r="AB6" s="709"/>
      <c r="AC6" s="701"/>
      <c r="AD6" s="700" t="s">
        <v>322</v>
      </c>
      <c r="AE6" s="709"/>
      <c r="AF6" s="701"/>
      <c r="AG6" s="700" t="s">
        <v>323</v>
      </c>
      <c r="AH6" s="709"/>
      <c r="AI6" s="701"/>
      <c r="AJ6" s="700" t="s">
        <v>324</v>
      </c>
      <c r="AK6" s="709"/>
      <c r="AL6" s="701"/>
      <c r="AM6" s="700" t="s">
        <v>325</v>
      </c>
      <c r="AN6" s="709"/>
      <c r="AO6" s="701"/>
      <c r="AP6" s="700" t="s">
        <v>326</v>
      </c>
      <c r="AQ6" s="709"/>
      <c r="AR6" s="701"/>
      <c r="AS6" s="700" t="s">
        <v>327</v>
      </c>
      <c r="AT6" s="709"/>
      <c r="AU6" s="701"/>
      <c r="AV6" s="700" t="s">
        <v>328</v>
      </c>
      <c r="AW6" s="709"/>
      <c r="AX6" s="701"/>
      <c r="AY6" s="706" t="s">
        <v>329</v>
      </c>
      <c r="AZ6" s="707"/>
      <c r="BA6" s="707"/>
      <c r="BB6" s="706" t="s">
        <v>330</v>
      </c>
      <c r="BC6" s="707"/>
      <c r="BD6" s="708"/>
      <c r="BE6" s="706" t="s">
        <v>331</v>
      </c>
      <c r="BF6" s="707"/>
      <c r="BG6" s="707"/>
      <c r="BH6" s="706" t="s">
        <v>332</v>
      </c>
      <c r="BI6" s="707"/>
      <c r="BJ6" s="708"/>
      <c r="BK6" s="706" t="s">
        <v>333</v>
      </c>
      <c r="BL6" s="707"/>
      <c r="BM6" s="707"/>
      <c r="BN6" s="706" t="s">
        <v>334</v>
      </c>
      <c r="BO6" s="707"/>
      <c r="BP6" s="708"/>
      <c r="BQ6" s="706" t="s">
        <v>335</v>
      </c>
      <c r="BR6" s="707"/>
      <c r="BS6" s="707"/>
      <c r="BT6" s="706" t="s">
        <v>336</v>
      </c>
      <c r="BU6" s="707"/>
      <c r="BV6" s="708"/>
      <c r="BW6" s="706" t="s">
        <v>337</v>
      </c>
      <c r="BX6" s="707"/>
      <c r="BY6" s="707"/>
      <c r="BZ6" s="706" t="s">
        <v>338</v>
      </c>
      <c r="CA6" s="707"/>
      <c r="CB6" s="708"/>
      <c r="CC6" s="706" t="s">
        <v>339</v>
      </c>
      <c r="CD6" s="707"/>
      <c r="CE6" s="707"/>
      <c r="CF6" s="706" t="s">
        <v>340</v>
      </c>
      <c r="CG6" s="707"/>
      <c r="CH6" s="708"/>
      <c r="CI6" s="706" t="s">
        <v>341</v>
      </c>
      <c r="CJ6" s="707"/>
      <c r="CK6" s="707"/>
      <c r="CL6" s="706" t="s">
        <v>342</v>
      </c>
      <c r="CM6" s="707"/>
      <c r="CN6" s="708"/>
      <c r="CO6" s="706" t="s">
        <v>343</v>
      </c>
      <c r="CP6" s="707"/>
      <c r="CQ6" s="707"/>
      <c r="CR6" s="706" t="s">
        <v>344</v>
      </c>
      <c r="CS6" s="707"/>
      <c r="CT6" s="708"/>
      <c r="CU6" s="706" t="s">
        <v>227</v>
      </c>
      <c r="CV6" s="707"/>
      <c r="CW6" s="707"/>
      <c r="CX6" s="706" t="s">
        <v>345</v>
      </c>
      <c r="CY6" s="707"/>
      <c r="CZ6" s="708"/>
      <c r="DA6" s="706" t="s">
        <v>346</v>
      </c>
      <c r="DB6" s="707"/>
      <c r="DC6" s="707"/>
      <c r="DD6" s="706" t="s">
        <v>347</v>
      </c>
      <c r="DE6" s="707"/>
      <c r="DF6" s="708"/>
      <c r="DG6" s="706" t="s">
        <v>348</v>
      </c>
      <c r="DH6" s="707"/>
      <c r="DI6" s="707"/>
      <c r="DJ6" s="706" t="s">
        <v>349</v>
      </c>
      <c r="DK6" s="707"/>
      <c r="DL6" s="708"/>
      <c r="DM6" s="706" t="s">
        <v>350</v>
      </c>
      <c r="DN6" s="707"/>
      <c r="DO6" s="707"/>
      <c r="DP6" s="706" t="s">
        <v>351</v>
      </c>
      <c r="DQ6" s="707"/>
      <c r="DR6" s="708"/>
      <c r="DS6" s="706" t="s">
        <v>352</v>
      </c>
      <c r="DT6" s="707"/>
      <c r="DU6" s="707"/>
      <c r="DV6" s="706" t="s">
        <v>353</v>
      </c>
      <c r="DW6" s="707"/>
      <c r="DX6" s="708"/>
      <c r="DY6" s="706" t="s">
        <v>354</v>
      </c>
      <c r="DZ6" s="707"/>
      <c r="EA6" s="707"/>
      <c r="EB6" s="706" t="s">
        <v>383</v>
      </c>
      <c r="EC6" s="707"/>
      <c r="ED6" s="708"/>
      <c r="EE6" s="706" t="s">
        <v>439</v>
      </c>
      <c r="EF6" s="707"/>
      <c r="EG6" s="707"/>
      <c r="EH6" s="706" t="s">
        <v>440</v>
      </c>
      <c r="EI6" s="707"/>
      <c r="EJ6" s="708"/>
      <c r="EK6" s="706" t="s">
        <v>441</v>
      </c>
      <c r="EL6" s="707"/>
      <c r="EM6" s="707"/>
      <c r="EN6" s="706"/>
      <c r="EO6" s="707"/>
      <c r="EP6" s="708"/>
      <c r="EQ6" s="706"/>
      <c r="ER6" s="707"/>
      <c r="ES6" s="707"/>
      <c r="ET6" s="706"/>
      <c r="EU6" s="707"/>
      <c r="EV6" s="708"/>
      <c r="EW6" s="706"/>
      <c r="EX6" s="707"/>
      <c r="EY6" s="707"/>
      <c r="EZ6" s="706"/>
      <c r="FA6" s="707"/>
      <c r="FB6" s="708"/>
      <c r="FC6" s="706"/>
      <c r="FD6" s="707"/>
      <c r="FE6" s="707"/>
      <c r="FF6" s="706"/>
      <c r="FG6" s="707"/>
      <c r="FH6" s="708"/>
      <c r="FI6" s="706"/>
      <c r="FJ6" s="707"/>
      <c r="FK6" s="707"/>
      <c r="FL6" s="706"/>
      <c r="FM6" s="707"/>
      <c r="FN6" s="708"/>
      <c r="FO6" s="706"/>
      <c r="FP6" s="707"/>
      <c r="FQ6" s="707"/>
      <c r="FR6" s="706"/>
      <c r="FS6" s="707"/>
      <c r="FT6" s="708"/>
      <c r="FU6" s="706"/>
      <c r="FV6" s="707"/>
      <c r="FW6" s="707"/>
      <c r="FX6" s="706"/>
      <c r="FY6" s="707"/>
      <c r="FZ6" s="708"/>
      <c r="GA6" s="706"/>
      <c r="GB6" s="707"/>
      <c r="GC6" s="707"/>
      <c r="GD6" s="706" t="s">
        <v>355</v>
      </c>
      <c r="GE6" s="707"/>
      <c r="GF6" s="708"/>
      <c r="GG6" s="706" t="s">
        <v>356</v>
      </c>
      <c r="GH6" s="707"/>
      <c r="GI6" s="707"/>
      <c r="GJ6" s="706" t="s">
        <v>357</v>
      </c>
      <c r="GK6" s="707"/>
      <c r="GL6" s="708"/>
      <c r="GM6" s="706" t="s">
        <v>358</v>
      </c>
      <c r="GN6" s="707"/>
      <c r="GO6" s="707"/>
      <c r="GP6" s="706" t="s">
        <v>359</v>
      </c>
      <c r="GQ6" s="707"/>
      <c r="GR6" s="708"/>
      <c r="GS6" s="706" t="s">
        <v>360</v>
      </c>
      <c r="GT6" s="707"/>
      <c r="GU6" s="707"/>
      <c r="GV6" s="706" t="s">
        <v>361</v>
      </c>
      <c r="GW6" s="707"/>
      <c r="GX6" s="708"/>
      <c r="GY6" s="706" t="s">
        <v>362</v>
      </c>
      <c r="GZ6" s="707"/>
      <c r="HA6" s="707"/>
      <c r="HB6" s="706" t="s">
        <v>338</v>
      </c>
      <c r="HC6" s="707"/>
      <c r="HD6" s="708"/>
      <c r="HE6" s="706" t="s">
        <v>353</v>
      </c>
      <c r="HF6" s="707"/>
      <c r="HG6" s="707"/>
      <c r="HH6" s="706" t="s">
        <v>352</v>
      </c>
      <c r="HI6" s="707"/>
      <c r="HJ6" s="708"/>
      <c r="HK6" s="706" t="s">
        <v>334</v>
      </c>
      <c r="HL6" s="707"/>
      <c r="HM6" s="707"/>
      <c r="HN6" s="706" t="s">
        <v>363</v>
      </c>
      <c r="HO6" s="707"/>
      <c r="HP6" s="708"/>
      <c r="HQ6" s="706" t="s">
        <v>227</v>
      </c>
      <c r="HR6" s="707"/>
      <c r="HS6" s="707"/>
      <c r="HT6" s="706" t="s">
        <v>364</v>
      </c>
      <c r="HU6" s="707"/>
      <c r="HV6" s="708"/>
      <c r="HW6" s="706" t="s">
        <v>365</v>
      </c>
      <c r="HX6" s="707"/>
      <c r="HY6" s="707"/>
      <c r="HZ6" s="706" t="s">
        <v>366</v>
      </c>
      <c r="IA6" s="707"/>
      <c r="IB6" s="708"/>
      <c r="IC6" s="706" t="s">
        <v>367</v>
      </c>
      <c r="ID6" s="707"/>
      <c r="IE6" s="707"/>
      <c r="IF6" s="706" t="s">
        <v>368</v>
      </c>
      <c r="IG6" s="707"/>
      <c r="IH6" s="708"/>
      <c r="II6" s="702" t="s">
        <v>340</v>
      </c>
      <c r="IJ6" s="702"/>
      <c r="IK6" s="702"/>
      <c r="IL6" s="706" t="s">
        <v>343</v>
      </c>
      <c r="IM6" s="707"/>
      <c r="IN6" s="708"/>
      <c r="IO6" s="706" t="s">
        <v>344</v>
      </c>
      <c r="IP6" s="707"/>
      <c r="IQ6" s="707"/>
      <c r="IR6" s="706" t="s">
        <v>339</v>
      </c>
      <c r="IS6" s="707"/>
      <c r="IT6" s="708"/>
      <c r="IU6" s="706" t="s">
        <v>369</v>
      </c>
      <c r="IV6" s="707"/>
      <c r="IW6" s="707"/>
      <c r="IX6" s="706" t="s">
        <v>346</v>
      </c>
      <c r="IY6" s="707"/>
      <c r="IZ6" s="708"/>
      <c r="JA6" s="706" t="s">
        <v>370</v>
      </c>
      <c r="JB6" s="707"/>
      <c r="JC6" s="707"/>
      <c r="JD6" s="706" t="s">
        <v>371</v>
      </c>
      <c r="JE6" s="707"/>
      <c r="JF6" s="708"/>
      <c r="JG6" s="706" t="s">
        <v>372</v>
      </c>
      <c r="JH6" s="707"/>
      <c r="JI6" s="707"/>
      <c r="JJ6" s="706" t="s">
        <v>384</v>
      </c>
      <c r="JK6" s="707"/>
      <c r="JL6" s="708"/>
      <c r="JM6" s="706"/>
      <c r="JN6" s="707"/>
      <c r="JO6" s="707"/>
      <c r="JP6" s="706"/>
      <c r="JQ6" s="707"/>
      <c r="JR6" s="708"/>
      <c r="JS6" s="706"/>
      <c r="JT6" s="707"/>
      <c r="JU6" s="707"/>
      <c r="JV6" s="706"/>
      <c r="JW6" s="707"/>
      <c r="JX6" s="708"/>
      <c r="JY6" s="706"/>
      <c r="JZ6" s="707"/>
      <c r="KA6" s="707"/>
      <c r="KB6" s="706"/>
      <c r="KC6" s="707"/>
      <c r="KD6" s="708"/>
      <c r="KE6" s="706"/>
      <c r="KF6" s="707"/>
      <c r="KG6" s="707"/>
      <c r="KH6" s="706"/>
      <c r="KI6" s="707"/>
      <c r="KJ6" s="708"/>
      <c r="KK6" s="706"/>
      <c r="KL6" s="707"/>
      <c r="KM6" s="707"/>
      <c r="KN6" s="706"/>
      <c r="KO6" s="707"/>
      <c r="KP6" s="708"/>
      <c r="KQ6" s="702"/>
      <c r="KR6" s="702"/>
      <c r="KS6" s="702"/>
      <c r="KT6" s="713"/>
      <c r="KU6" s="713"/>
    </row>
    <row r="7" spans="1:308">
      <c r="A7" s="715"/>
      <c r="B7" s="718"/>
      <c r="C7" s="718"/>
      <c r="D7" s="721"/>
      <c r="E7" s="724"/>
      <c r="F7" s="700" t="s">
        <v>134</v>
      </c>
      <c r="G7" s="701"/>
      <c r="H7" s="522" t="s">
        <v>373</v>
      </c>
      <c r="I7" s="700" t="s">
        <v>134</v>
      </c>
      <c r="J7" s="701"/>
      <c r="K7" s="522" t="s">
        <v>373</v>
      </c>
      <c r="L7" s="700" t="s">
        <v>134</v>
      </c>
      <c r="M7" s="701"/>
      <c r="N7" s="522" t="s">
        <v>373</v>
      </c>
      <c r="O7" s="700" t="s">
        <v>134</v>
      </c>
      <c r="P7" s="701"/>
      <c r="Q7" s="522" t="s">
        <v>373</v>
      </c>
      <c r="R7" s="700" t="s">
        <v>134</v>
      </c>
      <c r="S7" s="701"/>
      <c r="T7" s="522" t="s">
        <v>373</v>
      </c>
      <c r="U7" s="700" t="s">
        <v>134</v>
      </c>
      <c r="V7" s="701"/>
      <c r="W7" s="522" t="s">
        <v>373</v>
      </c>
      <c r="X7" s="700" t="s">
        <v>134</v>
      </c>
      <c r="Y7" s="701"/>
      <c r="Z7" s="522" t="s">
        <v>373</v>
      </c>
      <c r="AA7" s="700" t="s">
        <v>134</v>
      </c>
      <c r="AB7" s="701"/>
      <c r="AC7" s="522" t="s">
        <v>373</v>
      </c>
      <c r="AD7" s="700" t="s">
        <v>134</v>
      </c>
      <c r="AE7" s="701"/>
      <c r="AF7" s="522" t="s">
        <v>373</v>
      </c>
      <c r="AG7" s="700" t="s">
        <v>134</v>
      </c>
      <c r="AH7" s="701"/>
      <c r="AI7" s="522" t="s">
        <v>373</v>
      </c>
      <c r="AJ7" s="700" t="s">
        <v>134</v>
      </c>
      <c r="AK7" s="701"/>
      <c r="AL7" s="522" t="s">
        <v>373</v>
      </c>
      <c r="AM7" s="700" t="s">
        <v>134</v>
      </c>
      <c r="AN7" s="701"/>
      <c r="AO7" s="522" t="s">
        <v>373</v>
      </c>
      <c r="AP7" s="700" t="s">
        <v>134</v>
      </c>
      <c r="AQ7" s="701"/>
      <c r="AR7" s="522" t="s">
        <v>373</v>
      </c>
      <c r="AS7" s="700" t="s">
        <v>134</v>
      </c>
      <c r="AT7" s="701"/>
      <c r="AU7" s="522" t="s">
        <v>373</v>
      </c>
      <c r="AV7" s="700" t="s">
        <v>134</v>
      </c>
      <c r="AW7" s="701"/>
      <c r="AX7" s="522" t="s">
        <v>373</v>
      </c>
      <c r="AY7" s="700" t="s">
        <v>134</v>
      </c>
      <c r="AZ7" s="701"/>
      <c r="BA7" s="522" t="s">
        <v>373</v>
      </c>
      <c r="BB7" s="700" t="s">
        <v>134</v>
      </c>
      <c r="BC7" s="701"/>
      <c r="BD7" s="522" t="s">
        <v>373</v>
      </c>
      <c r="BE7" s="700" t="s">
        <v>134</v>
      </c>
      <c r="BF7" s="701"/>
      <c r="BG7" s="522" t="s">
        <v>373</v>
      </c>
      <c r="BH7" s="700" t="s">
        <v>134</v>
      </c>
      <c r="BI7" s="701"/>
      <c r="BJ7" s="522" t="s">
        <v>373</v>
      </c>
      <c r="BK7" s="700" t="s">
        <v>134</v>
      </c>
      <c r="BL7" s="701"/>
      <c r="BM7" s="522" t="s">
        <v>373</v>
      </c>
      <c r="BN7" s="700" t="s">
        <v>134</v>
      </c>
      <c r="BO7" s="701"/>
      <c r="BP7" s="522" t="s">
        <v>373</v>
      </c>
      <c r="BQ7" s="700" t="s">
        <v>134</v>
      </c>
      <c r="BR7" s="701"/>
      <c r="BS7" s="522" t="s">
        <v>373</v>
      </c>
      <c r="BT7" s="700" t="s">
        <v>134</v>
      </c>
      <c r="BU7" s="701"/>
      <c r="BV7" s="522" t="s">
        <v>373</v>
      </c>
      <c r="BW7" s="700" t="s">
        <v>134</v>
      </c>
      <c r="BX7" s="701"/>
      <c r="BY7" s="522" t="s">
        <v>373</v>
      </c>
      <c r="BZ7" s="700" t="s">
        <v>134</v>
      </c>
      <c r="CA7" s="701"/>
      <c r="CB7" s="522" t="s">
        <v>373</v>
      </c>
      <c r="CC7" s="700" t="s">
        <v>134</v>
      </c>
      <c r="CD7" s="701"/>
      <c r="CE7" s="522" t="s">
        <v>373</v>
      </c>
      <c r="CF7" s="700" t="s">
        <v>134</v>
      </c>
      <c r="CG7" s="701"/>
      <c r="CH7" s="522" t="s">
        <v>373</v>
      </c>
      <c r="CI7" s="700" t="s">
        <v>134</v>
      </c>
      <c r="CJ7" s="701"/>
      <c r="CK7" s="522" t="s">
        <v>373</v>
      </c>
      <c r="CL7" s="700" t="s">
        <v>134</v>
      </c>
      <c r="CM7" s="701"/>
      <c r="CN7" s="522" t="s">
        <v>373</v>
      </c>
      <c r="CO7" s="700" t="s">
        <v>134</v>
      </c>
      <c r="CP7" s="701"/>
      <c r="CQ7" s="522" t="s">
        <v>373</v>
      </c>
      <c r="CR7" s="700" t="s">
        <v>134</v>
      </c>
      <c r="CS7" s="701"/>
      <c r="CT7" s="522" t="s">
        <v>373</v>
      </c>
      <c r="CU7" s="700" t="s">
        <v>134</v>
      </c>
      <c r="CV7" s="701"/>
      <c r="CW7" s="522" t="s">
        <v>373</v>
      </c>
      <c r="CX7" s="700" t="s">
        <v>134</v>
      </c>
      <c r="CY7" s="701"/>
      <c r="CZ7" s="522" t="s">
        <v>373</v>
      </c>
      <c r="DA7" s="700" t="s">
        <v>134</v>
      </c>
      <c r="DB7" s="701"/>
      <c r="DC7" s="522" t="s">
        <v>373</v>
      </c>
      <c r="DD7" s="700" t="s">
        <v>134</v>
      </c>
      <c r="DE7" s="701"/>
      <c r="DF7" s="522" t="s">
        <v>373</v>
      </c>
      <c r="DG7" s="700" t="s">
        <v>134</v>
      </c>
      <c r="DH7" s="701"/>
      <c r="DI7" s="522" t="s">
        <v>373</v>
      </c>
      <c r="DJ7" s="700" t="s">
        <v>134</v>
      </c>
      <c r="DK7" s="701"/>
      <c r="DL7" s="522" t="s">
        <v>373</v>
      </c>
      <c r="DM7" s="700" t="s">
        <v>134</v>
      </c>
      <c r="DN7" s="701"/>
      <c r="DO7" s="522" t="s">
        <v>373</v>
      </c>
      <c r="DP7" s="700" t="s">
        <v>134</v>
      </c>
      <c r="DQ7" s="701"/>
      <c r="DR7" s="522" t="s">
        <v>373</v>
      </c>
      <c r="DS7" s="700" t="s">
        <v>134</v>
      </c>
      <c r="DT7" s="701"/>
      <c r="DU7" s="522" t="s">
        <v>373</v>
      </c>
      <c r="DV7" s="700" t="s">
        <v>134</v>
      </c>
      <c r="DW7" s="701"/>
      <c r="DX7" s="522" t="s">
        <v>373</v>
      </c>
      <c r="DY7" s="700" t="s">
        <v>134</v>
      </c>
      <c r="DZ7" s="701"/>
      <c r="EA7" s="522" t="s">
        <v>373</v>
      </c>
      <c r="EB7" s="700" t="s">
        <v>134</v>
      </c>
      <c r="EC7" s="701"/>
      <c r="ED7" s="522" t="s">
        <v>373</v>
      </c>
      <c r="EE7" s="700" t="s">
        <v>134</v>
      </c>
      <c r="EF7" s="701"/>
      <c r="EG7" s="522" t="s">
        <v>373</v>
      </c>
      <c r="EH7" s="700" t="s">
        <v>134</v>
      </c>
      <c r="EI7" s="701"/>
      <c r="EJ7" s="522" t="s">
        <v>373</v>
      </c>
      <c r="EK7" s="700" t="s">
        <v>134</v>
      </c>
      <c r="EL7" s="701"/>
      <c r="EM7" s="522" t="s">
        <v>373</v>
      </c>
      <c r="EN7" s="700" t="s">
        <v>134</v>
      </c>
      <c r="EO7" s="701"/>
      <c r="EP7" s="522" t="s">
        <v>373</v>
      </c>
      <c r="EQ7" s="700" t="s">
        <v>134</v>
      </c>
      <c r="ER7" s="701"/>
      <c r="ES7" s="522" t="s">
        <v>373</v>
      </c>
      <c r="ET7" s="700" t="s">
        <v>134</v>
      </c>
      <c r="EU7" s="701"/>
      <c r="EV7" s="522" t="s">
        <v>373</v>
      </c>
      <c r="EW7" s="700" t="s">
        <v>134</v>
      </c>
      <c r="EX7" s="701"/>
      <c r="EY7" s="522" t="s">
        <v>373</v>
      </c>
      <c r="EZ7" s="700" t="s">
        <v>134</v>
      </c>
      <c r="FA7" s="701"/>
      <c r="FB7" s="522" t="s">
        <v>373</v>
      </c>
      <c r="FC7" s="700" t="s">
        <v>134</v>
      </c>
      <c r="FD7" s="701"/>
      <c r="FE7" s="522" t="s">
        <v>373</v>
      </c>
      <c r="FF7" s="700" t="s">
        <v>134</v>
      </c>
      <c r="FG7" s="701"/>
      <c r="FH7" s="522" t="s">
        <v>373</v>
      </c>
      <c r="FI7" s="700" t="s">
        <v>134</v>
      </c>
      <c r="FJ7" s="701"/>
      <c r="FK7" s="522" t="s">
        <v>373</v>
      </c>
      <c r="FL7" s="700" t="s">
        <v>134</v>
      </c>
      <c r="FM7" s="701"/>
      <c r="FN7" s="522" t="s">
        <v>373</v>
      </c>
      <c r="FO7" s="700" t="s">
        <v>134</v>
      </c>
      <c r="FP7" s="701"/>
      <c r="FQ7" s="522" t="s">
        <v>373</v>
      </c>
      <c r="FR7" s="700" t="s">
        <v>134</v>
      </c>
      <c r="FS7" s="701"/>
      <c r="FT7" s="522" t="s">
        <v>373</v>
      </c>
      <c r="FU7" s="700" t="s">
        <v>134</v>
      </c>
      <c r="FV7" s="701"/>
      <c r="FW7" s="522" t="s">
        <v>373</v>
      </c>
      <c r="FX7" s="700" t="s">
        <v>134</v>
      </c>
      <c r="FY7" s="701"/>
      <c r="FZ7" s="522" t="s">
        <v>373</v>
      </c>
      <c r="GA7" s="700" t="s">
        <v>134</v>
      </c>
      <c r="GB7" s="701"/>
      <c r="GC7" s="522" t="s">
        <v>373</v>
      </c>
      <c r="GD7" s="700" t="s">
        <v>134</v>
      </c>
      <c r="GE7" s="701"/>
      <c r="GF7" s="522" t="s">
        <v>373</v>
      </c>
      <c r="GG7" s="700" t="s">
        <v>134</v>
      </c>
      <c r="GH7" s="701"/>
      <c r="GI7" s="522" t="s">
        <v>373</v>
      </c>
      <c r="GJ7" s="700" t="s">
        <v>134</v>
      </c>
      <c r="GK7" s="701"/>
      <c r="GL7" s="522" t="s">
        <v>373</v>
      </c>
      <c r="GM7" s="700" t="s">
        <v>134</v>
      </c>
      <c r="GN7" s="701"/>
      <c r="GO7" s="522" t="s">
        <v>373</v>
      </c>
      <c r="GP7" s="700" t="s">
        <v>134</v>
      </c>
      <c r="GQ7" s="701"/>
      <c r="GR7" s="522" t="s">
        <v>373</v>
      </c>
      <c r="GS7" s="700" t="s">
        <v>134</v>
      </c>
      <c r="GT7" s="701"/>
      <c r="GU7" s="522" t="s">
        <v>373</v>
      </c>
      <c r="GV7" s="700" t="s">
        <v>134</v>
      </c>
      <c r="GW7" s="701"/>
      <c r="GX7" s="522" t="s">
        <v>373</v>
      </c>
      <c r="GY7" s="700" t="s">
        <v>134</v>
      </c>
      <c r="GZ7" s="701"/>
      <c r="HA7" s="522" t="s">
        <v>373</v>
      </c>
      <c r="HB7" s="700" t="s">
        <v>134</v>
      </c>
      <c r="HC7" s="701"/>
      <c r="HD7" s="522" t="s">
        <v>373</v>
      </c>
      <c r="HE7" s="700" t="s">
        <v>134</v>
      </c>
      <c r="HF7" s="701"/>
      <c r="HG7" s="522" t="s">
        <v>373</v>
      </c>
      <c r="HH7" s="700" t="s">
        <v>134</v>
      </c>
      <c r="HI7" s="701"/>
      <c r="HJ7" s="522" t="s">
        <v>373</v>
      </c>
      <c r="HK7" s="700" t="s">
        <v>134</v>
      </c>
      <c r="HL7" s="701"/>
      <c r="HM7" s="522" t="s">
        <v>373</v>
      </c>
      <c r="HN7" s="700" t="s">
        <v>134</v>
      </c>
      <c r="HO7" s="701"/>
      <c r="HP7" s="522" t="s">
        <v>373</v>
      </c>
      <c r="HQ7" s="700" t="s">
        <v>134</v>
      </c>
      <c r="HR7" s="701"/>
      <c r="HS7" s="522" t="s">
        <v>373</v>
      </c>
      <c r="HT7" s="700" t="s">
        <v>134</v>
      </c>
      <c r="HU7" s="701"/>
      <c r="HV7" s="522" t="s">
        <v>373</v>
      </c>
      <c r="HW7" s="700" t="s">
        <v>134</v>
      </c>
      <c r="HX7" s="701"/>
      <c r="HY7" s="522" t="s">
        <v>373</v>
      </c>
      <c r="HZ7" s="700" t="s">
        <v>134</v>
      </c>
      <c r="IA7" s="701"/>
      <c r="IB7" s="522" t="s">
        <v>373</v>
      </c>
      <c r="IC7" s="700" t="s">
        <v>134</v>
      </c>
      <c r="ID7" s="701"/>
      <c r="IE7" s="522" t="s">
        <v>373</v>
      </c>
      <c r="IF7" s="700" t="s">
        <v>134</v>
      </c>
      <c r="IG7" s="701"/>
      <c r="IH7" s="522" t="s">
        <v>373</v>
      </c>
      <c r="II7" s="702" t="s">
        <v>134</v>
      </c>
      <c r="IJ7" s="702"/>
      <c r="IK7" s="523" t="s">
        <v>373</v>
      </c>
      <c r="IL7" s="700" t="s">
        <v>134</v>
      </c>
      <c r="IM7" s="701"/>
      <c r="IN7" s="522" t="s">
        <v>373</v>
      </c>
      <c r="IO7" s="700" t="s">
        <v>134</v>
      </c>
      <c r="IP7" s="701"/>
      <c r="IQ7" s="522" t="s">
        <v>373</v>
      </c>
      <c r="IR7" s="700" t="s">
        <v>134</v>
      </c>
      <c r="IS7" s="701"/>
      <c r="IT7" s="522" t="s">
        <v>373</v>
      </c>
      <c r="IU7" s="700" t="s">
        <v>134</v>
      </c>
      <c r="IV7" s="701"/>
      <c r="IW7" s="522" t="s">
        <v>373</v>
      </c>
      <c r="IX7" s="700" t="s">
        <v>134</v>
      </c>
      <c r="IY7" s="701"/>
      <c r="IZ7" s="522" t="s">
        <v>373</v>
      </c>
      <c r="JA7" s="700" t="s">
        <v>134</v>
      </c>
      <c r="JB7" s="701"/>
      <c r="JC7" s="522" t="s">
        <v>373</v>
      </c>
      <c r="JD7" s="700" t="s">
        <v>134</v>
      </c>
      <c r="JE7" s="701"/>
      <c r="JF7" s="522" t="s">
        <v>373</v>
      </c>
      <c r="JG7" s="700" t="s">
        <v>134</v>
      </c>
      <c r="JH7" s="701"/>
      <c r="JI7" s="522" t="s">
        <v>373</v>
      </c>
      <c r="JJ7" s="700" t="s">
        <v>134</v>
      </c>
      <c r="JK7" s="701"/>
      <c r="JL7" s="522" t="s">
        <v>373</v>
      </c>
      <c r="JM7" s="700" t="s">
        <v>134</v>
      </c>
      <c r="JN7" s="701"/>
      <c r="JO7" s="522" t="s">
        <v>373</v>
      </c>
      <c r="JP7" s="700" t="s">
        <v>134</v>
      </c>
      <c r="JQ7" s="701"/>
      <c r="JR7" s="522" t="s">
        <v>373</v>
      </c>
      <c r="JS7" s="700" t="s">
        <v>134</v>
      </c>
      <c r="JT7" s="701"/>
      <c r="JU7" s="522" t="s">
        <v>373</v>
      </c>
      <c r="JV7" s="700" t="s">
        <v>134</v>
      </c>
      <c r="JW7" s="701"/>
      <c r="JX7" s="522" t="s">
        <v>373</v>
      </c>
      <c r="JY7" s="700" t="s">
        <v>134</v>
      </c>
      <c r="JZ7" s="701"/>
      <c r="KA7" s="522" t="s">
        <v>373</v>
      </c>
      <c r="KB7" s="700" t="s">
        <v>134</v>
      </c>
      <c r="KC7" s="701"/>
      <c r="KD7" s="522" t="s">
        <v>373</v>
      </c>
      <c r="KE7" s="700" t="s">
        <v>134</v>
      </c>
      <c r="KF7" s="701"/>
      <c r="KG7" s="522" t="s">
        <v>373</v>
      </c>
      <c r="KH7" s="700" t="s">
        <v>134</v>
      </c>
      <c r="KI7" s="701"/>
      <c r="KJ7" s="522" t="s">
        <v>373</v>
      </c>
      <c r="KK7" s="700" t="s">
        <v>134</v>
      </c>
      <c r="KL7" s="701"/>
      <c r="KM7" s="522" t="s">
        <v>373</v>
      </c>
      <c r="KN7" s="700" t="s">
        <v>134</v>
      </c>
      <c r="KO7" s="701"/>
      <c r="KP7" s="522" t="s">
        <v>373</v>
      </c>
      <c r="KQ7" s="702" t="s">
        <v>134</v>
      </c>
      <c r="KR7" s="702"/>
      <c r="KS7" s="523" t="s">
        <v>373</v>
      </c>
      <c r="KT7" s="713"/>
      <c r="KU7" s="713"/>
    </row>
    <row r="8" spans="1:308" ht="13.5" thickBot="1">
      <c r="A8" s="716"/>
      <c r="B8" s="719"/>
      <c r="C8" s="719"/>
      <c r="D8" s="722"/>
      <c r="E8" s="725"/>
      <c r="F8" s="537" t="s">
        <v>136</v>
      </c>
      <c r="G8" s="537" t="s">
        <v>40</v>
      </c>
      <c r="H8" s="538"/>
      <c r="I8" s="537" t="s">
        <v>136</v>
      </c>
      <c r="J8" s="537" t="s">
        <v>40</v>
      </c>
      <c r="K8" s="538"/>
      <c r="L8" s="537" t="s">
        <v>136</v>
      </c>
      <c r="M8" s="537" t="s">
        <v>40</v>
      </c>
      <c r="N8" s="538"/>
      <c r="O8" s="537" t="s">
        <v>136</v>
      </c>
      <c r="P8" s="537" t="s">
        <v>40</v>
      </c>
      <c r="Q8" s="538"/>
      <c r="R8" s="537" t="s">
        <v>136</v>
      </c>
      <c r="S8" s="537" t="s">
        <v>40</v>
      </c>
      <c r="T8" s="538"/>
      <c r="U8" s="537" t="s">
        <v>136</v>
      </c>
      <c r="V8" s="537" t="s">
        <v>40</v>
      </c>
      <c r="W8" s="538"/>
      <c r="X8" s="537" t="s">
        <v>136</v>
      </c>
      <c r="Y8" s="537" t="s">
        <v>40</v>
      </c>
      <c r="Z8" s="538"/>
      <c r="AA8" s="537" t="s">
        <v>136</v>
      </c>
      <c r="AB8" s="537" t="s">
        <v>40</v>
      </c>
      <c r="AC8" s="538"/>
      <c r="AD8" s="537" t="s">
        <v>136</v>
      </c>
      <c r="AE8" s="537" t="s">
        <v>40</v>
      </c>
      <c r="AF8" s="538"/>
      <c r="AG8" s="537" t="s">
        <v>136</v>
      </c>
      <c r="AH8" s="537" t="s">
        <v>40</v>
      </c>
      <c r="AI8" s="538"/>
      <c r="AJ8" s="537" t="s">
        <v>136</v>
      </c>
      <c r="AK8" s="537" t="s">
        <v>40</v>
      </c>
      <c r="AL8" s="538"/>
      <c r="AM8" s="537" t="s">
        <v>136</v>
      </c>
      <c r="AN8" s="537" t="s">
        <v>40</v>
      </c>
      <c r="AO8" s="538"/>
      <c r="AP8" s="537" t="s">
        <v>136</v>
      </c>
      <c r="AQ8" s="537" t="s">
        <v>40</v>
      </c>
      <c r="AR8" s="538"/>
      <c r="AS8" s="537" t="s">
        <v>136</v>
      </c>
      <c r="AT8" s="537" t="s">
        <v>40</v>
      </c>
      <c r="AU8" s="538"/>
      <c r="AV8" s="537" t="s">
        <v>136</v>
      </c>
      <c r="AW8" s="537" t="s">
        <v>40</v>
      </c>
      <c r="AX8" s="538"/>
      <c r="AY8" s="537" t="s">
        <v>136</v>
      </c>
      <c r="AZ8" s="537" t="s">
        <v>40</v>
      </c>
      <c r="BA8" s="538"/>
      <c r="BB8" s="537" t="s">
        <v>136</v>
      </c>
      <c r="BC8" s="537" t="s">
        <v>40</v>
      </c>
      <c r="BD8" s="538"/>
      <c r="BE8" s="537" t="s">
        <v>136</v>
      </c>
      <c r="BF8" s="537" t="s">
        <v>40</v>
      </c>
      <c r="BG8" s="538"/>
      <c r="BH8" s="537" t="s">
        <v>136</v>
      </c>
      <c r="BI8" s="537" t="s">
        <v>40</v>
      </c>
      <c r="BJ8" s="538"/>
      <c r="BK8" s="537" t="s">
        <v>136</v>
      </c>
      <c r="BL8" s="537" t="s">
        <v>40</v>
      </c>
      <c r="BM8" s="538"/>
      <c r="BN8" s="537" t="s">
        <v>136</v>
      </c>
      <c r="BO8" s="537" t="s">
        <v>40</v>
      </c>
      <c r="BP8" s="538"/>
      <c r="BQ8" s="537" t="s">
        <v>136</v>
      </c>
      <c r="BR8" s="537" t="s">
        <v>40</v>
      </c>
      <c r="BS8" s="538"/>
      <c r="BT8" s="537" t="s">
        <v>136</v>
      </c>
      <c r="BU8" s="537" t="s">
        <v>40</v>
      </c>
      <c r="BV8" s="538"/>
      <c r="BW8" s="537" t="s">
        <v>136</v>
      </c>
      <c r="BX8" s="537" t="s">
        <v>40</v>
      </c>
      <c r="BY8" s="538"/>
      <c r="BZ8" s="537" t="s">
        <v>136</v>
      </c>
      <c r="CA8" s="537" t="s">
        <v>40</v>
      </c>
      <c r="CB8" s="538"/>
      <c r="CC8" s="537" t="s">
        <v>136</v>
      </c>
      <c r="CD8" s="537" t="s">
        <v>40</v>
      </c>
      <c r="CE8" s="538"/>
      <c r="CF8" s="537" t="s">
        <v>136</v>
      </c>
      <c r="CG8" s="537" t="s">
        <v>40</v>
      </c>
      <c r="CH8" s="538"/>
      <c r="CI8" s="537" t="s">
        <v>136</v>
      </c>
      <c r="CJ8" s="537" t="s">
        <v>40</v>
      </c>
      <c r="CK8" s="538"/>
      <c r="CL8" s="537" t="s">
        <v>136</v>
      </c>
      <c r="CM8" s="537" t="s">
        <v>40</v>
      </c>
      <c r="CN8" s="538"/>
      <c r="CO8" s="537" t="s">
        <v>136</v>
      </c>
      <c r="CP8" s="537" t="s">
        <v>40</v>
      </c>
      <c r="CQ8" s="538"/>
      <c r="CR8" s="537" t="s">
        <v>136</v>
      </c>
      <c r="CS8" s="537" t="s">
        <v>40</v>
      </c>
      <c r="CT8" s="538"/>
      <c r="CU8" s="537" t="s">
        <v>136</v>
      </c>
      <c r="CV8" s="537" t="s">
        <v>40</v>
      </c>
      <c r="CW8" s="538"/>
      <c r="CX8" s="537" t="s">
        <v>136</v>
      </c>
      <c r="CY8" s="537" t="s">
        <v>40</v>
      </c>
      <c r="CZ8" s="538"/>
      <c r="DA8" s="537" t="s">
        <v>136</v>
      </c>
      <c r="DB8" s="537" t="s">
        <v>40</v>
      </c>
      <c r="DC8" s="538"/>
      <c r="DD8" s="537" t="s">
        <v>136</v>
      </c>
      <c r="DE8" s="537" t="s">
        <v>40</v>
      </c>
      <c r="DF8" s="538"/>
      <c r="DG8" s="537" t="s">
        <v>136</v>
      </c>
      <c r="DH8" s="537" t="s">
        <v>40</v>
      </c>
      <c r="DI8" s="538"/>
      <c r="DJ8" s="537" t="s">
        <v>136</v>
      </c>
      <c r="DK8" s="537" t="s">
        <v>40</v>
      </c>
      <c r="DL8" s="538"/>
      <c r="DM8" s="537" t="s">
        <v>136</v>
      </c>
      <c r="DN8" s="537" t="s">
        <v>40</v>
      </c>
      <c r="DO8" s="538"/>
      <c r="DP8" s="537" t="s">
        <v>136</v>
      </c>
      <c r="DQ8" s="537" t="s">
        <v>40</v>
      </c>
      <c r="DR8" s="538"/>
      <c r="DS8" s="537" t="s">
        <v>136</v>
      </c>
      <c r="DT8" s="537" t="s">
        <v>40</v>
      </c>
      <c r="DU8" s="538"/>
      <c r="DV8" s="537" t="s">
        <v>136</v>
      </c>
      <c r="DW8" s="537" t="s">
        <v>40</v>
      </c>
      <c r="DX8" s="538"/>
      <c r="DY8" s="537" t="s">
        <v>136</v>
      </c>
      <c r="DZ8" s="537" t="s">
        <v>40</v>
      </c>
      <c r="EA8" s="538"/>
      <c r="EB8" s="537" t="s">
        <v>136</v>
      </c>
      <c r="EC8" s="537" t="s">
        <v>40</v>
      </c>
      <c r="ED8" s="522"/>
      <c r="EE8" s="537" t="s">
        <v>136</v>
      </c>
      <c r="EF8" s="537" t="s">
        <v>40</v>
      </c>
      <c r="EG8" s="538"/>
      <c r="EH8" s="537" t="s">
        <v>136</v>
      </c>
      <c r="EI8" s="537" t="s">
        <v>40</v>
      </c>
      <c r="EJ8" s="538"/>
      <c r="EK8" s="537" t="s">
        <v>136</v>
      </c>
      <c r="EL8" s="537" t="s">
        <v>40</v>
      </c>
      <c r="EM8" s="538"/>
      <c r="EN8" s="537" t="s">
        <v>136</v>
      </c>
      <c r="EO8" s="537" t="s">
        <v>40</v>
      </c>
      <c r="EP8" s="538"/>
      <c r="EQ8" s="537" t="s">
        <v>136</v>
      </c>
      <c r="ER8" s="537" t="s">
        <v>40</v>
      </c>
      <c r="ES8" s="538"/>
      <c r="ET8" s="537" t="s">
        <v>136</v>
      </c>
      <c r="EU8" s="537" t="s">
        <v>40</v>
      </c>
      <c r="EV8" s="538"/>
      <c r="EW8" s="537" t="s">
        <v>136</v>
      </c>
      <c r="EX8" s="537" t="s">
        <v>40</v>
      </c>
      <c r="EY8" s="538"/>
      <c r="EZ8" s="537" t="s">
        <v>136</v>
      </c>
      <c r="FA8" s="537" t="s">
        <v>40</v>
      </c>
      <c r="FB8" s="538"/>
      <c r="FC8" s="537" t="s">
        <v>136</v>
      </c>
      <c r="FD8" s="537" t="s">
        <v>40</v>
      </c>
      <c r="FE8" s="538"/>
      <c r="FF8" s="537" t="s">
        <v>136</v>
      </c>
      <c r="FG8" s="537" t="s">
        <v>40</v>
      </c>
      <c r="FH8" s="538"/>
      <c r="FI8" s="537" t="s">
        <v>136</v>
      </c>
      <c r="FJ8" s="537" t="s">
        <v>40</v>
      </c>
      <c r="FK8" s="538"/>
      <c r="FL8" s="537" t="s">
        <v>136</v>
      </c>
      <c r="FM8" s="537" t="s">
        <v>40</v>
      </c>
      <c r="FN8" s="538"/>
      <c r="FO8" s="537" t="s">
        <v>136</v>
      </c>
      <c r="FP8" s="537" t="s">
        <v>40</v>
      </c>
      <c r="FQ8" s="538"/>
      <c r="FR8" s="537" t="s">
        <v>136</v>
      </c>
      <c r="FS8" s="537" t="s">
        <v>40</v>
      </c>
      <c r="FT8" s="538"/>
      <c r="FU8" s="537" t="s">
        <v>136</v>
      </c>
      <c r="FV8" s="537" t="s">
        <v>40</v>
      </c>
      <c r="FW8" s="538"/>
      <c r="FX8" s="537" t="s">
        <v>136</v>
      </c>
      <c r="FY8" s="537" t="s">
        <v>40</v>
      </c>
      <c r="FZ8" s="538"/>
      <c r="GA8" s="537" t="s">
        <v>136</v>
      </c>
      <c r="GB8" s="537" t="s">
        <v>40</v>
      </c>
      <c r="GC8" s="538"/>
      <c r="GD8" s="537" t="s">
        <v>136</v>
      </c>
      <c r="GE8" s="537" t="s">
        <v>40</v>
      </c>
      <c r="GF8" s="538"/>
      <c r="GG8" s="537" t="s">
        <v>136</v>
      </c>
      <c r="GH8" s="537" t="s">
        <v>40</v>
      </c>
      <c r="GI8" s="538"/>
      <c r="GJ8" s="537" t="s">
        <v>136</v>
      </c>
      <c r="GK8" s="537" t="s">
        <v>40</v>
      </c>
      <c r="GL8" s="538"/>
      <c r="GM8" s="537" t="s">
        <v>136</v>
      </c>
      <c r="GN8" s="537" t="s">
        <v>40</v>
      </c>
      <c r="GO8" s="538"/>
      <c r="GP8" s="537" t="s">
        <v>136</v>
      </c>
      <c r="GQ8" s="537" t="s">
        <v>40</v>
      </c>
      <c r="GR8" s="538"/>
      <c r="GS8" s="537" t="s">
        <v>136</v>
      </c>
      <c r="GT8" s="537" t="s">
        <v>40</v>
      </c>
      <c r="GU8" s="538"/>
      <c r="GV8" s="537" t="s">
        <v>136</v>
      </c>
      <c r="GW8" s="537" t="s">
        <v>40</v>
      </c>
      <c r="GX8" s="538"/>
      <c r="GY8" s="537" t="s">
        <v>136</v>
      </c>
      <c r="GZ8" s="537" t="s">
        <v>40</v>
      </c>
      <c r="HA8" s="538"/>
      <c r="HB8" s="537" t="s">
        <v>136</v>
      </c>
      <c r="HC8" s="537" t="s">
        <v>40</v>
      </c>
      <c r="HD8" s="538"/>
      <c r="HE8" s="537" t="s">
        <v>136</v>
      </c>
      <c r="HF8" s="537" t="s">
        <v>40</v>
      </c>
      <c r="HG8" s="538"/>
      <c r="HH8" s="537" t="s">
        <v>136</v>
      </c>
      <c r="HI8" s="537" t="s">
        <v>40</v>
      </c>
      <c r="HJ8" s="538"/>
      <c r="HK8" s="537" t="s">
        <v>136</v>
      </c>
      <c r="HL8" s="537" t="s">
        <v>40</v>
      </c>
      <c r="HM8" s="538"/>
      <c r="HN8" s="537" t="s">
        <v>136</v>
      </c>
      <c r="HO8" s="537" t="s">
        <v>40</v>
      </c>
      <c r="HP8" s="538"/>
      <c r="HQ8" s="537" t="s">
        <v>136</v>
      </c>
      <c r="HR8" s="537" t="s">
        <v>40</v>
      </c>
      <c r="HS8" s="538"/>
      <c r="HT8" s="537" t="s">
        <v>136</v>
      </c>
      <c r="HU8" s="537" t="s">
        <v>40</v>
      </c>
      <c r="HV8" s="538"/>
      <c r="HW8" s="537" t="s">
        <v>136</v>
      </c>
      <c r="HX8" s="537" t="s">
        <v>40</v>
      </c>
      <c r="HY8" s="538"/>
      <c r="HZ8" s="537" t="s">
        <v>136</v>
      </c>
      <c r="IA8" s="537" t="s">
        <v>40</v>
      </c>
      <c r="IB8" s="538"/>
      <c r="IC8" s="537" t="s">
        <v>136</v>
      </c>
      <c r="ID8" s="537" t="s">
        <v>40</v>
      </c>
      <c r="IE8" s="538"/>
      <c r="IF8" s="537" t="s">
        <v>136</v>
      </c>
      <c r="IG8" s="537" t="s">
        <v>40</v>
      </c>
      <c r="IH8" s="538"/>
      <c r="II8" s="537" t="s">
        <v>136</v>
      </c>
      <c r="IJ8" s="537" t="s">
        <v>40</v>
      </c>
      <c r="IK8" s="538"/>
      <c r="IL8" s="537" t="s">
        <v>136</v>
      </c>
      <c r="IM8" s="537" t="s">
        <v>40</v>
      </c>
      <c r="IN8" s="538"/>
      <c r="IO8" s="537" t="s">
        <v>136</v>
      </c>
      <c r="IP8" s="537" t="s">
        <v>40</v>
      </c>
      <c r="IQ8" s="538"/>
      <c r="IR8" s="537" t="s">
        <v>136</v>
      </c>
      <c r="IS8" s="537" t="s">
        <v>40</v>
      </c>
      <c r="IT8" s="538"/>
      <c r="IU8" s="537" t="s">
        <v>136</v>
      </c>
      <c r="IV8" s="537" t="s">
        <v>40</v>
      </c>
      <c r="IW8" s="538"/>
      <c r="IX8" s="537" t="s">
        <v>136</v>
      </c>
      <c r="IY8" s="537" t="s">
        <v>40</v>
      </c>
      <c r="IZ8" s="538"/>
      <c r="JA8" s="537" t="s">
        <v>136</v>
      </c>
      <c r="JB8" s="537" t="s">
        <v>40</v>
      </c>
      <c r="JC8" s="538"/>
      <c r="JD8" s="537" t="s">
        <v>136</v>
      </c>
      <c r="JE8" s="537" t="s">
        <v>40</v>
      </c>
      <c r="JF8" s="538"/>
      <c r="JG8" s="537" t="s">
        <v>136</v>
      </c>
      <c r="JH8" s="537" t="s">
        <v>40</v>
      </c>
      <c r="JI8" s="538"/>
      <c r="JJ8" s="537" t="s">
        <v>136</v>
      </c>
      <c r="JK8" s="537" t="s">
        <v>40</v>
      </c>
      <c r="JL8" s="538" t="s">
        <v>385</v>
      </c>
      <c r="JM8" s="537" t="s">
        <v>136</v>
      </c>
      <c r="JN8" s="537" t="s">
        <v>40</v>
      </c>
      <c r="JO8" s="538" t="s">
        <v>385</v>
      </c>
      <c r="JP8" s="537" t="s">
        <v>136</v>
      </c>
      <c r="JQ8" s="537" t="s">
        <v>40</v>
      </c>
      <c r="JR8" s="538" t="s">
        <v>385</v>
      </c>
      <c r="JS8" s="537" t="s">
        <v>136</v>
      </c>
      <c r="JT8" s="537" t="s">
        <v>40</v>
      </c>
      <c r="JU8" s="538" t="s">
        <v>385</v>
      </c>
      <c r="JV8" s="537" t="s">
        <v>136</v>
      </c>
      <c r="JW8" s="537" t="s">
        <v>40</v>
      </c>
      <c r="JX8" s="538" t="s">
        <v>385</v>
      </c>
      <c r="JY8" s="537" t="s">
        <v>136</v>
      </c>
      <c r="JZ8" s="537" t="s">
        <v>40</v>
      </c>
      <c r="KA8" s="538" t="s">
        <v>385</v>
      </c>
      <c r="KB8" s="537" t="s">
        <v>136</v>
      </c>
      <c r="KC8" s="537" t="s">
        <v>40</v>
      </c>
      <c r="KD8" s="538" t="s">
        <v>385</v>
      </c>
      <c r="KE8" s="537" t="s">
        <v>136</v>
      </c>
      <c r="KF8" s="537" t="s">
        <v>40</v>
      </c>
      <c r="KG8" s="538" t="s">
        <v>385</v>
      </c>
      <c r="KH8" s="537" t="s">
        <v>136</v>
      </c>
      <c r="KI8" s="537" t="s">
        <v>40</v>
      </c>
      <c r="KJ8" s="538" t="s">
        <v>385</v>
      </c>
      <c r="KK8" s="537" t="s">
        <v>136</v>
      </c>
      <c r="KL8" s="537" t="s">
        <v>40</v>
      </c>
      <c r="KM8" s="538" t="s">
        <v>385</v>
      </c>
      <c r="KN8" s="537" t="s">
        <v>136</v>
      </c>
      <c r="KO8" s="537" t="s">
        <v>40</v>
      </c>
      <c r="KP8" s="538" t="s">
        <v>385</v>
      </c>
      <c r="KQ8" s="537" t="s">
        <v>136</v>
      </c>
      <c r="KR8" s="537" t="s">
        <v>40</v>
      </c>
      <c r="KS8" s="538" t="s">
        <v>385</v>
      </c>
      <c r="KT8" s="713"/>
      <c r="KU8" s="713"/>
    </row>
    <row r="9" spans="1:308">
      <c r="A9" s="263">
        <f>+Report1!A9</f>
        <v>45901</v>
      </c>
      <c r="B9" s="264" t="str">
        <f>+Report1!B9</f>
        <v>Facial</v>
      </c>
      <c r="C9" s="264" t="str">
        <f>+Report1!C9</f>
        <v>12</v>
      </c>
      <c r="D9" s="265">
        <f>+Report1!P9</f>
        <v>40.056000000000004</v>
      </c>
      <c r="E9" s="556">
        <f>+Report1!R9</f>
        <v>41.481999999999999</v>
      </c>
      <c r="F9" s="524"/>
      <c r="G9" s="525">
        <f t="shared" ref="G9:G39" si="0">+F9/$E9</f>
        <v>0</v>
      </c>
      <c r="H9" s="526">
        <f>+F9*$H$8</f>
        <v>0</v>
      </c>
      <c r="I9" s="524">
        <v>209.2995674418604</v>
      </c>
      <c r="J9" s="525">
        <f t="shared" ref="J9:J39" si="1">+I9/$E9</f>
        <v>5.045551502865349</v>
      </c>
      <c r="K9" s="526">
        <f>+I9*$H$8</f>
        <v>0</v>
      </c>
      <c r="L9" s="524"/>
      <c r="M9" s="525">
        <f t="shared" ref="M9:M39" si="2">+L9/$E9</f>
        <v>0</v>
      </c>
      <c r="N9" s="526">
        <f>+L9*$H$8</f>
        <v>0</v>
      </c>
      <c r="O9" s="524">
        <v>5.9959999999999951</v>
      </c>
      <c r="P9" s="525">
        <f t="shared" ref="P9:P39" si="3">+O9/$E9</f>
        <v>0.1445446217636564</v>
      </c>
      <c r="Q9" s="526">
        <f>+O9*$H$8</f>
        <v>0</v>
      </c>
      <c r="R9" s="524"/>
      <c r="S9" s="525">
        <f t="shared" ref="S9:S39" si="4">+R9/$E9</f>
        <v>0</v>
      </c>
      <c r="T9" s="526">
        <f>+R9*$H$8</f>
        <v>0</v>
      </c>
      <c r="U9" s="524">
        <v>7.6914999999999907</v>
      </c>
      <c r="V9" s="525">
        <f t="shared" ref="V9:V39" si="5">+U9/$E9</f>
        <v>0.18541777156356951</v>
      </c>
      <c r="W9" s="526">
        <f>+U9*$H$8</f>
        <v>0</v>
      </c>
      <c r="X9" s="524"/>
      <c r="Y9" s="525">
        <f t="shared" ref="Y9:Y39" si="6">+X9/$E9</f>
        <v>0</v>
      </c>
      <c r="Z9" s="526">
        <f>+X9*$H$8</f>
        <v>0</v>
      </c>
      <c r="AA9" s="524">
        <v>6.2500000000000284</v>
      </c>
      <c r="AB9" s="525">
        <f t="shared" ref="AB9:AB39" si="7">+AA9/$E9</f>
        <v>0.15066775951014966</v>
      </c>
      <c r="AC9" s="526">
        <f>+AA9*$H$8</f>
        <v>0</v>
      </c>
      <c r="AD9" s="524"/>
      <c r="AE9" s="525">
        <f t="shared" ref="AE9:AE39" si="8">+AD9/$E9</f>
        <v>0</v>
      </c>
      <c r="AF9" s="526">
        <f>+AD9*$H$8</f>
        <v>0</v>
      </c>
      <c r="AG9" s="524"/>
      <c r="AH9" s="525">
        <f t="shared" ref="AH9:AH39" si="9">+AG9/$E9</f>
        <v>0</v>
      </c>
      <c r="AI9" s="526">
        <f>+AG9*$H$8</f>
        <v>0</v>
      </c>
      <c r="AJ9" s="524"/>
      <c r="AK9" s="525">
        <f t="shared" ref="AK9:AK39" si="10">+AJ9/$E9</f>
        <v>0</v>
      </c>
      <c r="AL9" s="526">
        <f>+AJ9*$H$8</f>
        <v>0</v>
      </c>
      <c r="AM9" s="524"/>
      <c r="AN9" s="525">
        <f t="shared" ref="AN9:AN39" si="11">+AM9/$E9</f>
        <v>0</v>
      </c>
      <c r="AO9" s="526">
        <f>+AM9*$H$8</f>
        <v>0</v>
      </c>
      <c r="AP9" s="524">
        <v>48.418029113924064</v>
      </c>
      <c r="AQ9" s="525">
        <f t="shared" ref="AQ9:AQ39" si="12">+AP9/$E9</f>
        <v>1.1672057546387364</v>
      </c>
      <c r="AR9" s="526">
        <f>+AP9*$H$8</f>
        <v>0</v>
      </c>
      <c r="AS9" s="524"/>
      <c r="AT9" s="525">
        <f t="shared" ref="AT9:AT39" si="13">+AS9/$E9</f>
        <v>0</v>
      </c>
      <c r="AU9" s="526">
        <f>+AS9*$H$8</f>
        <v>0</v>
      </c>
      <c r="AV9" s="524"/>
      <c r="AW9" s="525">
        <f t="shared" ref="AW9:AW39" si="14">+AV9/$E9</f>
        <v>0</v>
      </c>
      <c r="AX9" s="526">
        <f>+AV9*$H$8</f>
        <v>0</v>
      </c>
      <c r="AY9" s="524">
        <v>60.664133333333382</v>
      </c>
      <c r="AZ9" s="525">
        <f t="shared" ref="AZ9:AZ39" si="15">+AY9/$E9</f>
        <v>1.4624206483133257</v>
      </c>
      <c r="BA9" s="526">
        <f>+AY9*$H$8</f>
        <v>0</v>
      </c>
      <c r="BB9" s="524"/>
      <c r="BC9" s="525">
        <f t="shared" ref="BC9:BC39" si="16">+BB9/$E9</f>
        <v>0</v>
      </c>
      <c r="BD9" s="526">
        <f>+BB9*$H$8</f>
        <v>0</v>
      </c>
      <c r="BE9" s="524"/>
      <c r="BF9" s="525">
        <f t="shared" ref="BF9:BF39" si="17">+BE9/$E9</f>
        <v>0</v>
      </c>
      <c r="BG9" s="526">
        <f>+BE9*$H$8</f>
        <v>0</v>
      </c>
      <c r="BH9" s="524"/>
      <c r="BI9" s="525">
        <f t="shared" ref="BI9:BI39" si="18">+BH9/$E9</f>
        <v>0</v>
      </c>
      <c r="BJ9" s="526">
        <f>+BH9*$H$8</f>
        <v>0</v>
      </c>
      <c r="BK9" s="524"/>
      <c r="BL9" s="525">
        <f t="shared" ref="BL9:BL39" si="19">+BK9/$E9</f>
        <v>0</v>
      </c>
      <c r="BM9" s="526">
        <f>+BK9*$H$8</f>
        <v>0</v>
      </c>
      <c r="BN9" s="524"/>
      <c r="BO9" s="525">
        <f t="shared" ref="BO9:BO39" si="20">+BN9/$E9</f>
        <v>0</v>
      </c>
      <c r="BP9" s="526">
        <f>+BN9*$H$8</f>
        <v>0</v>
      </c>
      <c r="BQ9" s="524"/>
      <c r="BR9" s="525">
        <f t="shared" ref="BR9:BR39" si="21">+BQ9/$E9</f>
        <v>0</v>
      </c>
      <c r="BS9" s="526">
        <f>+BQ9*$H$8</f>
        <v>0</v>
      </c>
      <c r="BT9" s="524"/>
      <c r="BU9" s="525">
        <f t="shared" ref="BU9:BU39" si="22">+BT9/$E9</f>
        <v>0</v>
      </c>
      <c r="BV9" s="526">
        <f>+BT9*$H$8</f>
        <v>0</v>
      </c>
      <c r="BW9" s="524"/>
      <c r="BX9" s="525">
        <f t="shared" ref="BX9:BX39" si="23">+BW9/$E9</f>
        <v>0</v>
      </c>
      <c r="BY9" s="526">
        <f>+BW9*$H$8</f>
        <v>0</v>
      </c>
      <c r="BZ9" s="524"/>
      <c r="CA9" s="525">
        <f t="shared" ref="CA9:CA39" si="24">+BZ9/$E9</f>
        <v>0</v>
      </c>
      <c r="CB9" s="526">
        <f>+BZ9*$H$8</f>
        <v>0</v>
      </c>
      <c r="CC9" s="524"/>
      <c r="CD9" s="525">
        <f t="shared" ref="CD9:CD39" si="25">+CC9/$E9</f>
        <v>0</v>
      </c>
      <c r="CE9" s="526">
        <f>+CC9*$H$8</f>
        <v>0</v>
      </c>
      <c r="CF9" s="524">
        <v>0.60000000000000142</v>
      </c>
      <c r="CG9" s="525">
        <f t="shared" ref="CG9:CG39" si="26">+CF9/$E9</f>
        <v>1.4464104912974337E-2</v>
      </c>
      <c r="CH9" s="526">
        <f>+CF9*$H$8</f>
        <v>0</v>
      </c>
      <c r="CI9" s="524"/>
      <c r="CJ9" s="525">
        <f t="shared" ref="CJ9:CJ39" si="27">+CI9/$E9</f>
        <v>0</v>
      </c>
      <c r="CK9" s="526">
        <f>+CI9*$H$8</f>
        <v>0</v>
      </c>
      <c r="CL9" s="524"/>
      <c r="CM9" s="525">
        <f t="shared" ref="CM9:CM39" si="28">+CL9/$E9</f>
        <v>0</v>
      </c>
      <c r="CN9" s="526">
        <f>+CL9*$H$8</f>
        <v>0</v>
      </c>
      <c r="CO9" s="524"/>
      <c r="CP9" s="525">
        <f t="shared" ref="CP9:CP39" si="29">+CO9/$E9</f>
        <v>0</v>
      </c>
      <c r="CQ9" s="526">
        <f>+CO9*$H$8</f>
        <v>0</v>
      </c>
      <c r="CR9" s="524"/>
      <c r="CS9" s="525">
        <f t="shared" ref="CS9:CS39" si="30">+CR9/$E9</f>
        <v>0</v>
      </c>
      <c r="CT9" s="526">
        <f>+CR9*$H$8</f>
        <v>0</v>
      </c>
      <c r="CU9" s="524"/>
      <c r="CV9" s="525">
        <f t="shared" ref="CV9:CV39" si="31">+CU9/$E9</f>
        <v>0</v>
      </c>
      <c r="CW9" s="526">
        <f>+CU9*$H$8</f>
        <v>0</v>
      </c>
      <c r="CX9" s="524"/>
      <c r="CY9" s="525">
        <f t="shared" ref="CY9:CY39" si="32">+CX9/$E9</f>
        <v>0</v>
      </c>
      <c r="CZ9" s="526">
        <f>+CX9*$H$8</f>
        <v>0</v>
      </c>
      <c r="DA9" s="524"/>
      <c r="DB9" s="525">
        <f t="shared" ref="DB9:DB39" si="33">+DA9/$E9</f>
        <v>0</v>
      </c>
      <c r="DC9" s="526">
        <f>+DA9*$H$8</f>
        <v>0</v>
      </c>
      <c r="DD9" s="524"/>
      <c r="DE9" s="525">
        <f t="shared" ref="DE9:DE39" si="34">+DD9/$E9</f>
        <v>0</v>
      </c>
      <c r="DF9" s="526">
        <f>+DD9*$H$8</f>
        <v>0</v>
      </c>
      <c r="DG9" s="524"/>
      <c r="DH9" s="525">
        <f t="shared" ref="DH9:DH39" si="35">+DG9/$E9</f>
        <v>0</v>
      </c>
      <c r="DI9" s="526">
        <v>0</v>
      </c>
      <c r="DJ9" s="524"/>
      <c r="DK9" s="525">
        <f t="shared" ref="DK9:DK39" si="36">+DJ9/$E9</f>
        <v>0</v>
      </c>
      <c r="DL9" s="526">
        <f>+DJ9*$H$8</f>
        <v>0</v>
      </c>
      <c r="DM9" s="524"/>
      <c r="DN9" s="525">
        <f t="shared" ref="DN9:DN39" si="37">+DM9/$E9</f>
        <v>0</v>
      </c>
      <c r="DO9" s="526">
        <f>+DM9*$H$8</f>
        <v>0</v>
      </c>
      <c r="DP9" s="524"/>
      <c r="DQ9" s="525">
        <f t="shared" ref="DQ9:DQ39" si="38">+DP9/$E9</f>
        <v>0</v>
      </c>
      <c r="DR9" s="526">
        <f>+DP9*$H$8</f>
        <v>0</v>
      </c>
      <c r="DS9" s="524"/>
      <c r="DT9" s="525">
        <f t="shared" ref="DT9:DT39" si="39">+DS9/$E9</f>
        <v>0</v>
      </c>
      <c r="DU9" s="526">
        <f>+DS9*$H$8</f>
        <v>0</v>
      </c>
      <c r="DV9" s="524"/>
      <c r="DW9" s="525">
        <f t="shared" ref="DW9:DW39" si="40">+DV9/$E9</f>
        <v>0</v>
      </c>
      <c r="DX9" s="526">
        <f>+DV9*$H$8</f>
        <v>0</v>
      </c>
      <c r="DY9" s="524"/>
      <c r="DZ9" s="525">
        <f t="shared" ref="DZ9:DZ39" si="41">+DY9/$E9</f>
        <v>0</v>
      </c>
      <c r="EA9" s="526">
        <f>+DY9*$H$8</f>
        <v>0</v>
      </c>
      <c r="EB9" s="524"/>
      <c r="EC9" s="525">
        <f t="shared" ref="EC9:EC39" si="42">+EB9/$E9</f>
        <v>0</v>
      </c>
      <c r="ED9" s="526">
        <f>+EB9*$H$8</f>
        <v>0</v>
      </c>
      <c r="EE9" s="524">
        <v>14.534883720930225</v>
      </c>
      <c r="EF9" s="525">
        <f t="shared" ref="EF9:EF39" si="43">+EE9/$E9</f>
        <v>0.35039013839569511</v>
      </c>
      <c r="EG9" s="526">
        <f>+EE9*$H$8</f>
        <v>0</v>
      </c>
      <c r="EH9" s="524">
        <v>23.486470588235306</v>
      </c>
      <c r="EI9" s="525">
        <f t="shared" ref="EI9:EI39" si="44">+EH9/$E9</f>
        <v>0.56618462437286787</v>
      </c>
      <c r="EJ9" s="526">
        <f>+EH9*$H$8</f>
        <v>0</v>
      </c>
      <c r="EK9" s="524">
        <v>3.5</v>
      </c>
      <c r="EL9" s="525">
        <f t="shared" ref="EL9:EL39" si="45">+EK9/$E9</f>
        <v>8.437394532568343E-2</v>
      </c>
      <c r="EM9" s="526">
        <f>+EK9*$H$8</f>
        <v>0</v>
      </c>
      <c r="EN9" s="524"/>
      <c r="EO9" s="525">
        <f t="shared" ref="EO9:EO39" si="46">+EN9/$E9</f>
        <v>0</v>
      </c>
      <c r="EP9" s="526">
        <f>+EN9*$H$8</f>
        <v>0</v>
      </c>
      <c r="EQ9" s="524"/>
      <c r="ER9" s="525">
        <f t="shared" ref="ER9:ER39" si="47">+EQ9/$E9</f>
        <v>0</v>
      </c>
      <c r="ES9" s="526">
        <f>+EQ9*$H$8</f>
        <v>0</v>
      </c>
      <c r="ET9" s="524"/>
      <c r="EU9" s="525">
        <f t="shared" ref="EU9:EU39" si="48">+ET9/$E9</f>
        <v>0</v>
      </c>
      <c r="EV9" s="526">
        <f>+ET9*$H$8</f>
        <v>0</v>
      </c>
      <c r="EW9" s="524"/>
      <c r="EX9" s="525">
        <f t="shared" ref="EX9:EX39" si="49">+EW9/$E9</f>
        <v>0</v>
      </c>
      <c r="EY9" s="526">
        <f>+EW9*$H$8</f>
        <v>0</v>
      </c>
      <c r="EZ9" s="524"/>
      <c r="FA9" s="525">
        <f t="shared" ref="FA9:FA39" si="50">+EZ9/$E9</f>
        <v>0</v>
      </c>
      <c r="FB9" s="526">
        <f>+EZ9*$H$8</f>
        <v>0</v>
      </c>
      <c r="FC9" s="524"/>
      <c r="FD9" s="525">
        <f t="shared" ref="FD9:FD39" si="51">+FC9/$E9</f>
        <v>0</v>
      </c>
      <c r="FE9" s="526">
        <f>+FC9*$H$8</f>
        <v>0</v>
      </c>
      <c r="FF9" s="524"/>
      <c r="FG9" s="525">
        <f t="shared" ref="FG9:FG39" si="52">+FF9/$E9</f>
        <v>0</v>
      </c>
      <c r="FH9" s="526">
        <f>+FF9*$H$8</f>
        <v>0</v>
      </c>
      <c r="FI9" s="524"/>
      <c r="FJ9" s="525">
        <f t="shared" ref="FJ9:FJ39" si="53">+FI9/$E9</f>
        <v>0</v>
      </c>
      <c r="FK9" s="526">
        <f>+FI9*$H$8</f>
        <v>0</v>
      </c>
      <c r="FL9" s="524"/>
      <c r="FM9" s="525">
        <f t="shared" ref="FM9:FM39" si="54">+FL9/$E9</f>
        <v>0</v>
      </c>
      <c r="FN9" s="526">
        <f>+FL9*$H$8</f>
        <v>0</v>
      </c>
      <c r="FO9" s="524"/>
      <c r="FP9" s="525">
        <f t="shared" ref="FP9:FP39" si="55">+FO9/$E9</f>
        <v>0</v>
      </c>
      <c r="FQ9" s="526">
        <f>+FO9*$H$8</f>
        <v>0</v>
      </c>
      <c r="FR9" s="524"/>
      <c r="FS9" s="525">
        <f t="shared" ref="FS9:FS39" si="56">+FR9/$E9</f>
        <v>0</v>
      </c>
      <c r="FT9" s="526">
        <f>+FR9*$H$8</f>
        <v>0</v>
      </c>
      <c r="FU9" s="524"/>
      <c r="FV9" s="525">
        <f t="shared" ref="FV9:FV39" si="57">+FU9/$E9</f>
        <v>0</v>
      </c>
      <c r="FW9" s="526">
        <f>+FU9*$H$8</f>
        <v>0</v>
      </c>
      <c r="FX9" s="524"/>
      <c r="FY9" s="525">
        <f t="shared" ref="FY9:FY39" si="58">+FX9/$E9</f>
        <v>0</v>
      </c>
      <c r="FZ9" s="526">
        <f>+FX9*$H$8</f>
        <v>0</v>
      </c>
      <c r="GA9" s="524"/>
      <c r="GB9" s="525">
        <f t="shared" ref="GB9:GB39" si="59">+GA9/$E9</f>
        <v>0</v>
      </c>
      <c r="GC9" s="526">
        <f>+GA9*$H$8</f>
        <v>0</v>
      </c>
      <c r="GD9" s="524"/>
      <c r="GE9" s="525">
        <f t="shared" ref="GE9:GE39" si="60">+GD9/$E9</f>
        <v>0</v>
      </c>
      <c r="GF9" s="526">
        <f>+GD9*$H$8</f>
        <v>0</v>
      </c>
      <c r="GG9" s="524"/>
      <c r="GH9" s="525">
        <f t="shared" ref="GH9:GH39" si="61">+GG9/$E9</f>
        <v>0</v>
      </c>
      <c r="GI9" s="526">
        <f>+GG9*$H$8</f>
        <v>0</v>
      </c>
      <c r="GJ9" s="524"/>
      <c r="GK9" s="525">
        <f t="shared" ref="GK9:GK39" si="62">+GJ9/$E9</f>
        <v>0</v>
      </c>
      <c r="GL9" s="526">
        <f>+GJ9*$H$8</f>
        <v>0</v>
      </c>
      <c r="GM9" s="524"/>
      <c r="GN9" s="525">
        <f t="shared" ref="GN9:GN39" si="63">+GM9/$E9</f>
        <v>0</v>
      </c>
      <c r="GO9" s="526">
        <f>+GM9*$H$8</f>
        <v>0</v>
      </c>
      <c r="GP9" s="524"/>
      <c r="GQ9" s="525">
        <f t="shared" ref="GQ9:GQ39" si="64">+GP9/$E9</f>
        <v>0</v>
      </c>
      <c r="GR9" s="526">
        <f>+GP9*$H$8</f>
        <v>0</v>
      </c>
      <c r="GS9" s="524"/>
      <c r="GT9" s="525">
        <f t="shared" ref="GT9:GT39" si="65">+GS9/$E9</f>
        <v>0</v>
      </c>
      <c r="GU9" s="526">
        <f>+GS9*$H$8</f>
        <v>0</v>
      </c>
      <c r="GV9" s="524"/>
      <c r="GW9" s="525">
        <f t="shared" ref="GW9:GW39" si="66">+GV9/$E9</f>
        <v>0</v>
      </c>
      <c r="GX9" s="526">
        <f>+GV9*$H$8</f>
        <v>0</v>
      </c>
      <c r="GY9" s="524"/>
      <c r="GZ9" s="525">
        <f t="shared" ref="GZ9:GZ39" si="67">+GY9/$E9</f>
        <v>0</v>
      </c>
      <c r="HA9" s="526">
        <f>+GY9*$H$8</f>
        <v>0</v>
      </c>
      <c r="HB9" s="524"/>
      <c r="HC9" s="525">
        <f t="shared" ref="HC9:HC39" si="68">+HB9/$E9</f>
        <v>0</v>
      </c>
      <c r="HD9" s="526">
        <f>+HB9*$H$8</f>
        <v>0</v>
      </c>
      <c r="HE9" s="524"/>
      <c r="HF9" s="525">
        <f t="shared" ref="HF9:HF39" si="69">+HE9/$E9</f>
        <v>0</v>
      </c>
      <c r="HG9" s="526">
        <f>+HE9*$H$8</f>
        <v>0</v>
      </c>
      <c r="HH9" s="524"/>
      <c r="HI9" s="525">
        <f t="shared" ref="HI9:HI39" si="70">+HH9/$E9</f>
        <v>0</v>
      </c>
      <c r="HJ9" s="526">
        <f>+HH9*$H$8</f>
        <v>0</v>
      </c>
      <c r="HK9" s="524"/>
      <c r="HL9" s="525">
        <f t="shared" ref="HL9:HL39" si="71">+HK9/$E9</f>
        <v>0</v>
      </c>
      <c r="HM9" s="526">
        <f>+HK9*$H$8</f>
        <v>0</v>
      </c>
      <c r="HN9" s="524"/>
      <c r="HO9" s="525">
        <f t="shared" ref="HO9:HO39" si="72">+HN9/$E9</f>
        <v>0</v>
      </c>
      <c r="HP9" s="526">
        <f>+HN9*$H$8</f>
        <v>0</v>
      </c>
      <c r="HQ9" s="524"/>
      <c r="HR9" s="525">
        <f t="shared" ref="HR9:HR39" si="73">+HQ9/$E9</f>
        <v>0</v>
      </c>
      <c r="HS9" s="526">
        <f>+HQ9*$H$8</f>
        <v>0</v>
      </c>
      <c r="HT9" s="524"/>
      <c r="HU9" s="525">
        <f t="shared" ref="HU9:HU39" si="74">+HT9/$E9</f>
        <v>0</v>
      </c>
      <c r="HV9" s="526">
        <f>+HT9*$H$8</f>
        <v>0</v>
      </c>
      <c r="HW9" s="524"/>
      <c r="HX9" s="525">
        <f t="shared" ref="HX9:HX39" si="75">+HW9/$E9</f>
        <v>0</v>
      </c>
      <c r="HY9" s="526">
        <f>+HW9*$H$8</f>
        <v>0</v>
      </c>
      <c r="HZ9" s="524"/>
      <c r="IA9" s="525">
        <f t="shared" ref="IA9:IA39" si="76">+HZ9/$E9</f>
        <v>0</v>
      </c>
      <c r="IB9" s="526">
        <f>+HZ9*$H$8</f>
        <v>0</v>
      </c>
      <c r="IC9" s="524"/>
      <c r="ID9" s="525">
        <f t="shared" ref="ID9:ID39" si="77">+IC9/$E9</f>
        <v>0</v>
      </c>
      <c r="IE9" s="526">
        <f>+IC9*$H$8</f>
        <v>0</v>
      </c>
      <c r="IF9" s="524"/>
      <c r="IG9" s="525">
        <f t="shared" ref="IG9:IG39" si="78">+IF9/$E9</f>
        <v>0</v>
      </c>
      <c r="IH9" s="526">
        <f>+IF9*$H$8</f>
        <v>0</v>
      </c>
      <c r="II9" s="524"/>
      <c r="IJ9" s="525">
        <f t="shared" ref="IJ9:IJ39" si="79">+II9/$E9</f>
        <v>0</v>
      </c>
      <c r="IK9" s="526">
        <f>+II9*$H$8</f>
        <v>0</v>
      </c>
      <c r="IL9" s="524"/>
      <c r="IM9" s="525">
        <f t="shared" ref="IM9:IM39" si="80">+IL9/$E9</f>
        <v>0</v>
      </c>
      <c r="IN9" s="526">
        <f>+IL9*$H$8</f>
        <v>0</v>
      </c>
      <c r="IO9" s="524"/>
      <c r="IP9" s="525">
        <f t="shared" ref="IP9:IP39" si="81">+IO9/$E9</f>
        <v>0</v>
      </c>
      <c r="IQ9" s="526">
        <f>+IO9*$H$8</f>
        <v>0</v>
      </c>
      <c r="IR9" s="524"/>
      <c r="IS9" s="525">
        <f t="shared" ref="IS9:IS39" si="82">+IR9/$E9</f>
        <v>0</v>
      </c>
      <c r="IT9" s="526">
        <f>+IR9*$H$8</f>
        <v>0</v>
      </c>
      <c r="IU9" s="524"/>
      <c r="IV9" s="525">
        <f t="shared" ref="IV9:IV39" si="83">+IU9/$E9</f>
        <v>0</v>
      </c>
      <c r="IW9" s="526">
        <f>+IU9*$H$8</f>
        <v>0</v>
      </c>
      <c r="IX9" s="524"/>
      <c r="IY9" s="525">
        <f t="shared" ref="IY9:IY39" si="84">+IX9/$E9</f>
        <v>0</v>
      </c>
      <c r="IZ9" s="526">
        <f>+IX9*$H$8</f>
        <v>0</v>
      </c>
      <c r="JA9" s="524"/>
      <c r="JB9" s="525">
        <f t="shared" ref="JB9:JB39" si="85">+JA9/$E9</f>
        <v>0</v>
      </c>
      <c r="JC9" s="526">
        <f>+JA9*$H$8</f>
        <v>0</v>
      </c>
      <c r="JD9" s="524"/>
      <c r="JE9" s="525">
        <f t="shared" ref="JE9:JE39" si="86">+JD9/$E9</f>
        <v>0</v>
      </c>
      <c r="JF9" s="526">
        <f>+JD9*$H$8</f>
        <v>0</v>
      </c>
      <c r="JG9" s="524"/>
      <c r="JH9" s="525">
        <f t="shared" ref="JH9:JH39" si="87">+JG9/$E9</f>
        <v>0</v>
      </c>
      <c r="JI9" s="526">
        <f>+JG9*$H$8</f>
        <v>0</v>
      </c>
      <c r="JJ9" s="524"/>
      <c r="JK9" s="526" t="str">
        <f t="shared" ref="JK9:JK39" si="88">IFERROR((JJ9/$L9),"0")</f>
        <v>0</v>
      </c>
      <c r="JL9" s="526" t="str">
        <f t="shared" ref="JL9:JL39" si="89">IFERROR(((JJ9*JL$8)/$L9),"0")</f>
        <v>0</v>
      </c>
      <c r="JM9" s="524"/>
      <c r="JN9" s="526" t="str">
        <f t="shared" ref="JN9:JN39" si="90">IFERROR((JM9/$L9),"0")</f>
        <v>0</v>
      </c>
      <c r="JO9" s="526" t="str">
        <f t="shared" ref="JO9:JO39" si="91">IFERROR(((JM9*JO$8)/$L9),"0")</f>
        <v>0</v>
      </c>
      <c r="JP9" s="524"/>
      <c r="JQ9" s="526" t="str">
        <f t="shared" ref="JQ9:JQ39" si="92">IFERROR((JP9/$L9),"0")</f>
        <v>0</v>
      </c>
      <c r="JR9" s="526" t="str">
        <f t="shared" ref="JR9:JR39" si="93">IFERROR(((JP9*JR$8)/$L9),"0")</f>
        <v>0</v>
      </c>
      <c r="JS9" s="524"/>
      <c r="JT9" s="526" t="str">
        <f t="shared" ref="JT9:JT39" si="94">IFERROR((JS9/$L9),"0")</f>
        <v>0</v>
      </c>
      <c r="JU9" s="526" t="str">
        <f t="shared" ref="JU9:JU39" si="95">IFERROR(((JS9*JU$8)/$L9),"0")</f>
        <v>0</v>
      </c>
      <c r="JV9" s="524"/>
      <c r="JW9" s="526" t="str">
        <f t="shared" ref="JW9:JW39" si="96">IFERROR((JV9/$L9),"0")</f>
        <v>0</v>
      </c>
      <c r="JX9" s="526" t="str">
        <f t="shared" ref="JX9:JX39" si="97">IFERROR(((JV9*JX$8)/$L9),"0")</f>
        <v>0</v>
      </c>
      <c r="JY9" s="524"/>
      <c r="JZ9" s="526" t="str">
        <f t="shared" ref="JZ9:JZ39" si="98">IFERROR((JY9/$L9),"0")</f>
        <v>0</v>
      </c>
      <c r="KA9" s="526" t="str">
        <f t="shared" ref="KA9:KA39" si="99">IFERROR(((JY9*KA$8)/$L9),"0")</f>
        <v>0</v>
      </c>
      <c r="KB9" s="524"/>
      <c r="KC9" s="526" t="str">
        <f t="shared" ref="KC9:KC39" si="100">IFERROR((KB9/$L9),"0")</f>
        <v>0</v>
      </c>
      <c r="KD9" s="526" t="str">
        <f t="shared" ref="KD9:KD39" si="101">IFERROR(((KB9*KD$8)/$L9),"0")</f>
        <v>0</v>
      </c>
      <c r="KE9" s="524"/>
      <c r="KF9" s="526" t="str">
        <f t="shared" ref="KF9:KF39" si="102">IFERROR((KE9/$L9),"0")</f>
        <v>0</v>
      </c>
      <c r="KG9" s="526" t="str">
        <f t="shared" ref="KG9:KG39" si="103">IFERROR(((KE9*KG$8)/$L9),"0")</f>
        <v>0</v>
      </c>
      <c r="KH9" s="524"/>
      <c r="KI9" s="526" t="str">
        <f t="shared" ref="KI9:KI39" si="104">IFERROR((KH9/$L9),"0")</f>
        <v>0</v>
      </c>
      <c r="KJ9" s="526" t="str">
        <f t="shared" ref="KJ9:KJ39" si="105">IFERROR(((KH9*KJ$8)/$L9),"0")</f>
        <v>0</v>
      </c>
      <c r="KK9" s="524"/>
      <c r="KL9" s="526" t="str">
        <f t="shared" ref="KL9:KL39" si="106">IFERROR((KK9/$L9),"0")</f>
        <v>0</v>
      </c>
      <c r="KM9" s="526" t="str">
        <f t="shared" ref="KM9:KM39" si="107">IFERROR(((KK9*KM$8)/$L9),"0")</f>
        <v>0</v>
      </c>
      <c r="KN9" s="524"/>
      <c r="KO9" s="526" t="str">
        <f t="shared" ref="KO9:KO39" si="108">IFERROR((KN9/$L9),"0")</f>
        <v>0</v>
      </c>
      <c r="KP9" s="526" t="str">
        <f t="shared" ref="KP9:KP39" si="109">IFERROR(((KN9*KP$8)/$L9),"0")</f>
        <v>0</v>
      </c>
      <c r="KQ9" s="524"/>
      <c r="KR9" s="526" t="str">
        <f t="shared" ref="KR9:KR39" si="110">IFERROR((KQ9/$L9),"0")</f>
        <v>0</v>
      </c>
      <c r="KS9" s="526" t="str">
        <f t="shared" ref="KS9:KS39" si="111">IFERROR(((KQ9*KS$8)/$L9),"0")</f>
        <v>0</v>
      </c>
      <c r="KT9" s="526">
        <f>H9+K9+N9+Q9+T9+W9+Z9+AC9+AF9+AI9+AL9+AO9+AR9+AU9+AX9+BA9+BD9+BG9+BJ9+BM9+BP9+BS9+BV9+BY9+CB9+CE9+CH9+CK9+CN9+CQ9+CT9+CW9+CZ9+DC9+DF9+DI9+DL9+DO9+DR9+DU9+DX9+EA9+ED9+EG9+EJ9+EM9+EP9+ES9+EV9+EY9+FB9+FE9+FH9+FK9+FN9+FQ9+FT9+FW9+FZ9+GC9</f>
        <v>0</v>
      </c>
      <c r="KU9" s="526">
        <f>GF9+GI9+GL9+GO9+GR9+GU9+GX9+HA9+HD9+HG9+HJ9+HM9+HP9+HS9+HV9+HY9+IB9+IE9+IH9+IK9+IN9+IQ9+IT9+IW9+IZ9+JC9+JF9+JI9+JL9+JO9+JR9+JU9+JX9++KA9+KD9+KG9+KJ9++KM9+KP9+KS9</f>
        <v>0</v>
      </c>
      <c r="KV9" s="262">
        <f t="shared" ref="KV9:KV16" si="112">+F9+I9+L9+O9+R9+U9+X9+AA9+AD9+AG9+AJ9+AM9+AP9+AS9+AV9+AY9+BB9+BE9+BH9+BK9+BN9+BQ9+BT9+BW9+BZ9+CC9+CF9+CI9+CL9+CO9+CR9+CU9+CX9+DA9+DD9+DJ9+DM9+DP9+DS9+DV9+DY9+EB9+GG9+GJ9+GM9+GP9+GS9+HN9+II9+IR9+GV9+IU9++HT9+HW9+HZ9+IC9+JA9+JJ9+JM9+HB9+EE9+GD9+EH9+EK9</f>
        <v>380.44058419828337</v>
      </c>
    </row>
    <row r="10" spans="1:308">
      <c r="A10" s="263">
        <f>+A9+1</f>
        <v>45902</v>
      </c>
      <c r="B10" s="264" t="str">
        <f>+Report1!B10</f>
        <v>Facial</v>
      </c>
      <c r="C10" s="264" t="str">
        <f>+Report1!C10</f>
        <v>12/13</v>
      </c>
      <c r="D10" s="265">
        <f>+Report1!P10</f>
        <v>38.489000000000004</v>
      </c>
      <c r="E10" s="556">
        <f>+Report1!R10</f>
        <v>31.631</v>
      </c>
      <c r="F10" s="524"/>
      <c r="G10" s="525">
        <f t="shared" si="0"/>
        <v>0</v>
      </c>
      <c r="H10" s="526">
        <f t="shared" ref="H10:H39" si="113">+F10*$H$8</f>
        <v>0</v>
      </c>
      <c r="I10" s="524">
        <v>337.20930232558158</v>
      </c>
      <c r="J10" s="525">
        <f t="shared" si="1"/>
        <v>10.660722149966222</v>
      </c>
      <c r="K10" s="526">
        <f t="shared" ref="K10:K39" si="114">+I10*$H$8</f>
        <v>0</v>
      </c>
      <c r="L10" s="524"/>
      <c r="M10" s="525">
        <f t="shared" si="2"/>
        <v>0</v>
      </c>
      <c r="N10" s="526">
        <f t="shared" ref="N10:N39" si="115">+L10*$H$8</f>
        <v>0</v>
      </c>
      <c r="O10" s="524">
        <v>5.9999999999999858</v>
      </c>
      <c r="P10" s="525">
        <f t="shared" si="3"/>
        <v>0.1896873320476743</v>
      </c>
      <c r="Q10" s="526">
        <f t="shared" ref="Q10:Q39" si="116">+O10*$H$8</f>
        <v>0</v>
      </c>
      <c r="R10" s="524"/>
      <c r="S10" s="525">
        <f t="shared" si="4"/>
        <v>0</v>
      </c>
      <c r="T10" s="526">
        <f t="shared" ref="T10:T39" si="117">+R10*$H$8</f>
        <v>0</v>
      </c>
      <c r="U10" s="524">
        <v>7.6875</v>
      </c>
      <c r="V10" s="525">
        <f t="shared" si="5"/>
        <v>0.24303689418608326</v>
      </c>
      <c r="W10" s="526">
        <f t="shared" ref="W10:W39" si="118">+U10*$H$8</f>
        <v>0</v>
      </c>
      <c r="X10" s="524"/>
      <c r="Y10" s="525">
        <f t="shared" si="6"/>
        <v>0</v>
      </c>
      <c r="Z10" s="526">
        <f t="shared" ref="Z10:Z39" si="119">+X10*$H$8</f>
        <v>0</v>
      </c>
      <c r="AA10" s="524">
        <v>6.2499999999999716</v>
      </c>
      <c r="AB10" s="525">
        <f t="shared" si="7"/>
        <v>0.19759097088299363</v>
      </c>
      <c r="AC10" s="526">
        <f t="shared" ref="AC10:AC39" si="120">+AA10*$H$8</f>
        <v>0</v>
      </c>
      <c r="AD10" s="524"/>
      <c r="AE10" s="525">
        <f t="shared" si="8"/>
        <v>0</v>
      </c>
      <c r="AF10" s="526">
        <f t="shared" ref="AF10:AF39" si="121">+AD10*$H$8</f>
        <v>0</v>
      </c>
      <c r="AG10" s="524"/>
      <c r="AH10" s="525">
        <f t="shared" si="9"/>
        <v>0</v>
      </c>
      <c r="AI10" s="526">
        <f t="shared" ref="AI10:AI39" si="122">+AG10*$H$8</f>
        <v>0</v>
      </c>
      <c r="AJ10" s="524">
        <v>11.746200000000002</v>
      </c>
      <c r="AK10" s="525">
        <f t="shared" si="10"/>
        <v>0.37135088994973292</v>
      </c>
      <c r="AL10" s="526">
        <f t="shared" ref="AL10:AL39" si="123">+AJ10*$H$8</f>
        <v>0</v>
      </c>
      <c r="AM10" s="524"/>
      <c r="AN10" s="525">
        <f t="shared" si="11"/>
        <v>0</v>
      </c>
      <c r="AO10" s="526">
        <f t="shared" ref="AO10:AO39" si="124">+AM10*$H$8</f>
        <v>0</v>
      </c>
      <c r="AP10" s="524">
        <v>51.26582278481014</v>
      </c>
      <c r="AQ10" s="525">
        <f t="shared" si="12"/>
        <v>1.6207461915465884</v>
      </c>
      <c r="AR10" s="526">
        <f t="shared" ref="AR10:AR39" si="125">+AP10*$H$8</f>
        <v>0</v>
      </c>
      <c r="AS10" s="524"/>
      <c r="AT10" s="525">
        <f t="shared" si="13"/>
        <v>0</v>
      </c>
      <c r="AU10" s="526">
        <f t="shared" ref="AU10:AU39" si="126">+AS10*$H$8</f>
        <v>0</v>
      </c>
      <c r="AV10" s="524"/>
      <c r="AW10" s="525">
        <f t="shared" si="14"/>
        <v>0</v>
      </c>
      <c r="AX10" s="526">
        <f t="shared" ref="AX10:AX39" si="127">+AV10*$H$8</f>
        <v>0</v>
      </c>
      <c r="AY10" s="524">
        <v>60.666666666666686</v>
      </c>
      <c r="AZ10" s="525">
        <f t="shared" si="15"/>
        <v>1.9179496907042675</v>
      </c>
      <c r="BA10" s="526">
        <f t="shared" ref="BA10:BA39" si="128">+AY10*$H$8</f>
        <v>0</v>
      </c>
      <c r="BB10" s="524"/>
      <c r="BC10" s="525">
        <f t="shared" si="16"/>
        <v>0</v>
      </c>
      <c r="BD10" s="526">
        <f t="shared" ref="BD10:BD39" si="129">+BB10*$H$8</f>
        <v>0</v>
      </c>
      <c r="BE10" s="524"/>
      <c r="BF10" s="525">
        <f t="shared" si="17"/>
        <v>0</v>
      </c>
      <c r="BG10" s="526">
        <f t="shared" ref="BG10:BG39" si="130">+BE10*$H$8</f>
        <v>0</v>
      </c>
      <c r="BH10" s="524"/>
      <c r="BI10" s="525">
        <f t="shared" si="18"/>
        <v>0</v>
      </c>
      <c r="BJ10" s="526">
        <f t="shared" ref="BJ10:BJ39" si="131">+BH10*$H$8</f>
        <v>0</v>
      </c>
      <c r="BK10" s="524"/>
      <c r="BL10" s="525">
        <f t="shared" si="19"/>
        <v>0</v>
      </c>
      <c r="BM10" s="526">
        <f t="shared" ref="BM10:BM39" si="132">+BK10*$H$8</f>
        <v>0</v>
      </c>
      <c r="BN10" s="524"/>
      <c r="BO10" s="525">
        <f t="shared" si="20"/>
        <v>0</v>
      </c>
      <c r="BP10" s="526">
        <f t="shared" ref="BP10:BP39" si="133">+BN10*$H$8</f>
        <v>0</v>
      </c>
      <c r="BQ10" s="524"/>
      <c r="BR10" s="525">
        <f t="shared" si="21"/>
        <v>0</v>
      </c>
      <c r="BS10" s="526">
        <f t="shared" ref="BS10:BS39" si="134">+BQ10*$H$8</f>
        <v>0</v>
      </c>
      <c r="BT10" s="524"/>
      <c r="BU10" s="525">
        <f t="shared" si="22"/>
        <v>0</v>
      </c>
      <c r="BV10" s="526">
        <f t="shared" ref="BV10:BV39" si="135">+BT10*$H$8</f>
        <v>0</v>
      </c>
      <c r="BW10" s="524"/>
      <c r="BX10" s="525">
        <f t="shared" si="23"/>
        <v>0</v>
      </c>
      <c r="BY10" s="526">
        <f t="shared" ref="BY10:BY39" si="136">+BW10*$H$8</f>
        <v>0</v>
      </c>
      <c r="BZ10" s="524"/>
      <c r="CA10" s="525">
        <f t="shared" si="24"/>
        <v>0</v>
      </c>
      <c r="CB10" s="526">
        <f t="shared" ref="CB10:CB39" si="137">+BZ10*$H$8</f>
        <v>0</v>
      </c>
      <c r="CC10" s="524"/>
      <c r="CD10" s="525">
        <f t="shared" si="25"/>
        <v>0</v>
      </c>
      <c r="CE10" s="526">
        <f t="shared" ref="CE10:CE39" si="138">+CC10*$H$8</f>
        <v>0</v>
      </c>
      <c r="CF10" s="524">
        <v>0.60000000000000142</v>
      </c>
      <c r="CG10" s="525">
        <f t="shared" si="26"/>
        <v>1.896873320476752E-2</v>
      </c>
      <c r="CH10" s="526">
        <f t="shared" ref="CH10:CH39" si="139">+CF10*$H$8</f>
        <v>0</v>
      </c>
      <c r="CI10" s="524"/>
      <c r="CJ10" s="525">
        <f t="shared" si="27"/>
        <v>0</v>
      </c>
      <c r="CK10" s="526">
        <f t="shared" ref="CK10:CK39" si="140">+CI10*$H$8</f>
        <v>0</v>
      </c>
      <c r="CL10" s="524"/>
      <c r="CM10" s="525">
        <f t="shared" si="28"/>
        <v>0</v>
      </c>
      <c r="CN10" s="526">
        <f t="shared" ref="CN10:CN39" si="141">+CL10*$H$8</f>
        <v>0</v>
      </c>
      <c r="CO10" s="524"/>
      <c r="CP10" s="525">
        <f t="shared" si="29"/>
        <v>0</v>
      </c>
      <c r="CQ10" s="526">
        <f t="shared" ref="CQ10:CQ39" si="142">+CO10*$H$8</f>
        <v>0</v>
      </c>
      <c r="CR10" s="524"/>
      <c r="CS10" s="525">
        <f t="shared" si="30"/>
        <v>0</v>
      </c>
      <c r="CT10" s="526">
        <f t="shared" ref="CT10:CT39" si="143">+CR10*$H$8</f>
        <v>0</v>
      </c>
      <c r="CU10" s="524"/>
      <c r="CV10" s="525">
        <f t="shared" si="31"/>
        <v>0</v>
      </c>
      <c r="CW10" s="526">
        <f t="shared" ref="CW10:CW39" si="144">+CU10*$H$8</f>
        <v>0</v>
      </c>
      <c r="CX10" s="524"/>
      <c r="CY10" s="525">
        <f t="shared" si="32"/>
        <v>0</v>
      </c>
      <c r="CZ10" s="526">
        <f t="shared" ref="CZ10:CZ39" si="145">+CX10*$H$8</f>
        <v>0</v>
      </c>
      <c r="DA10" s="524"/>
      <c r="DB10" s="525">
        <f t="shared" si="33"/>
        <v>0</v>
      </c>
      <c r="DC10" s="526">
        <f t="shared" ref="DC10:DC39" si="146">+DA10*$H$8</f>
        <v>0</v>
      </c>
      <c r="DD10" s="524"/>
      <c r="DE10" s="525">
        <f t="shared" si="34"/>
        <v>0</v>
      </c>
      <c r="DF10" s="526">
        <f t="shared" ref="DF10:DF39" si="147">+DD10*$H$8</f>
        <v>0</v>
      </c>
      <c r="DG10" s="524"/>
      <c r="DH10" s="525">
        <f t="shared" si="35"/>
        <v>0</v>
      </c>
      <c r="DI10" s="526">
        <v>0</v>
      </c>
      <c r="DJ10" s="524"/>
      <c r="DK10" s="525">
        <f t="shared" si="36"/>
        <v>0</v>
      </c>
      <c r="DL10" s="526">
        <f t="shared" ref="DL10:DL39" si="148">+DJ10*$H$8</f>
        <v>0</v>
      </c>
      <c r="DM10" s="524"/>
      <c r="DN10" s="525">
        <f t="shared" si="37"/>
        <v>0</v>
      </c>
      <c r="DO10" s="526">
        <f t="shared" ref="DO10:DO39" si="149">+DM10*$H$8</f>
        <v>0</v>
      </c>
      <c r="DP10" s="524"/>
      <c r="DQ10" s="525">
        <f t="shared" si="38"/>
        <v>0</v>
      </c>
      <c r="DR10" s="526">
        <f t="shared" ref="DR10:DR39" si="150">+DP10*$H$8</f>
        <v>0</v>
      </c>
      <c r="DS10" s="524"/>
      <c r="DT10" s="525">
        <f t="shared" si="39"/>
        <v>0</v>
      </c>
      <c r="DU10" s="526">
        <f t="shared" ref="DU10:DU39" si="151">+DS10*$H$8</f>
        <v>0</v>
      </c>
      <c r="DV10" s="524"/>
      <c r="DW10" s="525">
        <f t="shared" si="40"/>
        <v>0</v>
      </c>
      <c r="DX10" s="526">
        <f t="shared" ref="DX10:DX39" si="152">+DV10*$H$8</f>
        <v>0</v>
      </c>
      <c r="DY10" s="524"/>
      <c r="DZ10" s="525">
        <f t="shared" si="41"/>
        <v>0</v>
      </c>
      <c r="EA10" s="526">
        <f t="shared" ref="EA10:EA39" si="153">+DY10*$H$8</f>
        <v>0</v>
      </c>
      <c r="EB10" s="524"/>
      <c r="EC10" s="525">
        <f t="shared" si="42"/>
        <v>0</v>
      </c>
      <c r="ED10" s="526">
        <f t="shared" ref="ED10:ED39" si="154">+EB10*$H$8</f>
        <v>0</v>
      </c>
      <c r="EE10" s="524">
        <v>14.534883720930338</v>
      </c>
      <c r="EF10" s="525">
        <f t="shared" si="43"/>
        <v>0.45951388577440921</v>
      </c>
      <c r="EG10" s="526">
        <f t="shared" ref="EG10:EG39" si="155">+EE10*$H$8</f>
        <v>0</v>
      </c>
      <c r="EH10" s="524">
        <v>46.964705882352973</v>
      </c>
      <c r="EI10" s="525">
        <f t="shared" si="44"/>
        <v>1.4847682932045454</v>
      </c>
      <c r="EJ10" s="526">
        <f t="shared" ref="EJ10:EJ39" si="156">+EH10*$H$8</f>
        <v>0</v>
      </c>
      <c r="EK10" s="524">
        <v>3</v>
      </c>
      <c r="EL10" s="525">
        <f t="shared" si="45"/>
        <v>9.484366602383737E-2</v>
      </c>
      <c r="EM10" s="526">
        <f t="shared" ref="EM10:EM39" si="157">+EK10*$H$8</f>
        <v>0</v>
      </c>
      <c r="EN10" s="524"/>
      <c r="EO10" s="525">
        <f t="shared" si="46"/>
        <v>0</v>
      </c>
      <c r="EP10" s="526">
        <f t="shared" ref="EP10:EP39" si="158">+EN10*$H$8</f>
        <v>0</v>
      </c>
      <c r="EQ10" s="524"/>
      <c r="ER10" s="525">
        <f t="shared" si="47"/>
        <v>0</v>
      </c>
      <c r="ES10" s="526">
        <f t="shared" ref="ES10:ES39" si="159">+EQ10*$H$8</f>
        <v>0</v>
      </c>
      <c r="ET10" s="524"/>
      <c r="EU10" s="525">
        <f t="shared" si="48"/>
        <v>0</v>
      </c>
      <c r="EV10" s="526">
        <f t="shared" ref="EV10:EV39" si="160">+ET10*$H$8</f>
        <v>0</v>
      </c>
      <c r="EW10" s="524"/>
      <c r="EX10" s="525">
        <f t="shared" si="49"/>
        <v>0</v>
      </c>
      <c r="EY10" s="526">
        <f t="shared" ref="EY10:EY39" si="161">+EW10*$H$8</f>
        <v>0</v>
      </c>
      <c r="EZ10" s="524"/>
      <c r="FA10" s="525">
        <f t="shared" si="50"/>
        <v>0</v>
      </c>
      <c r="FB10" s="526">
        <f t="shared" ref="FB10:FB39" si="162">+EZ10*$H$8</f>
        <v>0</v>
      </c>
      <c r="FC10" s="524"/>
      <c r="FD10" s="525">
        <f t="shared" si="51"/>
        <v>0</v>
      </c>
      <c r="FE10" s="526">
        <f t="shared" ref="FE10:FE39" si="163">+FC10*$H$8</f>
        <v>0</v>
      </c>
      <c r="FF10" s="524"/>
      <c r="FG10" s="525">
        <f t="shared" si="52"/>
        <v>0</v>
      </c>
      <c r="FH10" s="526">
        <f t="shared" ref="FH10:FH39" si="164">+FF10*$H$8</f>
        <v>0</v>
      </c>
      <c r="FI10" s="524"/>
      <c r="FJ10" s="525">
        <f t="shared" si="53"/>
        <v>0</v>
      </c>
      <c r="FK10" s="526">
        <f t="shared" ref="FK10:FK39" si="165">+FI10*$H$8</f>
        <v>0</v>
      </c>
      <c r="FL10" s="524"/>
      <c r="FM10" s="525">
        <f t="shared" si="54"/>
        <v>0</v>
      </c>
      <c r="FN10" s="526">
        <f t="shared" ref="FN10:FN39" si="166">+FL10*$H$8</f>
        <v>0</v>
      </c>
      <c r="FO10" s="524"/>
      <c r="FP10" s="525">
        <f t="shared" si="55"/>
        <v>0</v>
      </c>
      <c r="FQ10" s="526">
        <f t="shared" ref="FQ10:FQ39" si="167">+FO10*$H$8</f>
        <v>0</v>
      </c>
      <c r="FR10" s="524"/>
      <c r="FS10" s="525">
        <f t="shared" si="56"/>
        <v>0</v>
      </c>
      <c r="FT10" s="526">
        <f t="shared" ref="FT10:FT39" si="168">+FR10*$H$8</f>
        <v>0</v>
      </c>
      <c r="FU10" s="524"/>
      <c r="FV10" s="525">
        <f t="shared" si="57"/>
        <v>0</v>
      </c>
      <c r="FW10" s="526">
        <f t="shared" ref="FW10:FW39" si="169">+FU10*$H$8</f>
        <v>0</v>
      </c>
      <c r="FX10" s="524"/>
      <c r="FY10" s="525">
        <f t="shared" si="58"/>
        <v>0</v>
      </c>
      <c r="FZ10" s="526">
        <f t="shared" ref="FZ10:FZ39" si="170">+FX10*$H$8</f>
        <v>0</v>
      </c>
      <c r="GA10" s="524"/>
      <c r="GB10" s="525">
        <f t="shared" si="59"/>
        <v>0</v>
      </c>
      <c r="GC10" s="526">
        <f t="shared" ref="GC10:GC39" si="171">+GA10*$H$8</f>
        <v>0</v>
      </c>
      <c r="GD10" s="524"/>
      <c r="GE10" s="525">
        <f t="shared" si="60"/>
        <v>0</v>
      </c>
      <c r="GF10" s="526">
        <f t="shared" ref="GF10:GF39" si="172">+GD10*$H$8</f>
        <v>0</v>
      </c>
      <c r="GG10" s="524"/>
      <c r="GH10" s="525">
        <f t="shared" si="61"/>
        <v>0</v>
      </c>
      <c r="GI10" s="526">
        <f t="shared" ref="GI10:GI39" si="173">+GG10*$H$8</f>
        <v>0</v>
      </c>
      <c r="GJ10" s="524"/>
      <c r="GK10" s="525">
        <f t="shared" si="62"/>
        <v>0</v>
      </c>
      <c r="GL10" s="526">
        <f t="shared" ref="GL10:GL39" si="174">+GJ10*$H$8</f>
        <v>0</v>
      </c>
      <c r="GM10" s="524"/>
      <c r="GN10" s="525">
        <f t="shared" si="63"/>
        <v>0</v>
      </c>
      <c r="GO10" s="526">
        <f t="shared" ref="GO10:GO39" si="175">+GM10*$H$8</f>
        <v>0</v>
      </c>
      <c r="GP10" s="524"/>
      <c r="GQ10" s="525">
        <f t="shared" si="64"/>
        <v>0</v>
      </c>
      <c r="GR10" s="526">
        <f t="shared" ref="GR10:GR39" si="176">+GP10*$H$8</f>
        <v>0</v>
      </c>
      <c r="GS10" s="524"/>
      <c r="GT10" s="525">
        <f t="shared" si="65"/>
        <v>0</v>
      </c>
      <c r="GU10" s="526">
        <f t="shared" ref="GU10:GU39" si="177">+GS10*$H$8</f>
        <v>0</v>
      </c>
      <c r="GV10" s="524"/>
      <c r="GW10" s="525">
        <f t="shared" si="66"/>
        <v>0</v>
      </c>
      <c r="GX10" s="526">
        <f t="shared" ref="GX10:GX39" si="178">+GV10*$H$8</f>
        <v>0</v>
      </c>
      <c r="GY10" s="524"/>
      <c r="GZ10" s="525">
        <f t="shared" si="67"/>
        <v>0</v>
      </c>
      <c r="HA10" s="526">
        <f t="shared" ref="HA10:HA39" si="179">+GY10*$H$8</f>
        <v>0</v>
      </c>
      <c r="HB10" s="524"/>
      <c r="HC10" s="525">
        <f t="shared" si="68"/>
        <v>0</v>
      </c>
      <c r="HD10" s="526">
        <f t="shared" ref="HD10:HD39" si="180">+HB10*$H$8</f>
        <v>0</v>
      </c>
      <c r="HE10" s="524"/>
      <c r="HF10" s="525">
        <f t="shared" si="69"/>
        <v>0</v>
      </c>
      <c r="HG10" s="526">
        <f t="shared" ref="HG10:HG39" si="181">+HE10*$H$8</f>
        <v>0</v>
      </c>
      <c r="HH10" s="524"/>
      <c r="HI10" s="525">
        <f t="shared" si="70"/>
        <v>0</v>
      </c>
      <c r="HJ10" s="526">
        <f t="shared" ref="HJ10:HJ39" si="182">+HH10*$H$8</f>
        <v>0</v>
      </c>
      <c r="HK10" s="524"/>
      <c r="HL10" s="525">
        <f t="shared" si="71"/>
        <v>0</v>
      </c>
      <c r="HM10" s="526">
        <f t="shared" ref="HM10:HM39" si="183">+HK10*$H$8</f>
        <v>0</v>
      </c>
      <c r="HN10" s="524"/>
      <c r="HO10" s="525">
        <f t="shared" si="72"/>
        <v>0</v>
      </c>
      <c r="HP10" s="526">
        <f t="shared" ref="HP10:HP39" si="184">+HN10*$H$8</f>
        <v>0</v>
      </c>
      <c r="HQ10" s="524"/>
      <c r="HR10" s="525">
        <f t="shared" si="73"/>
        <v>0</v>
      </c>
      <c r="HS10" s="526">
        <f t="shared" ref="HS10:HS39" si="185">+HQ10*$H$8</f>
        <v>0</v>
      </c>
      <c r="HT10" s="524"/>
      <c r="HU10" s="525">
        <f t="shared" si="74"/>
        <v>0</v>
      </c>
      <c r="HV10" s="526">
        <f t="shared" ref="HV10:HV39" si="186">+HT10*$H$8</f>
        <v>0</v>
      </c>
      <c r="HW10" s="524"/>
      <c r="HX10" s="525">
        <f t="shared" si="75"/>
        <v>0</v>
      </c>
      <c r="HY10" s="526">
        <f t="shared" ref="HY10:HY39" si="187">+HW10*$H$8</f>
        <v>0</v>
      </c>
      <c r="HZ10" s="524"/>
      <c r="IA10" s="525">
        <f t="shared" si="76"/>
        <v>0</v>
      </c>
      <c r="IB10" s="526">
        <f t="shared" ref="IB10:IB39" si="188">+HZ10*$H$8</f>
        <v>0</v>
      </c>
      <c r="IC10" s="524"/>
      <c r="ID10" s="525">
        <f t="shared" si="77"/>
        <v>0</v>
      </c>
      <c r="IE10" s="526">
        <f t="shared" ref="IE10:IE39" si="189">+IC10*$H$8</f>
        <v>0</v>
      </c>
      <c r="IF10" s="524"/>
      <c r="IG10" s="525">
        <f t="shared" si="78"/>
        <v>0</v>
      </c>
      <c r="IH10" s="526">
        <f t="shared" ref="IH10:IH39" si="190">+IF10*$H$8</f>
        <v>0</v>
      </c>
      <c r="II10" s="524"/>
      <c r="IJ10" s="525">
        <f t="shared" si="79"/>
        <v>0</v>
      </c>
      <c r="IK10" s="526">
        <f t="shared" ref="IK10:IK39" si="191">+II10*$H$8</f>
        <v>0</v>
      </c>
      <c r="IL10" s="524"/>
      <c r="IM10" s="525">
        <f t="shared" si="80"/>
        <v>0</v>
      </c>
      <c r="IN10" s="526">
        <f t="shared" ref="IN10:IN39" si="192">+IL10*$H$8</f>
        <v>0</v>
      </c>
      <c r="IO10" s="524"/>
      <c r="IP10" s="525">
        <f t="shared" si="81"/>
        <v>0</v>
      </c>
      <c r="IQ10" s="526">
        <f t="shared" ref="IQ10:IQ39" si="193">+IO10*$H$8</f>
        <v>0</v>
      </c>
      <c r="IR10" s="524"/>
      <c r="IS10" s="525">
        <f t="shared" si="82"/>
        <v>0</v>
      </c>
      <c r="IT10" s="526">
        <f t="shared" ref="IT10:IT39" si="194">+IR10*$H$8</f>
        <v>0</v>
      </c>
      <c r="IU10" s="524"/>
      <c r="IV10" s="525">
        <f t="shared" si="83"/>
        <v>0</v>
      </c>
      <c r="IW10" s="526">
        <f t="shared" ref="IW10:IW39" si="195">+IU10*$H$8</f>
        <v>0</v>
      </c>
      <c r="IX10" s="524"/>
      <c r="IY10" s="525">
        <f t="shared" si="84"/>
        <v>0</v>
      </c>
      <c r="IZ10" s="526">
        <f t="shared" ref="IZ10:IZ39" si="196">+IX10*$H$8</f>
        <v>0</v>
      </c>
      <c r="JA10" s="524"/>
      <c r="JB10" s="525">
        <f t="shared" si="85"/>
        <v>0</v>
      </c>
      <c r="JC10" s="526">
        <f t="shared" ref="JC10:JC39" si="197">+JA10*$H$8</f>
        <v>0</v>
      </c>
      <c r="JD10" s="524"/>
      <c r="JE10" s="525">
        <f t="shared" si="86"/>
        <v>0</v>
      </c>
      <c r="JF10" s="526">
        <f t="shared" ref="JF10:JF39" si="198">+JD10*$H$8</f>
        <v>0</v>
      </c>
      <c r="JG10" s="524"/>
      <c r="JH10" s="525">
        <f t="shared" si="87"/>
        <v>0</v>
      </c>
      <c r="JI10" s="526">
        <f t="shared" ref="JI10:JI39" si="199">+JG10*$H$8</f>
        <v>0</v>
      </c>
      <c r="JJ10" s="524"/>
      <c r="JK10" s="526" t="str">
        <f t="shared" si="88"/>
        <v>0</v>
      </c>
      <c r="JL10" s="526" t="str">
        <f t="shared" si="89"/>
        <v>0</v>
      </c>
      <c r="JM10" s="524"/>
      <c r="JN10" s="526" t="str">
        <f t="shared" si="90"/>
        <v>0</v>
      </c>
      <c r="JO10" s="526" t="str">
        <f t="shared" si="91"/>
        <v>0</v>
      </c>
      <c r="JP10" s="524"/>
      <c r="JQ10" s="526" t="str">
        <f t="shared" si="92"/>
        <v>0</v>
      </c>
      <c r="JR10" s="526" t="str">
        <f t="shared" si="93"/>
        <v>0</v>
      </c>
      <c r="JS10" s="524"/>
      <c r="JT10" s="526" t="str">
        <f t="shared" si="94"/>
        <v>0</v>
      </c>
      <c r="JU10" s="526" t="str">
        <f t="shared" si="95"/>
        <v>0</v>
      </c>
      <c r="JV10" s="524"/>
      <c r="JW10" s="526" t="str">
        <f t="shared" si="96"/>
        <v>0</v>
      </c>
      <c r="JX10" s="526" t="str">
        <f t="shared" si="97"/>
        <v>0</v>
      </c>
      <c r="JY10" s="524"/>
      <c r="JZ10" s="526" t="str">
        <f t="shared" si="98"/>
        <v>0</v>
      </c>
      <c r="KA10" s="526" t="str">
        <f t="shared" si="99"/>
        <v>0</v>
      </c>
      <c r="KB10" s="524"/>
      <c r="KC10" s="526" t="str">
        <f t="shared" si="100"/>
        <v>0</v>
      </c>
      <c r="KD10" s="526" t="str">
        <f t="shared" si="101"/>
        <v>0</v>
      </c>
      <c r="KE10" s="524"/>
      <c r="KF10" s="526" t="str">
        <f t="shared" si="102"/>
        <v>0</v>
      </c>
      <c r="KG10" s="526" t="str">
        <f t="shared" si="103"/>
        <v>0</v>
      </c>
      <c r="KH10" s="524"/>
      <c r="KI10" s="526" t="str">
        <f t="shared" si="104"/>
        <v>0</v>
      </c>
      <c r="KJ10" s="526" t="str">
        <f t="shared" si="105"/>
        <v>0</v>
      </c>
      <c r="KK10" s="524"/>
      <c r="KL10" s="526" t="str">
        <f t="shared" si="106"/>
        <v>0</v>
      </c>
      <c r="KM10" s="526" t="str">
        <f t="shared" si="107"/>
        <v>0</v>
      </c>
      <c r="KN10" s="524"/>
      <c r="KO10" s="526" t="str">
        <f t="shared" si="108"/>
        <v>0</v>
      </c>
      <c r="KP10" s="526" t="str">
        <f t="shared" si="109"/>
        <v>0</v>
      </c>
      <c r="KQ10" s="524"/>
      <c r="KR10" s="526" t="str">
        <f t="shared" si="110"/>
        <v>0</v>
      </c>
      <c r="KS10" s="526" t="str">
        <f t="shared" si="111"/>
        <v>0</v>
      </c>
      <c r="KT10" s="526">
        <f>H10+K10+N10+Q10+T10+W10+Z10+AC10+AF10+AI10+AL10+AO10+AR10+AU10+AX10+BA10+BD10+BG10+BJ10+BM10+BP10+BS10+BV10+BY10+CB10+CE10+CH10+CK10+CN10+CQ10+CT10+CW10+CZ10+DC10+DF10+DI10+DL10+DO10+DR10+DU10+DX10+EA10+ED10+EG10+EJ10+EM10+EP10+ES10+EV10+EY10+FB10+FE10+FH10+FK10+FN10+FQ10+FT10+FW10+FZ10+GC10</f>
        <v>0</v>
      </c>
      <c r="KU10" s="526">
        <f>GF10+GI10+GL10+GO10+GR10+GU10+GX10+HA10+HD10+HG10+HJ10+HM10+HP10+HS10+HV10+HY10+IB10+IE10+IH10+IK10+IN10+IQ10+IT10+IW10+IZ10+JC10+JF10+JI10+JL10+JO10+JR10+JU10+JX10++KA10+KD10+KG10+KJ10++KM10+KP10+KS10</f>
        <v>0</v>
      </c>
      <c r="KV10" s="262">
        <f t="shared" si="112"/>
        <v>545.92508138034168</v>
      </c>
    </row>
    <row r="11" spans="1:308">
      <c r="A11" s="263">
        <f t="shared" ref="A11:A39" si="200">+A10+1</f>
        <v>45903</v>
      </c>
      <c r="B11" s="264" t="str">
        <f>+Report1!B11</f>
        <v>Facial</v>
      </c>
      <c r="C11" s="264" t="str">
        <f>+Report1!C11</f>
        <v>13/12</v>
      </c>
      <c r="D11" s="265">
        <f>+Report1!P11</f>
        <v>38.158000000000001</v>
      </c>
      <c r="E11" s="556">
        <f>+Report1!R11</f>
        <v>31.742999999999999</v>
      </c>
      <c r="F11" s="524"/>
      <c r="G11" s="525">
        <f t="shared" si="0"/>
        <v>0</v>
      </c>
      <c r="H11" s="526">
        <f t="shared" si="113"/>
        <v>0</v>
      </c>
      <c r="I11" s="524">
        <v>220.93023255813955</v>
      </c>
      <c r="J11" s="525">
        <f t="shared" si="1"/>
        <v>6.9599670024301279</v>
      </c>
      <c r="K11" s="526">
        <f t="shared" si="114"/>
        <v>0</v>
      </c>
      <c r="L11" s="524"/>
      <c r="M11" s="525">
        <f t="shared" si="2"/>
        <v>0</v>
      </c>
      <c r="N11" s="526">
        <f t="shared" si="115"/>
        <v>0</v>
      </c>
      <c r="O11" s="524">
        <v>6</v>
      </c>
      <c r="P11" s="525">
        <f t="shared" si="3"/>
        <v>0.1890180512238919</v>
      </c>
      <c r="Q11" s="526">
        <f t="shared" si="116"/>
        <v>0</v>
      </c>
      <c r="R11" s="524"/>
      <c r="S11" s="525">
        <f t="shared" si="4"/>
        <v>0</v>
      </c>
      <c r="T11" s="526">
        <f t="shared" si="117"/>
        <v>0</v>
      </c>
      <c r="U11" s="524">
        <v>7.6875000000000142</v>
      </c>
      <c r="V11" s="525">
        <f t="shared" si="5"/>
        <v>0.24217937813061194</v>
      </c>
      <c r="W11" s="526">
        <f t="shared" si="118"/>
        <v>0</v>
      </c>
      <c r="X11" s="524"/>
      <c r="Y11" s="525">
        <f t="shared" si="6"/>
        <v>0</v>
      </c>
      <c r="Z11" s="526">
        <f t="shared" si="119"/>
        <v>0</v>
      </c>
      <c r="AA11" s="524">
        <v>4.6875</v>
      </c>
      <c r="AB11" s="525">
        <f t="shared" si="7"/>
        <v>0.14767035251866553</v>
      </c>
      <c r="AC11" s="526">
        <f t="shared" si="120"/>
        <v>0</v>
      </c>
      <c r="AD11" s="524"/>
      <c r="AE11" s="525">
        <f t="shared" si="8"/>
        <v>0</v>
      </c>
      <c r="AF11" s="526">
        <f t="shared" si="121"/>
        <v>0</v>
      </c>
      <c r="AG11" s="524"/>
      <c r="AH11" s="525">
        <f t="shared" si="9"/>
        <v>0</v>
      </c>
      <c r="AI11" s="526">
        <f t="shared" si="122"/>
        <v>0</v>
      </c>
      <c r="AJ11" s="524">
        <v>20.5625</v>
      </c>
      <c r="AK11" s="525">
        <f t="shared" si="10"/>
        <v>0.64778061304854617</v>
      </c>
      <c r="AL11" s="526">
        <f t="shared" si="123"/>
        <v>0</v>
      </c>
      <c r="AM11" s="524"/>
      <c r="AN11" s="525">
        <f t="shared" si="11"/>
        <v>0</v>
      </c>
      <c r="AO11" s="526">
        <f t="shared" si="124"/>
        <v>0</v>
      </c>
      <c r="AP11" s="524">
        <v>59.810126582278542</v>
      </c>
      <c r="AQ11" s="525">
        <f t="shared" si="12"/>
        <v>1.8841989283394305</v>
      </c>
      <c r="AR11" s="526">
        <f t="shared" si="125"/>
        <v>0</v>
      </c>
      <c r="AS11" s="524"/>
      <c r="AT11" s="525">
        <f t="shared" si="13"/>
        <v>0</v>
      </c>
      <c r="AU11" s="526">
        <f t="shared" si="126"/>
        <v>0</v>
      </c>
      <c r="AV11" s="524"/>
      <c r="AW11" s="525">
        <f t="shared" si="14"/>
        <v>0</v>
      </c>
      <c r="AX11" s="526">
        <f t="shared" si="127"/>
        <v>0</v>
      </c>
      <c r="AY11" s="524">
        <v>63</v>
      </c>
      <c r="AZ11" s="525">
        <f t="shared" si="15"/>
        <v>1.9846895378508649</v>
      </c>
      <c r="BA11" s="526">
        <f t="shared" si="128"/>
        <v>0</v>
      </c>
      <c r="BB11" s="524"/>
      <c r="BC11" s="525">
        <f t="shared" si="16"/>
        <v>0</v>
      </c>
      <c r="BD11" s="526">
        <f t="shared" si="129"/>
        <v>0</v>
      </c>
      <c r="BE11" s="524"/>
      <c r="BF11" s="525">
        <f t="shared" si="17"/>
        <v>0</v>
      </c>
      <c r="BG11" s="526">
        <f t="shared" si="130"/>
        <v>0</v>
      </c>
      <c r="BH11" s="524"/>
      <c r="BI11" s="525">
        <f t="shared" si="18"/>
        <v>0</v>
      </c>
      <c r="BJ11" s="526">
        <f t="shared" si="131"/>
        <v>0</v>
      </c>
      <c r="BK11" s="524"/>
      <c r="BL11" s="525">
        <f t="shared" si="19"/>
        <v>0</v>
      </c>
      <c r="BM11" s="526">
        <f t="shared" si="132"/>
        <v>0</v>
      </c>
      <c r="BN11" s="524"/>
      <c r="BO11" s="525">
        <f t="shared" si="20"/>
        <v>0</v>
      </c>
      <c r="BP11" s="526">
        <f t="shared" si="133"/>
        <v>0</v>
      </c>
      <c r="BQ11" s="524"/>
      <c r="BR11" s="525">
        <f t="shared" si="21"/>
        <v>0</v>
      </c>
      <c r="BS11" s="526">
        <f t="shared" si="134"/>
        <v>0</v>
      </c>
      <c r="BT11" s="524"/>
      <c r="BU11" s="525">
        <f t="shared" si="22"/>
        <v>0</v>
      </c>
      <c r="BV11" s="526">
        <f t="shared" si="135"/>
        <v>0</v>
      </c>
      <c r="BW11" s="524"/>
      <c r="BX11" s="525">
        <f t="shared" si="23"/>
        <v>0</v>
      </c>
      <c r="BY11" s="526">
        <f t="shared" si="136"/>
        <v>0</v>
      </c>
      <c r="BZ11" s="524"/>
      <c r="CA11" s="525">
        <f t="shared" si="24"/>
        <v>0</v>
      </c>
      <c r="CB11" s="526">
        <f t="shared" si="137"/>
        <v>0</v>
      </c>
      <c r="CC11" s="524"/>
      <c r="CD11" s="525">
        <f t="shared" si="25"/>
        <v>0</v>
      </c>
      <c r="CE11" s="526">
        <f t="shared" si="138"/>
        <v>0</v>
      </c>
      <c r="CF11" s="524">
        <v>0.60000000000000142</v>
      </c>
      <c r="CG11" s="525">
        <f t="shared" si="26"/>
        <v>1.8901805122389235E-2</v>
      </c>
      <c r="CH11" s="526">
        <f t="shared" si="139"/>
        <v>0</v>
      </c>
      <c r="CI11" s="524"/>
      <c r="CJ11" s="525">
        <f t="shared" si="27"/>
        <v>0</v>
      </c>
      <c r="CK11" s="526">
        <f t="shared" si="140"/>
        <v>0</v>
      </c>
      <c r="CL11" s="524"/>
      <c r="CM11" s="525">
        <f t="shared" si="28"/>
        <v>0</v>
      </c>
      <c r="CN11" s="526">
        <f t="shared" si="141"/>
        <v>0</v>
      </c>
      <c r="CO11" s="524"/>
      <c r="CP11" s="525">
        <f t="shared" si="29"/>
        <v>0</v>
      </c>
      <c r="CQ11" s="526">
        <f t="shared" si="142"/>
        <v>0</v>
      </c>
      <c r="CR11" s="524"/>
      <c r="CS11" s="525">
        <f t="shared" si="30"/>
        <v>0</v>
      </c>
      <c r="CT11" s="526">
        <f t="shared" si="143"/>
        <v>0</v>
      </c>
      <c r="CU11" s="524"/>
      <c r="CV11" s="525">
        <f t="shared" si="31"/>
        <v>0</v>
      </c>
      <c r="CW11" s="526">
        <f t="shared" si="144"/>
        <v>0</v>
      </c>
      <c r="CX11" s="524"/>
      <c r="CY11" s="525">
        <f t="shared" si="32"/>
        <v>0</v>
      </c>
      <c r="CZ11" s="526">
        <f t="shared" si="145"/>
        <v>0</v>
      </c>
      <c r="DA11" s="524"/>
      <c r="DB11" s="525">
        <f t="shared" si="33"/>
        <v>0</v>
      </c>
      <c r="DC11" s="526">
        <f t="shared" si="146"/>
        <v>0</v>
      </c>
      <c r="DD11" s="524"/>
      <c r="DE11" s="525">
        <f t="shared" si="34"/>
        <v>0</v>
      </c>
      <c r="DF11" s="526">
        <f t="shared" si="147"/>
        <v>0</v>
      </c>
      <c r="DG11" s="524"/>
      <c r="DH11" s="525">
        <f t="shared" si="35"/>
        <v>0</v>
      </c>
      <c r="DI11" s="526">
        <v>0</v>
      </c>
      <c r="DJ11" s="524"/>
      <c r="DK11" s="525">
        <f t="shared" si="36"/>
        <v>0</v>
      </c>
      <c r="DL11" s="526">
        <f t="shared" si="148"/>
        <v>0</v>
      </c>
      <c r="DM11" s="524"/>
      <c r="DN11" s="525">
        <f t="shared" si="37"/>
        <v>0</v>
      </c>
      <c r="DO11" s="526">
        <f t="shared" si="149"/>
        <v>0</v>
      </c>
      <c r="DP11" s="524"/>
      <c r="DQ11" s="525">
        <f t="shared" si="38"/>
        <v>0</v>
      </c>
      <c r="DR11" s="526">
        <f t="shared" si="150"/>
        <v>0</v>
      </c>
      <c r="DS11" s="524"/>
      <c r="DT11" s="525">
        <f t="shared" si="39"/>
        <v>0</v>
      </c>
      <c r="DU11" s="526">
        <f t="shared" si="151"/>
        <v>0</v>
      </c>
      <c r="DV11" s="524"/>
      <c r="DW11" s="525">
        <f t="shared" si="40"/>
        <v>0</v>
      </c>
      <c r="DX11" s="526">
        <f t="shared" si="152"/>
        <v>0</v>
      </c>
      <c r="DY11" s="524"/>
      <c r="DZ11" s="525">
        <f t="shared" si="41"/>
        <v>0</v>
      </c>
      <c r="EA11" s="526">
        <f t="shared" si="153"/>
        <v>0</v>
      </c>
      <c r="EB11" s="524"/>
      <c r="EC11" s="525">
        <f t="shared" si="42"/>
        <v>0</v>
      </c>
      <c r="ED11" s="526">
        <f t="shared" si="154"/>
        <v>0</v>
      </c>
      <c r="EE11" s="524">
        <v>14.534883720930168</v>
      </c>
      <c r="EF11" s="525">
        <f t="shared" si="43"/>
        <v>0.45789256594934846</v>
      </c>
      <c r="EG11" s="526">
        <f t="shared" si="155"/>
        <v>0</v>
      </c>
      <c r="EH11" s="524">
        <v>46.964705882352973</v>
      </c>
      <c r="EI11" s="525">
        <f t="shared" si="44"/>
        <v>1.4795295303642686</v>
      </c>
      <c r="EJ11" s="526">
        <f t="shared" si="156"/>
        <v>0</v>
      </c>
      <c r="EK11" s="524">
        <v>3</v>
      </c>
      <c r="EL11" s="525">
        <f t="shared" si="45"/>
        <v>9.4509025611945949E-2</v>
      </c>
      <c r="EM11" s="526">
        <f t="shared" si="157"/>
        <v>0</v>
      </c>
      <c r="EN11" s="524"/>
      <c r="EO11" s="525">
        <f t="shared" si="46"/>
        <v>0</v>
      </c>
      <c r="EP11" s="526">
        <f t="shared" si="158"/>
        <v>0</v>
      </c>
      <c r="EQ11" s="524"/>
      <c r="ER11" s="525">
        <f t="shared" si="47"/>
        <v>0</v>
      </c>
      <c r="ES11" s="526">
        <f t="shared" si="159"/>
        <v>0</v>
      </c>
      <c r="ET11" s="524"/>
      <c r="EU11" s="525">
        <f t="shared" si="48"/>
        <v>0</v>
      </c>
      <c r="EV11" s="526">
        <f t="shared" si="160"/>
        <v>0</v>
      </c>
      <c r="EW11" s="524"/>
      <c r="EX11" s="525">
        <f t="shared" si="49"/>
        <v>0</v>
      </c>
      <c r="EY11" s="526">
        <f t="shared" si="161"/>
        <v>0</v>
      </c>
      <c r="EZ11" s="524"/>
      <c r="FA11" s="525">
        <f t="shared" si="50"/>
        <v>0</v>
      </c>
      <c r="FB11" s="526">
        <f t="shared" si="162"/>
        <v>0</v>
      </c>
      <c r="FC11" s="524"/>
      <c r="FD11" s="525">
        <f t="shared" si="51"/>
        <v>0</v>
      </c>
      <c r="FE11" s="526">
        <f t="shared" si="163"/>
        <v>0</v>
      </c>
      <c r="FF11" s="524"/>
      <c r="FG11" s="525">
        <f t="shared" si="52"/>
        <v>0</v>
      </c>
      <c r="FH11" s="526">
        <f t="shared" si="164"/>
        <v>0</v>
      </c>
      <c r="FI11" s="524"/>
      <c r="FJ11" s="525">
        <f t="shared" si="53"/>
        <v>0</v>
      </c>
      <c r="FK11" s="526">
        <f t="shared" si="165"/>
        <v>0</v>
      </c>
      <c r="FL11" s="524"/>
      <c r="FM11" s="525">
        <f t="shared" si="54"/>
        <v>0</v>
      </c>
      <c r="FN11" s="526">
        <f t="shared" si="166"/>
        <v>0</v>
      </c>
      <c r="FO11" s="524"/>
      <c r="FP11" s="525">
        <f t="shared" si="55"/>
        <v>0</v>
      </c>
      <c r="FQ11" s="526">
        <f t="shared" si="167"/>
        <v>0</v>
      </c>
      <c r="FR11" s="524"/>
      <c r="FS11" s="525">
        <f t="shared" si="56"/>
        <v>0</v>
      </c>
      <c r="FT11" s="526">
        <f t="shared" si="168"/>
        <v>0</v>
      </c>
      <c r="FU11" s="524"/>
      <c r="FV11" s="525">
        <f t="shared" si="57"/>
        <v>0</v>
      </c>
      <c r="FW11" s="526">
        <f t="shared" si="169"/>
        <v>0</v>
      </c>
      <c r="FX11" s="524"/>
      <c r="FY11" s="525">
        <f t="shared" si="58"/>
        <v>0</v>
      </c>
      <c r="FZ11" s="526">
        <f t="shared" si="170"/>
        <v>0</v>
      </c>
      <c r="GA11" s="524"/>
      <c r="GB11" s="525">
        <f t="shared" si="59"/>
        <v>0</v>
      </c>
      <c r="GC11" s="526">
        <f t="shared" si="171"/>
        <v>0</v>
      </c>
      <c r="GD11" s="524"/>
      <c r="GE11" s="525">
        <f t="shared" si="60"/>
        <v>0</v>
      </c>
      <c r="GF11" s="526">
        <f t="shared" si="172"/>
        <v>0</v>
      </c>
      <c r="GG11" s="524"/>
      <c r="GH11" s="525">
        <f t="shared" si="61"/>
        <v>0</v>
      </c>
      <c r="GI11" s="526">
        <f t="shared" si="173"/>
        <v>0</v>
      </c>
      <c r="GJ11" s="524"/>
      <c r="GK11" s="525">
        <f t="shared" si="62"/>
        <v>0</v>
      </c>
      <c r="GL11" s="526">
        <f t="shared" si="174"/>
        <v>0</v>
      </c>
      <c r="GM11" s="524"/>
      <c r="GN11" s="525">
        <f t="shared" si="63"/>
        <v>0</v>
      </c>
      <c r="GO11" s="526">
        <f t="shared" si="175"/>
        <v>0</v>
      </c>
      <c r="GP11" s="524"/>
      <c r="GQ11" s="525">
        <f t="shared" si="64"/>
        <v>0</v>
      </c>
      <c r="GR11" s="526">
        <f t="shared" si="176"/>
        <v>0</v>
      </c>
      <c r="GS11" s="524"/>
      <c r="GT11" s="525">
        <f t="shared" si="65"/>
        <v>0</v>
      </c>
      <c r="GU11" s="526">
        <f t="shared" si="177"/>
        <v>0</v>
      </c>
      <c r="GV11" s="524"/>
      <c r="GW11" s="525">
        <f t="shared" si="66"/>
        <v>0</v>
      </c>
      <c r="GX11" s="526">
        <f t="shared" si="178"/>
        <v>0</v>
      </c>
      <c r="GY11" s="524"/>
      <c r="GZ11" s="525">
        <f t="shared" si="67"/>
        <v>0</v>
      </c>
      <c r="HA11" s="526">
        <f t="shared" si="179"/>
        <v>0</v>
      </c>
      <c r="HB11" s="524"/>
      <c r="HC11" s="525">
        <f t="shared" si="68"/>
        <v>0</v>
      </c>
      <c r="HD11" s="526">
        <f t="shared" si="180"/>
        <v>0</v>
      </c>
      <c r="HE11" s="524"/>
      <c r="HF11" s="525">
        <f t="shared" si="69"/>
        <v>0</v>
      </c>
      <c r="HG11" s="526">
        <f t="shared" si="181"/>
        <v>0</v>
      </c>
      <c r="HH11" s="524"/>
      <c r="HI11" s="525">
        <f t="shared" si="70"/>
        <v>0</v>
      </c>
      <c r="HJ11" s="526">
        <f t="shared" si="182"/>
        <v>0</v>
      </c>
      <c r="HK11" s="524"/>
      <c r="HL11" s="525">
        <f t="shared" si="71"/>
        <v>0</v>
      </c>
      <c r="HM11" s="526">
        <f t="shared" si="183"/>
        <v>0</v>
      </c>
      <c r="HN11" s="524"/>
      <c r="HO11" s="525">
        <f t="shared" si="72"/>
        <v>0</v>
      </c>
      <c r="HP11" s="526">
        <f t="shared" si="184"/>
        <v>0</v>
      </c>
      <c r="HQ11" s="524"/>
      <c r="HR11" s="525">
        <f t="shared" si="73"/>
        <v>0</v>
      </c>
      <c r="HS11" s="526">
        <f t="shared" si="185"/>
        <v>0</v>
      </c>
      <c r="HT11" s="524"/>
      <c r="HU11" s="525">
        <f t="shared" si="74"/>
        <v>0</v>
      </c>
      <c r="HV11" s="526">
        <f t="shared" si="186"/>
        <v>0</v>
      </c>
      <c r="HW11" s="524"/>
      <c r="HX11" s="525">
        <f t="shared" si="75"/>
        <v>0</v>
      </c>
      <c r="HY11" s="526">
        <f t="shared" si="187"/>
        <v>0</v>
      </c>
      <c r="HZ11" s="524"/>
      <c r="IA11" s="525">
        <f t="shared" si="76"/>
        <v>0</v>
      </c>
      <c r="IB11" s="526">
        <f t="shared" si="188"/>
        <v>0</v>
      </c>
      <c r="IC11" s="524"/>
      <c r="ID11" s="525">
        <f t="shared" si="77"/>
        <v>0</v>
      </c>
      <c r="IE11" s="526">
        <f t="shared" si="189"/>
        <v>0</v>
      </c>
      <c r="IF11" s="524"/>
      <c r="IG11" s="525">
        <f t="shared" si="78"/>
        <v>0</v>
      </c>
      <c r="IH11" s="526">
        <f t="shared" si="190"/>
        <v>0</v>
      </c>
      <c r="II11" s="524"/>
      <c r="IJ11" s="525">
        <f t="shared" si="79"/>
        <v>0</v>
      </c>
      <c r="IK11" s="526">
        <f t="shared" si="191"/>
        <v>0</v>
      </c>
      <c r="IL11" s="524"/>
      <c r="IM11" s="525">
        <f t="shared" si="80"/>
        <v>0</v>
      </c>
      <c r="IN11" s="526">
        <f t="shared" si="192"/>
        <v>0</v>
      </c>
      <c r="IO11" s="524"/>
      <c r="IP11" s="525">
        <f t="shared" si="81"/>
        <v>0</v>
      </c>
      <c r="IQ11" s="526">
        <f t="shared" si="193"/>
        <v>0</v>
      </c>
      <c r="IR11" s="524"/>
      <c r="IS11" s="525">
        <f t="shared" si="82"/>
        <v>0</v>
      </c>
      <c r="IT11" s="526">
        <f t="shared" si="194"/>
        <v>0</v>
      </c>
      <c r="IU11" s="524"/>
      <c r="IV11" s="525">
        <f t="shared" si="83"/>
        <v>0</v>
      </c>
      <c r="IW11" s="526">
        <f t="shared" si="195"/>
        <v>0</v>
      </c>
      <c r="IX11" s="524"/>
      <c r="IY11" s="525">
        <f t="shared" si="84"/>
        <v>0</v>
      </c>
      <c r="IZ11" s="526">
        <f t="shared" si="196"/>
        <v>0</v>
      </c>
      <c r="JA11" s="524"/>
      <c r="JB11" s="525">
        <f t="shared" si="85"/>
        <v>0</v>
      </c>
      <c r="JC11" s="526">
        <f t="shared" si="197"/>
        <v>0</v>
      </c>
      <c r="JD11" s="524"/>
      <c r="JE11" s="525">
        <f t="shared" si="86"/>
        <v>0</v>
      </c>
      <c r="JF11" s="526">
        <f t="shared" si="198"/>
        <v>0</v>
      </c>
      <c r="JG11" s="524"/>
      <c r="JH11" s="525">
        <f t="shared" si="87"/>
        <v>0</v>
      </c>
      <c r="JI11" s="526">
        <f t="shared" si="199"/>
        <v>0</v>
      </c>
      <c r="JJ11" s="524"/>
      <c r="JK11" s="526" t="str">
        <f t="shared" si="88"/>
        <v>0</v>
      </c>
      <c r="JL11" s="526" t="str">
        <f t="shared" si="89"/>
        <v>0</v>
      </c>
      <c r="JM11" s="524"/>
      <c r="JN11" s="526" t="str">
        <f t="shared" si="90"/>
        <v>0</v>
      </c>
      <c r="JO11" s="526" t="str">
        <f t="shared" si="91"/>
        <v>0</v>
      </c>
      <c r="JP11" s="524"/>
      <c r="JQ11" s="526" t="str">
        <f t="shared" si="92"/>
        <v>0</v>
      </c>
      <c r="JR11" s="526" t="str">
        <f t="shared" si="93"/>
        <v>0</v>
      </c>
      <c r="JS11" s="524"/>
      <c r="JT11" s="526" t="str">
        <f t="shared" si="94"/>
        <v>0</v>
      </c>
      <c r="JU11" s="526" t="str">
        <f t="shared" si="95"/>
        <v>0</v>
      </c>
      <c r="JV11" s="524"/>
      <c r="JW11" s="526" t="str">
        <f t="shared" si="96"/>
        <v>0</v>
      </c>
      <c r="JX11" s="526" t="str">
        <f t="shared" si="97"/>
        <v>0</v>
      </c>
      <c r="JY11" s="524"/>
      <c r="JZ11" s="526" t="str">
        <f t="shared" si="98"/>
        <v>0</v>
      </c>
      <c r="KA11" s="526" t="str">
        <f t="shared" si="99"/>
        <v>0</v>
      </c>
      <c r="KB11" s="524"/>
      <c r="KC11" s="526" t="str">
        <f t="shared" si="100"/>
        <v>0</v>
      </c>
      <c r="KD11" s="526" t="str">
        <f t="shared" si="101"/>
        <v>0</v>
      </c>
      <c r="KE11" s="524"/>
      <c r="KF11" s="526" t="str">
        <f t="shared" si="102"/>
        <v>0</v>
      </c>
      <c r="KG11" s="526" t="str">
        <f t="shared" si="103"/>
        <v>0</v>
      </c>
      <c r="KH11" s="524"/>
      <c r="KI11" s="526" t="str">
        <f t="shared" si="104"/>
        <v>0</v>
      </c>
      <c r="KJ11" s="526" t="str">
        <f t="shared" si="105"/>
        <v>0</v>
      </c>
      <c r="KK11" s="524"/>
      <c r="KL11" s="526" t="str">
        <f t="shared" si="106"/>
        <v>0</v>
      </c>
      <c r="KM11" s="526" t="str">
        <f t="shared" si="107"/>
        <v>0</v>
      </c>
      <c r="KN11" s="524"/>
      <c r="KO11" s="526" t="str">
        <f t="shared" si="108"/>
        <v>0</v>
      </c>
      <c r="KP11" s="526" t="str">
        <f t="shared" si="109"/>
        <v>0</v>
      </c>
      <c r="KQ11" s="524"/>
      <c r="KR11" s="526" t="str">
        <f t="shared" si="110"/>
        <v>0</v>
      </c>
      <c r="KS11" s="526" t="str">
        <f t="shared" si="111"/>
        <v>0</v>
      </c>
      <c r="KT11" s="526">
        <f t="shared" ref="KT11:KT41" si="201">H11+K11+N11+Q11+T11+W11+Z11+AC11+AF11+AI11+AL11+AO11+AR11+AU11+AX11+BA11+BD11+BG11+BJ11+BM11+BP11+BS11+BV11+BY11+CB11+CE11+CH11+CK11+CN11+CQ11+CT11+CW11+CZ11+DC11+DF11+DI11+DL11+DO11+DR11+DU11+DX11+EA11+ED11+EG11+EJ11+EM11+EP11+ES11+EV11+EY11+FB11+FE11+FH11+FK11+FN11+FQ11+FT11+FW11+FZ11+GC11</f>
        <v>0</v>
      </c>
      <c r="KU11" s="526">
        <f t="shared" ref="KU11:KU41" si="202">GF11+GI11+GL11+GO11+GR11+GU11+GX11+HA11+HD11+HG11+HJ11+HM11+HP11+HS11+HV11+HY11+IB11+IE11+IH11+IK11+IN11+IQ11+IT11+IW11+IZ11+JC11+JF11+JI11+JL11+JO11+JR11+JU11+JX11++KA11+KD11+KG11+KJ11++KM11+KP11+KS11</f>
        <v>0</v>
      </c>
      <c r="KV11" s="262">
        <f t="shared" si="112"/>
        <v>447.77744874370126</v>
      </c>
    </row>
    <row r="12" spans="1:308">
      <c r="A12" s="263">
        <f t="shared" si="200"/>
        <v>45904</v>
      </c>
      <c r="B12" s="264" t="str">
        <f>+Report1!B12</f>
        <v>Facial</v>
      </c>
      <c r="C12" s="264" t="str">
        <f>+Report1!C12</f>
        <v>12/14</v>
      </c>
      <c r="D12" s="265">
        <f>+Report1!P12</f>
        <v>41.57</v>
      </c>
      <c r="E12" s="556">
        <f>+Report1!R12</f>
        <v>40.655999999999999</v>
      </c>
      <c r="F12" s="524"/>
      <c r="G12" s="525">
        <f t="shared" si="0"/>
        <v>0</v>
      </c>
      <c r="H12" s="526">
        <f t="shared" si="113"/>
        <v>0</v>
      </c>
      <c r="I12" s="524">
        <v>183.32549767441867</v>
      </c>
      <c r="J12" s="525">
        <f t="shared" si="1"/>
        <v>4.5091867786899513</v>
      </c>
      <c r="K12" s="526">
        <f t="shared" si="114"/>
        <v>0</v>
      </c>
      <c r="L12" s="524"/>
      <c r="M12" s="525">
        <f t="shared" si="2"/>
        <v>0</v>
      </c>
      <c r="N12" s="526">
        <f t="shared" si="115"/>
        <v>0</v>
      </c>
      <c r="O12" s="524">
        <v>5.9116000000000071</v>
      </c>
      <c r="P12" s="525">
        <f t="shared" si="3"/>
        <v>0.14540535222353421</v>
      </c>
      <c r="Q12" s="526">
        <f t="shared" si="116"/>
        <v>0</v>
      </c>
      <c r="R12" s="524"/>
      <c r="S12" s="525">
        <f t="shared" si="4"/>
        <v>0</v>
      </c>
      <c r="T12" s="526">
        <f t="shared" si="117"/>
        <v>0</v>
      </c>
      <c r="U12" s="524">
        <v>5.9116000000000071</v>
      </c>
      <c r="V12" s="525">
        <f t="shared" si="5"/>
        <v>0.14540535222353421</v>
      </c>
      <c r="W12" s="526">
        <f t="shared" si="118"/>
        <v>0</v>
      </c>
      <c r="X12" s="524"/>
      <c r="Y12" s="525">
        <f t="shared" si="6"/>
        <v>0</v>
      </c>
      <c r="Z12" s="526">
        <f t="shared" si="119"/>
        <v>0</v>
      </c>
      <c r="AA12" s="524">
        <v>3.90625</v>
      </c>
      <c r="AB12" s="525">
        <f t="shared" si="7"/>
        <v>9.6080529319165692E-2</v>
      </c>
      <c r="AC12" s="526">
        <f t="shared" si="120"/>
        <v>0</v>
      </c>
      <c r="AD12" s="524"/>
      <c r="AE12" s="525">
        <f t="shared" si="8"/>
        <v>0</v>
      </c>
      <c r="AF12" s="526">
        <f t="shared" si="121"/>
        <v>0</v>
      </c>
      <c r="AG12" s="524"/>
      <c r="AH12" s="525">
        <f t="shared" si="9"/>
        <v>0</v>
      </c>
      <c r="AI12" s="526">
        <f t="shared" si="122"/>
        <v>0</v>
      </c>
      <c r="AJ12" s="524"/>
      <c r="AK12" s="525">
        <f t="shared" si="10"/>
        <v>0</v>
      </c>
      <c r="AL12" s="526">
        <f t="shared" si="123"/>
        <v>0</v>
      </c>
      <c r="AM12" s="524"/>
      <c r="AN12" s="525">
        <f t="shared" si="11"/>
        <v>0</v>
      </c>
      <c r="AO12" s="526">
        <f t="shared" si="124"/>
        <v>0</v>
      </c>
      <c r="AP12" s="524">
        <v>49.114021518987329</v>
      </c>
      <c r="AQ12" s="525">
        <f t="shared" si="12"/>
        <v>1.2080387032415223</v>
      </c>
      <c r="AR12" s="526">
        <f t="shared" si="125"/>
        <v>0</v>
      </c>
      <c r="AS12" s="524"/>
      <c r="AT12" s="525">
        <f t="shared" si="13"/>
        <v>0</v>
      </c>
      <c r="AU12" s="526">
        <f t="shared" si="126"/>
        <v>0</v>
      </c>
      <c r="AV12" s="524"/>
      <c r="AW12" s="525">
        <f t="shared" si="14"/>
        <v>0</v>
      </c>
      <c r="AX12" s="526">
        <f t="shared" si="127"/>
        <v>0</v>
      </c>
      <c r="AY12" s="524">
        <v>55.180399999999963</v>
      </c>
      <c r="AZ12" s="525">
        <f t="shared" si="15"/>
        <v>1.3572510822510815</v>
      </c>
      <c r="BA12" s="526">
        <f t="shared" si="128"/>
        <v>0</v>
      </c>
      <c r="BB12" s="524"/>
      <c r="BC12" s="525">
        <f t="shared" si="16"/>
        <v>0</v>
      </c>
      <c r="BD12" s="526">
        <f t="shared" si="129"/>
        <v>0</v>
      </c>
      <c r="BE12" s="524"/>
      <c r="BF12" s="525">
        <f t="shared" si="17"/>
        <v>0</v>
      </c>
      <c r="BG12" s="526">
        <f t="shared" si="130"/>
        <v>0</v>
      </c>
      <c r="BH12" s="524"/>
      <c r="BI12" s="525">
        <f t="shared" si="18"/>
        <v>0</v>
      </c>
      <c r="BJ12" s="526">
        <f t="shared" si="131"/>
        <v>0</v>
      </c>
      <c r="BK12" s="524"/>
      <c r="BL12" s="525">
        <f t="shared" si="19"/>
        <v>0</v>
      </c>
      <c r="BM12" s="526">
        <f t="shared" si="132"/>
        <v>0</v>
      </c>
      <c r="BN12" s="524"/>
      <c r="BO12" s="525">
        <f t="shared" si="20"/>
        <v>0</v>
      </c>
      <c r="BP12" s="526">
        <f t="shared" si="133"/>
        <v>0</v>
      </c>
      <c r="BQ12" s="524">
        <v>460.75949367088629</v>
      </c>
      <c r="BR12" s="525">
        <f t="shared" si="21"/>
        <v>11.333124106426759</v>
      </c>
      <c r="BS12" s="526">
        <f t="shared" si="134"/>
        <v>0</v>
      </c>
      <c r="BT12" s="524"/>
      <c r="BU12" s="525">
        <f t="shared" si="22"/>
        <v>0</v>
      </c>
      <c r="BV12" s="526">
        <f t="shared" si="135"/>
        <v>0</v>
      </c>
      <c r="BW12" s="524"/>
      <c r="BX12" s="525">
        <f t="shared" si="23"/>
        <v>0</v>
      </c>
      <c r="BY12" s="526">
        <f t="shared" si="136"/>
        <v>0</v>
      </c>
      <c r="BZ12" s="524"/>
      <c r="CA12" s="525">
        <f t="shared" si="24"/>
        <v>0</v>
      </c>
      <c r="CB12" s="526">
        <f t="shared" si="137"/>
        <v>0</v>
      </c>
      <c r="CC12" s="524">
        <v>5</v>
      </c>
      <c r="CD12" s="525">
        <f t="shared" si="25"/>
        <v>0.12298307752853208</v>
      </c>
      <c r="CE12" s="526">
        <f t="shared" si="138"/>
        <v>0</v>
      </c>
      <c r="CF12" s="524">
        <v>0.59999999999999964</v>
      </c>
      <c r="CG12" s="525">
        <f t="shared" si="26"/>
        <v>1.4757969303423841E-2</v>
      </c>
      <c r="CH12" s="526">
        <f t="shared" si="139"/>
        <v>0</v>
      </c>
      <c r="CI12" s="524"/>
      <c r="CJ12" s="525">
        <f t="shared" si="27"/>
        <v>0</v>
      </c>
      <c r="CK12" s="526">
        <f t="shared" si="140"/>
        <v>0</v>
      </c>
      <c r="CL12" s="524"/>
      <c r="CM12" s="525">
        <f t="shared" si="28"/>
        <v>0</v>
      </c>
      <c r="CN12" s="526">
        <f t="shared" si="141"/>
        <v>0</v>
      </c>
      <c r="CO12" s="524"/>
      <c r="CP12" s="525">
        <f t="shared" si="29"/>
        <v>0</v>
      </c>
      <c r="CQ12" s="526">
        <f t="shared" si="142"/>
        <v>0</v>
      </c>
      <c r="CR12" s="524"/>
      <c r="CS12" s="525">
        <f t="shared" si="30"/>
        <v>0</v>
      </c>
      <c r="CT12" s="526">
        <f t="shared" si="143"/>
        <v>0</v>
      </c>
      <c r="CU12" s="524"/>
      <c r="CV12" s="525">
        <f t="shared" si="31"/>
        <v>0</v>
      </c>
      <c r="CW12" s="526">
        <f t="shared" si="144"/>
        <v>0</v>
      </c>
      <c r="CX12" s="524"/>
      <c r="CY12" s="525">
        <f t="shared" si="32"/>
        <v>0</v>
      </c>
      <c r="CZ12" s="526">
        <f t="shared" si="145"/>
        <v>0</v>
      </c>
      <c r="DA12" s="524"/>
      <c r="DB12" s="525">
        <f t="shared" si="33"/>
        <v>0</v>
      </c>
      <c r="DC12" s="526">
        <f t="shared" si="146"/>
        <v>0</v>
      </c>
      <c r="DD12" s="524"/>
      <c r="DE12" s="525">
        <f t="shared" si="34"/>
        <v>0</v>
      </c>
      <c r="DF12" s="526">
        <f t="shared" si="147"/>
        <v>0</v>
      </c>
      <c r="DG12" s="524"/>
      <c r="DH12" s="525">
        <f t="shared" si="35"/>
        <v>0</v>
      </c>
      <c r="DI12" s="526">
        <v>0</v>
      </c>
      <c r="DJ12" s="524"/>
      <c r="DK12" s="525">
        <f t="shared" si="36"/>
        <v>0</v>
      </c>
      <c r="DL12" s="526">
        <f t="shared" si="148"/>
        <v>0</v>
      </c>
      <c r="DM12" s="524"/>
      <c r="DN12" s="525">
        <f t="shared" si="37"/>
        <v>0</v>
      </c>
      <c r="DO12" s="526">
        <f t="shared" si="149"/>
        <v>0</v>
      </c>
      <c r="DP12" s="524"/>
      <c r="DQ12" s="525">
        <f t="shared" si="38"/>
        <v>0</v>
      </c>
      <c r="DR12" s="526">
        <f t="shared" si="150"/>
        <v>0</v>
      </c>
      <c r="DS12" s="524"/>
      <c r="DT12" s="525">
        <f t="shared" si="39"/>
        <v>0</v>
      </c>
      <c r="DU12" s="526">
        <f t="shared" si="151"/>
        <v>0</v>
      </c>
      <c r="DV12" s="524"/>
      <c r="DW12" s="525">
        <f t="shared" si="40"/>
        <v>0</v>
      </c>
      <c r="DX12" s="526">
        <f t="shared" si="152"/>
        <v>0</v>
      </c>
      <c r="DY12" s="524"/>
      <c r="DZ12" s="525">
        <f t="shared" si="41"/>
        <v>0</v>
      </c>
      <c r="EA12" s="526">
        <f t="shared" si="153"/>
        <v>0</v>
      </c>
      <c r="EB12" s="524"/>
      <c r="EC12" s="525">
        <f t="shared" si="42"/>
        <v>0</v>
      </c>
      <c r="ED12" s="526">
        <f t="shared" si="154"/>
        <v>0</v>
      </c>
      <c r="EE12" s="524">
        <v>14.534883720930253</v>
      </c>
      <c r="EF12" s="525">
        <f t="shared" si="43"/>
        <v>0.35750894630387281</v>
      </c>
      <c r="EG12" s="526">
        <f t="shared" si="155"/>
        <v>0</v>
      </c>
      <c r="EH12" s="524">
        <v>46.284117647058736</v>
      </c>
      <c r="EI12" s="525">
        <f t="shared" si="44"/>
        <v>1.1384326457855849</v>
      </c>
      <c r="EJ12" s="526">
        <f t="shared" si="156"/>
        <v>0</v>
      </c>
      <c r="EK12" s="524">
        <v>2.5</v>
      </c>
      <c r="EL12" s="525">
        <f t="shared" si="45"/>
        <v>6.1491538764266038E-2</v>
      </c>
      <c r="EM12" s="526">
        <f t="shared" si="157"/>
        <v>0</v>
      </c>
      <c r="EN12" s="524"/>
      <c r="EO12" s="525">
        <f t="shared" si="46"/>
        <v>0</v>
      </c>
      <c r="EP12" s="526">
        <f t="shared" si="158"/>
        <v>0</v>
      </c>
      <c r="EQ12" s="524"/>
      <c r="ER12" s="525">
        <f t="shared" si="47"/>
        <v>0</v>
      </c>
      <c r="ES12" s="526">
        <f t="shared" si="159"/>
        <v>0</v>
      </c>
      <c r="ET12" s="524"/>
      <c r="EU12" s="525">
        <f t="shared" si="48"/>
        <v>0</v>
      </c>
      <c r="EV12" s="526">
        <f t="shared" si="160"/>
        <v>0</v>
      </c>
      <c r="EW12" s="524"/>
      <c r="EX12" s="525">
        <f t="shared" si="49"/>
        <v>0</v>
      </c>
      <c r="EY12" s="526">
        <f t="shared" si="161"/>
        <v>0</v>
      </c>
      <c r="EZ12" s="524"/>
      <c r="FA12" s="525">
        <f t="shared" si="50"/>
        <v>0</v>
      </c>
      <c r="FB12" s="526">
        <f t="shared" si="162"/>
        <v>0</v>
      </c>
      <c r="FC12" s="524"/>
      <c r="FD12" s="525">
        <f t="shared" si="51"/>
        <v>0</v>
      </c>
      <c r="FE12" s="526">
        <f t="shared" si="163"/>
        <v>0</v>
      </c>
      <c r="FF12" s="524"/>
      <c r="FG12" s="525">
        <f t="shared" si="52"/>
        <v>0</v>
      </c>
      <c r="FH12" s="526">
        <f t="shared" si="164"/>
        <v>0</v>
      </c>
      <c r="FI12" s="524"/>
      <c r="FJ12" s="525">
        <f t="shared" si="53"/>
        <v>0</v>
      </c>
      <c r="FK12" s="526">
        <f t="shared" si="165"/>
        <v>0</v>
      </c>
      <c r="FL12" s="524"/>
      <c r="FM12" s="525">
        <f t="shared" si="54"/>
        <v>0</v>
      </c>
      <c r="FN12" s="526">
        <f t="shared" si="166"/>
        <v>0</v>
      </c>
      <c r="FO12" s="524"/>
      <c r="FP12" s="525">
        <f t="shared" si="55"/>
        <v>0</v>
      </c>
      <c r="FQ12" s="526">
        <f t="shared" si="167"/>
        <v>0</v>
      </c>
      <c r="FR12" s="524"/>
      <c r="FS12" s="525">
        <f t="shared" si="56"/>
        <v>0</v>
      </c>
      <c r="FT12" s="526">
        <f t="shared" si="168"/>
        <v>0</v>
      </c>
      <c r="FU12" s="524"/>
      <c r="FV12" s="525">
        <f t="shared" si="57"/>
        <v>0</v>
      </c>
      <c r="FW12" s="526">
        <f t="shared" si="169"/>
        <v>0</v>
      </c>
      <c r="FX12" s="524"/>
      <c r="FY12" s="525">
        <f t="shared" si="58"/>
        <v>0</v>
      </c>
      <c r="FZ12" s="526">
        <f t="shared" si="170"/>
        <v>0</v>
      </c>
      <c r="GA12" s="524"/>
      <c r="GB12" s="525">
        <f t="shared" si="59"/>
        <v>0</v>
      </c>
      <c r="GC12" s="526">
        <f t="shared" si="171"/>
        <v>0</v>
      </c>
      <c r="GD12" s="524"/>
      <c r="GE12" s="525">
        <f t="shared" si="60"/>
        <v>0</v>
      </c>
      <c r="GF12" s="526">
        <f t="shared" si="172"/>
        <v>0</v>
      </c>
      <c r="GG12" s="524"/>
      <c r="GH12" s="525">
        <f t="shared" si="61"/>
        <v>0</v>
      </c>
      <c r="GI12" s="526">
        <f t="shared" si="173"/>
        <v>0</v>
      </c>
      <c r="GJ12" s="524"/>
      <c r="GK12" s="525">
        <f t="shared" si="62"/>
        <v>0</v>
      </c>
      <c r="GL12" s="526">
        <f t="shared" si="174"/>
        <v>0</v>
      </c>
      <c r="GM12" s="524"/>
      <c r="GN12" s="525">
        <f t="shared" si="63"/>
        <v>0</v>
      </c>
      <c r="GO12" s="526">
        <f t="shared" si="175"/>
        <v>0</v>
      </c>
      <c r="GP12" s="524"/>
      <c r="GQ12" s="525">
        <f t="shared" si="64"/>
        <v>0</v>
      </c>
      <c r="GR12" s="526">
        <f t="shared" si="176"/>
        <v>0</v>
      </c>
      <c r="GS12" s="524"/>
      <c r="GT12" s="525">
        <f t="shared" si="65"/>
        <v>0</v>
      </c>
      <c r="GU12" s="526">
        <f t="shared" si="177"/>
        <v>0</v>
      </c>
      <c r="GV12" s="524"/>
      <c r="GW12" s="525">
        <f t="shared" si="66"/>
        <v>0</v>
      </c>
      <c r="GX12" s="526">
        <f t="shared" si="178"/>
        <v>0</v>
      </c>
      <c r="GY12" s="524"/>
      <c r="GZ12" s="525">
        <f t="shared" si="67"/>
        <v>0</v>
      </c>
      <c r="HA12" s="526">
        <f t="shared" si="179"/>
        <v>0</v>
      </c>
      <c r="HB12" s="524"/>
      <c r="HC12" s="525">
        <f t="shared" si="68"/>
        <v>0</v>
      </c>
      <c r="HD12" s="526">
        <f t="shared" si="180"/>
        <v>0</v>
      </c>
      <c r="HE12" s="524"/>
      <c r="HF12" s="525">
        <f t="shared" si="69"/>
        <v>0</v>
      </c>
      <c r="HG12" s="526">
        <f t="shared" si="181"/>
        <v>0</v>
      </c>
      <c r="HH12" s="524"/>
      <c r="HI12" s="525">
        <f t="shared" si="70"/>
        <v>0</v>
      </c>
      <c r="HJ12" s="526">
        <f t="shared" si="182"/>
        <v>0</v>
      </c>
      <c r="HK12" s="524"/>
      <c r="HL12" s="525">
        <f t="shared" si="71"/>
        <v>0</v>
      </c>
      <c r="HM12" s="526">
        <f t="shared" si="183"/>
        <v>0</v>
      </c>
      <c r="HN12" s="524"/>
      <c r="HO12" s="525">
        <f t="shared" si="72"/>
        <v>0</v>
      </c>
      <c r="HP12" s="526">
        <f t="shared" si="184"/>
        <v>0</v>
      </c>
      <c r="HQ12" s="524"/>
      <c r="HR12" s="525">
        <f t="shared" si="73"/>
        <v>0</v>
      </c>
      <c r="HS12" s="526">
        <f t="shared" si="185"/>
        <v>0</v>
      </c>
      <c r="HT12" s="524"/>
      <c r="HU12" s="525">
        <f t="shared" si="74"/>
        <v>0</v>
      </c>
      <c r="HV12" s="526">
        <f t="shared" si="186"/>
        <v>0</v>
      </c>
      <c r="HW12" s="524"/>
      <c r="HX12" s="525">
        <f t="shared" si="75"/>
        <v>0</v>
      </c>
      <c r="HY12" s="526">
        <f t="shared" si="187"/>
        <v>0</v>
      </c>
      <c r="HZ12" s="524"/>
      <c r="IA12" s="525">
        <f t="shared" si="76"/>
        <v>0</v>
      </c>
      <c r="IB12" s="526">
        <f t="shared" si="188"/>
        <v>0</v>
      </c>
      <c r="IC12" s="524"/>
      <c r="ID12" s="525">
        <f t="shared" si="77"/>
        <v>0</v>
      </c>
      <c r="IE12" s="526">
        <f t="shared" si="189"/>
        <v>0</v>
      </c>
      <c r="IF12" s="524"/>
      <c r="IG12" s="525">
        <f t="shared" si="78"/>
        <v>0</v>
      </c>
      <c r="IH12" s="526">
        <f t="shared" si="190"/>
        <v>0</v>
      </c>
      <c r="II12" s="524"/>
      <c r="IJ12" s="525">
        <f t="shared" si="79"/>
        <v>0</v>
      </c>
      <c r="IK12" s="526">
        <f t="shared" si="191"/>
        <v>0</v>
      </c>
      <c r="IL12" s="524"/>
      <c r="IM12" s="525">
        <f t="shared" si="80"/>
        <v>0</v>
      </c>
      <c r="IN12" s="526">
        <f t="shared" si="192"/>
        <v>0</v>
      </c>
      <c r="IO12" s="524"/>
      <c r="IP12" s="525">
        <f t="shared" si="81"/>
        <v>0</v>
      </c>
      <c r="IQ12" s="526">
        <f t="shared" si="193"/>
        <v>0</v>
      </c>
      <c r="IR12" s="524"/>
      <c r="IS12" s="525">
        <f t="shared" si="82"/>
        <v>0</v>
      </c>
      <c r="IT12" s="526">
        <f t="shared" si="194"/>
        <v>0</v>
      </c>
      <c r="IU12" s="524"/>
      <c r="IV12" s="525">
        <f t="shared" si="83"/>
        <v>0</v>
      </c>
      <c r="IW12" s="526">
        <f t="shared" si="195"/>
        <v>0</v>
      </c>
      <c r="IX12" s="524"/>
      <c r="IY12" s="525">
        <f t="shared" si="84"/>
        <v>0</v>
      </c>
      <c r="IZ12" s="526">
        <f t="shared" si="196"/>
        <v>0</v>
      </c>
      <c r="JA12" s="524"/>
      <c r="JB12" s="525">
        <f t="shared" si="85"/>
        <v>0</v>
      </c>
      <c r="JC12" s="526">
        <f t="shared" si="197"/>
        <v>0</v>
      </c>
      <c r="JD12" s="524"/>
      <c r="JE12" s="525">
        <f t="shared" si="86"/>
        <v>0</v>
      </c>
      <c r="JF12" s="526">
        <f t="shared" si="198"/>
        <v>0</v>
      </c>
      <c r="JG12" s="524"/>
      <c r="JH12" s="525">
        <f t="shared" si="87"/>
        <v>0</v>
      </c>
      <c r="JI12" s="526">
        <f t="shared" si="199"/>
        <v>0</v>
      </c>
      <c r="JJ12" s="524"/>
      <c r="JK12" s="526" t="str">
        <f t="shared" si="88"/>
        <v>0</v>
      </c>
      <c r="JL12" s="526" t="str">
        <f t="shared" si="89"/>
        <v>0</v>
      </c>
      <c r="JM12" s="524"/>
      <c r="JN12" s="526" t="str">
        <f t="shared" si="90"/>
        <v>0</v>
      </c>
      <c r="JO12" s="526" t="str">
        <f t="shared" si="91"/>
        <v>0</v>
      </c>
      <c r="JP12" s="524"/>
      <c r="JQ12" s="526" t="str">
        <f t="shared" si="92"/>
        <v>0</v>
      </c>
      <c r="JR12" s="526" t="str">
        <f t="shared" si="93"/>
        <v>0</v>
      </c>
      <c r="JS12" s="524"/>
      <c r="JT12" s="526" t="str">
        <f t="shared" si="94"/>
        <v>0</v>
      </c>
      <c r="JU12" s="526" t="str">
        <f t="shared" si="95"/>
        <v>0</v>
      </c>
      <c r="JV12" s="524"/>
      <c r="JW12" s="526" t="str">
        <f t="shared" si="96"/>
        <v>0</v>
      </c>
      <c r="JX12" s="526" t="str">
        <f t="shared" si="97"/>
        <v>0</v>
      </c>
      <c r="JY12" s="524"/>
      <c r="JZ12" s="526" t="str">
        <f t="shared" si="98"/>
        <v>0</v>
      </c>
      <c r="KA12" s="526" t="str">
        <f t="shared" si="99"/>
        <v>0</v>
      </c>
      <c r="KB12" s="524"/>
      <c r="KC12" s="526" t="str">
        <f t="shared" si="100"/>
        <v>0</v>
      </c>
      <c r="KD12" s="526" t="str">
        <f t="shared" si="101"/>
        <v>0</v>
      </c>
      <c r="KE12" s="524"/>
      <c r="KF12" s="526" t="str">
        <f t="shared" si="102"/>
        <v>0</v>
      </c>
      <c r="KG12" s="526" t="str">
        <f t="shared" si="103"/>
        <v>0</v>
      </c>
      <c r="KH12" s="524"/>
      <c r="KI12" s="526" t="str">
        <f t="shared" si="104"/>
        <v>0</v>
      </c>
      <c r="KJ12" s="526" t="str">
        <f t="shared" si="105"/>
        <v>0</v>
      </c>
      <c r="KK12" s="524"/>
      <c r="KL12" s="526" t="str">
        <f t="shared" si="106"/>
        <v>0</v>
      </c>
      <c r="KM12" s="526" t="str">
        <f t="shared" si="107"/>
        <v>0</v>
      </c>
      <c r="KN12" s="524"/>
      <c r="KO12" s="526" t="str">
        <f t="shared" si="108"/>
        <v>0</v>
      </c>
      <c r="KP12" s="526" t="str">
        <f t="shared" si="109"/>
        <v>0</v>
      </c>
      <c r="KQ12" s="524"/>
      <c r="KR12" s="526" t="str">
        <f t="shared" si="110"/>
        <v>0</v>
      </c>
      <c r="KS12" s="526" t="str">
        <f t="shared" si="111"/>
        <v>0</v>
      </c>
      <c r="KT12" s="526">
        <f t="shared" si="201"/>
        <v>0</v>
      </c>
      <c r="KU12" s="526">
        <f t="shared" si="202"/>
        <v>0</v>
      </c>
      <c r="KV12" s="262">
        <f t="shared" si="112"/>
        <v>833.02786423228122</v>
      </c>
    </row>
    <row r="13" spans="1:308">
      <c r="A13" s="263">
        <f t="shared" si="200"/>
        <v>45905</v>
      </c>
      <c r="B13" s="264" t="str">
        <f>+Report1!B13</f>
        <v>Facial</v>
      </c>
      <c r="C13" s="264" t="str">
        <f>+Report1!C13</f>
        <v>14</v>
      </c>
      <c r="D13" s="265">
        <f>+Report1!P13</f>
        <v>42.805</v>
      </c>
      <c r="E13" s="556">
        <f>+Report1!R13</f>
        <v>41.62</v>
      </c>
      <c r="F13" s="524"/>
      <c r="G13" s="525">
        <f t="shared" si="0"/>
        <v>0</v>
      </c>
      <c r="H13" s="526">
        <f t="shared" si="113"/>
        <v>0</v>
      </c>
      <c r="I13" s="524">
        <v>188.77139999999986</v>
      </c>
      <c r="J13" s="525">
        <f t="shared" si="1"/>
        <v>4.5355934646804386</v>
      </c>
      <c r="K13" s="526">
        <f t="shared" si="114"/>
        <v>0</v>
      </c>
      <c r="L13" s="524"/>
      <c r="M13" s="525">
        <f t="shared" si="2"/>
        <v>0</v>
      </c>
      <c r="N13" s="526">
        <f t="shared" si="115"/>
        <v>0</v>
      </c>
      <c r="O13" s="524">
        <v>6.0900000000000034</v>
      </c>
      <c r="P13" s="525">
        <f t="shared" si="3"/>
        <v>0.14632388274867861</v>
      </c>
      <c r="Q13" s="526">
        <f t="shared" si="116"/>
        <v>0</v>
      </c>
      <c r="R13" s="524"/>
      <c r="S13" s="525">
        <f t="shared" si="4"/>
        <v>0</v>
      </c>
      <c r="T13" s="526">
        <f t="shared" si="117"/>
        <v>0</v>
      </c>
      <c r="U13" s="524">
        <v>7.7971000000000146</v>
      </c>
      <c r="V13" s="525">
        <f t="shared" si="5"/>
        <v>0.18734022104757364</v>
      </c>
      <c r="W13" s="526">
        <f t="shared" si="118"/>
        <v>0</v>
      </c>
      <c r="X13" s="524"/>
      <c r="Y13" s="525">
        <f t="shared" si="6"/>
        <v>0</v>
      </c>
      <c r="Z13" s="526">
        <f t="shared" si="119"/>
        <v>0</v>
      </c>
      <c r="AA13" s="524">
        <v>3.90625</v>
      </c>
      <c r="AB13" s="525">
        <f t="shared" si="7"/>
        <v>9.3855117731859686E-2</v>
      </c>
      <c r="AC13" s="526">
        <f t="shared" si="120"/>
        <v>0</v>
      </c>
      <c r="AD13" s="524"/>
      <c r="AE13" s="525">
        <f t="shared" si="8"/>
        <v>0</v>
      </c>
      <c r="AF13" s="526">
        <f t="shared" si="121"/>
        <v>0</v>
      </c>
      <c r="AG13" s="524"/>
      <c r="AH13" s="525">
        <f t="shared" si="9"/>
        <v>0</v>
      </c>
      <c r="AI13" s="526">
        <f t="shared" si="122"/>
        <v>0</v>
      </c>
      <c r="AJ13" s="524"/>
      <c r="AK13" s="525">
        <f t="shared" si="10"/>
        <v>0</v>
      </c>
      <c r="AL13" s="526">
        <f t="shared" si="123"/>
        <v>0</v>
      </c>
      <c r="AM13" s="524"/>
      <c r="AN13" s="525">
        <f t="shared" si="11"/>
        <v>0</v>
      </c>
      <c r="AO13" s="526">
        <f t="shared" si="124"/>
        <v>0</v>
      </c>
      <c r="AP13" s="524">
        <v>50.56819999999999</v>
      </c>
      <c r="AQ13" s="525">
        <f t="shared" si="12"/>
        <v>1.2149975973089859</v>
      </c>
      <c r="AR13" s="526">
        <f t="shared" si="125"/>
        <v>0</v>
      </c>
      <c r="AS13" s="524"/>
      <c r="AT13" s="525">
        <f t="shared" si="13"/>
        <v>0</v>
      </c>
      <c r="AU13" s="526">
        <f t="shared" si="126"/>
        <v>0</v>
      </c>
      <c r="AV13" s="524"/>
      <c r="AW13" s="525">
        <f t="shared" si="14"/>
        <v>0</v>
      </c>
      <c r="AX13" s="526">
        <f t="shared" si="127"/>
        <v>0</v>
      </c>
      <c r="AY13" s="524">
        <v>56.819200000000023</v>
      </c>
      <c r="AZ13" s="525">
        <f t="shared" si="15"/>
        <v>1.3651898125901016</v>
      </c>
      <c r="BA13" s="526">
        <f t="shared" si="128"/>
        <v>0</v>
      </c>
      <c r="BB13" s="524"/>
      <c r="BC13" s="525">
        <f t="shared" si="16"/>
        <v>0</v>
      </c>
      <c r="BD13" s="526">
        <f t="shared" si="129"/>
        <v>0</v>
      </c>
      <c r="BE13" s="524"/>
      <c r="BF13" s="525">
        <f t="shared" si="17"/>
        <v>0</v>
      </c>
      <c r="BG13" s="526">
        <f t="shared" si="130"/>
        <v>0</v>
      </c>
      <c r="BH13" s="524"/>
      <c r="BI13" s="525">
        <f t="shared" si="18"/>
        <v>0</v>
      </c>
      <c r="BJ13" s="526">
        <f t="shared" si="131"/>
        <v>0</v>
      </c>
      <c r="BK13" s="524"/>
      <c r="BL13" s="525">
        <f t="shared" si="19"/>
        <v>0</v>
      </c>
      <c r="BM13" s="526">
        <f t="shared" si="132"/>
        <v>0</v>
      </c>
      <c r="BN13" s="524"/>
      <c r="BO13" s="525">
        <f t="shared" si="20"/>
        <v>0</v>
      </c>
      <c r="BP13" s="526">
        <f t="shared" si="133"/>
        <v>0</v>
      </c>
      <c r="BQ13" s="524">
        <v>546.83544303797464</v>
      </c>
      <c r="BR13" s="525">
        <f t="shared" si="21"/>
        <v>13.138766050888387</v>
      </c>
      <c r="BS13" s="526">
        <f t="shared" si="134"/>
        <v>0</v>
      </c>
      <c r="BT13" s="524"/>
      <c r="BU13" s="525">
        <f t="shared" si="22"/>
        <v>0</v>
      </c>
      <c r="BV13" s="526">
        <f t="shared" si="135"/>
        <v>0</v>
      </c>
      <c r="BW13" s="524"/>
      <c r="BX13" s="525">
        <f t="shared" si="23"/>
        <v>0</v>
      </c>
      <c r="BY13" s="526">
        <f t="shared" si="136"/>
        <v>0</v>
      </c>
      <c r="BZ13" s="524"/>
      <c r="CA13" s="525">
        <f t="shared" si="24"/>
        <v>0</v>
      </c>
      <c r="CB13" s="526">
        <f t="shared" si="137"/>
        <v>0</v>
      </c>
      <c r="CC13" s="524">
        <v>5</v>
      </c>
      <c r="CD13" s="525">
        <f t="shared" si="25"/>
        <v>0.1201345506967804</v>
      </c>
      <c r="CE13" s="526">
        <f t="shared" si="138"/>
        <v>0</v>
      </c>
      <c r="CF13" s="524">
        <v>0.59999999999999964</v>
      </c>
      <c r="CG13" s="525">
        <f t="shared" si="26"/>
        <v>1.441614608361364E-2</v>
      </c>
      <c r="CH13" s="526">
        <f t="shared" si="139"/>
        <v>0</v>
      </c>
      <c r="CI13" s="524"/>
      <c r="CJ13" s="525">
        <f t="shared" si="27"/>
        <v>0</v>
      </c>
      <c r="CK13" s="526">
        <f t="shared" si="140"/>
        <v>0</v>
      </c>
      <c r="CL13" s="524"/>
      <c r="CM13" s="525">
        <f t="shared" si="28"/>
        <v>0</v>
      </c>
      <c r="CN13" s="526">
        <f t="shared" si="141"/>
        <v>0</v>
      </c>
      <c r="CO13" s="524"/>
      <c r="CP13" s="525">
        <f t="shared" si="29"/>
        <v>0</v>
      </c>
      <c r="CQ13" s="526">
        <f t="shared" si="142"/>
        <v>0</v>
      </c>
      <c r="CR13" s="524"/>
      <c r="CS13" s="525">
        <f t="shared" si="30"/>
        <v>0</v>
      </c>
      <c r="CT13" s="526">
        <f t="shared" si="143"/>
        <v>0</v>
      </c>
      <c r="CU13" s="524"/>
      <c r="CV13" s="525">
        <f t="shared" si="31"/>
        <v>0</v>
      </c>
      <c r="CW13" s="526">
        <f t="shared" si="144"/>
        <v>0</v>
      </c>
      <c r="CX13" s="524"/>
      <c r="CY13" s="525">
        <f t="shared" si="32"/>
        <v>0</v>
      </c>
      <c r="CZ13" s="526">
        <f t="shared" si="145"/>
        <v>0</v>
      </c>
      <c r="DA13" s="524"/>
      <c r="DB13" s="525">
        <f t="shared" si="33"/>
        <v>0</v>
      </c>
      <c r="DC13" s="526">
        <f t="shared" si="146"/>
        <v>0</v>
      </c>
      <c r="DD13" s="524"/>
      <c r="DE13" s="525">
        <f t="shared" si="34"/>
        <v>0</v>
      </c>
      <c r="DF13" s="526">
        <f t="shared" si="147"/>
        <v>0</v>
      </c>
      <c r="DG13" s="524"/>
      <c r="DH13" s="525">
        <f t="shared" si="35"/>
        <v>0</v>
      </c>
      <c r="DI13" s="526">
        <v>0</v>
      </c>
      <c r="DJ13" s="524"/>
      <c r="DK13" s="525">
        <f t="shared" si="36"/>
        <v>0</v>
      </c>
      <c r="DL13" s="526">
        <f t="shared" si="148"/>
        <v>0</v>
      </c>
      <c r="DM13" s="524"/>
      <c r="DN13" s="525">
        <f t="shared" si="37"/>
        <v>0</v>
      </c>
      <c r="DO13" s="526">
        <f t="shared" si="149"/>
        <v>0</v>
      </c>
      <c r="DP13" s="524"/>
      <c r="DQ13" s="525">
        <f t="shared" si="38"/>
        <v>0</v>
      </c>
      <c r="DR13" s="526">
        <f t="shared" si="150"/>
        <v>0</v>
      </c>
      <c r="DS13" s="524"/>
      <c r="DT13" s="525">
        <f t="shared" si="39"/>
        <v>0</v>
      </c>
      <c r="DU13" s="526">
        <f t="shared" si="151"/>
        <v>0</v>
      </c>
      <c r="DV13" s="524"/>
      <c r="DW13" s="525">
        <f t="shared" si="40"/>
        <v>0</v>
      </c>
      <c r="DX13" s="526">
        <f t="shared" si="152"/>
        <v>0</v>
      </c>
      <c r="DY13" s="524"/>
      <c r="DZ13" s="525">
        <f t="shared" si="41"/>
        <v>0</v>
      </c>
      <c r="EA13" s="526">
        <f t="shared" si="153"/>
        <v>0</v>
      </c>
      <c r="EB13" s="524"/>
      <c r="EC13" s="525">
        <f t="shared" si="42"/>
        <v>0</v>
      </c>
      <c r="ED13" s="526">
        <f t="shared" si="154"/>
        <v>0</v>
      </c>
      <c r="EE13" s="524">
        <v>14.534883720930253</v>
      </c>
      <c r="EF13" s="525">
        <f t="shared" si="43"/>
        <v>0.34922834504878075</v>
      </c>
      <c r="EG13" s="526">
        <f t="shared" si="155"/>
        <v>0</v>
      </c>
      <c r="EH13" s="524">
        <v>47.649999999999977</v>
      </c>
      <c r="EI13" s="525">
        <f t="shared" si="44"/>
        <v>1.1448822681403166</v>
      </c>
      <c r="EJ13" s="526">
        <f t="shared" si="156"/>
        <v>0</v>
      </c>
      <c r="EK13" s="524">
        <v>2.5</v>
      </c>
      <c r="EL13" s="525">
        <f t="shared" si="45"/>
        <v>6.0067275348390202E-2</v>
      </c>
      <c r="EM13" s="526">
        <f t="shared" si="157"/>
        <v>0</v>
      </c>
      <c r="EN13" s="524"/>
      <c r="EO13" s="525">
        <f t="shared" si="46"/>
        <v>0</v>
      </c>
      <c r="EP13" s="526">
        <f t="shared" si="158"/>
        <v>0</v>
      </c>
      <c r="EQ13" s="524"/>
      <c r="ER13" s="525">
        <f t="shared" si="47"/>
        <v>0</v>
      </c>
      <c r="ES13" s="526">
        <f t="shared" si="159"/>
        <v>0</v>
      </c>
      <c r="ET13" s="524"/>
      <c r="EU13" s="525">
        <f t="shared" si="48"/>
        <v>0</v>
      </c>
      <c r="EV13" s="526">
        <f t="shared" si="160"/>
        <v>0</v>
      </c>
      <c r="EW13" s="524"/>
      <c r="EX13" s="525">
        <f t="shared" si="49"/>
        <v>0</v>
      </c>
      <c r="EY13" s="526">
        <f t="shared" si="161"/>
        <v>0</v>
      </c>
      <c r="EZ13" s="524"/>
      <c r="FA13" s="525">
        <f t="shared" si="50"/>
        <v>0</v>
      </c>
      <c r="FB13" s="526">
        <f t="shared" si="162"/>
        <v>0</v>
      </c>
      <c r="FC13" s="524"/>
      <c r="FD13" s="525">
        <f t="shared" si="51"/>
        <v>0</v>
      </c>
      <c r="FE13" s="526">
        <f t="shared" si="163"/>
        <v>0</v>
      </c>
      <c r="FF13" s="524"/>
      <c r="FG13" s="525">
        <f t="shared" si="52"/>
        <v>0</v>
      </c>
      <c r="FH13" s="526">
        <f t="shared" si="164"/>
        <v>0</v>
      </c>
      <c r="FI13" s="524"/>
      <c r="FJ13" s="525">
        <f t="shared" si="53"/>
        <v>0</v>
      </c>
      <c r="FK13" s="526">
        <f t="shared" si="165"/>
        <v>0</v>
      </c>
      <c r="FL13" s="524"/>
      <c r="FM13" s="525">
        <f t="shared" si="54"/>
        <v>0</v>
      </c>
      <c r="FN13" s="526">
        <f t="shared" si="166"/>
        <v>0</v>
      </c>
      <c r="FO13" s="524"/>
      <c r="FP13" s="525">
        <f t="shared" si="55"/>
        <v>0</v>
      </c>
      <c r="FQ13" s="526">
        <f t="shared" si="167"/>
        <v>0</v>
      </c>
      <c r="FR13" s="524"/>
      <c r="FS13" s="525">
        <f t="shared" si="56"/>
        <v>0</v>
      </c>
      <c r="FT13" s="526">
        <f t="shared" si="168"/>
        <v>0</v>
      </c>
      <c r="FU13" s="524"/>
      <c r="FV13" s="525">
        <f t="shared" si="57"/>
        <v>0</v>
      </c>
      <c r="FW13" s="526">
        <f t="shared" si="169"/>
        <v>0</v>
      </c>
      <c r="FX13" s="524"/>
      <c r="FY13" s="525">
        <f t="shared" si="58"/>
        <v>0</v>
      </c>
      <c r="FZ13" s="526">
        <f t="shared" si="170"/>
        <v>0</v>
      </c>
      <c r="GA13" s="524"/>
      <c r="GB13" s="525">
        <f t="shared" si="59"/>
        <v>0</v>
      </c>
      <c r="GC13" s="526">
        <f t="shared" si="171"/>
        <v>0</v>
      </c>
      <c r="GD13" s="524"/>
      <c r="GE13" s="525">
        <f t="shared" si="60"/>
        <v>0</v>
      </c>
      <c r="GF13" s="526">
        <f t="shared" si="172"/>
        <v>0</v>
      </c>
      <c r="GG13" s="524"/>
      <c r="GH13" s="525">
        <f t="shared" si="61"/>
        <v>0</v>
      </c>
      <c r="GI13" s="526">
        <f t="shared" si="173"/>
        <v>0</v>
      </c>
      <c r="GJ13" s="524"/>
      <c r="GK13" s="525">
        <f t="shared" si="62"/>
        <v>0</v>
      </c>
      <c r="GL13" s="526">
        <f t="shared" si="174"/>
        <v>0</v>
      </c>
      <c r="GM13" s="524"/>
      <c r="GN13" s="525">
        <f t="shared" si="63"/>
        <v>0</v>
      </c>
      <c r="GO13" s="526">
        <f t="shared" si="175"/>
        <v>0</v>
      </c>
      <c r="GP13" s="524"/>
      <c r="GQ13" s="525">
        <f t="shared" si="64"/>
        <v>0</v>
      </c>
      <c r="GR13" s="526">
        <f t="shared" si="176"/>
        <v>0</v>
      </c>
      <c r="GS13" s="524"/>
      <c r="GT13" s="525">
        <f t="shared" si="65"/>
        <v>0</v>
      </c>
      <c r="GU13" s="526">
        <f t="shared" si="177"/>
        <v>0</v>
      </c>
      <c r="GV13" s="524"/>
      <c r="GW13" s="525">
        <f t="shared" si="66"/>
        <v>0</v>
      </c>
      <c r="GX13" s="526">
        <f t="shared" si="178"/>
        <v>0</v>
      </c>
      <c r="GY13" s="524"/>
      <c r="GZ13" s="525">
        <f t="shared" si="67"/>
        <v>0</v>
      </c>
      <c r="HA13" s="526">
        <f t="shared" si="179"/>
        <v>0</v>
      </c>
      <c r="HB13" s="524"/>
      <c r="HC13" s="525">
        <f t="shared" si="68"/>
        <v>0</v>
      </c>
      <c r="HD13" s="526">
        <f t="shared" si="180"/>
        <v>0</v>
      </c>
      <c r="HE13" s="524"/>
      <c r="HF13" s="525">
        <f t="shared" si="69"/>
        <v>0</v>
      </c>
      <c r="HG13" s="526">
        <f t="shared" si="181"/>
        <v>0</v>
      </c>
      <c r="HH13" s="524"/>
      <c r="HI13" s="525">
        <f t="shared" si="70"/>
        <v>0</v>
      </c>
      <c r="HJ13" s="526">
        <f t="shared" si="182"/>
        <v>0</v>
      </c>
      <c r="HK13" s="524"/>
      <c r="HL13" s="525">
        <f t="shared" si="71"/>
        <v>0</v>
      </c>
      <c r="HM13" s="526">
        <f t="shared" si="183"/>
        <v>0</v>
      </c>
      <c r="HN13" s="524"/>
      <c r="HO13" s="525">
        <f t="shared" si="72"/>
        <v>0</v>
      </c>
      <c r="HP13" s="526">
        <f t="shared" si="184"/>
        <v>0</v>
      </c>
      <c r="HQ13" s="524"/>
      <c r="HR13" s="525">
        <f t="shared" si="73"/>
        <v>0</v>
      </c>
      <c r="HS13" s="526">
        <f t="shared" si="185"/>
        <v>0</v>
      </c>
      <c r="HT13" s="524"/>
      <c r="HU13" s="525">
        <f t="shared" si="74"/>
        <v>0</v>
      </c>
      <c r="HV13" s="526">
        <f t="shared" si="186"/>
        <v>0</v>
      </c>
      <c r="HW13" s="524"/>
      <c r="HX13" s="525">
        <f t="shared" si="75"/>
        <v>0</v>
      </c>
      <c r="HY13" s="526">
        <f t="shared" si="187"/>
        <v>0</v>
      </c>
      <c r="HZ13" s="524"/>
      <c r="IA13" s="525">
        <f t="shared" si="76"/>
        <v>0</v>
      </c>
      <c r="IB13" s="526">
        <f t="shared" si="188"/>
        <v>0</v>
      </c>
      <c r="IC13" s="524"/>
      <c r="ID13" s="525">
        <f t="shared" si="77"/>
        <v>0</v>
      </c>
      <c r="IE13" s="526">
        <f t="shared" si="189"/>
        <v>0</v>
      </c>
      <c r="IF13" s="524"/>
      <c r="IG13" s="525">
        <f t="shared" si="78"/>
        <v>0</v>
      </c>
      <c r="IH13" s="526">
        <f t="shared" si="190"/>
        <v>0</v>
      </c>
      <c r="II13" s="524"/>
      <c r="IJ13" s="525">
        <f t="shared" si="79"/>
        <v>0</v>
      </c>
      <c r="IK13" s="526">
        <f t="shared" si="191"/>
        <v>0</v>
      </c>
      <c r="IL13" s="524"/>
      <c r="IM13" s="525">
        <f t="shared" si="80"/>
        <v>0</v>
      </c>
      <c r="IN13" s="526">
        <f t="shared" si="192"/>
        <v>0</v>
      </c>
      <c r="IO13" s="524"/>
      <c r="IP13" s="525">
        <f t="shared" si="81"/>
        <v>0</v>
      </c>
      <c r="IQ13" s="526">
        <f t="shared" si="193"/>
        <v>0</v>
      </c>
      <c r="IR13" s="524"/>
      <c r="IS13" s="525">
        <f t="shared" si="82"/>
        <v>0</v>
      </c>
      <c r="IT13" s="526">
        <f t="shared" si="194"/>
        <v>0</v>
      </c>
      <c r="IU13" s="524"/>
      <c r="IV13" s="525">
        <f t="shared" si="83"/>
        <v>0</v>
      </c>
      <c r="IW13" s="526">
        <f t="shared" si="195"/>
        <v>0</v>
      </c>
      <c r="IX13" s="524"/>
      <c r="IY13" s="525">
        <f t="shared" si="84"/>
        <v>0</v>
      </c>
      <c r="IZ13" s="526">
        <f t="shared" si="196"/>
        <v>0</v>
      </c>
      <c r="JA13" s="524"/>
      <c r="JB13" s="525">
        <f t="shared" si="85"/>
        <v>0</v>
      </c>
      <c r="JC13" s="526">
        <f t="shared" si="197"/>
        <v>0</v>
      </c>
      <c r="JD13" s="524"/>
      <c r="JE13" s="525">
        <f t="shared" si="86"/>
        <v>0</v>
      </c>
      <c r="JF13" s="526">
        <f t="shared" si="198"/>
        <v>0</v>
      </c>
      <c r="JG13" s="524"/>
      <c r="JH13" s="525">
        <f t="shared" si="87"/>
        <v>0</v>
      </c>
      <c r="JI13" s="526">
        <f t="shared" si="199"/>
        <v>0</v>
      </c>
      <c r="JJ13" s="524"/>
      <c r="JK13" s="526" t="str">
        <f t="shared" si="88"/>
        <v>0</v>
      </c>
      <c r="JL13" s="526" t="str">
        <f t="shared" si="89"/>
        <v>0</v>
      </c>
      <c r="JM13" s="524"/>
      <c r="JN13" s="526" t="str">
        <f t="shared" si="90"/>
        <v>0</v>
      </c>
      <c r="JO13" s="526" t="str">
        <f t="shared" si="91"/>
        <v>0</v>
      </c>
      <c r="JP13" s="524"/>
      <c r="JQ13" s="526" t="str">
        <f t="shared" si="92"/>
        <v>0</v>
      </c>
      <c r="JR13" s="526" t="str">
        <f t="shared" si="93"/>
        <v>0</v>
      </c>
      <c r="JS13" s="524"/>
      <c r="JT13" s="526" t="str">
        <f t="shared" si="94"/>
        <v>0</v>
      </c>
      <c r="JU13" s="526" t="str">
        <f t="shared" si="95"/>
        <v>0</v>
      </c>
      <c r="JV13" s="524"/>
      <c r="JW13" s="526" t="str">
        <f t="shared" si="96"/>
        <v>0</v>
      </c>
      <c r="JX13" s="526" t="str">
        <f t="shared" si="97"/>
        <v>0</v>
      </c>
      <c r="JY13" s="524"/>
      <c r="JZ13" s="526" t="str">
        <f t="shared" si="98"/>
        <v>0</v>
      </c>
      <c r="KA13" s="526" t="str">
        <f t="shared" si="99"/>
        <v>0</v>
      </c>
      <c r="KB13" s="524"/>
      <c r="KC13" s="526" t="str">
        <f t="shared" si="100"/>
        <v>0</v>
      </c>
      <c r="KD13" s="526" t="str">
        <f t="shared" si="101"/>
        <v>0</v>
      </c>
      <c r="KE13" s="524"/>
      <c r="KF13" s="526" t="str">
        <f t="shared" si="102"/>
        <v>0</v>
      </c>
      <c r="KG13" s="526" t="str">
        <f t="shared" si="103"/>
        <v>0</v>
      </c>
      <c r="KH13" s="524"/>
      <c r="KI13" s="526" t="str">
        <f t="shared" si="104"/>
        <v>0</v>
      </c>
      <c r="KJ13" s="526" t="str">
        <f t="shared" si="105"/>
        <v>0</v>
      </c>
      <c r="KK13" s="524"/>
      <c r="KL13" s="526" t="str">
        <f t="shared" si="106"/>
        <v>0</v>
      </c>
      <c r="KM13" s="526" t="str">
        <f t="shared" si="107"/>
        <v>0</v>
      </c>
      <c r="KN13" s="524"/>
      <c r="KO13" s="526" t="str">
        <f t="shared" si="108"/>
        <v>0</v>
      </c>
      <c r="KP13" s="526" t="str">
        <f t="shared" si="109"/>
        <v>0</v>
      </c>
      <c r="KQ13" s="524"/>
      <c r="KR13" s="526" t="str">
        <f t="shared" si="110"/>
        <v>0</v>
      </c>
      <c r="KS13" s="526" t="str">
        <f t="shared" si="111"/>
        <v>0</v>
      </c>
      <c r="KT13" s="526">
        <f t="shared" si="201"/>
        <v>0</v>
      </c>
      <c r="KU13" s="526">
        <f t="shared" si="202"/>
        <v>0</v>
      </c>
      <c r="KV13" s="262">
        <f t="shared" si="112"/>
        <v>931.07247675890483</v>
      </c>
    </row>
    <row r="14" spans="1:308">
      <c r="A14" s="263">
        <f t="shared" si="200"/>
        <v>45906</v>
      </c>
      <c r="B14" s="264" t="str">
        <f>+Report1!B14</f>
        <v>Facial</v>
      </c>
      <c r="C14" s="264" t="str">
        <f>+Report1!C14</f>
        <v>14</v>
      </c>
      <c r="D14" s="265">
        <f>+Report1!P14</f>
        <v>27.34</v>
      </c>
      <c r="E14" s="556">
        <f>+Report1!R14</f>
        <v>22.628</v>
      </c>
      <c r="F14" s="524"/>
      <c r="G14" s="525">
        <f t="shared" si="0"/>
        <v>0</v>
      </c>
      <c r="H14" s="526">
        <f t="shared" si="113"/>
        <v>0</v>
      </c>
      <c r="I14" s="524">
        <v>177.81880000000001</v>
      </c>
      <c r="J14" s="525">
        <f t="shared" si="1"/>
        <v>7.8583524836485772</v>
      </c>
      <c r="K14" s="526">
        <f t="shared" si="114"/>
        <v>0</v>
      </c>
      <c r="L14" s="524"/>
      <c r="M14" s="525">
        <f t="shared" si="2"/>
        <v>0</v>
      </c>
      <c r="N14" s="526">
        <f t="shared" si="115"/>
        <v>0</v>
      </c>
      <c r="O14" s="524">
        <v>7.6443999999999903</v>
      </c>
      <c r="P14" s="525">
        <f t="shared" si="3"/>
        <v>0.3378292381120731</v>
      </c>
      <c r="Q14" s="526">
        <f t="shared" si="116"/>
        <v>0</v>
      </c>
      <c r="R14" s="524"/>
      <c r="S14" s="525">
        <f t="shared" si="4"/>
        <v>0</v>
      </c>
      <c r="T14" s="526">
        <f t="shared" si="117"/>
        <v>0</v>
      </c>
      <c r="U14" s="524">
        <v>9.7953000000000117</v>
      </c>
      <c r="V14" s="525">
        <f t="shared" si="5"/>
        <v>0.43288403747569432</v>
      </c>
      <c r="W14" s="526">
        <f t="shared" si="118"/>
        <v>0</v>
      </c>
      <c r="X14" s="524"/>
      <c r="Y14" s="525">
        <f t="shared" si="6"/>
        <v>0</v>
      </c>
      <c r="Z14" s="526">
        <f t="shared" si="119"/>
        <v>0</v>
      </c>
      <c r="AA14" s="524">
        <v>4.6875</v>
      </c>
      <c r="AB14" s="525">
        <f t="shared" si="7"/>
        <v>0.20715485239526252</v>
      </c>
      <c r="AC14" s="526">
        <f t="shared" si="120"/>
        <v>0</v>
      </c>
      <c r="AD14" s="524"/>
      <c r="AE14" s="525">
        <f t="shared" si="8"/>
        <v>0</v>
      </c>
      <c r="AF14" s="526">
        <f t="shared" si="121"/>
        <v>0</v>
      </c>
      <c r="AG14" s="524"/>
      <c r="AH14" s="525">
        <f t="shared" si="9"/>
        <v>0</v>
      </c>
      <c r="AI14" s="526">
        <f t="shared" si="122"/>
        <v>0</v>
      </c>
      <c r="AJ14" s="524"/>
      <c r="AK14" s="525">
        <f t="shared" si="10"/>
        <v>0</v>
      </c>
      <c r="AL14" s="526">
        <f t="shared" si="123"/>
        <v>0</v>
      </c>
      <c r="AM14" s="524"/>
      <c r="AN14" s="525">
        <f t="shared" si="11"/>
        <v>0</v>
      </c>
      <c r="AO14" s="526">
        <f t="shared" si="124"/>
        <v>0</v>
      </c>
      <c r="AP14" s="524">
        <v>49.006000000000029</v>
      </c>
      <c r="AQ14" s="525">
        <f t="shared" si="12"/>
        <v>2.1657238819162115</v>
      </c>
      <c r="AR14" s="526">
        <f t="shared" si="125"/>
        <v>0</v>
      </c>
      <c r="AS14" s="524"/>
      <c r="AT14" s="525">
        <f t="shared" si="13"/>
        <v>0</v>
      </c>
      <c r="AU14" s="526">
        <f t="shared" si="126"/>
        <v>0</v>
      </c>
      <c r="AV14" s="524"/>
      <c r="AW14" s="525">
        <f t="shared" si="14"/>
        <v>0</v>
      </c>
      <c r="AX14" s="526">
        <f t="shared" si="127"/>
        <v>0</v>
      </c>
      <c r="AY14" s="524">
        <v>63.930799999999977</v>
      </c>
      <c r="AZ14" s="525">
        <f t="shared" si="15"/>
        <v>2.8252960933356892</v>
      </c>
      <c r="BA14" s="526">
        <f t="shared" si="128"/>
        <v>0</v>
      </c>
      <c r="BB14" s="524"/>
      <c r="BC14" s="525">
        <f t="shared" si="16"/>
        <v>0</v>
      </c>
      <c r="BD14" s="526">
        <f t="shared" si="129"/>
        <v>0</v>
      </c>
      <c r="BE14" s="524"/>
      <c r="BF14" s="525">
        <f t="shared" si="17"/>
        <v>0</v>
      </c>
      <c r="BG14" s="526">
        <f t="shared" si="130"/>
        <v>0</v>
      </c>
      <c r="BH14" s="524"/>
      <c r="BI14" s="525">
        <f t="shared" si="18"/>
        <v>0</v>
      </c>
      <c r="BJ14" s="526">
        <f t="shared" si="131"/>
        <v>0</v>
      </c>
      <c r="BK14" s="524"/>
      <c r="BL14" s="525">
        <f t="shared" si="19"/>
        <v>0</v>
      </c>
      <c r="BM14" s="526">
        <f t="shared" si="132"/>
        <v>0</v>
      </c>
      <c r="BN14" s="524"/>
      <c r="BO14" s="525">
        <f t="shared" si="20"/>
        <v>0</v>
      </c>
      <c r="BP14" s="526">
        <f t="shared" si="133"/>
        <v>0</v>
      </c>
      <c r="BQ14" s="524">
        <v>460.75886075949376</v>
      </c>
      <c r="BR14" s="525">
        <f t="shared" si="21"/>
        <v>20.36233254196101</v>
      </c>
      <c r="BS14" s="526">
        <f t="shared" si="134"/>
        <v>0</v>
      </c>
      <c r="BT14" s="524"/>
      <c r="BU14" s="525">
        <f t="shared" si="22"/>
        <v>0</v>
      </c>
      <c r="BV14" s="526">
        <f t="shared" si="135"/>
        <v>0</v>
      </c>
      <c r="BW14" s="524"/>
      <c r="BX14" s="525">
        <f t="shared" si="23"/>
        <v>0</v>
      </c>
      <c r="BY14" s="526">
        <f t="shared" si="136"/>
        <v>0</v>
      </c>
      <c r="BZ14" s="524"/>
      <c r="CA14" s="525">
        <f t="shared" si="24"/>
        <v>0</v>
      </c>
      <c r="CB14" s="526">
        <f t="shared" si="137"/>
        <v>0</v>
      </c>
      <c r="CC14" s="524"/>
      <c r="CD14" s="525">
        <f t="shared" si="25"/>
        <v>0</v>
      </c>
      <c r="CE14" s="526">
        <f t="shared" si="138"/>
        <v>0</v>
      </c>
      <c r="CF14" s="524">
        <v>0.59999999999999609</v>
      </c>
      <c r="CG14" s="525">
        <f t="shared" si="26"/>
        <v>2.6515821106593427E-2</v>
      </c>
      <c r="CH14" s="526">
        <f t="shared" si="139"/>
        <v>0</v>
      </c>
      <c r="CI14" s="524"/>
      <c r="CJ14" s="525">
        <f t="shared" si="27"/>
        <v>0</v>
      </c>
      <c r="CK14" s="526">
        <f t="shared" si="140"/>
        <v>0</v>
      </c>
      <c r="CL14" s="524"/>
      <c r="CM14" s="525">
        <f t="shared" si="28"/>
        <v>0</v>
      </c>
      <c r="CN14" s="526">
        <f t="shared" si="141"/>
        <v>0</v>
      </c>
      <c r="CO14" s="524"/>
      <c r="CP14" s="525">
        <f t="shared" si="29"/>
        <v>0</v>
      </c>
      <c r="CQ14" s="526">
        <f t="shared" si="142"/>
        <v>0</v>
      </c>
      <c r="CR14" s="524"/>
      <c r="CS14" s="525">
        <f t="shared" si="30"/>
        <v>0</v>
      </c>
      <c r="CT14" s="526">
        <f t="shared" si="143"/>
        <v>0</v>
      </c>
      <c r="CU14" s="524"/>
      <c r="CV14" s="525">
        <f t="shared" si="31"/>
        <v>0</v>
      </c>
      <c r="CW14" s="526">
        <f t="shared" si="144"/>
        <v>0</v>
      </c>
      <c r="CX14" s="524"/>
      <c r="CY14" s="525">
        <f t="shared" si="32"/>
        <v>0</v>
      </c>
      <c r="CZ14" s="526">
        <f t="shared" si="145"/>
        <v>0</v>
      </c>
      <c r="DA14" s="524"/>
      <c r="DB14" s="525">
        <f t="shared" si="33"/>
        <v>0</v>
      </c>
      <c r="DC14" s="526">
        <f t="shared" si="146"/>
        <v>0</v>
      </c>
      <c r="DD14" s="524"/>
      <c r="DE14" s="525">
        <f t="shared" si="34"/>
        <v>0</v>
      </c>
      <c r="DF14" s="526">
        <f t="shared" si="147"/>
        <v>0</v>
      </c>
      <c r="DG14" s="524"/>
      <c r="DH14" s="525">
        <f t="shared" si="35"/>
        <v>0</v>
      </c>
      <c r="DI14" s="526">
        <f t="shared" ref="DI14:DI39" si="203">+DG14*$H$8</f>
        <v>0</v>
      </c>
      <c r="DJ14" s="524"/>
      <c r="DK14" s="525">
        <f t="shared" si="36"/>
        <v>0</v>
      </c>
      <c r="DL14" s="526">
        <f t="shared" si="148"/>
        <v>0</v>
      </c>
      <c r="DM14" s="524"/>
      <c r="DN14" s="525">
        <f t="shared" si="37"/>
        <v>0</v>
      </c>
      <c r="DO14" s="526">
        <f t="shared" si="149"/>
        <v>0</v>
      </c>
      <c r="DP14" s="524"/>
      <c r="DQ14" s="525">
        <f t="shared" si="38"/>
        <v>0</v>
      </c>
      <c r="DR14" s="526">
        <f t="shared" si="150"/>
        <v>0</v>
      </c>
      <c r="DS14" s="524"/>
      <c r="DT14" s="525">
        <f t="shared" si="39"/>
        <v>0</v>
      </c>
      <c r="DU14" s="526">
        <f t="shared" si="151"/>
        <v>0</v>
      </c>
      <c r="DV14" s="524"/>
      <c r="DW14" s="525">
        <f t="shared" si="40"/>
        <v>0</v>
      </c>
      <c r="DX14" s="526">
        <f t="shared" si="152"/>
        <v>0</v>
      </c>
      <c r="DY14" s="524"/>
      <c r="DZ14" s="525">
        <f t="shared" si="41"/>
        <v>0</v>
      </c>
      <c r="EA14" s="526">
        <f t="shared" si="153"/>
        <v>0</v>
      </c>
      <c r="EB14" s="524"/>
      <c r="EC14" s="525">
        <f t="shared" si="42"/>
        <v>0</v>
      </c>
      <c r="ED14" s="526">
        <f t="shared" si="154"/>
        <v>0</v>
      </c>
      <c r="EE14" s="524">
        <v>14.534883720930225</v>
      </c>
      <c r="EF14" s="525">
        <f t="shared" si="43"/>
        <v>0.642340627582209</v>
      </c>
      <c r="EG14" s="526">
        <f t="shared" si="155"/>
        <v>0</v>
      </c>
      <c r="EH14" s="524">
        <v>44.889999999999986</v>
      </c>
      <c r="EI14" s="525">
        <f t="shared" si="44"/>
        <v>1.9838253491249773</v>
      </c>
      <c r="EJ14" s="526">
        <f t="shared" si="156"/>
        <v>0</v>
      </c>
      <c r="EK14" s="524">
        <v>2</v>
      </c>
      <c r="EL14" s="525">
        <f t="shared" si="45"/>
        <v>8.8386070355311999E-2</v>
      </c>
      <c r="EM14" s="526">
        <f t="shared" si="157"/>
        <v>0</v>
      </c>
      <c r="EN14" s="524"/>
      <c r="EO14" s="525">
        <f t="shared" si="46"/>
        <v>0</v>
      </c>
      <c r="EP14" s="526">
        <f t="shared" si="158"/>
        <v>0</v>
      </c>
      <c r="EQ14" s="524"/>
      <c r="ER14" s="525">
        <f t="shared" si="47"/>
        <v>0</v>
      </c>
      <c r="ES14" s="526">
        <f t="shared" si="159"/>
        <v>0</v>
      </c>
      <c r="ET14" s="524"/>
      <c r="EU14" s="525">
        <f t="shared" si="48"/>
        <v>0</v>
      </c>
      <c r="EV14" s="526">
        <f t="shared" si="160"/>
        <v>0</v>
      </c>
      <c r="EW14" s="524"/>
      <c r="EX14" s="525">
        <f t="shared" si="49"/>
        <v>0</v>
      </c>
      <c r="EY14" s="526">
        <f t="shared" si="161"/>
        <v>0</v>
      </c>
      <c r="EZ14" s="524"/>
      <c r="FA14" s="525">
        <f t="shared" si="50"/>
        <v>0</v>
      </c>
      <c r="FB14" s="526">
        <f t="shared" si="162"/>
        <v>0</v>
      </c>
      <c r="FC14" s="524"/>
      <c r="FD14" s="525">
        <f t="shared" si="51"/>
        <v>0</v>
      </c>
      <c r="FE14" s="526">
        <f t="shared" si="163"/>
        <v>0</v>
      </c>
      <c r="FF14" s="524"/>
      <c r="FG14" s="525">
        <f t="shared" si="52"/>
        <v>0</v>
      </c>
      <c r="FH14" s="526">
        <f t="shared" si="164"/>
        <v>0</v>
      </c>
      <c r="FI14" s="524"/>
      <c r="FJ14" s="525">
        <f t="shared" si="53"/>
        <v>0</v>
      </c>
      <c r="FK14" s="526">
        <f t="shared" si="165"/>
        <v>0</v>
      </c>
      <c r="FL14" s="524"/>
      <c r="FM14" s="525">
        <f t="shared" si="54"/>
        <v>0</v>
      </c>
      <c r="FN14" s="526">
        <f t="shared" si="166"/>
        <v>0</v>
      </c>
      <c r="FO14" s="524"/>
      <c r="FP14" s="525">
        <f t="shared" si="55"/>
        <v>0</v>
      </c>
      <c r="FQ14" s="526">
        <f t="shared" si="167"/>
        <v>0</v>
      </c>
      <c r="FR14" s="524"/>
      <c r="FS14" s="525">
        <f t="shared" si="56"/>
        <v>0</v>
      </c>
      <c r="FT14" s="526">
        <f t="shared" si="168"/>
        <v>0</v>
      </c>
      <c r="FU14" s="524"/>
      <c r="FV14" s="525">
        <f t="shared" si="57"/>
        <v>0</v>
      </c>
      <c r="FW14" s="526">
        <f t="shared" si="169"/>
        <v>0</v>
      </c>
      <c r="FX14" s="524"/>
      <c r="FY14" s="525">
        <f t="shared" si="58"/>
        <v>0</v>
      </c>
      <c r="FZ14" s="526">
        <f t="shared" si="170"/>
        <v>0</v>
      </c>
      <c r="GA14" s="524"/>
      <c r="GB14" s="525">
        <f t="shared" si="59"/>
        <v>0</v>
      </c>
      <c r="GC14" s="526">
        <f t="shared" si="171"/>
        <v>0</v>
      </c>
      <c r="GD14" s="524"/>
      <c r="GE14" s="525">
        <f t="shared" si="60"/>
        <v>0</v>
      </c>
      <c r="GF14" s="526">
        <f t="shared" si="172"/>
        <v>0</v>
      </c>
      <c r="GG14" s="524"/>
      <c r="GH14" s="525">
        <f t="shared" si="61"/>
        <v>0</v>
      </c>
      <c r="GI14" s="526">
        <f t="shared" si="173"/>
        <v>0</v>
      </c>
      <c r="GJ14" s="524"/>
      <c r="GK14" s="525">
        <f t="shared" si="62"/>
        <v>0</v>
      </c>
      <c r="GL14" s="526">
        <f t="shared" si="174"/>
        <v>0</v>
      </c>
      <c r="GM14" s="524"/>
      <c r="GN14" s="525">
        <f t="shared" si="63"/>
        <v>0</v>
      </c>
      <c r="GO14" s="526">
        <f t="shared" si="175"/>
        <v>0</v>
      </c>
      <c r="GP14" s="524"/>
      <c r="GQ14" s="525">
        <f t="shared" si="64"/>
        <v>0</v>
      </c>
      <c r="GR14" s="526">
        <f t="shared" si="176"/>
        <v>0</v>
      </c>
      <c r="GS14" s="524"/>
      <c r="GT14" s="525">
        <f t="shared" si="65"/>
        <v>0</v>
      </c>
      <c r="GU14" s="526">
        <f t="shared" si="177"/>
        <v>0</v>
      </c>
      <c r="GV14" s="524"/>
      <c r="GW14" s="525">
        <f t="shared" si="66"/>
        <v>0</v>
      </c>
      <c r="GX14" s="526">
        <f t="shared" si="178"/>
        <v>0</v>
      </c>
      <c r="GY14" s="524"/>
      <c r="GZ14" s="525">
        <f t="shared" si="67"/>
        <v>0</v>
      </c>
      <c r="HA14" s="526">
        <f t="shared" si="179"/>
        <v>0</v>
      </c>
      <c r="HB14" s="524"/>
      <c r="HC14" s="525">
        <f t="shared" si="68"/>
        <v>0</v>
      </c>
      <c r="HD14" s="526">
        <f t="shared" si="180"/>
        <v>0</v>
      </c>
      <c r="HE14" s="524"/>
      <c r="HF14" s="525">
        <f t="shared" si="69"/>
        <v>0</v>
      </c>
      <c r="HG14" s="526">
        <f t="shared" si="181"/>
        <v>0</v>
      </c>
      <c r="HH14" s="524"/>
      <c r="HI14" s="525">
        <f t="shared" si="70"/>
        <v>0</v>
      </c>
      <c r="HJ14" s="526">
        <f t="shared" si="182"/>
        <v>0</v>
      </c>
      <c r="HK14" s="524"/>
      <c r="HL14" s="525">
        <f t="shared" si="71"/>
        <v>0</v>
      </c>
      <c r="HM14" s="526">
        <f t="shared" si="183"/>
        <v>0</v>
      </c>
      <c r="HN14" s="524"/>
      <c r="HO14" s="525">
        <f t="shared" si="72"/>
        <v>0</v>
      </c>
      <c r="HP14" s="526">
        <f t="shared" si="184"/>
        <v>0</v>
      </c>
      <c r="HQ14" s="524"/>
      <c r="HR14" s="525">
        <f t="shared" si="73"/>
        <v>0</v>
      </c>
      <c r="HS14" s="526">
        <f t="shared" si="185"/>
        <v>0</v>
      </c>
      <c r="HT14" s="524"/>
      <c r="HU14" s="525">
        <f t="shared" si="74"/>
        <v>0</v>
      </c>
      <c r="HV14" s="526">
        <f t="shared" si="186"/>
        <v>0</v>
      </c>
      <c r="HW14" s="524"/>
      <c r="HX14" s="525">
        <f t="shared" si="75"/>
        <v>0</v>
      </c>
      <c r="HY14" s="526">
        <f t="shared" si="187"/>
        <v>0</v>
      </c>
      <c r="HZ14" s="524"/>
      <c r="IA14" s="525">
        <f t="shared" si="76"/>
        <v>0</v>
      </c>
      <c r="IB14" s="526">
        <f t="shared" si="188"/>
        <v>0</v>
      </c>
      <c r="IC14" s="524"/>
      <c r="ID14" s="525">
        <f t="shared" si="77"/>
        <v>0</v>
      </c>
      <c r="IE14" s="526">
        <f t="shared" si="189"/>
        <v>0</v>
      </c>
      <c r="IF14" s="524"/>
      <c r="IG14" s="525">
        <f t="shared" si="78"/>
        <v>0</v>
      </c>
      <c r="IH14" s="526">
        <f t="shared" si="190"/>
        <v>0</v>
      </c>
      <c r="II14" s="524"/>
      <c r="IJ14" s="525">
        <f t="shared" si="79"/>
        <v>0</v>
      </c>
      <c r="IK14" s="526">
        <f t="shared" si="191"/>
        <v>0</v>
      </c>
      <c r="IL14" s="524"/>
      <c r="IM14" s="525">
        <f t="shared" si="80"/>
        <v>0</v>
      </c>
      <c r="IN14" s="526">
        <f t="shared" si="192"/>
        <v>0</v>
      </c>
      <c r="IO14" s="524"/>
      <c r="IP14" s="525">
        <f t="shared" si="81"/>
        <v>0</v>
      </c>
      <c r="IQ14" s="526">
        <f t="shared" si="193"/>
        <v>0</v>
      </c>
      <c r="IR14" s="524"/>
      <c r="IS14" s="525">
        <f t="shared" si="82"/>
        <v>0</v>
      </c>
      <c r="IT14" s="526">
        <f t="shared" si="194"/>
        <v>0</v>
      </c>
      <c r="IU14" s="524"/>
      <c r="IV14" s="525">
        <f t="shared" si="83"/>
        <v>0</v>
      </c>
      <c r="IW14" s="526">
        <f t="shared" si="195"/>
        <v>0</v>
      </c>
      <c r="IX14" s="524"/>
      <c r="IY14" s="525">
        <f t="shared" si="84"/>
        <v>0</v>
      </c>
      <c r="IZ14" s="526">
        <f t="shared" si="196"/>
        <v>0</v>
      </c>
      <c r="JA14" s="524"/>
      <c r="JB14" s="525">
        <f t="shared" si="85"/>
        <v>0</v>
      </c>
      <c r="JC14" s="526">
        <f t="shared" si="197"/>
        <v>0</v>
      </c>
      <c r="JD14" s="524"/>
      <c r="JE14" s="525">
        <f t="shared" si="86"/>
        <v>0</v>
      </c>
      <c r="JF14" s="526">
        <f t="shared" si="198"/>
        <v>0</v>
      </c>
      <c r="JG14" s="524"/>
      <c r="JH14" s="525">
        <f t="shared" si="87"/>
        <v>0</v>
      </c>
      <c r="JI14" s="526">
        <f t="shared" si="199"/>
        <v>0</v>
      </c>
      <c r="JJ14" s="524"/>
      <c r="JK14" s="526" t="str">
        <f t="shared" si="88"/>
        <v>0</v>
      </c>
      <c r="JL14" s="526" t="str">
        <f t="shared" si="89"/>
        <v>0</v>
      </c>
      <c r="JM14" s="524"/>
      <c r="JN14" s="526" t="str">
        <f t="shared" si="90"/>
        <v>0</v>
      </c>
      <c r="JO14" s="526" t="str">
        <f t="shared" si="91"/>
        <v>0</v>
      </c>
      <c r="JP14" s="524"/>
      <c r="JQ14" s="526" t="str">
        <f t="shared" si="92"/>
        <v>0</v>
      </c>
      <c r="JR14" s="526" t="str">
        <f t="shared" si="93"/>
        <v>0</v>
      </c>
      <c r="JS14" s="524"/>
      <c r="JT14" s="526" t="str">
        <f t="shared" si="94"/>
        <v>0</v>
      </c>
      <c r="JU14" s="526" t="str">
        <f t="shared" si="95"/>
        <v>0</v>
      </c>
      <c r="JV14" s="524"/>
      <c r="JW14" s="526" t="str">
        <f t="shared" si="96"/>
        <v>0</v>
      </c>
      <c r="JX14" s="526" t="str">
        <f t="shared" si="97"/>
        <v>0</v>
      </c>
      <c r="JY14" s="524"/>
      <c r="JZ14" s="526" t="str">
        <f t="shared" si="98"/>
        <v>0</v>
      </c>
      <c r="KA14" s="526" t="str">
        <f t="shared" si="99"/>
        <v>0</v>
      </c>
      <c r="KB14" s="524"/>
      <c r="KC14" s="526" t="str">
        <f t="shared" si="100"/>
        <v>0</v>
      </c>
      <c r="KD14" s="526" t="str">
        <f t="shared" si="101"/>
        <v>0</v>
      </c>
      <c r="KE14" s="524"/>
      <c r="KF14" s="526" t="str">
        <f t="shared" si="102"/>
        <v>0</v>
      </c>
      <c r="KG14" s="526" t="str">
        <f t="shared" si="103"/>
        <v>0</v>
      </c>
      <c r="KH14" s="524"/>
      <c r="KI14" s="526" t="str">
        <f t="shared" si="104"/>
        <v>0</v>
      </c>
      <c r="KJ14" s="526" t="str">
        <f t="shared" si="105"/>
        <v>0</v>
      </c>
      <c r="KK14" s="524"/>
      <c r="KL14" s="526" t="str">
        <f t="shared" si="106"/>
        <v>0</v>
      </c>
      <c r="KM14" s="526" t="str">
        <f t="shared" si="107"/>
        <v>0</v>
      </c>
      <c r="KN14" s="524"/>
      <c r="KO14" s="526" t="str">
        <f t="shared" si="108"/>
        <v>0</v>
      </c>
      <c r="KP14" s="526" t="str">
        <f t="shared" si="109"/>
        <v>0</v>
      </c>
      <c r="KQ14" s="524"/>
      <c r="KR14" s="526" t="str">
        <f t="shared" si="110"/>
        <v>0</v>
      </c>
      <c r="KS14" s="526" t="str">
        <f t="shared" si="111"/>
        <v>0</v>
      </c>
      <c r="KT14" s="526">
        <f t="shared" si="201"/>
        <v>0</v>
      </c>
      <c r="KU14" s="526">
        <f t="shared" si="202"/>
        <v>0</v>
      </c>
      <c r="KV14" s="262">
        <f t="shared" si="112"/>
        <v>835.66654448042402</v>
      </c>
    </row>
    <row r="15" spans="1:308">
      <c r="A15" s="263">
        <f t="shared" si="200"/>
        <v>45907</v>
      </c>
      <c r="B15" s="264" t="str">
        <f>+Report1!B15</f>
        <v>Facial/Toilet</v>
      </c>
      <c r="C15" s="264" t="str">
        <f>+Report1!C15</f>
        <v>14/12/12</v>
      </c>
      <c r="D15" s="265">
        <f>+Report1!P15</f>
        <v>34.924599999999998</v>
      </c>
      <c r="E15" s="556">
        <f>+Report1!R15</f>
        <v>34.488999999999997</v>
      </c>
      <c r="F15" s="524"/>
      <c r="G15" s="525">
        <f t="shared" si="0"/>
        <v>0</v>
      </c>
      <c r="H15" s="526">
        <f t="shared" si="113"/>
        <v>0</v>
      </c>
      <c r="I15" s="524">
        <v>101.24520000000007</v>
      </c>
      <c r="J15" s="525">
        <f t="shared" si="1"/>
        <v>2.935579460117721</v>
      </c>
      <c r="K15" s="526">
        <f t="shared" si="114"/>
        <v>0</v>
      </c>
      <c r="L15" s="524"/>
      <c r="M15" s="525">
        <f t="shared" si="2"/>
        <v>0</v>
      </c>
      <c r="N15" s="526">
        <f t="shared" si="115"/>
        <v>0</v>
      </c>
      <c r="O15" s="524">
        <v>4.3500000000000085</v>
      </c>
      <c r="P15" s="525">
        <f t="shared" si="3"/>
        <v>0.12612717098205251</v>
      </c>
      <c r="Q15" s="526">
        <f t="shared" si="116"/>
        <v>0</v>
      </c>
      <c r="R15" s="524"/>
      <c r="S15" s="525">
        <f t="shared" si="4"/>
        <v>0</v>
      </c>
      <c r="T15" s="526">
        <f t="shared" si="117"/>
        <v>0</v>
      </c>
      <c r="U15" s="524">
        <v>5.5825999999999993</v>
      </c>
      <c r="V15" s="525">
        <f t="shared" si="5"/>
        <v>0.16186610223549536</v>
      </c>
      <c r="W15" s="526">
        <f t="shared" si="118"/>
        <v>0</v>
      </c>
      <c r="X15" s="524"/>
      <c r="Y15" s="525">
        <f t="shared" si="6"/>
        <v>0</v>
      </c>
      <c r="Z15" s="526">
        <f t="shared" si="119"/>
        <v>0</v>
      </c>
      <c r="AA15" s="524">
        <v>4.6875</v>
      </c>
      <c r="AB15" s="525">
        <f t="shared" si="7"/>
        <v>0.13591289976514251</v>
      </c>
      <c r="AC15" s="526">
        <f t="shared" si="120"/>
        <v>0</v>
      </c>
      <c r="AD15" s="524"/>
      <c r="AE15" s="525">
        <f t="shared" si="8"/>
        <v>0</v>
      </c>
      <c r="AF15" s="526">
        <f t="shared" si="121"/>
        <v>0</v>
      </c>
      <c r="AG15" s="524"/>
      <c r="AH15" s="525">
        <f t="shared" si="9"/>
        <v>0</v>
      </c>
      <c r="AI15" s="526">
        <f t="shared" si="122"/>
        <v>0</v>
      </c>
      <c r="AJ15" s="524"/>
      <c r="AK15" s="525">
        <f t="shared" si="10"/>
        <v>0</v>
      </c>
      <c r="AL15" s="526">
        <f t="shared" si="123"/>
        <v>0</v>
      </c>
      <c r="AM15" s="524"/>
      <c r="AN15" s="525">
        <f t="shared" si="11"/>
        <v>0</v>
      </c>
      <c r="AO15" s="526">
        <f t="shared" si="124"/>
        <v>0</v>
      </c>
      <c r="AP15" s="524">
        <v>27.894900000000007</v>
      </c>
      <c r="AQ15" s="525">
        <f t="shared" si="12"/>
        <v>0.80880570616718406</v>
      </c>
      <c r="AR15" s="526">
        <f t="shared" si="125"/>
        <v>0</v>
      </c>
      <c r="AS15" s="524"/>
      <c r="AT15" s="525">
        <f t="shared" si="13"/>
        <v>0</v>
      </c>
      <c r="AU15" s="526">
        <f t="shared" si="126"/>
        <v>0</v>
      </c>
      <c r="AV15" s="524"/>
      <c r="AW15" s="525">
        <f t="shared" si="14"/>
        <v>0</v>
      </c>
      <c r="AX15" s="526">
        <f t="shared" si="127"/>
        <v>0</v>
      </c>
      <c r="AY15" s="524">
        <v>36.40440000000001</v>
      </c>
      <c r="AZ15" s="525">
        <f t="shared" si="15"/>
        <v>1.0555365478848333</v>
      </c>
      <c r="BA15" s="526">
        <f t="shared" si="128"/>
        <v>0</v>
      </c>
      <c r="BB15" s="524"/>
      <c r="BC15" s="525">
        <f t="shared" si="16"/>
        <v>0</v>
      </c>
      <c r="BD15" s="526">
        <f t="shared" si="129"/>
        <v>0</v>
      </c>
      <c r="BE15" s="524"/>
      <c r="BF15" s="525">
        <f t="shared" si="17"/>
        <v>0</v>
      </c>
      <c r="BG15" s="526">
        <f t="shared" si="130"/>
        <v>0</v>
      </c>
      <c r="BH15" s="524"/>
      <c r="BI15" s="525">
        <f t="shared" si="18"/>
        <v>0</v>
      </c>
      <c r="BJ15" s="526">
        <f t="shared" si="131"/>
        <v>0</v>
      </c>
      <c r="BK15" s="524"/>
      <c r="BL15" s="525">
        <f t="shared" si="19"/>
        <v>0</v>
      </c>
      <c r="BM15" s="526">
        <f t="shared" si="132"/>
        <v>0</v>
      </c>
      <c r="BN15" s="524"/>
      <c r="BO15" s="525">
        <f t="shared" si="20"/>
        <v>0</v>
      </c>
      <c r="BP15" s="526">
        <f t="shared" si="133"/>
        <v>0</v>
      </c>
      <c r="BQ15" s="524">
        <v>131.64556962025316</v>
      </c>
      <c r="BR15" s="525">
        <f t="shared" si="21"/>
        <v>3.8170306364421456</v>
      </c>
      <c r="BS15" s="526">
        <f t="shared" si="134"/>
        <v>0</v>
      </c>
      <c r="BT15" s="524"/>
      <c r="BU15" s="525">
        <f t="shared" si="22"/>
        <v>0</v>
      </c>
      <c r="BV15" s="526">
        <f t="shared" si="135"/>
        <v>0</v>
      </c>
      <c r="BW15" s="524"/>
      <c r="BX15" s="525">
        <f t="shared" si="23"/>
        <v>0</v>
      </c>
      <c r="BY15" s="526">
        <f t="shared" si="136"/>
        <v>0</v>
      </c>
      <c r="BZ15" s="524">
        <v>2996</v>
      </c>
      <c r="CA15" s="525">
        <f t="shared" si="24"/>
        <v>86.868276841891628</v>
      </c>
      <c r="CB15" s="526">
        <f t="shared" si="137"/>
        <v>0</v>
      </c>
      <c r="CC15" s="524"/>
      <c r="CD15" s="525">
        <f t="shared" si="25"/>
        <v>0</v>
      </c>
      <c r="CE15" s="526">
        <f t="shared" si="138"/>
        <v>0</v>
      </c>
      <c r="CF15" s="524">
        <v>0.59999999999999609</v>
      </c>
      <c r="CG15" s="525">
        <f t="shared" si="26"/>
        <v>1.7396851169938131E-2</v>
      </c>
      <c r="CH15" s="526">
        <f t="shared" si="139"/>
        <v>0</v>
      </c>
      <c r="CI15" s="524"/>
      <c r="CJ15" s="525">
        <f t="shared" si="27"/>
        <v>0</v>
      </c>
      <c r="CK15" s="526">
        <f t="shared" si="140"/>
        <v>0</v>
      </c>
      <c r="CL15" s="524"/>
      <c r="CM15" s="525">
        <f t="shared" si="28"/>
        <v>0</v>
      </c>
      <c r="CN15" s="526">
        <f t="shared" si="141"/>
        <v>0</v>
      </c>
      <c r="CO15" s="524"/>
      <c r="CP15" s="525">
        <f t="shared" si="29"/>
        <v>0</v>
      </c>
      <c r="CQ15" s="526">
        <f t="shared" si="142"/>
        <v>0</v>
      </c>
      <c r="CR15" s="524"/>
      <c r="CS15" s="525">
        <f t="shared" si="30"/>
        <v>0</v>
      </c>
      <c r="CT15" s="526">
        <f t="shared" si="143"/>
        <v>0</v>
      </c>
      <c r="CU15" s="524"/>
      <c r="CV15" s="525">
        <f t="shared" si="31"/>
        <v>0</v>
      </c>
      <c r="CW15" s="526">
        <f t="shared" si="144"/>
        <v>0</v>
      </c>
      <c r="CX15" s="524"/>
      <c r="CY15" s="525">
        <f t="shared" si="32"/>
        <v>0</v>
      </c>
      <c r="CZ15" s="526">
        <f t="shared" si="145"/>
        <v>0</v>
      </c>
      <c r="DA15" s="524"/>
      <c r="DB15" s="525">
        <f t="shared" si="33"/>
        <v>0</v>
      </c>
      <c r="DC15" s="526">
        <f t="shared" si="146"/>
        <v>0</v>
      </c>
      <c r="DD15" s="524"/>
      <c r="DE15" s="525">
        <f t="shared" si="34"/>
        <v>0</v>
      </c>
      <c r="DF15" s="526">
        <f t="shared" si="147"/>
        <v>0</v>
      </c>
      <c r="DG15" s="524"/>
      <c r="DH15" s="525">
        <f t="shared" si="35"/>
        <v>0</v>
      </c>
      <c r="DI15" s="526">
        <f t="shared" si="203"/>
        <v>0</v>
      </c>
      <c r="DJ15" s="524"/>
      <c r="DK15" s="525">
        <f t="shared" si="36"/>
        <v>0</v>
      </c>
      <c r="DL15" s="526">
        <f t="shared" si="148"/>
        <v>0</v>
      </c>
      <c r="DM15" s="524"/>
      <c r="DN15" s="525">
        <f t="shared" si="37"/>
        <v>0</v>
      </c>
      <c r="DO15" s="526">
        <f t="shared" si="149"/>
        <v>0</v>
      </c>
      <c r="DP15" s="524"/>
      <c r="DQ15" s="525">
        <f t="shared" si="38"/>
        <v>0</v>
      </c>
      <c r="DR15" s="526">
        <f t="shared" si="150"/>
        <v>0</v>
      </c>
      <c r="DS15" s="524"/>
      <c r="DT15" s="525">
        <f t="shared" si="39"/>
        <v>0</v>
      </c>
      <c r="DU15" s="526">
        <f t="shared" si="151"/>
        <v>0</v>
      </c>
      <c r="DV15" s="524"/>
      <c r="DW15" s="525">
        <f t="shared" si="40"/>
        <v>0</v>
      </c>
      <c r="DX15" s="526">
        <f t="shared" si="152"/>
        <v>0</v>
      </c>
      <c r="DY15" s="524"/>
      <c r="DZ15" s="525">
        <f t="shared" si="41"/>
        <v>0</v>
      </c>
      <c r="EA15" s="526">
        <f t="shared" si="153"/>
        <v>0</v>
      </c>
      <c r="EB15" s="524"/>
      <c r="EC15" s="525">
        <f t="shared" si="42"/>
        <v>0</v>
      </c>
      <c r="ED15" s="526">
        <f t="shared" si="154"/>
        <v>0</v>
      </c>
      <c r="EE15" s="524">
        <v>14.534883720930225</v>
      </c>
      <c r="EF15" s="525">
        <f t="shared" si="43"/>
        <v>0.42143534810896882</v>
      </c>
      <c r="EG15" s="526">
        <f t="shared" si="155"/>
        <v>0</v>
      </c>
      <c r="EH15" s="524">
        <v>25.550000000000011</v>
      </c>
      <c r="EI15" s="525">
        <f t="shared" si="44"/>
        <v>0.74081591231987054</v>
      </c>
      <c r="EJ15" s="526">
        <f t="shared" si="156"/>
        <v>0</v>
      </c>
      <c r="EK15" s="524">
        <v>2</v>
      </c>
      <c r="EL15" s="525">
        <f t="shared" si="45"/>
        <v>5.798950389979414E-2</v>
      </c>
      <c r="EM15" s="526">
        <f t="shared" si="157"/>
        <v>0</v>
      </c>
      <c r="EN15" s="524"/>
      <c r="EO15" s="525">
        <f t="shared" si="46"/>
        <v>0</v>
      </c>
      <c r="EP15" s="526">
        <f t="shared" si="158"/>
        <v>0</v>
      </c>
      <c r="EQ15" s="524"/>
      <c r="ER15" s="525">
        <f t="shared" si="47"/>
        <v>0</v>
      </c>
      <c r="ES15" s="526">
        <f t="shared" si="159"/>
        <v>0</v>
      </c>
      <c r="ET15" s="524"/>
      <c r="EU15" s="525">
        <f t="shared" si="48"/>
        <v>0</v>
      </c>
      <c r="EV15" s="526">
        <f t="shared" si="160"/>
        <v>0</v>
      </c>
      <c r="EW15" s="524"/>
      <c r="EX15" s="525">
        <f t="shared" si="49"/>
        <v>0</v>
      </c>
      <c r="EY15" s="526">
        <f t="shared" si="161"/>
        <v>0</v>
      </c>
      <c r="EZ15" s="524"/>
      <c r="FA15" s="525">
        <f t="shared" si="50"/>
        <v>0</v>
      </c>
      <c r="FB15" s="526">
        <f t="shared" si="162"/>
        <v>0</v>
      </c>
      <c r="FC15" s="524"/>
      <c r="FD15" s="525">
        <f t="shared" si="51"/>
        <v>0</v>
      </c>
      <c r="FE15" s="526">
        <f t="shared" si="163"/>
        <v>0</v>
      </c>
      <c r="FF15" s="524"/>
      <c r="FG15" s="525">
        <f t="shared" si="52"/>
        <v>0</v>
      </c>
      <c r="FH15" s="526">
        <f t="shared" si="164"/>
        <v>0</v>
      </c>
      <c r="FI15" s="524"/>
      <c r="FJ15" s="525">
        <f t="shared" si="53"/>
        <v>0</v>
      </c>
      <c r="FK15" s="526">
        <f t="shared" si="165"/>
        <v>0</v>
      </c>
      <c r="FL15" s="524"/>
      <c r="FM15" s="525">
        <f t="shared" si="54"/>
        <v>0</v>
      </c>
      <c r="FN15" s="526">
        <f t="shared" si="166"/>
        <v>0</v>
      </c>
      <c r="FO15" s="524"/>
      <c r="FP15" s="525">
        <f t="shared" si="55"/>
        <v>0</v>
      </c>
      <c r="FQ15" s="526">
        <f t="shared" si="167"/>
        <v>0</v>
      </c>
      <c r="FR15" s="524"/>
      <c r="FS15" s="525">
        <f t="shared" si="56"/>
        <v>0</v>
      </c>
      <c r="FT15" s="526">
        <f t="shared" si="168"/>
        <v>0</v>
      </c>
      <c r="FU15" s="524"/>
      <c r="FV15" s="525">
        <f t="shared" si="57"/>
        <v>0</v>
      </c>
      <c r="FW15" s="526">
        <f t="shared" si="169"/>
        <v>0</v>
      </c>
      <c r="FX15" s="524"/>
      <c r="FY15" s="525">
        <f t="shared" si="58"/>
        <v>0</v>
      </c>
      <c r="FZ15" s="526">
        <f t="shared" si="170"/>
        <v>0</v>
      </c>
      <c r="GA15" s="524"/>
      <c r="GB15" s="525">
        <f t="shared" si="59"/>
        <v>0</v>
      </c>
      <c r="GC15" s="526">
        <f t="shared" si="171"/>
        <v>0</v>
      </c>
      <c r="GD15" s="524"/>
      <c r="GE15" s="525">
        <f t="shared" si="60"/>
        <v>0</v>
      </c>
      <c r="GF15" s="526">
        <f t="shared" si="172"/>
        <v>0</v>
      </c>
      <c r="GG15" s="524"/>
      <c r="GH15" s="525">
        <f t="shared" si="61"/>
        <v>0</v>
      </c>
      <c r="GI15" s="526">
        <f t="shared" si="173"/>
        <v>0</v>
      </c>
      <c r="GJ15" s="524"/>
      <c r="GK15" s="525">
        <f t="shared" si="62"/>
        <v>0</v>
      </c>
      <c r="GL15" s="526">
        <f t="shared" si="174"/>
        <v>0</v>
      </c>
      <c r="GM15" s="524"/>
      <c r="GN15" s="525">
        <f t="shared" si="63"/>
        <v>0</v>
      </c>
      <c r="GO15" s="526">
        <f t="shared" si="175"/>
        <v>0</v>
      </c>
      <c r="GP15" s="524"/>
      <c r="GQ15" s="525">
        <f t="shared" si="64"/>
        <v>0</v>
      </c>
      <c r="GR15" s="526">
        <f t="shared" si="176"/>
        <v>0</v>
      </c>
      <c r="GS15" s="524"/>
      <c r="GT15" s="525">
        <f t="shared" si="65"/>
        <v>0</v>
      </c>
      <c r="GU15" s="526">
        <f t="shared" si="177"/>
        <v>0</v>
      </c>
      <c r="GV15" s="524"/>
      <c r="GW15" s="525">
        <f t="shared" si="66"/>
        <v>0</v>
      </c>
      <c r="GX15" s="526">
        <f t="shared" si="178"/>
        <v>0</v>
      </c>
      <c r="GY15" s="524"/>
      <c r="GZ15" s="525">
        <f t="shared" si="67"/>
        <v>0</v>
      </c>
      <c r="HA15" s="526">
        <f t="shared" si="179"/>
        <v>0</v>
      </c>
      <c r="HB15" s="524"/>
      <c r="HC15" s="525">
        <f t="shared" si="68"/>
        <v>0</v>
      </c>
      <c r="HD15" s="526">
        <f t="shared" si="180"/>
        <v>0</v>
      </c>
      <c r="HE15" s="524"/>
      <c r="HF15" s="525">
        <f t="shared" si="69"/>
        <v>0</v>
      </c>
      <c r="HG15" s="526">
        <f t="shared" si="181"/>
        <v>0</v>
      </c>
      <c r="HH15" s="524"/>
      <c r="HI15" s="525">
        <f t="shared" si="70"/>
        <v>0</v>
      </c>
      <c r="HJ15" s="526">
        <f t="shared" si="182"/>
        <v>0</v>
      </c>
      <c r="HK15" s="524"/>
      <c r="HL15" s="525">
        <f t="shared" si="71"/>
        <v>0</v>
      </c>
      <c r="HM15" s="526">
        <f t="shared" si="183"/>
        <v>0</v>
      </c>
      <c r="HN15" s="524"/>
      <c r="HO15" s="525">
        <f t="shared" si="72"/>
        <v>0</v>
      </c>
      <c r="HP15" s="526">
        <f t="shared" si="184"/>
        <v>0</v>
      </c>
      <c r="HQ15" s="524"/>
      <c r="HR15" s="525">
        <f t="shared" si="73"/>
        <v>0</v>
      </c>
      <c r="HS15" s="526">
        <f t="shared" si="185"/>
        <v>0</v>
      </c>
      <c r="HT15" s="524"/>
      <c r="HU15" s="525">
        <f t="shared" si="74"/>
        <v>0</v>
      </c>
      <c r="HV15" s="526">
        <f t="shared" si="186"/>
        <v>0</v>
      </c>
      <c r="HW15" s="524"/>
      <c r="HX15" s="525">
        <f t="shared" si="75"/>
        <v>0</v>
      </c>
      <c r="HY15" s="526">
        <f t="shared" si="187"/>
        <v>0</v>
      </c>
      <c r="HZ15" s="524"/>
      <c r="IA15" s="525">
        <f t="shared" si="76"/>
        <v>0</v>
      </c>
      <c r="IB15" s="526">
        <f t="shared" si="188"/>
        <v>0</v>
      </c>
      <c r="IC15" s="524"/>
      <c r="ID15" s="525">
        <f t="shared" si="77"/>
        <v>0</v>
      </c>
      <c r="IE15" s="526">
        <f t="shared" si="189"/>
        <v>0</v>
      </c>
      <c r="IF15" s="524"/>
      <c r="IG15" s="525">
        <f t="shared" si="78"/>
        <v>0</v>
      </c>
      <c r="IH15" s="526">
        <f t="shared" si="190"/>
        <v>0</v>
      </c>
      <c r="II15" s="524"/>
      <c r="IJ15" s="525">
        <f t="shared" si="79"/>
        <v>0</v>
      </c>
      <c r="IK15" s="526">
        <f t="shared" si="191"/>
        <v>0</v>
      </c>
      <c r="IL15" s="524"/>
      <c r="IM15" s="525">
        <f t="shared" si="80"/>
        <v>0</v>
      </c>
      <c r="IN15" s="526">
        <f t="shared" si="192"/>
        <v>0</v>
      </c>
      <c r="IO15" s="524"/>
      <c r="IP15" s="525">
        <f t="shared" si="81"/>
        <v>0</v>
      </c>
      <c r="IQ15" s="526">
        <f t="shared" si="193"/>
        <v>0</v>
      </c>
      <c r="IR15" s="524"/>
      <c r="IS15" s="525">
        <f t="shared" si="82"/>
        <v>0</v>
      </c>
      <c r="IT15" s="526">
        <f t="shared" si="194"/>
        <v>0</v>
      </c>
      <c r="IU15" s="524"/>
      <c r="IV15" s="525">
        <f t="shared" si="83"/>
        <v>0</v>
      </c>
      <c r="IW15" s="526">
        <f t="shared" si="195"/>
        <v>0</v>
      </c>
      <c r="IX15" s="524"/>
      <c r="IY15" s="525">
        <f t="shared" si="84"/>
        <v>0</v>
      </c>
      <c r="IZ15" s="526">
        <f t="shared" si="196"/>
        <v>0</v>
      </c>
      <c r="JA15" s="524"/>
      <c r="JB15" s="525">
        <f t="shared" si="85"/>
        <v>0</v>
      </c>
      <c r="JC15" s="526">
        <f t="shared" si="197"/>
        <v>0</v>
      </c>
      <c r="JD15" s="524"/>
      <c r="JE15" s="525">
        <f t="shared" si="86"/>
        <v>0</v>
      </c>
      <c r="JF15" s="526">
        <f t="shared" si="198"/>
        <v>0</v>
      </c>
      <c r="JG15" s="524"/>
      <c r="JH15" s="525">
        <f t="shared" si="87"/>
        <v>0</v>
      </c>
      <c r="JI15" s="526">
        <f t="shared" si="199"/>
        <v>0</v>
      </c>
      <c r="JJ15" s="524"/>
      <c r="JK15" s="526" t="str">
        <f t="shared" si="88"/>
        <v>0</v>
      </c>
      <c r="JL15" s="526" t="str">
        <f t="shared" si="89"/>
        <v>0</v>
      </c>
      <c r="JM15" s="524"/>
      <c r="JN15" s="526" t="str">
        <f t="shared" si="90"/>
        <v>0</v>
      </c>
      <c r="JO15" s="526" t="str">
        <f t="shared" si="91"/>
        <v>0</v>
      </c>
      <c r="JP15" s="524"/>
      <c r="JQ15" s="526" t="str">
        <f t="shared" si="92"/>
        <v>0</v>
      </c>
      <c r="JR15" s="526" t="str">
        <f t="shared" si="93"/>
        <v>0</v>
      </c>
      <c r="JS15" s="524"/>
      <c r="JT15" s="526" t="str">
        <f t="shared" si="94"/>
        <v>0</v>
      </c>
      <c r="JU15" s="526" t="str">
        <f t="shared" si="95"/>
        <v>0</v>
      </c>
      <c r="JV15" s="524"/>
      <c r="JW15" s="526" t="str">
        <f t="shared" si="96"/>
        <v>0</v>
      </c>
      <c r="JX15" s="526" t="str">
        <f t="shared" si="97"/>
        <v>0</v>
      </c>
      <c r="JY15" s="524"/>
      <c r="JZ15" s="526" t="str">
        <f t="shared" si="98"/>
        <v>0</v>
      </c>
      <c r="KA15" s="526" t="str">
        <f t="shared" si="99"/>
        <v>0</v>
      </c>
      <c r="KB15" s="524"/>
      <c r="KC15" s="526" t="str">
        <f t="shared" si="100"/>
        <v>0</v>
      </c>
      <c r="KD15" s="526" t="str">
        <f t="shared" si="101"/>
        <v>0</v>
      </c>
      <c r="KE15" s="524"/>
      <c r="KF15" s="526" t="str">
        <f t="shared" si="102"/>
        <v>0</v>
      </c>
      <c r="KG15" s="526" t="str">
        <f t="shared" si="103"/>
        <v>0</v>
      </c>
      <c r="KH15" s="524"/>
      <c r="KI15" s="526" t="str">
        <f t="shared" si="104"/>
        <v>0</v>
      </c>
      <c r="KJ15" s="526" t="str">
        <f t="shared" si="105"/>
        <v>0</v>
      </c>
      <c r="KK15" s="524"/>
      <c r="KL15" s="526" t="str">
        <f t="shared" si="106"/>
        <v>0</v>
      </c>
      <c r="KM15" s="526" t="str">
        <f t="shared" si="107"/>
        <v>0</v>
      </c>
      <c r="KN15" s="524"/>
      <c r="KO15" s="526" t="str">
        <f t="shared" si="108"/>
        <v>0</v>
      </c>
      <c r="KP15" s="526" t="str">
        <f t="shared" si="109"/>
        <v>0</v>
      </c>
      <c r="KQ15" s="524"/>
      <c r="KR15" s="526" t="str">
        <f t="shared" si="110"/>
        <v>0</v>
      </c>
      <c r="KS15" s="526" t="str">
        <f t="shared" si="111"/>
        <v>0</v>
      </c>
      <c r="KT15" s="526">
        <f t="shared" si="201"/>
        <v>0</v>
      </c>
      <c r="KU15" s="526">
        <f t="shared" si="202"/>
        <v>0</v>
      </c>
      <c r="KV15" s="262">
        <f t="shared" si="112"/>
        <v>3350.4950533411838</v>
      </c>
    </row>
    <row r="16" spans="1:308">
      <c r="A16" s="263">
        <f t="shared" si="200"/>
        <v>45908</v>
      </c>
      <c r="B16" s="264" t="str">
        <f>+Report1!B16</f>
        <v>STOP</v>
      </c>
      <c r="C16" s="264" t="str">
        <f>+Report1!C16</f>
        <v>12</v>
      </c>
      <c r="D16" s="265">
        <f>+Report1!P16</f>
        <v>0</v>
      </c>
      <c r="E16" s="556">
        <f>+Report1!R16</f>
        <v>0</v>
      </c>
      <c r="F16" s="524"/>
      <c r="G16" s="525" t="e">
        <f t="shared" si="0"/>
        <v>#DIV/0!</v>
      </c>
      <c r="H16" s="526">
        <f t="shared" si="113"/>
        <v>0</v>
      </c>
      <c r="I16" s="524">
        <v>23.257706976743975</v>
      </c>
      <c r="J16" s="525" t="e">
        <f t="shared" si="1"/>
        <v>#DIV/0!</v>
      </c>
      <c r="K16" s="526">
        <f t="shared" si="114"/>
        <v>0</v>
      </c>
      <c r="L16" s="524"/>
      <c r="M16" s="525" t="e">
        <f t="shared" si="2"/>
        <v>#DIV/0!</v>
      </c>
      <c r="N16" s="526">
        <f t="shared" si="115"/>
        <v>0</v>
      </c>
      <c r="O16" s="524">
        <v>3.0039999999999978</v>
      </c>
      <c r="P16" s="525" t="e">
        <f t="shared" si="3"/>
        <v>#DIV/0!</v>
      </c>
      <c r="Q16" s="526">
        <f t="shared" si="116"/>
        <v>0</v>
      </c>
      <c r="R16" s="524"/>
      <c r="S16" s="525" t="e">
        <f t="shared" si="4"/>
        <v>#DIV/0!</v>
      </c>
      <c r="T16" s="526">
        <f t="shared" si="117"/>
        <v>0</v>
      </c>
      <c r="U16" s="524">
        <v>2.561499999999981</v>
      </c>
      <c r="V16" s="525" t="e">
        <f t="shared" si="5"/>
        <v>#DIV/0!</v>
      </c>
      <c r="W16" s="526">
        <f t="shared" si="118"/>
        <v>0</v>
      </c>
      <c r="X16" s="524"/>
      <c r="Y16" s="525" t="e">
        <f t="shared" si="6"/>
        <v>#DIV/0!</v>
      </c>
      <c r="Z16" s="526">
        <f t="shared" si="119"/>
        <v>0</v>
      </c>
      <c r="AA16" s="524">
        <v>4.6875</v>
      </c>
      <c r="AB16" s="525" t="e">
        <f t="shared" si="7"/>
        <v>#DIV/0!</v>
      </c>
      <c r="AC16" s="526">
        <f t="shared" si="120"/>
        <v>0</v>
      </c>
      <c r="AD16" s="524"/>
      <c r="AE16" s="525" t="e">
        <f t="shared" si="8"/>
        <v>#DIV/0!</v>
      </c>
      <c r="AF16" s="526">
        <f t="shared" si="121"/>
        <v>0</v>
      </c>
      <c r="AG16" s="524"/>
      <c r="AH16" s="525" t="e">
        <f t="shared" si="9"/>
        <v>#DIV/0!</v>
      </c>
      <c r="AI16" s="526">
        <f t="shared" si="122"/>
        <v>0</v>
      </c>
      <c r="AJ16" s="524">
        <v>5.8750000000000142</v>
      </c>
      <c r="AK16" s="525" t="e">
        <f t="shared" si="10"/>
        <v>#DIV/0!</v>
      </c>
      <c r="AL16" s="526">
        <f t="shared" si="123"/>
        <v>0</v>
      </c>
      <c r="AM16" s="524"/>
      <c r="AN16" s="525" t="e">
        <f t="shared" si="11"/>
        <v>#DIV/0!</v>
      </c>
      <c r="AO16" s="526">
        <f t="shared" si="124"/>
        <v>0</v>
      </c>
      <c r="AP16" s="524">
        <v>5.6953594936708782</v>
      </c>
      <c r="AQ16" s="525" t="e">
        <f t="shared" si="12"/>
        <v>#DIV/0!</v>
      </c>
      <c r="AR16" s="526">
        <f t="shared" si="125"/>
        <v>0</v>
      </c>
      <c r="AS16" s="524"/>
      <c r="AT16" s="525" t="e">
        <f t="shared" si="13"/>
        <v>#DIV/0!</v>
      </c>
      <c r="AU16" s="526">
        <f t="shared" si="126"/>
        <v>0</v>
      </c>
      <c r="AV16" s="524">
        <v>2.7750000000000004</v>
      </c>
      <c r="AW16" s="525" t="e">
        <f t="shared" si="14"/>
        <v>#DIV/0!</v>
      </c>
      <c r="AX16" s="526">
        <f t="shared" si="127"/>
        <v>0</v>
      </c>
      <c r="AY16" s="524">
        <v>13.998533333333398</v>
      </c>
      <c r="AZ16" s="525" t="e">
        <f t="shared" si="15"/>
        <v>#DIV/0!</v>
      </c>
      <c r="BA16" s="526">
        <f t="shared" si="128"/>
        <v>0</v>
      </c>
      <c r="BB16" s="524"/>
      <c r="BC16" s="525" t="e">
        <f t="shared" si="16"/>
        <v>#DIV/0!</v>
      </c>
      <c r="BD16" s="526">
        <f t="shared" si="129"/>
        <v>0</v>
      </c>
      <c r="BE16" s="524"/>
      <c r="BF16" s="525" t="e">
        <f t="shared" si="17"/>
        <v>#DIV/0!</v>
      </c>
      <c r="BG16" s="526">
        <f t="shared" si="130"/>
        <v>0</v>
      </c>
      <c r="BH16" s="524"/>
      <c r="BI16" s="525" t="e">
        <f t="shared" si="18"/>
        <v>#DIV/0!</v>
      </c>
      <c r="BJ16" s="526">
        <f t="shared" si="131"/>
        <v>0</v>
      </c>
      <c r="BK16" s="524"/>
      <c r="BL16" s="525" t="e">
        <f t="shared" si="19"/>
        <v>#DIV/0!</v>
      </c>
      <c r="BM16" s="526">
        <f t="shared" si="132"/>
        <v>0</v>
      </c>
      <c r="BN16" s="524"/>
      <c r="BO16" s="525" t="e">
        <f t="shared" si="20"/>
        <v>#DIV/0!</v>
      </c>
      <c r="BP16" s="526">
        <f t="shared" si="133"/>
        <v>0</v>
      </c>
      <c r="BQ16" s="524"/>
      <c r="BR16" s="525" t="e">
        <f t="shared" si="21"/>
        <v>#DIV/0!</v>
      </c>
      <c r="BS16" s="526">
        <f t="shared" si="134"/>
        <v>0</v>
      </c>
      <c r="BT16" s="524"/>
      <c r="BU16" s="525" t="e">
        <f t="shared" si="22"/>
        <v>#DIV/0!</v>
      </c>
      <c r="BV16" s="526">
        <f t="shared" si="135"/>
        <v>0</v>
      </c>
      <c r="BW16" s="524"/>
      <c r="BX16" s="525" t="e">
        <f t="shared" si="23"/>
        <v>#DIV/0!</v>
      </c>
      <c r="BY16" s="526">
        <f t="shared" si="136"/>
        <v>0</v>
      </c>
      <c r="BZ16" s="524">
        <v>16.97674418604646</v>
      </c>
      <c r="CA16" s="525" t="e">
        <f t="shared" si="24"/>
        <v>#DIV/0!</v>
      </c>
      <c r="CB16" s="526">
        <f t="shared" si="137"/>
        <v>0</v>
      </c>
      <c r="CC16" s="524"/>
      <c r="CD16" s="525" t="e">
        <f t="shared" si="25"/>
        <v>#DIV/0!</v>
      </c>
      <c r="CE16" s="526">
        <f t="shared" si="138"/>
        <v>0</v>
      </c>
      <c r="CF16" s="524"/>
      <c r="CG16" s="525" t="e">
        <f t="shared" si="26"/>
        <v>#DIV/0!</v>
      </c>
      <c r="CH16" s="526">
        <f t="shared" si="139"/>
        <v>0</v>
      </c>
      <c r="CI16" s="524"/>
      <c r="CJ16" s="525" t="e">
        <f t="shared" si="27"/>
        <v>#DIV/0!</v>
      </c>
      <c r="CK16" s="526">
        <f t="shared" si="140"/>
        <v>0</v>
      </c>
      <c r="CL16" s="524"/>
      <c r="CM16" s="525" t="e">
        <f t="shared" si="28"/>
        <v>#DIV/0!</v>
      </c>
      <c r="CN16" s="526">
        <f t="shared" si="141"/>
        <v>0</v>
      </c>
      <c r="CO16" s="524"/>
      <c r="CP16" s="525" t="e">
        <f t="shared" si="29"/>
        <v>#DIV/0!</v>
      </c>
      <c r="CQ16" s="526">
        <f t="shared" si="142"/>
        <v>0</v>
      </c>
      <c r="CR16" s="524"/>
      <c r="CS16" s="525" t="e">
        <f t="shared" si="30"/>
        <v>#DIV/0!</v>
      </c>
      <c r="CT16" s="526">
        <f t="shared" si="143"/>
        <v>0</v>
      </c>
      <c r="CU16" s="524"/>
      <c r="CV16" s="525" t="e">
        <f t="shared" si="31"/>
        <v>#DIV/0!</v>
      </c>
      <c r="CW16" s="526">
        <f t="shared" si="144"/>
        <v>0</v>
      </c>
      <c r="CX16" s="524"/>
      <c r="CY16" s="525" t="e">
        <f t="shared" si="32"/>
        <v>#DIV/0!</v>
      </c>
      <c r="CZ16" s="526">
        <f t="shared" si="145"/>
        <v>0</v>
      </c>
      <c r="DA16" s="524"/>
      <c r="DB16" s="525" t="e">
        <f t="shared" si="33"/>
        <v>#DIV/0!</v>
      </c>
      <c r="DC16" s="526">
        <f t="shared" si="146"/>
        <v>0</v>
      </c>
      <c r="DD16" s="524"/>
      <c r="DE16" s="525" t="e">
        <f t="shared" si="34"/>
        <v>#DIV/0!</v>
      </c>
      <c r="DF16" s="526">
        <f t="shared" si="147"/>
        <v>0</v>
      </c>
      <c r="DG16" s="524"/>
      <c r="DH16" s="525" t="e">
        <f t="shared" si="35"/>
        <v>#DIV/0!</v>
      </c>
      <c r="DI16" s="526">
        <f t="shared" si="203"/>
        <v>0</v>
      </c>
      <c r="DJ16" s="524"/>
      <c r="DK16" s="525" t="e">
        <f t="shared" si="36"/>
        <v>#DIV/0!</v>
      </c>
      <c r="DL16" s="526">
        <f t="shared" si="148"/>
        <v>0</v>
      </c>
      <c r="DM16" s="524"/>
      <c r="DN16" s="525" t="e">
        <f t="shared" si="37"/>
        <v>#DIV/0!</v>
      </c>
      <c r="DO16" s="526">
        <f t="shared" si="149"/>
        <v>0</v>
      </c>
      <c r="DP16" s="524"/>
      <c r="DQ16" s="525" t="e">
        <f t="shared" si="38"/>
        <v>#DIV/0!</v>
      </c>
      <c r="DR16" s="526">
        <f t="shared" si="150"/>
        <v>0</v>
      </c>
      <c r="DS16" s="524"/>
      <c r="DT16" s="525" t="e">
        <f t="shared" si="39"/>
        <v>#DIV/0!</v>
      </c>
      <c r="DU16" s="526">
        <f t="shared" si="151"/>
        <v>0</v>
      </c>
      <c r="DV16" s="524"/>
      <c r="DW16" s="525" t="e">
        <f t="shared" si="40"/>
        <v>#DIV/0!</v>
      </c>
      <c r="DX16" s="526">
        <f t="shared" si="152"/>
        <v>0</v>
      </c>
      <c r="DY16" s="524"/>
      <c r="DZ16" s="525" t="e">
        <f t="shared" si="41"/>
        <v>#DIV/0!</v>
      </c>
      <c r="EA16" s="526">
        <f t="shared" si="153"/>
        <v>0</v>
      </c>
      <c r="EB16" s="524"/>
      <c r="EC16" s="525" t="e">
        <f t="shared" si="42"/>
        <v>#DIV/0!</v>
      </c>
      <c r="ED16" s="526">
        <f t="shared" si="154"/>
        <v>0</v>
      </c>
      <c r="EE16" s="524">
        <v>14.534883720930225</v>
      </c>
      <c r="EF16" s="525" t="e">
        <f t="shared" si="43"/>
        <v>#DIV/0!</v>
      </c>
      <c r="EG16" s="526">
        <f t="shared" si="155"/>
        <v>0</v>
      </c>
      <c r="EH16" s="524">
        <v>11.743529411764769</v>
      </c>
      <c r="EI16" s="525" t="e">
        <f t="shared" si="44"/>
        <v>#DIV/0!</v>
      </c>
      <c r="EJ16" s="526">
        <f t="shared" si="156"/>
        <v>0</v>
      </c>
      <c r="EK16" s="524">
        <v>0.30000000000000071</v>
      </c>
      <c r="EL16" s="525" t="e">
        <f t="shared" si="45"/>
        <v>#DIV/0!</v>
      </c>
      <c r="EM16" s="526">
        <f t="shared" si="157"/>
        <v>0</v>
      </c>
      <c r="EN16" s="524"/>
      <c r="EO16" s="525" t="e">
        <f t="shared" si="46"/>
        <v>#DIV/0!</v>
      </c>
      <c r="EP16" s="526">
        <f t="shared" si="158"/>
        <v>0</v>
      </c>
      <c r="EQ16" s="524"/>
      <c r="ER16" s="525" t="e">
        <f t="shared" si="47"/>
        <v>#DIV/0!</v>
      </c>
      <c r="ES16" s="526">
        <f t="shared" si="159"/>
        <v>0</v>
      </c>
      <c r="ET16" s="524"/>
      <c r="EU16" s="525" t="e">
        <f t="shared" si="48"/>
        <v>#DIV/0!</v>
      </c>
      <c r="EV16" s="526">
        <f t="shared" si="160"/>
        <v>0</v>
      </c>
      <c r="EW16" s="524"/>
      <c r="EX16" s="525" t="e">
        <f t="shared" si="49"/>
        <v>#DIV/0!</v>
      </c>
      <c r="EY16" s="526">
        <f t="shared" si="161"/>
        <v>0</v>
      </c>
      <c r="EZ16" s="524"/>
      <c r="FA16" s="525" t="e">
        <f t="shared" si="50"/>
        <v>#DIV/0!</v>
      </c>
      <c r="FB16" s="526">
        <f t="shared" si="162"/>
        <v>0</v>
      </c>
      <c r="FC16" s="524"/>
      <c r="FD16" s="525" t="e">
        <f t="shared" si="51"/>
        <v>#DIV/0!</v>
      </c>
      <c r="FE16" s="526">
        <f t="shared" si="163"/>
        <v>0</v>
      </c>
      <c r="FF16" s="524"/>
      <c r="FG16" s="525" t="e">
        <f t="shared" si="52"/>
        <v>#DIV/0!</v>
      </c>
      <c r="FH16" s="526">
        <f t="shared" si="164"/>
        <v>0</v>
      </c>
      <c r="FI16" s="524"/>
      <c r="FJ16" s="525" t="e">
        <f t="shared" si="53"/>
        <v>#DIV/0!</v>
      </c>
      <c r="FK16" s="526">
        <f t="shared" si="165"/>
        <v>0</v>
      </c>
      <c r="FL16" s="524"/>
      <c r="FM16" s="525" t="e">
        <f t="shared" si="54"/>
        <v>#DIV/0!</v>
      </c>
      <c r="FN16" s="526">
        <f t="shared" si="166"/>
        <v>0</v>
      </c>
      <c r="FO16" s="524"/>
      <c r="FP16" s="525" t="e">
        <f t="shared" si="55"/>
        <v>#DIV/0!</v>
      </c>
      <c r="FQ16" s="526">
        <f t="shared" si="167"/>
        <v>0</v>
      </c>
      <c r="FR16" s="524"/>
      <c r="FS16" s="525" t="e">
        <f t="shared" si="56"/>
        <v>#DIV/0!</v>
      </c>
      <c r="FT16" s="526">
        <f t="shared" si="168"/>
        <v>0</v>
      </c>
      <c r="FU16" s="524"/>
      <c r="FV16" s="525" t="e">
        <f t="shared" si="57"/>
        <v>#DIV/0!</v>
      </c>
      <c r="FW16" s="526">
        <f t="shared" si="169"/>
        <v>0</v>
      </c>
      <c r="FX16" s="524"/>
      <c r="FY16" s="525" t="e">
        <f t="shared" si="58"/>
        <v>#DIV/0!</v>
      </c>
      <c r="FZ16" s="526">
        <f t="shared" si="170"/>
        <v>0</v>
      </c>
      <c r="GA16" s="524"/>
      <c r="GB16" s="525" t="e">
        <f t="shared" si="59"/>
        <v>#DIV/0!</v>
      </c>
      <c r="GC16" s="526">
        <f t="shared" si="171"/>
        <v>0</v>
      </c>
      <c r="GD16" s="524"/>
      <c r="GE16" s="525" t="e">
        <f t="shared" si="60"/>
        <v>#DIV/0!</v>
      </c>
      <c r="GF16" s="526">
        <f t="shared" si="172"/>
        <v>0</v>
      </c>
      <c r="GG16" s="524"/>
      <c r="GH16" s="525" t="e">
        <f t="shared" si="61"/>
        <v>#DIV/0!</v>
      </c>
      <c r="GI16" s="526">
        <f t="shared" si="173"/>
        <v>0</v>
      </c>
      <c r="GJ16" s="524"/>
      <c r="GK16" s="525" t="e">
        <f t="shared" si="62"/>
        <v>#DIV/0!</v>
      </c>
      <c r="GL16" s="526">
        <f t="shared" si="174"/>
        <v>0</v>
      </c>
      <c r="GM16" s="524"/>
      <c r="GN16" s="525" t="e">
        <f t="shared" si="63"/>
        <v>#DIV/0!</v>
      </c>
      <c r="GO16" s="526">
        <f t="shared" si="175"/>
        <v>0</v>
      </c>
      <c r="GP16" s="524"/>
      <c r="GQ16" s="525" t="e">
        <f t="shared" si="64"/>
        <v>#DIV/0!</v>
      </c>
      <c r="GR16" s="526">
        <f t="shared" si="176"/>
        <v>0</v>
      </c>
      <c r="GS16" s="524"/>
      <c r="GT16" s="525" t="e">
        <f t="shared" si="65"/>
        <v>#DIV/0!</v>
      </c>
      <c r="GU16" s="526">
        <f t="shared" si="177"/>
        <v>0</v>
      </c>
      <c r="GV16" s="524"/>
      <c r="GW16" s="525" t="e">
        <f t="shared" si="66"/>
        <v>#DIV/0!</v>
      </c>
      <c r="GX16" s="526">
        <f t="shared" si="178"/>
        <v>0</v>
      </c>
      <c r="GY16" s="524"/>
      <c r="GZ16" s="525" t="e">
        <f t="shared" si="67"/>
        <v>#DIV/0!</v>
      </c>
      <c r="HA16" s="526">
        <f t="shared" si="179"/>
        <v>0</v>
      </c>
      <c r="HB16" s="524"/>
      <c r="HC16" s="525" t="e">
        <f t="shared" si="68"/>
        <v>#DIV/0!</v>
      </c>
      <c r="HD16" s="526">
        <f t="shared" si="180"/>
        <v>0</v>
      </c>
      <c r="HE16" s="524"/>
      <c r="HF16" s="525" t="e">
        <f t="shared" si="69"/>
        <v>#DIV/0!</v>
      </c>
      <c r="HG16" s="526">
        <f t="shared" si="181"/>
        <v>0</v>
      </c>
      <c r="HH16" s="524"/>
      <c r="HI16" s="525" t="e">
        <f t="shared" si="70"/>
        <v>#DIV/0!</v>
      </c>
      <c r="HJ16" s="526">
        <f t="shared" si="182"/>
        <v>0</v>
      </c>
      <c r="HK16" s="524"/>
      <c r="HL16" s="525" t="e">
        <f t="shared" si="71"/>
        <v>#DIV/0!</v>
      </c>
      <c r="HM16" s="526">
        <f t="shared" si="183"/>
        <v>0</v>
      </c>
      <c r="HN16" s="524"/>
      <c r="HO16" s="525" t="e">
        <f t="shared" si="72"/>
        <v>#DIV/0!</v>
      </c>
      <c r="HP16" s="526">
        <f t="shared" si="184"/>
        <v>0</v>
      </c>
      <c r="HQ16" s="524"/>
      <c r="HR16" s="525" t="e">
        <f t="shared" si="73"/>
        <v>#DIV/0!</v>
      </c>
      <c r="HS16" s="526">
        <f t="shared" si="185"/>
        <v>0</v>
      </c>
      <c r="HT16" s="524"/>
      <c r="HU16" s="525" t="e">
        <f t="shared" si="74"/>
        <v>#DIV/0!</v>
      </c>
      <c r="HV16" s="526">
        <f t="shared" si="186"/>
        <v>0</v>
      </c>
      <c r="HW16" s="524"/>
      <c r="HX16" s="525" t="e">
        <f t="shared" si="75"/>
        <v>#DIV/0!</v>
      </c>
      <c r="HY16" s="526">
        <f t="shared" si="187"/>
        <v>0</v>
      </c>
      <c r="HZ16" s="524"/>
      <c r="IA16" s="525" t="e">
        <f t="shared" si="76"/>
        <v>#DIV/0!</v>
      </c>
      <c r="IB16" s="526">
        <f t="shared" si="188"/>
        <v>0</v>
      </c>
      <c r="IC16" s="524"/>
      <c r="ID16" s="525" t="e">
        <f t="shared" si="77"/>
        <v>#DIV/0!</v>
      </c>
      <c r="IE16" s="526">
        <f t="shared" si="189"/>
        <v>0</v>
      </c>
      <c r="IF16" s="524"/>
      <c r="IG16" s="525" t="e">
        <f t="shared" si="78"/>
        <v>#DIV/0!</v>
      </c>
      <c r="IH16" s="526">
        <f t="shared" si="190"/>
        <v>0</v>
      </c>
      <c r="II16" s="524"/>
      <c r="IJ16" s="525" t="e">
        <f t="shared" si="79"/>
        <v>#DIV/0!</v>
      </c>
      <c r="IK16" s="526">
        <f t="shared" si="191"/>
        <v>0</v>
      </c>
      <c r="IL16" s="524"/>
      <c r="IM16" s="525" t="e">
        <f t="shared" si="80"/>
        <v>#DIV/0!</v>
      </c>
      <c r="IN16" s="526">
        <f t="shared" si="192"/>
        <v>0</v>
      </c>
      <c r="IO16" s="524"/>
      <c r="IP16" s="525" t="e">
        <f t="shared" si="81"/>
        <v>#DIV/0!</v>
      </c>
      <c r="IQ16" s="526">
        <f t="shared" si="193"/>
        <v>0</v>
      </c>
      <c r="IR16" s="524"/>
      <c r="IS16" s="525" t="e">
        <f t="shared" si="82"/>
        <v>#DIV/0!</v>
      </c>
      <c r="IT16" s="526">
        <f t="shared" si="194"/>
        <v>0</v>
      </c>
      <c r="IU16" s="524"/>
      <c r="IV16" s="525" t="e">
        <f t="shared" si="83"/>
        <v>#DIV/0!</v>
      </c>
      <c r="IW16" s="526">
        <f t="shared" si="195"/>
        <v>0</v>
      </c>
      <c r="IX16" s="524"/>
      <c r="IY16" s="525" t="e">
        <f t="shared" si="84"/>
        <v>#DIV/0!</v>
      </c>
      <c r="IZ16" s="526">
        <f t="shared" si="196"/>
        <v>0</v>
      </c>
      <c r="JA16" s="524"/>
      <c r="JB16" s="525" t="e">
        <f t="shared" si="85"/>
        <v>#DIV/0!</v>
      </c>
      <c r="JC16" s="526">
        <f t="shared" si="197"/>
        <v>0</v>
      </c>
      <c r="JD16" s="524"/>
      <c r="JE16" s="525" t="e">
        <f t="shared" si="86"/>
        <v>#DIV/0!</v>
      </c>
      <c r="JF16" s="526">
        <f t="shared" si="198"/>
        <v>0</v>
      </c>
      <c r="JG16" s="524"/>
      <c r="JH16" s="525" t="e">
        <f t="shared" si="87"/>
        <v>#DIV/0!</v>
      </c>
      <c r="JI16" s="526">
        <f t="shared" si="199"/>
        <v>0</v>
      </c>
      <c r="JJ16" s="524"/>
      <c r="JK16" s="526" t="str">
        <f t="shared" si="88"/>
        <v>0</v>
      </c>
      <c r="JL16" s="526" t="str">
        <f t="shared" si="89"/>
        <v>0</v>
      </c>
      <c r="JM16" s="524"/>
      <c r="JN16" s="526" t="str">
        <f t="shared" si="90"/>
        <v>0</v>
      </c>
      <c r="JO16" s="526" t="str">
        <f t="shared" si="91"/>
        <v>0</v>
      </c>
      <c r="JP16" s="524"/>
      <c r="JQ16" s="526" t="str">
        <f t="shared" si="92"/>
        <v>0</v>
      </c>
      <c r="JR16" s="526" t="str">
        <f t="shared" si="93"/>
        <v>0</v>
      </c>
      <c r="JS16" s="524"/>
      <c r="JT16" s="526" t="str">
        <f t="shared" si="94"/>
        <v>0</v>
      </c>
      <c r="JU16" s="526" t="str">
        <f t="shared" si="95"/>
        <v>0</v>
      </c>
      <c r="JV16" s="524"/>
      <c r="JW16" s="526" t="str">
        <f t="shared" si="96"/>
        <v>0</v>
      </c>
      <c r="JX16" s="526" t="str">
        <f t="shared" si="97"/>
        <v>0</v>
      </c>
      <c r="JY16" s="524"/>
      <c r="JZ16" s="526" t="str">
        <f t="shared" si="98"/>
        <v>0</v>
      </c>
      <c r="KA16" s="526" t="str">
        <f t="shared" si="99"/>
        <v>0</v>
      </c>
      <c r="KB16" s="524"/>
      <c r="KC16" s="526" t="str">
        <f t="shared" si="100"/>
        <v>0</v>
      </c>
      <c r="KD16" s="526" t="str">
        <f t="shared" si="101"/>
        <v>0</v>
      </c>
      <c r="KE16" s="524"/>
      <c r="KF16" s="526" t="str">
        <f t="shared" si="102"/>
        <v>0</v>
      </c>
      <c r="KG16" s="526" t="str">
        <f t="shared" si="103"/>
        <v>0</v>
      </c>
      <c r="KH16" s="524"/>
      <c r="KI16" s="526" t="str">
        <f t="shared" si="104"/>
        <v>0</v>
      </c>
      <c r="KJ16" s="526" t="str">
        <f t="shared" si="105"/>
        <v>0</v>
      </c>
      <c r="KK16" s="524"/>
      <c r="KL16" s="526" t="str">
        <f t="shared" si="106"/>
        <v>0</v>
      </c>
      <c r="KM16" s="526" t="str">
        <f t="shared" si="107"/>
        <v>0</v>
      </c>
      <c r="KN16" s="524"/>
      <c r="KO16" s="526" t="str">
        <f t="shared" si="108"/>
        <v>0</v>
      </c>
      <c r="KP16" s="526" t="str">
        <f t="shared" si="109"/>
        <v>0</v>
      </c>
      <c r="KQ16" s="524"/>
      <c r="KR16" s="526" t="str">
        <f t="shared" si="110"/>
        <v>0</v>
      </c>
      <c r="KS16" s="526" t="str">
        <f t="shared" si="111"/>
        <v>0</v>
      </c>
      <c r="KT16" s="526">
        <f t="shared" si="201"/>
        <v>0</v>
      </c>
      <c r="KU16" s="526">
        <f t="shared" si="202"/>
        <v>0</v>
      </c>
      <c r="KV16" s="262">
        <f t="shared" si="112"/>
        <v>105.40975712248969</v>
      </c>
    </row>
    <row r="17" spans="1:308">
      <c r="A17" s="263">
        <f t="shared" si="200"/>
        <v>45909</v>
      </c>
      <c r="B17" s="264" t="str">
        <f>+Report1!B17</f>
        <v>Facial</v>
      </c>
      <c r="C17" s="264" t="str">
        <f>+Report1!C17</f>
        <v>12/13</v>
      </c>
      <c r="D17" s="265">
        <f>+Report1!P17</f>
        <v>40.210999999999999</v>
      </c>
      <c r="E17" s="556">
        <f>+Report1!R17</f>
        <v>34.527999999999999</v>
      </c>
      <c r="F17" s="524"/>
      <c r="G17" s="525">
        <f t="shared" si="0"/>
        <v>0</v>
      </c>
      <c r="H17" s="526">
        <f t="shared" si="113"/>
        <v>0</v>
      </c>
      <c r="I17" s="524">
        <v>232.55813953488382</v>
      </c>
      <c r="J17" s="525">
        <f t="shared" si="1"/>
        <v>6.7353492682716585</v>
      </c>
      <c r="K17" s="526">
        <f t="shared" si="114"/>
        <v>0</v>
      </c>
      <c r="L17" s="524"/>
      <c r="M17" s="525">
        <f t="shared" si="2"/>
        <v>0</v>
      </c>
      <c r="N17" s="526">
        <f t="shared" si="115"/>
        <v>0</v>
      </c>
      <c r="O17" s="524">
        <v>5.9999999999999929</v>
      </c>
      <c r="P17" s="525">
        <f t="shared" si="3"/>
        <v>0.17377201112140853</v>
      </c>
      <c r="Q17" s="526">
        <f t="shared" si="116"/>
        <v>0</v>
      </c>
      <c r="R17" s="524"/>
      <c r="S17" s="525">
        <f t="shared" si="4"/>
        <v>0</v>
      </c>
      <c r="T17" s="526">
        <f t="shared" si="117"/>
        <v>0</v>
      </c>
      <c r="U17" s="524">
        <v>7.6875000000000142</v>
      </c>
      <c r="V17" s="525">
        <f t="shared" si="5"/>
        <v>0.22264538924930533</v>
      </c>
      <c r="W17" s="526">
        <f t="shared" si="118"/>
        <v>0</v>
      </c>
      <c r="X17" s="524"/>
      <c r="Y17" s="525">
        <f t="shared" si="6"/>
        <v>0</v>
      </c>
      <c r="Z17" s="526">
        <f t="shared" si="119"/>
        <v>0</v>
      </c>
      <c r="AA17" s="524">
        <v>4.6875000000000142</v>
      </c>
      <c r="AB17" s="525">
        <f t="shared" si="7"/>
        <v>0.13575938368860097</v>
      </c>
      <c r="AC17" s="526">
        <f t="shared" si="120"/>
        <v>0</v>
      </c>
      <c r="AD17" s="524"/>
      <c r="AE17" s="525">
        <f t="shared" si="8"/>
        <v>0</v>
      </c>
      <c r="AF17" s="526">
        <f t="shared" si="121"/>
        <v>0</v>
      </c>
      <c r="AG17" s="524"/>
      <c r="AH17" s="525">
        <f t="shared" si="9"/>
        <v>0</v>
      </c>
      <c r="AI17" s="526">
        <f t="shared" si="122"/>
        <v>0</v>
      </c>
      <c r="AJ17" s="524"/>
      <c r="AK17" s="525">
        <f t="shared" si="10"/>
        <v>0</v>
      </c>
      <c r="AL17" s="526">
        <f t="shared" si="123"/>
        <v>0</v>
      </c>
      <c r="AM17" s="524"/>
      <c r="AN17" s="525">
        <f t="shared" si="11"/>
        <v>0</v>
      </c>
      <c r="AO17" s="526">
        <f t="shared" si="124"/>
        <v>0</v>
      </c>
      <c r="AP17" s="524">
        <v>37.025316455696156</v>
      </c>
      <c r="AQ17" s="525">
        <f t="shared" si="12"/>
        <v>1.0723272838188183</v>
      </c>
      <c r="AR17" s="526">
        <f t="shared" si="125"/>
        <v>0</v>
      </c>
      <c r="AS17" s="524"/>
      <c r="AT17" s="525">
        <f t="shared" si="13"/>
        <v>0</v>
      </c>
      <c r="AU17" s="526">
        <f t="shared" si="126"/>
        <v>0</v>
      </c>
      <c r="AV17" s="524"/>
      <c r="AW17" s="525">
        <f t="shared" si="14"/>
        <v>0</v>
      </c>
      <c r="AX17" s="526">
        <f t="shared" si="127"/>
        <v>0</v>
      </c>
      <c r="AY17" s="524">
        <v>62.999999999999972</v>
      </c>
      <c r="AZ17" s="525">
        <f t="shared" si="15"/>
        <v>1.8246061167747907</v>
      </c>
      <c r="BA17" s="526">
        <f t="shared" si="128"/>
        <v>0</v>
      </c>
      <c r="BB17" s="524"/>
      <c r="BC17" s="525">
        <f t="shared" si="16"/>
        <v>0</v>
      </c>
      <c r="BD17" s="526">
        <f t="shared" si="129"/>
        <v>0</v>
      </c>
      <c r="BE17" s="524"/>
      <c r="BF17" s="525">
        <f t="shared" si="17"/>
        <v>0</v>
      </c>
      <c r="BG17" s="526">
        <f t="shared" si="130"/>
        <v>0</v>
      </c>
      <c r="BH17" s="524"/>
      <c r="BI17" s="525">
        <f t="shared" si="18"/>
        <v>0</v>
      </c>
      <c r="BJ17" s="526">
        <f t="shared" si="131"/>
        <v>0</v>
      </c>
      <c r="BK17" s="524"/>
      <c r="BL17" s="525">
        <f t="shared" si="19"/>
        <v>0</v>
      </c>
      <c r="BM17" s="526">
        <f t="shared" si="132"/>
        <v>0</v>
      </c>
      <c r="BN17" s="524"/>
      <c r="BO17" s="525">
        <f t="shared" si="20"/>
        <v>0</v>
      </c>
      <c r="BP17" s="526">
        <f t="shared" si="133"/>
        <v>0</v>
      </c>
      <c r="BQ17" s="524"/>
      <c r="BR17" s="525">
        <f t="shared" si="21"/>
        <v>0</v>
      </c>
      <c r="BS17" s="526">
        <f t="shared" si="134"/>
        <v>0</v>
      </c>
      <c r="BT17" s="524"/>
      <c r="BU17" s="525">
        <f t="shared" si="22"/>
        <v>0</v>
      </c>
      <c r="BV17" s="526">
        <f t="shared" si="135"/>
        <v>0</v>
      </c>
      <c r="BW17" s="524"/>
      <c r="BX17" s="525">
        <f t="shared" si="23"/>
        <v>0</v>
      </c>
      <c r="BY17" s="526">
        <f t="shared" si="136"/>
        <v>0</v>
      </c>
      <c r="BZ17" s="524"/>
      <c r="CA17" s="525">
        <f t="shared" si="24"/>
        <v>0</v>
      </c>
      <c r="CB17" s="526">
        <f t="shared" si="137"/>
        <v>0</v>
      </c>
      <c r="CC17" s="524"/>
      <c r="CD17" s="525">
        <f t="shared" si="25"/>
        <v>0</v>
      </c>
      <c r="CE17" s="526">
        <f t="shared" si="138"/>
        <v>0</v>
      </c>
      <c r="CF17" s="524">
        <v>0.60000000000000142</v>
      </c>
      <c r="CG17" s="525">
        <f t="shared" si="26"/>
        <v>1.7377201112140913E-2</v>
      </c>
      <c r="CH17" s="526">
        <f t="shared" si="139"/>
        <v>0</v>
      </c>
      <c r="CI17" s="524"/>
      <c r="CJ17" s="525">
        <f t="shared" si="27"/>
        <v>0</v>
      </c>
      <c r="CK17" s="526">
        <f t="shared" si="140"/>
        <v>0</v>
      </c>
      <c r="CL17" s="524"/>
      <c r="CM17" s="525">
        <f t="shared" si="28"/>
        <v>0</v>
      </c>
      <c r="CN17" s="526">
        <f t="shared" si="141"/>
        <v>0</v>
      </c>
      <c r="CO17" s="524"/>
      <c r="CP17" s="525">
        <f t="shared" si="29"/>
        <v>0</v>
      </c>
      <c r="CQ17" s="526">
        <f t="shared" si="142"/>
        <v>0</v>
      </c>
      <c r="CR17" s="524"/>
      <c r="CS17" s="525">
        <f t="shared" si="30"/>
        <v>0</v>
      </c>
      <c r="CT17" s="526">
        <f t="shared" si="143"/>
        <v>0</v>
      </c>
      <c r="CU17" s="524"/>
      <c r="CV17" s="525">
        <f t="shared" si="31"/>
        <v>0</v>
      </c>
      <c r="CW17" s="526">
        <f t="shared" si="144"/>
        <v>0</v>
      </c>
      <c r="CX17" s="524"/>
      <c r="CY17" s="525">
        <f t="shared" si="32"/>
        <v>0</v>
      </c>
      <c r="CZ17" s="526">
        <f t="shared" si="145"/>
        <v>0</v>
      </c>
      <c r="DA17" s="524"/>
      <c r="DB17" s="525">
        <f t="shared" si="33"/>
        <v>0</v>
      </c>
      <c r="DC17" s="526">
        <f t="shared" si="146"/>
        <v>0</v>
      </c>
      <c r="DD17" s="524"/>
      <c r="DE17" s="525">
        <f t="shared" si="34"/>
        <v>0</v>
      </c>
      <c r="DF17" s="526">
        <f t="shared" si="147"/>
        <v>0</v>
      </c>
      <c r="DG17" s="524"/>
      <c r="DH17" s="525">
        <f t="shared" si="35"/>
        <v>0</v>
      </c>
      <c r="DI17" s="526">
        <f t="shared" si="203"/>
        <v>0</v>
      </c>
      <c r="DJ17" s="524"/>
      <c r="DK17" s="525">
        <f t="shared" si="36"/>
        <v>0</v>
      </c>
      <c r="DL17" s="526">
        <f t="shared" si="148"/>
        <v>0</v>
      </c>
      <c r="DM17" s="524"/>
      <c r="DN17" s="525">
        <f t="shared" si="37"/>
        <v>0</v>
      </c>
      <c r="DO17" s="526">
        <f t="shared" si="149"/>
        <v>0</v>
      </c>
      <c r="DP17" s="524"/>
      <c r="DQ17" s="525">
        <f t="shared" si="38"/>
        <v>0</v>
      </c>
      <c r="DR17" s="526">
        <f t="shared" si="150"/>
        <v>0</v>
      </c>
      <c r="DS17" s="524"/>
      <c r="DT17" s="525">
        <f t="shared" si="39"/>
        <v>0</v>
      </c>
      <c r="DU17" s="526">
        <f t="shared" si="151"/>
        <v>0</v>
      </c>
      <c r="DV17" s="524"/>
      <c r="DW17" s="525">
        <f t="shared" si="40"/>
        <v>0</v>
      </c>
      <c r="DX17" s="526">
        <f t="shared" si="152"/>
        <v>0</v>
      </c>
      <c r="DY17" s="524"/>
      <c r="DZ17" s="525">
        <f t="shared" si="41"/>
        <v>0</v>
      </c>
      <c r="EA17" s="526">
        <f t="shared" si="153"/>
        <v>0</v>
      </c>
      <c r="EB17" s="524"/>
      <c r="EC17" s="525">
        <f t="shared" si="42"/>
        <v>0</v>
      </c>
      <c r="ED17" s="526">
        <f t="shared" si="154"/>
        <v>0</v>
      </c>
      <c r="EE17" s="524">
        <v>14.534883720930281</v>
      </c>
      <c r="EF17" s="525">
        <f t="shared" si="43"/>
        <v>0.42095932926697988</v>
      </c>
      <c r="EG17" s="526">
        <f t="shared" si="155"/>
        <v>0</v>
      </c>
      <c r="EH17" s="524">
        <v>35.223529411764673</v>
      </c>
      <c r="EI17" s="525">
        <f t="shared" si="44"/>
        <v>1.0201439241127397</v>
      </c>
      <c r="EJ17" s="526">
        <f t="shared" si="156"/>
        <v>0</v>
      </c>
      <c r="EK17" s="524">
        <v>1.8000000000000007</v>
      </c>
      <c r="EL17" s="525">
        <f t="shared" si="45"/>
        <v>5.2131603336422638E-2</v>
      </c>
      <c r="EM17" s="526">
        <f t="shared" si="157"/>
        <v>0</v>
      </c>
      <c r="EN17" s="524"/>
      <c r="EO17" s="525">
        <f t="shared" si="46"/>
        <v>0</v>
      </c>
      <c r="EP17" s="526">
        <f t="shared" si="158"/>
        <v>0</v>
      </c>
      <c r="EQ17" s="524"/>
      <c r="ER17" s="525">
        <f t="shared" si="47"/>
        <v>0</v>
      </c>
      <c r="ES17" s="526">
        <f t="shared" si="159"/>
        <v>0</v>
      </c>
      <c r="ET17" s="524"/>
      <c r="EU17" s="525">
        <f t="shared" si="48"/>
        <v>0</v>
      </c>
      <c r="EV17" s="526">
        <f t="shared" si="160"/>
        <v>0</v>
      </c>
      <c r="EW17" s="524"/>
      <c r="EX17" s="525">
        <f t="shared" si="49"/>
        <v>0</v>
      </c>
      <c r="EY17" s="526">
        <f t="shared" si="161"/>
        <v>0</v>
      </c>
      <c r="EZ17" s="524"/>
      <c r="FA17" s="525">
        <f t="shared" si="50"/>
        <v>0</v>
      </c>
      <c r="FB17" s="526">
        <f t="shared" si="162"/>
        <v>0</v>
      </c>
      <c r="FC17" s="524"/>
      <c r="FD17" s="525">
        <f t="shared" si="51"/>
        <v>0</v>
      </c>
      <c r="FE17" s="526">
        <f t="shared" si="163"/>
        <v>0</v>
      </c>
      <c r="FF17" s="524"/>
      <c r="FG17" s="525">
        <f t="shared" si="52"/>
        <v>0</v>
      </c>
      <c r="FH17" s="526">
        <f t="shared" si="164"/>
        <v>0</v>
      </c>
      <c r="FI17" s="524"/>
      <c r="FJ17" s="525">
        <f t="shared" si="53"/>
        <v>0</v>
      </c>
      <c r="FK17" s="526">
        <f t="shared" si="165"/>
        <v>0</v>
      </c>
      <c r="FL17" s="524"/>
      <c r="FM17" s="525">
        <f t="shared" si="54"/>
        <v>0</v>
      </c>
      <c r="FN17" s="526">
        <f t="shared" si="166"/>
        <v>0</v>
      </c>
      <c r="FO17" s="524"/>
      <c r="FP17" s="525">
        <f t="shared" si="55"/>
        <v>0</v>
      </c>
      <c r="FQ17" s="526">
        <f t="shared" si="167"/>
        <v>0</v>
      </c>
      <c r="FR17" s="524"/>
      <c r="FS17" s="525">
        <f t="shared" si="56"/>
        <v>0</v>
      </c>
      <c r="FT17" s="526">
        <f t="shared" si="168"/>
        <v>0</v>
      </c>
      <c r="FU17" s="524"/>
      <c r="FV17" s="525">
        <f t="shared" si="57"/>
        <v>0</v>
      </c>
      <c r="FW17" s="526">
        <f t="shared" si="169"/>
        <v>0</v>
      </c>
      <c r="FX17" s="524"/>
      <c r="FY17" s="525">
        <f t="shared" si="58"/>
        <v>0</v>
      </c>
      <c r="FZ17" s="526">
        <f t="shared" si="170"/>
        <v>0</v>
      </c>
      <c r="GA17" s="524"/>
      <c r="GB17" s="525">
        <f t="shared" si="59"/>
        <v>0</v>
      </c>
      <c r="GC17" s="526">
        <f t="shared" si="171"/>
        <v>0</v>
      </c>
      <c r="GD17" s="524"/>
      <c r="GE17" s="525">
        <f t="shared" si="60"/>
        <v>0</v>
      </c>
      <c r="GF17" s="526">
        <f t="shared" si="172"/>
        <v>0</v>
      </c>
      <c r="GG17" s="524"/>
      <c r="GH17" s="525">
        <f t="shared" si="61"/>
        <v>0</v>
      </c>
      <c r="GI17" s="526">
        <f t="shared" si="173"/>
        <v>0</v>
      </c>
      <c r="GJ17" s="524"/>
      <c r="GK17" s="525">
        <f t="shared" si="62"/>
        <v>0</v>
      </c>
      <c r="GL17" s="526">
        <f t="shared" si="174"/>
        <v>0</v>
      </c>
      <c r="GM17" s="524"/>
      <c r="GN17" s="525">
        <f t="shared" si="63"/>
        <v>0</v>
      </c>
      <c r="GO17" s="526">
        <f t="shared" si="175"/>
        <v>0</v>
      </c>
      <c r="GP17" s="524"/>
      <c r="GQ17" s="525">
        <f t="shared" si="64"/>
        <v>0</v>
      </c>
      <c r="GR17" s="526">
        <f t="shared" si="176"/>
        <v>0</v>
      </c>
      <c r="GS17" s="524"/>
      <c r="GT17" s="525">
        <f t="shared" si="65"/>
        <v>0</v>
      </c>
      <c r="GU17" s="526">
        <f t="shared" si="177"/>
        <v>0</v>
      </c>
      <c r="GV17" s="524"/>
      <c r="GW17" s="525">
        <f t="shared" si="66"/>
        <v>0</v>
      </c>
      <c r="GX17" s="526">
        <f t="shared" si="178"/>
        <v>0</v>
      </c>
      <c r="GY17" s="524"/>
      <c r="GZ17" s="525">
        <f t="shared" si="67"/>
        <v>0</v>
      </c>
      <c r="HA17" s="526">
        <f t="shared" si="179"/>
        <v>0</v>
      </c>
      <c r="HB17" s="524"/>
      <c r="HC17" s="525">
        <f t="shared" si="68"/>
        <v>0</v>
      </c>
      <c r="HD17" s="526">
        <f t="shared" si="180"/>
        <v>0</v>
      </c>
      <c r="HE17" s="524"/>
      <c r="HF17" s="525">
        <f t="shared" si="69"/>
        <v>0</v>
      </c>
      <c r="HG17" s="526">
        <f t="shared" si="181"/>
        <v>0</v>
      </c>
      <c r="HH17" s="524"/>
      <c r="HI17" s="525">
        <f t="shared" si="70"/>
        <v>0</v>
      </c>
      <c r="HJ17" s="526">
        <f t="shared" si="182"/>
        <v>0</v>
      </c>
      <c r="HK17" s="524"/>
      <c r="HL17" s="525">
        <f t="shared" si="71"/>
        <v>0</v>
      </c>
      <c r="HM17" s="526">
        <f t="shared" si="183"/>
        <v>0</v>
      </c>
      <c r="HN17" s="524"/>
      <c r="HO17" s="525">
        <f t="shared" si="72"/>
        <v>0</v>
      </c>
      <c r="HP17" s="526">
        <f t="shared" si="184"/>
        <v>0</v>
      </c>
      <c r="HQ17" s="524"/>
      <c r="HR17" s="525">
        <f t="shared" si="73"/>
        <v>0</v>
      </c>
      <c r="HS17" s="526">
        <f t="shared" si="185"/>
        <v>0</v>
      </c>
      <c r="HT17" s="524"/>
      <c r="HU17" s="525">
        <f t="shared" si="74"/>
        <v>0</v>
      </c>
      <c r="HV17" s="526">
        <f t="shared" si="186"/>
        <v>0</v>
      </c>
      <c r="HW17" s="524"/>
      <c r="HX17" s="525">
        <f t="shared" si="75"/>
        <v>0</v>
      </c>
      <c r="HY17" s="526">
        <f t="shared" si="187"/>
        <v>0</v>
      </c>
      <c r="HZ17" s="524"/>
      <c r="IA17" s="525">
        <f t="shared" si="76"/>
        <v>0</v>
      </c>
      <c r="IB17" s="526">
        <f t="shared" si="188"/>
        <v>0</v>
      </c>
      <c r="IC17" s="524"/>
      <c r="ID17" s="525">
        <f t="shared" si="77"/>
        <v>0</v>
      </c>
      <c r="IE17" s="526">
        <f t="shared" si="189"/>
        <v>0</v>
      </c>
      <c r="IF17" s="524"/>
      <c r="IG17" s="525">
        <f t="shared" si="78"/>
        <v>0</v>
      </c>
      <c r="IH17" s="526">
        <f t="shared" si="190"/>
        <v>0</v>
      </c>
      <c r="II17" s="524"/>
      <c r="IJ17" s="525">
        <f t="shared" si="79"/>
        <v>0</v>
      </c>
      <c r="IK17" s="526">
        <f t="shared" si="191"/>
        <v>0</v>
      </c>
      <c r="IL17" s="524"/>
      <c r="IM17" s="525">
        <f t="shared" si="80"/>
        <v>0</v>
      </c>
      <c r="IN17" s="526">
        <f t="shared" si="192"/>
        <v>0</v>
      </c>
      <c r="IO17" s="524"/>
      <c r="IP17" s="525">
        <f t="shared" si="81"/>
        <v>0</v>
      </c>
      <c r="IQ17" s="526">
        <f t="shared" si="193"/>
        <v>0</v>
      </c>
      <c r="IR17" s="524"/>
      <c r="IS17" s="525">
        <f t="shared" si="82"/>
        <v>0</v>
      </c>
      <c r="IT17" s="526">
        <f t="shared" si="194"/>
        <v>0</v>
      </c>
      <c r="IU17" s="524"/>
      <c r="IV17" s="525">
        <f t="shared" si="83"/>
        <v>0</v>
      </c>
      <c r="IW17" s="526">
        <f t="shared" si="195"/>
        <v>0</v>
      </c>
      <c r="IX17" s="524"/>
      <c r="IY17" s="525">
        <f t="shared" si="84"/>
        <v>0</v>
      </c>
      <c r="IZ17" s="526">
        <f t="shared" si="196"/>
        <v>0</v>
      </c>
      <c r="JA17" s="524"/>
      <c r="JB17" s="525">
        <f t="shared" si="85"/>
        <v>0</v>
      </c>
      <c r="JC17" s="526">
        <f t="shared" si="197"/>
        <v>0</v>
      </c>
      <c r="JD17" s="524"/>
      <c r="JE17" s="525">
        <f t="shared" si="86"/>
        <v>0</v>
      </c>
      <c r="JF17" s="526">
        <f t="shared" si="198"/>
        <v>0</v>
      </c>
      <c r="JG17" s="524"/>
      <c r="JH17" s="525">
        <f t="shared" si="87"/>
        <v>0</v>
      </c>
      <c r="JI17" s="526">
        <f t="shared" si="199"/>
        <v>0</v>
      </c>
      <c r="JJ17" s="524"/>
      <c r="JK17" s="526" t="str">
        <f t="shared" si="88"/>
        <v>0</v>
      </c>
      <c r="JL17" s="526" t="str">
        <f t="shared" si="89"/>
        <v>0</v>
      </c>
      <c r="JM17" s="524"/>
      <c r="JN17" s="526" t="str">
        <f t="shared" si="90"/>
        <v>0</v>
      </c>
      <c r="JO17" s="526" t="str">
        <f t="shared" si="91"/>
        <v>0</v>
      </c>
      <c r="JP17" s="524"/>
      <c r="JQ17" s="526" t="str">
        <f t="shared" si="92"/>
        <v>0</v>
      </c>
      <c r="JR17" s="526" t="str">
        <f t="shared" si="93"/>
        <v>0</v>
      </c>
      <c r="JS17" s="524"/>
      <c r="JT17" s="526" t="str">
        <f t="shared" si="94"/>
        <v>0</v>
      </c>
      <c r="JU17" s="526" t="str">
        <f t="shared" si="95"/>
        <v>0</v>
      </c>
      <c r="JV17" s="524"/>
      <c r="JW17" s="526" t="str">
        <f t="shared" si="96"/>
        <v>0</v>
      </c>
      <c r="JX17" s="526" t="str">
        <f t="shared" si="97"/>
        <v>0</v>
      </c>
      <c r="JY17" s="524"/>
      <c r="JZ17" s="526" t="str">
        <f t="shared" si="98"/>
        <v>0</v>
      </c>
      <c r="KA17" s="526" t="str">
        <f t="shared" si="99"/>
        <v>0</v>
      </c>
      <c r="KB17" s="524"/>
      <c r="KC17" s="526" t="str">
        <f t="shared" si="100"/>
        <v>0</v>
      </c>
      <c r="KD17" s="526" t="str">
        <f t="shared" si="101"/>
        <v>0</v>
      </c>
      <c r="KE17" s="524"/>
      <c r="KF17" s="526" t="str">
        <f t="shared" si="102"/>
        <v>0</v>
      </c>
      <c r="KG17" s="526" t="str">
        <f t="shared" si="103"/>
        <v>0</v>
      </c>
      <c r="KH17" s="524"/>
      <c r="KI17" s="526" t="str">
        <f t="shared" si="104"/>
        <v>0</v>
      </c>
      <c r="KJ17" s="526" t="str">
        <f t="shared" si="105"/>
        <v>0</v>
      </c>
      <c r="KK17" s="524"/>
      <c r="KL17" s="526" t="str">
        <f t="shared" si="106"/>
        <v>0</v>
      </c>
      <c r="KM17" s="526" t="str">
        <f t="shared" si="107"/>
        <v>0</v>
      </c>
      <c r="KN17" s="524"/>
      <c r="KO17" s="526" t="str">
        <f t="shared" si="108"/>
        <v>0</v>
      </c>
      <c r="KP17" s="526" t="str">
        <f t="shared" si="109"/>
        <v>0</v>
      </c>
      <c r="KQ17" s="524"/>
      <c r="KR17" s="526" t="str">
        <f t="shared" si="110"/>
        <v>0</v>
      </c>
      <c r="KS17" s="526" t="str">
        <f t="shared" si="111"/>
        <v>0</v>
      </c>
      <c r="KT17" s="526">
        <f t="shared" si="201"/>
        <v>0</v>
      </c>
      <c r="KU17" s="526">
        <f t="shared" si="202"/>
        <v>0</v>
      </c>
      <c r="KV17" s="262">
        <f>+F17+I17+L17+O17+R17+U17+X17+AA17+AD17+AG17+AJ17+AM17+AP17+AS17+AV17+AY17+BB17+BE17+BH17+BK17+BN17+BQ17+BT17+BW17+BZ17+CC17+CF17+CI17+CL17+CO17+CR17+CU17+CX17+DA17+DD17+DJ17+DM17+DP17+DS17+DV17+DY17+EB17+GG17+GJ17+GM17+GP17+GS17+HN17+II17+IR17+GV17+IU17++HT17+HW17+HZ17+IC17+JA17+JJ17+JM17+HB17+EE17+GD17+EH17+EK17</f>
        <v>403.11686912327497</v>
      </c>
    </row>
    <row r="18" spans="1:308">
      <c r="A18" s="263">
        <f t="shared" si="200"/>
        <v>45910</v>
      </c>
      <c r="B18" s="264" t="str">
        <f>+Report1!B18</f>
        <v>Facial</v>
      </c>
      <c r="C18" s="264" t="str">
        <f>+Report1!C18</f>
        <v>12/12,5</v>
      </c>
      <c r="D18" s="265">
        <f>+Report1!P18</f>
        <v>39.506</v>
      </c>
      <c r="E18" s="556">
        <f>+Report1!R18</f>
        <v>37.357999999999997</v>
      </c>
      <c r="F18" s="524"/>
      <c r="G18" s="525">
        <f t="shared" si="0"/>
        <v>0</v>
      </c>
      <c r="H18" s="526">
        <f t="shared" si="113"/>
        <v>0</v>
      </c>
      <c r="I18" s="524">
        <v>197.67441860465101</v>
      </c>
      <c r="J18" s="525">
        <f t="shared" si="1"/>
        <v>5.2913544248795716</v>
      </c>
      <c r="K18" s="526">
        <f t="shared" si="114"/>
        <v>0</v>
      </c>
      <c r="L18" s="524"/>
      <c r="M18" s="525">
        <f t="shared" si="2"/>
        <v>0</v>
      </c>
      <c r="N18" s="526">
        <f t="shared" si="115"/>
        <v>0</v>
      </c>
      <c r="O18" s="524">
        <v>6.0000000000000071</v>
      </c>
      <c r="P18" s="525">
        <f t="shared" si="3"/>
        <v>0.16060816960222729</v>
      </c>
      <c r="Q18" s="526">
        <f t="shared" si="116"/>
        <v>0</v>
      </c>
      <c r="R18" s="524"/>
      <c r="S18" s="525">
        <f t="shared" si="4"/>
        <v>0</v>
      </c>
      <c r="T18" s="526">
        <f t="shared" si="117"/>
        <v>0</v>
      </c>
      <c r="U18" s="524">
        <v>7.6875</v>
      </c>
      <c r="V18" s="525">
        <f t="shared" si="5"/>
        <v>0.20577921730285348</v>
      </c>
      <c r="W18" s="526">
        <f t="shared" si="118"/>
        <v>0</v>
      </c>
      <c r="X18" s="524"/>
      <c r="Y18" s="525">
        <f t="shared" si="6"/>
        <v>0</v>
      </c>
      <c r="Z18" s="526">
        <f t="shared" si="119"/>
        <v>0</v>
      </c>
      <c r="AA18" s="524">
        <v>4.6874999999999858</v>
      </c>
      <c r="AB18" s="525">
        <f t="shared" si="7"/>
        <v>0.12547513250173956</v>
      </c>
      <c r="AC18" s="526">
        <f t="shared" si="120"/>
        <v>0</v>
      </c>
      <c r="AD18" s="524"/>
      <c r="AE18" s="525">
        <f t="shared" si="8"/>
        <v>0</v>
      </c>
      <c r="AF18" s="526">
        <f t="shared" si="121"/>
        <v>0</v>
      </c>
      <c r="AG18" s="524"/>
      <c r="AH18" s="525">
        <f t="shared" si="9"/>
        <v>0</v>
      </c>
      <c r="AI18" s="526">
        <f t="shared" si="122"/>
        <v>0</v>
      </c>
      <c r="AJ18" s="524"/>
      <c r="AK18" s="525">
        <f t="shared" si="10"/>
        <v>0</v>
      </c>
      <c r="AL18" s="526">
        <f t="shared" si="123"/>
        <v>0</v>
      </c>
      <c r="AM18" s="524"/>
      <c r="AN18" s="525">
        <f t="shared" si="11"/>
        <v>0</v>
      </c>
      <c r="AO18" s="526">
        <f t="shared" si="124"/>
        <v>0</v>
      </c>
      <c r="AP18" s="524">
        <v>37.025316455696213</v>
      </c>
      <c r="AQ18" s="525">
        <f t="shared" si="12"/>
        <v>0.99109471748209799</v>
      </c>
      <c r="AR18" s="526">
        <f t="shared" si="125"/>
        <v>0</v>
      </c>
      <c r="AS18" s="524"/>
      <c r="AT18" s="525">
        <f t="shared" si="13"/>
        <v>0</v>
      </c>
      <c r="AU18" s="526">
        <f t="shared" si="126"/>
        <v>0</v>
      </c>
      <c r="AV18" s="524"/>
      <c r="AW18" s="525">
        <f t="shared" si="14"/>
        <v>0</v>
      </c>
      <c r="AX18" s="526">
        <f t="shared" si="127"/>
        <v>0</v>
      </c>
      <c r="AY18" s="524">
        <v>60.666666666666657</v>
      </c>
      <c r="AZ18" s="525">
        <f t="shared" si="15"/>
        <v>1.6239270482002961</v>
      </c>
      <c r="BA18" s="526">
        <f t="shared" si="128"/>
        <v>0</v>
      </c>
      <c r="BB18" s="524"/>
      <c r="BC18" s="525">
        <f t="shared" si="16"/>
        <v>0</v>
      </c>
      <c r="BD18" s="526">
        <f t="shared" si="129"/>
        <v>0</v>
      </c>
      <c r="BE18" s="524"/>
      <c r="BF18" s="525">
        <f t="shared" si="17"/>
        <v>0</v>
      </c>
      <c r="BG18" s="526">
        <f t="shared" si="130"/>
        <v>0</v>
      </c>
      <c r="BH18" s="524"/>
      <c r="BI18" s="525">
        <f t="shared" si="18"/>
        <v>0</v>
      </c>
      <c r="BJ18" s="526">
        <f t="shared" si="131"/>
        <v>0</v>
      </c>
      <c r="BK18" s="524"/>
      <c r="BL18" s="525">
        <f t="shared" si="19"/>
        <v>0</v>
      </c>
      <c r="BM18" s="526">
        <f t="shared" si="132"/>
        <v>0</v>
      </c>
      <c r="BN18" s="524"/>
      <c r="BO18" s="525">
        <f t="shared" si="20"/>
        <v>0</v>
      </c>
      <c r="BP18" s="526">
        <f t="shared" si="133"/>
        <v>0</v>
      </c>
      <c r="BQ18" s="524">
        <v>35.215189873417671</v>
      </c>
      <c r="BR18" s="525">
        <f t="shared" si="21"/>
        <v>0.9426411979607493</v>
      </c>
      <c r="BS18" s="526">
        <f t="shared" si="134"/>
        <v>0</v>
      </c>
      <c r="BT18" s="524"/>
      <c r="BU18" s="525">
        <f t="shared" si="22"/>
        <v>0</v>
      </c>
      <c r="BV18" s="526">
        <f t="shared" si="135"/>
        <v>0</v>
      </c>
      <c r="BW18" s="524"/>
      <c r="BX18" s="525">
        <f t="shared" si="23"/>
        <v>0</v>
      </c>
      <c r="BY18" s="526">
        <f t="shared" si="136"/>
        <v>0</v>
      </c>
      <c r="BZ18" s="524"/>
      <c r="CA18" s="525">
        <f t="shared" si="24"/>
        <v>0</v>
      </c>
      <c r="CB18" s="526">
        <f t="shared" si="137"/>
        <v>0</v>
      </c>
      <c r="CC18" s="524"/>
      <c r="CD18" s="525">
        <f t="shared" si="25"/>
        <v>0</v>
      </c>
      <c r="CE18" s="526">
        <f t="shared" si="138"/>
        <v>0</v>
      </c>
      <c r="CF18" s="524">
        <v>0.59999999999999931</v>
      </c>
      <c r="CG18" s="525">
        <f t="shared" si="26"/>
        <v>1.6060816960222692E-2</v>
      </c>
      <c r="CH18" s="526">
        <f t="shared" si="139"/>
        <v>0</v>
      </c>
      <c r="CI18" s="524"/>
      <c r="CJ18" s="525">
        <f t="shared" si="27"/>
        <v>0</v>
      </c>
      <c r="CK18" s="526">
        <f t="shared" si="140"/>
        <v>0</v>
      </c>
      <c r="CL18" s="524"/>
      <c r="CM18" s="525">
        <f t="shared" si="28"/>
        <v>0</v>
      </c>
      <c r="CN18" s="526">
        <f t="shared" si="141"/>
        <v>0</v>
      </c>
      <c r="CO18" s="524"/>
      <c r="CP18" s="525">
        <f t="shared" si="29"/>
        <v>0</v>
      </c>
      <c r="CQ18" s="526">
        <f t="shared" si="142"/>
        <v>0</v>
      </c>
      <c r="CR18" s="524"/>
      <c r="CS18" s="525">
        <f t="shared" si="30"/>
        <v>0</v>
      </c>
      <c r="CT18" s="526">
        <f t="shared" si="143"/>
        <v>0</v>
      </c>
      <c r="CU18" s="524"/>
      <c r="CV18" s="525">
        <f t="shared" si="31"/>
        <v>0</v>
      </c>
      <c r="CW18" s="526">
        <f t="shared" si="144"/>
        <v>0</v>
      </c>
      <c r="CX18" s="524"/>
      <c r="CY18" s="525">
        <f t="shared" si="32"/>
        <v>0</v>
      </c>
      <c r="CZ18" s="526">
        <f t="shared" si="145"/>
        <v>0</v>
      </c>
      <c r="DA18" s="524"/>
      <c r="DB18" s="525">
        <f t="shared" si="33"/>
        <v>0</v>
      </c>
      <c r="DC18" s="526">
        <f t="shared" si="146"/>
        <v>0</v>
      </c>
      <c r="DD18" s="524"/>
      <c r="DE18" s="525">
        <f t="shared" si="34"/>
        <v>0</v>
      </c>
      <c r="DF18" s="526">
        <f t="shared" si="147"/>
        <v>0</v>
      </c>
      <c r="DG18" s="524"/>
      <c r="DH18" s="525">
        <f t="shared" si="35"/>
        <v>0</v>
      </c>
      <c r="DI18" s="526">
        <f t="shared" si="203"/>
        <v>0</v>
      </c>
      <c r="DJ18" s="524"/>
      <c r="DK18" s="525">
        <f t="shared" si="36"/>
        <v>0</v>
      </c>
      <c r="DL18" s="526">
        <f t="shared" si="148"/>
        <v>0</v>
      </c>
      <c r="DM18" s="524"/>
      <c r="DN18" s="525">
        <f t="shared" si="37"/>
        <v>0</v>
      </c>
      <c r="DO18" s="526">
        <f t="shared" si="149"/>
        <v>0</v>
      </c>
      <c r="DP18" s="524"/>
      <c r="DQ18" s="525">
        <f t="shared" si="38"/>
        <v>0</v>
      </c>
      <c r="DR18" s="526">
        <f t="shared" si="150"/>
        <v>0</v>
      </c>
      <c r="DS18" s="524"/>
      <c r="DT18" s="525">
        <f t="shared" si="39"/>
        <v>0</v>
      </c>
      <c r="DU18" s="526">
        <f t="shared" si="151"/>
        <v>0</v>
      </c>
      <c r="DV18" s="524"/>
      <c r="DW18" s="525">
        <f t="shared" si="40"/>
        <v>0</v>
      </c>
      <c r="DX18" s="526">
        <f t="shared" si="152"/>
        <v>0</v>
      </c>
      <c r="DY18" s="524"/>
      <c r="DZ18" s="525">
        <f t="shared" si="41"/>
        <v>0</v>
      </c>
      <c r="EA18" s="526">
        <f t="shared" si="153"/>
        <v>0</v>
      </c>
      <c r="EB18" s="524"/>
      <c r="EC18" s="525">
        <f t="shared" si="42"/>
        <v>0</v>
      </c>
      <c r="ED18" s="526">
        <f t="shared" si="154"/>
        <v>0</v>
      </c>
      <c r="EE18" s="524">
        <v>14.534883720930225</v>
      </c>
      <c r="EF18" s="525">
        <f t="shared" si="43"/>
        <v>0.38907017829996859</v>
      </c>
      <c r="EG18" s="526">
        <f t="shared" si="155"/>
        <v>0</v>
      </c>
      <c r="EH18" s="524">
        <v>35.22352941176473</v>
      </c>
      <c r="EI18" s="525">
        <f t="shared" si="44"/>
        <v>0.94286443095895744</v>
      </c>
      <c r="EJ18" s="526">
        <f t="shared" si="156"/>
        <v>0</v>
      </c>
      <c r="EK18" s="524">
        <v>2.2000000000000006</v>
      </c>
      <c r="EL18" s="525">
        <f t="shared" si="45"/>
        <v>5.8889662187483288E-2</v>
      </c>
      <c r="EM18" s="526">
        <f t="shared" si="157"/>
        <v>0</v>
      </c>
      <c r="EN18" s="524"/>
      <c r="EO18" s="525">
        <f t="shared" si="46"/>
        <v>0</v>
      </c>
      <c r="EP18" s="526">
        <f t="shared" si="158"/>
        <v>0</v>
      </c>
      <c r="EQ18" s="524"/>
      <c r="ER18" s="525">
        <f t="shared" si="47"/>
        <v>0</v>
      </c>
      <c r="ES18" s="526">
        <f t="shared" si="159"/>
        <v>0</v>
      </c>
      <c r="ET18" s="524"/>
      <c r="EU18" s="525">
        <f t="shared" si="48"/>
        <v>0</v>
      </c>
      <c r="EV18" s="526">
        <f t="shared" si="160"/>
        <v>0</v>
      </c>
      <c r="EW18" s="524"/>
      <c r="EX18" s="525">
        <f t="shared" si="49"/>
        <v>0</v>
      </c>
      <c r="EY18" s="526">
        <f t="shared" si="161"/>
        <v>0</v>
      </c>
      <c r="EZ18" s="524"/>
      <c r="FA18" s="525">
        <f t="shared" si="50"/>
        <v>0</v>
      </c>
      <c r="FB18" s="526">
        <f t="shared" si="162"/>
        <v>0</v>
      </c>
      <c r="FC18" s="524"/>
      <c r="FD18" s="525">
        <f t="shared" si="51"/>
        <v>0</v>
      </c>
      <c r="FE18" s="526">
        <f t="shared" si="163"/>
        <v>0</v>
      </c>
      <c r="FF18" s="524"/>
      <c r="FG18" s="525">
        <f t="shared" si="52"/>
        <v>0</v>
      </c>
      <c r="FH18" s="526">
        <f t="shared" si="164"/>
        <v>0</v>
      </c>
      <c r="FI18" s="524"/>
      <c r="FJ18" s="525">
        <f t="shared" si="53"/>
        <v>0</v>
      </c>
      <c r="FK18" s="526">
        <f t="shared" si="165"/>
        <v>0</v>
      </c>
      <c r="FL18" s="524"/>
      <c r="FM18" s="525">
        <f t="shared" si="54"/>
        <v>0</v>
      </c>
      <c r="FN18" s="526">
        <f t="shared" si="166"/>
        <v>0</v>
      </c>
      <c r="FO18" s="524"/>
      <c r="FP18" s="525">
        <f t="shared" si="55"/>
        <v>0</v>
      </c>
      <c r="FQ18" s="526">
        <f t="shared" si="167"/>
        <v>0</v>
      </c>
      <c r="FR18" s="524"/>
      <c r="FS18" s="525">
        <f t="shared" si="56"/>
        <v>0</v>
      </c>
      <c r="FT18" s="526">
        <f t="shared" si="168"/>
        <v>0</v>
      </c>
      <c r="FU18" s="524"/>
      <c r="FV18" s="525">
        <f t="shared" si="57"/>
        <v>0</v>
      </c>
      <c r="FW18" s="526">
        <f t="shared" si="169"/>
        <v>0</v>
      </c>
      <c r="FX18" s="524"/>
      <c r="FY18" s="525">
        <f t="shared" si="58"/>
        <v>0</v>
      </c>
      <c r="FZ18" s="526">
        <f t="shared" si="170"/>
        <v>0</v>
      </c>
      <c r="GA18" s="524"/>
      <c r="GB18" s="525">
        <f t="shared" si="59"/>
        <v>0</v>
      </c>
      <c r="GC18" s="526">
        <f t="shared" si="171"/>
        <v>0</v>
      </c>
      <c r="GD18" s="524"/>
      <c r="GE18" s="525">
        <f t="shared" si="60"/>
        <v>0</v>
      </c>
      <c r="GF18" s="526">
        <f t="shared" si="172"/>
        <v>0</v>
      </c>
      <c r="GG18" s="524"/>
      <c r="GH18" s="525">
        <f t="shared" si="61"/>
        <v>0</v>
      </c>
      <c r="GI18" s="526">
        <f t="shared" si="173"/>
        <v>0</v>
      </c>
      <c r="GJ18" s="524"/>
      <c r="GK18" s="525">
        <f t="shared" si="62"/>
        <v>0</v>
      </c>
      <c r="GL18" s="526">
        <f t="shared" si="174"/>
        <v>0</v>
      </c>
      <c r="GM18" s="524"/>
      <c r="GN18" s="525">
        <f t="shared" si="63"/>
        <v>0</v>
      </c>
      <c r="GO18" s="526">
        <f t="shared" si="175"/>
        <v>0</v>
      </c>
      <c r="GP18" s="524"/>
      <c r="GQ18" s="525">
        <f t="shared" si="64"/>
        <v>0</v>
      </c>
      <c r="GR18" s="526">
        <f t="shared" si="176"/>
        <v>0</v>
      </c>
      <c r="GS18" s="524"/>
      <c r="GT18" s="525">
        <f t="shared" si="65"/>
        <v>0</v>
      </c>
      <c r="GU18" s="526">
        <f t="shared" si="177"/>
        <v>0</v>
      </c>
      <c r="GV18" s="524"/>
      <c r="GW18" s="525">
        <f t="shared" si="66"/>
        <v>0</v>
      </c>
      <c r="GX18" s="526">
        <f t="shared" si="178"/>
        <v>0</v>
      </c>
      <c r="GY18" s="524"/>
      <c r="GZ18" s="525">
        <f t="shared" si="67"/>
        <v>0</v>
      </c>
      <c r="HA18" s="526">
        <f t="shared" si="179"/>
        <v>0</v>
      </c>
      <c r="HB18" s="524"/>
      <c r="HC18" s="525">
        <f t="shared" si="68"/>
        <v>0</v>
      </c>
      <c r="HD18" s="526">
        <f t="shared" si="180"/>
        <v>0</v>
      </c>
      <c r="HE18" s="524"/>
      <c r="HF18" s="525">
        <f t="shared" si="69"/>
        <v>0</v>
      </c>
      <c r="HG18" s="526">
        <f t="shared" si="181"/>
        <v>0</v>
      </c>
      <c r="HH18" s="524"/>
      <c r="HI18" s="525">
        <f t="shared" si="70"/>
        <v>0</v>
      </c>
      <c r="HJ18" s="526">
        <f t="shared" si="182"/>
        <v>0</v>
      </c>
      <c r="HK18" s="524"/>
      <c r="HL18" s="525">
        <f t="shared" si="71"/>
        <v>0</v>
      </c>
      <c r="HM18" s="526">
        <f t="shared" si="183"/>
        <v>0</v>
      </c>
      <c r="HN18" s="524"/>
      <c r="HO18" s="525">
        <f t="shared" si="72"/>
        <v>0</v>
      </c>
      <c r="HP18" s="526">
        <f t="shared" si="184"/>
        <v>0</v>
      </c>
      <c r="HQ18" s="524"/>
      <c r="HR18" s="525">
        <f t="shared" si="73"/>
        <v>0</v>
      </c>
      <c r="HS18" s="526">
        <f t="shared" si="185"/>
        <v>0</v>
      </c>
      <c r="HT18" s="524"/>
      <c r="HU18" s="525">
        <f t="shared" si="74"/>
        <v>0</v>
      </c>
      <c r="HV18" s="526">
        <f t="shared" si="186"/>
        <v>0</v>
      </c>
      <c r="HW18" s="524"/>
      <c r="HX18" s="525">
        <f t="shared" si="75"/>
        <v>0</v>
      </c>
      <c r="HY18" s="526">
        <f t="shared" si="187"/>
        <v>0</v>
      </c>
      <c r="HZ18" s="524"/>
      <c r="IA18" s="525">
        <f t="shared" si="76"/>
        <v>0</v>
      </c>
      <c r="IB18" s="526">
        <f t="shared" si="188"/>
        <v>0</v>
      </c>
      <c r="IC18" s="524"/>
      <c r="ID18" s="525">
        <f t="shared" si="77"/>
        <v>0</v>
      </c>
      <c r="IE18" s="526">
        <f t="shared" si="189"/>
        <v>0</v>
      </c>
      <c r="IF18" s="524"/>
      <c r="IG18" s="525">
        <f t="shared" si="78"/>
        <v>0</v>
      </c>
      <c r="IH18" s="526">
        <f t="shared" si="190"/>
        <v>0</v>
      </c>
      <c r="II18" s="524"/>
      <c r="IJ18" s="525">
        <f t="shared" si="79"/>
        <v>0</v>
      </c>
      <c r="IK18" s="526">
        <f t="shared" si="191"/>
        <v>0</v>
      </c>
      <c r="IL18" s="524"/>
      <c r="IM18" s="525">
        <f t="shared" si="80"/>
        <v>0</v>
      </c>
      <c r="IN18" s="526">
        <f t="shared" si="192"/>
        <v>0</v>
      </c>
      <c r="IO18" s="524"/>
      <c r="IP18" s="525">
        <f t="shared" si="81"/>
        <v>0</v>
      </c>
      <c r="IQ18" s="526">
        <f t="shared" si="193"/>
        <v>0</v>
      </c>
      <c r="IR18" s="524"/>
      <c r="IS18" s="525">
        <f t="shared" si="82"/>
        <v>0</v>
      </c>
      <c r="IT18" s="526">
        <f t="shared" si="194"/>
        <v>0</v>
      </c>
      <c r="IU18" s="524"/>
      <c r="IV18" s="525">
        <f t="shared" si="83"/>
        <v>0</v>
      </c>
      <c r="IW18" s="526">
        <f t="shared" si="195"/>
        <v>0</v>
      </c>
      <c r="IX18" s="524"/>
      <c r="IY18" s="525">
        <f t="shared" si="84"/>
        <v>0</v>
      </c>
      <c r="IZ18" s="526">
        <f t="shared" si="196"/>
        <v>0</v>
      </c>
      <c r="JA18" s="524"/>
      <c r="JB18" s="525">
        <f t="shared" si="85"/>
        <v>0</v>
      </c>
      <c r="JC18" s="526">
        <f t="shared" si="197"/>
        <v>0</v>
      </c>
      <c r="JD18" s="524"/>
      <c r="JE18" s="525">
        <f t="shared" si="86"/>
        <v>0</v>
      </c>
      <c r="JF18" s="526">
        <f t="shared" si="198"/>
        <v>0</v>
      </c>
      <c r="JG18" s="524"/>
      <c r="JH18" s="525">
        <f t="shared" si="87"/>
        <v>0</v>
      </c>
      <c r="JI18" s="526">
        <f t="shared" si="199"/>
        <v>0</v>
      </c>
      <c r="JJ18" s="524"/>
      <c r="JK18" s="526" t="str">
        <f t="shared" si="88"/>
        <v>0</v>
      </c>
      <c r="JL18" s="526" t="str">
        <f t="shared" si="89"/>
        <v>0</v>
      </c>
      <c r="JM18" s="524"/>
      <c r="JN18" s="526" t="str">
        <f t="shared" si="90"/>
        <v>0</v>
      </c>
      <c r="JO18" s="526" t="str">
        <f t="shared" si="91"/>
        <v>0</v>
      </c>
      <c r="JP18" s="524"/>
      <c r="JQ18" s="526" t="str">
        <f t="shared" si="92"/>
        <v>0</v>
      </c>
      <c r="JR18" s="526" t="str">
        <f t="shared" si="93"/>
        <v>0</v>
      </c>
      <c r="JS18" s="524"/>
      <c r="JT18" s="526" t="str">
        <f t="shared" si="94"/>
        <v>0</v>
      </c>
      <c r="JU18" s="526" t="str">
        <f t="shared" si="95"/>
        <v>0</v>
      </c>
      <c r="JV18" s="524"/>
      <c r="JW18" s="526" t="str">
        <f t="shared" si="96"/>
        <v>0</v>
      </c>
      <c r="JX18" s="526" t="str">
        <f t="shared" si="97"/>
        <v>0</v>
      </c>
      <c r="JY18" s="524"/>
      <c r="JZ18" s="526" t="str">
        <f t="shared" si="98"/>
        <v>0</v>
      </c>
      <c r="KA18" s="526" t="str">
        <f t="shared" si="99"/>
        <v>0</v>
      </c>
      <c r="KB18" s="524"/>
      <c r="KC18" s="526" t="str">
        <f t="shared" si="100"/>
        <v>0</v>
      </c>
      <c r="KD18" s="526" t="str">
        <f t="shared" si="101"/>
        <v>0</v>
      </c>
      <c r="KE18" s="524"/>
      <c r="KF18" s="526" t="str">
        <f t="shared" si="102"/>
        <v>0</v>
      </c>
      <c r="KG18" s="526" t="str">
        <f t="shared" si="103"/>
        <v>0</v>
      </c>
      <c r="KH18" s="524"/>
      <c r="KI18" s="526" t="str">
        <f t="shared" si="104"/>
        <v>0</v>
      </c>
      <c r="KJ18" s="526" t="str">
        <f t="shared" si="105"/>
        <v>0</v>
      </c>
      <c r="KK18" s="524"/>
      <c r="KL18" s="526" t="str">
        <f t="shared" si="106"/>
        <v>0</v>
      </c>
      <c r="KM18" s="526" t="str">
        <f t="shared" si="107"/>
        <v>0</v>
      </c>
      <c r="KN18" s="524"/>
      <c r="KO18" s="526" t="str">
        <f t="shared" si="108"/>
        <v>0</v>
      </c>
      <c r="KP18" s="526" t="str">
        <f t="shared" si="109"/>
        <v>0</v>
      </c>
      <c r="KQ18" s="524"/>
      <c r="KR18" s="526" t="str">
        <f t="shared" si="110"/>
        <v>0</v>
      </c>
      <c r="KS18" s="526" t="str">
        <f t="shared" si="111"/>
        <v>0</v>
      </c>
      <c r="KT18" s="526">
        <f t="shared" si="201"/>
        <v>0</v>
      </c>
      <c r="KU18" s="526">
        <f t="shared" si="202"/>
        <v>0</v>
      </c>
      <c r="KV18" s="262">
        <f t="shared" ref="KV18:KV41" si="204">+F18+I18+L18+O18+R18+U18+X18+AA18+AD18+AG18+AJ18+AM18+AP18+AS18+AV18+AY18+BB18+BE18+BH18+BK18+BN18+BQ18+BT18+BW18+BZ18+CC18+CF18+CI18+CL18+CO18+CR18+CU18+CX18+DA18+DD18+DJ18+DM18+DP18+DS18+DV18+DY18+EB18+GG18+GJ18+GM18+GP18+GS18+HN18+II18+IR18+GV18+IU18++HT18+HW18+HZ18+IC18+JA18+JJ18+JM18+HB18+EE18+GD18+EH18+EK18</f>
        <v>401.51500473312655</v>
      </c>
    </row>
    <row r="19" spans="1:308">
      <c r="A19" s="263">
        <f t="shared" si="200"/>
        <v>45911</v>
      </c>
      <c r="B19" s="264" t="str">
        <f>+Report1!B19</f>
        <v>Facial</v>
      </c>
      <c r="C19" s="264" t="str">
        <f>+Report1!C19</f>
        <v>12,5/12</v>
      </c>
      <c r="D19" s="265">
        <f>+Report1!P19</f>
        <v>39.807000000000002</v>
      </c>
      <c r="E19" s="556">
        <f>+Report1!R19</f>
        <v>38.933999999999997</v>
      </c>
      <c r="F19" s="524"/>
      <c r="G19" s="525">
        <f t="shared" si="0"/>
        <v>0</v>
      </c>
      <c r="H19" s="526">
        <f t="shared" si="113"/>
        <v>0</v>
      </c>
      <c r="I19" s="524">
        <v>186.04651162790708</v>
      </c>
      <c r="J19" s="525">
        <f t="shared" si="1"/>
        <v>4.7785100844482225</v>
      </c>
      <c r="K19" s="526">
        <f t="shared" si="114"/>
        <v>0</v>
      </c>
      <c r="L19" s="524"/>
      <c r="M19" s="525">
        <f t="shared" si="2"/>
        <v>0</v>
      </c>
      <c r="N19" s="526">
        <f t="shared" si="115"/>
        <v>0</v>
      </c>
      <c r="O19" s="524">
        <v>5.9999999999999929</v>
      </c>
      <c r="P19" s="525">
        <f t="shared" si="3"/>
        <v>0.15410695022345491</v>
      </c>
      <c r="Q19" s="526">
        <f t="shared" si="116"/>
        <v>0</v>
      </c>
      <c r="R19" s="524"/>
      <c r="S19" s="525">
        <f t="shared" si="4"/>
        <v>0</v>
      </c>
      <c r="T19" s="526">
        <f t="shared" si="117"/>
        <v>0</v>
      </c>
      <c r="U19" s="524">
        <v>7.6875</v>
      </c>
      <c r="V19" s="525">
        <f t="shared" si="5"/>
        <v>0.19744952997380183</v>
      </c>
      <c r="W19" s="526">
        <f t="shared" si="118"/>
        <v>0</v>
      </c>
      <c r="X19" s="524"/>
      <c r="Y19" s="525">
        <f t="shared" si="6"/>
        <v>0</v>
      </c>
      <c r="Z19" s="526">
        <f t="shared" si="119"/>
        <v>0</v>
      </c>
      <c r="AA19" s="524">
        <v>6.25</v>
      </c>
      <c r="AB19" s="525">
        <f t="shared" si="7"/>
        <v>0.16052807314943238</v>
      </c>
      <c r="AC19" s="526">
        <f t="shared" si="120"/>
        <v>0</v>
      </c>
      <c r="AD19" s="524"/>
      <c r="AE19" s="525">
        <f t="shared" si="8"/>
        <v>0</v>
      </c>
      <c r="AF19" s="526">
        <f t="shared" si="121"/>
        <v>0</v>
      </c>
      <c r="AG19" s="524"/>
      <c r="AH19" s="525">
        <f t="shared" si="9"/>
        <v>0</v>
      </c>
      <c r="AI19" s="526">
        <f t="shared" si="122"/>
        <v>0</v>
      </c>
      <c r="AJ19" s="524"/>
      <c r="AK19" s="525">
        <f t="shared" si="10"/>
        <v>0</v>
      </c>
      <c r="AL19" s="526">
        <f t="shared" si="123"/>
        <v>0</v>
      </c>
      <c r="AM19" s="524"/>
      <c r="AN19" s="525">
        <f t="shared" si="11"/>
        <v>0</v>
      </c>
      <c r="AO19" s="526">
        <f t="shared" si="124"/>
        <v>0</v>
      </c>
      <c r="AP19" s="524">
        <v>62.658227848101262</v>
      </c>
      <c r="AQ19" s="525">
        <f t="shared" si="12"/>
        <v>1.6093447333462081</v>
      </c>
      <c r="AR19" s="526">
        <f t="shared" si="125"/>
        <v>0</v>
      </c>
      <c r="AS19" s="524"/>
      <c r="AT19" s="525">
        <f t="shared" si="13"/>
        <v>0</v>
      </c>
      <c r="AU19" s="526">
        <f t="shared" si="126"/>
        <v>0</v>
      </c>
      <c r="AV19" s="524"/>
      <c r="AW19" s="525">
        <f t="shared" si="14"/>
        <v>0</v>
      </c>
      <c r="AX19" s="526">
        <f t="shared" si="127"/>
        <v>0</v>
      </c>
      <c r="AY19" s="524">
        <v>63</v>
      </c>
      <c r="AZ19" s="525">
        <f t="shared" si="15"/>
        <v>1.6181229773462784</v>
      </c>
      <c r="BA19" s="526">
        <f t="shared" si="128"/>
        <v>0</v>
      </c>
      <c r="BB19" s="524"/>
      <c r="BC19" s="525">
        <f t="shared" si="16"/>
        <v>0</v>
      </c>
      <c r="BD19" s="526">
        <f t="shared" si="129"/>
        <v>0</v>
      </c>
      <c r="BE19" s="524"/>
      <c r="BF19" s="525">
        <f t="shared" si="17"/>
        <v>0</v>
      </c>
      <c r="BG19" s="526">
        <f t="shared" si="130"/>
        <v>0</v>
      </c>
      <c r="BH19" s="524"/>
      <c r="BI19" s="525">
        <f t="shared" si="18"/>
        <v>0</v>
      </c>
      <c r="BJ19" s="526">
        <f t="shared" si="131"/>
        <v>0</v>
      </c>
      <c r="BK19" s="524"/>
      <c r="BL19" s="525">
        <f t="shared" si="19"/>
        <v>0</v>
      </c>
      <c r="BM19" s="526">
        <f t="shared" si="132"/>
        <v>0</v>
      </c>
      <c r="BN19" s="524"/>
      <c r="BO19" s="525">
        <f t="shared" si="20"/>
        <v>0</v>
      </c>
      <c r="BP19" s="526">
        <f t="shared" si="133"/>
        <v>0</v>
      </c>
      <c r="BQ19" s="524">
        <v>93.670886075949369</v>
      </c>
      <c r="BR19" s="525">
        <f t="shared" si="21"/>
        <v>2.4058890963155437</v>
      </c>
      <c r="BS19" s="526">
        <f t="shared" si="134"/>
        <v>0</v>
      </c>
      <c r="BT19" s="524"/>
      <c r="BU19" s="525">
        <f t="shared" si="22"/>
        <v>0</v>
      </c>
      <c r="BV19" s="526">
        <f t="shared" si="135"/>
        <v>0</v>
      </c>
      <c r="BW19" s="524"/>
      <c r="BX19" s="525">
        <f t="shared" si="23"/>
        <v>0</v>
      </c>
      <c r="BY19" s="526">
        <f t="shared" si="136"/>
        <v>0</v>
      </c>
      <c r="BZ19" s="524"/>
      <c r="CA19" s="525">
        <f t="shared" si="24"/>
        <v>0</v>
      </c>
      <c r="CB19" s="526">
        <f t="shared" si="137"/>
        <v>0</v>
      </c>
      <c r="CC19" s="524"/>
      <c r="CD19" s="525">
        <f t="shared" si="25"/>
        <v>0</v>
      </c>
      <c r="CE19" s="526">
        <f t="shared" si="138"/>
        <v>0</v>
      </c>
      <c r="CF19" s="524">
        <v>0.30000000000000071</v>
      </c>
      <c r="CG19" s="525">
        <f t="shared" si="26"/>
        <v>7.7053475111727729E-3</v>
      </c>
      <c r="CH19" s="526">
        <f t="shared" si="139"/>
        <v>0</v>
      </c>
      <c r="CI19" s="524"/>
      <c r="CJ19" s="525">
        <f t="shared" si="27"/>
        <v>0</v>
      </c>
      <c r="CK19" s="526">
        <f t="shared" si="140"/>
        <v>0</v>
      </c>
      <c r="CL19" s="524"/>
      <c r="CM19" s="525">
        <f t="shared" si="28"/>
        <v>0</v>
      </c>
      <c r="CN19" s="526">
        <f t="shared" si="141"/>
        <v>0</v>
      </c>
      <c r="CO19" s="524"/>
      <c r="CP19" s="525">
        <f t="shared" si="29"/>
        <v>0</v>
      </c>
      <c r="CQ19" s="526">
        <f t="shared" si="142"/>
        <v>0</v>
      </c>
      <c r="CR19" s="524"/>
      <c r="CS19" s="525">
        <f t="shared" si="30"/>
        <v>0</v>
      </c>
      <c r="CT19" s="526">
        <f t="shared" si="143"/>
        <v>0</v>
      </c>
      <c r="CU19" s="524"/>
      <c r="CV19" s="525">
        <f t="shared" si="31"/>
        <v>0</v>
      </c>
      <c r="CW19" s="526">
        <f t="shared" si="144"/>
        <v>0</v>
      </c>
      <c r="CX19" s="524"/>
      <c r="CY19" s="525">
        <f t="shared" si="32"/>
        <v>0</v>
      </c>
      <c r="CZ19" s="526">
        <f t="shared" si="145"/>
        <v>0</v>
      </c>
      <c r="DA19" s="524"/>
      <c r="DB19" s="525">
        <f t="shared" si="33"/>
        <v>0</v>
      </c>
      <c r="DC19" s="526">
        <f t="shared" si="146"/>
        <v>0</v>
      </c>
      <c r="DD19" s="524"/>
      <c r="DE19" s="525">
        <f t="shared" si="34"/>
        <v>0</v>
      </c>
      <c r="DF19" s="526">
        <f t="shared" si="147"/>
        <v>0</v>
      </c>
      <c r="DG19" s="524"/>
      <c r="DH19" s="525">
        <f t="shared" si="35"/>
        <v>0</v>
      </c>
      <c r="DI19" s="526">
        <f t="shared" si="203"/>
        <v>0</v>
      </c>
      <c r="DJ19" s="524"/>
      <c r="DK19" s="525">
        <f t="shared" si="36"/>
        <v>0</v>
      </c>
      <c r="DL19" s="526">
        <f t="shared" si="148"/>
        <v>0</v>
      </c>
      <c r="DM19" s="524"/>
      <c r="DN19" s="525">
        <f t="shared" si="37"/>
        <v>0</v>
      </c>
      <c r="DO19" s="526">
        <f t="shared" si="149"/>
        <v>0</v>
      </c>
      <c r="DP19" s="524"/>
      <c r="DQ19" s="525">
        <f t="shared" si="38"/>
        <v>0</v>
      </c>
      <c r="DR19" s="526">
        <f t="shared" si="150"/>
        <v>0</v>
      </c>
      <c r="DS19" s="524"/>
      <c r="DT19" s="525">
        <f t="shared" si="39"/>
        <v>0</v>
      </c>
      <c r="DU19" s="526">
        <f t="shared" si="151"/>
        <v>0</v>
      </c>
      <c r="DV19" s="524"/>
      <c r="DW19" s="525">
        <f t="shared" si="40"/>
        <v>0</v>
      </c>
      <c r="DX19" s="526">
        <f t="shared" si="152"/>
        <v>0</v>
      </c>
      <c r="DY19" s="524"/>
      <c r="DZ19" s="525">
        <f t="shared" si="41"/>
        <v>0</v>
      </c>
      <c r="EA19" s="526">
        <f t="shared" si="153"/>
        <v>0</v>
      </c>
      <c r="EB19" s="524"/>
      <c r="EC19" s="525">
        <f t="shared" si="42"/>
        <v>0</v>
      </c>
      <c r="ED19" s="526">
        <f t="shared" si="154"/>
        <v>0</v>
      </c>
      <c r="EE19" s="524">
        <v>14.534883720930225</v>
      </c>
      <c r="EF19" s="525">
        <f t="shared" si="43"/>
        <v>0.37332110034751698</v>
      </c>
      <c r="EG19" s="526">
        <f t="shared" si="155"/>
        <v>0</v>
      </c>
      <c r="EH19" s="524">
        <v>46.964705882352945</v>
      </c>
      <c r="EI19" s="525">
        <f t="shared" si="44"/>
        <v>1.206264598611829</v>
      </c>
      <c r="EJ19" s="526">
        <f t="shared" si="156"/>
        <v>0</v>
      </c>
      <c r="EK19" s="524">
        <v>3.0000000000000013</v>
      </c>
      <c r="EL19" s="525">
        <f t="shared" si="45"/>
        <v>7.7053475111727582E-2</v>
      </c>
      <c r="EM19" s="526">
        <f t="shared" si="157"/>
        <v>0</v>
      </c>
      <c r="EN19" s="524"/>
      <c r="EO19" s="525">
        <f t="shared" si="46"/>
        <v>0</v>
      </c>
      <c r="EP19" s="526">
        <f t="shared" si="158"/>
        <v>0</v>
      </c>
      <c r="EQ19" s="524"/>
      <c r="ER19" s="525">
        <f t="shared" si="47"/>
        <v>0</v>
      </c>
      <c r="ES19" s="526">
        <f t="shared" si="159"/>
        <v>0</v>
      </c>
      <c r="ET19" s="524"/>
      <c r="EU19" s="525">
        <f t="shared" si="48"/>
        <v>0</v>
      </c>
      <c r="EV19" s="526">
        <f t="shared" si="160"/>
        <v>0</v>
      </c>
      <c r="EW19" s="524"/>
      <c r="EX19" s="525">
        <f t="shared" si="49"/>
        <v>0</v>
      </c>
      <c r="EY19" s="526">
        <f t="shared" si="161"/>
        <v>0</v>
      </c>
      <c r="EZ19" s="524"/>
      <c r="FA19" s="525">
        <f t="shared" si="50"/>
        <v>0</v>
      </c>
      <c r="FB19" s="526">
        <f t="shared" si="162"/>
        <v>0</v>
      </c>
      <c r="FC19" s="524"/>
      <c r="FD19" s="525">
        <f t="shared" si="51"/>
        <v>0</v>
      </c>
      <c r="FE19" s="526">
        <f t="shared" si="163"/>
        <v>0</v>
      </c>
      <c r="FF19" s="524"/>
      <c r="FG19" s="525">
        <f t="shared" si="52"/>
        <v>0</v>
      </c>
      <c r="FH19" s="526">
        <f t="shared" si="164"/>
        <v>0</v>
      </c>
      <c r="FI19" s="524"/>
      <c r="FJ19" s="525">
        <f t="shared" si="53"/>
        <v>0</v>
      </c>
      <c r="FK19" s="526">
        <f t="shared" si="165"/>
        <v>0</v>
      </c>
      <c r="FL19" s="524"/>
      <c r="FM19" s="525">
        <f t="shared" si="54"/>
        <v>0</v>
      </c>
      <c r="FN19" s="526">
        <f t="shared" si="166"/>
        <v>0</v>
      </c>
      <c r="FO19" s="524"/>
      <c r="FP19" s="525">
        <f t="shared" si="55"/>
        <v>0</v>
      </c>
      <c r="FQ19" s="526">
        <f t="shared" si="167"/>
        <v>0</v>
      </c>
      <c r="FR19" s="524"/>
      <c r="FS19" s="525">
        <f t="shared" si="56"/>
        <v>0</v>
      </c>
      <c r="FT19" s="526">
        <f t="shared" si="168"/>
        <v>0</v>
      </c>
      <c r="FU19" s="524"/>
      <c r="FV19" s="525">
        <f t="shared" si="57"/>
        <v>0</v>
      </c>
      <c r="FW19" s="526">
        <f t="shared" si="169"/>
        <v>0</v>
      </c>
      <c r="FX19" s="524"/>
      <c r="FY19" s="525">
        <f t="shared" si="58"/>
        <v>0</v>
      </c>
      <c r="FZ19" s="526">
        <f t="shared" si="170"/>
        <v>0</v>
      </c>
      <c r="GA19" s="524"/>
      <c r="GB19" s="525">
        <f t="shared" si="59"/>
        <v>0</v>
      </c>
      <c r="GC19" s="526">
        <f t="shared" si="171"/>
        <v>0</v>
      </c>
      <c r="GD19" s="524"/>
      <c r="GE19" s="525">
        <f t="shared" si="60"/>
        <v>0</v>
      </c>
      <c r="GF19" s="526">
        <f t="shared" si="172"/>
        <v>0</v>
      </c>
      <c r="GG19" s="524"/>
      <c r="GH19" s="525">
        <f t="shared" si="61"/>
        <v>0</v>
      </c>
      <c r="GI19" s="526">
        <f t="shared" si="173"/>
        <v>0</v>
      </c>
      <c r="GJ19" s="524"/>
      <c r="GK19" s="525">
        <f t="shared" si="62"/>
        <v>0</v>
      </c>
      <c r="GL19" s="526">
        <f t="shared" si="174"/>
        <v>0</v>
      </c>
      <c r="GM19" s="524"/>
      <c r="GN19" s="525">
        <f t="shared" si="63"/>
        <v>0</v>
      </c>
      <c r="GO19" s="526">
        <f t="shared" si="175"/>
        <v>0</v>
      </c>
      <c r="GP19" s="524"/>
      <c r="GQ19" s="525">
        <f t="shared" si="64"/>
        <v>0</v>
      </c>
      <c r="GR19" s="526">
        <f t="shared" si="176"/>
        <v>0</v>
      </c>
      <c r="GS19" s="524"/>
      <c r="GT19" s="525">
        <f t="shared" si="65"/>
        <v>0</v>
      </c>
      <c r="GU19" s="526">
        <f t="shared" si="177"/>
        <v>0</v>
      </c>
      <c r="GV19" s="524"/>
      <c r="GW19" s="525">
        <f t="shared" si="66"/>
        <v>0</v>
      </c>
      <c r="GX19" s="526">
        <f t="shared" si="178"/>
        <v>0</v>
      </c>
      <c r="GY19" s="524"/>
      <c r="GZ19" s="525">
        <f t="shared" si="67"/>
        <v>0</v>
      </c>
      <c r="HA19" s="526">
        <f t="shared" si="179"/>
        <v>0</v>
      </c>
      <c r="HB19" s="524"/>
      <c r="HC19" s="525">
        <f t="shared" si="68"/>
        <v>0</v>
      </c>
      <c r="HD19" s="526">
        <f t="shared" si="180"/>
        <v>0</v>
      </c>
      <c r="HE19" s="524"/>
      <c r="HF19" s="525">
        <f t="shared" si="69"/>
        <v>0</v>
      </c>
      <c r="HG19" s="526">
        <f t="shared" si="181"/>
        <v>0</v>
      </c>
      <c r="HH19" s="524"/>
      <c r="HI19" s="525">
        <f t="shared" si="70"/>
        <v>0</v>
      </c>
      <c r="HJ19" s="526">
        <f t="shared" si="182"/>
        <v>0</v>
      </c>
      <c r="HK19" s="524"/>
      <c r="HL19" s="525">
        <f t="shared" si="71"/>
        <v>0</v>
      </c>
      <c r="HM19" s="526">
        <f t="shared" si="183"/>
        <v>0</v>
      </c>
      <c r="HN19" s="524"/>
      <c r="HO19" s="525">
        <f t="shared" si="72"/>
        <v>0</v>
      </c>
      <c r="HP19" s="526">
        <f t="shared" si="184"/>
        <v>0</v>
      </c>
      <c r="HQ19" s="524"/>
      <c r="HR19" s="525">
        <f t="shared" si="73"/>
        <v>0</v>
      </c>
      <c r="HS19" s="526">
        <f t="shared" si="185"/>
        <v>0</v>
      </c>
      <c r="HT19" s="524"/>
      <c r="HU19" s="525">
        <f t="shared" si="74"/>
        <v>0</v>
      </c>
      <c r="HV19" s="526">
        <f t="shared" si="186"/>
        <v>0</v>
      </c>
      <c r="HW19" s="524"/>
      <c r="HX19" s="525">
        <f t="shared" si="75"/>
        <v>0</v>
      </c>
      <c r="HY19" s="526">
        <f t="shared" si="187"/>
        <v>0</v>
      </c>
      <c r="HZ19" s="524"/>
      <c r="IA19" s="525">
        <f t="shared" si="76"/>
        <v>0</v>
      </c>
      <c r="IB19" s="526">
        <f t="shared" si="188"/>
        <v>0</v>
      </c>
      <c r="IC19" s="524"/>
      <c r="ID19" s="525">
        <f t="shared" si="77"/>
        <v>0</v>
      </c>
      <c r="IE19" s="526">
        <f t="shared" si="189"/>
        <v>0</v>
      </c>
      <c r="IF19" s="524"/>
      <c r="IG19" s="525">
        <f t="shared" si="78"/>
        <v>0</v>
      </c>
      <c r="IH19" s="526">
        <f t="shared" si="190"/>
        <v>0</v>
      </c>
      <c r="II19" s="524"/>
      <c r="IJ19" s="525">
        <f t="shared" si="79"/>
        <v>0</v>
      </c>
      <c r="IK19" s="526">
        <f t="shared" si="191"/>
        <v>0</v>
      </c>
      <c r="IL19" s="524"/>
      <c r="IM19" s="525">
        <f t="shared" si="80"/>
        <v>0</v>
      </c>
      <c r="IN19" s="526">
        <f t="shared" si="192"/>
        <v>0</v>
      </c>
      <c r="IO19" s="524"/>
      <c r="IP19" s="525">
        <f t="shared" si="81"/>
        <v>0</v>
      </c>
      <c r="IQ19" s="526">
        <f t="shared" si="193"/>
        <v>0</v>
      </c>
      <c r="IR19" s="524"/>
      <c r="IS19" s="525">
        <f t="shared" si="82"/>
        <v>0</v>
      </c>
      <c r="IT19" s="526">
        <f t="shared" si="194"/>
        <v>0</v>
      </c>
      <c r="IU19" s="524"/>
      <c r="IV19" s="525">
        <f t="shared" si="83"/>
        <v>0</v>
      </c>
      <c r="IW19" s="526">
        <f t="shared" si="195"/>
        <v>0</v>
      </c>
      <c r="IX19" s="524"/>
      <c r="IY19" s="525">
        <f t="shared" si="84"/>
        <v>0</v>
      </c>
      <c r="IZ19" s="526">
        <f t="shared" si="196"/>
        <v>0</v>
      </c>
      <c r="JA19" s="524"/>
      <c r="JB19" s="525">
        <f t="shared" si="85"/>
        <v>0</v>
      </c>
      <c r="JC19" s="526">
        <f t="shared" si="197"/>
        <v>0</v>
      </c>
      <c r="JD19" s="524"/>
      <c r="JE19" s="525">
        <f t="shared" si="86"/>
        <v>0</v>
      </c>
      <c r="JF19" s="526">
        <f t="shared" si="198"/>
        <v>0</v>
      </c>
      <c r="JG19" s="524"/>
      <c r="JH19" s="525">
        <f t="shared" si="87"/>
        <v>0</v>
      </c>
      <c r="JI19" s="526">
        <f t="shared" si="199"/>
        <v>0</v>
      </c>
      <c r="JJ19" s="524"/>
      <c r="JK19" s="526" t="str">
        <f t="shared" si="88"/>
        <v>0</v>
      </c>
      <c r="JL19" s="526" t="str">
        <f t="shared" si="89"/>
        <v>0</v>
      </c>
      <c r="JM19" s="524"/>
      <c r="JN19" s="526" t="str">
        <f t="shared" si="90"/>
        <v>0</v>
      </c>
      <c r="JO19" s="526" t="str">
        <f t="shared" si="91"/>
        <v>0</v>
      </c>
      <c r="JP19" s="524"/>
      <c r="JQ19" s="526" t="str">
        <f t="shared" si="92"/>
        <v>0</v>
      </c>
      <c r="JR19" s="526" t="str">
        <f t="shared" si="93"/>
        <v>0</v>
      </c>
      <c r="JS19" s="524"/>
      <c r="JT19" s="526" t="str">
        <f t="shared" si="94"/>
        <v>0</v>
      </c>
      <c r="JU19" s="526" t="str">
        <f t="shared" si="95"/>
        <v>0</v>
      </c>
      <c r="JV19" s="524"/>
      <c r="JW19" s="526" t="str">
        <f t="shared" si="96"/>
        <v>0</v>
      </c>
      <c r="JX19" s="526" t="str">
        <f t="shared" si="97"/>
        <v>0</v>
      </c>
      <c r="JY19" s="524"/>
      <c r="JZ19" s="526" t="str">
        <f t="shared" si="98"/>
        <v>0</v>
      </c>
      <c r="KA19" s="526" t="str">
        <f t="shared" si="99"/>
        <v>0</v>
      </c>
      <c r="KB19" s="524"/>
      <c r="KC19" s="526" t="str">
        <f t="shared" si="100"/>
        <v>0</v>
      </c>
      <c r="KD19" s="526" t="str">
        <f t="shared" si="101"/>
        <v>0</v>
      </c>
      <c r="KE19" s="524"/>
      <c r="KF19" s="526" t="str">
        <f t="shared" si="102"/>
        <v>0</v>
      </c>
      <c r="KG19" s="526" t="str">
        <f t="shared" si="103"/>
        <v>0</v>
      </c>
      <c r="KH19" s="524"/>
      <c r="KI19" s="526" t="str">
        <f t="shared" si="104"/>
        <v>0</v>
      </c>
      <c r="KJ19" s="526" t="str">
        <f t="shared" si="105"/>
        <v>0</v>
      </c>
      <c r="KK19" s="524"/>
      <c r="KL19" s="526" t="str">
        <f t="shared" si="106"/>
        <v>0</v>
      </c>
      <c r="KM19" s="526" t="str">
        <f t="shared" si="107"/>
        <v>0</v>
      </c>
      <c r="KN19" s="524"/>
      <c r="KO19" s="526" t="str">
        <f t="shared" si="108"/>
        <v>0</v>
      </c>
      <c r="KP19" s="526" t="str">
        <f t="shared" si="109"/>
        <v>0</v>
      </c>
      <c r="KQ19" s="524"/>
      <c r="KR19" s="526" t="str">
        <f t="shared" si="110"/>
        <v>0</v>
      </c>
      <c r="KS19" s="526" t="str">
        <f t="shared" si="111"/>
        <v>0</v>
      </c>
      <c r="KT19" s="526">
        <f t="shared" si="201"/>
        <v>0</v>
      </c>
      <c r="KU19" s="526">
        <f t="shared" si="202"/>
        <v>0</v>
      </c>
      <c r="KV19" s="262">
        <f t="shared" si="204"/>
        <v>490.11271515524083</v>
      </c>
    </row>
    <row r="20" spans="1:308">
      <c r="A20" s="263">
        <f t="shared" si="200"/>
        <v>45912</v>
      </c>
      <c r="B20" s="264" t="str">
        <f>+Report1!B20</f>
        <v>Facial</v>
      </c>
      <c r="C20" s="264" t="str">
        <f>+Report1!C20</f>
        <v>12/13,5/13</v>
      </c>
      <c r="D20" s="265">
        <f>+Report1!P20</f>
        <v>44.411000000000001</v>
      </c>
      <c r="E20" s="556">
        <f>+Report1!R20</f>
        <v>39.984000000000002</v>
      </c>
      <c r="F20" s="524"/>
      <c r="G20" s="525">
        <f t="shared" si="0"/>
        <v>0</v>
      </c>
      <c r="H20" s="526">
        <f t="shared" si="113"/>
        <v>0</v>
      </c>
      <c r="I20" s="524">
        <v>197.67441860465124</v>
      </c>
      <c r="J20" s="525">
        <f t="shared" si="1"/>
        <v>4.9438380003164069</v>
      </c>
      <c r="K20" s="526">
        <f t="shared" si="114"/>
        <v>0</v>
      </c>
      <c r="L20" s="524"/>
      <c r="M20" s="525">
        <f t="shared" si="2"/>
        <v>0</v>
      </c>
      <c r="N20" s="526">
        <f t="shared" si="115"/>
        <v>0</v>
      </c>
      <c r="O20" s="524">
        <v>6.0000000000000071</v>
      </c>
      <c r="P20" s="525">
        <f t="shared" si="3"/>
        <v>0.15006002400960403</v>
      </c>
      <c r="Q20" s="526">
        <f t="shared" si="116"/>
        <v>0</v>
      </c>
      <c r="R20" s="524"/>
      <c r="S20" s="525">
        <f t="shared" si="4"/>
        <v>0</v>
      </c>
      <c r="T20" s="526">
        <f t="shared" si="117"/>
        <v>0</v>
      </c>
      <c r="U20" s="524">
        <v>7.6874999999999929</v>
      </c>
      <c r="V20" s="525">
        <f t="shared" si="5"/>
        <v>0.19226440576230475</v>
      </c>
      <c r="W20" s="526">
        <f t="shared" si="118"/>
        <v>0</v>
      </c>
      <c r="X20" s="524"/>
      <c r="Y20" s="525">
        <f t="shared" si="6"/>
        <v>0</v>
      </c>
      <c r="Z20" s="526">
        <f t="shared" si="119"/>
        <v>0</v>
      </c>
      <c r="AA20" s="524">
        <v>6.25</v>
      </c>
      <c r="AB20" s="525">
        <f t="shared" si="7"/>
        <v>0.15631252501000401</v>
      </c>
      <c r="AC20" s="526">
        <f t="shared" si="120"/>
        <v>0</v>
      </c>
      <c r="AD20" s="524"/>
      <c r="AE20" s="525">
        <f t="shared" si="8"/>
        <v>0</v>
      </c>
      <c r="AF20" s="526">
        <f t="shared" si="121"/>
        <v>0</v>
      </c>
      <c r="AG20" s="524"/>
      <c r="AH20" s="525">
        <f t="shared" si="9"/>
        <v>0</v>
      </c>
      <c r="AI20" s="526">
        <f t="shared" si="122"/>
        <v>0</v>
      </c>
      <c r="AJ20" s="524"/>
      <c r="AK20" s="525">
        <f t="shared" si="10"/>
        <v>0</v>
      </c>
      <c r="AL20" s="526">
        <f t="shared" si="123"/>
        <v>0</v>
      </c>
      <c r="AM20" s="524"/>
      <c r="AN20" s="525">
        <f t="shared" si="11"/>
        <v>0</v>
      </c>
      <c r="AO20" s="526">
        <f t="shared" si="124"/>
        <v>0</v>
      </c>
      <c r="AP20" s="524">
        <v>48.417721518987378</v>
      </c>
      <c r="AQ20" s="525">
        <f t="shared" si="12"/>
        <v>1.2109274089382598</v>
      </c>
      <c r="AR20" s="526">
        <f t="shared" si="125"/>
        <v>0</v>
      </c>
      <c r="AS20" s="524"/>
      <c r="AT20" s="525">
        <f t="shared" si="13"/>
        <v>0</v>
      </c>
      <c r="AU20" s="526">
        <f t="shared" si="126"/>
        <v>0</v>
      </c>
      <c r="AV20" s="524"/>
      <c r="AW20" s="525">
        <f t="shared" si="14"/>
        <v>0</v>
      </c>
      <c r="AX20" s="526">
        <f t="shared" si="127"/>
        <v>0</v>
      </c>
      <c r="AY20" s="524">
        <v>67.666666666666686</v>
      </c>
      <c r="AZ20" s="525">
        <f t="shared" si="15"/>
        <v>1.6923436041083104</v>
      </c>
      <c r="BA20" s="526">
        <f t="shared" si="128"/>
        <v>0</v>
      </c>
      <c r="BB20" s="524"/>
      <c r="BC20" s="525">
        <f t="shared" si="16"/>
        <v>0</v>
      </c>
      <c r="BD20" s="526">
        <f t="shared" si="129"/>
        <v>0</v>
      </c>
      <c r="BE20" s="524"/>
      <c r="BF20" s="525">
        <f t="shared" si="17"/>
        <v>0</v>
      </c>
      <c r="BG20" s="526">
        <f t="shared" si="130"/>
        <v>0</v>
      </c>
      <c r="BH20" s="524"/>
      <c r="BI20" s="525">
        <f t="shared" si="18"/>
        <v>0</v>
      </c>
      <c r="BJ20" s="526">
        <f t="shared" si="131"/>
        <v>0</v>
      </c>
      <c r="BK20" s="524"/>
      <c r="BL20" s="525">
        <f t="shared" si="19"/>
        <v>0</v>
      </c>
      <c r="BM20" s="526">
        <f t="shared" si="132"/>
        <v>0</v>
      </c>
      <c r="BN20" s="524"/>
      <c r="BO20" s="525">
        <f t="shared" si="20"/>
        <v>0</v>
      </c>
      <c r="BP20" s="526">
        <f t="shared" si="133"/>
        <v>0</v>
      </c>
      <c r="BQ20" s="524"/>
      <c r="BR20" s="525">
        <f t="shared" si="21"/>
        <v>0</v>
      </c>
      <c r="BS20" s="526">
        <f t="shared" si="134"/>
        <v>0</v>
      </c>
      <c r="BT20" s="524"/>
      <c r="BU20" s="525">
        <f t="shared" si="22"/>
        <v>0</v>
      </c>
      <c r="BV20" s="526">
        <f t="shared" si="135"/>
        <v>0</v>
      </c>
      <c r="BW20" s="524"/>
      <c r="BX20" s="525">
        <f t="shared" si="23"/>
        <v>0</v>
      </c>
      <c r="BY20" s="526">
        <f t="shared" si="136"/>
        <v>0</v>
      </c>
      <c r="BZ20" s="524"/>
      <c r="CA20" s="525">
        <f t="shared" si="24"/>
        <v>0</v>
      </c>
      <c r="CB20" s="526">
        <f t="shared" si="137"/>
        <v>0</v>
      </c>
      <c r="CC20" s="524"/>
      <c r="CD20" s="525">
        <f t="shared" si="25"/>
        <v>0</v>
      </c>
      <c r="CE20" s="526">
        <f t="shared" si="138"/>
        <v>0</v>
      </c>
      <c r="CF20" s="524">
        <v>0.59999999999999964</v>
      </c>
      <c r="CG20" s="525">
        <f t="shared" si="26"/>
        <v>1.5006002400960375E-2</v>
      </c>
      <c r="CH20" s="526">
        <f t="shared" si="139"/>
        <v>0</v>
      </c>
      <c r="CI20" s="524"/>
      <c r="CJ20" s="525">
        <f t="shared" si="27"/>
        <v>0</v>
      </c>
      <c r="CK20" s="526">
        <f t="shared" si="140"/>
        <v>0</v>
      </c>
      <c r="CL20" s="524"/>
      <c r="CM20" s="525">
        <f t="shared" si="28"/>
        <v>0</v>
      </c>
      <c r="CN20" s="526">
        <f t="shared" si="141"/>
        <v>0</v>
      </c>
      <c r="CO20" s="524"/>
      <c r="CP20" s="525">
        <f t="shared" si="29"/>
        <v>0</v>
      </c>
      <c r="CQ20" s="526">
        <f t="shared" si="142"/>
        <v>0</v>
      </c>
      <c r="CR20" s="524"/>
      <c r="CS20" s="525">
        <f t="shared" si="30"/>
        <v>0</v>
      </c>
      <c r="CT20" s="526">
        <f t="shared" si="143"/>
        <v>0</v>
      </c>
      <c r="CU20" s="524"/>
      <c r="CV20" s="525">
        <f t="shared" si="31"/>
        <v>0</v>
      </c>
      <c r="CW20" s="526">
        <f t="shared" si="144"/>
        <v>0</v>
      </c>
      <c r="CX20" s="524"/>
      <c r="CY20" s="525">
        <f t="shared" si="32"/>
        <v>0</v>
      </c>
      <c r="CZ20" s="526">
        <f t="shared" si="145"/>
        <v>0</v>
      </c>
      <c r="DA20" s="524"/>
      <c r="DB20" s="525">
        <f t="shared" si="33"/>
        <v>0</v>
      </c>
      <c r="DC20" s="526">
        <f t="shared" si="146"/>
        <v>0</v>
      </c>
      <c r="DD20" s="524"/>
      <c r="DE20" s="525">
        <f t="shared" si="34"/>
        <v>0</v>
      </c>
      <c r="DF20" s="526">
        <f t="shared" si="147"/>
        <v>0</v>
      </c>
      <c r="DG20" s="524"/>
      <c r="DH20" s="525">
        <f t="shared" si="35"/>
        <v>0</v>
      </c>
      <c r="DI20" s="526">
        <f t="shared" si="203"/>
        <v>0</v>
      </c>
      <c r="DJ20" s="524"/>
      <c r="DK20" s="525">
        <f t="shared" si="36"/>
        <v>0</v>
      </c>
      <c r="DL20" s="526">
        <f t="shared" si="148"/>
        <v>0</v>
      </c>
      <c r="DM20" s="524"/>
      <c r="DN20" s="525">
        <f t="shared" si="37"/>
        <v>0</v>
      </c>
      <c r="DO20" s="526">
        <f t="shared" si="149"/>
        <v>0</v>
      </c>
      <c r="DP20" s="524"/>
      <c r="DQ20" s="525">
        <f t="shared" si="38"/>
        <v>0</v>
      </c>
      <c r="DR20" s="526">
        <f t="shared" si="150"/>
        <v>0</v>
      </c>
      <c r="DS20" s="524"/>
      <c r="DT20" s="525">
        <f t="shared" si="39"/>
        <v>0</v>
      </c>
      <c r="DU20" s="526">
        <f t="shared" si="151"/>
        <v>0</v>
      </c>
      <c r="DV20" s="524"/>
      <c r="DW20" s="525">
        <f t="shared" si="40"/>
        <v>0</v>
      </c>
      <c r="DX20" s="526">
        <f t="shared" si="152"/>
        <v>0</v>
      </c>
      <c r="DY20" s="524"/>
      <c r="DZ20" s="525">
        <f t="shared" si="41"/>
        <v>0</v>
      </c>
      <c r="EA20" s="526">
        <f t="shared" si="153"/>
        <v>0</v>
      </c>
      <c r="EB20" s="524"/>
      <c r="EC20" s="525">
        <f t="shared" si="42"/>
        <v>0</v>
      </c>
      <c r="ED20" s="526">
        <f t="shared" si="154"/>
        <v>0</v>
      </c>
      <c r="EE20" s="524">
        <v>14.534883720930225</v>
      </c>
      <c r="EF20" s="525">
        <f t="shared" si="43"/>
        <v>0.36351750002326488</v>
      </c>
      <c r="EG20" s="526">
        <f t="shared" si="155"/>
        <v>0</v>
      </c>
      <c r="EH20" s="524">
        <v>58.70588235294116</v>
      </c>
      <c r="EI20" s="525">
        <f t="shared" si="44"/>
        <v>1.4682343525645547</v>
      </c>
      <c r="EJ20" s="526">
        <f t="shared" si="156"/>
        <v>0</v>
      </c>
      <c r="EK20" s="524">
        <v>3.5</v>
      </c>
      <c r="EL20" s="525">
        <f t="shared" si="45"/>
        <v>8.7535014005602235E-2</v>
      </c>
      <c r="EM20" s="526">
        <f t="shared" si="157"/>
        <v>0</v>
      </c>
      <c r="EN20" s="524"/>
      <c r="EO20" s="525">
        <f t="shared" si="46"/>
        <v>0</v>
      </c>
      <c r="EP20" s="526">
        <f t="shared" si="158"/>
        <v>0</v>
      </c>
      <c r="EQ20" s="524"/>
      <c r="ER20" s="525">
        <f t="shared" si="47"/>
        <v>0</v>
      </c>
      <c r="ES20" s="526">
        <f t="shared" si="159"/>
        <v>0</v>
      </c>
      <c r="ET20" s="524"/>
      <c r="EU20" s="525">
        <f t="shared" si="48"/>
        <v>0</v>
      </c>
      <c r="EV20" s="526">
        <f t="shared" si="160"/>
        <v>0</v>
      </c>
      <c r="EW20" s="524"/>
      <c r="EX20" s="525">
        <f t="shared" si="49"/>
        <v>0</v>
      </c>
      <c r="EY20" s="526">
        <f t="shared" si="161"/>
        <v>0</v>
      </c>
      <c r="EZ20" s="524"/>
      <c r="FA20" s="525">
        <f t="shared" si="50"/>
        <v>0</v>
      </c>
      <c r="FB20" s="526">
        <f t="shared" si="162"/>
        <v>0</v>
      </c>
      <c r="FC20" s="524"/>
      <c r="FD20" s="525">
        <f t="shared" si="51"/>
        <v>0</v>
      </c>
      <c r="FE20" s="526">
        <f t="shared" si="163"/>
        <v>0</v>
      </c>
      <c r="FF20" s="524"/>
      <c r="FG20" s="525">
        <f t="shared" si="52"/>
        <v>0</v>
      </c>
      <c r="FH20" s="526">
        <f t="shared" si="164"/>
        <v>0</v>
      </c>
      <c r="FI20" s="524"/>
      <c r="FJ20" s="525">
        <f t="shared" si="53"/>
        <v>0</v>
      </c>
      <c r="FK20" s="526">
        <f t="shared" si="165"/>
        <v>0</v>
      </c>
      <c r="FL20" s="524"/>
      <c r="FM20" s="525">
        <f t="shared" si="54"/>
        <v>0</v>
      </c>
      <c r="FN20" s="526">
        <f t="shared" si="166"/>
        <v>0</v>
      </c>
      <c r="FO20" s="524"/>
      <c r="FP20" s="525">
        <f t="shared" si="55"/>
        <v>0</v>
      </c>
      <c r="FQ20" s="526">
        <f t="shared" si="167"/>
        <v>0</v>
      </c>
      <c r="FR20" s="524"/>
      <c r="FS20" s="525">
        <f t="shared" si="56"/>
        <v>0</v>
      </c>
      <c r="FT20" s="526">
        <f t="shared" si="168"/>
        <v>0</v>
      </c>
      <c r="FU20" s="524"/>
      <c r="FV20" s="525">
        <f t="shared" si="57"/>
        <v>0</v>
      </c>
      <c r="FW20" s="526">
        <f t="shared" si="169"/>
        <v>0</v>
      </c>
      <c r="FX20" s="524"/>
      <c r="FY20" s="525">
        <f t="shared" si="58"/>
        <v>0</v>
      </c>
      <c r="FZ20" s="526">
        <f t="shared" si="170"/>
        <v>0</v>
      </c>
      <c r="GA20" s="524"/>
      <c r="GB20" s="525">
        <f t="shared" si="59"/>
        <v>0</v>
      </c>
      <c r="GC20" s="526">
        <f t="shared" si="171"/>
        <v>0</v>
      </c>
      <c r="GD20" s="524"/>
      <c r="GE20" s="525">
        <f t="shared" si="60"/>
        <v>0</v>
      </c>
      <c r="GF20" s="526">
        <f t="shared" si="172"/>
        <v>0</v>
      </c>
      <c r="GG20" s="524"/>
      <c r="GH20" s="525">
        <f t="shared" si="61"/>
        <v>0</v>
      </c>
      <c r="GI20" s="526">
        <f t="shared" si="173"/>
        <v>0</v>
      </c>
      <c r="GJ20" s="524"/>
      <c r="GK20" s="525">
        <f t="shared" si="62"/>
        <v>0</v>
      </c>
      <c r="GL20" s="526">
        <f t="shared" si="174"/>
        <v>0</v>
      </c>
      <c r="GM20" s="524"/>
      <c r="GN20" s="525">
        <f t="shared" si="63"/>
        <v>0</v>
      </c>
      <c r="GO20" s="526">
        <f t="shared" si="175"/>
        <v>0</v>
      </c>
      <c r="GP20" s="524"/>
      <c r="GQ20" s="525">
        <f t="shared" si="64"/>
        <v>0</v>
      </c>
      <c r="GR20" s="526">
        <f t="shared" si="176"/>
        <v>0</v>
      </c>
      <c r="GS20" s="524"/>
      <c r="GT20" s="525">
        <f t="shared" si="65"/>
        <v>0</v>
      </c>
      <c r="GU20" s="526">
        <f t="shared" si="177"/>
        <v>0</v>
      </c>
      <c r="GV20" s="524"/>
      <c r="GW20" s="525">
        <f t="shared" si="66"/>
        <v>0</v>
      </c>
      <c r="GX20" s="526">
        <f t="shared" si="178"/>
        <v>0</v>
      </c>
      <c r="GY20" s="524"/>
      <c r="GZ20" s="525">
        <f t="shared" si="67"/>
        <v>0</v>
      </c>
      <c r="HA20" s="526">
        <f t="shared" si="179"/>
        <v>0</v>
      </c>
      <c r="HB20" s="524"/>
      <c r="HC20" s="525">
        <f t="shared" si="68"/>
        <v>0</v>
      </c>
      <c r="HD20" s="526">
        <f t="shared" si="180"/>
        <v>0</v>
      </c>
      <c r="HE20" s="524"/>
      <c r="HF20" s="525">
        <f t="shared" si="69"/>
        <v>0</v>
      </c>
      <c r="HG20" s="526">
        <f t="shared" si="181"/>
        <v>0</v>
      </c>
      <c r="HH20" s="524"/>
      <c r="HI20" s="525">
        <f t="shared" si="70"/>
        <v>0</v>
      </c>
      <c r="HJ20" s="526">
        <f t="shared" si="182"/>
        <v>0</v>
      </c>
      <c r="HK20" s="524"/>
      <c r="HL20" s="525">
        <f t="shared" si="71"/>
        <v>0</v>
      </c>
      <c r="HM20" s="526">
        <f t="shared" si="183"/>
        <v>0</v>
      </c>
      <c r="HN20" s="524"/>
      <c r="HO20" s="525">
        <f t="shared" si="72"/>
        <v>0</v>
      </c>
      <c r="HP20" s="526">
        <f t="shared" si="184"/>
        <v>0</v>
      </c>
      <c r="HQ20" s="524"/>
      <c r="HR20" s="525">
        <f t="shared" si="73"/>
        <v>0</v>
      </c>
      <c r="HS20" s="526">
        <f t="shared" si="185"/>
        <v>0</v>
      </c>
      <c r="HT20" s="524"/>
      <c r="HU20" s="525">
        <f t="shared" si="74"/>
        <v>0</v>
      </c>
      <c r="HV20" s="526">
        <f t="shared" si="186"/>
        <v>0</v>
      </c>
      <c r="HW20" s="524"/>
      <c r="HX20" s="525">
        <f t="shared" si="75"/>
        <v>0</v>
      </c>
      <c r="HY20" s="526">
        <f t="shared" si="187"/>
        <v>0</v>
      </c>
      <c r="HZ20" s="524"/>
      <c r="IA20" s="525">
        <f t="shared" si="76"/>
        <v>0</v>
      </c>
      <c r="IB20" s="526">
        <f t="shared" si="188"/>
        <v>0</v>
      </c>
      <c r="IC20" s="524"/>
      <c r="ID20" s="525">
        <f t="shared" si="77"/>
        <v>0</v>
      </c>
      <c r="IE20" s="526">
        <f t="shared" si="189"/>
        <v>0</v>
      </c>
      <c r="IF20" s="524"/>
      <c r="IG20" s="525">
        <f t="shared" si="78"/>
        <v>0</v>
      </c>
      <c r="IH20" s="526">
        <f t="shared" si="190"/>
        <v>0</v>
      </c>
      <c r="II20" s="524"/>
      <c r="IJ20" s="525">
        <f t="shared" si="79"/>
        <v>0</v>
      </c>
      <c r="IK20" s="526">
        <f t="shared" si="191"/>
        <v>0</v>
      </c>
      <c r="IL20" s="524"/>
      <c r="IM20" s="525">
        <f t="shared" si="80"/>
        <v>0</v>
      </c>
      <c r="IN20" s="526">
        <f t="shared" si="192"/>
        <v>0</v>
      </c>
      <c r="IO20" s="524"/>
      <c r="IP20" s="525">
        <f t="shared" si="81"/>
        <v>0</v>
      </c>
      <c r="IQ20" s="526">
        <f t="shared" si="193"/>
        <v>0</v>
      </c>
      <c r="IR20" s="524"/>
      <c r="IS20" s="525">
        <f t="shared" si="82"/>
        <v>0</v>
      </c>
      <c r="IT20" s="526">
        <f t="shared" si="194"/>
        <v>0</v>
      </c>
      <c r="IU20" s="524"/>
      <c r="IV20" s="525">
        <f t="shared" si="83"/>
        <v>0</v>
      </c>
      <c r="IW20" s="526">
        <f t="shared" si="195"/>
        <v>0</v>
      </c>
      <c r="IX20" s="524"/>
      <c r="IY20" s="525">
        <f t="shared" si="84"/>
        <v>0</v>
      </c>
      <c r="IZ20" s="526">
        <f t="shared" si="196"/>
        <v>0</v>
      </c>
      <c r="JA20" s="524"/>
      <c r="JB20" s="525">
        <f t="shared" si="85"/>
        <v>0</v>
      </c>
      <c r="JC20" s="526">
        <f t="shared" si="197"/>
        <v>0</v>
      </c>
      <c r="JD20" s="524"/>
      <c r="JE20" s="525">
        <f t="shared" si="86"/>
        <v>0</v>
      </c>
      <c r="JF20" s="526">
        <f t="shared" si="198"/>
        <v>0</v>
      </c>
      <c r="JG20" s="524"/>
      <c r="JH20" s="525">
        <f t="shared" si="87"/>
        <v>0</v>
      </c>
      <c r="JI20" s="526">
        <f t="shared" si="199"/>
        <v>0</v>
      </c>
      <c r="JJ20" s="524"/>
      <c r="JK20" s="526" t="str">
        <f t="shared" si="88"/>
        <v>0</v>
      </c>
      <c r="JL20" s="526" t="str">
        <f t="shared" si="89"/>
        <v>0</v>
      </c>
      <c r="JM20" s="524"/>
      <c r="JN20" s="526" t="str">
        <f t="shared" si="90"/>
        <v>0</v>
      </c>
      <c r="JO20" s="526" t="str">
        <f t="shared" si="91"/>
        <v>0</v>
      </c>
      <c r="JP20" s="524"/>
      <c r="JQ20" s="526" t="str">
        <f t="shared" si="92"/>
        <v>0</v>
      </c>
      <c r="JR20" s="526" t="str">
        <f t="shared" si="93"/>
        <v>0</v>
      </c>
      <c r="JS20" s="524"/>
      <c r="JT20" s="526" t="str">
        <f t="shared" si="94"/>
        <v>0</v>
      </c>
      <c r="JU20" s="526" t="str">
        <f t="shared" si="95"/>
        <v>0</v>
      </c>
      <c r="JV20" s="524"/>
      <c r="JW20" s="526" t="str">
        <f t="shared" si="96"/>
        <v>0</v>
      </c>
      <c r="JX20" s="526" t="str">
        <f t="shared" si="97"/>
        <v>0</v>
      </c>
      <c r="JY20" s="524"/>
      <c r="JZ20" s="526" t="str">
        <f t="shared" si="98"/>
        <v>0</v>
      </c>
      <c r="KA20" s="526" t="str">
        <f t="shared" si="99"/>
        <v>0</v>
      </c>
      <c r="KB20" s="524"/>
      <c r="KC20" s="526" t="str">
        <f t="shared" si="100"/>
        <v>0</v>
      </c>
      <c r="KD20" s="526" t="str">
        <f t="shared" si="101"/>
        <v>0</v>
      </c>
      <c r="KE20" s="524"/>
      <c r="KF20" s="526" t="str">
        <f t="shared" si="102"/>
        <v>0</v>
      </c>
      <c r="KG20" s="526" t="str">
        <f t="shared" si="103"/>
        <v>0</v>
      </c>
      <c r="KH20" s="524"/>
      <c r="KI20" s="526" t="str">
        <f t="shared" si="104"/>
        <v>0</v>
      </c>
      <c r="KJ20" s="526" t="str">
        <f t="shared" si="105"/>
        <v>0</v>
      </c>
      <c r="KK20" s="524"/>
      <c r="KL20" s="526" t="str">
        <f t="shared" si="106"/>
        <v>0</v>
      </c>
      <c r="KM20" s="526" t="str">
        <f t="shared" si="107"/>
        <v>0</v>
      </c>
      <c r="KN20" s="524"/>
      <c r="KO20" s="526" t="str">
        <f t="shared" si="108"/>
        <v>0</v>
      </c>
      <c r="KP20" s="526" t="str">
        <f t="shared" si="109"/>
        <v>0</v>
      </c>
      <c r="KQ20" s="524"/>
      <c r="KR20" s="526" t="str">
        <f t="shared" si="110"/>
        <v>0</v>
      </c>
      <c r="KS20" s="526" t="str">
        <f t="shared" si="111"/>
        <v>0</v>
      </c>
      <c r="KT20" s="526">
        <f t="shared" si="201"/>
        <v>0</v>
      </c>
      <c r="KU20" s="526">
        <f t="shared" si="202"/>
        <v>0</v>
      </c>
      <c r="KV20" s="262">
        <f t="shared" si="204"/>
        <v>411.03707286417671</v>
      </c>
    </row>
    <row r="21" spans="1:308">
      <c r="A21" s="263">
        <f t="shared" si="200"/>
        <v>45913</v>
      </c>
      <c r="B21" s="264" t="str">
        <f>+Report1!B21</f>
        <v>Facial</v>
      </c>
      <c r="C21" s="264" t="str">
        <f>+Report1!C21</f>
        <v>13/12</v>
      </c>
      <c r="D21" s="265">
        <f>+Report1!P21</f>
        <v>13.635000000000002</v>
      </c>
      <c r="E21" s="556">
        <f>+Report1!R21</f>
        <v>18.619</v>
      </c>
      <c r="F21" s="524"/>
      <c r="G21" s="525">
        <f t="shared" si="0"/>
        <v>0</v>
      </c>
      <c r="H21" s="526">
        <f t="shared" si="113"/>
        <v>0</v>
      </c>
      <c r="I21" s="524">
        <v>104.65116279069764</v>
      </c>
      <c r="J21" s="525">
        <f t="shared" si="1"/>
        <v>5.6206650620708762</v>
      </c>
      <c r="K21" s="526">
        <f t="shared" si="114"/>
        <v>0</v>
      </c>
      <c r="L21" s="524"/>
      <c r="M21" s="525">
        <f t="shared" si="2"/>
        <v>0</v>
      </c>
      <c r="N21" s="526">
        <f t="shared" si="115"/>
        <v>0</v>
      </c>
      <c r="O21" s="524">
        <v>2.9999999999999929</v>
      </c>
      <c r="P21" s="525">
        <f t="shared" si="3"/>
        <v>0.16112573177936479</v>
      </c>
      <c r="Q21" s="526">
        <f t="shared" si="116"/>
        <v>0</v>
      </c>
      <c r="R21" s="524"/>
      <c r="S21" s="525">
        <f t="shared" si="4"/>
        <v>0</v>
      </c>
      <c r="T21" s="526">
        <f t="shared" si="117"/>
        <v>0</v>
      </c>
      <c r="U21" s="524">
        <v>2.5625</v>
      </c>
      <c r="V21" s="525">
        <f t="shared" si="5"/>
        <v>0.13762822922820775</v>
      </c>
      <c r="W21" s="526">
        <f t="shared" si="118"/>
        <v>0</v>
      </c>
      <c r="X21" s="524"/>
      <c r="Y21" s="525">
        <f t="shared" si="6"/>
        <v>0</v>
      </c>
      <c r="Z21" s="526">
        <f t="shared" si="119"/>
        <v>0</v>
      </c>
      <c r="AA21" s="524">
        <v>3.125</v>
      </c>
      <c r="AB21" s="525">
        <f t="shared" si="7"/>
        <v>0.16783930393683871</v>
      </c>
      <c r="AC21" s="526">
        <f t="shared" si="120"/>
        <v>0</v>
      </c>
      <c r="AD21" s="524"/>
      <c r="AE21" s="525">
        <f t="shared" si="8"/>
        <v>0</v>
      </c>
      <c r="AF21" s="526">
        <f t="shared" si="121"/>
        <v>0</v>
      </c>
      <c r="AG21" s="524"/>
      <c r="AH21" s="525">
        <f t="shared" si="9"/>
        <v>0</v>
      </c>
      <c r="AI21" s="526">
        <f t="shared" si="122"/>
        <v>0</v>
      </c>
      <c r="AJ21" s="524"/>
      <c r="AK21" s="525">
        <f t="shared" si="10"/>
        <v>0</v>
      </c>
      <c r="AL21" s="526">
        <f t="shared" si="123"/>
        <v>0</v>
      </c>
      <c r="AM21" s="524"/>
      <c r="AN21" s="525">
        <f t="shared" si="11"/>
        <v>0</v>
      </c>
      <c r="AO21" s="526">
        <f t="shared" si="124"/>
        <v>0</v>
      </c>
      <c r="AP21" s="524">
        <v>14.240506329113941</v>
      </c>
      <c r="AQ21" s="525">
        <f t="shared" si="12"/>
        <v>0.76483733439572166</v>
      </c>
      <c r="AR21" s="526">
        <f t="shared" si="125"/>
        <v>0</v>
      </c>
      <c r="AS21" s="524"/>
      <c r="AT21" s="525">
        <f t="shared" si="13"/>
        <v>0</v>
      </c>
      <c r="AU21" s="526">
        <f t="shared" si="126"/>
        <v>0</v>
      </c>
      <c r="AV21" s="524"/>
      <c r="AW21" s="525">
        <f t="shared" si="14"/>
        <v>0</v>
      </c>
      <c r="AX21" s="526">
        <f t="shared" si="127"/>
        <v>0</v>
      </c>
      <c r="AY21" s="524">
        <v>16.333333333333371</v>
      </c>
      <c r="AZ21" s="525">
        <f t="shared" si="15"/>
        <v>0.87724009524321234</v>
      </c>
      <c r="BA21" s="526">
        <f t="shared" si="128"/>
        <v>0</v>
      </c>
      <c r="BB21" s="524"/>
      <c r="BC21" s="525">
        <f t="shared" si="16"/>
        <v>0</v>
      </c>
      <c r="BD21" s="526">
        <f t="shared" si="129"/>
        <v>0</v>
      </c>
      <c r="BE21" s="524"/>
      <c r="BF21" s="525">
        <f t="shared" si="17"/>
        <v>0</v>
      </c>
      <c r="BG21" s="526">
        <f t="shared" si="130"/>
        <v>0</v>
      </c>
      <c r="BH21" s="524"/>
      <c r="BI21" s="525">
        <f t="shared" si="18"/>
        <v>0</v>
      </c>
      <c r="BJ21" s="526">
        <f t="shared" si="131"/>
        <v>0</v>
      </c>
      <c r="BK21" s="524"/>
      <c r="BL21" s="525">
        <f t="shared" si="19"/>
        <v>0</v>
      </c>
      <c r="BM21" s="526">
        <f t="shared" si="132"/>
        <v>0</v>
      </c>
      <c r="BN21" s="524"/>
      <c r="BO21" s="525">
        <f t="shared" si="20"/>
        <v>0</v>
      </c>
      <c r="BP21" s="526">
        <f t="shared" si="133"/>
        <v>0</v>
      </c>
      <c r="BQ21" s="524"/>
      <c r="BR21" s="525">
        <f t="shared" si="21"/>
        <v>0</v>
      </c>
      <c r="BS21" s="526">
        <f t="shared" si="134"/>
        <v>0</v>
      </c>
      <c r="BT21" s="524"/>
      <c r="BU21" s="525">
        <f t="shared" si="22"/>
        <v>0</v>
      </c>
      <c r="BV21" s="526">
        <f t="shared" si="135"/>
        <v>0</v>
      </c>
      <c r="BW21" s="524"/>
      <c r="BX21" s="525">
        <f t="shared" si="23"/>
        <v>0</v>
      </c>
      <c r="BY21" s="526">
        <f t="shared" si="136"/>
        <v>0</v>
      </c>
      <c r="BZ21" s="524"/>
      <c r="CA21" s="525">
        <f t="shared" si="24"/>
        <v>0</v>
      </c>
      <c r="CB21" s="526">
        <f t="shared" si="137"/>
        <v>0</v>
      </c>
      <c r="CC21" s="524"/>
      <c r="CD21" s="525">
        <f t="shared" si="25"/>
        <v>0</v>
      </c>
      <c r="CE21" s="526">
        <f t="shared" si="138"/>
        <v>0</v>
      </c>
      <c r="CF21" s="524">
        <v>9.9999999999999645E-2</v>
      </c>
      <c r="CG21" s="525">
        <f t="shared" si="26"/>
        <v>5.3708577259788202E-3</v>
      </c>
      <c r="CH21" s="526">
        <f t="shared" si="139"/>
        <v>0</v>
      </c>
      <c r="CI21" s="524"/>
      <c r="CJ21" s="525">
        <f t="shared" si="27"/>
        <v>0</v>
      </c>
      <c r="CK21" s="526">
        <f t="shared" si="140"/>
        <v>0</v>
      </c>
      <c r="CL21" s="524"/>
      <c r="CM21" s="525">
        <f t="shared" si="28"/>
        <v>0</v>
      </c>
      <c r="CN21" s="526">
        <f t="shared" si="141"/>
        <v>0</v>
      </c>
      <c r="CO21" s="524"/>
      <c r="CP21" s="525">
        <f t="shared" si="29"/>
        <v>0</v>
      </c>
      <c r="CQ21" s="526">
        <f t="shared" si="142"/>
        <v>0</v>
      </c>
      <c r="CR21" s="524"/>
      <c r="CS21" s="525">
        <f t="shared" si="30"/>
        <v>0</v>
      </c>
      <c r="CT21" s="526">
        <f t="shared" si="143"/>
        <v>0</v>
      </c>
      <c r="CU21" s="524"/>
      <c r="CV21" s="525">
        <f t="shared" si="31"/>
        <v>0</v>
      </c>
      <c r="CW21" s="526">
        <f t="shared" si="144"/>
        <v>0</v>
      </c>
      <c r="CX21" s="524"/>
      <c r="CY21" s="525">
        <f t="shared" si="32"/>
        <v>0</v>
      </c>
      <c r="CZ21" s="526">
        <f t="shared" si="145"/>
        <v>0</v>
      </c>
      <c r="DA21" s="524"/>
      <c r="DB21" s="525">
        <f t="shared" si="33"/>
        <v>0</v>
      </c>
      <c r="DC21" s="526">
        <f t="shared" si="146"/>
        <v>0</v>
      </c>
      <c r="DD21" s="524"/>
      <c r="DE21" s="525">
        <f t="shared" si="34"/>
        <v>0</v>
      </c>
      <c r="DF21" s="526">
        <f t="shared" si="147"/>
        <v>0</v>
      </c>
      <c r="DG21" s="524"/>
      <c r="DH21" s="525">
        <f t="shared" si="35"/>
        <v>0</v>
      </c>
      <c r="DI21" s="526">
        <f t="shared" si="203"/>
        <v>0</v>
      </c>
      <c r="DJ21" s="524"/>
      <c r="DK21" s="525">
        <f t="shared" si="36"/>
        <v>0</v>
      </c>
      <c r="DL21" s="526">
        <f t="shared" si="148"/>
        <v>0</v>
      </c>
      <c r="DM21" s="524"/>
      <c r="DN21" s="525">
        <f t="shared" si="37"/>
        <v>0</v>
      </c>
      <c r="DO21" s="526">
        <f t="shared" si="149"/>
        <v>0</v>
      </c>
      <c r="DP21" s="524"/>
      <c r="DQ21" s="525">
        <f t="shared" si="38"/>
        <v>0</v>
      </c>
      <c r="DR21" s="526">
        <f t="shared" si="150"/>
        <v>0</v>
      </c>
      <c r="DS21" s="524"/>
      <c r="DT21" s="525">
        <f t="shared" si="39"/>
        <v>0</v>
      </c>
      <c r="DU21" s="526">
        <f t="shared" si="151"/>
        <v>0</v>
      </c>
      <c r="DV21" s="524"/>
      <c r="DW21" s="525">
        <f t="shared" si="40"/>
        <v>0</v>
      </c>
      <c r="DX21" s="526">
        <f t="shared" si="152"/>
        <v>0</v>
      </c>
      <c r="DY21" s="524"/>
      <c r="DZ21" s="525">
        <f t="shared" si="41"/>
        <v>0</v>
      </c>
      <c r="EA21" s="526">
        <f t="shared" si="153"/>
        <v>0</v>
      </c>
      <c r="EB21" s="524"/>
      <c r="EC21" s="525">
        <f t="shared" si="42"/>
        <v>0</v>
      </c>
      <c r="ED21" s="526">
        <f t="shared" si="154"/>
        <v>0</v>
      </c>
      <c r="EE21" s="524">
        <v>19.379844961240298</v>
      </c>
      <c r="EF21" s="525">
        <f t="shared" si="43"/>
        <v>1.0408639003834952</v>
      </c>
      <c r="EG21" s="526">
        <f t="shared" si="155"/>
        <v>0</v>
      </c>
      <c r="EH21" s="524">
        <v>23.482352941176458</v>
      </c>
      <c r="EI21" s="525">
        <f t="shared" si="44"/>
        <v>1.2612037671827949</v>
      </c>
      <c r="EJ21" s="526">
        <f t="shared" si="156"/>
        <v>0</v>
      </c>
      <c r="EK21" s="524">
        <v>0.5</v>
      </c>
      <c r="EL21" s="525">
        <f t="shared" si="45"/>
        <v>2.6854288629894193E-2</v>
      </c>
      <c r="EM21" s="526">
        <f t="shared" si="157"/>
        <v>0</v>
      </c>
      <c r="EN21" s="524"/>
      <c r="EO21" s="525">
        <f t="shared" si="46"/>
        <v>0</v>
      </c>
      <c r="EP21" s="526">
        <f t="shared" si="158"/>
        <v>0</v>
      </c>
      <c r="EQ21" s="524"/>
      <c r="ER21" s="525">
        <f t="shared" si="47"/>
        <v>0</v>
      </c>
      <c r="ES21" s="526">
        <f t="shared" si="159"/>
        <v>0</v>
      </c>
      <c r="ET21" s="524"/>
      <c r="EU21" s="525">
        <f t="shared" si="48"/>
        <v>0</v>
      </c>
      <c r="EV21" s="526">
        <f t="shared" si="160"/>
        <v>0</v>
      </c>
      <c r="EW21" s="524"/>
      <c r="EX21" s="525">
        <f t="shared" si="49"/>
        <v>0</v>
      </c>
      <c r="EY21" s="526">
        <f t="shared" si="161"/>
        <v>0</v>
      </c>
      <c r="EZ21" s="524"/>
      <c r="FA21" s="525">
        <f t="shared" si="50"/>
        <v>0</v>
      </c>
      <c r="FB21" s="526">
        <f t="shared" si="162"/>
        <v>0</v>
      </c>
      <c r="FC21" s="524"/>
      <c r="FD21" s="525">
        <f t="shared" si="51"/>
        <v>0</v>
      </c>
      <c r="FE21" s="526">
        <f t="shared" si="163"/>
        <v>0</v>
      </c>
      <c r="FF21" s="524"/>
      <c r="FG21" s="525">
        <f t="shared" si="52"/>
        <v>0</v>
      </c>
      <c r="FH21" s="526">
        <f t="shared" si="164"/>
        <v>0</v>
      </c>
      <c r="FI21" s="524"/>
      <c r="FJ21" s="525">
        <f t="shared" si="53"/>
        <v>0</v>
      </c>
      <c r="FK21" s="526">
        <f t="shared" si="165"/>
        <v>0</v>
      </c>
      <c r="FL21" s="524"/>
      <c r="FM21" s="525">
        <f t="shared" si="54"/>
        <v>0</v>
      </c>
      <c r="FN21" s="526">
        <f t="shared" si="166"/>
        <v>0</v>
      </c>
      <c r="FO21" s="524"/>
      <c r="FP21" s="525">
        <f t="shared" si="55"/>
        <v>0</v>
      </c>
      <c r="FQ21" s="526">
        <f t="shared" si="167"/>
        <v>0</v>
      </c>
      <c r="FR21" s="524"/>
      <c r="FS21" s="525">
        <f t="shared" si="56"/>
        <v>0</v>
      </c>
      <c r="FT21" s="526">
        <f t="shared" si="168"/>
        <v>0</v>
      </c>
      <c r="FU21" s="524"/>
      <c r="FV21" s="525">
        <f t="shared" si="57"/>
        <v>0</v>
      </c>
      <c r="FW21" s="526">
        <f t="shared" si="169"/>
        <v>0</v>
      </c>
      <c r="FX21" s="524"/>
      <c r="FY21" s="525">
        <f t="shared" si="58"/>
        <v>0</v>
      </c>
      <c r="FZ21" s="526">
        <f t="shared" si="170"/>
        <v>0</v>
      </c>
      <c r="GA21" s="524"/>
      <c r="GB21" s="525">
        <f t="shared" si="59"/>
        <v>0</v>
      </c>
      <c r="GC21" s="526">
        <f t="shared" si="171"/>
        <v>0</v>
      </c>
      <c r="GD21" s="524"/>
      <c r="GE21" s="525">
        <f t="shared" si="60"/>
        <v>0</v>
      </c>
      <c r="GF21" s="526">
        <f t="shared" si="172"/>
        <v>0</v>
      </c>
      <c r="GG21" s="524"/>
      <c r="GH21" s="525">
        <f t="shared" si="61"/>
        <v>0</v>
      </c>
      <c r="GI21" s="526">
        <f t="shared" si="173"/>
        <v>0</v>
      </c>
      <c r="GJ21" s="524"/>
      <c r="GK21" s="525">
        <f t="shared" si="62"/>
        <v>0</v>
      </c>
      <c r="GL21" s="526">
        <f t="shared" si="174"/>
        <v>0</v>
      </c>
      <c r="GM21" s="524"/>
      <c r="GN21" s="525">
        <f t="shared" si="63"/>
        <v>0</v>
      </c>
      <c r="GO21" s="526">
        <f t="shared" si="175"/>
        <v>0</v>
      </c>
      <c r="GP21" s="524"/>
      <c r="GQ21" s="525">
        <f t="shared" si="64"/>
        <v>0</v>
      </c>
      <c r="GR21" s="526">
        <f t="shared" si="176"/>
        <v>0</v>
      </c>
      <c r="GS21" s="524"/>
      <c r="GT21" s="525">
        <f t="shared" si="65"/>
        <v>0</v>
      </c>
      <c r="GU21" s="526">
        <f t="shared" si="177"/>
        <v>0</v>
      </c>
      <c r="GV21" s="524"/>
      <c r="GW21" s="525">
        <f t="shared" si="66"/>
        <v>0</v>
      </c>
      <c r="GX21" s="526">
        <f t="shared" si="178"/>
        <v>0</v>
      </c>
      <c r="GY21" s="524"/>
      <c r="GZ21" s="525">
        <f t="shared" si="67"/>
        <v>0</v>
      </c>
      <c r="HA21" s="526">
        <f t="shared" si="179"/>
        <v>0</v>
      </c>
      <c r="HB21" s="524">
        <v>2804</v>
      </c>
      <c r="HC21" s="525">
        <f t="shared" si="68"/>
        <v>150.59885063644666</v>
      </c>
      <c r="HD21" s="526">
        <f t="shared" si="180"/>
        <v>0</v>
      </c>
      <c r="HE21" s="524"/>
      <c r="HF21" s="525">
        <f t="shared" si="69"/>
        <v>0</v>
      </c>
      <c r="HG21" s="526">
        <f t="shared" si="181"/>
        <v>0</v>
      </c>
      <c r="HH21" s="524"/>
      <c r="HI21" s="525">
        <f t="shared" si="70"/>
        <v>0</v>
      </c>
      <c r="HJ21" s="526">
        <f t="shared" si="182"/>
        <v>0</v>
      </c>
      <c r="HK21" s="524"/>
      <c r="HL21" s="525">
        <f t="shared" si="71"/>
        <v>0</v>
      </c>
      <c r="HM21" s="526">
        <f t="shared" si="183"/>
        <v>0</v>
      </c>
      <c r="HN21" s="524"/>
      <c r="HO21" s="525">
        <f t="shared" si="72"/>
        <v>0</v>
      </c>
      <c r="HP21" s="526">
        <f t="shared" si="184"/>
        <v>0</v>
      </c>
      <c r="HQ21" s="524"/>
      <c r="HR21" s="525">
        <f t="shared" si="73"/>
        <v>0</v>
      </c>
      <c r="HS21" s="526">
        <f t="shared" si="185"/>
        <v>0</v>
      </c>
      <c r="HT21" s="524"/>
      <c r="HU21" s="525">
        <f t="shared" si="74"/>
        <v>0</v>
      </c>
      <c r="HV21" s="526">
        <f t="shared" si="186"/>
        <v>0</v>
      </c>
      <c r="HW21" s="524"/>
      <c r="HX21" s="525">
        <f t="shared" si="75"/>
        <v>0</v>
      </c>
      <c r="HY21" s="526">
        <f t="shared" si="187"/>
        <v>0</v>
      </c>
      <c r="HZ21" s="524"/>
      <c r="IA21" s="525">
        <f t="shared" si="76"/>
        <v>0</v>
      </c>
      <c r="IB21" s="526">
        <f t="shared" si="188"/>
        <v>0</v>
      </c>
      <c r="IC21" s="524"/>
      <c r="ID21" s="525">
        <f t="shared" si="77"/>
        <v>0</v>
      </c>
      <c r="IE21" s="526">
        <f t="shared" si="189"/>
        <v>0</v>
      </c>
      <c r="IF21" s="524"/>
      <c r="IG21" s="525">
        <f t="shared" si="78"/>
        <v>0</v>
      </c>
      <c r="IH21" s="526">
        <f t="shared" si="190"/>
        <v>0</v>
      </c>
      <c r="II21" s="524"/>
      <c r="IJ21" s="525">
        <f t="shared" si="79"/>
        <v>0</v>
      </c>
      <c r="IK21" s="526">
        <f t="shared" si="191"/>
        <v>0</v>
      </c>
      <c r="IL21" s="524"/>
      <c r="IM21" s="525">
        <f t="shared" si="80"/>
        <v>0</v>
      </c>
      <c r="IN21" s="526">
        <f t="shared" si="192"/>
        <v>0</v>
      </c>
      <c r="IO21" s="524"/>
      <c r="IP21" s="525">
        <f t="shared" si="81"/>
        <v>0</v>
      </c>
      <c r="IQ21" s="526">
        <f t="shared" si="193"/>
        <v>0</v>
      </c>
      <c r="IR21" s="524"/>
      <c r="IS21" s="525">
        <f t="shared" si="82"/>
        <v>0</v>
      </c>
      <c r="IT21" s="526">
        <f t="shared" si="194"/>
        <v>0</v>
      </c>
      <c r="IU21" s="524"/>
      <c r="IV21" s="525">
        <f t="shared" si="83"/>
        <v>0</v>
      </c>
      <c r="IW21" s="526">
        <f t="shared" si="195"/>
        <v>0</v>
      </c>
      <c r="IX21" s="524"/>
      <c r="IY21" s="525">
        <f t="shared" si="84"/>
        <v>0</v>
      </c>
      <c r="IZ21" s="526">
        <f t="shared" si="196"/>
        <v>0</v>
      </c>
      <c r="JA21" s="524"/>
      <c r="JB21" s="525">
        <f t="shared" si="85"/>
        <v>0</v>
      </c>
      <c r="JC21" s="526">
        <f t="shared" si="197"/>
        <v>0</v>
      </c>
      <c r="JD21" s="524"/>
      <c r="JE21" s="525">
        <f t="shared" si="86"/>
        <v>0</v>
      </c>
      <c r="JF21" s="526">
        <f t="shared" si="198"/>
        <v>0</v>
      </c>
      <c r="JG21" s="524"/>
      <c r="JH21" s="525">
        <f t="shared" si="87"/>
        <v>0</v>
      </c>
      <c r="JI21" s="526">
        <f t="shared" si="199"/>
        <v>0</v>
      </c>
      <c r="JJ21" s="524"/>
      <c r="JK21" s="526" t="str">
        <f t="shared" si="88"/>
        <v>0</v>
      </c>
      <c r="JL21" s="526" t="str">
        <f t="shared" si="89"/>
        <v>0</v>
      </c>
      <c r="JM21" s="524"/>
      <c r="JN21" s="526" t="str">
        <f t="shared" si="90"/>
        <v>0</v>
      </c>
      <c r="JO21" s="526" t="str">
        <f t="shared" si="91"/>
        <v>0</v>
      </c>
      <c r="JP21" s="524"/>
      <c r="JQ21" s="526" t="str">
        <f t="shared" si="92"/>
        <v>0</v>
      </c>
      <c r="JR21" s="526" t="str">
        <f t="shared" si="93"/>
        <v>0</v>
      </c>
      <c r="JS21" s="524"/>
      <c r="JT21" s="526" t="str">
        <f t="shared" si="94"/>
        <v>0</v>
      </c>
      <c r="JU21" s="526" t="str">
        <f t="shared" si="95"/>
        <v>0</v>
      </c>
      <c r="JV21" s="524"/>
      <c r="JW21" s="526" t="str">
        <f t="shared" si="96"/>
        <v>0</v>
      </c>
      <c r="JX21" s="526" t="str">
        <f t="shared" si="97"/>
        <v>0</v>
      </c>
      <c r="JY21" s="524"/>
      <c r="JZ21" s="526" t="str">
        <f t="shared" si="98"/>
        <v>0</v>
      </c>
      <c r="KA21" s="526" t="str">
        <f t="shared" si="99"/>
        <v>0</v>
      </c>
      <c r="KB21" s="524"/>
      <c r="KC21" s="526" t="str">
        <f t="shared" si="100"/>
        <v>0</v>
      </c>
      <c r="KD21" s="526" t="str">
        <f t="shared" si="101"/>
        <v>0</v>
      </c>
      <c r="KE21" s="524"/>
      <c r="KF21" s="526" t="str">
        <f t="shared" si="102"/>
        <v>0</v>
      </c>
      <c r="KG21" s="526" t="str">
        <f t="shared" si="103"/>
        <v>0</v>
      </c>
      <c r="KH21" s="524"/>
      <c r="KI21" s="526" t="str">
        <f t="shared" si="104"/>
        <v>0</v>
      </c>
      <c r="KJ21" s="526" t="str">
        <f t="shared" si="105"/>
        <v>0</v>
      </c>
      <c r="KK21" s="524"/>
      <c r="KL21" s="526" t="str">
        <f t="shared" si="106"/>
        <v>0</v>
      </c>
      <c r="KM21" s="526" t="str">
        <f t="shared" si="107"/>
        <v>0</v>
      </c>
      <c r="KN21" s="524"/>
      <c r="KO21" s="526" t="str">
        <f t="shared" si="108"/>
        <v>0</v>
      </c>
      <c r="KP21" s="526" t="str">
        <f t="shared" si="109"/>
        <v>0</v>
      </c>
      <c r="KQ21" s="524"/>
      <c r="KR21" s="526" t="str">
        <f t="shared" si="110"/>
        <v>0</v>
      </c>
      <c r="KS21" s="526" t="str">
        <f t="shared" si="111"/>
        <v>0</v>
      </c>
      <c r="KT21" s="526">
        <f t="shared" si="201"/>
        <v>0</v>
      </c>
      <c r="KU21" s="526">
        <f t="shared" si="202"/>
        <v>0</v>
      </c>
      <c r="KV21" s="262">
        <f t="shared" si="204"/>
        <v>2991.3747003555618</v>
      </c>
    </row>
    <row r="22" spans="1:308">
      <c r="A22" s="263">
        <f t="shared" si="200"/>
        <v>45914</v>
      </c>
      <c r="B22" s="264" t="str">
        <f>+Report1!B22</f>
        <v>STOP</v>
      </c>
      <c r="C22" s="264" t="str">
        <f>+Report1!C22</f>
        <v>12</v>
      </c>
      <c r="D22" s="265">
        <f>+Report1!P22</f>
        <v>0</v>
      </c>
      <c r="E22" s="556">
        <f>+Report1!R22</f>
        <v>0</v>
      </c>
      <c r="F22" s="524"/>
      <c r="G22" s="525" t="e">
        <f t="shared" si="0"/>
        <v>#DIV/0!</v>
      </c>
      <c r="H22" s="526">
        <f t="shared" si="113"/>
        <v>0</v>
      </c>
      <c r="I22" s="524"/>
      <c r="J22" s="525" t="e">
        <f t="shared" si="1"/>
        <v>#DIV/0!</v>
      </c>
      <c r="K22" s="526">
        <f t="shared" si="114"/>
        <v>0</v>
      </c>
      <c r="L22" s="524"/>
      <c r="M22" s="525" t="e">
        <f t="shared" si="2"/>
        <v>#DIV/0!</v>
      </c>
      <c r="N22" s="526">
        <f t="shared" si="115"/>
        <v>0</v>
      </c>
      <c r="O22" s="524"/>
      <c r="P22" s="525" t="e">
        <f t="shared" si="3"/>
        <v>#DIV/0!</v>
      </c>
      <c r="Q22" s="526">
        <f t="shared" si="116"/>
        <v>0</v>
      </c>
      <c r="R22" s="524"/>
      <c r="S22" s="525" t="e">
        <f t="shared" si="4"/>
        <v>#DIV/0!</v>
      </c>
      <c r="T22" s="526">
        <f t="shared" si="117"/>
        <v>0</v>
      </c>
      <c r="U22" s="524"/>
      <c r="V22" s="525" t="e">
        <f t="shared" si="5"/>
        <v>#DIV/0!</v>
      </c>
      <c r="W22" s="526">
        <f t="shared" si="118"/>
        <v>0</v>
      </c>
      <c r="X22" s="524"/>
      <c r="Y22" s="525" t="e">
        <f t="shared" si="6"/>
        <v>#DIV/0!</v>
      </c>
      <c r="Z22" s="526">
        <f t="shared" si="119"/>
        <v>0</v>
      </c>
      <c r="AA22" s="524"/>
      <c r="AB22" s="525" t="e">
        <f t="shared" si="7"/>
        <v>#DIV/0!</v>
      </c>
      <c r="AC22" s="526">
        <f t="shared" si="120"/>
        <v>0</v>
      </c>
      <c r="AD22" s="524"/>
      <c r="AE22" s="525" t="e">
        <f t="shared" si="8"/>
        <v>#DIV/0!</v>
      </c>
      <c r="AF22" s="526">
        <f t="shared" si="121"/>
        <v>0</v>
      </c>
      <c r="AG22" s="524">
        <v>18.899999999999977</v>
      </c>
      <c r="AH22" s="525" t="e">
        <f t="shared" si="9"/>
        <v>#DIV/0!</v>
      </c>
      <c r="AI22" s="526">
        <f t="shared" si="122"/>
        <v>0</v>
      </c>
      <c r="AJ22" s="524"/>
      <c r="AK22" s="525" t="e">
        <f t="shared" si="10"/>
        <v>#DIV/0!</v>
      </c>
      <c r="AL22" s="526">
        <f t="shared" si="123"/>
        <v>0</v>
      </c>
      <c r="AM22" s="524"/>
      <c r="AN22" s="525" t="e">
        <f t="shared" si="11"/>
        <v>#DIV/0!</v>
      </c>
      <c r="AO22" s="526">
        <f t="shared" si="124"/>
        <v>0</v>
      </c>
      <c r="AP22" s="524"/>
      <c r="AQ22" s="525" t="e">
        <f t="shared" si="12"/>
        <v>#DIV/0!</v>
      </c>
      <c r="AR22" s="526">
        <f t="shared" si="125"/>
        <v>0</v>
      </c>
      <c r="AS22" s="524"/>
      <c r="AT22" s="525" t="e">
        <f t="shared" si="13"/>
        <v>#DIV/0!</v>
      </c>
      <c r="AU22" s="526">
        <f t="shared" si="126"/>
        <v>0</v>
      </c>
      <c r="AV22" s="524"/>
      <c r="AW22" s="525" t="e">
        <f t="shared" si="14"/>
        <v>#DIV/0!</v>
      </c>
      <c r="AX22" s="526">
        <f t="shared" si="127"/>
        <v>0</v>
      </c>
      <c r="AY22" s="524">
        <v>0</v>
      </c>
      <c r="AZ22" s="525" t="e">
        <f t="shared" si="15"/>
        <v>#DIV/0!</v>
      </c>
      <c r="BA22" s="526">
        <f t="shared" si="128"/>
        <v>0</v>
      </c>
      <c r="BB22" s="524"/>
      <c r="BC22" s="525" t="e">
        <f t="shared" si="16"/>
        <v>#DIV/0!</v>
      </c>
      <c r="BD22" s="526">
        <f t="shared" si="129"/>
        <v>0</v>
      </c>
      <c r="BE22" s="524"/>
      <c r="BF22" s="525" t="e">
        <f t="shared" si="17"/>
        <v>#DIV/0!</v>
      </c>
      <c r="BG22" s="526">
        <f t="shared" si="130"/>
        <v>0</v>
      </c>
      <c r="BH22" s="524"/>
      <c r="BI22" s="525" t="e">
        <f t="shared" si="18"/>
        <v>#DIV/0!</v>
      </c>
      <c r="BJ22" s="526">
        <f t="shared" si="131"/>
        <v>0</v>
      </c>
      <c r="BK22" s="524"/>
      <c r="BL22" s="525" t="e">
        <f t="shared" si="19"/>
        <v>#DIV/0!</v>
      </c>
      <c r="BM22" s="526">
        <f t="shared" si="132"/>
        <v>0</v>
      </c>
      <c r="BN22" s="524"/>
      <c r="BO22" s="525" t="e">
        <f t="shared" si="20"/>
        <v>#DIV/0!</v>
      </c>
      <c r="BP22" s="526">
        <f t="shared" si="133"/>
        <v>0</v>
      </c>
      <c r="BQ22" s="524"/>
      <c r="BR22" s="525" t="e">
        <f t="shared" si="21"/>
        <v>#DIV/0!</v>
      </c>
      <c r="BS22" s="526">
        <f t="shared" si="134"/>
        <v>0</v>
      </c>
      <c r="BT22" s="524"/>
      <c r="BU22" s="525" t="e">
        <f t="shared" si="22"/>
        <v>#DIV/0!</v>
      </c>
      <c r="BV22" s="526">
        <f t="shared" si="135"/>
        <v>0</v>
      </c>
      <c r="BW22" s="524"/>
      <c r="BX22" s="525" t="e">
        <f t="shared" si="23"/>
        <v>#DIV/0!</v>
      </c>
      <c r="BY22" s="526">
        <f t="shared" si="136"/>
        <v>0</v>
      </c>
      <c r="BZ22" s="524"/>
      <c r="CA22" s="525" t="e">
        <f t="shared" si="24"/>
        <v>#DIV/0!</v>
      </c>
      <c r="CB22" s="526">
        <f t="shared" si="137"/>
        <v>0</v>
      </c>
      <c r="CC22" s="524"/>
      <c r="CD22" s="525" t="e">
        <f t="shared" si="25"/>
        <v>#DIV/0!</v>
      </c>
      <c r="CE22" s="526">
        <f t="shared" si="138"/>
        <v>0</v>
      </c>
      <c r="CF22" s="524"/>
      <c r="CG22" s="525" t="e">
        <f t="shared" si="26"/>
        <v>#DIV/0!</v>
      </c>
      <c r="CH22" s="526">
        <f t="shared" si="139"/>
        <v>0</v>
      </c>
      <c r="CI22" s="524"/>
      <c r="CJ22" s="525" t="e">
        <f t="shared" si="27"/>
        <v>#DIV/0!</v>
      </c>
      <c r="CK22" s="526">
        <f t="shared" si="140"/>
        <v>0</v>
      </c>
      <c r="CL22" s="524"/>
      <c r="CM22" s="525" t="e">
        <f t="shared" si="28"/>
        <v>#DIV/0!</v>
      </c>
      <c r="CN22" s="526">
        <f t="shared" si="141"/>
        <v>0</v>
      </c>
      <c r="CO22" s="524"/>
      <c r="CP22" s="525" t="e">
        <f t="shared" si="29"/>
        <v>#DIV/0!</v>
      </c>
      <c r="CQ22" s="526">
        <f t="shared" si="142"/>
        <v>0</v>
      </c>
      <c r="CR22" s="524"/>
      <c r="CS22" s="525" t="e">
        <f t="shared" si="30"/>
        <v>#DIV/0!</v>
      </c>
      <c r="CT22" s="526">
        <f t="shared" si="143"/>
        <v>0</v>
      </c>
      <c r="CU22" s="524"/>
      <c r="CV22" s="525" t="e">
        <f t="shared" si="31"/>
        <v>#DIV/0!</v>
      </c>
      <c r="CW22" s="526">
        <f t="shared" si="144"/>
        <v>0</v>
      </c>
      <c r="CX22" s="524"/>
      <c r="CY22" s="525" t="e">
        <f t="shared" si="32"/>
        <v>#DIV/0!</v>
      </c>
      <c r="CZ22" s="526">
        <f t="shared" si="145"/>
        <v>0</v>
      </c>
      <c r="DA22" s="524"/>
      <c r="DB22" s="525" t="e">
        <f t="shared" si="33"/>
        <v>#DIV/0!</v>
      </c>
      <c r="DC22" s="526">
        <f t="shared" si="146"/>
        <v>0</v>
      </c>
      <c r="DD22" s="524"/>
      <c r="DE22" s="525" t="e">
        <f t="shared" si="34"/>
        <v>#DIV/0!</v>
      </c>
      <c r="DF22" s="526">
        <f t="shared" si="147"/>
        <v>0</v>
      </c>
      <c r="DG22" s="524"/>
      <c r="DH22" s="525" t="e">
        <f t="shared" si="35"/>
        <v>#DIV/0!</v>
      </c>
      <c r="DI22" s="526">
        <f t="shared" si="203"/>
        <v>0</v>
      </c>
      <c r="DJ22" s="524"/>
      <c r="DK22" s="525" t="e">
        <f t="shared" si="36"/>
        <v>#DIV/0!</v>
      </c>
      <c r="DL22" s="526">
        <f t="shared" si="148"/>
        <v>0</v>
      </c>
      <c r="DM22" s="524"/>
      <c r="DN22" s="525" t="e">
        <f t="shared" si="37"/>
        <v>#DIV/0!</v>
      </c>
      <c r="DO22" s="526">
        <f t="shared" si="149"/>
        <v>0</v>
      </c>
      <c r="DP22" s="524"/>
      <c r="DQ22" s="525" t="e">
        <f t="shared" si="38"/>
        <v>#DIV/0!</v>
      </c>
      <c r="DR22" s="526">
        <f t="shared" si="150"/>
        <v>0</v>
      </c>
      <c r="DS22" s="524"/>
      <c r="DT22" s="525" t="e">
        <f t="shared" si="39"/>
        <v>#DIV/0!</v>
      </c>
      <c r="DU22" s="526">
        <f t="shared" si="151"/>
        <v>0</v>
      </c>
      <c r="DV22" s="524"/>
      <c r="DW22" s="525" t="e">
        <f t="shared" si="40"/>
        <v>#DIV/0!</v>
      </c>
      <c r="DX22" s="526">
        <f t="shared" si="152"/>
        <v>0</v>
      </c>
      <c r="DY22" s="524"/>
      <c r="DZ22" s="525" t="e">
        <f t="shared" si="41"/>
        <v>#DIV/0!</v>
      </c>
      <c r="EA22" s="526">
        <f t="shared" si="153"/>
        <v>0</v>
      </c>
      <c r="EB22" s="524"/>
      <c r="EC22" s="525" t="e">
        <f t="shared" si="42"/>
        <v>#DIV/0!</v>
      </c>
      <c r="ED22" s="526">
        <f t="shared" si="154"/>
        <v>0</v>
      </c>
      <c r="EE22" s="524"/>
      <c r="EF22" s="525" t="e">
        <f t="shared" si="43"/>
        <v>#DIV/0!</v>
      </c>
      <c r="EG22" s="526">
        <f t="shared" si="155"/>
        <v>0</v>
      </c>
      <c r="EH22" s="524"/>
      <c r="EI22" s="525" t="e">
        <f t="shared" si="44"/>
        <v>#DIV/0!</v>
      </c>
      <c r="EJ22" s="526">
        <f t="shared" si="156"/>
        <v>0</v>
      </c>
      <c r="EK22" s="524"/>
      <c r="EL22" s="525" t="e">
        <f t="shared" si="45"/>
        <v>#DIV/0!</v>
      </c>
      <c r="EM22" s="526">
        <f t="shared" si="157"/>
        <v>0</v>
      </c>
      <c r="EN22" s="524"/>
      <c r="EO22" s="525" t="e">
        <f t="shared" si="46"/>
        <v>#DIV/0!</v>
      </c>
      <c r="EP22" s="526">
        <f t="shared" si="158"/>
        <v>0</v>
      </c>
      <c r="EQ22" s="524"/>
      <c r="ER22" s="525" t="e">
        <f t="shared" si="47"/>
        <v>#DIV/0!</v>
      </c>
      <c r="ES22" s="526">
        <f t="shared" si="159"/>
        <v>0</v>
      </c>
      <c r="ET22" s="524"/>
      <c r="EU22" s="525" t="e">
        <f t="shared" si="48"/>
        <v>#DIV/0!</v>
      </c>
      <c r="EV22" s="526">
        <f t="shared" si="160"/>
        <v>0</v>
      </c>
      <c r="EW22" s="524"/>
      <c r="EX22" s="525" t="e">
        <f t="shared" si="49"/>
        <v>#DIV/0!</v>
      </c>
      <c r="EY22" s="526">
        <f t="shared" si="161"/>
        <v>0</v>
      </c>
      <c r="EZ22" s="524"/>
      <c r="FA22" s="525" t="e">
        <f t="shared" si="50"/>
        <v>#DIV/0!</v>
      </c>
      <c r="FB22" s="526">
        <f t="shared" si="162"/>
        <v>0</v>
      </c>
      <c r="FC22" s="524"/>
      <c r="FD22" s="525" t="e">
        <f t="shared" si="51"/>
        <v>#DIV/0!</v>
      </c>
      <c r="FE22" s="526">
        <f t="shared" si="163"/>
        <v>0</v>
      </c>
      <c r="FF22" s="524"/>
      <c r="FG22" s="525" t="e">
        <f t="shared" si="52"/>
        <v>#DIV/0!</v>
      </c>
      <c r="FH22" s="526">
        <f t="shared" si="164"/>
        <v>0</v>
      </c>
      <c r="FI22" s="524"/>
      <c r="FJ22" s="525" t="e">
        <f t="shared" si="53"/>
        <v>#DIV/0!</v>
      </c>
      <c r="FK22" s="526">
        <f t="shared" si="165"/>
        <v>0</v>
      </c>
      <c r="FL22" s="524"/>
      <c r="FM22" s="525" t="e">
        <f t="shared" si="54"/>
        <v>#DIV/0!</v>
      </c>
      <c r="FN22" s="526">
        <f t="shared" si="166"/>
        <v>0</v>
      </c>
      <c r="FO22" s="524"/>
      <c r="FP22" s="525" t="e">
        <f t="shared" si="55"/>
        <v>#DIV/0!</v>
      </c>
      <c r="FQ22" s="526">
        <f t="shared" si="167"/>
        <v>0</v>
      </c>
      <c r="FR22" s="524"/>
      <c r="FS22" s="525" t="e">
        <f t="shared" si="56"/>
        <v>#DIV/0!</v>
      </c>
      <c r="FT22" s="526">
        <f t="shared" si="168"/>
        <v>0</v>
      </c>
      <c r="FU22" s="524"/>
      <c r="FV22" s="525" t="e">
        <f t="shared" si="57"/>
        <v>#DIV/0!</v>
      </c>
      <c r="FW22" s="526">
        <f t="shared" si="169"/>
        <v>0</v>
      </c>
      <c r="FX22" s="524"/>
      <c r="FY22" s="525" t="e">
        <f t="shared" si="58"/>
        <v>#DIV/0!</v>
      </c>
      <c r="FZ22" s="526">
        <f t="shared" si="170"/>
        <v>0</v>
      </c>
      <c r="GA22" s="524"/>
      <c r="GB22" s="525" t="e">
        <f t="shared" si="59"/>
        <v>#DIV/0!</v>
      </c>
      <c r="GC22" s="526">
        <f t="shared" si="171"/>
        <v>0</v>
      </c>
      <c r="GD22" s="524"/>
      <c r="GE22" s="525" t="e">
        <f t="shared" si="60"/>
        <v>#DIV/0!</v>
      </c>
      <c r="GF22" s="526">
        <f t="shared" si="172"/>
        <v>0</v>
      </c>
      <c r="GG22" s="524"/>
      <c r="GH22" s="525" t="e">
        <f t="shared" si="61"/>
        <v>#DIV/0!</v>
      </c>
      <c r="GI22" s="526">
        <f t="shared" si="173"/>
        <v>0</v>
      </c>
      <c r="GJ22" s="524"/>
      <c r="GK22" s="525" t="e">
        <f t="shared" si="62"/>
        <v>#DIV/0!</v>
      </c>
      <c r="GL22" s="526">
        <f t="shared" si="174"/>
        <v>0</v>
      </c>
      <c r="GM22" s="524"/>
      <c r="GN22" s="525" t="e">
        <f t="shared" si="63"/>
        <v>#DIV/0!</v>
      </c>
      <c r="GO22" s="526">
        <f t="shared" si="175"/>
        <v>0</v>
      </c>
      <c r="GP22" s="524"/>
      <c r="GQ22" s="525" t="e">
        <f t="shared" si="64"/>
        <v>#DIV/0!</v>
      </c>
      <c r="GR22" s="526">
        <f t="shared" si="176"/>
        <v>0</v>
      </c>
      <c r="GS22" s="524"/>
      <c r="GT22" s="525" t="e">
        <f t="shared" si="65"/>
        <v>#DIV/0!</v>
      </c>
      <c r="GU22" s="526">
        <f t="shared" si="177"/>
        <v>0</v>
      </c>
      <c r="GV22" s="524"/>
      <c r="GW22" s="525" t="e">
        <f t="shared" si="66"/>
        <v>#DIV/0!</v>
      </c>
      <c r="GX22" s="526">
        <f t="shared" si="178"/>
        <v>0</v>
      </c>
      <c r="GY22" s="524"/>
      <c r="GZ22" s="525" t="e">
        <f t="shared" si="67"/>
        <v>#DIV/0!</v>
      </c>
      <c r="HA22" s="526">
        <f t="shared" si="179"/>
        <v>0</v>
      </c>
      <c r="HB22" s="524"/>
      <c r="HC22" s="525" t="e">
        <f t="shared" si="68"/>
        <v>#DIV/0!</v>
      </c>
      <c r="HD22" s="526">
        <f t="shared" si="180"/>
        <v>0</v>
      </c>
      <c r="HE22" s="524"/>
      <c r="HF22" s="525" t="e">
        <f t="shared" si="69"/>
        <v>#DIV/0!</v>
      </c>
      <c r="HG22" s="526">
        <f t="shared" si="181"/>
        <v>0</v>
      </c>
      <c r="HH22" s="524"/>
      <c r="HI22" s="525" t="e">
        <f t="shared" si="70"/>
        <v>#DIV/0!</v>
      </c>
      <c r="HJ22" s="526">
        <f t="shared" si="182"/>
        <v>0</v>
      </c>
      <c r="HK22" s="524"/>
      <c r="HL22" s="525" t="e">
        <f t="shared" si="71"/>
        <v>#DIV/0!</v>
      </c>
      <c r="HM22" s="526">
        <f t="shared" si="183"/>
        <v>0</v>
      </c>
      <c r="HN22" s="524"/>
      <c r="HO22" s="525" t="e">
        <f t="shared" si="72"/>
        <v>#DIV/0!</v>
      </c>
      <c r="HP22" s="526">
        <f t="shared" si="184"/>
        <v>0</v>
      </c>
      <c r="HQ22" s="524"/>
      <c r="HR22" s="525" t="e">
        <f t="shared" si="73"/>
        <v>#DIV/0!</v>
      </c>
      <c r="HS22" s="526">
        <f t="shared" si="185"/>
        <v>0</v>
      </c>
      <c r="HT22" s="524"/>
      <c r="HU22" s="525" t="e">
        <f t="shared" si="74"/>
        <v>#DIV/0!</v>
      </c>
      <c r="HV22" s="526">
        <f t="shared" si="186"/>
        <v>0</v>
      </c>
      <c r="HW22" s="524"/>
      <c r="HX22" s="525" t="e">
        <f t="shared" si="75"/>
        <v>#DIV/0!</v>
      </c>
      <c r="HY22" s="526">
        <f t="shared" si="187"/>
        <v>0</v>
      </c>
      <c r="HZ22" s="524"/>
      <c r="IA22" s="525" t="e">
        <f t="shared" si="76"/>
        <v>#DIV/0!</v>
      </c>
      <c r="IB22" s="526">
        <f t="shared" si="188"/>
        <v>0</v>
      </c>
      <c r="IC22" s="524"/>
      <c r="ID22" s="525" t="e">
        <f t="shared" si="77"/>
        <v>#DIV/0!</v>
      </c>
      <c r="IE22" s="526">
        <f t="shared" si="189"/>
        <v>0</v>
      </c>
      <c r="IF22" s="524"/>
      <c r="IG22" s="525" t="e">
        <f t="shared" si="78"/>
        <v>#DIV/0!</v>
      </c>
      <c r="IH22" s="526">
        <f t="shared" si="190"/>
        <v>0</v>
      </c>
      <c r="II22" s="524"/>
      <c r="IJ22" s="525" t="e">
        <f t="shared" si="79"/>
        <v>#DIV/0!</v>
      </c>
      <c r="IK22" s="526">
        <f t="shared" si="191"/>
        <v>0</v>
      </c>
      <c r="IL22" s="524"/>
      <c r="IM22" s="525" t="e">
        <f t="shared" si="80"/>
        <v>#DIV/0!</v>
      </c>
      <c r="IN22" s="526">
        <f t="shared" si="192"/>
        <v>0</v>
      </c>
      <c r="IO22" s="524"/>
      <c r="IP22" s="525" t="e">
        <f t="shared" si="81"/>
        <v>#DIV/0!</v>
      </c>
      <c r="IQ22" s="526">
        <f t="shared" si="193"/>
        <v>0</v>
      </c>
      <c r="IR22" s="524"/>
      <c r="IS22" s="525" t="e">
        <f t="shared" si="82"/>
        <v>#DIV/0!</v>
      </c>
      <c r="IT22" s="526">
        <f t="shared" si="194"/>
        <v>0</v>
      </c>
      <c r="IU22" s="524"/>
      <c r="IV22" s="525" t="e">
        <f t="shared" si="83"/>
        <v>#DIV/0!</v>
      </c>
      <c r="IW22" s="526">
        <f t="shared" si="195"/>
        <v>0</v>
      </c>
      <c r="IX22" s="524"/>
      <c r="IY22" s="525" t="e">
        <f t="shared" si="84"/>
        <v>#DIV/0!</v>
      </c>
      <c r="IZ22" s="526">
        <f t="shared" si="196"/>
        <v>0</v>
      </c>
      <c r="JA22" s="524"/>
      <c r="JB22" s="525" t="e">
        <f t="shared" si="85"/>
        <v>#DIV/0!</v>
      </c>
      <c r="JC22" s="526">
        <f t="shared" si="197"/>
        <v>0</v>
      </c>
      <c r="JD22" s="524"/>
      <c r="JE22" s="525" t="e">
        <f t="shared" si="86"/>
        <v>#DIV/0!</v>
      </c>
      <c r="JF22" s="526">
        <f t="shared" si="198"/>
        <v>0</v>
      </c>
      <c r="JG22" s="524"/>
      <c r="JH22" s="525" t="e">
        <f t="shared" si="87"/>
        <v>#DIV/0!</v>
      </c>
      <c r="JI22" s="526">
        <f t="shared" si="199"/>
        <v>0</v>
      </c>
      <c r="JJ22" s="524"/>
      <c r="JK22" s="526" t="str">
        <f t="shared" si="88"/>
        <v>0</v>
      </c>
      <c r="JL22" s="526" t="str">
        <f t="shared" si="89"/>
        <v>0</v>
      </c>
      <c r="JM22" s="524"/>
      <c r="JN22" s="526" t="str">
        <f t="shared" si="90"/>
        <v>0</v>
      </c>
      <c r="JO22" s="526" t="str">
        <f t="shared" si="91"/>
        <v>0</v>
      </c>
      <c r="JP22" s="524"/>
      <c r="JQ22" s="526" t="str">
        <f t="shared" si="92"/>
        <v>0</v>
      </c>
      <c r="JR22" s="526" t="str">
        <f t="shared" si="93"/>
        <v>0</v>
      </c>
      <c r="JS22" s="524"/>
      <c r="JT22" s="526" t="str">
        <f t="shared" si="94"/>
        <v>0</v>
      </c>
      <c r="JU22" s="526" t="str">
        <f t="shared" si="95"/>
        <v>0</v>
      </c>
      <c r="JV22" s="524"/>
      <c r="JW22" s="526" t="str">
        <f t="shared" si="96"/>
        <v>0</v>
      </c>
      <c r="JX22" s="526" t="str">
        <f t="shared" si="97"/>
        <v>0</v>
      </c>
      <c r="JY22" s="524"/>
      <c r="JZ22" s="526" t="str">
        <f t="shared" si="98"/>
        <v>0</v>
      </c>
      <c r="KA22" s="526" t="str">
        <f t="shared" si="99"/>
        <v>0</v>
      </c>
      <c r="KB22" s="524"/>
      <c r="KC22" s="526" t="str">
        <f t="shared" si="100"/>
        <v>0</v>
      </c>
      <c r="KD22" s="526" t="str">
        <f t="shared" si="101"/>
        <v>0</v>
      </c>
      <c r="KE22" s="524"/>
      <c r="KF22" s="526" t="str">
        <f t="shared" si="102"/>
        <v>0</v>
      </c>
      <c r="KG22" s="526" t="str">
        <f t="shared" si="103"/>
        <v>0</v>
      </c>
      <c r="KH22" s="524"/>
      <c r="KI22" s="526" t="str">
        <f t="shared" si="104"/>
        <v>0</v>
      </c>
      <c r="KJ22" s="526" t="str">
        <f t="shared" si="105"/>
        <v>0</v>
      </c>
      <c r="KK22" s="524"/>
      <c r="KL22" s="526" t="str">
        <f t="shared" si="106"/>
        <v>0</v>
      </c>
      <c r="KM22" s="526" t="str">
        <f t="shared" si="107"/>
        <v>0</v>
      </c>
      <c r="KN22" s="524"/>
      <c r="KO22" s="526" t="str">
        <f t="shared" si="108"/>
        <v>0</v>
      </c>
      <c r="KP22" s="526" t="str">
        <f t="shared" si="109"/>
        <v>0</v>
      </c>
      <c r="KQ22" s="524"/>
      <c r="KR22" s="526" t="str">
        <f t="shared" si="110"/>
        <v>0</v>
      </c>
      <c r="KS22" s="526" t="str">
        <f t="shared" si="111"/>
        <v>0</v>
      </c>
      <c r="KT22" s="526">
        <f t="shared" si="201"/>
        <v>0</v>
      </c>
      <c r="KU22" s="526">
        <f t="shared" si="202"/>
        <v>0</v>
      </c>
      <c r="KV22" s="262">
        <f t="shared" si="204"/>
        <v>18.899999999999977</v>
      </c>
    </row>
    <row r="23" spans="1:308">
      <c r="A23" s="263">
        <f t="shared" si="200"/>
        <v>45915</v>
      </c>
      <c r="B23" s="264" t="str">
        <f>+Report1!B23</f>
        <v>STOP</v>
      </c>
      <c r="C23" s="264" t="str">
        <f>+Report1!C23</f>
        <v>12</v>
      </c>
      <c r="D23" s="265">
        <f>+Report1!P23</f>
        <v>0</v>
      </c>
      <c r="E23" s="556">
        <f>+Report1!R23</f>
        <v>0</v>
      </c>
      <c r="F23" s="524"/>
      <c r="G23" s="525" t="e">
        <f t="shared" si="0"/>
        <v>#DIV/0!</v>
      </c>
      <c r="H23" s="526">
        <f t="shared" si="113"/>
        <v>0</v>
      </c>
      <c r="I23" s="524"/>
      <c r="J23" s="525" t="e">
        <f t="shared" si="1"/>
        <v>#DIV/0!</v>
      </c>
      <c r="K23" s="526">
        <f t="shared" si="114"/>
        <v>0</v>
      </c>
      <c r="L23" s="524"/>
      <c r="M23" s="525" t="e">
        <f t="shared" si="2"/>
        <v>#DIV/0!</v>
      </c>
      <c r="N23" s="526">
        <f t="shared" si="115"/>
        <v>0</v>
      </c>
      <c r="O23" s="524"/>
      <c r="P23" s="525" t="e">
        <f t="shared" si="3"/>
        <v>#DIV/0!</v>
      </c>
      <c r="Q23" s="526">
        <f t="shared" si="116"/>
        <v>0</v>
      </c>
      <c r="R23" s="524"/>
      <c r="S23" s="525" t="e">
        <f t="shared" si="4"/>
        <v>#DIV/0!</v>
      </c>
      <c r="T23" s="526">
        <f t="shared" si="117"/>
        <v>0</v>
      </c>
      <c r="U23" s="524"/>
      <c r="V23" s="525" t="e">
        <f t="shared" si="5"/>
        <v>#DIV/0!</v>
      </c>
      <c r="W23" s="526">
        <f t="shared" si="118"/>
        <v>0</v>
      </c>
      <c r="X23" s="524"/>
      <c r="Y23" s="525" t="e">
        <f t="shared" si="6"/>
        <v>#DIV/0!</v>
      </c>
      <c r="Z23" s="526">
        <f t="shared" si="119"/>
        <v>0</v>
      </c>
      <c r="AA23" s="524"/>
      <c r="AB23" s="525" t="e">
        <f t="shared" si="7"/>
        <v>#DIV/0!</v>
      </c>
      <c r="AC23" s="526">
        <f t="shared" si="120"/>
        <v>0</v>
      </c>
      <c r="AD23" s="524"/>
      <c r="AE23" s="525" t="e">
        <f t="shared" si="8"/>
        <v>#DIV/0!</v>
      </c>
      <c r="AF23" s="526">
        <f t="shared" si="121"/>
        <v>0</v>
      </c>
      <c r="AG23" s="524"/>
      <c r="AH23" s="525" t="e">
        <f t="shared" si="9"/>
        <v>#DIV/0!</v>
      </c>
      <c r="AI23" s="526">
        <f t="shared" si="122"/>
        <v>0</v>
      </c>
      <c r="AJ23" s="524"/>
      <c r="AK23" s="525" t="e">
        <f t="shared" si="10"/>
        <v>#DIV/0!</v>
      </c>
      <c r="AL23" s="526">
        <f t="shared" si="123"/>
        <v>0</v>
      </c>
      <c r="AM23" s="524"/>
      <c r="AN23" s="525" t="e">
        <f t="shared" si="11"/>
        <v>#DIV/0!</v>
      </c>
      <c r="AO23" s="526">
        <f t="shared" si="124"/>
        <v>0</v>
      </c>
      <c r="AP23" s="524"/>
      <c r="AQ23" s="525" t="e">
        <f t="shared" si="12"/>
        <v>#DIV/0!</v>
      </c>
      <c r="AR23" s="526">
        <f t="shared" si="125"/>
        <v>0</v>
      </c>
      <c r="AS23" s="524"/>
      <c r="AT23" s="525" t="e">
        <f t="shared" si="13"/>
        <v>#DIV/0!</v>
      </c>
      <c r="AU23" s="526">
        <f t="shared" si="126"/>
        <v>0</v>
      </c>
      <c r="AV23" s="524"/>
      <c r="AW23" s="525" t="e">
        <f t="shared" si="14"/>
        <v>#DIV/0!</v>
      </c>
      <c r="AX23" s="526">
        <f t="shared" si="127"/>
        <v>0</v>
      </c>
      <c r="AY23" s="524">
        <v>0</v>
      </c>
      <c r="AZ23" s="525" t="e">
        <f t="shared" si="15"/>
        <v>#DIV/0!</v>
      </c>
      <c r="BA23" s="526">
        <f t="shared" si="128"/>
        <v>0</v>
      </c>
      <c r="BB23" s="524"/>
      <c r="BC23" s="525" t="e">
        <f t="shared" si="16"/>
        <v>#DIV/0!</v>
      </c>
      <c r="BD23" s="526">
        <f t="shared" si="129"/>
        <v>0</v>
      </c>
      <c r="BE23" s="524"/>
      <c r="BF23" s="525" t="e">
        <f t="shared" si="17"/>
        <v>#DIV/0!</v>
      </c>
      <c r="BG23" s="526">
        <f t="shared" si="130"/>
        <v>0</v>
      </c>
      <c r="BH23" s="524"/>
      <c r="BI23" s="525" t="e">
        <f t="shared" si="18"/>
        <v>#DIV/0!</v>
      </c>
      <c r="BJ23" s="526">
        <f t="shared" si="131"/>
        <v>0</v>
      </c>
      <c r="BK23" s="524"/>
      <c r="BL23" s="525" t="e">
        <f t="shared" si="19"/>
        <v>#DIV/0!</v>
      </c>
      <c r="BM23" s="526">
        <f t="shared" si="132"/>
        <v>0</v>
      </c>
      <c r="BN23" s="524"/>
      <c r="BO23" s="525" t="e">
        <f t="shared" si="20"/>
        <v>#DIV/0!</v>
      </c>
      <c r="BP23" s="526">
        <f t="shared" si="133"/>
        <v>0</v>
      </c>
      <c r="BQ23" s="524"/>
      <c r="BR23" s="525" t="e">
        <f t="shared" si="21"/>
        <v>#DIV/0!</v>
      </c>
      <c r="BS23" s="526">
        <f t="shared" si="134"/>
        <v>0</v>
      </c>
      <c r="BT23" s="524"/>
      <c r="BU23" s="525" t="e">
        <f t="shared" si="22"/>
        <v>#DIV/0!</v>
      </c>
      <c r="BV23" s="526">
        <f t="shared" si="135"/>
        <v>0</v>
      </c>
      <c r="BW23" s="524"/>
      <c r="BX23" s="525" t="e">
        <f t="shared" si="23"/>
        <v>#DIV/0!</v>
      </c>
      <c r="BY23" s="526">
        <f t="shared" si="136"/>
        <v>0</v>
      </c>
      <c r="BZ23" s="524"/>
      <c r="CA23" s="525" t="e">
        <f t="shared" si="24"/>
        <v>#DIV/0!</v>
      </c>
      <c r="CB23" s="526">
        <f t="shared" si="137"/>
        <v>0</v>
      </c>
      <c r="CC23" s="524"/>
      <c r="CD23" s="525" t="e">
        <f t="shared" si="25"/>
        <v>#DIV/0!</v>
      </c>
      <c r="CE23" s="526">
        <f t="shared" si="138"/>
        <v>0</v>
      </c>
      <c r="CF23" s="524"/>
      <c r="CG23" s="525" t="e">
        <f t="shared" si="26"/>
        <v>#DIV/0!</v>
      </c>
      <c r="CH23" s="526">
        <f t="shared" si="139"/>
        <v>0</v>
      </c>
      <c r="CI23" s="524"/>
      <c r="CJ23" s="525" t="e">
        <f t="shared" si="27"/>
        <v>#DIV/0!</v>
      </c>
      <c r="CK23" s="526">
        <f t="shared" si="140"/>
        <v>0</v>
      </c>
      <c r="CL23" s="524"/>
      <c r="CM23" s="525" t="e">
        <f t="shared" si="28"/>
        <v>#DIV/0!</v>
      </c>
      <c r="CN23" s="526">
        <f t="shared" si="141"/>
        <v>0</v>
      </c>
      <c r="CO23" s="524"/>
      <c r="CP23" s="525" t="e">
        <f t="shared" si="29"/>
        <v>#DIV/0!</v>
      </c>
      <c r="CQ23" s="526">
        <f t="shared" si="142"/>
        <v>0</v>
      </c>
      <c r="CR23" s="524"/>
      <c r="CS23" s="525" t="e">
        <f t="shared" si="30"/>
        <v>#DIV/0!</v>
      </c>
      <c r="CT23" s="526">
        <f t="shared" si="143"/>
        <v>0</v>
      </c>
      <c r="CU23" s="524"/>
      <c r="CV23" s="525" t="e">
        <f t="shared" si="31"/>
        <v>#DIV/0!</v>
      </c>
      <c r="CW23" s="526">
        <f t="shared" si="144"/>
        <v>0</v>
      </c>
      <c r="CX23" s="524"/>
      <c r="CY23" s="525" t="e">
        <f t="shared" si="32"/>
        <v>#DIV/0!</v>
      </c>
      <c r="CZ23" s="526">
        <f t="shared" si="145"/>
        <v>0</v>
      </c>
      <c r="DA23" s="524"/>
      <c r="DB23" s="525" t="e">
        <f t="shared" si="33"/>
        <v>#DIV/0!</v>
      </c>
      <c r="DC23" s="526">
        <f t="shared" si="146"/>
        <v>0</v>
      </c>
      <c r="DD23" s="524"/>
      <c r="DE23" s="525" t="e">
        <f t="shared" si="34"/>
        <v>#DIV/0!</v>
      </c>
      <c r="DF23" s="526">
        <f t="shared" si="147"/>
        <v>0</v>
      </c>
      <c r="DG23" s="524"/>
      <c r="DH23" s="525" t="e">
        <f t="shared" si="35"/>
        <v>#DIV/0!</v>
      </c>
      <c r="DI23" s="526">
        <f t="shared" si="203"/>
        <v>0</v>
      </c>
      <c r="DJ23" s="524"/>
      <c r="DK23" s="525" t="e">
        <f t="shared" si="36"/>
        <v>#DIV/0!</v>
      </c>
      <c r="DL23" s="526">
        <f t="shared" si="148"/>
        <v>0</v>
      </c>
      <c r="DM23" s="524"/>
      <c r="DN23" s="525" t="e">
        <f t="shared" si="37"/>
        <v>#DIV/0!</v>
      </c>
      <c r="DO23" s="526">
        <f t="shared" si="149"/>
        <v>0</v>
      </c>
      <c r="DP23" s="524"/>
      <c r="DQ23" s="525" t="e">
        <f t="shared" si="38"/>
        <v>#DIV/0!</v>
      </c>
      <c r="DR23" s="526">
        <f t="shared" si="150"/>
        <v>0</v>
      </c>
      <c r="DS23" s="524"/>
      <c r="DT23" s="525" t="e">
        <f t="shared" si="39"/>
        <v>#DIV/0!</v>
      </c>
      <c r="DU23" s="526">
        <f t="shared" si="151"/>
        <v>0</v>
      </c>
      <c r="DV23" s="524"/>
      <c r="DW23" s="525" t="e">
        <f t="shared" si="40"/>
        <v>#DIV/0!</v>
      </c>
      <c r="DX23" s="526">
        <f t="shared" si="152"/>
        <v>0</v>
      </c>
      <c r="DY23" s="524"/>
      <c r="DZ23" s="525" t="e">
        <f t="shared" si="41"/>
        <v>#DIV/0!</v>
      </c>
      <c r="EA23" s="526">
        <f t="shared" si="153"/>
        <v>0</v>
      </c>
      <c r="EB23" s="524"/>
      <c r="EC23" s="525" t="e">
        <f t="shared" si="42"/>
        <v>#DIV/0!</v>
      </c>
      <c r="ED23" s="526">
        <f t="shared" si="154"/>
        <v>0</v>
      </c>
      <c r="EE23" s="524"/>
      <c r="EF23" s="525" t="e">
        <f t="shared" si="43"/>
        <v>#DIV/0!</v>
      </c>
      <c r="EG23" s="526">
        <f t="shared" si="155"/>
        <v>0</v>
      </c>
      <c r="EH23" s="524"/>
      <c r="EI23" s="525" t="e">
        <f t="shared" si="44"/>
        <v>#DIV/0!</v>
      </c>
      <c r="EJ23" s="526">
        <f t="shared" si="156"/>
        <v>0</v>
      </c>
      <c r="EK23" s="524"/>
      <c r="EL23" s="525" t="e">
        <f t="shared" si="45"/>
        <v>#DIV/0!</v>
      </c>
      <c r="EM23" s="526">
        <f t="shared" si="157"/>
        <v>0</v>
      </c>
      <c r="EN23" s="524"/>
      <c r="EO23" s="525" t="e">
        <f t="shared" si="46"/>
        <v>#DIV/0!</v>
      </c>
      <c r="EP23" s="526">
        <f t="shared" si="158"/>
        <v>0</v>
      </c>
      <c r="EQ23" s="524"/>
      <c r="ER23" s="525" t="e">
        <f t="shared" si="47"/>
        <v>#DIV/0!</v>
      </c>
      <c r="ES23" s="526">
        <f t="shared" si="159"/>
        <v>0</v>
      </c>
      <c r="ET23" s="524"/>
      <c r="EU23" s="525" t="e">
        <f t="shared" si="48"/>
        <v>#DIV/0!</v>
      </c>
      <c r="EV23" s="526">
        <f t="shared" si="160"/>
        <v>0</v>
      </c>
      <c r="EW23" s="524"/>
      <c r="EX23" s="525" t="e">
        <f t="shared" si="49"/>
        <v>#DIV/0!</v>
      </c>
      <c r="EY23" s="526">
        <f t="shared" si="161"/>
        <v>0</v>
      </c>
      <c r="EZ23" s="524"/>
      <c r="FA23" s="525" t="e">
        <f t="shared" si="50"/>
        <v>#DIV/0!</v>
      </c>
      <c r="FB23" s="526">
        <f t="shared" si="162"/>
        <v>0</v>
      </c>
      <c r="FC23" s="524"/>
      <c r="FD23" s="525" t="e">
        <f t="shared" si="51"/>
        <v>#DIV/0!</v>
      </c>
      <c r="FE23" s="526">
        <f t="shared" si="163"/>
        <v>0</v>
      </c>
      <c r="FF23" s="524"/>
      <c r="FG23" s="525" t="e">
        <f t="shared" si="52"/>
        <v>#DIV/0!</v>
      </c>
      <c r="FH23" s="526">
        <f t="shared" si="164"/>
        <v>0</v>
      </c>
      <c r="FI23" s="524"/>
      <c r="FJ23" s="525" t="e">
        <f t="shared" si="53"/>
        <v>#DIV/0!</v>
      </c>
      <c r="FK23" s="526">
        <f t="shared" si="165"/>
        <v>0</v>
      </c>
      <c r="FL23" s="524"/>
      <c r="FM23" s="525" t="e">
        <f t="shared" si="54"/>
        <v>#DIV/0!</v>
      </c>
      <c r="FN23" s="526">
        <f t="shared" si="166"/>
        <v>0</v>
      </c>
      <c r="FO23" s="524"/>
      <c r="FP23" s="525" t="e">
        <f t="shared" si="55"/>
        <v>#DIV/0!</v>
      </c>
      <c r="FQ23" s="526">
        <f t="shared" si="167"/>
        <v>0</v>
      </c>
      <c r="FR23" s="524"/>
      <c r="FS23" s="525" t="e">
        <f t="shared" si="56"/>
        <v>#DIV/0!</v>
      </c>
      <c r="FT23" s="526">
        <f t="shared" si="168"/>
        <v>0</v>
      </c>
      <c r="FU23" s="524"/>
      <c r="FV23" s="525" t="e">
        <f t="shared" si="57"/>
        <v>#DIV/0!</v>
      </c>
      <c r="FW23" s="526">
        <f t="shared" si="169"/>
        <v>0</v>
      </c>
      <c r="FX23" s="524"/>
      <c r="FY23" s="525" t="e">
        <f t="shared" si="58"/>
        <v>#DIV/0!</v>
      </c>
      <c r="FZ23" s="526">
        <f t="shared" si="170"/>
        <v>0</v>
      </c>
      <c r="GA23" s="524"/>
      <c r="GB23" s="525" t="e">
        <f t="shared" si="59"/>
        <v>#DIV/0!</v>
      </c>
      <c r="GC23" s="526">
        <f t="shared" si="171"/>
        <v>0</v>
      </c>
      <c r="GD23" s="524"/>
      <c r="GE23" s="525" t="e">
        <f t="shared" si="60"/>
        <v>#DIV/0!</v>
      </c>
      <c r="GF23" s="526">
        <f t="shared" si="172"/>
        <v>0</v>
      </c>
      <c r="GG23" s="524"/>
      <c r="GH23" s="525" t="e">
        <f t="shared" si="61"/>
        <v>#DIV/0!</v>
      </c>
      <c r="GI23" s="526">
        <f t="shared" si="173"/>
        <v>0</v>
      </c>
      <c r="GJ23" s="524"/>
      <c r="GK23" s="525" t="e">
        <f t="shared" si="62"/>
        <v>#DIV/0!</v>
      </c>
      <c r="GL23" s="526">
        <f t="shared" si="174"/>
        <v>0</v>
      </c>
      <c r="GM23" s="524"/>
      <c r="GN23" s="525" t="e">
        <f t="shared" si="63"/>
        <v>#DIV/0!</v>
      </c>
      <c r="GO23" s="526">
        <f t="shared" si="175"/>
        <v>0</v>
      </c>
      <c r="GP23" s="524"/>
      <c r="GQ23" s="525" t="e">
        <f t="shared" si="64"/>
        <v>#DIV/0!</v>
      </c>
      <c r="GR23" s="526">
        <f t="shared" si="176"/>
        <v>0</v>
      </c>
      <c r="GS23" s="524"/>
      <c r="GT23" s="525" t="e">
        <f t="shared" si="65"/>
        <v>#DIV/0!</v>
      </c>
      <c r="GU23" s="526">
        <f t="shared" si="177"/>
        <v>0</v>
      </c>
      <c r="GV23" s="524"/>
      <c r="GW23" s="525" t="e">
        <f t="shared" si="66"/>
        <v>#DIV/0!</v>
      </c>
      <c r="GX23" s="526">
        <f t="shared" si="178"/>
        <v>0</v>
      </c>
      <c r="GY23" s="524"/>
      <c r="GZ23" s="525" t="e">
        <f t="shared" si="67"/>
        <v>#DIV/0!</v>
      </c>
      <c r="HA23" s="526">
        <f t="shared" si="179"/>
        <v>0</v>
      </c>
      <c r="HB23" s="524"/>
      <c r="HC23" s="525" t="e">
        <f t="shared" si="68"/>
        <v>#DIV/0!</v>
      </c>
      <c r="HD23" s="526">
        <f t="shared" si="180"/>
        <v>0</v>
      </c>
      <c r="HE23" s="524"/>
      <c r="HF23" s="525" t="e">
        <f t="shared" si="69"/>
        <v>#DIV/0!</v>
      </c>
      <c r="HG23" s="526">
        <f t="shared" si="181"/>
        <v>0</v>
      </c>
      <c r="HH23" s="524"/>
      <c r="HI23" s="525" t="e">
        <f t="shared" si="70"/>
        <v>#DIV/0!</v>
      </c>
      <c r="HJ23" s="526">
        <f t="shared" si="182"/>
        <v>0</v>
      </c>
      <c r="HK23" s="524"/>
      <c r="HL23" s="525" t="e">
        <f t="shared" si="71"/>
        <v>#DIV/0!</v>
      </c>
      <c r="HM23" s="526">
        <f t="shared" si="183"/>
        <v>0</v>
      </c>
      <c r="HN23" s="524"/>
      <c r="HO23" s="525" t="e">
        <f t="shared" si="72"/>
        <v>#DIV/0!</v>
      </c>
      <c r="HP23" s="526">
        <f t="shared" si="184"/>
        <v>0</v>
      </c>
      <c r="HQ23" s="524"/>
      <c r="HR23" s="525" t="e">
        <f t="shared" si="73"/>
        <v>#DIV/0!</v>
      </c>
      <c r="HS23" s="526">
        <f t="shared" si="185"/>
        <v>0</v>
      </c>
      <c r="HT23" s="524"/>
      <c r="HU23" s="525" t="e">
        <f t="shared" si="74"/>
        <v>#DIV/0!</v>
      </c>
      <c r="HV23" s="526">
        <f t="shared" si="186"/>
        <v>0</v>
      </c>
      <c r="HW23" s="524"/>
      <c r="HX23" s="525" t="e">
        <f t="shared" si="75"/>
        <v>#DIV/0!</v>
      </c>
      <c r="HY23" s="526">
        <f t="shared" si="187"/>
        <v>0</v>
      </c>
      <c r="HZ23" s="524"/>
      <c r="IA23" s="525" t="e">
        <f t="shared" si="76"/>
        <v>#DIV/0!</v>
      </c>
      <c r="IB23" s="526">
        <f t="shared" si="188"/>
        <v>0</v>
      </c>
      <c r="IC23" s="524"/>
      <c r="ID23" s="525" t="e">
        <f t="shared" si="77"/>
        <v>#DIV/0!</v>
      </c>
      <c r="IE23" s="526">
        <f t="shared" si="189"/>
        <v>0</v>
      </c>
      <c r="IF23" s="524"/>
      <c r="IG23" s="525" t="e">
        <f t="shared" si="78"/>
        <v>#DIV/0!</v>
      </c>
      <c r="IH23" s="526">
        <f t="shared" si="190"/>
        <v>0</v>
      </c>
      <c r="II23" s="524"/>
      <c r="IJ23" s="525" t="e">
        <f t="shared" si="79"/>
        <v>#DIV/0!</v>
      </c>
      <c r="IK23" s="526">
        <f t="shared" si="191"/>
        <v>0</v>
      </c>
      <c r="IL23" s="524"/>
      <c r="IM23" s="525" t="e">
        <f t="shared" si="80"/>
        <v>#DIV/0!</v>
      </c>
      <c r="IN23" s="526">
        <f t="shared" si="192"/>
        <v>0</v>
      </c>
      <c r="IO23" s="524"/>
      <c r="IP23" s="525" t="e">
        <f t="shared" si="81"/>
        <v>#DIV/0!</v>
      </c>
      <c r="IQ23" s="526">
        <f t="shared" si="193"/>
        <v>0</v>
      </c>
      <c r="IR23" s="524"/>
      <c r="IS23" s="525" t="e">
        <f t="shared" si="82"/>
        <v>#DIV/0!</v>
      </c>
      <c r="IT23" s="526">
        <f t="shared" si="194"/>
        <v>0</v>
      </c>
      <c r="IU23" s="524"/>
      <c r="IV23" s="525" t="e">
        <f t="shared" si="83"/>
        <v>#DIV/0!</v>
      </c>
      <c r="IW23" s="526">
        <f t="shared" si="195"/>
        <v>0</v>
      </c>
      <c r="IX23" s="524"/>
      <c r="IY23" s="525" t="e">
        <f t="shared" si="84"/>
        <v>#DIV/0!</v>
      </c>
      <c r="IZ23" s="526">
        <f t="shared" si="196"/>
        <v>0</v>
      </c>
      <c r="JA23" s="524"/>
      <c r="JB23" s="525" t="e">
        <f t="shared" si="85"/>
        <v>#DIV/0!</v>
      </c>
      <c r="JC23" s="526">
        <f t="shared" si="197"/>
        <v>0</v>
      </c>
      <c r="JD23" s="524"/>
      <c r="JE23" s="525" t="e">
        <f t="shared" si="86"/>
        <v>#DIV/0!</v>
      </c>
      <c r="JF23" s="526">
        <f t="shared" si="198"/>
        <v>0</v>
      </c>
      <c r="JG23" s="524"/>
      <c r="JH23" s="525" t="e">
        <f t="shared" si="87"/>
        <v>#DIV/0!</v>
      </c>
      <c r="JI23" s="526">
        <f t="shared" si="199"/>
        <v>0</v>
      </c>
      <c r="JJ23" s="524"/>
      <c r="JK23" s="526" t="str">
        <f t="shared" si="88"/>
        <v>0</v>
      </c>
      <c r="JL23" s="526" t="str">
        <f t="shared" si="89"/>
        <v>0</v>
      </c>
      <c r="JM23" s="524"/>
      <c r="JN23" s="526" t="str">
        <f t="shared" si="90"/>
        <v>0</v>
      </c>
      <c r="JO23" s="526" t="str">
        <f t="shared" si="91"/>
        <v>0</v>
      </c>
      <c r="JP23" s="524"/>
      <c r="JQ23" s="526" t="str">
        <f t="shared" si="92"/>
        <v>0</v>
      </c>
      <c r="JR23" s="526" t="str">
        <f t="shared" si="93"/>
        <v>0</v>
      </c>
      <c r="JS23" s="524"/>
      <c r="JT23" s="526" t="str">
        <f t="shared" si="94"/>
        <v>0</v>
      </c>
      <c r="JU23" s="526" t="str">
        <f t="shared" si="95"/>
        <v>0</v>
      </c>
      <c r="JV23" s="524"/>
      <c r="JW23" s="526" t="str">
        <f t="shared" si="96"/>
        <v>0</v>
      </c>
      <c r="JX23" s="526" t="str">
        <f t="shared" si="97"/>
        <v>0</v>
      </c>
      <c r="JY23" s="524"/>
      <c r="JZ23" s="526" t="str">
        <f t="shared" si="98"/>
        <v>0</v>
      </c>
      <c r="KA23" s="526" t="str">
        <f t="shared" si="99"/>
        <v>0</v>
      </c>
      <c r="KB23" s="524"/>
      <c r="KC23" s="526" t="str">
        <f t="shared" si="100"/>
        <v>0</v>
      </c>
      <c r="KD23" s="526" t="str">
        <f t="shared" si="101"/>
        <v>0</v>
      </c>
      <c r="KE23" s="524"/>
      <c r="KF23" s="526" t="str">
        <f t="shared" si="102"/>
        <v>0</v>
      </c>
      <c r="KG23" s="526" t="str">
        <f t="shared" si="103"/>
        <v>0</v>
      </c>
      <c r="KH23" s="524"/>
      <c r="KI23" s="526" t="str">
        <f t="shared" si="104"/>
        <v>0</v>
      </c>
      <c r="KJ23" s="526" t="str">
        <f t="shared" si="105"/>
        <v>0</v>
      </c>
      <c r="KK23" s="524"/>
      <c r="KL23" s="526" t="str">
        <f t="shared" si="106"/>
        <v>0</v>
      </c>
      <c r="KM23" s="526" t="str">
        <f t="shared" si="107"/>
        <v>0</v>
      </c>
      <c r="KN23" s="524"/>
      <c r="KO23" s="526" t="str">
        <f t="shared" si="108"/>
        <v>0</v>
      </c>
      <c r="KP23" s="526" t="str">
        <f t="shared" si="109"/>
        <v>0</v>
      </c>
      <c r="KQ23" s="524"/>
      <c r="KR23" s="526" t="str">
        <f t="shared" si="110"/>
        <v>0</v>
      </c>
      <c r="KS23" s="526" t="str">
        <f t="shared" si="111"/>
        <v>0</v>
      </c>
      <c r="KT23" s="526">
        <f t="shared" si="201"/>
        <v>0</v>
      </c>
      <c r="KU23" s="526">
        <f t="shared" si="202"/>
        <v>0</v>
      </c>
      <c r="KV23" s="262">
        <f t="shared" si="204"/>
        <v>0</v>
      </c>
    </row>
    <row r="24" spans="1:308">
      <c r="A24" s="263">
        <f t="shared" si="200"/>
        <v>45916</v>
      </c>
      <c r="B24" s="264" t="str">
        <f>+Report1!B24</f>
        <v>STOP</v>
      </c>
      <c r="C24" s="264" t="str">
        <f>+Report1!C24</f>
        <v>12</v>
      </c>
      <c r="D24" s="265">
        <f>+Report1!P24</f>
        <v>0</v>
      </c>
      <c r="E24" s="556">
        <f>+Report1!R24</f>
        <v>0</v>
      </c>
      <c r="F24" s="524"/>
      <c r="G24" s="525" t="e">
        <f t="shared" si="0"/>
        <v>#DIV/0!</v>
      </c>
      <c r="H24" s="526">
        <f t="shared" si="113"/>
        <v>0</v>
      </c>
      <c r="I24" s="524"/>
      <c r="J24" s="525" t="e">
        <f t="shared" si="1"/>
        <v>#DIV/0!</v>
      </c>
      <c r="K24" s="526">
        <f t="shared" si="114"/>
        <v>0</v>
      </c>
      <c r="L24" s="524"/>
      <c r="M24" s="525" t="e">
        <f t="shared" si="2"/>
        <v>#DIV/0!</v>
      </c>
      <c r="N24" s="526">
        <f t="shared" si="115"/>
        <v>0</v>
      </c>
      <c r="O24" s="524"/>
      <c r="P24" s="525" t="e">
        <f t="shared" si="3"/>
        <v>#DIV/0!</v>
      </c>
      <c r="Q24" s="526">
        <f t="shared" si="116"/>
        <v>0</v>
      </c>
      <c r="R24" s="524"/>
      <c r="S24" s="525" t="e">
        <f t="shared" si="4"/>
        <v>#DIV/0!</v>
      </c>
      <c r="T24" s="526">
        <f t="shared" si="117"/>
        <v>0</v>
      </c>
      <c r="U24" s="524"/>
      <c r="V24" s="525" t="e">
        <f t="shared" si="5"/>
        <v>#DIV/0!</v>
      </c>
      <c r="W24" s="526">
        <f t="shared" si="118"/>
        <v>0</v>
      </c>
      <c r="X24" s="524"/>
      <c r="Y24" s="525" t="e">
        <f t="shared" si="6"/>
        <v>#DIV/0!</v>
      </c>
      <c r="Z24" s="526">
        <f t="shared" si="119"/>
        <v>0</v>
      </c>
      <c r="AA24" s="524"/>
      <c r="AB24" s="525" t="e">
        <f t="shared" si="7"/>
        <v>#DIV/0!</v>
      </c>
      <c r="AC24" s="526">
        <f t="shared" si="120"/>
        <v>0</v>
      </c>
      <c r="AD24" s="524"/>
      <c r="AE24" s="525" t="e">
        <f t="shared" si="8"/>
        <v>#DIV/0!</v>
      </c>
      <c r="AF24" s="526">
        <f t="shared" si="121"/>
        <v>0</v>
      </c>
      <c r="AG24" s="524"/>
      <c r="AH24" s="525" t="e">
        <f t="shared" si="9"/>
        <v>#DIV/0!</v>
      </c>
      <c r="AI24" s="526">
        <f t="shared" si="122"/>
        <v>0</v>
      </c>
      <c r="AJ24" s="524"/>
      <c r="AK24" s="525" t="e">
        <f t="shared" si="10"/>
        <v>#DIV/0!</v>
      </c>
      <c r="AL24" s="526">
        <f t="shared" si="123"/>
        <v>0</v>
      </c>
      <c r="AM24" s="524"/>
      <c r="AN24" s="525" t="e">
        <f t="shared" si="11"/>
        <v>#DIV/0!</v>
      </c>
      <c r="AO24" s="526">
        <f t="shared" si="124"/>
        <v>0</v>
      </c>
      <c r="AP24" s="524"/>
      <c r="AQ24" s="525" t="e">
        <f t="shared" si="12"/>
        <v>#DIV/0!</v>
      </c>
      <c r="AR24" s="526">
        <f t="shared" si="125"/>
        <v>0</v>
      </c>
      <c r="AS24" s="524"/>
      <c r="AT24" s="525" t="e">
        <f t="shared" si="13"/>
        <v>#DIV/0!</v>
      </c>
      <c r="AU24" s="526">
        <f t="shared" si="126"/>
        <v>0</v>
      </c>
      <c r="AV24" s="524"/>
      <c r="AW24" s="525" t="e">
        <f t="shared" si="14"/>
        <v>#DIV/0!</v>
      </c>
      <c r="AX24" s="526">
        <f t="shared" si="127"/>
        <v>0</v>
      </c>
      <c r="AY24" s="524">
        <v>0</v>
      </c>
      <c r="AZ24" s="525" t="e">
        <f t="shared" si="15"/>
        <v>#DIV/0!</v>
      </c>
      <c r="BA24" s="526">
        <f t="shared" si="128"/>
        <v>0</v>
      </c>
      <c r="BB24" s="524"/>
      <c r="BC24" s="525" t="e">
        <f t="shared" si="16"/>
        <v>#DIV/0!</v>
      </c>
      <c r="BD24" s="526">
        <f t="shared" si="129"/>
        <v>0</v>
      </c>
      <c r="BE24" s="524"/>
      <c r="BF24" s="525" t="e">
        <f t="shared" si="17"/>
        <v>#DIV/0!</v>
      </c>
      <c r="BG24" s="526">
        <f t="shared" si="130"/>
        <v>0</v>
      </c>
      <c r="BH24" s="524"/>
      <c r="BI24" s="525" t="e">
        <f t="shared" si="18"/>
        <v>#DIV/0!</v>
      </c>
      <c r="BJ24" s="526">
        <f t="shared" si="131"/>
        <v>0</v>
      </c>
      <c r="BK24" s="524"/>
      <c r="BL24" s="525" t="e">
        <f t="shared" si="19"/>
        <v>#DIV/0!</v>
      </c>
      <c r="BM24" s="526">
        <f t="shared" si="132"/>
        <v>0</v>
      </c>
      <c r="BN24" s="524"/>
      <c r="BO24" s="525" t="e">
        <f t="shared" si="20"/>
        <v>#DIV/0!</v>
      </c>
      <c r="BP24" s="526">
        <f t="shared" si="133"/>
        <v>0</v>
      </c>
      <c r="BQ24" s="524"/>
      <c r="BR24" s="525" t="e">
        <f t="shared" si="21"/>
        <v>#DIV/0!</v>
      </c>
      <c r="BS24" s="526">
        <f t="shared" si="134"/>
        <v>0</v>
      </c>
      <c r="BT24" s="524"/>
      <c r="BU24" s="525" t="e">
        <f t="shared" si="22"/>
        <v>#DIV/0!</v>
      </c>
      <c r="BV24" s="526">
        <f t="shared" si="135"/>
        <v>0</v>
      </c>
      <c r="BW24" s="524"/>
      <c r="BX24" s="525" t="e">
        <f t="shared" si="23"/>
        <v>#DIV/0!</v>
      </c>
      <c r="BY24" s="526">
        <f t="shared" si="136"/>
        <v>0</v>
      </c>
      <c r="BZ24" s="524"/>
      <c r="CA24" s="525" t="e">
        <f t="shared" si="24"/>
        <v>#DIV/0!</v>
      </c>
      <c r="CB24" s="526">
        <f t="shared" si="137"/>
        <v>0</v>
      </c>
      <c r="CC24" s="524"/>
      <c r="CD24" s="525" t="e">
        <f t="shared" si="25"/>
        <v>#DIV/0!</v>
      </c>
      <c r="CE24" s="526">
        <f t="shared" si="138"/>
        <v>0</v>
      </c>
      <c r="CF24" s="524"/>
      <c r="CG24" s="525" t="e">
        <f t="shared" si="26"/>
        <v>#DIV/0!</v>
      </c>
      <c r="CH24" s="526">
        <f t="shared" si="139"/>
        <v>0</v>
      </c>
      <c r="CI24" s="524"/>
      <c r="CJ24" s="525" t="e">
        <f t="shared" si="27"/>
        <v>#DIV/0!</v>
      </c>
      <c r="CK24" s="526">
        <f t="shared" si="140"/>
        <v>0</v>
      </c>
      <c r="CL24" s="524"/>
      <c r="CM24" s="525" t="e">
        <f t="shared" si="28"/>
        <v>#DIV/0!</v>
      </c>
      <c r="CN24" s="526">
        <f t="shared" si="141"/>
        <v>0</v>
      </c>
      <c r="CO24" s="524"/>
      <c r="CP24" s="525" t="e">
        <f t="shared" si="29"/>
        <v>#DIV/0!</v>
      </c>
      <c r="CQ24" s="526">
        <f t="shared" si="142"/>
        <v>0</v>
      </c>
      <c r="CR24" s="524"/>
      <c r="CS24" s="525" t="e">
        <f t="shared" si="30"/>
        <v>#DIV/0!</v>
      </c>
      <c r="CT24" s="526">
        <f t="shared" si="143"/>
        <v>0</v>
      </c>
      <c r="CU24" s="524"/>
      <c r="CV24" s="525" t="e">
        <f t="shared" si="31"/>
        <v>#DIV/0!</v>
      </c>
      <c r="CW24" s="526">
        <f t="shared" si="144"/>
        <v>0</v>
      </c>
      <c r="CX24" s="524"/>
      <c r="CY24" s="525" t="e">
        <f t="shared" si="32"/>
        <v>#DIV/0!</v>
      </c>
      <c r="CZ24" s="526">
        <f t="shared" si="145"/>
        <v>0</v>
      </c>
      <c r="DA24" s="524"/>
      <c r="DB24" s="525" t="e">
        <f t="shared" si="33"/>
        <v>#DIV/0!</v>
      </c>
      <c r="DC24" s="526">
        <f t="shared" si="146"/>
        <v>0</v>
      </c>
      <c r="DD24" s="524"/>
      <c r="DE24" s="525" t="e">
        <f t="shared" si="34"/>
        <v>#DIV/0!</v>
      </c>
      <c r="DF24" s="526">
        <f t="shared" si="147"/>
        <v>0</v>
      </c>
      <c r="DG24" s="524"/>
      <c r="DH24" s="525" t="e">
        <f t="shared" si="35"/>
        <v>#DIV/0!</v>
      </c>
      <c r="DI24" s="526">
        <f t="shared" si="203"/>
        <v>0</v>
      </c>
      <c r="DJ24" s="524"/>
      <c r="DK24" s="525" t="e">
        <f t="shared" si="36"/>
        <v>#DIV/0!</v>
      </c>
      <c r="DL24" s="526">
        <f t="shared" si="148"/>
        <v>0</v>
      </c>
      <c r="DM24" s="524"/>
      <c r="DN24" s="525" t="e">
        <f t="shared" si="37"/>
        <v>#DIV/0!</v>
      </c>
      <c r="DO24" s="526">
        <f t="shared" si="149"/>
        <v>0</v>
      </c>
      <c r="DP24" s="524"/>
      <c r="DQ24" s="525" t="e">
        <f t="shared" si="38"/>
        <v>#DIV/0!</v>
      </c>
      <c r="DR24" s="526">
        <f t="shared" si="150"/>
        <v>0</v>
      </c>
      <c r="DS24" s="524"/>
      <c r="DT24" s="525" t="e">
        <f t="shared" si="39"/>
        <v>#DIV/0!</v>
      </c>
      <c r="DU24" s="526">
        <f t="shared" si="151"/>
        <v>0</v>
      </c>
      <c r="DV24" s="524"/>
      <c r="DW24" s="525" t="e">
        <f t="shared" si="40"/>
        <v>#DIV/0!</v>
      </c>
      <c r="DX24" s="526">
        <f t="shared" si="152"/>
        <v>0</v>
      </c>
      <c r="DY24" s="524"/>
      <c r="DZ24" s="525" t="e">
        <f t="shared" si="41"/>
        <v>#DIV/0!</v>
      </c>
      <c r="EA24" s="526">
        <f t="shared" si="153"/>
        <v>0</v>
      </c>
      <c r="EB24" s="524"/>
      <c r="EC24" s="525" t="e">
        <f t="shared" si="42"/>
        <v>#DIV/0!</v>
      </c>
      <c r="ED24" s="526">
        <f t="shared" si="154"/>
        <v>0</v>
      </c>
      <c r="EE24" s="524"/>
      <c r="EF24" s="525" t="e">
        <f t="shared" si="43"/>
        <v>#DIV/0!</v>
      </c>
      <c r="EG24" s="526">
        <f t="shared" si="155"/>
        <v>0</v>
      </c>
      <c r="EH24" s="524"/>
      <c r="EI24" s="525" t="e">
        <f t="shared" si="44"/>
        <v>#DIV/0!</v>
      </c>
      <c r="EJ24" s="526">
        <f t="shared" si="156"/>
        <v>0</v>
      </c>
      <c r="EK24" s="524"/>
      <c r="EL24" s="525" t="e">
        <f t="shared" si="45"/>
        <v>#DIV/0!</v>
      </c>
      <c r="EM24" s="526">
        <f t="shared" si="157"/>
        <v>0</v>
      </c>
      <c r="EN24" s="524"/>
      <c r="EO24" s="525" t="e">
        <f t="shared" si="46"/>
        <v>#DIV/0!</v>
      </c>
      <c r="EP24" s="526">
        <f t="shared" si="158"/>
        <v>0</v>
      </c>
      <c r="EQ24" s="524"/>
      <c r="ER24" s="525" t="e">
        <f t="shared" si="47"/>
        <v>#DIV/0!</v>
      </c>
      <c r="ES24" s="526">
        <f t="shared" si="159"/>
        <v>0</v>
      </c>
      <c r="ET24" s="524"/>
      <c r="EU24" s="525" t="e">
        <f t="shared" si="48"/>
        <v>#DIV/0!</v>
      </c>
      <c r="EV24" s="526">
        <f t="shared" si="160"/>
        <v>0</v>
      </c>
      <c r="EW24" s="524"/>
      <c r="EX24" s="525" t="e">
        <f t="shared" si="49"/>
        <v>#DIV/0!</v>
      </c>
      <c r="EY24" s="526">
        <f t="shared" si="161"/>
        <v>0</v>
      </c>
      <c r="EZ24" s="524"/>
      <c r="FA24" s="525" t="e">
        <f t="shared" si="50"/>
        <v>#DIV/0!</v>
      </c>
      <c r="FB24" s="526">
        <f t="shared" si="162"/>
        <v>0</v>
      </c>
      <c r="FC24" s="524"/>
      <c r="FD24" s="525" t="e">
        <f t="shared" si="51"/>
        <v>#DIV/0!</v>
      </c>
      <c r="FE24" s="526">
        <f t="shared" si="163"/>
        <v>0</v>
      </c>
      <c r="FF24" s="524"/>
      <c r="FG24" s="525" t="e">
        <f t="shared" si="52"/>
        <v>#DIV/0!</v>
      </c>
      <c r="FH24" s="526">
        <f t="shared" si="164"/>
        <v>0</v>
      </c>
      <c r="FI24" s="524"/>
      <c r="FJ24" s="525" t="e">
        <f t="shared" si="53"/>
        <v>#DIV/0!</v>
      </c>
      <c r="FK24" s="526">
        <f t="shared" si="165"/>
        <v>0</v>
      </c>
      <c r="FL24" s="524"/>
      <c r="FM24" s="525" t="e">
        <f t="shared" si="54"/>
        <v>#DIV/0!</v>
      </c>
      <c r="FN24" s="526">
        <f t="shared" si="166"/>
        <v>0</v>
      </c>
      <c r="FO24" s="524"/>
      <c r="FP24" s="525" t="e">
        <f t="shared" si="55"/>
        <v>#DIV/0!</v>
      </c>
      <c r="FQ24" s="526">
        <f t="shared" si="167"/>
        <v>0</v>
      </c>
      <c r="FR24" s="524"/>
      <c r="FS24" s="525" t="e">
        <f t="shared" si="56"/>
        <v>#DIV/0!</v>
      </c>
      <c r="FT24" s="526">
        <f t="shared" si="168"/>
        <v>0</v>
      </c>
      <c r="FU24" s="524"/>
      <c r="FV24" s="525" t="e">
        <f t="shared" si="57"/>
        <v>#DIV/0!</v>
      </c>
      <c r="FW24" s="526">
        <f t="shared" si="169"/>
        <v>0</v>
      </c>
      <c r="FX24" s="524"/>
      <c r="FY24" s="525" t="e">
        <f t="shared" si="58"/>
        <v>#DIV/0!</v>
      </c>
      <c r="FZ24" s="526">
        <f t="shared" si="170"/>
        <v>0</v>
      </c>
      <c r="GA24" s="524"/>
      <c r="GB24" s="525" t="e">
        <f t="shared" si="59"/>
        <v>#DIV/0!</v>
      </c>
      <c r="GC24" s="526">
        <f t="shared" si="171"/>
        <v>0</v>
      </c>
      <c r="GD24" s="524"/>
      <c r="GE24" s="525" t="e">
        <f t="shared" si="60"/>
        <v>#DIV/0!</v>
      </c>
      <c r="GF24" s="526">
        <f t="shared" si="172"/>
        <v>0</v>
      </c>
      <c r="GG24" s="524"/>
      <c r="GH24" s="525" t="e">
        <f t="shared" si="61"/>
        <v>#DIV/0!</v>
      </c>
      <c r="GI24" s="526">
        <f t="shared" si="173"/>
        <v>0</v>
      </c>
      <c r="GJ24" s="524"/>
      <c r="GK24" s="525" t="e">
        <f t="shared" si="62"/>
        <v>#DIV/0!</v>
      </c>
      <c r="GL24" s="526">
        <f t="shared" si="174"/>
        <v>0</v>
      </c>
      <c r="GM24" s="524"/>
      <c r="GN24" s="525" t="e">
        <f t="shared" si="63"/>
        <v>#DIV/0!</v>
      </c>
      <c r="GO24" s="526">
        <f t="shared" si="175"/>
        <v>0</v>
      </c>
      <c r="GP24" s="524"/>
      <c r="GQ24" s="525" t="e">
        <f t="shared" si="64"/>
        <v>#DIV/0!</v>
      </c>
      <c r="GR24" s="526">
        <f t="shared" si="176"/>
        <v>0</v>
      </c>
      <c r="GS24" s="524"/>
      <c r="GT24" s="525" t="e">
        <f t="shared" si="65"/>
        <v>#DIV/0!</v>
      </c>
      <c r="GU24" s="526">
        <f t="shared" si="177"/>
        <v>0</v>
      </c>
      <c r="GV24" s="524"/>
      <c r="GW24" s="525" t="e">
        <f t="shared" si="66"/>
        <v>#DIV/0!</v>
      </c>
      <c r="GX24" s="526">
        <f t="shared" si="178"/>
        <v>0</v>
      </c>
      <c r="GY24" s="524"/>
      <c r="GZ24" s="525" t="e">
        <f t="shared" si="67"/>
        <v>#DIV/0!</v>
      </c>
      <c r="HA24" s="526">
        <f t="shared" si="179"/>
        <v>0</v>
      </c>
      <c r="HB24" s="524"/>
      <c r="HC24" s="525" t="e">
        <f t="shared" si="68"/>
        <v>#DIV/0!</v>
      </c>
      <c r="HD24" s="526">
        <f t="shared" si="180"/>
        <v>0</v>
      </c>
      <c r="HE24" s="524"/>
      <c r="HF24" s="525" t="e">
        <f t="shared" si="69"/>
        <v>#DIV/0!</v>
      </c>
      <c r="HG24" s="526">
        <f t="shared" si="181"/>
        <v>0</v>
      </c>
      <c r="HH24" s="524"/>
      <c r="HI24" s="525" t="e">
        <f t="shared" si="70"/>
        <v>#DIV/0!</v>
      </c>
      <c r="HJ24" s="526">
        <f t="shared" si="182"/>
        <v>0</v>
      </c>
      <c r="HK24" s="524"/>
      <c r="HL24" s="525" t="e">
        <f t="shared" si="71"/>
        <v>#DIV/0!</v>
      </c>
      <c r="HM24" s="526">
        <f t="shared" si="183"/>
        <v>0</v>
      </c>
      <c r="HN24" s="524"/>
      <c r="HO24" s="525" t="e">
        <f t="shared" si="72"/>
        <v>#DIV/0!</v>
      </c>
      <c r="HP24" s="526">
        <f t="shared" si="184"/>
        <v>0</v>
      </c>
      <c r="HQ24" s="524"/>
      <c r="HR24" s="525" t="e">
        <f t="shared" si="73"/>
        <v>#DIV/0!</v>
      </c>
      <c r="HS24" s="526">
        <f t="shared" si="185"/>
        <v>0</v>
      </c>
      <c r="HT24" s="524"/>
      <c r="HU24" s="525" t="e">
        <f t="shared" si="74"/>
        <v>#DIV/0!</v>
      </c>
      <c r="HV24" s="526">
        <f t="shared" si="186"/>
        <v>0</v>
      </c>
      <c r="HW24" s="524"/>
      <c r="HX24" s="525" t="e">
        <f t="shared" si="75"/>
        <v>#DIV/0!</v>
      </c>
      <c r="HY24" s="526">
        <f t="shared" si="187"/>
        <v>0</v>
      </c>
      <c r="HZ24" s="524"/>
      <c r="IA24" s="525" t="e">
        <f t="shared" si="76"/>
        <v>#DIV/0!</v>
      </c>
      <c r="IB24" s="526">
        <f t="shared" si="188"/>
        <v>0</v>
      </c>
      <c r="IC24" s="524"/>
      <c r="ID24" s="525" t="e">
        <f t="shared" si="77"/>
        <v>#DIV/0!</v>
      </c>
      <c r="IE24" s="526">
        <f t="shared" si="189"/>
        <v>0</v>
      </c>
      <c r="IF24" s="524"/>
      <c r="IG24" s="525" t="e">
        <f t="shared" si="78"/>
        <v>#DIV/0!</v>
      </c>
      <c r="IH24" s="526">
        <f t="shared" si="190"/>
        <v>0</v>
      </c>
      <c r="II24" s="524"/>
      <c r="IJ24" s="525" t="e">
        <f t="shared" si="79"/>
        <v>#DIV/0!</v>
      </c>
      <c r="IK24" s="526">
        <f t="shared" si="191"/>
        <v>0</v>
      </c>
      <c r="IL24" s="524"/>
      <c r="IM24" s="525" t="e">
        <f t="shared" si="80"/>
        <v>#DIV/0!</v>
      </c>
      <c r="IN24" s="526">
        <f t="shared" si="192"/>
        <v>0</v>
      </c>
      <c r="IO24" s="524"/>
      <c r="IP24" s="525" t="e">
        <f t="shared" si="81"/>
        <v>#DIV/0!</v>
      </c>
      <c r="IQ24" s="526">
        <f t="shared" si="193"/>
        <v>0</v>
      </c>
      <c r="IR24" s="524"/>
      <c r="IS24" s="525" t="e">
        <f t="shared" si="82"/>
        <v>#DIV/0!</v>
      </c>
      <c r="IT24" s="526">
        <f t="shared" si="194"/>
        <v>0</v>
      </c>
      <c r="IU24" s="524"/>
      <c r="IV24" s="525" t="e">
        <f t="shared" si="83"/>
        <v>#DIV/0!</v>
      </c>
      <c r="IW24" s="526">
        <f t="shared" si="195"/>
        <v>0</v>
      </c>
      <c r="IX24" s="524"/>
      <c r="IY24" s="525" t="e">
        <f t="shared" si="84"/>
        <v>#DIV/0!</v>
      </c>
      <c r="IZ24" s="526">
        <f t="shared" si="196"/>
        <v>0</v>
      </c>
      <c r="JA24" s="524"/>
      <c r="JB24" s="525" t="e">
        <f t="shared" si="85"/>
        <v>#DIV/0!</v>
      </c>
      <c r="JC24" s="526">
        <f t="shared" si="197"/>
        <v>0</v>
      </c>
      <c r="JD24" s="524"/>
      <c r="JE24" s="525" t="e">
        <f t="shared" si="86"/>
        <v>#DIV/0!</v>
      </c>
      <c r="JF24" s="526">
        <f t="shared" si="198"/>
        <v>0</v>
      </c>
      <c r="JG24" s="524"/>
      <c r="JH24" s="525" t="e">
        <f t="shared" si="87"/>
        <v>#DIV/0!</v>
      </c>
      <c r="JI24" s="526">
        <f t="shared" si="199"/>
        <v>0</v>
      </c>
      <c r="JJ24" s="524"/>
      <c r="JK24" s="526" t="str">
        <f t="shared" si="88"/>
        <v>0</v>
      </c>
      <c r="JL24" s="526" t="str">
        <f t="shared" si="89"/>
        <v>0</v>
      </c>
      <c r="JM24" s="524"/>
      <c r="JN24" s="526" t="str">
        <f t="shared" si="90"/>
        <v>0</v>
      </c>
      <c r="JO24" s="526" t="str">
        <f t="shared" si="91"/>
        <v>0</v>
      </c>
      <c r="JP24" s="524"/>
      <c r="JQ24" s="526" t="str">
        <f t="shared" si="92"/>
        <v>0</v>
      </c>
      <c r="JR24" s="526" t="str">
        <f t="shared" si="93"/>
        <v>0</v>
      </c>
      <c r="JS24" s="524"/>
      <c r="JT24" s="526" t="str">
        <f t="shared" si="94"/>
        <v>0</v>
      </c>
      <c r="JU24" s="526" t="str">
        <f t="shared" si="95"/>
        <v>0</v>
      </c>
      <c r="JV24" s="524"/>
      <c r="JW24" s="526" t="str">
        <f t="shared" si="96"/>
        <v>0</v>
      </c>
      <c r="JX24" s="526" t="str">
        <f t="shared" si="97"/>
        <v>0</v>
      </c>
      <c r="JY24" s="524"/>
      <c r="JZ24" s="526" t="str">
        <f t="shared" si="98"/>
        <v>0</v>
      </c>
      <c r="KA24" s="526" t="str">
        <f t="shared" si="99"/>
        <v>0</v>
      </c>
      <c r="KB24" s="524"/>
      <c r="KC24" s="526" t="str">
        <f t="shared" si="100"/>
        <v>0</v>
      </c>
      <c r="KD24" s="526" t="str">
        <f t="shared" si="101"/>
        <v>0</v>
      </c>
      <c r="KE24" s="524"/>
      <c r="KF24" s="526" t="str">
        <f t="shared" si="102"/>
        <v>0</v>
      </c>
      <c r="KG24" s="526" t="str">
        <f t="shared" si="103"/>
        <v>0</v>
      </c>
      <c r="KH24" s="524"/>
      <c r="KI24" s="526" t="str">
        <f t="shared" si="104"/>
        <v>0</v>
      </c>
      <c r="KJ24" s="526" t="str">
        <f t="shared" si="105"/>
        <v>0</v>
      </c>
      <c r="KK24" s="524"/>
      <c r="KL24" s="526" t="str">
        <f t="shared" si="106"/>
        <v>0</v>
      </c>
      <c r="KM24" s="526" t="str">
        <f t="shared" si="107"/>
        <v>0</v>
      </c>
      <c r="KN24" s="524"/>
      <c r="KO24" s="526" t="str">
        <f t="shared" si="108"/>
        <v>0</v>
      </c>
      <c r="KP24" s="526" t="str">
        <f t="shared" si="109"/>
        <v>0</v>
      </c>
      <c r="KQ24" s="524"/>
      <c r="KR24" s="526" t="str">
        <f t="shared" si="110"/>
        <v>0</v>
      </c>
      <c r="KS24" s="526" t="str">
        <f t="shared" si="111"/>
        <v>0</v>
      </c>
      <c r="KT24" s="526">
        <f t="shared" si="201"/>
        <v>0</v>
      </c>
      <c r="KU24" s="526">
        <f t="shared" si="202"/>
        <v>0</v>
      </c>
      <c r="KV24" s="262">
        <f t="shared" si="204"/>
        <v>0</v>
      </c>
    </row>
    <row r="25" spans="1:308">
      <c r="A25" s="263">
        <f t="shared" si="200"/>
        <v>45917</v>
      </c>
      <c r="B25" s="264" t="str">
        <f>+Report1!B25</f>
        <v>STOP</v>
      </c>
      <c r="C25" s="264" t="str">
        <f>+Report1!C25</f>
        <v>12</v>
      </c>
      <c r="D25" s="265">
        <f>+Report1!P25</f>
        <v>0</v>
      </c>
      <c r="E25" s="556">
        <f>+Report1!R25</f>
        <v>0</v>
      </c>
      <c r="F25" s="524"/>
      <c r="G25" s="525" t="e">
        <f t="shared" si="0"/>
        <v>#DIV/0!</v>
      </c>
      <c r="H25" s="526">
        <f t="shared" si="113"/>
        <v>0</v>
      </c>
      <c r="I25" s="524"/>
      <c r="J25" s="525" t="e">
        <f t="shared" si="1"/>
        <v>#DIV/0!</v>
      </c>
      <c r="K25" s="526">
        <f t="shared" si="114"/>
        <v>0</v>
      </c>
      <c r="L25" s="524"/>
      <c r="M25" s="525" t="e">
        <f t="shared" si="2"/>
        <v>#DIV/0!</v>
      </c>
      <c r="N25" s="526">
        <f t="shared" si="115"/>
        <v>0</v>
      </c>
      <c r="O25" s="524"/>
      <c r="P25" s="525" t="e">
        <f t="shared" si="3"/>
        <v>#DIV/0!</v>
      </c>
      <c r="Q25" s="526">
        <f t="shared" si="116"/>
        <v>0</v>
      </c>
      <c r="R25" s="524"/>
      <c r="S25" s="525" t="e">
        <f t="shared" si="4"/>
        <v>#DIV/0!</v>
      </c>
      <c r="T25" s="526">
        <f t="shared" si="117"/>
        <v>0</v>
      </c>
      <c r="U25" s="524"/>
      <c r="V25" s="525" t="e">
        <f t="shared" si="5"/>
        <v>#DIV/0!</v>
      </c>
      <c r="W25" s="526">
        <f t="shared" si="118"/>
        <v>0</v>
      </c>
      <c r="X25" s="524"/>
      <c r="Y25" s="525" t="e">
        <f t="shared" si="6"/>
        <v>#DIV/0!</v>
      </c>
      <c r="Z25" s="526">
        <f t="shared" si="119"/>
        <v>0</v>
      </c>
      <c r="AA25" s="524"/>
      <c r="AB25" s="525" t="e">
        <f t="shared" si="7"/>
        <v>#DIV/0!</v>
      </c>
      <c r="AC25" s="526">
        <f t="shared" si="120"/>
        <v>0</v>
      </c>
      <c r="AD25" s="524"/>
      <c r="AE25" s="525" t="e">
        <f t="shared" si="8"/>
        <v>#DIV/0!</v>
      </c>
      <c r="AF25" s="526">
        <f t="shared" si="121"/>
        <v>0</v>
      </c>
      <c r="AG25" s="524"/>
      <c r="AH25" s="525" t="e">
        <f t="shared" si="9"/>
        <v>#DIV/0!</v>
      </c>
      <c r="AI25" s="526">
        <f t="shared" si="122"/>
        <v>0</v>
      </c>
      <c r="AJ25" s="524"/>
      <c r="AK25" s="525" t="e">
        <f t="shared" si="10"/>
        <v>#DIV/0!</v>
      </c>
      <c r="AL25" s="526">
        <f t="shared" si="123"/>
        <v>0</v>
      </c>
      <c r="AM25" s="524"/>
      <c r="AN25" s="525" t="e">
        <f t="shared" si="11"/>
        <v>#DIV/0!</v>
      </c>
      <c r="AO25" s="526">
        <f t="shared" si="124"/>
        <v>0</v>
      </c>
      <c r="AP25" s="524"/>
      <c r="AQ25" s="525" t="e">
        <f t="shared" si="12"/>
        <v>#DIV/0!</v>
      </c>
      <c r="AR25" s="526">
        <f t="shared" si="125"/>
        <v>0</v>
      </c>
      <c r="AS25" s="524"/>
      <c r="AT25" s="525" t="e">
        <f t="shared" si="13"/>
        <v>#DIV/0!</v>
      </c>
      <c r="AU25" s="526">
        <f t="shared" si="126"/>
        <v>0</v>
      </c>
      <c r="AV25" s="524"/>
      <c r="AW25" s="525" t="e">
        <f t="shared" si="14"/>
        <v>#DIV/0!</v>
      </c>
      <c r="AX25" s="526">
        <f t="shared" si="127"/>
        <v>0</v>
      </c>
      <c r="AY25" s="524">
        <v>0</v>
      </c>
      <c r="AZ25" s="525" t="e">
        <f t="shared" si="15"/>
        <v>#DIV/0!</v>
      </c>
      <c r="BA25" s="526">
        <f t="shared" si="128"/>
        <v>0</v>
      </c>
      <c r="BB25" s="524"/>
      <c r="BC25" s="525" t="e">
        <f t="shared" si="16"/>
        <v>#DIV/0!</v>
      </c>
      <c r="BD25" s="526">
        <f t="shared" si="129"/>
        <v>0</v>
      </c>
      <c r="BE25" s="524"/>
      <c r="BF25" s="525" t="e">
        <f t="shared" si="17"/>
        <v>#DIV/0!</v>
      </c>
      <c r="BG25" s="526">
        <f t="shared" si="130"/>
        <v>0</v>
      </c>
      <c r="BH25" s="524"/>
      <c r="BI25" s="525" t="e">
        <f t="shared" si="18"/>
        <v>#DIV/0!</v>
      </c>
      <c r="BJ25" s="526">
        <f t="shared" si="131"/>
        <v>0</v>
      </c>
      <c r="BK25" s="524"/>
      <c r="BL25" s="525" t="e">
        <f t="shared" si="19"/>
        <v>#DIV/0!</v>
      </c>
      <c r="BM25" s="526">
        <f t="shared" si="132"/>
        <v>0</v>
      </c>
      <c r="BN25" s="524"/>
      <c r="BO25" s="525" t="e">
        <f t="shared" si="20"/>
        <v>#DIV/0!</v>
      </c>
      <c r="BP25" s="526">
        <f t="shared" si="133"/>
        <v>0</v>
      </c>
      <c r="BQ25" s="524"/>
      <c r="BR25" s="525" t="e">
        <f t="shared" si="21"/>
        <v>#DIV/0!</v>
      </c>
      <c r="BS25" s="526">
        <f t="shared" si="134"/>
        <v>0</v>
      </c>
      <c r="BT25" s="524"/>
      <c r="BU25" s="525" t="e">
        <f t="shared" si="22"/>
        <v>#DIV/0!</v>
      </c>
      <c r="BV25" s="526">
        <f t="shared" si="135"/>
        <v>0</v>
      </c>
      <c r="BW25" s="524"/>
      <c r="BX25" s="525" t="e">
        <f t="shared" si="23"/>
        <v>#DIV/0!</v>
      </c>
      <c r="BY25" s="526">
        <f t="shared" si="136"/>
        <v>0</v>
      </c>
      <c r="BZ25" s="524"/>
      <c r="CA25" s="525" t="e">
        <f t="shared" si="24"/>
        <v>#DIV/0!</v>
      </c>
      <c r="CB25" s="526">
        <f t="shared" si="137"/>
        <v>0</v>
      </c>
      <c r="CC25" s="524"/>
      <c r="CD25" s="525" t="e">
        <f t="shared" si="25"/>
        <v>#DIV/0!</v>
      </c>
      <c r="CE25" s="526">
        <f t="shared" si="138"/>
        <v>0</v>
      </c>
      <c r="CF25" s="524"/>
      <c r="CG25" s="525" t="e">
        <f t="shared" si="26"/>
        <v>#DIV/0!</v>
      </c>
      <c r="CH25" s="526">
        <f t="shared" si="139"/>
        <v>0</v>
      </c>
      <c r="CI25" s="524"/>
      <c r="CJ25" s="525" t="e">
        <f t="shared" si="27"/>
        <v>#DIV/0!</v>
      </c>
      <c r="CK25" s="526">
        <f t="shared" si="140"/>
        <v>0</v>
      </c>
      <c r="CL25" s="524"/>
      <c r="CM25" s="525" t="e">
        <f t="shared" si="28"/>
        <v>#DIV/0!</v>
      </c>
      <c r="CN25" s="526">
        <f t="shared" si="141"/>
        <v>0</v>
      </c>
      <c r="CO25" s="524"/>
      <c r="CP25" s="525" t="e">
        <f t="shared" si="29"/>
        <v>#DIV/0!</v>
      </c>
      <c r="CQ25" s="526">
        <f t="shared" si="142"/>
        <v>0</v>
      </c>
      <c r="CR25" s="524"/>
      <c r="CS25" s="525" t="e">
        <f t="shared" si="30"/>
        <v>#DIV/0!</v>
      </c>
      <c r="CT25" s="526">
        <f t="shared" si="143"/>
        <v>0</v>
      </c>
      <c r="CU25" s="524"/>
      <c r="CV25" s="525" t="e">
        <f t="shared" si="31"/>
        <v>#DIV/0!</v>
      </c>
      <c r="CW25" s="526">
        <f t="shared" si="144"/>
        <v>0</v>
      </c>
      <c r="CX25" s="524"/>
      <c r="CY25" s="525" t="e">
        <f t="shared" si="32"/>
        <v>#DIV/0!</v>
      </c>
      <c r="CZ25" s="526">
        <f t="shared" si="145"/>
        <v>0</v>
      </c>
      <c r="DA25" s="524"/>
      <c r="DB25" s="525" t="e">
        <f t="shared" si="33"/>
        <v>#DIV/0!</v>
      </c>
      <c r="DC25" s="526">
        <f t="shared" si="146"/>
        <v>0</v>
      </c>
      <c r="DD25" s="524"/>
      <c r="DE25" s="525" t="e">
        <f t="shared" si="34"/>
        <v>#DIV/0!</v>
      </c>
      <c r="DF25" s="526">
        <f t="shared" si="147"/>
        <v>0</v>
      </c>
      <c r="DG25" s="524"/>
      <c r="DH25" s="525" t="e">
        <f t="shared" si="35"/>
        <v>#DIV/0!</v>
      </c>
      <c r="DI25" s="526">
        <f t="shared" si="203"/>
        <v>0</v>
      </c>
      <c r="DJ25" s="524"/>
      <c r="DK25" s="525" t="e">
        <f t="shared" si="36"/>
        <v>#DIV/0!</v>
      </c>
      <c r="DL25" s="526">
        <f t="shared" si="148"/>
        <v>0</v>
      </c>
      <c r="DM25" s="524"/>
      <c r="DN25" s="525" t="e">
        <f t="shared" si="37"/>
        <v>#DIV/0!</v>
      </c>
      <c r="DO25" s="526">
        <f t="shared" si="149"/>
        <v>0</v>
      </c>
      <c r="DP25" s="524"/>
      <c r="DQ25" s="525" t="e">
        <f t="shared" si="38"/>
        <v>#DIV/0!</v>
      </c>
      <c r="DR25" s="526">
        <f t="shared" si="150"/>
        <v>0</v>
      </c>
      <c r="DS25" s="524"/>
      <c r="DT25" s="525" t="e">
        <f t="shared" si="39"/>
        <v>#DIV/0!</v>
      </c>
      <c r="DU25" s="526">
        <f t="shared" si="151"/>
        <v>0</v>
      </c>
      <c r="DV25" s="524"/>
      <c r="DW25" s="525" t="e">
        <f t="shared" si="40"/>
        <v>#DIV/0!</v>
      </c>
      <c r="DX25" s="526">
        <f t="shared" si="152"/>
        <v>0</v>
      </c>
      <c r="DY25" s="524"/>
      <c r="DZ25" s="525" t="e">
        <f t="shared" si="41"/>
        <v>#DIV/0!</v>
      </c>
      <c r="EA25" s="526">
        <f t="shared" si="153"/>
        <v>0</v>
      </c>
      <c r="EB25" s="524"/>
      <c r="EC25" s="525" t="e">
        <f t="shared" si="42"/>
        <v>#DIV/0!</v>
      </c>
      <c r="ED25" s="526">
        <f t="shared" si="154"/>
        <v>0</v>
      </c>
      <c r="EE25" s="524"/>
      <c r="EF25" s="525" t="e">
        <f t="shared" si="43"/>
        <v>#DIV/0!</v>
      </c>
      <c r="EG25" s="526">
        <f t="shared" si="155"/>
        <v>0</v>
      </c>
      <c r="EH25" s="524"/>
      <c r="EI25" s="525" t="e">
        <f t="shared" si="44"/>
        <v>#DIV/0!</v>
      </c>
      <c r="EJ25" s="526">
        <f t="shared" si="156"/>
        <v>0</v>
      </c>
      <c r="EK25" s="524"/>
      <c r="EL25" s="525" t="e">
        <f t="shared" si="45"/>
        <v>#DIV/0!</v>
      </c>
      <c r="EM25" s="526">
        <f t="shared" si="157"/>
        <v>0</v>
      </c>
      <c r="EN25" s="524"/>
      <c r="EO25" s="525" t="e">
        <f t="shared" si="46"/>
        <v>#DIV/0!</v>
      </c>
      <c r="EP25" s="526">
        <f t="shared" si="158"/>
        <v>0</v>
      </c>
      <c r="EQ25" s="524"/>
      <c r="ER25" s="525" t="e">
        <f t="shared" si="47"/>
        <v>#DIV/0!</v>
      </c>
      <c r="ES25" s="526">
        <f t="shared" si="159"/>
        <v>0</v>
      </c>
      <c r="ET25" s="524"/>
      <c r="EU25" s="525" t="e">
        <f t="shared" si="48"/>
        <v>#DIV/0!</v>
      </c>
      <c r="EV25" s="526">
        <f t="shared" si="160"/>
        <v>0</v>
      </c>
      <c r="EW25" s="524"/>
      <c r="EX25" s="525" t="e">
        <f t="shared" si="49"/>
        <v>#DIV/0!</v>
      </c>
      <c r="EY25" s="526">
        <f t="shared" si="161"/>
        <v>0</v>
      </c>
      <c r="EZ25" s="524"/>
      <c r="FA25" s="525" t="e">
        <f t="shared" si="50"/>
        <v>#DIV/0!</v>
      </c>
      <c r="FB25" s="526">
        <f t="shared" si="162"/>
        <v>0</v>
      </c>
      <c r="FC25" s="524"/>
      <c r="FD25" s="525" t="e">
        <f t="shared" si="51"/>
        <v>#DIV/0!</v>
      </c>
      <c r="FE25" s="526">
        <f t="shared" si="163"/>
        <v>0</v>
      </c>
      <c r="FF25" s="524"/>
      <c r="FG25" s="525" t="e">
        <f t="shared" si="52"/>
        <v>#DIV/0!</v>
      </c>
      <c r="FH25" s="526">
        <f t="shared" si="164"/>
        <v>0</v>
      </c>
      <c r="FI25" s="524"/>
      <c r="FJ25" s="525" t="e">
        <f t="shared" si="53"/>
        <v>#DIV/0!</v>
      </c>
      <c r="FK25" s="526">
        <f t="shared" si="165"/>
        <v>0</v>
      </c>
      <c r="FL25" s="524"/>
      <c r="FM25" s="525" t="e">
        <f t="shared" si="54"/>
        <v>#DIV/0!</v>
      </c>
      <c r="FN25" s="526">
        <f t="shared" si="166"/>
        <v>0</v>
      </c>
      <c r="FO25" s="524"/>
      <c r="FP25" s="525" t="e">
        <f t="shared" si="55"/>
        <v>#DIV/0!</v>
      </c>
      <c r="FQ25" s="526">
        <f t="shared" si="167"/>
        <v>0</v>
      </c>
      <c r="FR25" s="524"/>
      <c r="FS25" s="525" t="e">
        <f t="shared" si="56"/>
        <v>#DIV/0!</v>
      </c>
      <c r="FT25" s="526">
        <f t="shared" si="168"/>
        <v>0</v>
      </c>
      <c r="FU25" s="524"/>
      <c r="FV25" s="525" t="e">
        <f t="shared" si="57"/>
        <v>#DIV/0!</v>
      </c>
      <c r="FW25" s="526">
        <f t="shared" si="169"/>
        <v>0</v>
      </c>
      <c r="FX25" s="524"/>
      <c r="FY25" s="525" t="e">
        <f t="shared" si="58"/>
        <v>#DIV/0!</v>
      </c>
      <c r="FZ25" s="526">
        <f t="shared" si="170"/>
        <v>0</v>
      </c>
      <c r="GA25" s="524"/>
      <c r="GB25" s="525" t="e">
        <f t="shared" si="59"/>
        <v>#DIV/0!</v>
      </c>
      <c r="GC25" s="526">
        <f t="shared" si="171"/>
        <v>0</v>
      </c>
      <c r="GD25" s="524"/>
      <c r="GE25" s="525" t="e">
        <f t="shared" si="60"/>
        <v>#DIV/0!</v>
      </c>
      <c r="GF25" s="526">
        <f t="shared" si="172"/>
        <v>0</v>
      </c>
      <c r="GG25" s="524"/>
      <c r="GH25" s="525" t="e">
        <f t="shared" si="61"/>
        <v>#DIV/0!</v>
      </c>
      <c r="GI25" s="526">
        <f t="shared" si="173"/>
        <v>0</v>
      </c>
      <c r="GJ25" s="524"/>
      <c r="GK25" s="525" t="e">
        <f t="shared" si="62"/>
        <v>#DIV/0!</v>
      </c>
      <c r="GL25" s="526">
        <f t="shared" si="174"/>
        <v>0</v>
      </c>
      <c r="GM25" s="524"/>
      <c r="GN25" s="525" t="e">
        <f t="shared" si="63"/>
        <v>#DIV/0!</v>
      </c>
      <c r="GO25" s="526">
        <f t="shared" si="175"/>
        <v>0</v>
      </c>
      <c r="GP25" s="524"/>
      <c r="GQ25" s="525" t="e">
        <f t="shared" si="64"/>
        <v>#DIV/0!</v>
      </c>
      <c r="GR25" s="526">
        <f t="shared" si="176"/>
        <v>0</v>
      </c>
      <c r="GS25" s="524"/>
      <c r="GT25" s="525" t="e">
        <f t="shared" si="65"/>
        <v>#DIV/0!</v>
      </c>
      <c r="GU25" s="526">
        <f t="shared" si="177"/>
        <v>0</v>
      </c>
      <c r="GV25" s="524"/>
      <c r="GW25" s="525" t="e">
        <f t="shared" si="66"/>
        <v>#DIV/0!</v>
      </c>
      <c r="GX25" s="526">
        <f t="shared" si="178"/>
        <v>0</v>
      </c>
      <c r="GY25" s="524"/>
      <c r="GZ25" s="525" t="e">
        <f t="shared" si="67"/>
        <v>#DIV/0!</v>
      </c>
      <c r="HA25" s="526">
        <f t="shared" si="179"/>
        <v>0</v>
      </c>
      <c r="HB25" s="524"/>
      <c r="HC25" s="525" t="e">
        <f t="shared" si="68"/>
        <v>#DIV/0!</v>
      </c>
      <c r="HD25" s="526">
        <f t="shared" si="180"/>
        <v>0</v>
      </c>
      <c r="HE25" s="524"/>
      <c r="HF25" s="525" t="e">
        <f t="shared" si="69"/>
        <v>#DIV/0!</v>
      </c>
      <c r="HG25" s="526">
        <f t="shared" si="181"/>
        <v>0</v>
      </c>
      <c r="HH25" s="524"/>
      <c r="HI25" s="525" t="e">
        <f t="shared" si="70"/>
        <v>#DIV/0!</v>
      </c>
      <c r="HJ25" s="526">
        <f t="shared" si="182"/>
        <v>0</v>
      </c>
      <c r="HK25" s="524"/>
      <c r="HL25" s="525" t="e">
        <f t="shared" si="71"/>
        <v>#DIV/0!</v>
      </c>
      <c r="HM25" s="526">
        <f t="shared" si="183"/>
        <v>0</v>
      </c>
      <c r="HN25" s="524"/>
      <c r="HO25" s="525" t="e">
        <f t="shared" si="72"/>
        <v>#DIV/0!</v>
      </c>
      <c r="HP25" s="526">
        <f t="shared" si="184"/>
        <v>0</v>
      </c>
      <c r="HQ25" s="524"/>
      <c r="HR25" s="525" t="e">
        <f t="shared" si="73"/>
        <v>#DIV/0!</v>
      </c>
      <c r="HS25" s="526">
        <f t="shared" si="185"/>
        <v>0</v>
      </c>
      <c r="HT25" s="524"/>
      <c r="HU25" s="525" t="e">
        <f t="shared" si="74"/>
        <v>#DIV/0!</v>
      </c>
      <c r="HV25" s="526">
        <f t="shared" si="186"/>
        <v>0</v>
      </c>
      <c r="HW25" s="524"/>
      <c r="HX25" s="525" t="e">
        <f t="shared" si="75"/>
        <v>#DIV/0!</v>
      </c>
      <c r="HY25" s="526">
        <f t="shared" si="187"/>
        <v>0</v>
      </c>
      <c r="HZ25" s="524"/>
      <c r="IA25" s="525" t="e">
        <f t="shared" si="76"/>
        <v>#DIV/0!</v>
      </c>
      <c r="IB25" s="526">
        <f t="shared" si="188"/>
        <v>0</v>
      </c>
      <c r="IC25" s="524"/>
      <c r="ID25" s="525" t="e">
        <f t="shared" si="77"/>
        <v>#DIV/0!</v>
      </c>
      <c r="IE25" s="526">
        <f t="shared" si="189"/>
        <v>0</v>
      </c>
      <c r="IF25" s="524"/>
      <c r="IG25" s="525" t="e">
        <f t="shared" si="78"/>
        <v>#DIV/0!</v>
      </c>
      <c r="IH25" s="526">
        <f t="shared" si="190"/>
        <v>0</v>
      </c>
      <c r="II25" s="524"/>
      <c r="IJ25" s="525" t="e">
        <f t="shared" si="79"/>
        <v>#DIV/0!</v>
      </c>
      <c r="IK25" s="526">
        <f t="shared" si="191"/>
        <v>0</v>
      </c>
      <c r="IL25" s="524"/>
      <c r="IM25" s="525" t="e">
        <f t="shared" si="80"/>
        <v>#DIV/0!</v>
      </c>
      <c r="IN25" s="526">
        <f t="shared" si="192"/>
        <v>0</v>
      </c>
      <c r="IO25" s="524"/>
      <c r="IP25" s="525" t="e">
        <f t="shared" si="81"/>
        <v>#DIV/0!</v>
      </c>
      <c r="IQ25" s="526">
        <f t="shared" si="193"/>
        <v>0</v>
      </c>
      <c r="IR25" s="524"/>
      <c r="IS25" s="525" t="e">
        <f t="shared" si="82"/>
        <v>#DIV/0!</v>
      </c>
      <c r="IT25" s="526">
        <f t="shared" si="194"/>
        <v>0</v>
      </c>
      <c r="IU25" s="524"/>
      <c r="IV25" s="525" t="e">
        <f t="shared" si="83"/>
        <v>#DIV/0!</v>
      </c>
      <c r="IW25" s="526">
        <f t="shared" si="195"/>
        <v>0</v>
      </c>
      <c r="IX25" s="524"/>
      <c r="IY25" s="525" t="e">
        <f t="shared" si="84"/>
        <v>#DIV/0!</v>
      </c>
      <c r="IZ25" s="526">
        <f t="shared" si="196"/>
        <v>0</v>
      </c>
      <c r="JA25" s="524"/>
      <c r="JB25" s="525" t="e">
        <f t="shared" si="85"/>
        <v>#DIV/0!</v>
      </c>
      <c r="JC25" s="526">
        <f t="shared" si="197"/>
        <v>0</v>
      </c>
      <c r="JD25" s="524"/>
      <c r="JE25" s="525" t="e">
        <f t="shared" si="86"/>
        <v>#DIV/0!</v>
      </c>
      <c r="JF25" s="526">
        <f t="shared" si="198"/>
        <v>0</v>
      </c>
      <c r="JG25" s="524"/>
      <c r="JH25" s="525" t="e">
        <f t="shared" si="87"/>
        <v>#DIV/0!</v>
      </c>
      <c r="JI25" s="526">
        <f t="shared" si="199"/>
        <v>0</v>
      </c>
      <c r="JJ25" s="524"/>
      <c r="JK25" s="526" t="str">
        <f t="shared" si="88"/>
        <v>0</v>
      </c>
      <c r="JL25" s="526" t="str">
        <f t="shared" si="89"/>
        <v>0</v>
      </c>
      <c r="JM25" s="524"/>
      <c r="JN25" s="526" t="str">
        <f t="shared" si="90"/>
        <v>0</v>
      </c>
      <c r="JO25" s="526" t="str">
        <f t="shared" si="91"/>
        <v>0</v>
      </c>
      <c r="JP25" s="524"/>
      <c r="JQ25" s="526" t="str">
        <f t="shared" si="92"/>
        <v>0</v>
      </c>
      <c r="JR25" s="526" t="str">
        <f t="shared" si="93"/>
        <v>0</v>
      </c>
      <c r="JS25" s="524"/>
      <c r="JT25" s="526" t="str">
        <f t="shared" si="94"/>
        <v>0</v>
      </c>
      <c r="JU25" s="526" t="str">
        <f t="shared" si="95"/>
        <v>0</v>
      </c>
      <c r="JV25" s="524"/>
      <c r="JW25" s="526" t="str">
        <f t="shared" si="96"/>
        <v>0</v>
      </c>
      <c r="JX25" s="526" t="str">
        <f t="shared" si="97"/>
        <v>0</v>
      </c>
      <c r="JY25" s="524"/>
      <c r="JZ25" s="526" t="str">
        <f t="shared" si="98"/>
        <v>0</v>
      </c>
      <c r="KA25" s="526" t="str">
        <f t="shared" si="99"/>
        <v>0</v>
      </c>
      <c r="KB25" s="524"/>
      <c r="KC25" s="526" t="str">
        <f t="shared" si="100"/>
        <v>0</v>
      </c>
      <c r="KD25" s="526" t="str">
        <f t="shared" si="101"/>
        <v>0</v>
      </c>
      <c r="KE25" s="524"/>
      <c r="KF25" s="526" t="str">
        <f t="shared" si="102"/>
        <v>0</v>
      </c>
      <c r="KG25" s="526" t="str">
        <f t="shared" si="103"/>
        <v>0</v>
      </c>
      <c r="KH25" s="524"/>
      <c r="KI25" s="526" t="str">
        <f t="shared" si="104"/>
        <v>0</v>
      </c>
      <c r="KJ25" s="526" t="str">
        <f t="shared" si="105"/>
        <v>0</v>
      </c>
      <c r="KK25" s="524"/>
      <c r="KL25" s="526" t="str">
        <f t="shared" si="106"/>
        <v>0</v>
      </c>
      <c r="KM25" s="526" t="str">
        <f t="shared" si="107"/>
        <v>0</v>
      </c>
      <c r="KN25" s="524"/>
      <c r="KO25" s="526" t="str">
        <f t="shared" si="108"/>
        <v>0</v>
      </c>
      <c r="KP25" s="526" t="str">
        <f t="shared" si="109"/>
        <v>0</v>
      </c>
      <c r="KQ25" s="524"/>
      <c r="KR25" s="526" t="str">
        <f t="shared" si="110"/>
        <v>0</v>
      </c>
      <c r="KS25" s="526" t="str">
        <f t="shared" si="111"/>
        <v>0</v>
      </c>
      <c r="KT25" s="526">
        <f t="shared" si="201"/>
        <v>0</v>
      </c>
      <c r="KU25" s="526">
        <f t="shared" si="202"/>
        <v>0</v>
      </c>
      <c r="KV25" s="262">
        <f t="shared" si="204"/>
        <v>0</v>
      </c>
    </row>
    <row r="26" spans="1:308">
      <c r="A26" s="263">
        <f t="shared" si="200"/>
        <v>45918</v>
      </c>
      <c r="B26" s="264" t="str">
        <f>+Report1!B26</f>
        <v>STOP</v>
      </c>
      <c r="C26" s="264" t="str">
        <f>+Report1!C26</f>
        <v>12</v>
      </c>
      <c r="D26" s="265">
        <f>+Report1!P26</f>
        <v>0</v>
      </c>
      <c r="E26" s="556">
        <f>+Report1!R26</f>
        <v>0</v>
      </c>
      <c r="F26" s="524"/>
      <c r="G26" s="525" t="e">
        <f t="shared" si="0"/>
        <v>#DIV/0!</v>
      </c>
      <c r="H26" s="526">
        <f t="shared" si="113"/>
        <v>0</v>
      </c>
      <c r="I26" s="524"/>
      <c r="J26" s="525" t="e">
        <f t="shared" si="1"/>
        <v>#DIV/0!</v>
      </c>
      <c r="K26" s="526">
        <f t="shared" si="114"/>
        <v>0</v>
      </c>
      <c r="L26" s="524"/>
      <c r="M26" s="525" t="e">
        <f t="shared" si="2"/>
        <v>#DIV/0!</v>
      </c>
      <c r="N26" s="526">
        <f t="shared" si="115"/>
        <v>0</v>
      </c>
      <c r="O26" s="524"/>
      <c r="P26" s="525" t="e">
        <f t="shared" si="3"/>
        <v>#DIV/0!</v>
      </c>
      <c r="Q26" s="526">
        <f t="shared" si="116"/>
        <v>0</v>
      </c>
      <c r="R26" s="524"/>
      <c r="S26" s="525" t="e">
        <f t="shared" si="4"/>
        <v>#DIV/0!</v>
      </c>
      <c r="T26" s="526">
        <f t="shared" si="117"/>
        <v>0</v>
      </c>
      <c r="U26" s="524"/>
      <c r="V26" s="525" t="e">
        <f t="shared" si="5"/>
        <v>#DIV/0!</v>
      </c>
      <c r="W26" s="526">
        <f t="shared" si="118"/>
        <v>0</v>
      </c>
      <c r="X26" s="524"/>
      <c r="Y26" s="525" t="e">
        <f t="shared" si="6"/>
        <v>#DIV/0!</v>
      </c>
      <c r="Z26" s="526">
        <f t="shared" si="119"/>
        <v>0</v>
      </c>
      <c r="AA26" s="524"/>
      <c r="AB26" s="525" t="e">
        <f t="shared" si="7"/>
        <v>#DIV/0!</v>
      </c>
      <c r="AC26" s="526">
        <f t="shared" si="120"/>
        <v>0</v>
      </c>
      <c r="AD26" s="524"/>
      <c r="AE26" s="525" t="e">
        <f t="shared" si="8"/>
        <v>#DIV/0!</v>
      </c>
      <c r="AF26" s="526">
        <f t="shared" si="121"/>
        <v>0</v>
      </c>
      <c r="AG26" s="524"/>
      <c r="AH26" s="525" t="e">
        <f t="shared" si="9"/>
        <v>#DIV/0!</v>
      </c>
      <c r="AI26" s="526">
        <f t="shared" si="122"/>
        <v>0</v>
      </c>
      <c r="AJ26" s="524"/>
      <c r="AK26" s="525" t="e">
        <f t="shared" si="10"/>
        <v>#DIV/0!</v>
      </c>
      <c r="AL26" s="526">
        <f t="shared" si="123"/>
        <v>0</v>
      </c>
      <c r="AM26" s="524"/>
      <c r="AN26" s="525" t="e">
        <f t="shared" si="11"/>
        <v>#DIV/0!</v>
      </c>
      <c r="AO26" s="526">
        <f t="shared" si="124"/>
        <v>0</v>
      </c>
      <c r="AP26" s="524"/>
      <c r="AQ26" s="525" t="e">
        <f t="shared" si="12"/>
        <v>#DIV/0!</v>
      </c>
      <c r="AR26" s="526">
        <f t="shared" si="125"/>
        <v>0</v>
      </c>
      <c r="AS26" s="524"/>
      <c r="AT26" s="525" t="e">
        <f t="shared" si="13"/>
        <v>#DIV/0!</v>
      </c>
      <c r="AU26" s="526">
        <f t="shared" si="126"/>
        <v>0</v>
      </c>
      <c r="AV26" s="524"/>
      <c r="AW26" s="525" t="e">
        <f t="shared" si="14"/>
        <v>#DIV/0!</v>
      </c>
      <c r="AX26" s="526">
        <f t="shared" si="127"/>
        <v>0</v>
      </c>
      <c r="AY26" s="524">
        <v>0</v>
      </c>
      <c r="AZ26" s="525" t="e">
        <f t="shared" si="15"/>
        <v>#DIV/0!</v>
      </c>
      <c r="BA26" s="526">
        <f t="shared" si="128"/>
        <v>0</v>
      </c>
      <c r="BB26" s="524"/>
      <c r="BC26" s="525" t="e">
        <f t="shared" si="16"/>
        <v>#DIV/0!</v>
      </c>
      <c r="BD26" s="526">
        <f t="shared" si="129"/>
        <v>0</v>
      </c>
      <c r="BE26" s="524"/>
      <c r="BF26" s="525" t="e">
        <f t="shared" si="17"/>
        <v>#DIV/0!</v>
      </c>
      <c r="BG26" s="526">
        <f t="shared" si="130"/>
        <v>0</v>
      </c>
      <c r="BH26" s="524"/>
      <c r="BI26" s="525" t="e">
        <f t="shared" si="18"/>
        <v>#DIV/0!</v>
      </c>
      <c r="BJ26" s="526">
        <f t="shared" si="131"/>
        <v>0</v>
      </c>
      <c r="BK26" s="524"/>
      <c r="BL26" s="525" t="e">
        <f t="shared" si="19"/>
        <v>#DIV/0!</v>
      </c>
      <c r="BM26" s="526">
        <f t="shared" si="132"/>
        <v>0</v>
      </c>
      <c r="BN26" s="524"/>
      <c r="BO26" s="525" t="e">
        <f t="shared" si="20"/>
        <v>#DIV/0!</v>
      </c>
      <c r="BP26" s="526">
        <f t="shared" si="133"/>
        <v>0</v>
      </c>
      <c r="BQ26" s="524"/>
      <c r="BR26" s="525" t="e">
        <f t="shared" si="21"/>
        <v>#DIV/0!</v>
      </c>
      <c r="BS26" s="526">
        <f t="shared" si="134"/>
        <v>0</v>
      </c>
      <c r="BT26" s="524"/>
      <c r="BU26" s="525" t="e">
        <f t="shared" si="22"/>
        <v>#DIV/0!</v>
      </c>
      <c r="BV26" s="526">
        <f t="shared" si="135"/>
        <v>0</v>
      </c>
      <c r="BW26" s="524"/>
      <c r="BX26" s="525" t="e">
        <f t="shared" si="23"/>
        <v>#DIV/0!</v>
      </c>
      <c r="BY26" s="526">
        <f t="shared" si="136"/>
        <v>0</v>
      </c>
      <c r="BZ26" s="524"/>
      <c r="CA26" s="525" t="e">
        <f t="shared" si="24"/>
        <v>#DIV/0!</v>
      </c>
      <c r="CB26" s="526">
        <f t="shared" si="137"/>
        <v>0</v>
      </c>
      <c r="CC26" s="524"/>
      <c r="CD26" s="525" t="e">
        <f t="shared" si="25"/>
        <v>#DIV/0!</v>
      </c>
      <c r="CE26" s="526">
        <f t="shared" si="138"/>
        <v>0</v>
      </c>
      <c r="CF26" s="524"/>
      <c r="CG26" s="525" t="e">
        <f t="shared" si="26"/>
        <v>#DIV/0!</v>
      </c>
      <c r="CH26" s="526">
        <f t="shared" si="139"/>
        <v>0</v>
      </c>
      <c r="CI26" s="524"/>
      <c r="CJ26" s="525" t="e">
        <f t="shared" si="27"/>
        <v>#DIV/0!</v>
      </c>
      <c r="CK26" s="526">
        <f t="shared" si="140"/>
        <v>0</v>
      </c>
      <c r="CL26" s="524"/>
      <c r="CM26" s="525" t="e">
        <f t="shared" si="28"/>
        <v>#DIV/0!</v>
      </c>
      <c r="CN26" s="526">
        <f t="shared" si="141"/>
        <v>0</v>
      </c>
      <c r="CO26" s="524"/>
      <c r="CP26" s="525" t="e">
        <f t="shared" si="29"/>
        <v>#DIV/0!</v>
      </c>
      <c r="CQ26" s="526">
        <f t="shared" si="142"/>
        <v>0</v>
      </c>
      <c r="CR26" s="524"/>
      <c r="CS26" s="525" t="e">
        <f t="shared" si="30"/>
        <v>#DIV/0!</v>
      </c>
      <c r="CT26" s="526">
        <f t="shared" si="143"/>
        <v>0</v>
      </c>
      <c r="CU26" s="524"/>
      <c r="CV26" s="525" t="e">
        <f t="shared" si="31"/>
        <v>#DIV/0!</v>
      </c>
      <c r="CW26" s="526">
        <f t="shared" si="144"/>
        <v>0</v>
      </c>
      <c r="CX26" s="524"/>
      <c r="CY26" s="525" t="e">
        <f t="shared" si="32"/>
        <v>#DIV/0!</v>
      </c>
      <c r="CZ26" s="526">
        <f t="shared" si="145"/>
        <v>0</v>
      </c>
      <c r="DA26" s="524"/>
      <c r="DB26" s="525" t="e">
        <f t="shared" si="33"/>
        <v>#DIV/0!</v>
      </c>
      <c r="DC26" s="526">
        <f t="shared" si="146"/>
        <v>0</v>
      </c>
      <c r="DD26" s="524"/>
      <c r="DE26" s="525" t="e">
        <f t="shared" si="34"/>
        <v>#DIV/0!</v>
      </c>
      <c r="DF26" s="526">
        <f t="shared" si="147"/>
        <v>0</v>
      </c>
      <c r="DG26" s="524"/>
      <c r="DH26" s="525" t="e">
        <f t="shared" si="35"/>
        <v>#DIV/0!</v>
      </c>
      <c r="DI26" s="526">
        <f t="shared" si="203"/>
        <v>0</v>
      </c>
      <c r="DJ26" s="524"/>
      <c r="DK26" s="525" t="e">
        <f t="shared" si="36"/>
        <v>#DIV/0!</v>
      </c>
      <c r="DL26" s="526">
        <f t="shared" si="148"/>
        <v>0</v>
      </c>
      <c r="DM26" s="524"/>
      <c r="DN26" s="525" t="e">
        <f t="shared" si="37"/>
        <v>#DIV/0!</v>
      </c>
      <c r="DO26" s="526">
        <f t="shared" si="149"/>
        <v>0</v>
      </c>
      <c r="DP26" s="524"/>
      <c r="DQ26" s="525" t="e">
        <f t="shared" si="38"/>
        <v>#DIV/0!</v>
      </c>
      <c r="DR26" s="526">
        <f t="shared" si="150"/>
        <v>0</v>
      </c>
      <c r="DS26" s="524"/>
      <c r="DT26" s="525" t="e">
        <f t="shared" si="39"/>
        <v>#DIV/0!</v>
      </c>
      <c r="DU26" s="526">
        <f t="shared" si="151"/>
        <v>0</v>
      </c>
      <c r="DV26" s="524"/>
      <c r="DW26" s="525" t="e">
        <f t="shared" si="40"/>
        <v>#DIV/0!</v>
      </c>
      <c r="DX26" s="526">
        <f t="shared" si="152"/>
        <v>0</v>
      </c>
      <c r="DY26" s="524"/>
      <c r="DZ26" s="525" t="e">
        <f t="shared" si="41"/>
        <v>#DIV/0!</v>
      </c>
      <c r="EA26" s="526">
        <f t="shared" si="153"/>
        <v>0</v>
      </c>
      <c r="EB26" s="524"/>
      <c r="EC26" s="525" t="e">
        <f t="shared" si="42"/>
        <v>#DIV/0!</v>
      </c>
      <c r="ED26" s="526">
        <f t="shared" si="154"/>
        <v>0</v>
      </c>
      <c r="EE26" s="524"/>
      <c r="EF26" s="525" t="e">
        <f t="shared" si="43"/>
        <v>#DIV/0!</v>
      </c>
      <c r="EG26" s="526">
        <f t="shared" si="155"/>
        <v>0</v>
      </c>
      <c r="EH26" s="524"/>
      <c r="EI26" s="525" t="e">
        <f t="shared" si="44"/>
        <v>#DIV/0!</v>
      </c>
      <c r="EJ26" s="526">
        <f t="shared" si="156"/>
        <v>0</v>
      </c>
      <c r="EK26" s="524"/>
      <c r="EL26" s="525" t="e">
        <f t="shared" si="45"/>
        <v>#DIV/0!</v>
      </c>
      <c r="EM26" s="526">
        <f t="shared" si="157"/>
        <v>0</v>
      </c>
      <c r="EN26" s="524"/>
      <c r="EO26" s="525" t="e">
        <f t="shared" si="46"/>
        <v>#DIV/0!</v>
      </c>
      <c r="EP26" s="526">
        <f t="shared" si="158"/>
        <v>0</v>
      </c>
      <c r="EQ26" s="524"/>
      <c r="ER26" s="525" t="e">
        <f t="shared" si="47"/>
        <v>#DIV/0!</v>
      </c>
      <c r="ES26" s="526">
        <f t="shared" si="159"/>
        <v>0</v>
      </c>
      <c r="ET26" s="524"/>
      <c r="EU26" s="525" t="e">
        <f t="shared" si="48"/>
        <v>#DIV/0!</v>
      </c>
      <c r="EV26" s="526">
        <f t="shared" si="160"/>
        <v>0</v>
      </c>
      <c r="EW26" s="524"/>
      <c r="EX26" s="525" t="e">
        <f t="shared" si="49"/>
        <v>#DIV/0!</v>
      </c>
      <c r="EY26" s="526">
        <f t="shared" si="161"/>
        <v>0</v>
      </c>
      <c r="EZ26" s="524"/>
      <c r="FA26" s="525" t="e">
        <f t="shared" si="50"/>
        <v>#DIV/0!</v>
      </c>
      <c r="FB26" s="526">
        <f t="shared" si="162"/>
        <v>0</v>
      </c>
      <c r="FC26" s="524"/>
      <c r="FD26" s="525" t="e">
        <f t="shared" si="51"/>
        <v>#DIV/0!</v>
      </c>
      <c r="FE26" s="526">
        <f t="shared" si="163"/>
        <v>0</v>
      </c>
      <c r="FF26" s="524"/>
      <c r="FG26" s="525" t="e">
        <f t="shared" si="52"/>
        <v>#DIV/0!</v>
      </c>
      <c r="FH26" s="526">
        <f t="shared" si="164"/>
        <v>0</v>
      </c>
      <c r="FI26" s="524"/>
      <c r="FJ26" s="525" t="e">
        <f t="shared" si="53"/>
        <v>#DIV/0!</v>
      </c>
      <c r="FK26" s="526">
        <f t="shared" si="165"/>
        <v>0</v>
      </c>
      <c r="FL26" s="524"/>
      <c r="FM26" s="525" t="e">
        <f t="shared" si="54"/>
        <v>#DIV/0!</v>
      </c>
      <c r="FN26" s="526">
        <f t="shared" si="166"/>
        <v>0</v>
      </c>
      <c r="FO26" s="524"/>
      <c r="FP26" s="525" t="e">
        <f t="shared" si="55"/>
        <v>#DIV/0!</v>
      </c>
      <c r="FQ26" s="526">
        <f t="shared" si="167"/>
        <v>0</v>
      </c>
      <c r="FR26" s="524"/>
      <c r="FS26" s="525" t="e">
        <f t="shared" si="56"/>
        <v>#DIV/0!</v>
      </c>
      <c r="FT26" s="526">
        <f t="shared" si="168"/>
        <v>0</v>
      </c>
      <c r="FU26" s="524"/>
      <c r="FV26" s="525" t="e">
        <f t="shared" si="57"/>
        <v>#DIV/0!</v>
      </c>
      <c r="FW26" s="526">
        <f t="shared" si="169"/>
        <v>0</v>
      </c>
      <c r="FX26" s="524"/>
      <c r="FY26" s="525" t="e">
        <f t="shared" si="58"/>
        <v>#DIV/0!</v>
      </c>
      <c r="FZ26" s="526">
        <f t="shared" si="170"/>
        <v>0</v>
      </c>
      <c r="GA26" s="524"/>
      <c r="GB26" s="525" t="e">
        <f t="shared" si="59"/>
        <v>#DIV/0!</v>
      </c>
      <c r="GC26" s="526">
        <f t="shared" si="171"/>
        <v>0</v>
      </c>
      <c r="GD26" s="524"/>
      <c r="GE26" s="525" t="e">
        <f t="shared" si="60"/>
        <v>#DIV/0!</v>
      </c>
      <c r="GF26" s="526">
        <f t="shared" si="172"/>
        <v>0</v>
      </c>
      <c r="GG26" s="524"/>
      <c r="GH26" s="525" t="e">
        <f t="shared" si="61"/>
        <v>#DIV/0!</v>
      </c>
      <c r="GI26" s="526">
        <f t="shared" si="173"/>
        <v>0</v>
      </c>
      <c r="GJ26" s="524"/>
      <c r="GK26" s="525" t="e">
        <f t="shared" si="62"/>
        <v>#DIV/0!</v>
      </c>
      <c r="GL26" s="526">
        <f t="shared" si="174"/>
        <v>0</v>
      </c>
      <c r="GM26" s="524"/>
      <c r="GN26" s="525" t="e">
        <f t="shared" si="63"/>
        <v>#DIV/0!</v>
      </c>
      <c r="GO26" s="526">
        <f t="shared" si="175"/>
        <v>0</v>
      </c>
      <c r="GP26" s="524"/>
      <c r="GQ26" s="525" t="e">
        <f t="shared" si="64"/>
        <v>#DIV/0!</v>
      </c>
      <c r="GR26" s="526">
        <f t="shared" si="176"/>
        <v>0</v>
      </c>
      <c r="GS26" s="524"/>
      <c r="GT26" s="525" t="e">
        <f t="shared" si="65"/>
        <v>#DIV/0!</v>
      </c>
      <c r="GU26" s="526">
        <f t="shared" si="177"/>
        <v>0</v>
      </c>
      <c r="GV26" s="524"/>
      <c r="GW26" s="525" t="e">
        <f t="shared" si="66"/>
        <v>#DIV/0!</v>
      </c>
      <c r="GX26" s="526">
        <f t="shared" si="178"/>
        <v>0</v>
      </c>
      <c r="GY26" s="524"/>
      <c r="GZ26" s="525" t="e">
        <f t="shared" si="67"/>
        <v>#DIV/0!</v>
      </c>
      <c r="HA26" s="526">
        <f t="shared" si="179"/>
        <v>0</v>
      </c>
      <c r="HB26" s="524"/>
      <c r="HC26" s="525" t="e">
        <f t="shared" si="68"/>
        <v>#DIV/0!</v>
      </c>
      <c r="HD26" s="526">
        <f t="shared" si="180"/>
        <v>0</v>
      </c>
      <c r="HE26" s="524"/>
      <c r="HF26" s="525" t="e">
        <f t="shared" si="69"/>
        <v>#DIV/0!</v>
      </c>
      <c r="HG26" s="526">
        <f t="shared" si="181"/>
        <v>0</v>
      </c>
      <c r="HH26" s="524"/>
      <c r="HI26" s="525" t="e">
        <f t="shared" si="70"/>
        <v>#DIV/0!</v>
      </c>
      <c r="HJ26" s="526">
        <f t="shared" si="182"/>
        <v>0</v>
      </c>
      <c r="HK26" s="524"/>
      <c r="HL26" s="525" t="e">
        <f t="shared" si="71"/>
        <v>#DIV/0!</v>
      </c>
      <c r="HM26" s="526">
        <f t="shared" si="183"/>
        <v>0</v>
      </c>
      <c r="HN26" s="524"/>
      <c r="HO26" s="525" t="e">
        <f t="shared" si="72"/>
        <v>#DIV/0!</v>
      </c>
      <c r="HP26" s="526">
        <f t="shared" si="184"/>
        <v>0</v>
      </c>
      <c r="HQ26" s="524"/>
      <c r="HR26" s="525" t="e">
        <f t="shared" si="73"/>
        <v>#DIV/0!</v>
      </c>
      <c r="HS26" s="526">
        <f t="shared" si="185"/>
        <v>0</v>
      </c>
      <c r="HT26" s="524"/>
      <c r="HU26" s="525" t="e">
        <f t="shared" si="74"/>
        <v>#DIV/0!</v>
      </c>
      <c r="HV26" s="526">
        <f t="shared" si="186"/>
        <v>0</v>
      </c>
      <c r="HW26" s="524"/>
      <c r="HX26" s="525" t="e">
        <f t="shared" si="75"/>
        <v>#DIV/0!</v>
      </c>
      <c r="HY26" s="526">
        <f t="shared" si="187"/>
        <v>0</v>
      </c>
      <c r="HZ26" s="524"/>
      <c r="IA26" s="525" t="e">
        <f t="shared" si="76"/>
        <v>#DIV/0!</v>
      </c>
      <c r="IB26" s="526">
        <f t="shared" si="188"/>
        <v>0</v>
      </c>
      <c r="IC26" s="524"/>
      <c r="ID26" s="525" t="e">
        <f t="shared" si="77"/>
        <v>#DIV/0!</v>
      </c>
      <c r="IE26" s="526">
        <f t="shared" si="189"/>
        <v>0</v>
      </c>
      <c r="IF26" s="524"/>
      <c r="IG26" s="525" t="e">
        <f t="shared" si="78"/>
        <v>#DIV/0!</v>
      </c>
      <c r="IH26" s="526">
        <f t="shared" si="190"/>
        <v>0</v>
      </c>
      <c r="II26" s="524"/>
      <c r="IJ26" s="525" t="e">
        <f t="shared" si="79"/>
        <v>#DIV/0!</v>
      </c>
      <c r="IK26" s="526">
        <f t="shared" si="191"/>
        <v>0</v>
      </c>
      <c r="IL26" s="524"/>
      <c r="IM26" s="525" t="e">
        <f t="shared" si="80"/>
        <v>#DIV/0!</v>
      </c>
      <c r="IN26" s="526">
        <f t="shared" si="192"/>
        <v>0</v>
      </c>
      <c r="IO26" s="524"/>
      <c r="IP26" s="525" t="e">
        <f t="shared" si="81"/>
        <v>#DIV/0!</v>
      </c>
      <c r="IQ26" s="526">
        <f t="shared" si="193"/>
        <v>0</v>
      </c>
      <c r="IR26" s="524"/>
      <c r="IS26" s="525" t="e">
        <f t="shared" si="82"/>
        <v>#DIV/0!</v>
      </c>
      <c r="IT26" s="526">
        <f t="shared" si="194"/>
        <v>0</v>
      </c>
      <c r="IU26" s="524"/>
      <c r="IV26" s="525" t="e">
        <f t="shared" si="83"/>
        <v>#DIV/0!</v>
      </c>
      <c r="IW26" s="526">
        <f t="shared" si="195"/>
        <v>0</v>
      </c>
      <c r="IX26" s="524"/>
      <c r="IY26" s="525" t="e">
        <f t="shared" si="84"/>
        <v>#DIV/0!</v>
      </c>
      <c r="IZ26" s="526">
        <f t="shared" si="196"/>
        <v>0</v>
      </c>
      <c r="JA26" s="524"/>
      <c r="JB26" s="525" t="e">
        <f t="shared" si="85"/>
        <v>#DIV/0!</v>
      </c>
      <c r="JC26" s="526">
        <f t="shared" si="197"/>
        <v>0</v>
      </c>
      <c r="JD26" s="524"/>
      <c r="JE26" s="525" t="e">
        <f t="shared" si="86"/>
        <v>#DIV/0!</v>
      </c>
      <c r="JF26" s="526">
        <f t="shared" si="198"/>
        <v>0</v>
      </c>
      <c r="JG26" s="524"/>
      <c r="JH26" s="525" t="e">
        <f t="shared" si="87"/>
        <v>#DIV/0!</v>
      </c>
      <c r="JI26" s="526">
        <f t="shared" si="199"/>
        <v>0</v>
      </c>
      <c r="JJ26" s="524"/>
      <c r="JK26" s="526" t="str">
        <f t="shared" si="88"/>
        <v>0</v>
      </c>
      <c r="JL26" s="526" t="str">
        <f t="shared" si="89"/>
        <v>0</v>
      </c>
      <c r="JM26" s="524"/>
      <c r="JN26" s="526" t="str">
        <f t="shared" si="90"/>
        <v>0</v>
      </c>
      <c r="JO26" s="526" t="str">
        <f t="shared" si="91"/>
        <v>0</v>
      </c>
      <c r="JP26" s="524"/>
      <c r="JQ26" s="526" t="str">
        <f t="shared" si="92"/>
        <v>0</v>
      </c>
      <c r="JR26" s="526" t="str">
        <f t="shared" si="93"/>
        <v>0</v>
      </c>
      <c r="JS26" s="524"/>
      <c r="JT26" s="526" t="str">
        <f t="shared" si="94"/>
        <v>0</v>
      </c>
      <c r="JU26" s="526" t="str">
        <f t="shared" si="95"/>
        <v>0</v>
      </c>
      <c r="JV26" s="524"/>
      <c r="JW26" s="526" t="str">
        <f t="shared" si="96"/>
        <v>0</v>
      </c>
      <c r="JX26" s="526" t="str">
        <f t="shared" si="97"/>
        <v>0</v>
      </c>
      <c r="JY26" s="524"/>
      <c r="JZ26" s="526" t="str">
        <f t="shared" si="98"/>
        <v>0</v>
      </c>
      <c r="KA26" s="526" t="str">
        <f t="shared" si="99"/>
        <v>0</v>
      </c>
      <c r="KB26" s="524"/>
      <c r="KC26" s="526" t="str">
        <f t="shared" si="100"/>
        <v>0</v>
      </c>
      <c r="KD26" s="526" t="str">
        <f t="shared" si="101"/>
        <v>0</v>
      </c>
      <c r="KE26" s="524"/>
      <c r="KF26" s="526" t="str">
        <f t="shared" si="102"/>
        <v>0</v>
      </c>
      <c r="KG26" s="526" t="str">
        <f t="shared" si="103"/>
        <v>0</v>
      </c>
      <c r="KH26" s="524"/>
      <c r="KI26" s="526" t="str">
        <f t="shared" si="104"/>
        <v>0</v>
      </c>
      <c r="KJ26" s="526" t="str">
        <f t="shared" si="105"/>
        <v>0</v>
      </c>
      <c r="KK26" s="524"/>
      <c r="KL26" s="526" t="str">
        <f t="shared" si="106"/>
        <v>0</v>
      </c>
      <c r="KM26" s="526" t="str">
        <f t="shared" si="107"/>
        <v>0</v>
      </c>
      <c r="KN26" s="524"/>
      <c r="KO26" s="526" t="str">
        <f t="shared" si="108"/>
        <v>0</v>
      </c>
      <c r="KP26" s="526" t="str">
        <f t="shared" si="109"/>
        <v>0</v>
      </c>
      <c r="KQ26" s="524"/>
      <c r="KR26" s="526" t="str">
        <f t="shared" si="110"/>
        <v>0</v>
      </c>
      <c r="KS26" s="526" t="str">
        <f t="shared" si="111"/>
        <v>0</v>
      </c>
      <c r="KT26" s="526">
        <f t="shared" si="201"/>
        <v>0</v>
      </c>
      <c r="KU26" s="526">
        <f t="shared" si="202"/>
        <v>0</v>
      </c>
      <c r="KV26" s="262">
        <f t="shared" si="204"/>
        <v>0</v>
      </c>
    </row>
    <row r="27" spans="1:308">
      <c r="A27" s="263">
        <f t="shared" si="200"/>
        <v>45919</v>
      </c>
      <c r="B27" s="264" t="str">
        <f>+Report1!B27</f>
        <v>STOP</v>
      </c>
      <c r="C27" s="264" t="str">
        <f>+Report1!C27</f>
        <v>12</v>
      </c>
      <c r="D27" s="265">
        <f>+Report1!P27</f>
        <v>0</v>
      </c>
      <c r="E27" s="556">
        <f>+Report1!R27</f>
        <v>0</v>
      </c>
      <c r="F27" s="524"/>
      <c r="G27" s="525" t="e">
        <f t="shared" si="0"/>
        <v>#DIV/0!</v>
      </c>
      <c r="H27" s="526">
        <f t="shared" si="113"/>
        <v>0</v>
      </c>
      <c r="I27" s="524"/>
      <c r="J27" s="525" t="e">
        <f t="shared" si="1"/>
        <v>#DIV/0!</v>
      </c>
      <c r="K27" s="526">
        <f t="shared" si="114"/>
        <v>0</v>
      </c>
      <c r="L27" s="524"/>
      <c r="M27" s="525" t="e">
        <f t="shared" si="2"/>
        <v>#DIV/0!</v>
      </c>
      <c r="N27" s="526">
        <f t="shared" si="115"/>
        <v>0</v>
      </c>
      <c r="O27" s="524"/>
      <c r="P27" s="525" t="e">
        <f t="shared" si="3"/>
        <v>#DIV/0!</v>
      </c>
      <c r="Q27" s="526">
        <f t="shared" si="116"/>
        <v>0</v>
      </c>
      <c r="R27" s="524"/>
      <c r="S27" s="525" t="e">
        <f t="shared" si="4"/>
        <v>#DIV/0!</v>
      </c>
      <c r="T27" s="526">
        <f t="shared" si="117"/>
        <v>0</v>
      </c>
      <c r="U27" s="524"/>
      <c r="V27" s="525" t="e">
        <f t="shared" si="5"/>
        <v>#DIV/0!</v>
      </c>
      <c r="W27" s="526">
        <f t="shared" si="118"/>
        <v>0</v>
      </c>
      <c r="X27" s="524"/>
      <c r="Y27" s="525" t="e">
        <f t="shared" si="6"/>
        <v>#DIV/0!</v>
      </c>
      <c r="Z27" s="526">
        <f t="shared" si="119"/>
        <v>0</v>
      </c>
      <c r="AA27" s="524"/>
      <c r="AB27" s="525" t="e">
        <f t="shared" si="7"/>
        <v>#DIV/0!</v>
      </c>
      <c r="AC27" s="526">
        <f t="shared" si="120"/>
        <v>0</v>
      </c>
      <c r="AD27" s="524"/>
      <c r="AE27" s="525" t="e">
        <f t="shared" si="8"/>
        <v>#DIV/0!</v>
      </c>
      <c r="AF27" s="526">
        <f t="shared" si="121"/>
        <v>0</v>
      </c>
      <c r="AG27" s="524"/>
      <c r="AH27" s="525" t="e">
        <f t="shared" si="9"/>
        <v>#DIV/0!</v>
      </c>
      <c r="AI27" s="526">
        <f t="shared" si="122"/>
        <v>0</v>
      </c>
      <c r="AJ27" s="524"/>
      <c r="AK27" s="525" t="e">
        <f t="shared" si="10"/>
        <v>#DIV/0!</v>
      </c>
      <c r="AL27" s="526">
        <f t="shared" si="123"/>
        <v>0</v>
      </c>
      <c r="AM27" s="524"/>
      <c r="AN27" s="525" t="e">
        <f t="shared" si="11"/>
        <v>#DIV/0!</v>
      </c>
      <c r="AO27" s="526">
        <f t="shared" si="124"/>
        <v>0</v>
      </c>
      <c r="AP27" s="524"/>
      <c r="AQ27" s="525" t="e">
        <f t="shared" si="12"/>
        <v>#DIV/0!</v>
      </c>
      <c r="AR27" s="526">
        <f t="shared" si="125"/>
        <v>0</v>
      </c>
      <c r="AS27" s="524"/>
      <c r="AT27" s="525" t="e">
        <f t="shared" si="13"/>
        <v>#DIV/0!</v>
      </c>
      <c r="AU27" s="526">
        <f t="shared" si="126"/>
        <v>0</v>
      </c>
      <c r="AV27" s="524"/>
      <c r="AW27" s="525" t="e">
        <f t="shared" si="14"/>
        <v>#DIV/0!</v>
      </c>
      <c r="AX27" s="526">
        <f t="shared" si="127"/>
        <v>0</v>
      </c>
      <c r="AY27" s="524">
        <v>0</v>
      </c>
      <c r="AZ27" s="525" t="e">
        <f t="shared" si="15"/>
        <v>#DIV/0!</v>
      </c>
      <c r="BA27" s="526">
        <f t="shared" si="128"/>
        <v>0</v>
      </c>
      <c r="BB27" s="524"/>
      <c r="BC27" s="525" t="e">
        <f t="shared" si="16"/>
        <v>#DIV/0!</v>
      </c>
      <c r="BD27" s="526">
        <f t="shared" si="129"/>
        <v>0</v>
      </c>
      <c r="BE27" s="524"/>
      <c r="BF27" s="525" t="e">
        <f t="shared" si="17"/>
        <v>#DIV/0!</v>
      </c>
      <c r="BG27" s="526">
        <f t="shared" si="130"/>
        <v>0</v>
      </c>
      <c r="BH27" s="524"/>
      <c r="BI27" s="525" t="e">
        <f t="shared" si="18"/>
        <v>#DIV/0!</v>
      </c>
      <c r="BJ27" s="526">
        <f t="shared" si="131"/>
        <v>0</v>
      </c>
      <c r="BK27" s="524"/>
      <c r="BL27" s="525" t="e">
        <f t="shared" si="19"/>
        <v>#DIV/0!</v>
      </c>
      <c r="BM27" s="526">
        <f t="shared" si="132"/>
        <v>0</v>
      </c>
      <c r="BN27" s="524"/>
      <c r="BO27" s="525" t="e">
        <f t="shared" si="20"/>
        <v>#DIV/0!</v>
      </c>
      <c r="BP27" s="526">
        <f t="shared" si="133"/>
        <v>0</v>
      </c>
      <c r="BQ27" s="524"/>
      <c r="BR27" s="525" t="e">
        <f t="shared" si="21"/>
        <v>#DIV/0!</v>
      </c>
      <c r="BS27" s="526">
        <f t="shared" si="134"/>
        <v>0</v>
      </c>
      <c r="BT27" s="524"/>
      <c r="BU27" s="525" t="e">
        <f t="shared" si="22"/>
        <v>#DIV/0!</v>
      </c>
      <c r="BV27" s="526">
        <f t="shared" si="135"/>
        <v>0</v>
      </c>
      <c r="BW27" s="524"/>
      <c r="BX27" s="525" t="e">
        <f t="shared" si="23"/>
        <v>#DIV/0!</v>
      </c>
      <c r="BY27" s="526">
        <f t="shared" si="136"/>
        <v>0</v>
      </c>
      <c r="BZ27" s="524"/>
      <c r="CA27" s="525" t="e">
        <f t="shared" si="24"/>
        <v>#DIV/0!</v>
      </c>
      <c r="CB27" s="526">
        <f t="shared" si="137"/>
        <v>0</v>
      </c>
      <c r="CC27" s="524"/>
      <c r="CD27" s="525" t="e">
        <f t="shared" si="25"/>
        <v>#DIV/0!</v>
      </c>
      <c r="CE27" s="526">
        <f t="shared" si="138"/>
        <v>0</v>
      </c>
      <c r="CF27" s="524"/>
      <c r="CG27" s="525" t="e">
        <f t="shared" si="26"/>
        <v>#DIV/0!</v>
      </c>
      <c r="CH27" s="526">
        <f t="shared" si="139"/>
        <v>0</v>
      </c>
      <c r="CI27" s="524"/>
      <c r="CJ27" s="525" t="e">
        <f t="shared" si="27"/>
        <v>#DIV/0!</v>
      </c>
      <c r="CK27" s="526">
        <f t="shared" si="140"/>
        <v>0</v>
      </c>
      <c r="CL27" s="524"/>
      <c r="CM27" s="525" t="e">
        <f t="shared" si="28"/>
        <v>#DIV/0!</v>
      </c>
      <c r="CN27" s="526">
        <f t="shared" si="141"/>
        <v>0</v>
      </c>
      <c r="CO27" s="524"/>
      <c r="CP27" s="525" t="e">
        <f t="shared" si="29"/>
        <v>#DIV/0!</v>
      </c>
      <c r="CQ27" s="526">
        <f t="shared" si="142"/>
        <v>0</v>
      </c>
      <c r="CR27" s="524"/>
      <c r="CS27" s="525" t="e">
        <f t="shared" si="30"/>
        <v>#DIV/0!</v>
      </c>
      <c r="CT27" s="526">
        <f t="shared" si="143"/>
        <v>0</v>
      </c>
      <c r="CU27" s="524"/>
      <c r="CV27" s="525" t="e">
        <f t="shared" si="31"/>
        <v>#DIV/0!</v>
      </c>
      <c r="CW27" s="526">
        <f t="shared" si="144"/>
        <v>0</v>
      </c>
      <c r="CX27" s="524"/>
      <c r="CY27" s="525" t="e">
        <f t="shared" si="32"/>
        <v>#DIV/0!</v>
      </c>
      <c r="CZ27" s="526">
        <f t="shared" si="145"/>
        <v>0</v>
      </c>
      <c r="DA27" s="524"/>
      <c r="DB27" s="525" t="e">
        <f t="shared" si="33"/>
        <v>#DIV/0!</v>
      </c>
      <c r="DC27" s="526">
        <f t="shared" si="146"/>
        <v>0</v>
      </c>
      <c r="DD27" s="524"/>
      <c r="DE27" s="525" t="e">
        <f t="shared" si="34"/>
        <v>#DIV/0!</v>
      </c>
      <c r="DF27" s="526">
        <f t="shared" si="147"/>
        <v>0</v>
      </c>
      <c r="DG27" s="524"/>
      <c r="DH27" s="525" t="e">
        <f t="shared" si="35"/>
        <v>#DIV/0!</v>
      </c>
      <c r="DI27" s="526">
        <f t="shared" si="203"/>
        <v>0</v>
      </c>
      <c r="DJ27" s="524"/>
      <c r="DK27" s="525" t="e">
        <f t="shared" si="36"/>
        <v>#DIV/0!</v>
      </c>
      <c r="DL27" s="526">
        <f t="shared" si="148"/>
        <v>0</v>
      </c>
      <c r="DM27" s="524"/>
      <c r="DN27" s="525" t="e">
        <f t="shared" si="37"/>
        <v>#DIV/0!</v>
      </c>
      <c r="DO27" s="526">
        <f t="shared" si="149"/>
        <v>0</v>
      </c>
      <c r="DP27" s="524"/>
      <c r="DQ27" s="525" t="e">
        <f t="shared" si="38"/>
        <v>#DIV/0!</v>
      </c>
      <c r="DR27" s="526">
        <f t="shared" si="150"/>
        <v>0</v>
      </c>
      <c r="DS27" s="524"/>
      <c r="DT27" s="525" t="e">
        <f t="shared" si="39"/>
        <v>#DIV/0!</v>
      </c>
      <c r="DU27" s="526">
        <f t="shared" si="151"/>
        <v>0</v>
      </c>
      <c r="DV27" s="524"/>
      <c r="DW27" s="525" t="e">
        <f t="shared" si="40"/>
        <v>#DIV/0!</v>
      </c>
      <c r="DX27" s="526">
        <f t="shared" si="152"/>
        <v>0</v>
      </c>
      <c r="DY27" s="524"/>
      <c r="DZ27" s="525" t="e">
        <f t="shared" si="41"/>
        <v>#DIV/0!</v>
      </c>
      <c r="EA27" s="526">
        <f t="shared" si="153"/>
        <v>0</v>
      </c>
      <c r="EB27" s="524"/>
      <c r="EC27" s="525" t="e">
        <f t="shared" si="42"/>
        <v>#DIV/0!</v>
      </c>
      <c r="ED27" s="526">
        <f t="shared" si="154"/>
        <v>0</v>
      </c>
      <c r="EE27" s="524"/>
      <c r="EF27" s="525" t="e">
        <f t="shared" si="43"/>
        <v>#DIV/0!</v>
      </c>
      <c r="EG27" s="526">
        <f t="shared" si="155"/>
        <v>0</v>
      </c>
      <c r="EH27" s="524"/>
      <c r="EI27" s="525" t="e">
        <f t="shared" si="44"/>
        <v>#DIV/0!</v>
      </c>
      <c r="EJ27" s="526">
        <f t="shared" si="156"/>
        <v>0</v>
      </c>
      <c r="EK27" s="524"/>
      <c r="EL27" s="525" t="e">
        <f t="shared" si="45"/>
        <v>#DIV/0!</v>
      </c>
      <c r="EM27" s="526">
        <f t="shared" si="157"/>
        <v>0</v>
      </c>
      <c r="EN27" s="524"/>
      <c r="EO27" s="525" t="e">
        <f t="shared" si="46"/>
        <v>#DIV/0!</v>
      </c>
      <c r="EP27" s="526">
        <f t="shared" si="158"/>
        <v>0</v>
      </c>
      <c r="EQ27" s="524"/>
      <c r="ER27" s="525" t="e">
        <f t="shared" si="47"/>
        <v>#DIV/0!</v>
      </c>
      <c r="ES27" s="526">
        <f t="shared" si="159"/>
        <v>0</v>
      </c>
      <c r="ET27" s="524"/>
      <c r="EU27" s="525" t="e">
        <f t="shared" si="48"/>
        <v>#DIV/0!</v>
      </c>
      <c r="EV27" s="526">
        <f t="shared" si="160"/>
        <v>0</v>
      </c>
      <c r="EW27" s="524"/>
      <c r="EX27" s="525" t="e">
        <f t="shared" si="49"/>
        <v>#DIV/0!</v>
      </c>
      <c r="EY27" s="526">
        <f t="shared" si="161"/>
        <v>0</v>
      </c>
      <c r="EZ27" s="524"/>
      <c r="FA27" s="525" t="e">
        <f t="shared" si="50"/>
        <v>#DIV/0!</v>
      </c>
      <c r="FB27" s="526">
        <f t="shared" si="162"/>
        <v>0</v>
      </c>
      <c r="FC27" s="524"/>
      <c r="FD27" s="525" t="e">
        <f t="shared" si="51"/>
        <v>#DIV/0!</v>
      </c>
      <c r="FE27" s="526">
        <f t="shared" si="163"/>
        <v>0</v>
      </c>
      <c r="FF27" s="524"/>
      <c r="FG27" s="525" t="e">
        <f t="shared" si="52"/>
        <v>#DIV/0!</v>
      </c>
      <c r="FH27" s="526">
        <f t="shared" si="164"/>
        <v>0</v>
      </c>
      <c r="FI27" s="524"/>
      <c r="FJ27" s="525" t="e">
        <f t="shared" si="53"/>
        <v>#DIV/0!</v>
      </c>
      <c r="FK27" s="526">
        <f t="shared" si="165"/>
        <v>0</v>
      </c>
      <c r="FL27" s="524"/>
      <c r="FM27" s="525" t="e">
        <f t="shared" si="54"/>
        <v>#DIV/0!</v>
      </c>
      <c r="FN27" s="526">
        <f t="shared" si="166"/>
        <v>0</v>
      </c>
      <c r="FO27" s="524"/>
      <c r="FP27" s="525" t="e">
        <f t="shared" si="55"/>
        <v>#DIV/0!</v>
      </c>
      <c r="FQ27" s="526">
        <f t="shared" si="167"/>
        <v>0</v>
      </c>
      <c r="FR27" s="524"/>
      <c r="FS27" s="525" t="e">
        <f t="shared" si="56"/>
        <v>#DIV/0!</v>
      </c>
      <c r="FT27" s="526">
        <f t="shared" si="168"/>
        <v>0</v>
      </c>
      <c r="FU27" s="524"/>
      <c r="FV27" s="525" t="e">
        <f t="shared" si="57"/>
        <v>#DIV/0!</v>
      </c>
      <c r="FW27" s="526">
        <f t="shared" si="169"/>
        <v>0</v>
      </c>
      <c r="FX27" s="524"/>
      <c r="FY27" s="525" t="e">
        <f t="shared" si="58"/>
        <v>#DIV/0!</v>
      </c>
      <c r="FZ27" s="526">
        <f t="shared" si="170"/>
        <v>0</v>
      </c>
      <c r="GA27" s="524"/>
      <c r="GB27" s="525" t="e">
        <f t="shared" si="59"/>
        <v>#DIV/0!</v>
      </c>
      <c r="GC27" s="526">
        <f t="shared" si="171"/>
        <v>0</v>
      </c>
      <c r="GD27" s="524"/>
      <c r="GE27" s="525" t="e">
        <f t="shared" si="60"/>
        <v>#DIV/0!</v>
      </c>
      <c r="GF27" s="526">
        <f t="shared" si="172"/>
        <v>0</v>
      </c>
      <c r="GG27" s="524"/>
      <c r="GH27" s="525" t="e">
        <f t="shared" si="61"/>
        <v>#DIV/0!</v>
      </c>
      <c r="GI27" s="526">
        <f t="shared" si="173"/>
        <v>0</v>
      </c>
      <c r="GJ27" s="524"/>
      <c r="GK27" s="525" t="e">
        <f t="shared" si="62"/>
        <v>#DIV/0!</v>
      </c>
      <c r="GL27" s="526">
        <f t="shared" si="174"/>
        <v>0</v>
      </c>
      <c r="GM27" s="524"/>
      <c r="GN27" s="525" t="e">
        <f t="shared" si="63"/>
        <v>#DIV/0!</v>
      </c>
      <c r="GO27" s="526">
        <f t="shared" si="175"/>
        <v>0</v>
      </c>
      <c r="GP27" s="524"/>
      <c r="GQ27" s="525" t="e">
        <f t="shared" si="64"/>
        <v>#DIV/0!</v>
      </c>
      <c r="GR27" s="526">
        <f t="shared" si="176"/>
        <v>0</v>
      </c>
      <c r="GS27" s="524"/>
      <c r="GT27" s="525" t="e">
        <f t="shared" si="65"/>
        <v>#DIV/0!</v>
      </c>
      <c r="GU27" s="526">
        <f t="shared" si="177"/>
        <v>0</v>
      </c>
      <c r="GV27" s="524"/>
      <c r="GW27" s="525" t="e">
        <f t="shared" si="66"/>
        <v>#DIV/0!</v>
      </c>
      <c r="GX27" s="526">
        <f t="shared" si="178"/>
        <v>0</v>
      </c>
      <c r="GY27" s="524"/>
      <c r="GZ27" s="525" t="e">
        <f t="shared" si="67"/>
        <v>#DIV/0!</v>
      </c>
      <c r="HA27" s="526">
        <f t="shared" si="179"/>
        <v>0</v>
      </c>
      <c r="HB27" s="524"/>
      <c r="HC27" s="525" t="e">
        <f t="shared" si="68"/>
        <v>#DIV/0!</v>
      </c>
      <c r="HD27" s="526">
        <f t="shared" si="180"/>
        <v>0</v>
      </c>
      <c r="HE27" s="524"/>
      <c r="HF27" s="525" t="e">
        <f t="shared" si="69"/>
        <v>#DIV/0!</v>
      </c>
      <c r="HG27" s="526">
        <f t="shared" si="181"/>
        <v>0</v>
      </c>
      <c r="HH27" s="524"/>
      <c r="HI27" s="525" t="e">
        <f t="shared" si="70"/>
        <v>#DIV/0!</v>
      </c>
      <c r="HJ27" s="526">
        <f t="shared" si="182"/>
        <v>0</v>
      </c>
      <c r="HK27" s="524"/>
      <c r="HL27" s="525" t="e">
        <f t="shared" si="71"/>
        <v>#DIV/0!</v>
      </c>
      <c r="HM27" s="526">
        <f t="shared" si="183"/>
        <v>0</v>
      </c>
      <c r="HN27" s="524"/>
      <c r="HO27" s="525" t="e">
        <f t="shared" si="72"/>
        <v>#DIV/0!</v>
      </c>
      <c r="HP27" s="526">
        <f t="shared" si="184"/>
        <v>0</v>
      </c>
      <c r="HQ27" s="524"/>
      <c r="HR27" s="525" t="e">
        <f t="shared" si="73"/>
        <v>#DIV/0!</v>
      </c>
      <c r="HS27" s="526">
        <f t="shared" si="185"/>
        <v>0</v>
      </c>
      <c r="HT27" s="524"/>
      <c r="HU27" s="525" t="e">
        <f t="shared" si="74"/>
        <v>#DIV/0!</v>
      </c>
      <c r="HV27" s="526">
        <f t="shared" si="186"/>
        <v>0</v>
      </c>
      <c r="HW27" s="524"/>
      <c r="HX27" s="525" t="e">
        <f t="shared" si="75"/>
        <v>#DIV/0!</v>
      </c>
      <c r="HY27" s="526">
        <f t="shared" si="187"/>
        <v>0</v>
      </c>
      <c r="HZ27" s="524"/>
      <c r="IA27" s="525" t="e">
        <f t="shared" si="76"/>
        <v>#DIV/0!</v>
      </c>
      <c r="IB27" s="526">
        <f t="shared" si="188"/>
        <v>0</v>
      </c>
      <c r="IC27" s="524"/>
      <c r="ID27" s="525" t="e">
        <f t="shared" si="77"/>
        <v>#DIV/0!</v>
      </c>
      <c r="IE27" s="526">
        <f t="shared" si="189"/>
        <v>0</v>
      </c>
      <c r="IF27" s="524"/>
      <c r="IG27" s="525" t="e">
        <f t="shared" si="78"/>
        <v>#DIV/0!</v>
      </c>
      <c r="IH27" s="526">
        <f t="shared" si="190"/>
        <v>0</v>
      </c>
      <c r="II27" s="524"/>
      <c r="IJ27" s="525" t="e">
        <f t="shared" si="79"/>
        <v>#DIV/0!</v>
      </c>
      <c r="IK27" s="526">
        <f t="shared" si="191"/>
        <v>0</v>
      </c>
      <c r="IL27" s="524"/>
      <c r="IM27" s="525" t="e">
        <f t="shared" si="80"/>
        <v>#DIV/0!</v>
      </c>
      <c r="IN27" s="526">
        <f t="shared" si="192"/>
        <v>0</v>
      </c>
      <c r="IO27" s="524"/>
      <c r="IP27" s="525" t="e">
        <f t="shared" si="81"/>
        <v>#DIV/0!</v>
      </c>
      <c r="IQ27" s="526">
        <f t="shared" si="193"/>
        <v>0</v>
      </c>
      <c r="IR27" s="524"/>
      <c r="IS27" s="525" t="e">
        <f t="shared" si="82"/>
        <v>#DIV/0!</v>
      </c>
      <c r="IT27" s="526">
        <f t="shared" si="194"/>
        <v>0</v>
      </c>
      <c r="IU27" s="524"/>
      <c r="IV27" s="525" t="e">
        <f t="shared" si="83"/>
        <v>#DIV/0!</v>
      </c>
      <c r="IW27" s="526">
        <f t="shared" si="195"/>
        <v>0</v>
      </c>
      <c r="IX27" s="524"/>
      <c r="IY27" s="525" t="e">
        <f t="shared" si="84"/>
        <v>#DIV/0!</v>
      </c>
      <c r="IZ27" s="526">
        <f t="shared" si="196"/>
        <v>0</v>
      </c>
      <c r="JA27" s="524"/>
      <c r="JB27" s="525" t="e">
        <f t="shared" si="85"/>
        <v>#DIV/0!</v>
      </c>
      <c r="JC27" s="526">
        <f t="shared" si="197"/>
        <v>0</v>
      </c>
      <c r="JD27" s="524"/>
      <c r="JE27" s="525" t="e">
        <f t="shared" si="86"/>
        <v>#DIV/0!</v>
      </c>
      <c r="JF27" s="526">
        <f t="shared" si="198"/>
        <v>0</v>
      </c>
      <c r="JG27" s="524"/>
      <c r="JH27" s="525" t="e">
        <f t="shared" si="87"/>
        <v>#DIV/0!</v>
      </c>
      <c r="JI27" s="526">
        <f t="shared" si="199"/>
        <v>0</v>
      </c>
      <c r="JJ27" s="524"/>
      <c r="JK27" s="526" t="str">
        <f t="shared" si="88"/>
        <v>0</v>
      </c>
      <c r="JL27" s="526" t="str">
        <f t="shared" si="89"/>
        <v>0</v>
      </c>
      <c r="JM27" s="524"/>
      <c r="JN27" s="526" t="str">
        <f t="shared" si="90"/>
        <v>0</v>
      </c>
      <c r="JO27" s="526" t="str">
        <f t="shared" si="91"/>
        <v>0</v>
      </c>
      <c r="JP27" s="524"/>
      <c r="JQ27" s="526" t="str">
        <f t="shared" si="92"/>
        <v>0</v>
      </c>
      <c r="JR27" s="526" t="str">
        <f t="shared" si="93"/>
        <v>0</v>
      </c>
      <c r="JS27" s="524"/>
      <c r="JT27" s="526" t="str">
        <f t="shared" si="94"/>
        <v>0</v>
      </c>
      <c r="JU27" s="526" t="str">
        <f t="shared" si="95"/>
        <v>0</v>
      </c>
      <c r="JV27" s="524"/>
      <c r="JW27" s="526" t="str">
        <f t="shared" si="96"/>
        <v>0</v>
      </c>
      <c r="JX27" s="526" t="str">
        <f t="shared" si="97"/>
        <v>0</v>
      </c>
      <c r="JY27" s="524"/>
      <c r="JZ27" s="526" t="str">
        <f t="shared" si="98"/>
        <v>0</v>
      </c>
      <c r="KA27" s="526" t="str">
        <f t="shared" si="99"/>
        <v>0</v>
      </c>
      <c r="KB27" s="524"/>
      <c r="KC27" s="526" t="str">
        <f t="shared" si="100"/>
        <v>0</v>
      </c>
      <c r="KD27" s="526" t="str">
        <f t="shared" si="101"/>
        <v>0</v>
      </c>
      <c r="KE27" s="524"/>
      <c r="KF27" s="526" t="str">
        <f t="shared" si="102"/>
        <v>0</v>
      </c>
      <c r="KG27" s="526" t="str">
        <f t="shared" si="103"/>
        <v>0</v>
      </c>
      <c r="KH27" s="524"/>
      <c r="KI27" s="526" t="str">
        <f t="shared" si="104"/>
        <v>0</v>
      </c>
      <c r="KJ27" s="526" t="str">
        <f t="shared" si="105"/>
        <v>0</v>
      </c>
      <c r="KK27" s="524"/>
      <c r="KL27" s="526" t="str">
        <f t="shared" si="106"/>
        <v>0</v>
      </c>
      <c r="KM27" s="526" t="str">
        <f t="shared" si="107"/>
        <v>0</v>
      </c>
      <c r="KN27" s="524"/>
      <c r="KO27" s="526" t="str">
        <f t="shared" si="108"/>
        <v>0</v>
      </c>
      <c r="KP27" s="526" t="str">
        <f t="shared" si="109"/>
        <v>0</v>
      </c>
      <c r="KQ27" s="524"/>
      <c r="KR27" s="526" t="str">
        <f t="shared" si="110"/>
        <v>0</v>
      </c>
      <c r="KS27" s="526" t="str">
        <f t="shared" si="111"/>
        <v>0</v>
      </c>
      <c r="KT27" s="526">
        <f t="shared" si="201"/>
        <v>0</v>
      </c>
      <c r="KU27" s="526">
        <f t="shared" si="202"/>
        <v>0</v>
      </c>
      <c r="KV27" s="262">
        <f t="shared" si="204"/>
        <v>0</v>
      </c>
    </row>
    <row r="28" spans="1:308">
      <c r="A28" s="263">
        <f t="shared" si="200"/>
        <v>45920</v>
      </c>
      <c r="B28" s="264" t="str">
        <f>+Report1!B28</f>
        <v>STOP</v>
      </c>
      <c r="C28" s="264" t="str">
        <f>+Report1!C28</f>
        <v>12</v>
      </c>
      <c r="D28" s="265">
        <f>+Report1!P28</f>
        <v>0</v>
      </c>
      <c r="E28" s="556">
        <f>+Report1!R28</f>
        <v>0</v>
      </c>
      <c r="F28" s="524"/>
      <c r="G28" s="525" t="e">
        <f t="shared" si="0"/>
        <v>#DIV/0!</v>
      </c>
      <c r="H28" s="526">
        <f t="shared" si="113"/>
        <v>0</v>
      </c>
      <c r="I28" s="524"/>
      <c r="J28" s="525" t="e">
        <f t="shared" si="1"/>
        <v>#DIV/0!</v>
      </c>
      <c r="K28" s="526">
        <f t="shared" si="114"/>
        <v>0</v>
      </c>
      <c r="L28" s="524"/>
      <c r="M28" s="525" t="e">
        <f t="shared" si="2"/>
        <v>#DIV/0!</v>
      </c>
      <c r="N28" s="526">
        <f t="shared" si="115"/>
        <v>0</v>
      </c>
      <c r="O28" s="524"/>
      <c r="P28" s="525" t="e">
        <f t="shared" si="3"/>
        <v>#DIV/0!</v>
      </c>
      <c r="Q28" s="526">
        <f t="shared" si="116"/>
        <v>0</v>
      </c>
      <c r="R28" s="524"/>
      <c r="S28" s="525" t="e">
        <f t="shared" si="4"/>
        <v>#DIV/0!</v>
      </c>
      <c r="T28" s="526">
        <f t="shared" si="117"/>
        <v>0</v>
      </c>
      <c r="U28" s="524"/>
      <c r="V28" s="525" t="e">
        <f t="shared" si="5"/>
        <v>#DIV/0!</v>
      </c>
      <c r="W28" s="526">
        <f t="shared" si="118"/>
        <v>0</v>
      </c>
      <c r="X28" s="524"/>
      <c r="Y28" s="525" t="e">
        <f t="shared" si="6"/>
        <v>#DIV/0!</v>
      </c>
      <c r="Z28" s="526">
        <f t="shared" si="119"/>
        <v>0</v>
      </c>
      <c r="AA28" s="524"/>
      <c r="AB28" s="525" t="e">
        <f t="shared" si="7"/>
        <v>#DIV/0!</v>
      </c>
      <c r="AC28" s="526">
        <f t="shared" si="120"/>
        <v>0</v>
      </c>
      <c r="AD28" s="524"/>
      <c r="AE28" s="525" t="e">
        <f t="shared" si="8"/>
        <v>#DIV/0!</v>
      </c>
      <c r="AF28" s="526">
        <f t="shared" si="121"/>
        <v>0</v>
      </c>
      <c r="AG28" s="524"/>
      <c r="AH28" s="525" t="e">
        <f t="shared" si="9"/>
        <v>#DIV/0!</v>
      </c>
      <c r="AI28" s="526">
        <f t="shared" si="122"/>
        <v>0</v>
      </c>
      <c r="AJ28" s="524"/>
      <c r="AK28" s="525" t="e">
        <f t="shared" si="10"/>
        <v>#DIV/0!</v>
      </c>
      <c r="AL28" s="526">
        <f t="shared" si="123"/>
        <v>0</v>
      </c>
      <c r="AM28" s="524"/>
      <c r="AN28" s="525" t="e">
        <f t="shared" si="11"/>
        <v>#DIV/0!</v>
      </c>
      <c r="AO28" s="526">
        <f t="shared" si="124"/>
        <v>0</v>
      </c>
      <c r="AP28" s="524"/>
      <c r="AQ28" s="525" t="e">
        <f t="shared" si="12"/>
        <v>#DIV/0!</v>
      </c>
      <c r="AR28" s="526">
        <f t="shared" si="125"/>
        <v>0</v>
      </c>
      <c r="AS28" s="524"/>
      <c r="AT28" s="525" t="e">
        <f t="shared" si="13"/>
        <v>#DIV/0!</v>
      </c>
      <c r="AU28" s="526">
        <f t="shared" si="126"/>
        <v>0</v>
      </c>
      <c r="AV28" s="524"/>
      <c r="AW28" s="525" t="e">
        <f t="shared" si="14"/>
        <v>#DIV/0!</v>
      </c>
      <c r="AX28" s="526">
        <f t="shared" si="127"/>
        <v>0</v>
      </c>
      <c r="AY28" s="524">
        <v>0</v>
      </c>
      <c r="AZ28" s="525" t="e">
        <f t="shared" si="15"/>
        <v>#DIV/0!</v>
      </c>
      <c r="BA28" s="526">
        <f t="shared" si="128"/>
        <v>0</v>
      </c>
      <c r="BB28" s="524"/>
      <c r="BC28" s="525" t="e">
        <f t="shared" si="16"/>
        <v>#DIV/0!</v>
      </c>
      <c r="BD28" s="526">
        <f t="shared" si="129"/>
        <v>0</v>
      </c>
      <c r="BE28" s="524"/>
      <c r="BF28" s="525" t="e">
        <f t="shared" si="17"/>
        <v>#DIV/0!</v>
      </c>
      <c r="BG28" s="526">
        <f t="shared" si="130"/>
        <v>0</v>
      </c>
      <c r="BH28" s="524"/>
      <c r="BI28" s="525" t="e">
        <f t="shared" si="18"/>
        <v>#DIV/0!</v>
      </c>
      <c r="BJ28" s="526">
        <f t="shared" si="131"/>
        <v>0</v>
      </c>
      <c r="BK28" s="524"/>
      <c r="BL28" s="525" t="e">
        <f t="shared" si="19"/>
        <v>#DIV/0!</v>
      </c>
      <c r="BM28" s="526">
        <f t="shared" si="132"/>
        <v>0</v>
      </c>
      <c r="BN28" s="524"/>
      <c r="BO28" s="525" t="e">
        <f t="shared" si="20"/>
        <v>#DIV/0!</v>
      </c>
      <c r="BP28" s="526">
        <f t="shared" si="133"/>
        <v>0</v>
      </c>
      <c r="BQ28" s="524"/>
      <c r="BR28" s="525" t="e">
        <f t="shared" si="21"/>
        <v>#DIV/0!</v>
      </c>
      <c r="BS28" s="526">
        <f t="shared" si="134"/>
        <v>0</v>
      </c>
      <c r="BT28" s="524"/>
      <c r="BU28" s="525" t="e">
        <f t="shared" si="22"/>
        <v>#DIV/0!</v>
      </c>
      <c r="BV28" s="526">
        <f t="shared" si="135"/>
        <v>0</v>
      </c>
      <c r="BW28" s="524"/>
      <c r="BX28" s="525" t="e">
        <f t="shared" si="23"/>
        <v>#DIV/0!</v>
      </c>
      <c r="BY28" s="526">
        <f t="shared" si="136"/>
        <v>0</v>
      </c>
      <c r="BZ28" s="524"/>
      <c r="CA28" s="525" t="e">
        <f t="shared" si="24"/>
        <v>#DIV/0!</v>
      </c>
      <c r="CB28" s="526">
        <f t="shared" si="137"/>
        <v>0</v>
      </c>
      <c r="CC28" s="524"/>
      <c r="CD28" s="525" t="e">
        <f t="shared" si="25"/>
        <v>#DIV/0!</v>
      </c>
      <c r="CE28" s="526">
        <f t="shared" si="138"/>
        <v>0</v>
      </c>
      <c r="CF28" s="524"/>
      <c r="CG28" s="525" t="e">
        <f t="shared" si="26"/>
        <v>#DIV/0!</v>
      </c>
      <c r="CH28" s="526">
        <f t="shared" si="139"/>
        <v>0</v>
      </c>
      <c r="CI28" s="524"/>
      <c r="CJ28" s="525" t="e">
        <f t="shared" si="27"/>
        <v>#DIV/0!</v>
      </c>
      <c r="CK28" s="526">
        <f t="shared" si="140"/>
        <v>0</v>
      </c>
      <c r="CL28" s="524"/>
      <c r="CM28" s="525" t="e">
        <f t="shared" si="28"/>
        <v>#DIV/0!</v>
      </c>
      <c r="CN28" s="526">
        <f t="shared" si="141"/>
        <v>0</v>
      </c>
      <c r="CO28" s="524"/>
      <c r="CP28" s="525" t="e">
        <f t="shared" si="29"/>
        <v>#DIV/0!</v>
      </c>
      <c r="CQ28" s="526">
        <f t="shared" si="142"/>
        <v>0</v>
      </c>
      <c r="CR28" s="524"/>
      <c r="CS28" s="525" t="e">
        <f t="shared" si="30"/>
        <v>#DIV/0!</v>
      </c>
      <c r="CT28" s="526">
        <f t="shared" si="143"/>
        <v>0</v>
      </c>
      <c r="CU28" s="524"/>
      <c r="CV28" s="525" t="e">
        <f t="shared" si="31"/>
        <v>#DIV/0!</v>
      </c>
      <c r="CW28" s="526">
        <f t="shared" si="144"/>
        <v>0</v>
      </c>
      <c r="CX28" s="524"/>
      <c r="CY28" s="525" t="e">
        <f t="shared" si="32"/>
        <v>#DIV/0!</v>
      </c>
      <c r="CZ28" s="526">
        <f t="shared" si="145"/>
        <v>0</v>
      </c>
      <c r="DA28" s="524"/>
      <c r="DB28" s="525" t="e">
        <f t="shared" si="33"/>
        <v>#DIV/0!</v>
      </c>
      <c r="DC28" s="526">
        <f t="shared" si="146"/>
        <v>0</v>
      </c>
      <c r="DD28" s="524"/>
      <c r="DE28" s="525" t="e">
        <f t="shared" si="34"/>
        <v>#DIV/0!</v>
      </c>
      <c r="DF28" s="526">
        <f t="shared" si="147"/>
        <v>0</v>
      </c>
      <c r="DG28" s="524"/>
      <c r="DH28" s="525" t="e">
        <f t="shared" si="35"/>
        <v>#DIV/0!</v>
      </c>
      <c r="DI28" s="526">
        <f t="shared" si="203"/>
        <v>0</v>
      </c>
      <c r="DJ28" s="524"/>
      <c r="DK28" s="525" t="e">
        <f t="shared" si="36"/>
        <v>#DIV/0!</v>
      </c>
      <c r="DL28" s="526">
        <f t="shared" si="148"/>
        <v>0</v>
      </c>
      <c r="DM28" s="524"/>
      <c r="DN28" s="525" t="e">
        <f t="shared" si="37"/>
        <v>#DIV/0!</v>
      </c>
      <c r="DO28" s="526">
        <f t="shared" si="149"/>
        <v>0</v>
      </c>
      <c r="DP28" s="524"/>
      <c r="DQ28" s="525" t="e">
        <f t="shared" si="38"/>
        <v>#DIV/0!</v>
      </c>
      <c r="DR28" s="526">
        <f t="shared" si="150"/>
        <v>0</v>
      </c>
      <c r="DS28" s="524"/>
      <c r="DT28" s="525" t="e">
        <f t="shared" si="39"/>
        <v>#DIV/0!</v>
      </c>
      <c r="DU28" s="526">
        <f t="shared" si="151"/>
        <v>0</v>
      </c>
      <c r="DV28" s="524"/>
      <c r="DW28" s="525" t="e">
        <f t="shared" si="40"/>
        <v>#DIV/0!</v>
      </c>
      <c r="DX28" s="526">
        <f t="shared" si="152"/>
        <v>0</v>
      </c>
      <c r="DY28" s="524"/>
      <c r="DZ28" s="525" t="e">
        <f t="shared" si="41"/>
        <v>#DIV/0!</v>
      </c>
      <c r="EA28" s="526">
        <f t="shared" si="153"/>
        <v>0</v>
      </c>
      <c r="EB28" s="524"/>
      <c r="EC28" s="525" t="e">
        <f t="shared" si="42"/>
        <v>#DIV/0!</v>
      </c>
      <c r="ED28" s="526">
        <f t="shared" si="154"/>
        <v>0</v>
      </c>
      <c r="EE28" s="524"/>
      <c r="EF28" s="525" t="e">
        <f t="shared" si="43"/>
        <v>#DIV/0!</v>
      </c>
      <c r="EG28" s="526">
        <f t="shared" si="155"/>
        <v>0</v>
      </c>
      <c r="EH28" s="524"/>
      <c r="EI28" s="525" t="e">
        <f t="shared" si="44"/>
        <v>#DIV/0!</v>
      </c>
      <c r="EJ28" s="526">
        <f t="shared" si="156"/>
        <v>0</v>
      </c>
      <c r="EK28" s="524"/>
      <c r="EL28" s="525" t="e">
        <f t="shared" si="45"/>
        <v>#DIV/0!</v>
      </c>
      <c r="EM28" s="526">
        <f t="shared" si="157"/>
        <v>0</v>
      </c>
      <c r="EN28" s="524"/>
      <c r="EO28" s="525" t="e">
        <f t="shared" si="46"/>
        <v>#DIV/0!</v>
      </c>
      <c r="EP28" s="526">
        <f t="shared" si="158"/>
        <v>0</v>
      </c>
      <c r="EQ28" s="524"/>
      <c r="ER28" s="525" t="e">
        <f t="shared" si="47"/>
        <v>#DIV/0!</v>
      </c>
      <c r="ES28" s="526">
        <f t="shared" si="159"/>
        <v>0</v>
      </c>
      <c r="ET28" s="524"/>
      <c r="EU28" s="525" t="e">
        <f t="shared" si="48"/>
        <v>#DIV/0!</v>
      </c>
      <c r="EV28" s="526">
        <f t="shared" si="160"/>
        <v>0</v>
      </c>
      <c r="EW28" s="524"/>
      <c r="EX28" s="525" t="e">
        <f t="shared" si="49"/>
        <v>#DIV/0!</v>
      </c>
      <c r="EY28" s="526">
        <f t="shared" si="161"/>
        <v>0</v>
      </c>
      <c r="EZ28" s="524"/>
      <c r="FA28" s="525" t="e">
        <f t="shared" si="50"/>
        <v>#DIV/0!</v>
      </c>
      <c r="FB28" s="526">
        <f t="shared" si="162"/>
        <v>0</v>
      </c>
      <c r="FC28" s="524"/>
      <c r="FD28" s="525" t="e">
        <f t="shared" si="51"/>
        <v>#DIV/0!</v>
      </c>
      <c r="FE28" s="526">
        <f t="shared" si="163"/>
        <v>0</v>
      </c>
      <c r="FF28" s="524"/>
      <c r="FG28" s="525" t="e">
        <f t="shared" si="52"/>
        <v>#DIV/0!</v>
      </c>
      <c r="FH28" s="526">
        <f t="shared" si="164"/>
        <v>0</v>
      </c>
      <c r="FI28" s="524"/>
      <c r="FJ28" s="525" t="e">
        <f t="shared" si="53"/>
        <v>#DIV/0!</v>
      </c>
      <c r="FK28" s="526">
        <f t="shared" si="165"/>
        <v>0</v>
      </c>
      <c r="FL28" s="524"/>
      <c r="FM28" s="525" t="e">
        <f t="shared" si="54"/>
        <v>#DIV/0!</v>
      </c>
      <c r="FN28" s="526">
        <f t="shared" si="166"/>
        <v>0</v>
      </c>
      <c r="FO28" s="524"/>
      <c r="FP28" s="525" t="e">
        <f t="shared" si="55"/>
        <v>#DIV/0!</v>
      </c>
      <c r="FQ28" s="526">
        <f t="shared" si="167"/>
        <v>0</v>
      </c>
      <c r="FR28" s="524"/>
      <c r="FS28" s="525" t="e">
        <f t="shared" si="56"/>
        <v>#DIV/0!</v>
      </c>
      <c r="FT28" s="526">
        <f t="shared" si="168"/>
        <v>0</v>
      </c>
      <c r="FU28" s="524"/>
      <c r="FV28" s="525" t="e">
        <f t="shared" si="57"/>
        <v>#DIV/0!</v>
      </c>
      <c r="FW28" s="526">
        <f t="shared" si="169"/>
        <v>0</v>
      </c>
      <c r="FX28" s="524"/>
      <c r="FY28" s="525" t="e">
        <f t="shared" si="58"/>
        <v>#DIV/0!</v>
      </c>
      <c r="FZ28" s="526">
        <f t="shared" si="170"/>
        <v>0</v>
      </c>
      <c r="GA28" s="524"/>
      <c r="GB28" s="525" t="e">
        <f t="shared" si="59"/>
        <v>#DIV/0!</v>
      </c>
      <c r="GC28" s="526">
        <f t="shared" si="171"/>
        <v>0</v>
      </c>
      <c r="GD28" s="524"/>
      <c r="GE28" s="525" t="e">
        <f t="shared" si="60"/>
        <v>#DIV/0!</v>
      </c>
      <c r="GF28" s="526">
        <f t="shared" si="172"/>
        <v>0</v>
      </c>
      <c r="GG28" s="524"/>
      <c r="GH28" s="525" t="e">
        <f t="shared" si="61"/>
        <v>#DIV/0!</v>
      </c>
      <c r="GI28" s="526">
        <f t="shared" si="173"/>
        <v>0</v>
      </c>
      <c r="GJ28" s="524"/>
      <c r="GK28" s="525" t="e">
        <f t="shared" si="62"/>
        <v>#DIV/0!</v>
      </c>
      <c r="GL28" s="526">
        <f t="shared" si="174"/>
        <v>0</v>
      </c>
      <c r="GM28" s="524"/>
      <c r="GN28" s="525" t="e">
        <f t="shared" si="63"/>
        <v>#DIV/0!</v>
      </c>
      <c r="GO28" s="526">
        <f t="shared" si="175"/>
        <v>0</v>
      </c>
      <c r="GP28" s="524"/>
      <c r="GQ28" s="525" t="e">
        <f t="shared" si="64"/>
        <v>#DIV/0!</v>
      </c>
      <c r="GR28" s="526">
        <f t="shared" si="176"/>
        <v>0</v>
      </c>
      <c r="GS28" s="524"/>
      <c r="GT28" s="525" t="e">
        <f t="shared" si="65"/>
        <v>#DIV/0!</v>
      </c>
      <c r="GU28" s="526">
        <f t="shared" si="177"/>
        <v>0</v>
      </c>
      <c r="GV28" s="524"/>
      <c r="GW28" s="525" t="e">
        <f t="shared" si="66"/>
        <v>#DIV/0!</v>
      </c>
      <c r="GX28" s="526">
        <f t="shared" si="178"/>
        <v>0</v>
      </c>
      <c r="GY28" s="524"/>
      <c r="GZ28" s="525" t="e">
        <f t="shared" si="67"/>
        <v>#DIV/0!</v>
      </c>
      <c r="HA28" s="526">
        <f t="shared" si="179"/>
        <v>0</v>
      </c>
      <c r="HB28" s="524"/>
      <c r="HC28" s="525" t="e">
        <f t="shared" si="68"/>
        <v>#DIV/0!</v>
      </c>
      <c r="HD28" s="526">
        <f t="shared" si="180"/>
        <v>0</v>
      </c>
      <c r="HE28" s="524"/>
      <c r="HF28" s="525" t="e">
        <f t="shared" si="69"/>
        <v>#DIV/0!</v>
      </c>
      <c r="HG28" s="526">
        <f t="shared" si="181"/>
        <v>0</v>
      </c>
      <c r="HH28" s="524"/>
      <c r="HI28" s="525" t="e">
        <f t="shared" si="70"/>
        <v>#DIV/0!</v>
      </c>
      <c r="HJ28" s="526">
        <f t="shared" si="182"/>
        <v>0</v>
      </c>
      <c r="HK28" s="524"/>
      <c r="HL28" s="525" t="e">
        <f t="shared" si="71"/>
        <v>#DIV/0!</v>
      </c>
      <c r="HM28" s="526">
        <f t="shared" si="183"/>
        <v>0</v>
      </c>
      <c r="HN28" s="524"/>
      <c r="HO28" s="525" t="e">
        <f t="shared" si="72"/>
        <v>#DIV/0!</v>
      </c>
      <c r="HP28" s="526">
        <f t="shared" si="184"/>
        <v>0</v>
      </c>
      <c r="HQ28" s="524"/>
      <c r="HR28" s="525" t="e">
        <f t="shared" si="73"/>
        <v>#DIV/0!</v>
      </c>
      <c r="HS28" s="526">
        <f t="shared" si="185"/>
        <v>0</v>
      </c>
      <c r="HT28" s="524"/>
      <c r="HU28" s="525" t="e">
        <f t="shared" si="74"/>
        <v>#DIV/0!</v>
      </c>
      <c r="HV28" s="526">
        <f t="shared" si="186"/>
        <v>0</v>
      </c>
      <c r="HW28" s="524"/>
      <c r="HX28" s="525" t="e">
        <f t="shared" si="75"/>
        <v>#DIV/0!</v>
      </c>
      <c r="HY28" s="526">
        <f t="shared" si="187"/>
        <v>0</v>
      </c>
      <c r="HZ28" s="524"/>
      <c r="IA28" s="525" t="e">
        <f t="shared" si="76"/>
        <v>#DIV/0!</v>
      </c>
      <c r="IB28" s="526">
        <f t="shared" si="188"/>
        <v>0</v>
      </c>
      <c r="IC28" s="524"/>
      <c r="ID28" s="525" t="e">
        <f t="shared" si="77"/>
        <v>#DIV/0!</v>
      </c>
      <c r="IE28" s="526">
        <f t="shared" si="189"/>
        <v>0</v>
      </c>
      <c r="IF28" s="524"/>
      <c r="IG28" s="525" t="e">
        <f t="shared" si="78"/>
        <v>#DIV/0!</v>
      </c>
      <c r="IH28" s="526">
        <f t="shared" si="190"/>
        <v>0</v>
      </c>
      <c r="II28" s="524"/>
      <c r="IJ28" s="525" t="e">
        <f t="shared" si="79"/>
        <v>#DIV/0!</v>
      </c>
      <c r="IK28" s="526">
        <f t="shared" si="191"/>
        <v>0</v>
      </c>
      <c r="IL28" s="524"/>
      <c r="IM28" s="525" t="e">
        <f t="shared" si="80"/>
        <v>#DIV/0!</v>
      </c>
      <c r="IN28" s="526">
        <f t="shared" si="192"/>
        <v>0</v>
      </c>
      <c r="IO28" s="524"/>
      <c r="IP28" s="525" t="e">
        <f t="shared" si="81"/>
        <v>#DIV/0!</v>
      </c>
      <c r="IQ28" s="526">
        <f t="shared" si="193"/>
        <v>0</v>
      </c>
      <c r="IR28" s="524"/>
      <c r="IS28" s="525" t="e">
        <f t="shared" si="82"/>
        <v>#DIV/0!</v>
      </c>
      <c r="IT28" s="526">
        <f t="shared" si="194"/>
        <v>0</v>
      </c>
      <c r="IU28" s="524"/>
      <c r="IV28" s="525" t="e">
        <f t="shared" si="83"/>
        <v>#DIV/0!</v>
      </c>
      <c r="IW28" s="526">
        <f t="shared" si="195"/>
        <v>0</v>
      </c>
      <c r="IX28" s="524"/>
      <c r="IY28" s="525" t="e">
        <f t="shared" si="84"/>
        <v>#DIV/0!</v>
      </c>
      <c r="IZ28" s="526">
        <f t="shared" si="196"/>
        <v>0</v>
      </c>
      <c r="JA28" s="524"/>
      <c r="JB28" s="525" t="e">
        <f t="shared" si="85"/>
        <v>#DIV/0!</v>
      </c>
      <c r="JC28" s="526">
        <f t="shared" si="197"/>
        <v>0</v>
      </c>
      <c r="JD28" s="524"/>
      <c r="JE28" s="525" t="e">
        <f t="shared" si="86"/>
        <v>#DIV/0!</v>
      </c>
      <c r="JF28" s="526">
        <f t="shared" si="198"/>
        <v>0</v>
      </c>
      <c r="JG28" s="524"/>
      <c r="JH28" s="525" t="e">
        <f t="shared" si="87"/>
        <v>#DIV/0!</v>
      </c>
      <c r="JI28" s="526">
        <f t="shared" si="199"/>
        <v>0</v>
      </c>
      <c r="JJ28" s="524"/>
      <c r="JK28" s="526" t="str">
        <f t="shared" si="88"/>
        <v>0</v>
      </c>
      <c r="JL28" s="526" t="str">
        <f t="shared" si="89"/>
        <v>0</v>
      </c>
      <c r="JM28" s="524"/>
      <c r="JN28" s="526" t="str">
        <f t="shared" si="90"/>
        <v>0</v>
      </c>
      <c r="JO28" s="526" t="str">
        <f t="shared" si="91"/>
        <v>0</v>
      </c>
      <c r="JP28" s="524"/>
      <c r="JQ28" s="526" t="str">
        <f t="shared" si="92"/>
        <v>0</v>
      </c>
      <c r="JR28" s="526" t="str">
        <f t="shared" si="93"/>
        <v>0</v>
      </c>
      <c r="JS28" s="524"/>
      <c r="JT28" s="526" t="str">
        <f t="shared" si="94"/>
        <v>0</v>
      </c>
      <c r="JU28" s="526" t="str">
        <f t="shared" si="95"/>
        <v>0</v>
      </c>
      <c r="JV28" s="524"/>
      <c r="JW28" s="526" t="str">
        <f t="shared" si="96"/>
        <v>0</v>
      </c>
      <c r="JX28" s="526" t="str">
        <f t="shared" si="97"/>
        <v>0</v>
      </c>
      <c r="JY28" s="524"/>
      <c r="JZ28" s="526" t="str">
        <f t="shared" si="98"/>
        <v>0</v>
      </c>
      <c r="KA28" s="526" t="str">
        <f t="shared" si="99"/>
        <v>0</v>
      </c>
      <c r="KB28" s="524"/>
      <c r="KC28" s="526" t="str">
        <f t="shared" si="100"/>
        <v>0</v>
      </c>
      <c r="KD28" s="526" t="str">
        <f t="shared" si="101"/>
        <v>0</v>
      </c>
      <c r="KE28" s="524"/>
      <c r="KF28" s="526" t="str">
        <f t="shared" si="102"/>
        <v>0</v>
      </c>
      <c r="KG28" s="526" t="str">
        <f t="shared" si="103"/>
        <v>0</v>
      </c>
      <c r="KH28" s="524"/>
      <c r="KI28" s="526" t="str">
        <f t="shared" si="104"/>
        <v>0</v>
      </c>
      <c r="KJ28" s="526" t="str">
        <f t="shared" si="105"/>
        <v>0</v>
      </c>
      <c r="KK28" s="524"/>
      <c r="KL28" s="526" t="str">
        <f t="shared" si="106"/>
        <v>0</v>
      </c>
      <c r="KM28" s="526" t="str">
        <f t="shared" si="107"/>
        <v>0</v>
      </c>
      <c r="KN28" s="524"/>
      <c r="KO28" s="526" t="str">
        <f t="shared" si="108"/>
        <v>0</v>
      </c>
      <c r="KP28" s="526" t="str">
        <f t="shared" si="109"/>
        <v>0</v>
      </c>
      <c r="KQ28" s="524"/>
      <c r="KR28" s="526" t="str">
        <f t="shared" si="110"/>
        <v>0</v>
      </c>
      <c r="KS28" s="526" t="str">
        <f t="shared" si="111"/>
        <v>0</v>
      </c>
      <c r="KT28" s="526">
        <f t="shared" si="201"/>
        <v>0</v>
      </c>
      <c r="KU28" s="526">
        <f t="shared" si="202"/>
        <v>0</v>
      </c>
      <c r="KV28" s="262">
        <f t="shared" si="204"/>
        <v>0</v>
      </c>
    </row>
    <row r="29" spans="1:308">
      <c r="A29" s="263">
        <f t="shared" si="200"/>
        <v>45921</v>
      </c>
      <c r="B29" s="264" t="str">
        <f>+Report1!B29</f>
        <v>STOP</v>
      </c>
      <c r="C29" s="264" t="str">
        <f>+Report1!C29</f>
        <v>12</v>
      </c>
      <c r="D29" s="265">
        <f>+Report1!P29</f>
        <v>0</v>
      </c>
      <c r="E29" s="556">
        <f>+Report1!R29</f>
        <v>0</v>
      </c>
      <c r="F29" s="524"/>
      <c r="G29" s="525" t="e">
        <f t="shared" si="0"/>
        <v>#DIV/0!</v>
      </c>
      <c r="H29" s="526">
        <f t="shared" si="113"/>
        <v>0</v>
      </c>
      <c r="I29" s="524"/>
      <c r="J29" s="525" t="e">
        <f t="shared" si="1"/>
        <v>#DIV/0!</v>
      </c>
      <c r="K29" s="526">
        <f t="shared" si="114"/>
        <v>0</v>
      </c>
      <c r="L29" s="524"/>
      <c r="M29" s="525" t="e">
        <f t="shared" si="2"/>
        <v>#DIV/0!</v>
      </c>
      <c r="N29" s="526">
        <f t="shared" si="115"/>
        <v>0</v>
      </c>
      <c r="O29" s="524"/>
      <c r="P29" s="525" t="e">
        <f t="shared" si="3"/>
        <v>#DIV/0!</v>
      </c>
      <c r="Q29" s="526">
        <f t="shared" si="116"/>
        <v>0</v>
      </c>
      <c r="R29" s="524"/>
      <c r="S29" s="525" t="e">
        <f t="shared" si="4"/>
        <v>#DIV/0!</v>
      </c>
      <c r="T29" s="526">
        <f t="shared" si="117"/>
        <v>0</v>
      </c>
      <c r="U29" s="524"/>
      <c r="V29" s="525" t="e">
        <f t="shared" si="5"/>
        <v>#DIV/0!</v>
      </c>
      <c r="W29" s="526">
        <f t="shared" si="118"/>
        <v>0</v>
      </c>
      <c r="X29" s="524"/>
      <c r="Y29" s="525" t="e">
        <f t="shared" si="6"/>
        <v>#DIV/0!</v>
      </c>
      <c r="Z29" s="526">
        <f t="shared" si="119"/>
        <v>0</v>
      </c>
      <c r="AA29" s="524"/>
      <c r="AB29" s="525" t="e">
        <f t="shared" si="7"/>
        <v>#DIV/0!</v>
      </c>
      <c r="AC29" s="526">
        <f t="shared" si="120"/>
        <v>0</v>
      </c>
      <c r="AD29" s="524"/>
      <c r="AE29" s="525" t="e">
        <f t="shared" si="8"/>
        <v>#DIV/0!</v>
      </c>
      <c r="AF29" s="526">
        <f t="shared" si="121"/>
        <v>0</v>
      </c>
      <c r="AG29" s="524"/>
      <c r="AH29" s="525" t="e">
        <f t="shared" si="9"/>
        <v>#DIV/0!</v>
      </c>
      <c r="AI29" s="526">
        <f t="shared" si="122"/>
        <v>0</v>
      </c>
      <c r="AJ29" s="524"/>
      <c r="AK29" s="525" t="e">
        <f t="shared" si="10"/>
        <v>#DIV/0!</v>
      </c>
      <c r="AL29" s="526">
        <f t="shared" si="123"/>
        <v>0</v>
      </c>
      <c r="AM29" s="524"/>
      <c r="AN29" s="525" t="e">
        <f t="shared" si="11"/>
        <v>#DIV/0!</v>
      </c>
      <c r="AO29" s="526">
        <f t="shared" si="124"/>
        <v>0</v>
      </c>
      <c r="AP29" s="524"/>
      <c r="AQ29" s="525" t="e">
        <f t="shared" si="12"/>
        <v>#DIV/0!</v>
      </c>
      <c r="AR29" s="526">
        <f t="shared" si="125"/>
        <v>0</v>
      </c>
      <c r="AS29" s="524"/>
      <c r="AT29" s="525" t="e">
        <f t="shared" si="13"/>
        <v>#DIV/0!</v>
      </c>
      <c r="AU29" s="526">
        <f t="shared" si="126"/>
        <v>0</v>
      </c>
      <c r="AV29" s="524"/>
      <c r="AW29" s="525" t="e">
        <f t="shared" si="14"/>
        <v>#DIV/0!</v>
      </c>
      <c r="AX29" s="526">
        <f t="shared" si="127"/>
        <v>0</v>
      </c>
      <c r="AY29" s="524">
        <v>23.333333333333314</v>
      </c>
      <c r="AZ29" s="525" t="e">
        <f t="shared" si="15"/>
        <v>#DIV/0!</v>
      </c>
      <c r="BA29" s="526">
        <f t="shared" si="128"/>
        <v>0</v>
      </c>
      <c r="BB29" s="524"/>
      <c r="BC29" s="525" t="e">
        <f t="shared" si="16"/>
        <v>#DIV/0!</v>
      </c>
      <c r="BD29" s="526">
        <f t="shared" si="129"/>
        <v>0</v>
      </c>
      <c r="BE29" s="524"/>
      <c r="BF29" s="525" t="e">
        <f t="shared" si="17"/>
        <v>#DIV/0!</v>
      </c>
      <c r="BG29" s="526">
        <f t="shared" si="130"/>
        <v>0</v>
      </c>
      <c r="BH29" s="524"/>
      <c r="BI29" s="525" t="e">
        <f t="shared" si="18"/>
        <v>#DIV/0!</v>
      </c>
      <c r="BJ29" s="526">
        <f t="shared" si="131"/>
        <v>0</v>
      </c>
      <c r="BK29" s="524"/>
      <c r="BL29" s="525" t="e">
        <f t="shared" si="19"/>
        <v>#DIV/0!</v>
      </c>
      <c r="BM29" s="526">
        <f t="shared" si="132"/>
        <v>0</v>
      </c>
      <c r="BN29" s="524"/>
      <c r="BO29" s="525" t="e">
        <f t="shared" si="20"/>
        <v>#DIV/0!</v>
      </c>
      <c r="BP29" s="526">
        <f t="shared" si="133"/>
        <v>0</v>
      </c>
      <c r="BQ29" s="524"/>
      <c r="BR29" s="525" t="e">
        <f t="shared" si="21"/>
        <v>#DIV/0!</v>
      </c>
      <c r="BS29" s="526">
        <f t="shared" si="134"/>
        <v>0</v>
      </c>
      <c r="BT29" s="524"/>
      <c r="BU29" s="525" t="e">
        <f t="shared" si="22"/>
        <v>#DIV/0!</v>
      </c>
      <c r="BV29" s="526">
        <f t="shared" si="135"/>
        <v>0</v>
      </c>
      <c r="BW29" s="524"/>
      <c r="BX29" s="525" t="e">
        <f t="shared" si="23"/>
        <v>#DIV/0!</v>
      </c>
      <c r="BY29" s="526">
        <f t="shared" si="136"/>
        <v>0</v>
      </c>
      <c r="BZ29" s="524"/>
      <c r="CA29" s="525" t="e">
        <f t="shared" si="24"/>
        <v>#DIV/0!</v>
      </c>
      <c r="CB29" s="526">
        <f t="shared" si="137"/>
        <v>0</v>
      </c>
      <c r="CC29" s="524"/>
      <c r="CD29" s="525" t="e">
        <f t="shared" si="25"/>
        <v>#DIV/0!</v>
      </c>
      <c r="CE29" s="526">
        <f t="shared" si="138"/>
        <v>0</v>
      </c>
      <c r="CF29" s="524"/>
      <c r="CG29" s="525" t="e">
        <f t="shared" si="26"/>
        <v>#DIV/0!</v>
      </c>
      <c r="CH29" s="526">
        <f t="shared" si="139"/>
        <v>0</v>
      </c>
      <c r="CI29" s="524"/>
      <c r="CJ29" s="525" t="e">
        <f t="shared" si="27"/>
        <v>#DIV/0!</v>
      </c>
      <c r="CK29" s="526">
        <f t="shared" si="140"/>
        <v>0</v>
      </c>
      <c r="CL29" s="524"/>
      <c r="CM29" s="525" t="e">
        <f t="shared" si="28"/>
        <v>#DIV/0!</v>
      </c>
      <c r="CN29" s="526">
        <f t="shared" si="141"/>
        <v>0</v>
      </c>
      <c r="CO29" s="524"/>
      <c r="CP29" s="525" t="e">
        <f t="shared" si="29"/>
        <v>#DIV/0!</v>
      </c>
      <c r="CQ29" s="526">
        <f t="shared" si="142"/>
        <v>0</v>
      </c>
      <c r="CR29" s="524"/>
      <c r="CS29" s="525" t="e">
        <f t="shared" si="30"/>
        <v>#DIV/0!</v>
      </c>
      <c r="CT29" s="526">
        <f t="shared" si="143"/>
        <v>0</v>
      </c>
      <c r="CU29" s="524"/>
      <c r="CV29" s="525" t="e">
        <f t="shared" si="31"/>
        <v>#DIV/0!</v>
      </c>
      <c r="CW29" s="526">
        <f t="shared" si="144"/>
        <v>0</v>
      </c>
      <c r="CX29" s="524"/>
      <c r="CY29" s="525" t="e">
        <f t="shared" si="32"/>
        <v>#DIV/0!</v>
      </c>
      <c r="CZ29" s="526">
        <f t="shared" si="145"/>
        <v>0</v>
      </c>
      <c r="DA29" s="524"/>
      <c r="DB29" s="525" t="e">
        <f t="shared" si="33"/>
        <v>#DIV/0!</v>
      </c>
      <c r="DC29" s="526">
        <f t="shared" si="146"/>
        <v>0</v>
      </c>
      <c r="DD29" s="524"/>
      <c r="DE29" s="525" t="e">
        <f t="shared" si="34"/>
        <v>#DIV/0!</v>
      </c>
      <c r="DF29" s="526">
        <f t="shared" si="147"/>
        <v>0</v>
      </c>
      <c r="DG29" s="524"/>
      <c r="DH29" s="525" t="e">
        <f t="shared" si="35"/>
        <v>#DIV/0!</v>
      </c>
      <c r="DI29" s="526">
        <f t="shared" si="203"/>
        <v>0</v>
      </c>
      <c r="DJ29" s="524"/>
      <c r="DK29" s="525" t="e">
        <f t="shared" si="36"/>
        <v>#DIV/0!</v>
      </c>
      <c r="DL29" s="526">
        <f t="shared" si="148"/>
        <v>0</v>
      </c>
      <c r="DM29" s="524"/>
      <c r="DN29" s="525" t="e">
        <f t="shared" si="37"/>
        <v>#DIV/0!</v>
      </c>
      <c r="DO29" s="526">
        <f t="shared" si="149"/>
        <v>0</v>
      </c>
      <c r="DP29" s="524"/>
      <c r="DQ29" s="525" t="e">
        <f t="shared" si="38"/>
        <v>#DIV/0!</v>
      </c>
      <c r="DR29" s="526">
        <f t="shared" si="150"/>
        <v>0</v>
      </c>
      <c r="DS29" s="524"/>
      <c r="DT29" s="525" t="e">
        <f t="shared" si="39"/>
        <v>#DIV/0!</v>
      </c>
      <c r="DU29" s="526">
        <f t="shared" si="151"/>
        <v>0</v>
      </c>
      <c r="DV29" s="524"/>
      <c r="DW29" s="525" t="e">
        <f t="shared" si="40"/>
        <v>#DIV/0!</v>
      </c>
      <c r="DX29" s="526">
        <f t="shared" si="152"/>
        <v>0</v>
      </c>
      <c r="DY29" s="524"/>
      <c r="DZ29" s="525" t="e">
        <f t="shared" si="41"/>
        <v>#DIV/0!</v>
      </c>
      <c r="EA29" s="526">
        <f t="shared" si="153"/>
        <v>0</v>
      </c>
      <c r="EB29" s="524"/>
      <c r="EC29" s="525" t="e">
        <f t="shared" si="42"/>
        <v>#DIV/0!</v>
      </c>
      <c r="ED29" s="526">
        <f t="shared" si="154"/>
        <v>0</v>
      </c>
      <c r="EE29" s="524"/>
      <c r="EF29" s="525" t="e">
        <f t="shared" si="43"/>
        <v>#DIV/0!</v>
      </c>
      <c r="EG29" s="526">
        <f t="shared" si="155"/>
        <v>0</v>
      </c>
      <c r="EH29" s="524"/>
      <c r="EI29" s="525" t="e">
        <f t="shared" si="44"/>
        <v>#DIV/0!</v>
      </c>
      <c r="EJ29" s="526">
        <f t="shared" si="156"/>
        <v>0</v>
      </c>
      <c r="EK29" s="524"/>
      <c r="EL29" s="525" t="e">
        <f t="shared" si="45"/>
        <v>#DIV/0!</v>
      </c>
      <c r="EM29" s="526">
        <f t="shared" si="157"/>
        <v>0</v>
      </c>
      <c r="EN29" s="524"/>
      <c r="EO29" s="525" t="e">
        <f t="shared" si="46"/>
        <v>#DIV/0!</v>
      </c>
      <c r="EP29" s="526">
        <f t="shared" si="158"/>
        <v>0</v>
      </c>
      <c r="EQ29" s="524"/>
      <c r="ER29" s="525" t="e">
        <f t="shared" si="47"/>
        <v>#DIV/0!</v>
      </c>
      <c r="ES29" s="526">
        <f t="shared" si="159"/>
        <v>0</v>
      </c>
      <c r="ET29" s="524"/>
      <c r="EU29" s="525" t="e">
        <f t="shared" si="48"/>
        <v>#DIV/0!</v>
      </c>
      <c r="EV29" s="526">
        <f t="shared" si="160"/>
        <v>0</v>
      </c>
      <c r="EW29" s="524"/>
      <c r="EX29" s="525" t="e">
        <f t="shared" si="49"/>
        <v>#DIV/0!</v>
      </c>
      <c r="EY29" s="526">
        <f t="shared" si="161"/>
        <v>0</v>
      </c>
      <c r="EZ29" s="524"/>
      <c r="FA29" s="525" t="e">
        <f t="shared" si="50"/>
        <v>#DIV/0!</v>
      </c>
      <c r="FB29" s="526">
        <f t="shared" si="162"/>
        <v>0</v>
      </c>
      <c r="FC29" s="524"/>
      <c r="FD29" s="525" t="e">
        <f t="shared" si="51"/>
        <v>#DIV/0!</v>
      </c>
      <c r="FE29" s="526">
        <f t="shared" si="163"/>
        <v>0</v>
      </c>
      <c r="FF29" s="524"/>
      <c r="FG29" s="525" t="e">
        <f t="shared" si="52"/>
        <v>#DIV/0!</v>
      </c>
      <c r="FH29" s="526">
        <f t="shared" si="164"/>
        <v>0</v>
      </c>
      <c r="FI29" s="524"/>
      <c r="FJ29" s="525" t="e">
        <f t="shared" si="53"/>
        <v>#DIV/0!</v>
      </c>
      <c r="FK29" s="526">
        <f t="shared" si="165"/>
        <v>0</v>
      </c>
      <c r="FL29" s="524"/>
      <c r="FM29" s="525" t="e">
        <f t="shared" si="54"/>
        <v>#DIV/0!</v>
      </c>
      <c r="FN29" s="526">
        <f t="shared" si="166"/>
        <v>0</v>
      </c>
      <c r="FO29" s="524"/>
      <c r="FP29" s="525" t="e">
        <f t="shared" si="55"/>
        <v>#DIV/0!</v>
      </c>
      <c r="FQ29" s="526">
        <f t="shared" si="167"/>
        <v>0</v>
      </c>
      <c r="FR29" s="524"/>
      <c r="FS29" s="525" t="e">
        <f t="shared" si="56"/>
        <v>#DIV/0!</v>
      </c>
      <c r="FT29" s="526">
        <f t="shared" si="168"/>
        <v>0</v>
      </c>
      <c r="FU29" s="524"/>
      <c r="FV29" s="525" t="e">
        <f t="shared" si="57"/>
        <v>#DIV/0!</v>
      </c>
      <c r="FW29" s="526">
        <f t="shared" si="169"/>
        <v>0</v>
      </c>
      <c r="FX29" s="524"/>
      <c r="FY29" s="525" t="e">
        <f t="shared" si="58"/>
        <v>#DIV/0!</v>
      </c>
      <c r="FZ29" s="526">
        <f t="shared" si="170"/>
        <v>0</v>
      </c>
      <c r="GA29" s="524"/>
      <c r="GB29" s="525" t="e">
        <f t="shared" si="59"/>
        <v>#DIV/0!</v>
      </c>
      <c r="GC29" s="526">
        <f t="shared" si="171"/>
        <v>0</v>
      </c>
      <c r="GD29" s="524"/>
      <c r="GE29" s="525" t="e">
        <f t="shared" si="60"/>
        <v>#DIV/0!</v>
      </c>
      <c r="GF29" s="526">
        <f t="shared" si="172"/>
        <v>0</v>
      </c>
      <c r="GG29" s="524"/>
      <c r="GH29" s="525" t="e">
        <f t="shared" si="61"/>
        <v>#DIV/0!</v>
      </c>
      <c r="GI29" s="526">
        <f t="shared" si="173"/>
        <v>0</v>
      </c>
      <c r="GJ29" s="524"/>
      <c r="GK29" s="525" t="e">
        <f t="shared" si="62"/>
        <v>#DIV/0!</v>
      </c>
      <c r="GL29" s="526">
        <f t="shared" si="174"/>
        <v>0</v>
      </c>
      <c r="GM29" s="524"/>
      <c r="GN29" s="525" t="e">
        <f t="shared" si="63"/>
        <v>#DIV/0!</v>
      </c>
      <c r="GO29" s="526">
        <f t="shared" si="175"/>
        <v>0</v>
      </c>
      <c r="GP29" s="524"/>
      <c r="GQ29" s="525" t="e">
        <f t="shared" si="64"/>
        <v>#DIV/0!</v>
      </c>
      <c r="GR29" s="526">
        <f t="shared" si="176"/>
        <v>0</v>
      </c>
      <c r="GS29" s="524"/>
      <c r="GT29" s="525" t="e">
        <f t="shared" si="65"/>
        <v>#DIV/0!</v>
      </c>
      <c r="GU29" s="526">
        <f t="shared" si="177"/>
        <v>0</v>
      </c>
      <c r="GV29" s="524"/>
      <c r="GW29" s="525" t="e">
        <f t="shared" si="66"/>
        <v>#DIV/0!</v>
      </c>
      <c r="GX29" s="526">
        <f t="shared" si="178"/>
        <v>0</v>
      </c>
      <c r="GY29" s="524"/>
      <c r="GZ29" s="525" t="e">
        <f t="shared" si="67"/>
        <v>#DIV/0!</v>
      </c>
      <c r="HA29" s="526">
        <f t="shared" si="179"/>
        <v>0</v>
      </c>
      <c r="HB29" s="524"/>
      <c r="HC29" s="525" t="e">
        <f t="shared" si="68"/>
        <v>#DIV/0!</v>
      </c>
      <c r="HD29" s="526">
        <f t="shared" si="180"/>
        <v>0</v>
      </c>
      <c r="HE29" s="524"/>
      <c r="HF29" s="525" t="e">
        <f t="shared" si="69"/>
        <v>#DIV/0!</v>
      </c>
      <c r="HG29" s="526">
        <f t="shared" si="181"/>
        <v>0</v>
      </c>
      <c r="HH29" s="524"/>
      <c r="HI29" s="525" t="e">
        <f t="shared" si="70"/>
        <v>#DIV/0!</v>
      </c>
      <c r="HJ29" s="526">
        <f t="shared" si="182"/>
        <v>0</v>
      </c>
      <c r="HK29" s="524"/>
      <c r="HL29" s="525" t="e">
        <f t="shared" si="71"/>
        <v>#DIV/0!</v>
      </c>
      <c r="HM29" s="526">
        <f t="shared" si="183"/>
        <v>0</v>
      </c>
      <c r="HN29" s="524"/>
      <c r="HO29" s="525" t="e">
        <f t="shared" si="72"/>
        <v>#DIV/0!</v>
      </c>
      <c r="HP29" s="526">
        <f t="shared" si="184"/>
        <v>0</v>
      </c>
      <c r="HQ29" s="524"/>
      <c r="HR29" s="525" t="e">
        <f t="shared" si="73"/>
        <v>#DIV/0!</v>
      </c>
      <c r="HS29" s="526">
        <f t="shared" si="185"/>
        <v>0</v>
      </c>
      <c r="HT29" s="524"/>
      <c r="HU29" s="525" t="e">
        <f t="shared" si="74"/>
        <v>#DIV/0!</v>
      </c>
      <c r="HV29" s="526">
        <f t="shared" si="186"/>
        <v>0</v>
      </c>
      <c r="HW29" s="524"/>
      <c r="HX29" s="525" t="e">
        <f t="shared" si="75"/>
        <v>#DIV/0!</v>
      </c>
      <c r="HY29" s="526">
        <f t="shared" si="187"/>
        <v>0</v>
      </c>
      <c r="HZ29" s="524"/>
      <c r="IA29" s="525" t="e">
        <f t="shared" si="76"/>
        <v>#DIV/0!</v>
      </c>
      <c r="IB29" s="526">
        <f t="shared" si="188"/>
        <v>0</v>
      </c>
      <c r="IC29" s="524"/>
      <c r="ID29" s="525" t="e">
        <f t="shared" si="77"/>
        <v>#DIV/0!</v>
      </c>
      <c r="IE29" s="526">
        <f t="shared" si="189"/>
        <v>0</v>
      </c>
      <c r="IF29" s="524"/>
      <c r="IG29" s="525" t="e">
        <f t="shared" si="78"/>
        <v>#DIV/0!</v>
      </c>
      <c r="IH29" s="526">
        <f t="shared" si="190"/>
        <v>0</v>
      </c>
      <c r="II29" s="524"/>
      <c r="IJ29" s="525" t="e">
        <f t="shared" si="79"/>
        <v>#DIV/0!</v>
      </c>
      <c r="IK29" s="526">
        <f t="shared" si="191"/>
        <v>0</v>
      </c>
      <c r="IL29" s="524"/>
      <c r="IM29" s="525" t="e">
        <f t="shared" si="80"/>
        <v>#DIV/0!</v>
      </c>
      <c r="IN29" s="526">
        <f t="shared" si="192"/>
        <v>0</v>
      </c>
      <c r="IO29" s="524"/>
      <c r="IP29" s="525" t="e">
        <f t="shared" si="81"/>
        <v>#DIV/0!</v>
      </c>
      <c r="IQ29" s="526">
        <f t="shared" si="193"/>
        <v>0</v>
      </c>
      <c r="IR29" s="524"/>
      <c r="IS29" s="525" t="e">
        <f t="shared" si="82"/>
        <v>#DIV/0!</v>
      </c>
      <c r="IT29" s="526">
        <f t="shared" si="194"/>
        <v>0</v>
      </c>
      <c r="IU29" s="524"/>
      <c r="IV29" s="525" t="e">
        <f t="shared" si="83"/>
        <v>#DIV/0!</v>
      </c>
      <c r="IW29" s="526">
        <f t="shared" si="195"/>
        <v>0</v>
      </c>
      <c r="IX29" s="524"/>
      <c r="IY29" s="525" t="e">
        <f t="shared" si="84"/>
        <v>#DIV/0!</v>
      </c>
      <c r="IZ29" s="526">
        <f t="shared" si="196"/>
        <v>0</v>
      </c>
      <c r="JA29" s="524"/>
      <c r="JB29" s="525" t="e">
        <f t="shared" si="85"/>
        <v>#DIV/0!</v>
      </c>
      <c r="JC29" s="526">
        <f t="shared" si="197"/>
        <v>0</v>
      </c>
      <c r="JD29" s="524"/>
      <c r="JE29" s="525" t="e">
        <f t="shared" si="86"/>
        <v>#DIV/0!</v>
      </c>
      <c r="JF29" s="526">
        <f t="shared" si="198"/>
        <v>0</v>
      </c>
      <c r="JG29" s="524"/>
      <c r="JH29" s="525" t="e">
        <f t="shared" si="87"/>
        <v>#DIV/0!</v>
      </c>
      <c r="JI29" s="526">
        <f t="shared" si="199"/>
        <v>0</v>
      </c>
      <c r="JJ29" s="524"/>
      <c r="JK29" s="526" t="str">
        <f t="shared" si="88"/>
        <v>0</v>
      </c>
      <c r="JL29" s="526" t="str">
        <f t="shared" si="89"/>
        <v>0</v>
      </c>
      <c r="JM29" s="524"/>
      <c r="JN29" s="526" t="str">
        <f t="shared" si="90"/>
        <v>0</v>
      </c>
      <c r="JO29" s="526" t="str">
        <f t="shared" si="91"/>
        <v>0</v>
      </c>
      <c r="JP29" s="524"/>
      <c r="JQ29" s="526" t="str">
        <f t="shared" si="92"/>
        <v>0</v>
      </c>
      <c r="JR29" s="526" t="str">
        <f t="shared" si="93"/>
        <v>0</v>
      </c>
      <c r="JS29" s="524"/>
      <c r="JT29" s="526" t="str">
        <f t="shared" si="94"/>
        <v>0</v>
      </c>
      <c r="JU29" s="526" t="str">
        <f t="shared" si="95"/>
        <v>0</v>
      </c>
      <c r="JV29" s="524"/>
      <c r="JW29" s="526" t="str">
        <f t="shared" si="96"/>
        <v>0</v>
      </c>
      <c r="JX29" s="526" t="str">
        <f t="shared" si="97"/>
        <v>0</v>
      </c>
      <c r="JY29" s="524"/>
      <c r="JZ29" s="526" t="str">
        <f t="shared" si="98"/>
        <v>0</v>
      </c>
      <c r="KA29" s="526" t="str">
        <f t="shared" si="99"/>
        <v>0</v>
      </c>
      <c r="KB29" s="524"/>
      <c r="KC29" s="526" t="str">
        <f t="shared" si="100"/>
        <v>0</v>
      </c>
      <c r="KD29" s="526" t="str">
        <f t="shared" si="101"/>
        <v>0</v>
      </c>
      <c r="KE29" s="524"/>
      <c r="KF29" s="526" t="str">
        <f t="shared" si="102"/>
        <v>0</v>
      </c>
      <c r="KG29" s="526" t="str">
        <f t="shared" si="103"/>
        <v>0</v>
      </c>
      <c r="KH29" s="524"/>
      <c r="KI29" s="526" t="str">
        <f t="shared" si="104"/>
        <v>0</v>
      </c>
      <c r="KJ29" s="526" t="str">
        <f t="shared" si="105"/>
        <v>0</v>
      </c>
      <c r="KK29" s="524"/>
      <c r="KL29" s="526" t="str">
        <f t="shared" si="106"/>
        <v>0</v>
      </c>
      <c r="KM29" s="526" t="str">
        <f t="shared" si="107"/>
        <v>0</v>
      </c>
      <c r="KN29" s="524"/>
      <c r="KO29" s="526" t="str">
        <f t="shared" si="108"/>
        <v>0</v>
      </c>
      <c r="KP29" s="526" t="str">
        <f t="shared" si="109"/>
        <v>0</v>
      </c>
      <c r="KQ29" s="524"/>
      <c r="KR29" s="526" t="str">
        <f t="shared" si="110"/>
        <v>0</v>
      </c>
      <c r="KS29" s="526" t="str">
        <f t="shared" si="111"/>
        <v>0</v>
      </c>
      <c r="KT29" s="526">
        <f t="shared" si="201"/>
        <v>0</v>
      </c>
      <c r="KU29" s="526">
        <f t="shared" si="202"/>
        <v>0</v>
      </c>
      <c r="KV29" s="262">
        <f t="shared" si="204"/>
        <v>23.333333333333314</v>
      </c>
    </row>
    <row r="30" spans="1:308">
      <c r="A30" s="263">
        <f t="shared" si="200"/>
        <v>45922</v>
      </c>
      <c r="B30" s="264" t="str">
        <f>+Report1!B30</f>
        <v>STOP</v>
      </c>
      <c r="C30" s="264" t="str">
        <f>+Report1!C30</f>
        <v>12</v>
      </c>
      <c r="D30" s="265">
        <f>+Report1!P30</f>
        <v>0</v>
      </c>
      <c r="E30" s="556">
        <f>+Report1!R30</f>
        <v>0</v>
      </c>
      <c r="F30" s="524"/>
      <c r="G30" s="525" t="e">
        <f t="shared" si="0"/>
        <v>#DIV/0!</v>
      </c>
      <c r="H30" s="526">
        <f t="shared" si="113"/>
        <v>0</v>
      </c>
      <c r="I30" s="524"/>
      <c r="J30" s="525" t="e">
        <f t="shared" si="1"/>
        <v>#DIV/0!</v>
      </c>
      <c r="K30" s="526">
        <f t="shared" si="114"/>
        <v>0</v>
      </c>
      <c r="L30" s="524"/>
      <c r="M30" s="525" t="e">
        <f t="shared" si="2"/>
        <v>#DIV/0!</v>
      </c>
      <c r="N30" s="526">
        <f t="shared" si="115"/>
        <v>0</v>
      </c>
      <c r="O30" s="524"/>
      <c r="P30" s="525" t="e">
        <f t="shared" si="3"/>
        <v>#DIV/0!</v>
      </c>
      <c r="Q30" s="526">
        <f t="shared" si="116"/>
        <v>0</v>
      </c>
      <c r="R30" s="524"/>
      <c r="S30" s="525" t="e">
        <f t="shared" si="4"/>
        <v>#DIV/0!</v>
      </c>
      <c r="T30" s="526">
        <f t="shared" si="117"/>
        <v>0</v>
      </c>
      <c r="U30" s="524"/>
      <c r="V30" s="525" t="e">
        <f t="shared" si="5"/>
        <v>#DIV/0!</v>
      </c>
      <c r="W30" s="526">
        <f t="shared" si="118"/>
        <v>0</v>
      </c>
      <c r="X30" s="524"/>
      <c r="Y30" s="525" t="e">
        <f t="shared" si="6"/>
        <v>#DIV/0!</v>
      </c>
      <c r="Z30" s="526">
        <f t="shared" si="119"/>
        <v>0</v>
      </c>
      <c r="AA30" s="524"/>
      <c r="AB30" s="525" t="e">
        <f t="shared" si="7"/>
        <v>#DIV/0!</v>
      </c>
      <c r="AC30" s="526">
        <f t="shared" si="120"/>
        <v>0</v>
      </c>
      <c r="AD30" s="524"/>
      <c r="AE30" s="525" t="e">
        <f t="shared" si="8"/>
        <v>#DIV/0!</v>
      </c>
      <c r="AF30" s="526">
        <f t="shared" si="121"/>
        <v>0</v>
      </c>
      <c r="AG30" s="524"/>
      <c r="AH30" s="525" t="e">
        <f t="shared" si="9"/>
        <v>#DIV/0!</v>
      </c>
      <c r="AI30" s="526">
        <f t="shared" si="122"/>
        <v>0</v>
      </c>
      <c r="AJ30" s="524"/>
      <c r="AK30" s="525" t="e">
        <f t="shared" si="10"/>
        <v>#DIV/0!</v>
      </c>
      <c r="AL30" s="526">
        <f t="shared" si="123"/>
        <v>0</v>
      </c>
      <c r="AM30" s="524"/>
      <c r="AN30" s="525" t="e">
        <f t="shared" si="11"/>
        <v>#DIV/0!</v>
      </c>
      <c r="AO30" s="526">
        <f t="shared" si="124"/>
        <v>0</v>
      </c>
      <c r="AP30" s="524"/>
      <c r="AQ30" s="525" t="e">
        <f t="shared" si="12"/>
        <v>#DIV/0!</v>
      </c>
      <c r="AR30" s="526">
        <f t="shared" si="125"/>
        <v>0</v>
      </c>
      <c r="AS30" s="524"/>
      <c r="AT30" s="525" t="e">
        <f t="shared" si="13"/>
        <v>#DIV/0!</v>
      </c>
      <c r="AU30" s="526">
        <f t="shared" si="126"/>
        <v>0</v>
      </c>
      <c r="AV30" s="524"/>
      <c r="AW30" s="525" t="e">
        <f t="shared" si="14"/>
        <v>#DIV/0!</v>
      </c>
      <c r="AX30" s="526">
        <f t="shared" si="127"/>
        <v>0</v>
      </c>
      <c r="AY30" s="524"/>
      <c r="AZ30" s="525" t="e">
        <f t="shared" si="15"/>
        <v>#DIV/0!</v>
      </c>
      <c r="BA30" s="526">
        <f t="shared" si="128"/>
        <v>0</v>
      </c>
      <c r="BB30" s="524"/>
      <c r="BC30" s="525" t="e">
        <f t="shared" si="16"/>
        <v>#DIV/0!</v>
      </c>
      <c r="BD30" s="526">
        <f t="shared" si="129"/>
        <v>0</v>
      </c>
      <c r="BE30" s="524"/>
      <c r="BF30" s="525" t="e">
        <f t="shared" si="17"/>
        <v>#DIV/0!</v>
      </c>
      <c r="BG30" s="526">
        <f t="shared" si="130"/>
        <v>0</v>
      </c>
      <c r="BH30" s="524"/>
      <c r="BI30" s="525" t="e">
        <f t="shared" si="18"/>
        <v>#DIV/0!</v>
      </c>
      <c r="BJ30" s="526">
        <f t="shared" si="131"/>
        <v>0</v>
      </c>
      <c r="BK30" s="524"/>
      <c r="BL30" s="525" t="e">
        <f t="shared" si="19"/>
        <v>#DIV/0!</v>
      </c>
      <c r="BM30" s="526">
        <f t="shared" si="132"/>
        <v>0</v>
      </c>
      <c r="BN30" s="524"/>
      <c r="BO30" s="525" t="e">
        <f t="shared" si="20"/>
        <v>#DIV/0!</v>
      </c>
      <c r="BP30" s="526">
        <f t="shared" si="133"/>
        <v>0</v>
      </c>
      <c r="BQ30" s="524"/>
      <c r="BR30" s="525" t="e">
        <f t="shared" si="21"/>
        <v>#DIV/0!</v>
      </c>
      <c r="BS30" s="526">
        <f t="shared" si="134"/>
        <v>0</v>
      </c>
      <c r="BT30" s="524"/>
      <c r="BU30" s="525" t="e">
        <f t="shared" si="22"/>
        <v>#DIV/0!</v>
      </c>
      <c r="BV30" s="526">
        <f t="shared" si="135"/>
        <v>0</v>
      </c>
      <c r="BW30" s="524"/>
      <c r="BX30" s="525" t="e">
        <f t="shared" si="23"/>
        <v>#DIV/0!</v>
      </c>
      <c r="BY30" s="526">
        <f t="shared" si="136"/>
        <v>0</v>
      </c>
      <c r="BZ30" s="524"/>
      <c r="CA30" s="525" t="e">
        <f t="shared" si="24"/>
        <v>#DIV/0!</v>
      </c>
      <c r="CB30" s="526">
        <f t="shared" si="137"/>
        <v>0</v>
      </c>
      <c r="CC30" s="524"/>
      <c r="CD30" s="525" t="e">
        <f t="shared" si="25"/>
        <v>#DIV/0!</v>
      </c>
      <c r="CE30" s="526">
        <f t="shared" si="138"/>
        <v>0</v>
      </c>
      <c r="CF30" s="524"/>
      <c r="CG30" s="525" t="e">
        <f t="shared" si="26"/>
        <v>#DIV/0!</v>
      </c>
      <c r="CH30" s="526">
        <f t="shared" si="139"/>
        <v>0</v>
      </c>
      <c r="CI30" s="524"/>
      <c r="CJ30" s="525" t="e">
        <f t="shared" si="27"/>
        <v>#DIV/0!</v>
      </c>
      <c r="CK30" s="526">
        <f t="shared" si="140"/>
        <v>0</v>
      </c>
      <c r="CL30" s="524"/>
      <c r="CM30" s="525" t="e">
        <f t="shared" si="28"/>
        <v>#DIV/0!</v>
      </c>
      <c r="CN30" s="526">
        <f t="shared" si="141"/>
        <v>0</v>
      </c>
      <c r="CO30" s="524"/>
      <c r="CP30" s="525" t="e">
        <f t="shared" si="29"/>
        <v>#DIV/0!</v>
      </c>
      <c r="CQ30" s="526">
        <f t="shared" si="142"/>
        <v>0</v>
      </c>
      <c r="CR30" s="524"/>
      <c r="CS30" s="525" t="e">
        <f t="shared" si="30"/>
        <v>#DIV/0!</v>
      </c>
      <c r="CT30" s="526">
        <f t="shared" si="143"/>
        <v>0</v>
      </c>
      <c r="CU30" s="524"/>
      <c r="CV30" s="525" t="e">
        <f t="shared" si="31"/>
        <v>#DIV/0!</v>
      </c>
      <c r="CW30" s="526">
        <f t="shared" si="144"/>
        <v>0</v>
      </c>
      <c r="CX30" s="524"/>
      <c r="CY30" s="525" t="e">
        <f t="shared" si="32"/>
        <v>#DIV/0!</v>
      </c>
      <c r="CZ30" s="526">
        <f t="shared" si="145"/>
        <v>0</v>
      </c>
      <c r="DA30" s="524"/>
      <c r="DB30" s="525" t="e">
        <f t="shared" si="33"/>
        <v>#DIV/0!</v>
      </c>
      <c r="DC30" s="526">
        <f t="shared" si="146"/>
        <v>0</v>
      </c>
      <c r="DD30" s="524"/>
      <c r="DE30" s="525" t="e">
        <f t="shared" si="34"/>
        <v>#DIV/0!</v>
      </c>
      <c r="DF30" s="526">
        <f t="shared" si="147"/>
        <v>0</v>
      </c>
      <c r="DG30" s="524"/>
      <c r="DH30" s="525" t="e">
        <f t="shared" si="35"/>
        <v>#DIV/0!</v>
      </c>
      <c r="DI30" s="526">
        <f t="shared" si="203"/>
        <v>0</v>
      </c>
      <c r="DJ30" s="524"/>
      <c r="DK30" s="525" t="e">
        <f t="shared" si="36"/>
        <v>#DIV/0!</v>
      </c>
      <c r="DL30" s="526">
        <f t="shared" si="148"/>
        <v>0</v>
      </c>
      <c r="DM30" s="524"/>
      <c r="DN30" s="525" t="e">
        <f t="shared" si="37"/>
        <v>#DIV/0!</v>
      </c>
      <c r="DO30" s="526">
        <f t="shared" si="149"/>
        <v>0</v>
      </c>
      <c r="DP30" s="524"/>
      <c r="DQ30" s="525" t="e">
        <f t="shared" si="38"/>
        <v>#DIV/0!</v>
      </c>
      <c r="DR30" s="526">
        <f t="shared" si="150"/>
        <v>0</v>
      </c>
      <c r="DS30" s="524"/>
      <c r="DT30" s="525" t="e">
        <f t="shared" si="39"/>
        <v>#DIV/0!</v>
      </c>
      <c r="DU30" s="526">
        <f t="shared" si="151"/>
        <v>0</v>
      </c>
      <c r="DV30" s="524"/>
      <c r="DW30" s="525" t="e">
        <f t="shared" si="40"/>
        <v>#DIV/0!</v>
      </c>
      <c r="DX30" s="526">
        <f t="shared" si="152"/>
        <v>0</v>
      </c>
      <c r="DY30" s="524"/>
      <c r="DZ30" s="525" t="e">
        <f t="shared" si="41"/>
        <v>#DIV/0!</v>
      </c>
      <c r="EA30" s="526">
        <f t="shared" si="153"/>
        <v>0</v>
      </c>
      <c r="EB30" s="524"/>
      <c r="EC30" s="525" t="e">
        <f t="shared" si="42"/>
        <v>#DIV/0!</v>
      </c>
      <c r="ED30" s="526">
        <f t="shared" si="154"/>
        <v>0</v>
      </c>
      <c r="EE30" s="524"/>
      <c r="EF30" s="525" t="e">
        <f t="shared" si="43"/>
        <v>#DIV/0!</v>
      </c>
      <c r="EG30" s="526">
        <f t="shared" si="155"/>
        <v>0</v>
      </c>
      <c r="EH30" s="524"/>
      <c r="EI30" s="525" t="e">
        <f t="shared" si="44"/>
        <v>#DIV/0!</v>
      </c>
      <c r="EJ30" s="526">
        <f t="shared" si="156"/>
        <v>0</v>
      </c>
      <c r="EK30" s="524"/>
      <c r="EL30" s="525" t="e">
        <f t="shared" si="45"/>
        <v>#DIV/0!</v>
      </c>
      <c r="EM30" s="526">
        <f t="shared" si="157"/>
        <v>0</v>
      </c>
      <c r="EN30" s="524"/>
      <c r="EO30" s="525" t="e">
        <f t="shared" si="46"/>
        <v>#DIV/0!</v>
      </c>
      <c r="EP30" s="526">
        <f t="shared" si="158"/>
        <v>0</v>
      </c>
      <c r="EQ30" s="524"/>
      <c r="ER30" s="525" t="e">
        <f t="shared" si="47"/>
        <v>#DIV/0!</v>
      </c>
      <c r="ES30" s="526">
        <f t="shared" si="159"/>
        <v>0</v>
      </c>
      <c r="ET30" s="524"/>
      <c r="EU30" s="525" t="e">
        <f t="shared" si="48"/>
        <v>#DIV/0!</v>
      </c>
      <c r="EV30" s="526">
        <f t="shared" si="160"/>
        <v>0</v>
      </c>
      <c r="EW30" s="524"/>
      <c r="EX30" s="525" t="e">
        <f t="shared" si="49"/>
        <v>#DIV/0!</v>
      </c>
      <c r="EY30" s="526">
        <f t="shared" si="161"/>
        <v>0</v>
      </c>
      <c r="EZ30" s="524"/>
      <c r="FA30" s="525" t="e">
        <f t="shared" si="50"/>
        <v>#DIV/0!</v>
      </c>
      <c r="FB30" s="526">
        <f t="shared" si="162"/>
        <v>0</v>
      </c>
      <c r="FC30" s="524"/>
      <c r="FD30" s="525" t="e">
        <f t="shared" si="51"/>
        <v>#DIV/0!</v>
      </c>
      <c r="FE30" s="526">
        <f t="shared" si="163"/>
        <v>0</v>
      </c>
      <c r="FF30" s="524"/>
      <c r="FG30" s="525" t="e">
        <f t="shared" si="52"/>
        <v>#DIV/0!</v>
      </c>
      <c r="FH30" s="526">
        <f t="shared" si="164"/>
        <v>0</v>
      </c>
      <c r="FI30" s="524"/>
      <c r="FJ30" s="525" t="e">
        <f t="shared" si="53"/>
        <v>#DIV/0!</v>
      </c>
      <c r="FK30" s="526">
        <f t="shared" si="165"/>
        <v>0</v>
      </c>
      <c r="FL30" s="524"/>
      <c r="FM30" s="525" t="e">
        <f t="shared" si="54"/>
        <v>#DIV/0!</v>
      </c>
      <c r="FN30" s="526">
        <f t="shared" si="166"/>
        <v>0</v>
      </c>
      <c r="FO30" s="524"/>
      <c r="FP30" s="525" t="e">
        <f t="shared" si="55"/>
        <v>#DIV/0!</v>
      </c>
      <c r="FQ30" s="526">
        <f t="shared" si="167"/>
        <v>0</v>
      </c>
      <c r="FR30" s="524"/>
      <c r="FS30" s="525" t="e">
        <f t="shared" si="56"/>
        <v>#DIV/0!</v>
      </c>
      <c r="FT30" s="526">
        <f t="shared" si="168"/>
        <v>0</v>
      </c>
      <c r="FU30" s="524"/>
      <c r="FV30" s="525" t="e">
        <f t="shared" si="57"/>
        <v>#DIV/0!</v>
      </c>
      <c r="FW30" s="526">
        <f t="shared" si="169"/>
        <v>0</v>
      </c>
      <c r="FX30" s="524"/>
      <c r="FY30" s="525" t="e">
        <f t="shared" si="58"/>
        <v>#DIV/0!</v>
      </c>
      <c r="FZ30" s="526">
        <f t="shared" si="170"/>
        <v>0</v>
      </c>
      <c r="GA30" s="524"/>
      <c r="GB30" s="525" t="e">
        <f t="shared" si="59"/>
        <v>#DIV/0!</v>
      </c>
      <c r="GC30" s="526">
        <f t="shared" si="171"/>
        <v>0</v>
      </c>
      <c r="GD30" s="524"/>
      <c r="GE30" s="525" t="e">
        <f t="shared" si="60"/>
        <v>#DIV/0!</v>
      </c>
      <c r="GF30" s="526">
        <f t="shared" si="172"/>
        <v>0</v>
      </c>
      <c r="GG30" s="524"/>
      <c r="GH30" s="525" t="e">
        <f t="shared" si="61"/>
        <v>#DIV/0!</v>
      </c>
      <c r="GI30" s="526">
        <f t="shared" si="173"/>
        <v>0</v>
      </c>
      <c r="GJ30" s="524"/>
      <c r="GK30" s="525" t="e">
        <f t="shared" si="62"/>
        <v>#DIV/0!</v>
      </c>
      <c r="GL30" s="526">
        <f t="shared" si="174"/>
        <v>0</v>
      </c>
      <c r="GM30" s="524"/>
      <c r="GN30" s="525" t="e">
        <f t="shared" si="63"/>
        <v>#DIV/0!</v>
      </c>
      <c r="GO30" s="526">
        <f t="shared" si="175"/>
        <v>0</v>
      </c>
      <c r="GP30" s="524"/>
      <c r="GQ30" s="525" t="e">
        <f t="shared" si="64"/>
        <v>#DIV/0!</v>
      </c>
      <c r="GR30" s="526">
        <f t="shared" si="176"/>
        <v>0</v>
      </c>
      <c r="GS30" s="524"/>
      <c r="GT30" s="525" t="e">
        <f t="shared" si="65"/>
        <v>#DIV/0!</v>
      </c>
      <c r="GU30" s="526">
        <f t="shared" si="177"/>
        <v>0</v>
      </c>
      <c r="GV30" s="524"/>
      <c r="GW30" s="525" t="e">
        <f t="shared" si="66"/>
        <v>#DIV/0!</v>
      </c>
      <c r="GX30" s="526">
        <f t="shared" si="178"/>
        <v>0</v>
      </c>
      <c r="GY30" s="524"/>
      <c r="GZ30" s="525" t="e">
        <f t="shared" si="67"/>
        <v>#DIV/0!</v>
      </c>
      <c r="HA30" s="526">
        <f t="shared" si="179"/>
        <v>0</v>
      </c>
      <c r="HB30" s="524"/>
      <c r="HC30" s="525" t="e">
        <f t="shared" si="68"/>
        <v>#DIV/0!</v>
      </c>
      <c r="HD30" s="526">
        <f t="shared" si="180"/>
        <v>0</v>
      </c>
      <c r="HE30" s="524"/>
      <c r="HF30" s="525" t="e">
        <f t="shared" si="69"/>
        <v>#DIV/0!</v>
      </c>
      <c r="HG30" s="526">
        <f t="shared" si="181"/>
        <v>0</v>
      </c>
      <c r="HH30" s="524"/>
      <c r="HI30" s="525" t="e">
        <f t="shared" si="70"/>
        <v>#DIV/0!</v>
      </c>
      <c r="HJ30" s="526">
        <f t="shared" si="182"/>
        <v>0</v>
      </c>
      <c r="HK30" s="524"/>
      <c r="HL30" s="525" t="e">
        <f t="shared" si="71"/>
        <v>#DIV/0!</v>
      </c>
      <c r="HM30" s="526">
        <f t="shared" si="183"/>
        <v>0</v>
      </c>
      <c r="HN30" s="524"/>
      <c r="HO30" s="525" t="e">
        <f t="shared" si="72"/>
        <v>#DIV/0!</v>
      </c>
      <c r="HP30" s="526">
        <f t="shared" si="184"/>
        <v>0</v>
      </c>
      <c r="HQ30" s="524"/>
      <c r="HR30" s="525" t="e">
        <f t="shared" si="73"/>
        <v>#DIV/0!</v>
      </c>
      <c r="HS30" s="526">
        <f t="shared" si="185"/>
        <v>0</v>
      </c>
      <c r="HT30" s="524"/>
      <c r="HU30" s="525" t="e">
        <f t="shared" si="74"/>
        <v>#DIV/0!</v>
      </c>
      <c r="HV30" s="526">
        <f t="shared" si="186"/>
        <v>0</v>
      </c>
      <c r="HW30" s="524"/>
      <c r="HX30" s="525" t="e">
        <f t="shared" si="75"/>
        <v>#DIV/0!</v>
      </c>
      <c r="HY30" s="526">
        <f t="shared" si="187"/>
        <v>0</v>
      </c>
      <c r="HZ30" s="524"/>
      <c r="IA30" s="525" t="e">
        <f t="shared" si="76"/>
        <v>#DIV/0!</v>
      </c>
      <c r="IB30" s="526">
        <f t="shared" si="188"/>
        <v>0</v>
      </c>
      <c r="IC30" s="524"/>
      <c r="ID30" s="525" t="e">
        <f t="shared" si="77"/>
        <v>#DIV/0!</v>
      </c>
      <c r="IE30" s="526">
        <f t="shared" si="189"/>
        <v>0</v>
      </c>
      <c r="IF30" s="524"/>
      <c r="IG30" s="525" t="e">
        <f t="shared" si="78"/>
        <v>#DIV/0!</v>
      </c>
      <c r="IH30" s="526">
        <f t="shared" si="190"/>
        <v>0</v>
      </c>
      <c r="II30" s="524"/>
      <c r="IJ30" s="525" t="e">
        <f t="shared" si="79"/>
        <v>#DIV/0!</v>
      </c>
      <c r="IK30" s="526">
        <f t="shared" si="191"/>
        <v>0</v>
      </c>
      <c r="IL30" s="524"/>
      <c r="IM30" s="525" t="e">
        <f t="shared" si="80"/>
        <v>#DIV/0!</v>
      </c>
      <c r="IN30" s="526">
        <f t="shared" si="192"/>
        <v>0</v>
      </c>
      <c r="IO30" s="524"/>
      <c r="IP30" s="525" t="e">
        <f t="shared" si="81"/>
        <v>#DIV/0!</v>
      </c>
      <c r="IQ30" s="526">
        <f t="shared" si="193"/>
        <v>0</v>
      </c>
      <c r="IR30" s="524"/>
      <c r="IS30" s="525" t="e">
        <f t="shared" si="82"/>
        <v>#DIV/0!</v>
      </c>
      <c r="IT30" s="526">
        <f t="shared" si="194"/>
        <v>0</v>
      </c>
      <c r="IU30" s="524"/>
      <c r="IV30" s="525" t="e">
        <f t="shared" si="83"/>
        <v>#DIV/0!</v>
      </c>
      <c r="IW30" s="526">
        <f t="shared" si="195"/>
        <v>0</v>
      </c>
      <c r="IX30" s="524"/>
      <c r="IY30" s="525" t="e">
        <f t="shared" si="84"/>
        <v>#DIV/0!</v>
      </c>
      <c r="IZ30" s="526">
        <f t="shared" si="196"/>
        <v>0</v>
      </c>
      <c r="JA30" s="524"/>
      <c r="JB30" s="525" t="e">
        <f t="shared" si="85"/>
        <v>#DIV/0!</v>
      </c>
      <c r="JC30" s="526">
        <f t="shared" si="197"/>
        <v>0</v>
      </c>
      <c r="JD30" s="524"/>
      <c r="JE30" s="525" t="e">
        <f t="shared" si="86"/>
        <v>#DIV/0!</v>
      </c>
      <c r="JF30" s="526">
        <f t="shared" si="198"/>
        <v>0</v>
      </c>
      <c r="JG30" s="524"/>
      <c r="JH30" s="525" t="e">
        <f t="shared" si="87"/>
        <v>#DIV/0!</v>
      </c>
      <c r="JI30" s="526">
        <f t="shared" si="199"/>
        <v>0</v>
      </c>
      <c r="JJ30" s="524"/>
      <c r="JK30" s="526" t="str">
        <f t="shared" si="88"/>
        <v>0</v>
      </c>
      <c r="JL30" s="526" t="str">
        <f t="shared" si="89"/>
        <v>0</v>
      </c>
      <c r="JM30" s="524"/>
      <c r="JN30" s="526" t="str">
        <f t="shared" si="90"/>
        <v>0</v>
      </c>
      <c r="JO30" s="526" t="str">
        <f t="shared" si="91"/>
        <v>0</v>
      </c>
      <c r="JP30" s="524"/>
      <c r="JQ30" s="526" t="str">
        <f t="shared" si="92"/>
        <v>0</v>
      </c>
      <c r="JR30" s="526" t="str">
        <f t="shared" si="93"/>
        <v>0</v>
      </c>
      <c r="JS30" s="524"/>
      <c r="JT30" s="526" t="str">
        <f t="shared" si="94"/>
        <v>0</v>
      </c>
      <c r="JU30" s="526" t="str">
        <f t="shared" si="95"/>
        <v>0</v>
      </c>
      <c r="JV30" s="524"/>
      <c r="JW30" s="526" t="str">
        <f t="shared" si="96"/>
        <v>0</v>
      </c>
      <c r="JX30" s="526" t="str">
        <f t="shared" si="97"/>
        <v>0</v>
      </c>
      <c r="JY30" s="524"/>
      <c r="JZ30" s="526" t="str">
        <f t="shared" si="98"/>
        <v>0</v>
      </c>
      <c r="KA30" s="526" t="str">
        <f t="shared" si="99"/>
        <v>0</v>
      </c>
      <c r="KB30" s="524"/>
      <c r="KC30" s="526" t="str">
        <f t="shared" si="100"/>
        <v>0</v>
      </c>
      <c r="KD30" s="526" t="str">
        <f t="shared" si="101"/>
        <v>0</v>
      </c>
      <c r="KE30" s="524"/>
      <c r="KF30" s="526" t="str">
        <f t="shared" si="102"/>
        <v>0</v>
      </c>
      <c r="KG30" s="526" t="str">
        <f t="shared" si="103"/>
        <v>0</v>
      </c>
      <c r="KH30" s="524"/>
      <c r="KI30" s="526" t="str">
        <f t="shared" si="104"/>
        <v>0</v>
      </c>
      <c r="KJ30" s="526" t="str">
        <f t="shared" si="105"/>
        <v>0</v>
      </c>
      <c r="KK30" s="524"/>
      <c r="KL30" s="526" t="str">
        <f t="shared" si="106"/>
        <v>0</v>
      </c>
      <c r="KM30" s="526" t="str">
        <f t="shared" si="107"/>
        <v>0</v>
      </c>
      <c r="KN30" s="524"/>
      <c r="KO30" s="526" t="str">
        <f t="shared" si="108"/>
        <v>0</v>
      </c>
      <c r="KP30" s="526" t="str">
        <f t="shared" si="109"/>
        <v>0</v>
      </c>
      <c r="KQ30" s="524"/>
      <c r="KR30" s="526" t="str">
        <f t="shared" si="110"/>
        <v>0</v>
      </c>
      <c r="KS30" s="526" t="str">
        <f t="shared" si="111"/>
        <v>0</v>
      </c>
      <c r="KT30" s="526">
        <f t="shared" si="201"/>
        <v>0</v>
      </c>
      <c r="KU30" s="526">
        <f t="shared" si="202"/>
        <v>0</v>
      </c>
      <c r="KV30" s="262">
        <f t="shared" si="204"/>
        <v>0</v>
      </c>
    </row>
    <row r="31" spans="1:308">
      <c r="A31" s="263">
        <f t="shared" si="200"/>
        <v>45923</v>
      </c>
      <c r="B31" s="264" t="str">
        <f>+Report1!B31</f>
        <v>STOP</v>
      </c>
      <c r="C31" s="264" t="str">
        <f>+Report1!C31</f>
        <v>12</v>
      </c>
      <c r="D31" s="265">
        <f>+Report1!P31</f>
        <v>0</v>
      </c>
      <c r="E31" s="556">
        <f>+Report1!R31</f>
        <v>0</v>
      </c>
      <c r="F31" s="524"/>
      <c r="G31" s="525" t="e">
        <f t="shared" si="0"/>
        <v>#DIV/0!</v>
      </c>
      <c r="H31" s="526">
        <f t="shared" si="113"/>
        <v>0</v>
      </c>
      <c r="I31" s="524"/>
      <c r="J31" s="525" t="e">
        <f t="shared" si="1"/>
        <v>#DIV/0!</v>
      </c>
      <c r="K31" s="526">
        <f t="shared" si="114"/>
        <v>0</v>
      </c>
      <c r="L31" s="524"/>
      <c r="M31" s="525" t="e">
        <f t="shared" si="2"/>
        <v>#DIV/0!</v>
      </c>
      <c r="N31" s="526">
        <f t="shared" si="115"/>
        <v>0</v>
      </c>
      <c r="O31" s="524"/>
      <c r="P31" s="525" t="e">
        <f t="shared" si="3"/>
        <v>#DIV/0!</v>
      </c>
      <c r="Q31" s="526">
        <f t="shared" si="116"/>
        <v>0</v>
      </c>
      <c r="R31" s="524"/>
      <c r="S31" s="525" t="e">
        <f t="shared" si="4"/>
        <v>#DIV/0!</v>
      </c>
      <c r="T31" s="526">
        <f t="shared" si="117"/>
        <v>0</v>
      </c>
      <c r="U31" s="524"/>
      <c r="V31" s="525" t="e">
        <f t="shared" si="5"/>
        <v>#DIV/0!</v>
      </c>
      <c r="W31" s="526">
        <f t="shared" si="118"/>
        <v>0</v>
      </c>
      <c r="X31" s="524"/>
      <c r="Y31" s="525" t="e">
        <f t="shared" si="6"/>
        <v>#DIV/0!</v>
      </c>
      <c r="Z31" s="526">
        <f t="shared" si="119"/>
        <v>0</v>
      </c>
      <c r="AA31" s="524"/>
      <c r="AB31" s="525" t="e">
        <f t="shared" si="7"/>
        <v>#DIV/0!</v>
      </c>
      <c r="AC31" s="526">
        <f t="shared" si="120"/>
        <v>0</v>
      </c>
      <c r="AD31" s="524"/>
      <c r="AE31" s="525" t="e">
        <f t="shared" si="8"/>
        <v>#DIV/0!</v>
      </c>
      <c r="AF31" s="526">
        <f t="shared" si="121"/>
        <v>0</v>
      </c>
      <c r="AG31" s="524"/>
      <c r="AH31" s="525" t="e">
        <f t="shared" si="9"/>
        <v>#DIV/0!</v>
      </c>
      <c r="AI31" s="526">
        <f t="shared" si="122"/>
        <v>0</v>
      </c>
      <c r="AJ31" s="524"/>
      <c r="AK31" s="525" t="e">
        <f t="shared" si="10"/>
        <v>#DIV/0!</v>
      </c>
      <c r="AL31" s="526">
        <f t="shared" si="123"/>
        <v>0</v>
      </c>
      <c r="AM31" s="524"/>
      <c r="AN31" s="525" t="e">
        <f t="shared" si="11"/>
        <v>#DIV/0!</v>
      </c>
      <c r="AO31" s="526">
        <f t="shared" si="124"/>
        <v>0</v>
      </c>
      <c r="AP31" s="524"/>
      <c r="AQ31" s="525" t="e">
        <f t="shared" si="12"/>
        <v>#DIV/0!</v>
      </c>
      <c r="AR31" s="526">
        <f t="shared" si="125"/>
        <v>0</v>
      </c>
      <c r="AS31" s="524"/>
      <c r="AT31" s="525" t="e">
        <f t="shared" si="13"/>
        <v>#DIV/0!</v>
      </c>
      <c r="AU31" s="526">
        <f t="shared" si="126"/>
        <v>0</v>
      </c>
      <c r="AV31" s="524"/>
      <c r="AW31" s="525" t="e">
        <f t="shared" si="14"/>
        <v>#DIV/0!</v>
      </c>
      <c r="AX31" s="526">
        <f t="shared" si="127"/>
        <v>0</v>
      </c>
      <c r="AY31" s="524"/>
      <c r="AZ31" s="525" t="e">
        <f t="shared" si="15"/>
        <v>#DIV/0!</v>
      </c>
      <c r="BA31" s="526">
        <f t="shared" si="128"/>
        <v>0</v>
      </c>
      <c r="BB31" s="524"/>
      <c r="BC31" s="525" t="e">
        <f t="shared" si="16"/>
        <v>#DIV/0!</v>
      </c>
      <c r="BD31" s="526">
        <f t="shared" si="129"/>
        <v>0</v>
      </c>
      <c r="BE31" s="524"/>
      <c r="BF31" s="525" t="e">
        <f t="shared" si="17"/>
        <v>#DIV/0!</v>
      </c>
      <c r="BG31" s="526">
        <f t="shared" si="130"/>
        <v>0</v>
      </c>
      <c r="BH31" s="524"/>
      <c r="BI31" s="525" t="e">
        <f t="shared" si="18"/>
        <v>#DIV/0!</v>
      </c>
      <c r="BJ31" s="526">
        <f t="shared" si="131"/>
        <v>0</v>
      </c>
      <c r="BK31" s="524"/>
      <c r="BL31" s="525" t="e">
        <f t="shared" si="19"/>
        <v>#DIV/0!</v>
      </c>
      <c r="BM31" s="526">
        <f t="shared" si="132"/>
        <v>0</v>
      </c>
      <c r="BN31" s="524"/>
      <c r="BO31" s="525" t="e">
        <f t="shared" si="20"/>
        <v>#DIV/0!</v>
      </c>
      <c r="BP31" s="526">
        <f t="shared" si="133"/>
        <v>0</v>
      </c>
      <c r="BQ31" s="524"/>
      <c r="BR31" s="525" t="e">
        <f t="shared" si="21"/>
        <v>#DIV/0!</v>
      </c>
      <c r="BS31" s="526">
        <f t="shared" si="134"/>
        <v>0</v>
      </c>
      <c r="BT31" s="524"/>
      <c r="BU31" s="525" t="e">
        <f t="shared" si="22"/>
        <v>#DIV/0!</v>
      </c>
      <c r="BV31" s="526">
        <f t="shared" si="135"/>
        <v>0</v>
      </c>
      <c r="BW31" s="524"/>
      <c r="BX31" s="525" t="e">
        <f t="shared" si="23"/>
        <v>#DIV/0!</v>
      </c>
      <c r="BY31" s="526">
        <f t="shared" si="136"/>
        <v>0</v>
      </c>
      <c r="BZ31" s="524"/>
      <c r="CA31" s="525" t="e">
        <f t="shared" si="24"/>
        <v>#DIV/0!</v>
      </c>
      <c r="CB31" s="526">
        <f t="shared" si="137"/>
        <v>0</v>
      </c>
      <c r="CC31" s="524"/>
      <c r="CD31" s="525" t="e">
        <f t="shared" si="25"/>
        <v>#DIV/0!</v>
      </c>
      <c r="CE31" s="526">
        <f t="shared" si="138"/>
        <v>0</v>
      </c>
      <c r="CF31" s="524"/>
      <c r="CG31" s="525" t="e">
        <f t="shared" si="26"/>
        <v>#DIV/0!</v>
      </c>
      <c r="CH31" s="526">
        <f t="shared" si="139"/>
        <v>0</v>
      </c>
      <c r="CI31" s="524"/>
      <c r="CJ31" s="525" t="e">
        <f t="shared" si="27"/>
        <v>#DIV/0!</v>
      </c>
      <c r="CK31" s="526">
        <f t="shared" si="140"/>
        <v>0</v>
      </c>
      <c r="CL31" s="524"/>
      <c r="CM31" s="525" t="e">
        <f t="shared" si="28"/>
        <v>#DIV/0!</v>
      </c>
      <c r="CN31" s="526">
        <f t="shared" si="141"/>
        <v>0</v>
      </c>
      <c r="CO31" s="524"/>
      <c r="CP31" s="525" t="e">
        <f t="shared" si="29"/>
        <v>#DIV/0!</v>
      </c>
      <c r="CQ31" s="526">
        <f t="shared" si="142"/>
        <v>0</v>
      </c>
      <c r="CR31" s="524"/>
      <c r="CS31" s="525" t="e">
        <f t="shared" si="30"/>
        <v>#DIV/0!</v>
      </c>
      <c r="CT31" s="526">
        <f t="shared" si="143"/>
        <v>0</v>
      </c>
      <c r="CU31" s="524"/>
      <c r="CV31" s="525" t="e">
        <f t="shared" si="31"/>
        <v>#DIV/0!</v>
      </c>
      <c r="CW31" s="526">
        <f t="shared" si="144"/>
        <v>0</v>
      </c>
      <c r="CX31" s="524"/>
      <c r="CY31" s="525" t="e">
        <f t="shared" si="32"/>
        <v>#DIV/0!</v>
      </c>
      <c r="CZ31" s="526">
        <f t="shared" si="145"/>
        <v>0</v>
      </c>
      <c r="DA31" s="524"/>
      <c r="DB31" s="525" t="e">
        <f t="shared" si="33"/>
        <v>#DIV/0!</v>
      </c>
      <c r="DC31" s="526">
        <f t="shared" si="146"/>
        <v>0</v>
      </c>
      <c r="DD31" s="524"/>
      <c r="DE31" s="525" t="e">
        <f t="shared" si="34"/>
        <v>#DIV/0!</v>
      </c>
      <c r="DF31" s="526">
        <f t="shared" si="147"/>
        <v>0</v>
      </c>
      <c r="DG31" s="524"/>
      <c r="DH31" s="525" t="e">
        <f t="shared" si="35"/>
        <v>#DIV/0!</v>
      </c>
      <c r="DI31" s="526">
        <f t="shared" si="203"/>
        <v>0</v>
      </c>
      <c r="DJ31" s="524"/>
      <c r="DK31" s="525" t="e">
        <f t="shared" si="36"/>
        <v>#DIV/0!</v>
      </c>
      <c r="DL31" s="526">
        <f t="shared" si="148"/>
        <v>0</v>
      </c>
      <c r="DM31" s="524"/>
      <c r="DN31" s="525" t="e">
        <f t="shared" si="37"/>
        <v>#DIV/0!</v>
      </c>
      <c r="DO31" s="526">
        <f t="shared" si="149"/>
        <v>0</v>
      </c>
      <c r="DP31" s="524"/>
      <c r="DQ31" s="525" t="e">
        <f t="shared" si="38"/>
        <v>#DIV/0!</v>
      </c>
      <c r="DR31" s="526">
        <f t="shared" si="150"/>
        <v>0</v>
      </c>
      <c r="DS31" s="524"/>
      <c r="DT31" s="525" t="e">
        <f t="shared" si="39"/>
        <v>#DIV/0!</v>
      </c>
      <c r="DU31" s="526">
        <f t="shared" si="151"/>
        <v>0</v>
      </c>
      <c r="DV31" s="524"/>
      <c r="DW31" s="525" t="e">
        <f t="shared" si="40"/>
        <v>#DIV/0!</v>
      </c>
      <c r="DX31" s="526">
        <f t="shared" si="152"/>
        <v>0</v>
      </c>
      <c r="DY31" s="524"/>
      <c r="DZ31" s="525" t="e">
        <f t="shared" si="41"/>
        <v>#DIV/0!</v>
      </c>
      <c r="EA31" s="526">
        <f t="shared" si="153"/>
        <v>0</v>
      </c>
      <c r="EB31" s="524"/>
      <c r="EC31" s="525" t="e">
        <f t="shared" si="42"/>
        <v>#DIV/0!</v>
      </c>
      <c r="ED31" s="526">
        <f t="shared" si="154"/>
        <v>0</v>
      </c>
      <c r="EE31" s="524"/>
      <c r="EF31" s="525" t="e">
        <f t="shared" si="43"/>
        <v>#DIV/0!</v>
      </c>
      <c r="EG31" s="526">
        <f t="shared" si="155"/>
        <v>0</v>
      </c>
      <c r="EH31" s="524"/>
      <c r="EI31" s="525" t="e">
        <f t="shared" si="44"/>
        <v>#DIV/0!</v>
      </c>
      <c r="EJ31" s="526">
        <f t="shared" si="156"/>
        <v>0</v>
      </c>
      <c r="EK31" s="524"/>
      <c r="EL31" s="525" t="e">
        <f t="shared" si="45"/>
        <v>#DIV/0!</v>
      </c>
      <c r="EM31" s="526">
        <f t="shared" si="157"/>
        <v>0</v>
      </c>
      <c r="EN31" s="524"/>
      <c r="EO31" s="525" t="e">
        <f t="shared" si="46"/>
        <v>#DIV/0!</v>
      </c>
      <c r="EP31" s="526">
        <f t="shared" si="158"/>
        <v>0</v>
      </c>
      <c r="EQ31" s="524"/>
      <c r="ER31" s="525" t="e">
        <f t="shared" si="47"/>
        <v>#DIV/0!</v>
      </c>
      <c r="ES31" s="526">
        <f t="shared" si="159"/>
        <v>0</v>
      </c>
      <c r="ET31" s="524"/>
      <c r="EU31" s="525" t="e">
        <f t="shared" si="48"/>
        <v>#DIV/0!</v>
      </c>
      <c r="EV31" s="526">
        <f t="shared" si="160"/>
        <v>0</v>
      </c>
      <c r="EW31" s="524"/>
      <c r="EX31" s="525" t="e">
        <f t="shared" si="49"/>
        <v>#DIV/0!</v>
      </c>
      <c r="EY31" s="526">
        <f t="shared" si="161"/>
        <v>0</v>
      </c>
      <c r="EZ31" s="524"/>
      <c r="FA31" s="525" t="e">
        <f t="shared" si="50"/>
        <v>#DIV/0!</v>
      </c>
      <c r="FB31" s="526">
        <f t="shared" si="162"/>
        <v>0</v>
      </c>
      <c r="FC31" s="524"/>
      <c r="FD31" s="525" t="e">
        <f t="shared" si="51"/>
        <v>#DIV/0!</v>
      </c>
      <c r="FE31" s="526">
        <f t="shared" si="163"/>
        <v>0</v>
      </c>
      <c r="FF31" s="524"/>
      <c r="FG31" s="525" t="e">
        <f t="shared" si="52"/>
        <v>#DIV/0!</v>
      </c>
      <c r="FH31" s="526">
        <f t="shared" si="164"/>
        <v>0</v>
      </c>
      <c r="FI31" s="524"/>
      <c r="FJ31" s="525" t="e">
        <f t="shared" si="53"/>
        <v>#DIV/0!</v>
      </c>
      <c r="FK31" s="526">
        <f t="shared" si="165"/>
        <v>0</v>
      </c>
      <c r="FL31" s="524"/>
      <c r="FM31" s="525" t="e">
        <f t="shared" si="54"/>
        <v>#DIV/0!</v>
      </c>
      <c r="FN31" s="526">
        <f t="shared" si="166"/>
        <v>0</v>
      </c>
      <c r="FO31" s="524"/>
      <c r="FP31" s="525" t="e">
        <f t="shared" si="55"/>
        <v>#DIV/0!</v>
      </c>
      <c r="FQ31" s="526">
        <f t="shared" si="167"/>
        <v>0</v>
      </c>
      <c r="FR31" s="524"/>
      <c r="FS31" s="525" t="e">
        <f t="shared" si="56"/>
        <v>#DIV/0!</v>
      </c>
      <c r="FT31" s="526">
        <f t="shared" si="168"/>
        <v>0</v>
      </c>
      <c r="FU31" s="524"/>
      <c r="FV31" s="525" t="e">
        <f t="shared" si="57"/>
        <v>#DIV/0!</v>
      </c>
      <c r="FW31" s="526">
        <f t="shared" si="169"/>
        <v>0</v>
      </c>
      <c r="FX31" s="524"/>
      <c r="FY31" s="525" t="e">
        <f t="shared" si="58"/>
        <v>#DIV/0!</v>
      </c>
      <c r="FZ31" s="526">
        <f t="shared" si="170"/>
        <v>0</v>
      </c>
      <c r="GA31" s="524"/>
      <c r="GB31" s="525" t="e">
        <f t="shared" si="59"/>
        <v>#DIV/0!</v>
      </c>
      <c r="GC31" s="526">
        <f t="shared" si="171"/>
        <v>0</v>
      </c>
      <c r="GD31" s="524"/>
      <c r="GE31" s="525" t="e">
        <f t="shared" si="60"/>
        <v>#DIV/0!</v>
      </c>
      <c r="GF31" s="526">
        <f t="shared" si="172"/>
        <v>0</v>
      </c>
      <c r="GG31" s="524"/>
      <c r="GH31" s="525" t="e">
        <f t="shared" si="61"/>
        <v>#DIV/0!</v>
      </c>
      <c r="GI31" s="526">
        <f t="shared" si="173"/>
        <v>0</v>
      </c>
      <c r="GJ31" s="524"/>
      <c r="GK31" s="525" t="e">
        <f t="shared" si="62"/>
        <v>#DIV/0!</v>
      </c>
      <c r="GL31" s="526">
        <f t="shared" si="174"/>
        <v>0</v>
      </c>
      <c r="GM31" s="524"/>
      <c r="GN31" s="525" t="e">
        <f t="shared" si="63"/>
        <v>#DIV/0!</v>
      </c>
      <c r="GO31" s="526">
        <f t="shared" si="175"/>
        <v>0</v>
      </c>
      <c r="GP31" s="524"/>
      <c r="GQ31" s="525" t="e">
        <f t="shared" si="64"/>
        <v>#DIV/0!</v>
      </c>
      <c r="GR31" s="526">
        <f t="shared" si="176"/>
        <v>0</v>
      </c>
      <c r="GS31" s="524"/>
      <c r="GT31" s="525" t="e">
        <f t="shared" si="65"/>
        <v>#DIV/0!</v>
      </c>
      <c r="GU31" s="526">
        <f t="shared" si="177"/>
        <v>0</v>
      </c>
      <c r="GV31" s="524"/>
      <c r="GW31" s="525" t="e">
        <f t="shared" si="66"/>
        <v>#DIV/0!</v>
      </c>
      <c r="GX31" s="526">
        <f t="shared" si="178"/>
        <v>0</v>
      </c>
      <c r="GY31" s="524"/>
      <c r="GZ31" s="525" t="e">
        <f t="shared" si="67"/>
        <v>#DIV/0!</v>
      </c>
      <c r="HA31" s="526">
        <f t="shared" si="179"/>
        <v>0</v>
      </c>
      <c r="HB31" s="524"/>
      <c r="HC31" s="525" t="e">
        <f t="shared" si="68"/>
        <v>#DIV/0!</v>
      </c>
      <c r="HD31" s="526">
        <f t="shared" si="180"/>
        <v>0</v>
      </c>
      <c r="HE31" s="524"/>
      <c r="HF31" s="525" t="e">
        <f t="shared" si="69"/>
        <v>#DIV/0!</v>
      </c>
      <c r="HG31" s="526">
        <f t="shared" si="181"/>
        <v>0</v>
      </c>
      <c r="HH31" s="524"/>
      <c r="HI31" s="525" t="e">
        <f t="shared" si="70"/>
        <v>#DIV/0!</v>
      </c>
      <c r="HJ31" s="526">
        <f t="shared" si="182"/>
        <v>0</v>
      </c>
      <c r="HK31" s="524"/>
      <c r="HL31" s="525" t="e">
        <f t="shared" si="71"/>
        <v>#DIV/0!</v>
      </c>
      <c r="HM31" s="526">
        <f t="shared" si="183"/>
        <v>0</v>
      </c>
      <c r="HN31" s="524"/>
      <c r="HO31" s="525" t="e">
        <f t="shared" si="72"/>
        <v>#DIV/0!</v>
      </c>
      <c r="HP31" s="526">
        <f t="shared" si="184"/>
        <v>0</v>
      </c>
      <c r="HQ31" s="524"/>
      <c r="HR31" s="525" t="e">
        <f t="shared" si="73"/>
        <v>#DIV/0!</v>
      </c>
      <c r="HS31" s="526">
        <f t="shared" si="185"/>
        <v>0</v>
      </c>
      <c r="HT31" s="524"/>
      <c r="HU31" s="525" t="e">
        <f t="shared" si="74"/>
        <v>#DIV/0!</v>
      </c>
      <c r="HV31" s="526">
        <f t="shared" si="186"/>
        <v>0</v>
      </c>
      <c r="HW31" s="524"/>
      <c r="HX31" s="525" t="e">
        <f t="shared" si="75"/>
        <v>#DIV/0!</v>
      </c>
      <c r="HY31" s="526">
        <f t="shared" si="187"/>
        <v>0</v>
      </c>
      <c r="HZ31" s="524"/>
      <c r="IA31" s="525" t="e">
        <f t="shared" si="76"/>
        <v>#DIV/0!</v>
      </c>
      <c r="IB31" s="526">
        <f t="shared" si="188"/>
        <v>0</v>
      </c>
      <c r="IC31" s="524"/>
      <c r="ID31" s="525" t="e">
        <f t="shared" si="77"/>
        <v>#DIV/0!</v>
      </c>
      <c r="IE31" s="526">
        <f t="shared" si="189"/>
        <v>0</v>
      </c>
      <c r="IF31" s="524"/>
      <c r="IG31" s="525" t="e">
        <f t="shared" si="78"/>
        <v>#DIV/0!</v>
      </c>
      <c r="IH31" s="526">
        <f t="shared" si="190"/>
        <v>0</v>
      </c>
      <c r="II31" s="524"/>
      <c r="IJ31" s="525" t="e">
        <f t="shared" si="79"/>
        <v>#DIV/0!</v>
      </c>
      <c r="IK31" s="526">
        <f t="shared" si="191"/>
        <v>0</v>
      </c>
      <c r="IL31" s="524"/>
      <c r="IM31" s="525" t="e">
        <f t="shared" si="80"/>
        <v>#DIV/0!</v>
      </c>
      <c r="IN31" s="526">
        <f t="shared" si="192"/>
        <v>0</v>
      </c>
      <c r="IO31" s="524"/>
      <c r="IP31" s="525" t="e">
        <f t="shared" si="81"/>
        <v>#DIV/0!</v>
      </c>
      <c r="IQ31" s="526">
        <f t="shared" si="193"/>
        <v>0</v>
      </c>
      <c r="IR31" s="524"/>
      <c r="IS31" s="525" t="e">
        <f t="shared" si="82"/>
        <v>#DIV/0!</v>
      </c>
      <c r="IT31" s="526">
        <f t="shared" si="194"/>
        <v>0</v>
      </c>
      <c r="IU31" s="524"/>
      <c r="IV31" s="525" t="e">
        <f t="shared" si="83"/>
        <v>#DIV/0!</v>
      </c>
      <c r="IW31" s="526">
        <f t="shared" si="195"/>
        <v>0</v>
      </c>
      <c r="IX31" s="524"/>
      <c r="IY31" s="525" t="e">
        <f t="shared" si="84"/>
        <v>#DIV/0!</v>
      </c>
      <c r="IZ31" s="526">
        <f t="shared" si="196"/>
        <v>0</v>
      </c>
      <c r="JA31" s="524"/>
      <c r="JB31" s="525" t="e">
        <f t="shared" si="85"/>
        <v>#DIV/0!</v>
      </c>
      <c r="JC31" s="526">
        <f t="shared" si="197"/>
        <v>0</v>
      </c>
      <c r="JD31" s="524"/>
      <c r="JE31" s="525" t="e">
        <f t="shared" si="86"/>
        <v>#DIV/0!</v>
      </c>
      <c r="JF31" s="526">
        <f t="shared" si="198"/>
        <v>0</v>
      </c>
      <c r="JG31" s="524"/>
      <c r="JH31" s="525" t="e">
        <f t="shared" si="87"/>
        <v>#DIV/0!</v>
      </c>
      <c r="JI31" s="526">
        <f t="shared" si="199"/>
        <v>0</v>
      </c>
      <c r="JJ31" s="524"/>
      <c r="JK31" s="526" t="str">
        <f t="shared" si="88"/>
        <v>0</v>
      </c>
      <c r="JL31" s="526" t="str">
        <f t="shared" si="89"/>
        <v>0</v>
      </c>
      <c r="JM31" s="524"/>
      <c r="JN31" s="526" t="str">
        <f t="shared" si="90"/>
        <v>0</v>
      </c>
      <c r="JO31" s="526" t="str">
        <f t="shared" si="91"/>
        <v>0</v>
      </c>
      <c r="JP31" s="524"/>
      <c r="JQ31" s="526" t="str">
        <f t="shared" si="92"/>
        <v>0</v>
      </c>
      <c r="JR31" s="526" t="str">
        <f t="shared" si="93"/>
        <v>0</v>
      </c>
      <c r="JS31" s="524"/>
      <c r="JT31" s="526" t="str">
        <f t="shared" si="94"/>
        <v>0</v>
      </c>
      <c r="JU31" s="526" t="str">
        <f t="shared" si="95"/>
        <v>0</v>
      </c>
      <c r="JV31" s="524"/>
      <c r="JW31" s="526" t="str">
        <f t="shared" si="96"/>
        <v>0</v>
      </c>
      <c r="JX31" s="526" t="str">
        <f t="shared" si="97"/>
        <v>0</v>
      </c>
      <c r="JY31" s="524"/>
      <c r="JZ31" s="526" t="str">
        <f t="shared" si="98"/>
        <v>0</v>
      </c>
      <c r="KA31" s="526" t="str">
        <f t="shared" si="99"/>
        <v>0</v>
      </c>
      <c r="KB31" s="524"/>
      <c r="KC31" s="526" t="str">
        <f t="shared" si="100"/>
        <v>0</v>
      </c>
      <c r="KD31" s="526" t="str">
        <f t="shared" si="101"/>
        <v>0</v>
      </c>
      <c r="KE31" s="524"/>
      <c r="KF31" s="526" t="str">
        <f t="shared" si="102"/>
        <v>0</v>
      </c>
      <c r="KG31" s="526" t="str">
        <f t="shared" si="103"/>
        <v>0</v>
      </c>
      <c r="KH31" s="524"/>
      <c r="KI31" s="526" t="str">
        <f t="shared" si="104"/>
        <v>0</v>
      </c>
      <c r="KJ31" s="526" t="str">
        <f t="shared" si="105"/>
        <v>0</v>
      </c>
      <c r="KK31" s="524"/>
      <c r="KL31" s="526" t="str">
        <f t="shared" si="106"/>
        <v>0</v>
      </c>
      <c r="KM31" s="526" t="str">
        <f t="shared" si="107"/>
        <v>0</v>
      </c>
      <c r="KN31" s="524"/>
      <c r="KO31" s="526" t="str">
        <f t="shared" si="108"/>
        <v>0</v>
      </c>
      <c r="KP31" s="526" t="str">
        <f t="shared" si="109"/>
        <v>0</v>
      </c>
      <c r="KQ31" s="524"/>
      <c r="KR31" s="526" t="str">
        <f t="shared" si="110"/>
        <v>0</v>
      </c>
      <c r="KS31" s="526" t="str">
        <f t="shared" si="111"/>
        <v>0</v>
      </c>
      <c r="KT31" s="526">
        <f t="shared" si="201"/>
        <v>0</v>
      </c>
      <c r="KU31" s="526">
        <f t="shared" si="202"/>
        <v>0</v>
      </c>
      <c r="KV31" s="262">
        <f t="shared" si="204"/>
        <v>0</v>
      </c>
    </row>
    <row r="32" spans="1:308">
      <c r="A32" s="263">
        <f t="shared" si="200"/>
        <v>45924</v>
      </c>
      <c r="B32" s="264" t="str">
        <f>+Report1!B32</f>
        <v>STOP</v>
      </c>
      <c r="C32" s="264" t="str">
        <f>+Report1!C32</f>
        <v>12</v>
      </c>
      <c r="D32" s="265">
        <f>+Report1!P32</f>
        <v>0</v>
      </c>
      <c r="E32" s="556">
        <f>+Report1!R32</f>
        <v>0</v>
      </c>
      <c r="F32" s="524"/>
      <c r="G32" s="525" t="e">
        <f t="shared" si="0"/>
        <v>#DIV/0!</v>
      </c>
      <c r="H32" s="526">
        <f t="shared" si="113"/>
        <v>0</v>
      </c>
      <c r="I32" s="524"/>
      <c r="J32" s="525" t="e">
        <f t="shared" si="1"/>
        <v>#DIV/0!</v>
      </c>
      <c r="K32" s="526">
        <f t="shared" si="114"/>
        <v>0</v>
      </c>
      <c r="L32" s="524"/>
      <c r="M32" s="525" t="e">
        <f t="shared" si="2"/>
        <v>#DIV/0!</v>
      </c>
      <c r="N32" s="526">
        <f t="shared" si="115"/>
        <v>0</v>
      </c>
      <c r="O32" s="524"/>
      <c r="P32" s="525" t="e">
        <f t="shared" si="3"/>
        <v>#DIV/0!</v>
      </c>
      <c r="Q32" s="526">
        <f t="shared" si="116"/>
        <v>0</v>
      </c>
      <c r="R32" s="524"/>
      <c r="S32" s="525" t="e">
        <f t="shared" si="4"/>
        <v>#DIV/0!</v>
      </c>
      <c r="T32" s="526">
        <f t="shared" si="117"/>
        <v>0</v>
      </c>
      <c r="U32" s="524"/>
      <c r="V32" s="525" t="e">
        <f t="shared" si="5"/>
        <v>#DIV/0!</v>
      </c>
      <c r="W32" s="526">
        <f t="shared" si="118"/>
        <v>0</v>
      </c>
      <c r="X32" s="524"/>
      <c r="Y32" s="525" t="e">
        <f t="shared" si="6"/>
        <v>#DIV/0!</v>
      </c>
      <c r="Z32" s="526">
        <f t="shared" si="119"/>
        <v>0</v>
      </c>
      <c r="AA32" s="524"/>
      <c r="AB32" s="525" t="e">
        <f t="shared" si="7"/>
        <v>#DIV/0!</v>
      </c>
      <c r="AC32" s="526">
        <f t="shared" si="120"/>
        <v>0</v>
      </c>
      <c r="AD32" s="524"/>
      <c r="AE32" s="525" t="e">
        <f t="shared" si="8"/>
        <v>#DIV/0!</v>
      </c>
      <c r="AF32" s="526">
        <f t="shared" si="121"/>
        <v>0</v>
      </c>
      <c r="AG32" s="524"/>
      <c r="AH32" s="525" t="e">
        <f t="shared" si="9"/>
        <v>#DIV/0!</v>
      </c>
      <c r="AI32" s="526">
        <f t="shared" si="122"/>
        <v>0</v>
      </c>
      <c r="AJ32" s="524"/>
      <c r="AK32" s="525" t="e">
        <f t="shared" si="10"/>
        <v>#DIV/0!</v>
      </c>
      <c r="AL32" s="526">
        <f t="shared" si="123"/>
        <v>0</v>
      </c>
      <c r="AM32" s="524"/>
      <c r="AN32" s="525" t="e">
        <f t="shared" si="11"/>
        <v>#DIV/0!</v>
      </c>
      <c r="AO32" s="526">
        <f t="shared" si="124"/>
        <v>0</v>
      </c>
      <c r="AP32" s="524"/>
      <c r="AQ32" s="525" t="e">
        <f t="shared" si="12"/>
        <v>#DIV/0!</v>
      </c>
      <c r="AR32" s="526">
        <f t="shared" si="125"/>
        <v>0</v>
      </c>
      <c r="AS32" s="524"/>
      <c r="AT32" s="525" t="e">
        <f t="shared" si="13"/>
        <v>#DIV/0!</v>
      </c>
      <c r="AU32" s="526">
        <f t="shared" si="126"/>
        <v>0</v>
      </c>
      <c r="AV32" s="524"/>
      <c r="AW32" s="525" t="e">
        <f t="shared" si="14"/>
        <v>#DIV/0!</v>
      </c>
      <c r="AX32" s="526">
        <f t="shared" si="127"/>
        <v>0</v>
      </c>
      <c r="AY32" s="524"/>
      <c r="AZ32" s="525" t="e">
        <f t="shared" si="15"/>
        <v>#DIV/0!</v>
      </c>
      <c r="BA32" s="526">
        <f t="shared" si="128"/>
        <v>0</v>
      </c>
      <c r="BB32" s="524"/>
      <c r="BC32" s="525" t="e">
        <f t="shared" si="16"/>
        <v>#DIV/0!</v>
      </c>
      <c r="BD32" s="526">
        <f t="shared" si="129"/>
        <v>0</v>
      </c>
      <c r="BE32" s="524"/>
      <c r="BF32" s="525" t="e">
        <f t="shared" si="17"/>
        <v>#DIV/0!</v>
      </c>
      <c r="BG32" s="526">
        <f t="shared" si="130"/>
        <v>0</v>
      </c>
      <c r="BH32" s="524"/>
      <c r="BI32" s="525" t="e">
        <f t="shared" si="18"/>
        <v>#DIV/0!</v>
      </c>
      <c r="BJ32" s="526">
        <f t="shared" si="131"/>
        <v>0</v>
      </c>
      <c r="BK32" s="524"/>
      <c r="BL32" s="525" t="e">
        <f t="shared" si="19"/>
        <v>#DIV/0!</v>
      </c>
      <c r="BM32" s="526">
        <f t="shared" si="132"/>
        <v>0</v>
      </c>
      <c r="BN32" s="524"/>
      <c r="BO32" s="525" t="e">
        <f t="shared" si="20"/>
        <v>#DIV/0!</v>
      </c>
      <c r="BP32" s="526">
        <f t="shared" si="133"/>
        <v>0</v>
      </c>
      <c r="BQ32" s="524"/>
      <c r="BR32" s="525" t="e">
        <f t="shared" si="21"/>
        <v>#DIV/0!</v>
      </c>
      <c r="BS32" s="526">
        <f t="shared" si="134"/>
        <v>0</v>
      </c>
      <c r="BT32" s="524"/>
      <c r="BU32" s="525" t="e">
        <f t="shared" si="22"/>
        <v>#DIV/0!</v>
      </c>
      <c r="BV32" s="526">
        <f t="shared" si="135"/>
        <v>0</v>
      </c>
      <c r="BW32" s="524"/>
      <c r="BX32" s="525" t="e">
        <f t="shared" si="23"/>
        <v>#DIV/0!</v>
      </c>
      <c r="BY32" s="526">
        <f t="shared" si="136"/>
        <v>0</v>
      </c>
      <c r="BZ32" s="524"/>
      <c r="CA32" s="525" t="e">
        <f t="shared" si="24"/>
        <v>#DIV/0!</v>
      </c>
      <c r="CB32" s="526">
        <f t="shared" si="137"/>
        <v>0</v>
      </c>
      <c r="CC32" s="524"/>
      <c r="CD32" s="525" t="e">
        <f t="shared" si="25"/>
        <v>#DIV/0!</v>
      </c>
      <c r="CE32" s="526">
        <f t="shared" si="138"/>
        <v>0</v>
      </c>
      <c r="CF32" s="524"/>
      <c r="CG32" s="525" t="e">
        <f t="shared" si="26"/>
        <v>#DIV/0!</v>
      </c>
      <c r="CH32" s="526">
        <f t="shared" si="139"/>
        <v>0</v>
      </c>
      <c r="CI32" s="524"/>
      <c r="CJ32" s="525" t="e">
        <f t="shared" si="27"/>
        <v>#DIV/0!</v>
      </c>
      <c r="CK32" s="526">
        <f t="shared" si="140"/>
        <v>0</v>
      </c>
      <c r="CL32" s="524"/>
      <c r="CM32" s="525" t="e">
        <f t="shared" si="28"/>
        <v>#DIV/0!</v>
      </c>
      <c r="CN32" s="526">
        <f t="shared" si="141"/>
        <v>0</v>
      </c>
      <c r="CO32" s="524"/>
      <c r="CP32" s="525" t="e">
        <f t="shared" si="29"/>
        <v>#DIV/0!</v>
      </c>
      <c r="CQ32" s="526">
        <f t="shared" si="142"/>
        <v>0</v>
      </c>
      <c r="CR32" s="524"/>
      <c r="CS32" s="525" t="e">
        <f t="shared" si="30"/>
        <v>#DIV/0!</v>
      </c>
      <c r="CT32" s="526">
        <f t="shared" si="143"/>
        <v>0</v>
      </c>
      <c r="CU32" s="524"/>
      <c r="CV32" s="525" t="e">
        <f t="shared" si="31"/>
        <v>#DIV/0!</v>
      </c>
      <c r="CW32" s="526">
        <f t="shared" si="144"/>
        <v>0</v>
      </c>
      <c r="CX32" s="524"/>
      <c r="CY32" s="525" t="e">
        <f t="shared" si="32"/>
        <v>#DIV/0!</v>
      </c>
      <c r="CZ32" s="526">
        <f t="shared" si="145"/>
        <v>0</v>
      </c>
      <c r="DA32" s="524"/>
      <c r="DB32" s="525" t="e">
        <f t="shared" si="33"/>
        <v>#DIV/0!</v>
      </c>
      <c r="DC32" s="526">
        <f t="shared" si="146"/>
        <v>0</v>
      </c>
      <c r="DD32" s="524"/>
      <c r="DE32" s="525" t="e">
        <f t="shared" si="34"/>
        <v>#DIV/0!</v>
      </c>
      <c r="DF32" s="526">
        <f t="shared" si="147"/>
        <v>0</v>
      </c>
      <c r="DG32" s="524"/>
      <c r="DH32" s="525" t="e">
        <f t="shared" si="35"/>
        <v>#DIV/0!</v>
      </c>
      <c r="DI32" s="526">
        <f t="shared" si="203"/>
        <v>0</v>
      </c>
      <c r="DJ32" s="524"/>
      <c r="DK32" s="525" t="e">
        <f t="shared" si="36"/>
        <v>#DIV/0!</v>
      </c>
      <c r="DL32" s="526">
        <f t="shared" si="148"/>
        <v>0</v>
      </c>
      <c r="DM32" s="524"/>
      <c r="DN32" s="525" t="e">
        <f t="shared" si="37"/>
        <v>#DIV/0!</v>
      </c>
      <c r="DO32" s="526">
        <f t="shared" si="149"/>
        <v>0</v>
      </c>
      <c r="DP32" s="524"/>
      <c r="DQ32" s="525" t="e">
        <f t="shared" si="38"/>
        <v>#DIV/0!</v>
      </c>
      <c r="DR32" s="526">
        <f t="shared" si="150"/>
        <v>0</v>
      </c>
      <c r="DS32" s="524"/>
      <c r="DT32" s="525" t="e">
        <f t="shared" si="39"/>
        <v>#DIV/0!</v>
      </c>
      <c r="DU32" s="526">
        <f t="shared" si="151"/>
        <v>0</v>
      </c>
      <c r="DV32" s="524"/>
      <c r="DW32" s="525" t="e">
        <f t="shared" si="40"/>
        <v>#DIV/0!</v>
      </c>
      <c r="DX32" s="526">
        <f t="shared" si="152"/>
        <v>0</v>
      </c>
      <c r="DY32" s="524"/>
      <c r="DZ32" s="525" t="e">
        <f t="shared" si="41"/>
        <v>#DIV/0!</v>
      </c>
      <c r="EA32" s="526">
        <f t="shared" si="153"/>
        <v>0</v>
      </c>
      <c r="EB32" s="524"/>
      <c r="EC32" s="525" t="e">
        <f t="shared" si="42"/>
        <v>#DIV/0!</v>
      </c>
      <c r="ED32" s="526">
        <f t="shared" si="154"/>
        <v>0</v>
      </c>
      <c r="EE32" s="524"/>
      <c r="EF32" s="525" t="e">
        <f t="shared" si="43"/>
        <v>#DIV/0!</v>
      </c>
      <c r="EG32" s="526">
        <f t="shared" si="155"/>
        <v>0</v>
      </c>
      <c r="EH32" s="524"/>
      <c r="EI32" s="525" t="e">
        <f t="shared" si="44"/>
        <v>#DIV/0!</v>
      </c>
      <c r="EJ32" s="526">
        <f t="shared" si="156"/>
        <v>0</v>
      </c>
      <c r="EK32" s="524"/>
      <c r="EL32" s="525" t="e">
        <f t="shared" si="45"/>
        <v>#DIV/0!</v>
      </c>
      <c r="EM32" s="526">
        <f t="shared" si="157"/>
        <v>0</v>
      </c>
      <c r="EN32" s="524"/>
      <c r="EO32" s="525" t="e">
        <f t="shared" si="46"/>
        <v>#DIV/0!</v>
      </c>
      <c r="EP32" s="526">
        <f t="shared" si="158"/>
        <v>0</v>
      </c>
      <c r="EQ32" s="524"/>
      <c r="ER32" s="525" t="e">
        <f t="shared" si="47"/>
        <v>#DIV/0!</v>
      </c>
      <c r="ES32" s="526">
        <f t="shared" si="159"/>
        <v>0</v>
      </c>
      <c r="ET32" s="524"/>
      <c r="EU32" s="525" t="e">
        <f t="shared" si="48"/>
        <v>#DIV/0!</v>
      </c>
      <c r="EV32" s="526">
        <f t="shared" si="160"/>
        <v>0</v>
      </c>
      <c r="EW32" s="524"/>
      <c r="EX32" s="525" t="e">
        <f t="shared" si="49"/>
        <v>#DIV/0!</v>
      </c>
      <c r="EY32" s="526">
        <f t="shared" si="161"/>
        <v>0</v>
      </c>
      <c r="EZ32" s="524"/>
      <c r="FA32" s="525" t="e">
        <f t="shared" si="50"/>
        <v>#DIV/0!</v>
      </c>
      <c r="FB32" s="526">
        <f t="shared" si="162"/>
        <v>0</v>
      </c>
      <c r="FC32" s="524"/>
      <c r="FD32" s="525" t="e">
        <f t="shared" si="51"/>
        <v>#DIV/0!</v>
      </c>
      <c r="FE32" s="526">
        <f t="shared" si="163"/>
        <v>0</v>
      </c>
      <c r="FF32" s="524"/>
      <c r="FG32" s="525" t="e">
        <f t="shared" si="52"/>
        <v>#DIV/0!</v>
      </c>
      <c r="FH32" s="526">
        <f t="shared" si="164"/>
        <v>0</v>
      </c>
      <c r="FI32" s="524"/>
      <c r="FJ32" s="525" t="e">
        <f t="shared" si="53"/>
        <v>#DIV/0!</v>
      </c>
      <c r="FK32" s="526">
        <f t="shared" si="165"/>
        <v>0</v>
      </c>
      <c r="FL32" s="524"/>
      <c r="FM32" s="525" t="e">
        <f t="shared" si="54"/>
        <v>#DIV/0!</v>
      </c>
      <c r="FN32" s="526">
        <f t="shared" si="166"/>
        <v>0</v>
      </c>
      <c r="FO32" s="524"/>
      <c r="FP32" s="525" t="e">
        <f t="shared" si="55"/>
        <v>#DIV/0!</v>
      </c>
      <c r="FQ32" s="526">
        <f t="shared" si="167"/>
        <v>0</v>
      </c>
      <c r="FR32" s="524"/>
      <c r="FS32" s="525" t="e">
        <f t="shared" si="56"/>
        <v>#DIV/0!</v>
      </c>
      <c r="FT32" s="526">
        <f t="shared" si="168"/>
        <v>0</v>
      </c>
      <c r="FU32" s="524"/>
      <c r="FV32" s="525" t="e">
        <f t="shared" si="57"/>
        <v>#DIV/0!</v>
      </c>
      <c r="FW32" s="526">
        <f t="shared" si="169"/>
        <v>0</v>
      </c>
      <c r="FX32" s="524"/>
      <c r="FY32" s="525" t="e">
        <f t="shared" si="58"/>
        <v>#DIV/0!</v>
      </c>
      <c r="FZ32" s="526">
        <f t="shared" si="170"/>
        <v>0</v>
      </c>
      <c r="GA32" s="524"/>
      <c r="GB32" s="525" t="e">
        <f t="shared" si="59"/>
        <v>#DIV/0!</v>
      </c>
      <c r="GC32" s="526">
        <f t="shared" si="171"/>
        <v>0</v>
      </c>
      <c r="GD32" s="524"/>
      <c r="GE32" s="525" t="e">
        <f t="shared" si="60"/>
        <v>#DIV/0!</v>
      </c>
      <c r="GF32" s="526">
        <f t="shared" si="172"/>
        <v>0</v>
      </c>
      <c r="GG32" s="524"/>
      <c r="GH32" s="525" t="e">
        <f t="shared" si="61"/>
        <v>#DIV/0!</v>
      </c>
      <c r="GI32" s="526">
        <f t="shared" si="173"/>
        <v>0</v>
      </c>
      <c r="GJ32" s="524"/>
      <c r="GK32" s="525" t="e">
        <f t="shared" si="62"/>
        <v>#DIV/0!</v>
      </c>
      <c r="GL32" s="526">
        <f t="shared" si="174"/>
        <v>0</v>
      </c>
      <c r="GM32" s="524"/>
      <c r="GN32" s="525" t="e">
        <f t="shared" si="63"/>
        <v>#DIV/0!</v>
      </c>
      <c r="GO32" s="526">
        <f t="shared" si="175"/>
        <v>0</v>
      </c>
      <c r="GP32" s="524"/>
      <c r="GQ32" s="525" t="e">
        <f t="shared" si="64"/>
        <v>#DIV/0!</v>
      </c>
      <c r="GR32" s="526">
        <f t="shared" si="176"/>
        <v>0</v>
      </c>
      <c r="GS32" s="524"/>
      <c r="GT32" s="525" t="e">
        <f t="shared" si="65"/>
        <v>#DIV/0!</v>
      </c>
      <c r="GU32" s="526">
        <f t="shared" si="177"/>
        <v>0</v>
      </c>
      <c r="GV32" s="524"/>
      <c r="GW32" s="525" t="e">
        <f t="shared" si="66"/>
        <v>#DIV/0!</v>
      </c>
      <c r="GX32" s="526">
        <f t="shared" si="178"/>
        <v>0</v>
      </c>
      <c r="GY32" s="524"/>
      <c r="GZ32" s="525" t="e">
        <f t="shared" si="67"/>
        <v>#DIV/0!</v>
      </c>
      <c r="HA32" s="526">
        <f t="shared" si="179"/>
        <v>0</v>
      </c>
      <c r="HB32" s="524"/>
      <c r="HC32" s="525" t="e">
        <f t="shared" si="68"/>
        <v>#DIV/0!</v>
      </c>
      <c r="HD32" s="526">
        <f t="shared" si="180"/>
        <v>0</v>
      </c>
      <c r="HE32" s="524"/>
      <c r="HF32" s="525" t="e">
        <f t="shared" si="69"/>
        <v>#DIV/0!</v>
      </c>
      <c r="HG32" s="526">
        <f t="shared" si="181"/>
        <v>0</v>
      </c>
      <c r="HH32" s="524"/>
      <c r="HI32" s="525" t="e">
        <f t="shared" si="70"/>
        <v>#DIV/0!</v>
      </c>
      <c r="HJ32" s="526">
        <f t="shared" si="182"/>
        <v>0</v>
      </c>
      <c r="HK32" s="524"/>
      <c r="HL32" s="525" t="e">
        <f t="shared" si="71"/>
        <v>#DIV/0!</v>
      </c>
      <c r="HM32" s="526">
        <f t="shared" si="183"/>
        <v>0</v>
      </c>
      <c r="HN32" s="524"/>
      <c r="HO32" s="525" t="e">
        <f t="shared" si="72"/>
        <v>#DIV/0!</v>
      </c>
      <c r="HP32" s="526">
        <f t="shared" si="184"/>
        <v>0</v>
      </c>
      <c r="HQ32" s="524"/>
      <c r="HR32" s="525" t="e">
        <f t="shared" si="73"/>
        <v>#DIV/0!</v>
      </c>
      <c r="HS32" s="526">
        <f t="shared" si="185"/>
        <v>0</v>
      </c>
      <c r="HT32" s="524"/>
      <c r="HU32" s="525" t="e">
        <f t="shared" si="74"/>
        <v>#DIV/0!</v>
      </c>
      <c r="HV32" s="526">
        <f t="shared" si="186"/>
        <v>0</v>
      </c>
      <c r="HW32" s="524"/>
      <c r="HX32" s="525" t="e">
        <f t="shared" si="75"/>
        <v>#DIV/0!</v>
      </c>
      <c r="HY32" s="526">
        <f t="shared" si="187"/>
        <v>0</v>
      </c>
      <c r="HZ32" s="524"/>
      <c r="IA32" s="525" t="e">
        <f t="shared" si="76"/>
        <v>#DIV/0!</v>
      </c>
      <c r="IB32" s="526">
        <f t="shared" si="188"/>
        <v>0</v>
      </c>
      <c r="IC32" s="524"/>
      <c r="ID32" s="525" t="e">
        <f t="shared" si="77"/>
        <v>#DIV/0!</v>
      </c>
      <c r="IE32" s="526">
        <f t="shared" si="189"/>
        <v>0</v>
      </c>
      <c r="IF32" s="524"/>
      <c r="IG32" s="525" t="e">
        <f t="shared" si="78"/>
        <v>#DIV/0!</v>
      </c>
      <c r="IH32" s="526">
        <f t="shared" si="190"/>
        <v>0</v>
      </c>
      <c r="II32" s="524"/>
      <c r="IJ32" s="525" t="e">
        <f t="shared" si="79"/>
        <v>#DIV/0!</v>
      </c>
      <c r="IK32" s="526">
        <f t="shared" si="191"/>
        <v>0</v>
      </c>
      <c r="IL32" s="524"/>
      <c r="IM32" s="525" t="e">
        <f t="shared" si="80"/>
        <v>#DIV/0!</v>
      </c>
      <c r="IN32" s="526">
        <f t="shared" si="192"/>
        <v>0</v>
      </c>
      <c r="IO32" s="524"/>
      <c r="IP32" s="525" t="e">
        <f t="shared" si="81"/>
        <v>#DIV/0!</v>
      </c>
      <c r="IQ32" s="526">
        <f t="shared" si="193"/>
        <v>0</v>
      </c>
      <c r="IR32" s="524"/>
      <c r="IS32" s="525" t="e">
        <f t="shared" si="82"/>
        <v>#DIV/0!</v>
      </c>
      <c r="IT32" s="526">
        <f t="shared" si="194"/>
        <v>0</v>
      </c>
      <c r="IU32" s="524"/>
      <c r="IV32" s="525" t="e">
        <f t="shared" si="83"/>
        <v>#DIV/0!</v>
      </c>
      <c r="IW32" s="526">
        <f t="shared" si="195"/>
        <v>0</v>
      </c>
      <c r="IX32" s="524"/>
      <c r="IY32" s="525" t="e">
        <f t="shared" si="84"/>
        <v>#DIV/0!</v>
      </c>
      <c r="IZ32" s="526">
        <f t="shared" si="196"/>
        <v>0</v>
      </c>
      <c r="JA32" s="524"/>
      <c r="JB32" s="525" t="e">
        <f t="shared" si="85"/>
        <v>#DIV/0!</v>
      </c>
      <c r="JC32" s="526">
        <f t="shared" si="197"/>
        <v>0</v>
      </c>
      <c r="JD32" s="524"/>
      <c r="JE32" s="525" t="e">
        <f t="shared" si="86"/>
        <v>#DIV/0!</v>
      </c>
      <c r="JF32" s="526">
        <f t="shared" si="198"/>
        <v>0</v>
      </c>
      <c r="JG32" s="524"/>
      <c r="JH32" s="525" t="e">
        <f t="shared" si="87"/>
        <v>#DIV/0!</v>
      </c>
      <c r="JI32" s="526">
        <f t="shared" si="199"/>
        <v>0</v>
      </c>
      <c r="JJ32" s="524"/>
      <c r="JK32" s="526" t="str">
        <f t="shared" si="88"/>
        <v>0</v>
      </c>
      <c r="JL32" s="526" t="str">
        <f t="shared" si="89"/>
        <v>0</v>
      </c>
      <c r="JM32" s="524"/>
      <c r="JN32" s="526" t="str">
        <f t="shared" si="90"/>
        <v>0</v>
      </c>
      <c r="JO32" s="526" t="str">
        <f t="shared" si="91"/>
        <v>0</v>
      </c>
      <c r="JP32" s="524"/>
      <c r="JQ32" s="526" t="str">
        <f t="shared" si="92"/>
        <v>0</v>
      </c>
      <c r="JR32" s="526" t="str">
        <f t="shared" si="93"/>
        <v>0</v>
      </c>
      <c r="JS32" s="524"/>
      <c r="JT32" s="526" t="str">
        <f t="shared" si="94"/>
        <v>0</v>
      </c>
      <c r="JU32" s="526" t="str">
        <f t="shared" si="95"/>
        <v>0</v>
      </c>
      <c r="JV32" s="524"/>
      <c r="JW32" s="526" t="str">
        <f t="shared" si="96"/>
        <v>0</v>
      </c>
      <c r="JX32" s="526" t="str">
        <f t="shared" si="97"/>
        <v>0</v>
      </c>
      <c r="JY32" s="524"/>
      <c r="JZ32" s="526" t="str">
        <f t="shared" si="98"/>
        <v>0</v>
      </c>
      <c r="KA32" s="526" t="str">
        <f t="shared" si="99"/>
        <v>0</v>
      </c>
      <c r="KB32" s="524"/>
      <c r="KC32" s="526" t="str">
        <f t="shared" si="100"/>
        <v>0</v>
      </c>
      <c r="KD32" s="526" t="str">
        <f t="shared" si="101"/>
        <v>0</v>
      </c>
      <c r="KE32" s="524"/>
      <c r="KF32" s="526" t="str">
        <f t="shared" si="102"/>
        <v>0</v>
      </c>
      <c r="KG32" s="526" t="str">
        <f t="shared" si="103"/>
        <v>0</v>
      </c>
      <c r="KH32" s="524"/>
      <c r="KI32" s="526" t="str">
        <f t="shared" si="104"/>
        <v>0</v>
      </c>
      <c r="KJ32" s="526" t="str">
        <f t="shared" si="105"/>
        <v>0</v>
      </c>
      <c r="KK32" s="524"/>
      <c r="KL32" s="526" t="str">
        <f t="shared" si="106"/>
        <v>0</v>
      </c>
      <c r="KM32" s="526" t="str">
        <f t="shared" si="107"/>
        <v>0</v>
      </c>
      <c r="KN32" s="524"/>
      <c r="KO32" s="526" t="str">
        <f t="shared" si="108"/>
        <v>0</v>
      </c>
      <c r="KP32" s="526" t="str">
        <f t="shared" si="109"/>
        <v>0</v>
      </c>
      <c r="KQ32" s="524"/>
      <c r="KR32" s="526" t="str">
        <f t="shared" si="110"/>
        <v>0</v>
      </c>
      <c r="KS32" s="526" t="str">
        <f t="shared" si="111"/>
        <v>0</v>
      </c>
      <c r="KT32" s="526">
        <f t="shared" si="201"/>
        <v>0</v>
      </c>
      <c r="KU32" s="526">
        <f t="shared" si="202"/>
        <v>0</v>
      </c>
      <c r="KV32" s="262">
        <f t="shared" si="204"/>
        <v>0</v>
      </c>
    </row>
    <row r="33" spans="1:308" ht="15" customHeight="1">
      <c r="A33" s="263">
        <f t="shared" si="200"/>
        <v>45925</v>
      </c>
      <c r="B33" s="264" t="str">
        <f>+Report1!B33</f>
        <v>STOP</v>
      </c>
      <c r="C33" s="264" t="str">
        <f>+Report1!C33</f>
        <v>12</v>
      </c>
      <c r="D33" s="265">
        <f>+Report1!P33</f>
        <v>0</v>
      </c>
      <c r="E33" s="556">
        <f>+Report1!R33</f>
        <v>0</v>
      </c>
      <c r="F33" s="524"/>
      <c r="G33" s="525" t="e">
        <f t="shared" si="0"/>
        <v>#DIV/0!</v>
      </c>
      <c r="H33" s="526">
        <f t="shared" si="113"/>
        <v>0</v>
      </c>
      <c r="I33" s="524"/>
      <c r="J33" s="525" t="e">
        <f t="shared" si="1"/>
        <v>#DIV/0!</v>
      </c>
      <c r="K33" s="526">
        <f t="shared" si="114"/>
        <v>0</v>
      </c>
      <c r="L33" s="524"/>
      <c r="M33" s="525" t="e">
        <f t="shared" si="2"/>
        <v>#DIV/0!</v>
      </c>
      <c r="N33" s="526">
        <f t="shared" si="115"/>
        <v>0</v>
      </c>
      <c r="O33" s="524"/>
      <c r="P33" s="525" t="e">
        <f t="shared" si="3"/>
        <v>#DIV/0!</v>
      </c>
      <c r="Q33" s="526">
        <f t="shared" si="116"/>
        <v>0</v>
      </c>
      <c r="R33" s="524"/>
      <c r="S33" s="525" t="e">
        <f t="shared" si="4"/>
        <v>#DIV/0!</v>
      </c>
      <c r="T33" s="526">
        <f t="shared" si="117"/>
        <v>0</v>
      </c>
      <c r="U33" s="524"/>
      <c r="V33" s="525" t="e">
        <f t="shared" si="5"/>
        <v>#DIV/0!</v>
      </c>
      <c r="W33" s="526">
        <f t="shared" si="118"/>
        <v>0</v>
      </c>
      <c r="X33" s="524"/>
      <c r="Y33" s="525" t="e">
        <f t="shared" si="6"/>
        <v>#DIV/0!</v>
      </c>
      <c r="Z33" s="526">
        <f t="shared" si="119"/>
        <v>0</v>
      </c>
      <c r="AA33" s="524"/>
      <c r="AB33" s="525" t="e">
        <f t="shared" si="7"/>
        <v>#DIV/0!</v>
      </c>
      <c r="AC33" s="526">
        <f t="shared" si="120"/>
        <v>0</v>
      </c>
      <c r="AD33" s="524"/>
      <c r="AE33" s="525" t="e">
        <f t="shared" si="8"/>
        <v>#DIV/0!</v>
      </c>
      <c r="AF33" s="526">
        <f t="shared" si="121"/>
        <v>0</v>
      </c>
      <c r="AG33" s="524"/>
      <c r="AH33" s="525" t="e">
        <f t="shared" si="9"/>
        <v>#DIV/0!</v>
      </c>
      <c r="AI33" s="526">
        <f t="shared" si="122"/>
        <v>0</v>
      </c>
      <c r="AJ33" s="524"/>
      <c r="AK33" s="525" t="e">
        <f t="shared" si="10"/>
        <v>#DIV/0!</v>
      </c>
      <c r="AL33" s="526">
        <f t="shared" si="123"/>
        <v>0</v>
      </c>
      <c r="AM33" s="524"/>
      <c r="AN33" s="525" t="e">
        <f t="shared" si="11"/>
        <v>#DIV/0!</v>
      </c>
      <c r="AO33" s="526">
        <f t="shared" si="124"/>
        <v>0</v>
      </c>
      <c r="AP33" s="524"/>
      <c r="AQ33" s="525" t="e">
        <f t="shared" si="12"/>
        <v>#DIV/0!</v>
      </c>
      <c r="AR33" s="526">
        <f t="shared" si="125"/>
        <v>0</v>
      </c>
      <c r="AS33" s="524"/>
      <c r="AT33" s="525" t="e">
        <f t="shared" si="13"/>
        <v>#DIV/0!</v>
      </c>
      <c r="AU33" s="526">
        <f t="shared" si="126"/>
        <v>0</v>
      </c>
      <c r="AV33" s="524"/>
      <c r="AW33" s="525" t="e">
        <f t="shared" si="14"/>
        <v>#DIV/0!</v>
      </c>
      <c r="AX33" s="526">
        <f t="shared" si="127"/>
        <v>0</v>
      </c>
      <c r="AY33" s="524"/>
      <c r="AZ33" s="525" t="e">
        <f t="shared" si="15"/>
        <v>#DIV/0!</v>
      </c>
      <c r="BA33" s="526">
        <f t="shared" si="128"/>
        <v>0</v>
      </c>
      <c r="BB33" s="524"/>
      <c r="BC33" s="525" t="e">
        <f t="shared" si="16"/>
        <v>#DIV/0!</v>
      </c>
      <c r="BD33" s="526">
        <f t="shared" si="129"/>
        <v>0</v>
      </c>
      <c r="BE33" s="524"/>
      <c r="BF33" s="525" t="e">
        <f t="shared" si="17"/>
        <v>#DIV/0!</v>
      </c>
      <c r="BG33" s="526">
        <f t="shared" si="130"/>
        <v>0</v>
      </c>
      <c r="BH33" s="524"/>
      <c r="BI33" s="525" t="e">
        <f t="shared" si="18"/>
        <v>#DIV/0!</v>
      </c>
      <c r="BJ33" s="526">
        <f t="shared" si="131"/>
        <v>0</v>
      </c>
      <c r="BK33" s="524"/>
      <c r="BL33" s="525" t="e">
        <f t="shared" si="19"/>
        <v>#DIV/0!</v>
      </c>
      <c r="BM33" s="526">
        <f t="shared" si="132"/>
        <v>0</v>
      </c>
      <c r="BN33" s="524"/>
      <c r="BO33" s="525" t="e">
        <f t="shared" si="20"/>
        <v>#DIV/0!</v>
      </c>
      <c r="BP33" s="526">
        <f t="shared" si="133"/>
        <v>0</v>
      </c>
      <c r="BQ33" s="524"/>
      <c r="BR33" s="525" t="e">
        <f t="shared" si="21"/>
        <v>#DIV/0!</v>
      </c>
      <c r="BS33" s="526">
        <f t="shared" si="134"/>
        <v>0</v>
      </c>
      <c r="BT33" s="524"/>
      <c r="BU33" s="525" t="e">
        <f t="shared" si="22"/>
        <v>#DIV/0!</v>
      </c>
      <c r="BV33" s="526">
        <f t="shared" si="135"/>
        <v>0</v>
      </c>
      <c r="BW33" s="524"/>
      <c r="BX33" s="525" t="e">
        <f t="shared" si="23"/>
        <v>#DIV/0!</v>
      </c>
      <c r="BY33" s="526">
        <f t="shared" si="136"/>
        <v>0</v>
      </c>
      <c r="BZ33" s="524"/>
      <c r="CA33" s="525" t="e">
        <f t="shared" si="24"/>
        <v>#DIV/0!</v>
      </c>
      <c r="CB33" s="526">
        <f t="shared" si="137"/>
        <v>0</v>
      </c>
      <c r="CC33" s="524"/>
      <c r="CD33" s="525" t="e">
        <f t="shared" si="25"/>
        <v>#DIV/0!</v>
      </c>
      <c r="CE33" s="526">
        <f t="shared" si="138"/>
        <v>0</v>
      </c>
      <c r="CF33" s="524"/>
      <c r="CG33" s="525" t="e">
        <f t="shared" si="26"/>
        <v>#DIV/0!</v>
      </c>
      <c r="CH33" s="526">
        <f t="shared" si="139"/>
        <v>0</v>
      </c>
      <c r="CI33" s="524"/>
      <c r="CJ33" s="525" t="e">
        <f t="shared" si="27"/>
        <v>#DIV/0!</v>
      </c>
      <c r="CK33" s="526">
        <f t="shared" si="140"/>
        <v>0</v>
      </c>
      <c r="CL33" s="524"/>
      <c r="CM33" s="525" t="e">
        <f t="shared" si="28"/>
        <v>#DIV/0!</v>
      </c>
      <c r="CN33" s="526">
        <f t="shared" si="141"/>
        <v>0</v>
      </c>
      <c r="CO33" s="524"/>
      <c r="CP33" s="525" t="e">
        <f t="shared" si="29"/>
        <v>#DIV/0!</v>
      </c>
      <c r="CQ33" s="526">
        <f t="shared" si="142"/>
        <v>0</v>
      </c>
      <c r="CR33" s="524"/>
      <c r="CS33" s="525" t="e">
        <f t="shared" si="30"/>
        <v>#DIV/0!</v>
      </c>
      <c r="CT33" s="526">
        <f t="shared" si="143"/>
        <v>0</v>
      </c>
      <c r="CU33" s="524"/>
      <c r="CV33" s="525" t="e">
        <f t="shared" si="31"/>
        <v>#DIV/0!</v>
      </c>
      <c r="CW33" s="526">
        <f t="shared" si="144"/>
        <v>0</v>
      </c>
      <c r="CX33" s="524"/>
      <c r="CY33" s="525" t="e">
        <f t="shared" si="32"/>
        <v>#DIV/0!</v>
      </c>
      <c r="CZ33" s="526">
        <f t="shared" si="145"/>
        <v>0</v>
      </c>
      <c r="DA33" s="524"/>
      <c r="DB33" s="525" t="e">
        <f t="shared" si="33"/>
        <v>#DIV/0!</v>
      </c>
      <c r="DC33" s="526">
        <f t="shared" si="146"/>
        <v>0</v>
      </c>
      <c r="DD33" s="524"/>
      <c r="DE33" s="525" t="e">
        <f t="shared" si="34"/>
        <v>#DIV/0!</v>
      </c>
      <c r="DF33" s="526">
        <f t="shared" si="147"/>
        <v>0</v>
      </c>
      <c r="DG33" s="524"/>
      <c r="DH33" s="525" t="e">
        <f t="shared" si="35"/>
        <v>#DIV/0!</v>
      </c>
      <c r="DI33" s="526">
        <f t="shared" si="203"/>
        <v>0</v>
      </c>
      <c r="DJ33" s="524"/>
      <c r="DK33" s="525" t="e">
        <f t="shared" si="36"/>
        <v>#DIV/0!</v>
      </c>
      <c r="DL33" s="526">
        <f t="shared" si="148"/>
        <v>0</v>
      </c>
      <c r="DM33" s="524"/>
      <c r="DN33" s="525" t="e">
        <f t="shared" si="37"/>
        <v>#DIV/0!</v>
      </c>
      <c r="DO33" s="526">
        <f t="shared" si="149"/>
        <v>0</v>
      </c>
      <c r="DP33" s="524"/>
      <c r="DQ33" s="525" t="e">
        <f t="shared" si="38"/>
        <v>#DIV/0!</v>
      </c>
      <c r="DR33" s="526">
        <f t="shared" si="150"/>
        <v>0</v>
      </c>
      <c r="DS33" s="524"/>
      <c r="DT33" s="525" t="e">
        <f t="shared" si="39"/>
        <v>#DIV/0!</v>
      </c>
      <c r="DU33" s="526">
        <f t="shared" si="151"/>
        <v>0</v>
      </c>
      <c r="DV33" s="524"/>
      <c r="DW33" s="525" t="e">
        <f t="shared" si="40"/>
        <v>#DIV/0!</v>
      </c>
      <c r="DX33" s="526">
        <f t="shared" si="152"/>
        <v>0</v>
      </c>
      <c r="DY33" s="524"/>
      <c r="DZ33" s="525" t="e">
        <f t="shared" si="41"/>
        <v>#DIV/0!</v>
      </c>
      <c r="EA33" s="526">
        <f t="shared" si="153"/>
        <v>0</v>
      </c>
      <c r="EB33" s="524"/>
      <c r="EC33" s="525" t="e">
        <f t="shared" si="42"/>
        <v>#DIV/0!</v>
      </c>
      <c r="ED33" s="526">
        <f t="shared" si="154"/>
        <v>0</v>
      </c>
      <c r="EE33" s="524"/>
      <c r="EF33" s="525" t="e">
        <f t="shared" si="43"/>
        <v>#DIV/0!</v>
      </c>
      <c r="EG33" s="526">
        <f t="shared" si="155"/>
        <v>0</v>
      </c>
      <c r="EH33" s="524"/>
      <c r="EI33" s="525" t="e">
        <f t="shared" si="44"/>
        <v>#DIV/0!</v>
      </c>
      <c r="EJ33" s="526">
        <f t="shared" si="156"/>
        <v>0</v>
      </c>
      <c r="EK33" s="524"/>
      <c r="EL33" s="525" t="e">
        <f t="shared" si="45"/>
        <v>#DIV/0!</v>
      </c>
      <c r="EM33" s="526">
        <f t="shared" si="157"/>
        <v>0</v>
      </c>
      <c r="EN33" s="524"/>
      <c r="EO33" s="525" t="e">
        <f t="shared" si="46"/>
        <v>#DIV/0!</v>
      </c>
      <c r="EP33" s="526">
        <f t="shared" si="158"/>
        <v>0</v>
      </c>
      <c r="EQ33" s="524"/>
      <c r="ER33" s="525" t="e">
        <f t="shared" si="47"/>
        <v>#DIV/0!</v>
      </c>
      <c r="ES33" s="526">
        <f t="shared" si="159"/>
        <v>0</v>
      </c>
      <c r="ET33" s="524"/>
      <c r="EU33" s="525" t="e">
        <f t="shared" si="48"/>
        <v>#DIV/0!</v>
      </c>
      <c r="EV33" s="526">
        <f t="shared" si="160"/>
        <v>0</v>
      </c>
      <c r="EW33" s="524"/>
      <c r="EX33" s="525" t="e">
        <f t="shared" si="49"/>
        <v>#DIV/0!</v>
      </c>
      <c r="EY33" s="526">
        <f t="shared" si="161"/>
        <v>0</v>
      </c>
      <c r="EZ33" s="524"/>
      <c r="FA33" s="525" t="e">
        <f t="shared" si="50"/>
        <v>#DIV/0!</v>
      </c>
      <c r="FB33" s="526">
        <f t="shared" si="162"/>
        <v>0</v>
      </c>
      <c r="FC33" s="524"/>
      <c r="FD33" s="525" t="e">
        <f t="shared" si="51"/>
        <v>#DIV/0!</v>
      </c>
      <c r="FE33" s="526">
        <f t="shared" si="163"/>
        <v>0</v>
      </c>
      <c r="FF33" s="524"/>
      <c r="FG33" s="525" t="e">
        <f t="shared" si="52"/>
        <v>#DIV/0!</v>
      </c>
      <c r="FH33" s="526">
        <f t="shared" si="164"/>
        <v>0</v>
      </c>
      <c r="FI33" s="524"/>
      <c r="FJ33" s="525" t="e">
        <f t="shared" si="53"/>
        <v>#DIV/0!</v>
      </c>
      <c r="FK33" s="526">
        <f t="shared" si="165"/>
        <v>0</v>
      </c>
      <c r="FL33" s="524"/>
      <c r="FM33" s="525" t="e">
        <f t="shared" si="54"/>
        <v>#DIV/0!</v>
      </c>
      <c r="FN33" s="526">
        <f t="shared" si="166"/>
        <v>0</v>
      </c>
      <c r="FO33" s="524"/>
      <c r="FP33" s="525" t="e">
        <f t="shared" si="55"/>
        <v>#DIV/0!</v>
      </c>
      <c r="FQ33" s="526">
        <f t="shared" si="167"/>
        <v>0</v>
      </c>
      <c r="FR33" s="524"/>
      <c r="FS33" s="525" t="e">
        <f t="shared" si="56"/>
        <v>#DIV/0!</v>
      </c>
      <c r="FT33" s="526">
        <f t="shared" si="168"/>
        <v>0</v>
      </c>
      <c r="FU33" s="524"/>
      <c r="FV33" s="525" t="e">
        <f t="shared" si="57"/>
        <v>#DIV/0!</v>
      </c>
      <c r="FW33" s="526">
        <f t="shared" si="169"/>
        <v>0</v>
      </c>
      <c r="FX33" s="524"/>
      <c r="FY33" s="525" t="e">
        <f t="shared" si="58"/>
        <v>#DIV/0!</v>
      </c>
      <c r="FZ33" s="526">
        <f t="shared" si="170"/>
        <v>0</v>
      </c>
      <c r="GA33" s="524"/>
      <c r="GB33" s="525" t="e">
        <f t="shared" si="59"/>
        <v>#DIV/0!</v>
      </c>
      <c r="GC33" s="526">
        <f t="shared" si="171"/>
        <v>0</v>
      </c>
      <c r="GD33" s="524"/>
      <c r="GE33" s="525" t="e">
        <f t="shared" si="60"/>
        <v>#DIV/0!</v>
      </c>
      <c r="GF33" s="526">
        <f t="shared" si="172"/>
        <v>0</v>
      </c>
      <c r="GG33" s="524"/>
      <c r="GH33" s="525" t="e">
        <f t="shared" si="61"/>
        <v>#DIV/0!</v>
      </c>
      <c r="GI33" s="526">
        <f t="shared" si="173"/>
        <v>0</v>
      </c>
      <c r="GJ33" s="524"/>
      <c r="GK33" s="525" t="e">
        <f t="shared" si="62"/>
        <v>#DIV/0!</v>
      </c>
      <c r="GL33" s="526">
        <f t="shared" si="174"/>
        <v>0</v>
      </c>
      <c r="GM33" s="524"/>
      <c r="GN33" s="525" t="e">
        <f t="shared" si="63"/>
        <v>#DIV/0!</v>
      </c>
      <c r="GO33" s="526">
        <f t="shared" si="175"/>
        <v>0</v>
      </c>
      <c r="GP33" s="524"/>
      <c r="GQ33" s="525" t="e">
        <f t="shared" si="64"/>
        <v>#DIV/0!</v>
      </c>
      <c r="GR33" s="526">
        <f t="shared" si="176"/>
        <v>0</v>
      </c>
      <c r="GS33" s="524"/>
      <c r="GT33" s="525" t="e">
        <f t="shared" si="65"/>
        <v>#DIV/0!</v>
      </c>
      <c r="GU33" s="526">
        <f t="shared" si="177"/>
        <v>0</v>
      </c>
      <c r="GV33" s="524"/>
      <c r="GW33" s="525" t="e">
        <f t="shared" si="66"/>
        <v>#DIV/0!</v>
      </c>
      <c r="GX33" s="526">
        <f t="shared" si="178"/>
        <v>0</v>
      </c>
      <c r="GY33" s="524"/>
      <c r="GZ33" s="525" t="e">
        <f t="shared" si="67"/>
        <v>#DIV/0!</v>
      </c>
      <c r="HA33" s="526">
        <f t="shared" si="179"/>
        <v>0</v>
      </c>
      <c r="HB33" s="524"/>
      <c r="HC33" s="525" t="e">
        <f t="shared" si="68"/>
        <v>#DIV/0!</v>
      </c>
      <c r="HD33" s="526">
        <f t="shared" si="180"/>
        <v>0</v>
      </c>
      <c r="HE33" s="524"/>
      <c r="HF33" s="525" t="e">
        <f t="shared" si="69"/>
        <v>#DIV/0!</v>
      </c>
      <c r="HG33" s="526">
        <f t="shared" si="181"/>
        <v>0</v>
      </c>
      <c r="HH33" s="524"/>
      <c r="HI33" s="525" t="e">
        <f t="shared" si="70"/>
        <v>#DIV/0!</v>
      </c>
      <c r="HJ33" s="526">
        <f t="shared" si="182"/>
        <v>0</v>
      </c>
      <c r="HK33" s="524"/>
      <c r="HL33" s="525" t="e">
        <f t="shared" si="71"/>
        <v>#DIV/0!</v>
      </c>
      <c r="HM33" s="526">
        <f t="shared" si="183"/>
        <v>0</v>
      </c>
      <c r="HN33" s="524"/>
      <c r="HO33" s="525" t="e">
        <f t="shared" si="72"/>
        <v>#DIV/0!</v>
      </c>
      <c r="HP33" s="526">
        <f t="shared" si="184"/>
        <v>0</v>
      </c>
      <c r="HQ33" s="524"/>
      <c r="HR33" s="525" t="e">
        <f t="shared" si="73"/>
        <v>#DIV/0!</v>
      </c>
      <c r="HS33" s="526">
        <f t="shared" si="185"/>
        <v>0</v>
      </c>
      <c r="HT33" s="524"/>
      <c r="HU33" s="525" t="e">
        <f t="shared" si="74"/>
        <v>#DIV/0!</v>
      </c>
      <c r="HV33" s="526">
        <f t="shared" si="186"/>
        <v>0</v>
      </c>
      <c r="HW33" s="524"/>
      <c r="HX33" s="525" t="e">
        <f t="shared" si="75"/>
        <v>#DIV/0!</v>
      </c>
      <c r="HY33" s="526">
        <f t="shared" si="187"/>
        <v>0</v>
      </c>
      <c r="HZ33" s="524"/>
      <c r="IA33" s="525" t="e">
        <f t="shared" si="76"/>
        <v>#DIV/0!</v>
      </c>
      <c r="IB33" s="526">
        <f t="shared" si="188"/>
        <v>0</v>
      </c>
      <c r="IC33" s="524"/>
      <c r="ID33" s="525" t="e">
        <f t="shared" si="77"/>
        <v>#DIV/0!</v>
      </c>
      <c r="IE33" s="526">
        <f t="shared" si="189"/>
        <v>0</v>
      </c>
      <c r="IF33" s="524"/>
      <c r="IG33" s="525" t="e">
        <f t="shared" si="78"/>
        <v>#DIV/0!</v>
      </c>
      <c r="IH33" s="526">
        <f t="shared" si="190"/>
        <v>0</v>
      </c>
      <c r="II33" s="524"/>
      <c r="IJ33" s="525" t="e">
        <f t="shared" si="79"/>
        <v>#DIV/0!</v>
      </c>
      <c r="IK33" s="526">
        <f t="shared" si="191"/>
        <v>0</v>
      </c>
      <c r="IL33" s="524"/>
      <c r="IM33" s="525" t="e">
        <f t="shared" si="80"/>
        <v>#DIV/0!</v>
      </c>
      <c r="IN33" s="526">
        <f t="shared" si="192"/>
        <v>0</v>
      </c>
      <c r="IO33" s="524"/>
      <c r="IP33" s="525" t="e">
        <f t="shared" si="81"/>
        <v>#DIV/0!</v>
      </c>
      <c r="IQ33" s="526">
        <f t="shared" si="193"/>
        <v>0</v>
      </c>
      <c r="IR33" s="524"/>
      <c r="IS33" s="525" t="e">
        <f t="shared" si="82"/>
        <v>#DIV/0!</v>
      </c>
      <c r="IT33" s="526">
        <f t="shared" si="194"/>
        <v>0</v>
      </c>
      <c r="IU33" s="524"/>
      <c r="IV33" s="525" t="e">
        <f t="shared" si="83"/>
        <v>#DIV/0!</v>
      </c>
      <c r="IW33" s="526">
        <f t="shared" si="195"/>
        <v>0</v>
      </c>
      <c r="IX33" s="524"/>
      <c r="IY33" s="525" t="e">
        <f t="shared" si="84"/>
        <v>#DIV/0!</v>
      </c>
      <c r="IZ33" s="526">
        <f t="shared" si="196"/>
        <v>0</v>
      </c>
      <c r="JA33" s="524"/>
      <c r="JB33" s="525" t="e">
        <f t="shared" si="85"/>
        <v>#DIV/0!</v>
      </c>
      <c r="JC33" s="526">
        <f t="shared" si="197"/>
        <v>0</v>
      </c>
      <c r="JD33" s="524"/>
      <c r="JE33" s="525" t="e">
        <f t="shared" si="86"/>
        <v>#DIV/0!</v>
      </c>
      <c r="JF33" s="526">
        <f t="shared" si="198"/>
        <v>0</v>
      </c>
      <c r="JG33" s="524"/>
      <c r="JH33" s="525" t="e">
        <f t="shared" si="87"/>
        <v>#DIV/0!</v>
      </c>
      <c r="JI33" s="526">
        <f t="shared" si="199"/>
        <v>0</v>
      </c>
      <c r="JJ33" s="524"/>
      <c r="JK33" s="526" t="str">
        <f t="shared" si="88"/>
        <v>0</v>
      </c>
      <c r="JL33" s="526" t="str">
        <f t="shared" si="89"/>
        <v>0</v>
      </c>
      <c r="JM33" s="524"/>
      <c r="JN33" s="526" t="str">
        <f t="shared" si="90"/>
        <v>0</v>
      </c>
      <c r="JO33" s="526" t="str">
        <f t="shared" si="91"/>
        <v>0</v>
      </c>
      <c r="JP33" s="524"/>
      <c r="JQ33" s="526" t="str">
        <f t="shared" si="92"/>
        <v>0</v>
      </c>
      <c r="JR33" s="526" t="str">
        <f t="shared" si="93"/>
        <v>0</v>
      </c>
      <c r="JS33" s="524"/>
      <c r="JT33" s="526" t="str">
        <f t="shared" si="94"/>
        <v>0</v>
      </c>
      <c r="JU33" s="526" t="str">
        <f t="shared" si="95"/>
        <v>0</v>
      </c>
      <c r="JV33" s="524"/>
      <c r="JW33" s="526" t="str">
        <f t="shared" si="96"/>
        <v>0</v>
      </c>
      <c r="JX33" s="526" t="str">
        <f t="shared" si="97"/>
        <v>0</v>
      </c>
      <c r="JY33" s="524"/>
      <c r="JZ33" s="526" t="str">
        <f t="shared" si="98"/>
        <v>0</v>
      </c>
      <c r="KA33" s="526" t="str">
        <f t="shared" si="99"/>
        <v>0</v>
      </c>
      <c r="KB33" s="524"/>
      <c r="KC33" s="526" t="str">
        <f t="shared" si="100"/>
        <v>0</v>
      </c>
      <c r="KD33" s="526" t="str">
        <f t="shared" si="101"/>
        <v>0</v>
      </c>
      <c r="KE33" s="524"/>
      <c r="KF33" s="526" t="str">
        <f t="shared" si="102"/>
        <v>0</v>
      </c>
      <c r="KG33" s="526" t="str">
        <f t="shared" si="103"/>
        <v>0</v>
      </c>
      <c r="KH33" s="524"/>
      <c r="KI33" s="526" t="str">
        <f t="shared" si="104"/>
        <v>0</v>
      </c>
      <c r="KJ33" s="526" t="str">
        <f t="shared" si="105"/>
        <v>0</v>
      </c>
      <c r="KK33" s="524"/>
      <c r="KL33" s="526" t="str">
        <f t="shared" si="106"/>
        <v>0</v>
      </c>
      <c r="KM33" s="526" t="str">
        <f t="shared" si="107"/>
        <v>0</v>
      </c>
      <c r="KN33" s="524"/>
      <c r="KO33" s="526" t="str">
        <f t="shared" si="108"/>
        <v>0</v>
      </c>
      <c r="KP33" s="526" t="str">
        <f t="shared" si="109"/>
        <v>0</v>
      </c>
      <c r="KQ33" s="524"/>
      <c r="KR33" s="526" t="str">
        <f t="shared" si="110"/>
        <v>0</v>
      </c>
      <c r="KS33" s="526" t="str">
        <f t="shared" si="111"/>
        <v>0</v>
      </c>
      <c r="KT33" s="526">
        <f t="shared" si="201"/>
        <v>0</v>
      </c>
      <c r="KU33" s="526">
        <f t="shared" si="202"/>
        <v>0</v>
      </c>
      <c r="KV33" s="262">
        <f t="shared" si="204"/>
        <v>0</v>
      </c>
    </row>
    <row r="34" spans="1:308" ht="15" customHeight="1">
      <c r="A34" s="263">
        <f t="shared" si="200"/>
        <v>45926</v>
      </c>
      <c r="B34" s="264" t="str">
        <f>+Report1!B34</f>
        <v>STOP</v>
      </c>
      <c r="C34" s="264" t="str">
        <f>+Report1!C34</f>
        <v>12</v>
      </c>
      <c r="D34" s="265">
        <f>+Report1!P34</f>
        <v>0</v>
      </c>
      <c r="E34" s="556">
        <f>+Report1!R34</f>
        <v>0</v>
      </c>
      <c r="F34" s="524"/>
      <c r="G34" s="525" t="e">
        <f t="shared" si="0"/>
        <v>#DIV/0!</v>
      </c>
      <c r="H34" s="526">
        <f t="shared" si="113"/>
        <v>0</v>
      </c>
      <c r="I34" s="524"/>
      <c r="J34" s="525" t="e">
        <f t="shared" si="1"/>
        <v>#DIV/0!</v>
      </c>
      <c r="K34" s="526">
        <f t="shared" si="114"/>
        <v>0</v>
      </c>
      <c r="L34" s="524"/>
      <c r="M34" s="525" t="e">
        <f t="shared" si="2"/>
        <v>#DIV/0!</v>
      </c>
      <c r="N34" s="526">
        <f t="shared" si="115"/>
        <v>0</v>
      </c>
      <c r="O34" s="524"/>
      <c r="P34" s="525" t="e">
        <f t="shared" si="3"/>
        <v>#DIV/0!</v>
      </c>
      <c r="Q34" s="526">
        <f t="shared" si="116"/>
        <v>0</v>
      </c>
      <c r="R34" s="524"/>
      <c r="S34" s="525" t="e">
        <f t="shared" si="4"/>
        <v>#DIV/0!</v>
      </c>
      <c r="T34" s="526">
        <f t="shared" si="117"/>
        <v>0</v>
      </c>
      <c r="U34" s="524"/>
      <c r="V34" s="525" t="e">
        <f t="shared" si="5"/>
        <v>#DIV/0!</v>
      </c>
      <c r="W34" s="526">
        <f t="shared" si="118"/>
        <v>0</v>
      </c>
      <c r="X34" s="524"/>
      <c r="Y34" s="525" t="e">
        <f t="shared" si="6"/>
        <v>#DIV/0!</v>
      </c>
      <c r="Z34" s="526">
        <f t="shared" si="119"/>
        <v>0</v>
      </c>
      <c r="AA34" s="524"/>
      <c r="AB34" s="525" t="e">
        <f t="shared" si="7"/>
        <v>#DIV/0!</v>
      </c>
      <c r="AC34" s="526">
        <f t="shared" si="120"/>
        <v>0</v>
      </c>
      <c r="AD34" s="524"/>
      <c r="AE34" s="525" t="e">
        <f t="shared" si="8"/>
        <v>#DIV/0!</v>
      </c>
      <c r="AF34" s="526">
        <f t="shared" si="121"/>
        <v>0</v>
      </c>
      <c r="AG34" s="524"/>
      <c r="AH34" s="525" t="e">
        <f t="shared" si="9"/>
        <v>#DIV/0!</v>
      </c>
      <c r="AI34" s="526">
        <f t="shared" si="122"/>
        <v>0</v>
      </c>
      <c r="AJ34" s="524"/>
      <c r="AK34" s="525" t="e">
        <f t="shared" si="10"/>
        <v>#DIV/0!</v>
      </c>
      <c r="AL34" s="526">
        <f t="shared" si="123"/>
        <v>0</v>
      </c>
      <c r="AM34" s="524"/>
      <c r="AN34" s="525" t="e">
        <f t="shared" si="11"/>
        <v>#DIV/0!</v>
      </c>
      <c r="AO34" s="526">
        <f t="shared" si="124"/>
        <v>0</v>
      </c>
      <c r="AP34" s="524"/>
      <c r="AQ34" s="525" t="e">
        <f t="shared" si="12"/>
        <v>#DIV/0!</v>
      </c>
      <c r="AR34" s="526">
        <f t="shared" si="125"/>
        <v>0</v>
      </c>
      <c r="AS34" s="524"/>
      <c r="AT34" s="525" t="e">
        <f t="shared" si="13"/>
        <v>#DIV/0!</v>
      </c>
      <c r="AU34" s="526">
        <f t="shared" si="126"/>
        <v>0</v>
      </c>
      <c r="AV34" s="524"/>
      <c r="AW34" s="525" t="e">
        <f t="shared" si="14"/>
        <v>#DIV/0!</v>
      </c>
      <c r="AX34" s="526">
        <f t="shared" si="127"/>
        <v>0</v>
      </c>
      <c r="AY34" s="524"/>
      <c r="AZ34" s="525" t="e">
        <f t="shared" si="15"/>
        <v>#DIV/0!</v>
      </c>
      <c r="BA34" s="526">
        <f t="shared" si="128"/>
        <v>0</v>
      </c>
      <c r="BB34" s="524"/>
      <c r="BC34" s="525" t="e">
        <f t="shared" si="16"/>
        <v>#DIV/0!</v>
      </c>
      <c r="BD34" s="526">
        <f t="shared" si="129"/>
        <v>0</v>
      </c>
      <c r="BE34" s="524"/>
      <c r="BF34" s="525" t="e">
        <f t="shared" si="17"/>
        <v>#DIV/0!</v>
      </c>
      <c r="BG34" s="526">
        <f t="shared" si="130"/>
        <v>0</v>
      </c>
      <c r="BH34" s="524"/>
      <c r="BI34" s="525" t="e">
        <f t="shared" si="18"/>
        <v>#DIV/0!</v>
      </c>
      <c r="BJ34" s="526">
        <f t="shared" si="131"/>
        <v>0</v>
      </c>
      <c r="BK34" s="524"/>
      <c r="BL34" s="525" t="e">
        <f t="shared" si="19"/>
        <v>#DIV/0!</v>
      </c>
      <c r="BM34" s="526">
        <f t="shared" si="132"/>
        <v>0</v>
      </c>
      <c r="BN34" s="524"/>
      <c r="BO34" s="525" t="e">
        <f t="shared" si="20"/>
        <v>#DIV/0!</v>
      </c>
      <c r="BP34" s="526">
        <f t="shared" si="133"/>
        <v>0</v>
      </c>
      <c r="BQ34" s="524"/>
      <c r="BR34" s="525" t="e">
        <f t="shared" si="21"/>
        <v>#DIV/0!</v>
      </c>
      <c r="BS34" s="526">
        <f t="shared" si="134"/>
        <v>0</v>
      </c>
      <c r="BT34" s="524"/>
      <c r="BU34" s="525" t="e">
        <f t="shared" si="22"/>
        <v>#DIV/0!</v>
      </c>
      <c r="BV34" s="526">
        <f t="shared" si="135"/>
        <v>0</v>
      </c>
      <c r="BW34" s="524"/>
      <c r="BX34" s="525" t="e">
        <f t="shared" si="23"/>
        <v>#DIV/0!</v>
      </c>
      <c r="BY34" s="526">
        <f t="shared" si="136"/>
        <v>0</v>
      </c>
      <c r="BZ34" s="524"/>
      <c r="CA34" s="525" t="e">
        <f t="shared" si="24"/>
        <v>#DIV/0!</v>
      </c>
      <c r="CB34" s="526">
        <f t="shared" si="137"/>
        <v>0</v>
      </c>
      <c r="CC34" s="524"/>
      <c r="CD34" s="525" t="e">
        <f t="shared" si="25"/>
        <v>#DIV/0!</v>
      </c>
      <c r="CE34" s="526">
        <f t="shared" si="138"/>
        <v>0</v>
      </c>
      <c r="CF34" s="524"/>
      <c r="CG34" s="525" t="e">
        <f t="shared" si="26"/>
        <v>#DIV/0!</v>
      </c>
      <c r="CH34" s="526">
        <f t="shared" si="139"/>
        <v>0</v>
      </c>
      <c r="CI34" s="524"/>
      <c r="CJ34" s="525" t="e">
        <f t="shared" si="27"/>
        <v>#DIV/0!</v>
      </c>
      <c r="CK34" s="526">
        <f t="shared" si="140"/>
        <v>0</v>
      </c>
      <c r="CL34" s="524"/>
      <c r="CM34" s="525" t="e">
        <f t="shared" si="28"/>
        <v>#DIV/0!</v>
      </c>
      <c r="CN34" s="526">
        <f t="shared" si="141"/>
        <v>0</v>
      </c>
      <c r="CO34" s="524"/>
      <c r="CP34" s="525" t="e">
        <f t="shared" si="29"/>
        <v>#DIV/0!</v>
      </c>
      <c r="CQ34" s="526">
        <f t="shared" si="142"/>
        <v>0</v>
      </c>
      <c r="CR34" s="524"/>
      <c r="CS34" s="525" t="e">
        <f t="shared" si="30"/>
        <v>#DIV/0!</v>
      </c>
      <c r="CT34" s="526">
        <f t="shared" si="143"/>
        <v>0</v>
      </c>
      <c r="CU34" s="524"/>
      <c r="CV34" s="525" t="e">
        <f t="shared" si="31"/>
        <v>#DIV/0!</v>
      </c>
      <c r="CW34" s="526">
        <f t="shared" si="144"/>
        <v>0</v>
      </c>
      <c r="CX34" s="524"/>
      <c r="CY34" s="525" t="e">
        <f t="shared" si="32"/>
        <v>#DIV/0!</v>
      </c>
      <c r="CZ34" s="526">
        <f t="shared" si="145"/>
        <v>0</v>
      </c>
      <c r="DA34" s="524"/>
      <c r="DB34" s="525" t="e">
        <f t="shared" si="33"/>
        <v>#DIV/0!</v>
      </c>
      <c r="DC34" s="526">
        <f t="shared" si="146"/>
        <v>0</v>
      </c>
      <c r="DD34" s="524"/>
      <c r="DE34" s="525" t="e">
        <f t="shared" si="34"/>
        <v>#DIV/0!</v>
      </c>
      <c r="DF34" s="526">
        <f t="shared" si="147"/>
        <v>0</v>
      </c>
      <c r="DG34" s="524"/>
      <c r="DH34" s="525" t="e">
        <f t="shared" si="35"/>
        <v>#DIV/0!</v>
      </c>
      <c r="DI34" s="526">
        <f t="shared" si="203"/>
        <v>0</v>
      </c>
      <c r="DJ34" s="524"/>
      <c r="DK34" s="525" t="e">
        <f t="shared" si="36"/>
        <v>#DIV/0!</v>
      </c>
      <c r="DL34" s="526">
        <f t="shared" si="148"/>
        <v>0</v>
      </c>
      <c r="DM34" s="524"/>
      <c r="DN34" s="525" t="e">
        <f t="shared" si="37"/>
        <v>#DIV/0!</v>
      </c>
      <c r="DO34" s="526">
        <f t="shared" si="149"/>
        <v>0</v>
      </c>
      <c r="DP34" s="524"/>
      <c r="DQ34" s="525" t="e">
        <f t="shared" si="38"/>
        <v>#DIV/0!</v>
      </c>
      <c r="DR34" s="526">
        <f t="shared" si="150"/>
        <v>0</v>
      </c>
      <c r="DS34" s="524"/>
      <c r="DT34" s="525" t="e">
        <f t="shared" si="39"/>
        <v>#DIV/0!</v>
      </c>
      <c r="DU34" s="526">
        <f t="shared" si="151"/>
        <v>0</v>
      </c>
      <c r="DV34" s="524"/>
      <c r="DW34" s="525" t="e">
        <f t="shared" si="40"/>
        <v>#DIV/0!</v>
      </c>
      <c r="DX34" s="526">
        <f t="shared" si="152"/>
        <v>0</v>
      </c>
      <c r="DY34" s="524"/>
      <c r="DZ34" s="525" t="e">
        <f t="shared" si="41"/>
        <v>#DIV/0!</v>
      </c>
      <c r="EA34" s="526">
        <f t="shared" si="153"/>
        <v>0</v>
      </c>
      <c r="EB34" s="524"/>
      <c r="EC34" s="525" t="e">
        <f t="shared" si="42"/>
        <v>#DIV/0!</v>
      </c>
      <c r="ED34" s="526">
        <f t="shared" si="154"/>
        <v>0</v>
      </c>
      <c r="EE34" s="524"/>
      <c r="EF34" s="525" t="e">
        <f t="shared" si="43"/>
        <v>#DIV/0!</v>
      </c>
      <c r="EG34" s="526">
        <f t="shared" si="155"/>
        <v>0</v>
      </c>
      <c r="EH34" s="524"/>
      <c r="EI34" s="525" t="e">
        <f t="shared" si="44"/>
        <v>#DIV/0!</v>
      </c>
      <c r="EJ34" s="526">
        <f t="shared" si="156"/>
        <v>0</v>
      </c>
      <c r="EK34" s="524"/>
      <c r="EL34" s="525" t="e">
        <f t="shared" si="45"/>
        <v>#DIV/0!</v>
      </c>
      <c r="EM34" s="526">
        <f t="shared" si="157"/>
        <v>0</v>
      </c>
      <c r="EN34" s="524"/>
      <c r="EO34" s="525" t="e">
        <f t="shared" si="46"/>
        <v>#DIV/0!</v>
      </c>
      <c r="EP34" s="526">
        <f t="shared" si="158"/>
        <v>0</v>
      </c>
      <c r="EQ34" s="524"/>
      <c r="ER34" s="525" t="e">
        <f t="shared" si="47"/>
        <v>#DIV/0!</v>
      </c>
      <c r="ES34" s="526">
        <f t="shared" si="159"/>
        <v>0</v>
      </c>
      <c r="ET34" s="524"/>
      <c r="EU34" s="525" t="e">
        <f t="shared" si="48"/>
        <v>#DIV/0!</v>
      </c>
      <c r="EV34" s="526">
        <f t="shared" si="160"/>
        <v>0</v>
      </c>
      <c r="EW34" s="524"/>
      <c r="EX34" s="525" t="e">
        <f t="shared" si="49"/>
        <v>#DIV/0!</v>
      </c>
      <c r="EY34" s="526">
        <f t="shared" si="161"/>
        <v>0</v>
      </c>
      <c r="EZ34" s="524"/>
      <c r="FA34" s="525" t="e">
        <f t="shared" si="50"/>
        <v>#DIV/0!</v>
      </c>
      <c r="FB34" s="526">
        <f t="shared" si="162"/>
        <v>0</v>
      </c>
      <c r="FC34" s="524"/>
      <c r="FD34" s="525" t="e">
        <f t="shared" si="51"/>
        <v>#DIV/0!</v>
      </c>
      <c r="FE34" s="526">
        <f t="shared" si="163"/>
        <v>0</v>
      </c>
      <c r="FF34" s="524"/>
      <c r="FG34" s="525" t="e">
        <f t="shared" si="52"/>
        <v>#DIV/0!</v>
      </c>
      <c r="FH34" s="526">
        <f t="shared" si="164"/>
        <v>0</v>
      </c>
      <c r="FI34" s="524"/>
      <c r="FJ34" s="525" t="e">
        <f t="shared" si="53"/>
        <v>#DIV/0!</v>
      </c>
      <c r="FK34" s="526">
        <f t="shared" si="165"/>
        <v>0</v>
      </c>
      <c r="FL34" s="524"/>
      <c r="FM34" s="525" t="e">
        <f t="shared" si="54"/>
        <v>#DIV/0!</v>
      </c>
      <c r="FN34" s="526">
        <f t="shared" si="166"/>
        <v>0</v>
      </c>
      <c r="FO34" s="524"/>
      <c r="FP34" s="525" t="e">
        <f t="shared" si="55"/>
        <v>#DIV/0!</v>
      </c>
      <c r="FQ34" s="526">
        <f t="shared" si="167"/>
        <v>0</v>
      </c>
      <c r="FR34" s="524"/>
      <c r="FS34" s="525" t="e">
        <f t="shared" si="56"/>
        <v>#DIV/0!</v>
      </c>
      <c r="FT34" s="526">
        <f t="shared" si="168"/>
        <v>0</v>
      </c>
      <c r="FU34" s="524"/>
      <c r="FV34" s="525" t="e">
        <f t="shared" si="57"/>
        <v>#DIV/0!</v>
      </c>
      <c r="FW34" s="526">
        <f t="shared" si="169"/>
        <v>0</v>
      </c>
      <c r="FX34" s="524"/>
      <c r="FY34" s="525" t="e">
        <f t="shared" si="58"/>
        <v>#DIV/0!</v>
      </c>
      <c r="FZ34" s="526">
        <f t="shared" si="170"/>
        <v>0</v>
      </c>
      <c r="GA34" s="524"/>
      <c r="GB34" s="525" t="e">
        <f t="shared" si="59"/>
        <v>#DIV/0!</v>
      </c>
      <c r="GC34" s="526">
        <f t="shared" si="171"/>
        <v>0</v>
      </c>
      <c r="GD34" s="524"/>
      <c r="GE34" s="525" t="e">
        <f t="shared" si="60"/>
        <v>#DIV/0!</v>
      </c>
      <c r="GF34" s="526">
        <f t="shared" si="172"/>
        <v>0</v>
      </c>
      <c r="GG34" s="524"/>
      <c r="GH34" s="525" t="e">
        <f t="shared" si="61"/>
        <v>#DIV/0!</v>
      </c>
      <c r="GI34" s="526">
        <f t="shared" si="173"/>
        <v>0</v>
      </c>
      <c r="GJ34" s="524"/>
      <c r="GK34" s="525" t="e">
        <f t="shared" si="62"/>
        <v>#DIV/0!</v>
      </c>
      <c r="GL34" s="526">
        <f t="shared" si="174"/>
        <v>0</v>
      </c>
      <c r="GM34" s="524"/>
      <c r="GN34" s="525" t="e">
        <f t="shared" si="63"/>
        <v>#DIV/0!</v>
      </c>
      <c r="GO34" s="526">
        <f t="shared" si="175"/>
        <v>0</v>
      </c>
      <c r="GP34" s="524"/>
      <c r="GQ34" s="525" t="e">
        <f t="shared" si="64"/>
        <v>#DIV/0!</v>
      </c>
      <c r="GR34" s="526">
        <f t="shared" si="176"/>
        <v>0</v>
      </c>
      <c r="GS34" s="524"/>
      <c r="GT34" s="525" t="e">
        <f t="shared" si="65"/>
        <v>#DIV/0!</v>
      </c>
      <c r="GU34" s="526">
        <f t="shared" si="177"/>
        <v>0</v>
      </c>
      <c r="GV34" s="524"/>
      <c r="GW34" s="525" t="e">
        <f t="shared" si="66"/>
        <v>#DIV/0!</v>
      </c>
      <c r="GX34" s="526">
        <f t="shared" si="178"/>
        <v>0</v>
      </c>
      <c r="GY34" s="524"/>
      <c r="GZ34" s="525" t="e">
        <f t="shared" si="67"/>
        <v>#DIV/0!</v>
      </c>
      <c r="HA34" s="526">
        <f t="shared" si="179"/>
        <v>0</v>
      </c>
      <c r="HB34" s="524"/>
      <c r="HC34" s="525" t="e">
        <f t="shared" si="68"/>
        <v>#DIV/0!</v>
      </c>
      <c r="HD34" s="526">
        <f t="shared" si="180"/>
        <v>0</v>
      </c>
      <c r="HE34" s="524"/>
      <c r="HF34" s="525" t="e">
        <f t="shared" si="69"/>
        <v>#DIV/0!</v>
      </c>
      <c r="HG34" s="526">
        <f t="shared" si="181"/>
        <v>0</v>
      </c>
      <c r="HH34" s="524"/>
      <c r="HI34" s="525" t="e">
        <f t="shared" si="70"/>
        <v>#DIV/0!</v>
      </c>
      <c r="HJ34" s="526">
        <f t="shared" si="182"/>
        <v>0</v>
      </c>
      <c r="HK34" s="524"/>
      <c r="HL34" s="525" t="e">
        <f t="shared" si="71"/>
        <v>#DIV/0!</v>
      </c>
      <c r="HM34" s="526">
        <f t="shared" si="183"/>
        <v>0</v>
      </c>
      <c r="HN34" s="524"/>
      <c r="HO34" s="525" t="e">
        <f t="shared" si="72"/>
        <v>#DIV/0!</v>
      </c>
      <c r="HP34" s="526">
        <f t="shared" si="184"/>
        <v>0</v>
      </c>
      <c r="HQ34" s="524"/>
      <c r="HR34" s="525" t="e">
        <f t="shared" si="73"/>
        <v>#DIV/0!</v>
      </c>
      <c r="HS34" s="526">
        <f t="shared" si="185"/>
        <v>0</v>
      </c>
      <c r="HT34" s="524"/>
      <c r="HU34" s="525" t="e">
        <f t="shared" si="74"/>
        <v>#DIV/0!</v>
      </c>
      <c r="HV34" s="526">
        <f t="shared" si="186"/>
        <v>0</v>
      </c>
      <c r="HW34" s="524"/>
      <c r="HX34" s="525" t="e">
        <f t="shared" si="75"/>
        <v>#DIV/0!</v>
      </c>
      <c r="HY34" s="526">
        <f t="shared" si="187"/>
        <v>0</v>
      </c>
      <c r="HZ34" s="524"/>
      <c r="IA34" s="525" t="e">
        <f t="shared" si="76"/>
        <v>#DIV/0!</v>
      </c>
      <c r="IB34" s="526">
        <f t="shared" si="188"/>
        <v>0</v>
      </c>
      <c r="IC34" s="524"/>
      <c r="ID34" s="525" t="e">
        <f t="shared" si="77"/>
        <v>#DIV/0!</v>
      </c>
      <c r="IE34" s="526">
        <f t="shared" si="189"/>
        <v>0</v>
      </c>
      <c r="IF34" s="524"/>
      <c r="IG34" s="525" t="e">
        <f t="shared" si="78"/>
        <v>#DIV/0!</v>
      </c>
      <c r="IH34" s="526">
        <f t="shared" si="190"/>
        <v>0</v>
      </c>
      <c r="II34" s="524"/>
      <c r="IJ34" s="525" t="e">
        <f t="shared" si="79"/>
        <v>#DIV/0!</v>
      </c>
      <c r="IK34" s="526">
        <f t="shared" si="191"/>
        <v>0</v>
      </c>
      <c r="IL34" s="524"/>
      <c r="IM34" s="525" t="e">
        <f t="shared" si="80"/>
        <v>#DIV/0!</v>
      </c>
      <c r="IN34" s="526">
        <f t="shared" si="192"/>
        <v>0</v>
      </c>
      <c r="IO34" s="524"/>
      <c r="IP34" s="525" t="e">
        <f t="shared" si="81"/>
        <v>#DIV/0!</v>
      </c>
      <c r="IQ34" s="526">
        <f t="shared" si="193"/>
        <v>0</v>
      </c>
      <c r="IR34" s="524"/>
      <c r="IS34" s="525" t="e">
        <f t="shared" si="82"/>
        <v>#DIV/0!</v>
      </c>
      <c r="IT34" s="526">
        <f t="shared" si="194"/>
        <v>0</v>
      </c>
      <c r="IU34" s="524"/>
      <c r="IV34" s="525" t="e">
        <f t="shared" si="83"/>
        <v>#DIV/0!</v>
      </c>
      <c r="IW34" s="526">
        <f t="shared" si="195"/>
        <v>0</v>
      </c>
      <c r="IX34" s="524"/>
      <c r="IY34" s="525" t="e">
        <f t="shared" si="84"/>
        <v>#DIV/0!</v>
      </c>
      <c r="IZ34" s="526">
        <f t="shared" si="196"/>
        <v>0</v>
      </c>
      <c r="JA34" s="524"/>
      <c r="JB34" s="525" t="e">
        <f t="shared" si="85"/>
        <v>#DIV/0!</v>
      </c>
      <c r="JC34" s="526">
        <f t="shared" si="197"/>
        <v>0</v>
      </c>
      <c r="JD34" s="524"/>
      <c r="JE34" s="525" t="e">
        <f t="shared" si="86"/>
        <v>#DIV/0!</v>
      </c>
      <c r="JF34" s="526">
        <f t="shared" si="198"/>
        <v>0</v>
      </c>
      <c r="JG34" s="524"/>
      <c r="JH34" s="525" t="e">
        <f t="shared" si="87"/>
        <v>#DIV/0!</v>
      </c>
      <c r="JI34" s="526">
        <f t="shared" si="199"/>
        <v>0</v>
      </c>
      <c r="JJ34" s="524"/>
      <c r="JK34" s="526" t="str">
        <f t="shared" si="88"/>
        <v>0</v>
      </c>
      <c r="JL34" s="526" t="str">
        <f t="shared" si="89"/>
        <v>0</v>
      </c>
      <c r="JM34" s="524"/>
      <c r="JN34" s="526" t="str">
        <f t="shared" si="90"/>
        <v>0</v>
      </c>
      <c r="JO34" s="526" t="str">
        <f t="shared" si="91"/>
        <v>0</v>
      </c>
      <c r="JP34" s="524"/>
      <c r="JQ34" s="526" t="str">
        <f t="shared" si="92"/>
        <v>0</v>
      </c>
      <c r="JR34" s="526" t="str">
        <f t="shared" si="93"/>
        <v>0</v>
      </c>
      <c r="JS34" s="524"/>
      <c r="JT34" s="526" t="str">
        <f t="shared" si="94"/>
        <v>0</v>
      </c>
      <c r="JU34" s="526" t="str">
        <f t="shared" si="95"/>
        <v>0</v>
      </c>
      <c r="JV34" s="524"/>
      <c r="JW34" s="526" t="str">
        <f t="shared" si="96"/>
        <v>0</v>
      </c>
      <c r="JX34" s="526" t="str">
        <f t="shared" si="97"/>
        <v>0</v>
      </c>
      <c r="JY34" s="524"/>
      <c r="JZ34" s="526" t="str">
        <f t="shared" si="98"/>
        <v>0</v>
      </c>
      <c r="KA34" s="526" t="str">
        <f t="shared" si="99"/>
        <v>0</v>
      </c>
      <c r="KB34" s="524"/>
      <c r="KC34" s="526" t="str">
        <f t="shared" si="100"/>
        <v>0</v>
      </c>
      <c r="KD34" s="526" t="str">
        <f t="shared" si="101"/>
        <v>0</v>
      </c>
      <c r="KE34" s="524"/>
      <c r="KF34" s="526" t="str">
        <f t="shared" si="102"/>
        <v>0</v>
      </c>
      <c r="KG34" s="526" t="str">
        <f t="shared" si="103"/>
        <v>0</v>
      </c>
      <c r="KH34" s="524"/>
      <c r="KI34" s="526" t="str">
        <f t="shared" si="104"/>
        <v>0</v>
      </c>
      <c r="KJ34" s="526" t="str">
        <f t="shared" si="105"/>
        <v>0</v>
      </c>
      <c r="KK34" s="524"/>
      <c r="KL34" s="526" t="str">
        <f t="shared" si="106"/>
        <v>0</v>
      </c>
      <c r="KM34" s="526" t="str">
        <f t="shared" si="107"/>
        <v>0</v>
      </c>
      <c r="KN34" s="524"/>
      <c r="KO34" s="526" t="str">
        <f t="shared" si="108"/>
        <v>0</v>
      </c>
      <c r="KP34" s="526" t="str">
        <f t="shared" si="109"/>
        <v>0</v>
      </c>
      <c r="KQ34" s="524"/>
      <c r="KR34" s="526" t="str">
        <f t="shared" si="110"/>
        <v>0</v>
      </c>
      <c r="KS34" s="526" t="str">
        <f t="shared" si="111"/>
        <v>0</v>
      </c>
      <c r="KT34" s="526">
        <f t="shared" si="201"/>
        <v>0</v>
      </c>
      <c r="KU34" s="526">
        <f t="shared" si="202"/>
        <v>0</v>
      </c>
      <c r="KV34" s="262">
        <f t="shared" si="204"/>
        <v>0</v>
      </c>
    </row>
    <row r="35" spans="1:308" ht="15" customHeight="1">
      <c r="A35" s="263">
        <f t="shared" si="200"/>
        <v>45927</v>
      </c>
      <c r="B35" s="264" t="str">
        <f>+Report1!B35</f>
        <v>STOP</v>
      </c>
      <c r="C35" s="264" t="str">
        <f>+Report1!C35</f>
        <v>12</v>
      </c>
      <c r="D35" s="265">
        <f>+Report1!P35</f>
        <v>0</v>
      </c>
      <c r="E35" s="556">
        <f>+Report1!R35</f>
        <v>0</v>
      </c>
      <c r="F35" s="524"/>
      <c r="G35" s="525" t="e">
        <f t="shared" si="0"/>
        <v>#DIV/0!</v>
      </c>
      <c r="H35" s="526">
        <f t="shared" si="113"/>
        <v>0</v>
      </c>
      <c r="I35" s="524"/>
      <c r="J35" s="525" t="e">
        <f t="shared" si="1"/>
        <v>#DIV/0!</v>
      </c>
      <c r="K35" s="526">
        <f t="shared" si="114"/>
        <v>0</v>
      </c>
      <c r="L35" s="524"/>
      <c r="M35" s="525" t="e">
        <f t="shared" si="2"/>
        <v>#DIV/0!</v>
      </c>
      <c r="N35" s="526">
        <f t="shared" si="115"/>
        <v>0</v>
      </c>
      <c r="O35" s="524"/>
      <c r="P35" s="525" t="e">
        <f t="shared" si="3"/>
        <v>#DIV/0!</v>
      </c>
      <c r="Q35" s="526">
        <f t="shared" si="116"/>
        <v>0</v>
      </c>
      <c r="R35" s="524"/>
      <c r="S35" s="525" t="e">
        <f t="shared" si="4"/>
        <v>#DIV/0!</v>
      </c>
      <c r="T35" s="526">
        <f t="shared" si="117"/>
        <v>0</v>
      </c>
      <c r="U35" s="524"/>
      <c r="V35" s="525" t="e">
        <f t="shared" si="5"/>
        <v>#DIV/0!</v>
      </c>
      <c r="W35" s="526">
        <f t="shared" si="118"/>
        <v>0</v>
      </c>
      <c r="X35" s="524"/>
      <c r="Y35" s="525" t="e">
        <f t="shared" si="6"/>
        <v>#DIV/0!</v>
      </c>
      <c r="Z35" s="526">
        <f t="shared" si="119"/>
        <v>0</v>
      </c>
      <c r="AA35" s="524"/>
      <c r="AB35" s="525" t="e">
        <f t="shared" si="7"/>
        <v>#DIV/0!</v>
      </c>
      <c r="AC35" s="526">
        <f t="shared" si="120"/>
        <v>0</v>
      </c>
      <c r="AD35" s="524"/>
      <c r="AE35" s="525" t="e">
        <f t="shared" si="8"/>
        <v>#DIV/0!</v>
      </c>
      <c r="AF35" s="526">
        <f t="shared" si="121"/>
        <v>0</v>
      </c>
      <c r="AG35" s="524"/>
      <c r="AH35" s="525" t="e">
        <f t="shared" si="9"/>
        <v>#DIV/0!</v>
      </c>
      <c r="AI35" s="526">
        <f t="shared" si="122"/>
        <v>0</v>
      </c>
      <c r="AJ35" s="524"/>
      <c r="AK35" s="525" t="e">
        <f t="shared" si="10"/>
        <v>#DIV/0!</v>
      </c>
      <c r="AL35" s="526">
        <f t="shared" si="123"/>
        <v>0</v>
      </c>
      <c r="AM35" s="524"/>
      <c r="AN35" s="525" t="e">
        <f t="shared" si="11"/>
        <v>#DIV/0!</v>
      </c>
      <c r="AO35" s="526">
        <f t="shared" si="124"/>
        <v>0</v>
      </c>
      <c r="AP35" s="524"/>
      <c r="AQ35" s="525" t="e">
        <f t="shared" si="12"/>
        <v>#DIV/0!</v>
      </c>
      <c r="AR35" s="526">
        <f t="shared" si="125"/>
        <v>0</v>
      </c>
      <c r="AS35" s="524"/>
      <c r="AT35" s="525" t="e">
        <f t="shared" si="13"/>
        <v>#DIV/0!</v>
      </c>
      <c r="AU35" s="526">
        <f t="shared" si="126"/>
        <v>0</v>
      </c>
      <c r="AV35" s="524"/>
      <c r="AW35" s="525" t="e">
        <f t="shared" si="14"/>
        <v>#DIV/0!</v>
      </c>
      <c r="AX35" s="526">
        <f t="shared" si="127"/>
        <v>0</v>
      </c>
      <c r="AY35" s="524"/>
      <c r="AZ35" s="525" t="e">
        <f t="shared" si="15"/>
        <v>#DIV/0!</v>
      </c>
      <c r="BA35" s="526">
        <f t="shared" si="128"/>
        <v>0</v>
      </c>
      <c r="BB35" s="524"/>
      <c r="BC35" s="525" t="e">
        <f t="shared" si="16"/>
        <v>#DIV/0!</v>
      </c>
      <c r="BD35" s="526">
        <f t="shared" si="129"/>
        <v>0</v>
      </c>
      <c r="BE35" s="524"/>
      <c r="BF35" s="525" t="e">
        <f t="shared" si="17"/>
        <v>#DIV/0!</v>
      </c>
      <c r="BG35" s="526">
        <f t="shared" si="130"/>
        <v>0</v>
      </c>
      <c r="BH35" s="524"/>
      <c r="BI35" s="525" t="e">
        <f t="shared" si="18"/>
        <v>#DIV/0!</v>
      </c>
      <c r="BJ35" s="526">
        <f t="shared" si="131"/>
        <v>0</v>
      </c>
      <c r="BK35" s="524"/>
      <c r="BL35" s="525" t="e">
        <f t="shared" si="19"/>
        <v>#DIV/0!</v>
      </c>
      <c r="BM35" s="526">
        <f t="shared" si="132"/>
        <v>0</v>
      </c>
      <c r="BN35" s="524"/>
      <c r="BO35" s="525" t="e">
        <f t="shared" si="20"/>
        <v>#DIV/0!</v>
      </c>
      <c r="BP35" s="526">
        <f t="shared" si="133"/>
        <v>0</v>
      </c>
      <c r="BQ35" s="524"/>
      <c r="BR35" s="525" t="e">
        <f t="shared" si="21"/>
        <v>#DIV/0!</v>
      </c>
      <c r="BS35" s="526">
        <f t="shared" si="134"/>
        <v>0</v>
      </c>
      <c r="BT35" s="524"/>
      <c r="BU35" s="525" t="e">
        <f t="shared" si="22"/>
        <v>#DIV/0!</v>
      </c>
      <c r="BV35" s="526">
        <f t="shared" si="135"/>
        <v>0</v>
      </c>
      <c r="BW35" s="524"/>
      <c r="BX35" s="525" t="e">
        <f t="shared" si="23"/>
        <v>#DIV/0!</v>
      </c>
      <c r="BY35" s="526">
        <f t="shared" si="136"/>
        <v>0</v>
      </c>
      <c r="BZ35" s="524"/>
      <c r="CA35" s="525" t="e">
        <f t="shared" si="24"/>
        <v>#DIV/0!</v>
      </c>
      <c r="CB35" s="526">
        <f t="shared" si="137"/>
        <v>0</v>
      </c>
      <c r="CC35" s="524"/>
      <c r="CD35" s="525" t="e">
        <f t="shared" si="25"/>
        <v>#DIV/0!</v>
      </c>
      <c r="CE35" s="526">
        <f t="shared" si="138"/>
        <v>0</v>
      </c>
      <c r="CF35" s="524"/>
      <c r="CG35" s="525" t="e">
        <f t="shared" si="26"/>
        <v>#DIV/0!</v>
      </c>
      <c r="CH35" s="526">
        <f t="shared" si="139"/>
        <v>0</v>
      </c>
      <c r="CI35" s="524"/>
      <c r="CJ35" s="525" t="e">
        <f t="shared" si="27"/>
        <v>#DIV/0!</v>
      </c>
      <c r="CK35" s="526">
        <f t="shared" si="140"/>
        <v>0</v>
      </c>
      <c r="CL35" s="524"/>
      <c r="CM35" s="525" t="e">
        <f t="shared" si="28"/>
        <v>#DIV/0!</v>
      </c>
      <c r="CN35" s="526">
        <f t="shared" si="141"/>
        <v>0</v>
      </c>
      <c r="CO35" s="524"/>
      <c r="CP35" s="525" t="e">
        <f t="shared" si="29"/>
        <v>#DIV/0!</v>
      </c>
      <c r="CQ35" s="526">
        <f t="shared" si="142"/>
        <v>0</v>
      </c>
      <c r="CR35" s="524"/>
      <c r="CS35" s="525" t="e">
        <f t="shared" si="30"/>
        <v>#DIV/0!</v>
      </c>
      <c r="CT35" s="526">
        <f t="shared" si="143"/>
        <v>0</v>
      </c>
      <c r="CU35" s="524"/>
      <c r="CV35" s="525" t="e">
        <f t="shared" si="31"/>
        <v>#DIV/0!</v>
      </c>
      <c r="CW35" s="526">
        <f t="shared" si="144"/>
        <v>0</v>
      </c>
      <c r="CX35" s="524"/>
      <c r="CY35" s="525" t="e">
        <f t="shared" si="32"/>
        <v>#DIV/0!</v>
      </c>
      <c r="CZ35" s="526">
        <f t="shared" si="145"/>
        <v>0</v>
      </c>
      <c r="DA35" s="524"/>
      <c r="DB35" s="525" t="e">
        <f t="shared" si="33"/>
        <v>#DIV/0!</v>
      </c>
      <c r="DC35" s="526">
        <f t="shared" si="146"/>
        <v>0</v>
      </c>
      <c r="DD35" s="524"/>
      <c r="DE35" s="525" t="e">
        <f t="shared" si="34"/>
        <v>#DIV/0!</v>
      </c>
      <c r="DF35" s="526">
        <f t="shared" si="147"/>
        <v>0</v>
      </c>
      <c r="DG35" s="524"/>
      <c r="DH35" s="525" t="e">
        <f t="shared" si="35"/>
        <v>#DIV/0!</v>
      </c>
      <c r="DI35" s="526">
        <f t="shared" si="203"/>
        <v>0</v>
      </c>
      <c r="DJ35" s="524"/>
      <c r="DK35" s="525" t="e">
        <f t="shared" si="36"/>
        <v>#DIV/0!</v>
      </c>
      <c r="DL35" s="526">
        <f t="shared" si="148"/>
        <v>0</v>
      </c>
      <c r="DM35" s="524"/>
      <c r="DN35" s="525" t="e">
        <f t="shared" si="37"/>
        <v>#DIV/0!</v>
      </c>
      <c r="DO35" s="526">
        <f t="shared" si="149"/>
        <v>0</v>
      </c>
      <c r="DP35" s="524"/>
      <c r="DQ35" s="525" t="e">
        <f t="shared" si="38"/>
        <v>#DIV/0!</v>
      </c>
      <c r="DR35" s="526">
        <f t="shared" si="150"/>
        <v>0</v>
      </c>
      <c r="DS35" s="524"/>
      <c r="DT35" s="525" t="e">
        <f t="shared" si="39"/>
        <v>#DIV/0!</v>
      </c>
      <c r="DU35" s="526">
        <f t="shared" si="151"/>
        <v>0</v>
      </c>
      <c r="DV35" s="524"/>
      <c r="DW35" s="525" t="e">
        <f t="shared" si="40"/>
        <v>#DIV/0!</v>
      </c>
      <c r="DX35" s="526">
        <f t="shared" si="152"/>
        <v>0</v>
      </c>
      <c r="DY35" s="524"/>
      <c r="DZ35" s="525" t="e">
        <f t="shared" si="41"/>
        <v>#DIV/0!</v>
      </c>
      <c r="EA35" s="526">
        <f t="shared" si="153"/>
        <v>0</v>
      </c>
      <c r="EB35" s="524"/>
      <c r="EC35" s="525" t="e">
        <f t="shared" si="42"/>
        <v>#DIV/0!</v>
      </c>
      <c r="ED35" s="526">
        <f t="shared" si="154"/>
        <v>0</v>
      </c>
      <c r="EE35" s="524"/>
      <c r="EF35" s="525" t="e">
        <f t="shared" si="43"/>
        <v>#DIV/0!</v>
      </c>
      <c r="EG35" s="526">
        <f t="shared" si="155"/>
        <v>0</v>
      </c>
      <c r="EH35" s="524"/>
      <c r="EI35" s="525" t="e">
        <f t="shared" si="44"/>
        <v>#DIV/0!</v>
      </c>
      <c r="EJ35" s="526">
        <f t="shared" si="156"/>
        <v>0</v>
      </c>
      <c r="EK35" s="524"/>
      <c r="EL35" s="525" t="e">
        <f t="shared" si="45"/>
        <v>#DIV/0!</v>
      </c>
      <c r="EM35" s="526">
        <f t="shared" si="157"/>
        <v>0</v>
      </c>
      <c r="EN35" s="524"/>
      <c r="EO35" s="525" t="e">
        <f t="shared" si="46"/>
        <v>#DIV/0!</v>
      </c>
      <c r="EP35" s="526">
        <f t="shared" si="158"/>
        <v>0</v>
      </c>
      <c r="EQ35" s="524"/>
      <c r="ER35" s="525" t="e">
        <f t="shared" si="47"/>
        <v>#DIV/0!</v>
      </c>
      <c r="ES35" s="526">
        <f t="shared" si="159"/>
        <v>0</v>
      </c>
      <c r="ET35" s="524"/>
      <c r="EU35" s="525" t="e">
        <f t="shared" si="48"/>
        <v>#DIV/0!</v>
      </c>
      <c r="EV35" s="526">
        <f t="shared" si="160"/>
        <v>0</v>
      </c>
      <c r="EW35" s="524"/>
      <c r="EX35" s="525" t="e">
        <f t="shared" si="49"/>
        <v>#DIV/0!</v>
      </c>
      <c r="EY35" s="526">
        <f t="shared" si="161"/>
        <v>0</v>
      </c>
      <c r="EZ35" s="524"/>
      <c r="FA35" s="525" t="e">
        <f t="shared" si="50"/>
        <v>#DIV/0!</v>
      </c>
      <c r="FB35" s="526">
        <f t="shared" si="162"/>
        <v>0</v>
      </c>
      <c r="FC35" s="524"/>
      <c r="FD35" s="525" t="e">
        <f t="shared" si="51"/>
        <v>#DIV/0!</v>
      </c>
      <c r="FE35" s="526">
        <f t="shared" si="163"/>
        <v>0</v>
      </c>
      <c r="FF35" s="524"/>
      <c r="FG35" s="525" t="e">
        <f t="shared" si="52"/>
        <v>#DIV/0!</v>
      </c>
      <c r="FH35" s="526">
        <f t="shared" si="164"/>
        <v>0</v>
      </c>
      <c r="FI35" s="524"/>
      <c r="FJ35" s="525" t="e">
        <f t="shared" si="53"/>
        <v>#DIV/0!</v>
      </c>
      <c r="FK35" s="526">
        <f t="shared" si="165"/>
        <v>0</v>
      </c>
      <c r="FL35" s="524"/>
      <c r="FM35" s="525" t="e">
        <f t="shared" si="54"/>
        <v>#DIV/0!</v>
      </c>
      <c r="FN35" s="526">
        <f t="shared" si="166"/>
        <v>0</v>
      </c>
      <c r="FO35" s="524"/>
      <c r="FP35" s="525" t="e">
        <f t="shared" si="55"/>
        <v>#DIV/0!</v>
      </c>
      <c r="FQ35" s="526">
        <f t="shared" si="167"/>
        <v>0</v>
      </c>
      <c r="FR35" s="524"/>
      <c r="FS35" s="525" t="e">
        <f t="shared" si="56"/>
        <v>#DIV/0!</v>
      </c>
      <c r="FT35" s="526">
        <f t="shared" si="168"/>
        <v>0</v>
      </c>
      <c r="FU35" s="524"/>
      <c r="FV35" s="525" t="e">
        <f t="shared" si="57"/>
        <v>#DIV/0!</v>
      </c>
      <c r="FW35" s="526">
        <f t="shared" si="169"/>
        <v>0</v>
      </c>
      <c r="FX35" s="524"/>
      <c r="FY35" s="525" t="e">
        <f t="shared" si="58"/>
        <v>#DIV/0!</v>
      </c>
      <c r="FZ35" s="526">
        <f t="shared" si="170"/>
        <v>0</v>
      </c>
      <c r="GA35" s="524"/>
      <c r="GB35" s="525" t="e">
        <f t="shared" si="59"/>
        <v>#DIV/0!</v>
      </c>
      <c r="GC35" s="526">
        <f t="shared" si="171"/>
        <v>0</v>
      </c>
      <c r="GD35" s="524"/>
      <c r="GE35" s="525" t="e">
        <f t="shared" si="60"/>
        <v>#DIV/0!</v>
      </c>
      <c r="GF35" s="526">
        <f t="shared" si="172"/>
        <v>0</v>
      </c>
      <c r="GG35" s="524"/>
      <c r="GH35" s="525" t="e">
        <f t="shared" si="61"/>
        <v>#DIV/0!</v>
      </c>
      <c r="GI35" s="526">
        <f t="shared" si="173"/>
        <v>0</v>
      </c>
      <c r="GJ35" s="524"/>
      <c r="GK35" s="525" t="e">
        <f t="shared" si="62"/>
        <v>#DIV/0!</v>
      </c>
      <c r="GL35" s="526">
        <f t="shared" si="174"/>
        <v>0</v>
      </c>
      <c r="GM35" s="524"/>
      <c r="GN35" s="525" t="e">
        <f t="shared" si="63"/>
        <v>#DIV/0!</v>
      </c>
      <c r="GO35" s="526">
        <f t="shared" si="175"/>
        <v>0</v>
      </c>
      <c r="GP35" s="524"/>
      <c r="GQ35" s="525" t="e">
        <f t="shared" si="64"/>
        <v>#DIV/0!</v>
      </c>
      <c r="GR35" s="526">
        <f t="shared" si="176"/>
        <v>0</v>
      </c>
      <c r="GS35" s="524"/>
      <c r="GT35" s="525" t="e">
        <f t="shared" si="65"/>
        <v>#DIV/0!</v>
      </c>
      <c r="GU35" s="526">
        <f t="shared" si="177"/>
        <v>0</v>
      </c>
      <c r="GV35" s="524"/>
      <c r="GW35" s="525" t="e">
        <f t="shared" si="66"/>
        <v>#DIV/0!</v>
      </c>
      <c r="GX35" s="526">
        <f t="shared" si="178"/>
        <v>0</v>
      </c>
      <c r="GY35" s="524"/>
      <c r="GZ35" s="525" t="e">
        <f t="shared" si="67"/>
        <v>#DIV/0!</v>
      </c>
      <c r="HA35" s="526">
        <f t="shared" si="179"/>
        <v>0</v>
      </c>
      <c r="HB35" s="524"/>
      <c r="HC35" s="525" t="e">
        <f t="shared" si="68"/>
        <v>#DIV/0!</v>
      </c>
      <c r="HD35" s="526">
        <f t="shared" si="180"/>
        <v>0</v>
      </c>
      <c r="HE35" s="524"/>
      <c r="HF35" s="525" t="e">
        <f t="shared" si="69"/>
        <v>#DIV/0!</v>
      </c>
      <c r="HG35" s="526">
        <f t="shared" si="181"/>
        <v>0</v>
      </c>
      <c r="HH35" s="524"/>
      <c r="HI35" s="525" t="e">
        <f t="shared" si="70"/>
        <v>#DIV/0!</v>
      </c>
      <c r="HJ35" s="526">
        <f t="shared" si="182"/>
        <v>0</v>
      </c>
      <c r="HK35" s="524"/>
      <c r="HL35" s="525" t="e">
        <f t="shared" si="71"/>
        <v>#DIV/0!</v>
      </c>
      <c r="HM35" s="526">
        <f t="shared" si="183"/>
        <v>0</v>
      </c>
      <c r="HN35" s="524"/>
      <c r="HO35" s="525" t="e">
        <f t="shared" si="72"/>
        <v>#DIV/0!</v>
      </c>
      <c r="HP35" s="526">
        <f t="shared" si="184"/>
        <v>0</v>
      </c>
      <c r="HQ35" s="524"/>
      <c r="HR35" s="525" t="e">
        <f t="shared" si="73"/>
        <v>#DIV/0!</v>
      </c>
      <c r="HS35" s="526">
        <f t="shared" si="185"/>
        <v>0</v>
      </c>
      <c r="HT35" s="524"/>
      <c r="HU35" s="525" t="e">
        <f t="shared" si="74"/>
        <v>#DIV/0!</v>
      </c>
      <c r="HV35" s="526">
        <f t="shared" si="186"/>
        <v>0</v>
      </c>
      <c r="HW35" s="524"/>
      <c r="HX35" s="525" t="e">
        <f t="shared" si="75"/>
        <v>#DIV/0!</v>
      </c>
      <c r="HY35" s="526">
        <f t="shared" si="187"/>
        <v>0</v>
      </c>
      <c r="HZ35" s="524"/>
      <c r="IA35" s="525" t="e">
        <f t="shared" si="76"/>
        <v>#DIV/0!</v>
      </c>
      <c r="IB35" s="526">
        <f t="shared" si="188"/>
        <v>0</v>
      </c>
      <c r="IC35" s="524"/>
      <c r="ID35" s="525" t="e">
        <f t="shared" si="77"/>
        <v>#DIV/0!</v>
      </c>
      <c r="IE35" s="526">
        <f t="shared" si="189"/>
        <v>0</v>
      </c>
      <c r="IF35" s="524"/>
      <c r="IG35" s="525" t="e">
        <f t="shared" si="78"/>
        <v>#DIV/0!</v>
      </c>
      <c r="IH35" s="526">
        <f t="shared" si="190"/>
        <v>0</v>
      </c>
      <c r="II35" s="524"/>
      <c r="IJ35" s="525" t="e">
        <f t="shared" si="79"/>
        <v>#DIV/0!</v>
      </c>
      <c r="IK35" s="526">
        <f t="shared" si="191"/>
        <v>0</v>
      </c>
      <c r="IL35" s="524"/>
      <c r="IM35" s="525" t="e">
        <f t="shared" si="80"/>
        <v>#DIV/0!</v>
      </c>
      <c r="IN35" s="526">
        <f t="shared" si="192"/>
        <v>0</v>
      </c>
      <c r="IO35" s="524"/>
      <c r="IP35" s="525" t="e">
        <f t="shared" si="81"/>
        <v>#DIV/0!</v>
      </c>
      <c r="IQ35" s="526">
        <f t="shared" si="193"/>
        <v>0</v>
      </c>
      <c r="IR35" s="524"/>
      <c r="IS35" s="525" t="e">
        <f t="shared" si="82"/>
        <v>#DIV/0!</v>
      </c>
      <c r="IT35" s="526">
        <f t="shared" si="194"/>
        <v>0</v>
      </c>
      <c r="IU35" s="524"/>
      <c r="IV35" s="525" t="e">
        <f t="shared" si="83"/>
        <v>#DIV/0!</v>
      </c>
      <c r="IW35" s="526">
        <f t="shared" si="195"/>
        <v>0</v>
      </c>
      <c r="IX35" s="524"/>
      <c r="IY35" s="525" t="e">
        <f t="shared" si="84"/>
        <v>#DIV/0!</v>
      </c>
      <c r="IZ35" s="526">
        <f t="shared" si="196"/>
        <v>0</v>
      </c>
      <c r="JA35" s="524"/>
      <c r="JB35" s="525" t="e">
        <f t="shared" si="85"/>
        <v>#DIV/0!</v>
      </c>
      <c r="JC35" s="526">
        <f t="shared" si="197"/>
        <v>0</v>
      </c>
      <c r="JD35" s="524"/>
      <c r="JE35" s="525" t="e">
        <f t="shared" si="86"/>
        <v>#DIV/0!</v>
      </c>
      <c r="JF35" s="526">
        <f t="shared" si="198"/>
        <v>0</v>
      </c>
      <c r="JG35" s="524"/>
      <c r="JH35" s="525" t="e">
        <f t="shared" si="87"/>
        <v>#DIV/0!</v>
      </c>
      <c r="JI35" s="526">
        <f t="shared" si="199"/>
        <v>0</v>
      </c>
      <c r="JJ35" s="524"/>
      <c r="JK35" s="526" t="str">
        <f t="shared" si="88"/>
        <v>0</v>
      </c>
      <c r="JL35" s="526" t="str">
        <f t="shared" si="89"/>
        <v>0</v>
      </c>
      <c r="JM35" s="524"/>
      <c r="JN35" s="526" t="str">
        <f t="shared" si="90"/>
        <v>0</v>
      </c>
      <c r="JO35" s="526" t="str">
        <f t="shared" si="91"/>
        <v>0</v>
      </c>
      <c r="JP35" s="524"/>
      <c r="JQ35" s="526" t="str">
        <f t="shared" si="92"/>
        <v>0</v>
      </c>
      <c r="JR35" s="526" t="str">
        <f t="shared" si="93"/>
        <v>0</v>
      </c>
      <c r="JS35" s="524"/>
      <c r="JT35" s="526" t="str">
        <f t="shared" si="94"/>
        <v>0</v>
      </c>
      <c r="JU35" s="526" t="str">
        <f t="shared" si="95"/>
        <v>0</v>
      </c>
      <c r="JV35" s="524"/>
      <c r="JW35" s="526" t="str">
        <f t="shared" si="96"/>
        <v>0</v>
      </c>
      <c r="JX35" s="526" t="str">
        <f t="shared" si="97"/>
        <v>0</v>
      </c>
      <c r="JY35" s="524"/>
      <c r="JZ35" s="526" t="str">
        <f t="shared" si="98"/>
        <v>0</v>
      </c>
      <c r="KA35" s="526" t="str">
        <f t="shared" si="99"/>
        <v>0</v>
      </c>
      <c r="KB35" s="524"/>
      <c r="KC35" s="526" t="str">
        <f t="shared" si="100"/>
        <v>0</v>
      </c>
      <c r="KD35" s="526" t="str">
        <f t="shared" si="101"/>
        <v>0</v>
      </c>
      <c r="KE35" s="524"/>
      <c r="KF35" s="526" t="str">
        <f t="shared" si="102"/>
        <v>0</v>
      </c>
      <c r="KG35" s="526" t="str">
        <f t="shared" si="103"/>
        <v>0</v>
      </c>
      <c r="KH35" s="524"/>
      <c r="KI35" s="526" t="str">
        <f t="shared" si="104"/>
        <v>0</v>
      </c>
      <c r="KJ35" s="526" t="str">
        <f t="shared" si="105"/>
        <v>0</v>
      </c>
      <c r="KK35" s="524"/>
      <c r="KL35" s="526" t="str">
        <f t="shared" si="106"/>
        <v>0</v>
      </c>
      <c r="KM35" s="526" t="str">
        <f t="shared" si="107"/>
        <v>0</v>
      </c>
      <c r="KN35" s="524"/>
      <c r="KO35" s="526" t="str">
        <f t="shared" si="108"/>
        <v>0</v>
      </c>
      <c r="KP35" s="526" t="str">
        <f t="shared" si="109"/>
        <v>0</v>
      </c>
      <c r="KQ35" s="524"/>
      <c r="KR35" s="526" t="str">
        <f t="shared" si="110"/>
        <v>0</v>
      </c>
      <c r="KS35" s="526" t="str">
        <f t="shared" si="111"/>
        <v>0</v>
      </c>
      <c r="KT35" s="526">
        <f t="shared" si="201"/>
        <v>0</v>
      </c>
      <c r="KU35" s="526">
        <f t="shared" si="202"/>
        <v>0</v>
      </c>
      <c r="KV35" s="262">
        <f t="shared" si="204"/>
        <v>0</v>
      </c>
    </row>
    <row r="36" spans="1:308" ht="15" customHeight="1">
      <c r="A36" s="263">
        <f t="shared" si="200"/>
        <v>45928</v>
      </c>
      <c r="B36" s="264" t="str">
        <f>+Report1!B36</f>
        <v>STOP</v>
      </c>
      <c r="C36" s="264" t="str">
        <f>+Report1!C36</f>
        <v>12</v>
      </c>
      <c r="D36" s="265">
        <f>+Report1!P36</f>
        <v>0</v>
      </c>
      <c r="E36" s="556">
        <f>+Report1!R36</f>
        <v>0</v>
      </c>
      <c r="F36" s="524"/>
      <c r="G36" s="525" t="e">
        <f t="shared" si="0"/>
        <v>#DIV/0!</v>
      </c>
      <c r="H36" s="526">
        <f t="shared" si="113"/>
        <v>0</v>
      </c>
      <c r="I36" s="524"/>
      <c r="J36" s="525" t="e">
        <f t="shared" si="1"/>
        <v>#DIV/0!</v>
      </c>
      <c r="K36" s="526">
        <f t="shared" si="114"/>
        <v>0</v>
      </c>
      <c r="L36" s="524"/>
      <c r="M36" s="525" t="e">
        <f t="shared" si="2"/>
        <v>#DIV/0!</v>
      </c>
      <c r="N36" s="526">
        <f t="shared" si="115"/>
        <v>0</v>
      </c>
      <c r="O36" s="524"/>
      <c r="P36" s="525" t="e">
        <f t="shared" si="3"/>
        <v>#DIV/0!</v>
      </c>
      <c r="Q36" s="526">
        <f t="shared" si="116"/>
        <v>0</v>
      </c>
      <c r="R36" s="524"/>
      <c r="S36" s="525" t="e">
        <f t="shared" si="4"/>
        <v>#DIV/0!</v>
      </c>
      <c r="T36" s="526">
        <f t="shared" si="117"/>
        <v>0</v>
      </c>
      <c r="U36" s="524"/>
      <c r="V36" s="525" t="e">
        <f t="shared" si="5"/>
        <v>#DIV/0!</v>
      </c>
      <c r="W36" s="526">
        <f t="shared" si="118"/>
        <v>0</v>
      </c>
      <c r="X36" s="524"/>
      <c r="Y36" s="525" t="e">
        <f t="shared" si="6"/>
        <v>#DIV/0!</v>
      </c>
      <c r="Z36" s="526">
        <f t="shared" si="119"/>
        <v>0</v>
      </c>
      <c r="AA36" s="524"/>
      <c r="AB36" s="525" t="e">
        <f t="shared" si="7"/>
        <v>#DIV/0!</v>
      </c>
      <c r="AC36" s="526">
        <f t="shared" si="120"/>
        <v>0</v>
      </c>
      <c r="AD36" s="524"/>
      <c r="AE36" s="525" t="e">
        <f t="shared" si="8"/>
        <v>#DIV/0!</v>
      </c>
      <c r="AF36" s="526">
        <f t="shared" si="121"/>
        <v>0</v>
      </c>
      <c r="AG36" s="524"/>
      <c r="AH36" s="525" t="e">
        <f t="shared" si="9"/>
        <v>#DIV/0!</v>
      </c>
      <c r="AI36" s="526">
        <f t="shared" si="122"/>
        <v>0</v>
      </c>
      <c r="AJ36" s="524"/>
      <c r="AK36" s="525" t="e">
        <f t="shared" si="10"/>
        <v>#DIV/0!</v>
      </c>
      <c r="AL36" s="526">
        <f t="shared" si="123"/>
        <v>0</v>
      </c>
      <c r="AM36" s="524"/>
      <c r="AN36" s="525" t="e">
        <f t="shared" si="11"/>
        <v>#DIV/0!</v>
      </c>
      <c r="AO36" s="526">
        <f t="shared" si="124"/>
        <v>0</v>
      </c>
      <c r="AP36" s="524"/>
      <c r="AQ36" s="525" t="e">
        <f t="shared" si="12"/>
        <v>#DIV/0!</v>
      </c>
      <c r="AR36" s="526">
        <f t="shared" si="125"/>
        <v>0</v>
      </c>
      <c r="AS36" s="524"/>
      <c r="AT36" s="525" t="e">
        <f t="shared" si="13"/>
        <v>#DIV/0!</v>
      </c>
      <c r="AU36" s="526">
        <f t="shared" si="126"/>
        <v>0</v>
      </c>
      <c r="AV36" s="524"/>
      <c r="AW36" s="525" t="e">
        <f t="shared" si="14"/>
        <v>#DIV/0!</v>
      </c>
      <c r="AX36" s="526">
        <f t="shared" si="127"/>
        <v>0</v>
      </c>
      <c r="AY36" s="524"/>
      <c r="AZ36" s="525" t="e">
        <f t="shared" si="15"/>
        <v>#DIV/0!</v>
      </c>
      <c r="BA36" s="526">
        <f t="shared" si="128"/>
        <v>0</v>
      </c>
      <c r="BB36" s="524"/>
      <c r="BC36" s="525" t="e">
        <f t="shared" si="16"/>
        <v>#DIV/0!</v>
      </c>
      <c r="BD36" s="526">
        <f t="shared" si="129"/>
        <v>0</v>
      </c>
      <c r="BE36" s="524"/>
      <c r="BF36" s="525" t="e">
        <f t="shared" si="17"/>
        <v>#DIV/0!</v>
      </c>
      <c r="BG36" s="526">
        <f t="shared" si="130"/>
        <v>0</v>
      </c>
      <c r="BH36" s="524"/>
      <c r="BI36" s="525" t="e">
        <f t="shared" si="18"/>
        <v>#DIV/0!</v>
      </c>
      <c r="BJ36" s="526">
        <f t="shared" si="131"/>
        <v>0</v>
      </c>
      <c r="BK36" s="524"/>
      <c r="BL36" s="525" t="e">
        <f t="shared" si="19"/>
        <v>#DIV/0!</v>
      </c>
      <c r="BM36" s="526">
        <f t="shared" si="132"/>
        <v>0</v>
      </c>
      <c r="BN36" s="524"/>
      <c r="BO36" s="525" t="e">
        <f t="shared" si="20"/>
        <v>#DIV/0!</v>
      </c>
      <c r="BP36" s="526">
        <f t="shared" si="133"/>
        <v>0</v>
      </c>
      <c r="BQ36" s="524"/>
      <c r="BR36" s="525" t="e">
        <f t="shared" si="21"/>
        <v>#DIV/0!</v>
      </c>
      <c r="BS36" s="526">
        <f t="shared" si="134"/>
        <v>0</v>
      </c>
      <c r="BT36" s="524"/>
      <c r="BU36" s="525" t="e">
        <f t="shared" si="22"/>
        <v>#DIV/0!</v>
      </c>
      <c r="BV36" s="526">
        <f t="shared" si="135"/>
        <v>0</v>
      </c>
      <c r="BW36" s="524"/>
      <c r="BX36" s="525" t="e">
        <f t="shared" si="23"/>
        <v>#DIV/0!</v>
      </c>
      <c r="BY36" s="526">
        <f t="shared" si="136"/>
        <v>0</v>
      </c>
      <c r="BZ36" s="524"/>
      <c r="CA36" s="525" t="e">
        <f t="shared" si="24"/>
        <v>#DIV/0!</v>
      </c>
      <c r="CB36" s="526">
        <f t="shared" si="137"/>
        <v>0</v>
      </c>
      <c r="CC36" s="524"/>
      <c r="CD36" s="525" t="e">
        <f t="shared" si="25"/>
        <v>#DIV/0!</v>
      </c>
      <c r="CE36" s="526">
        <f t="shared" si="138"/>
        <v>0</v>
      </c>
      <c r="CF36" s="524"/>
      <c r="CG36" s="525" t="e">
        <f t="shared" si="26"/>
        <v>#DIV/0!</v>
      </c>
      <c r="CH36" s="526">
        <f t="shared" si="139"/>
        <v>0</v>
      </c>
      <c r="CI36" s="524"/>
      <c r="CJ36" s="525" t="e">
        <f t="shared" si="27"/>
        <v>#DIV/0!</v>
      </c>
      <c r="CK36" s="526">
        <f t="shared" si="140"/>
        <v>0</v>
      </c>
      <c r="CL36" s="524"/>
      <c r="CM36" s="525" t="e">
        <f t="shared" si="28"/>
        <v>#DIV/0!</v>
      </c>
      <c r="CN36" s="526">
        <f t="shared" si="141"/>
        <v>0</v>
      </c>
      <c r="CO36" s="524"/>
      <c r="CP36" s="525" t="e">
        <f t="shared" si="29"/>
        <v>#DIV/0!</v>
      </c>
      <c r="CQ36" s="526">
        <f t="shared" si="142"/>
        <v>0</v>
      </c>
      <c r="CR36" s="524"/>
      <c r="CS36" s="525" t="e">
        <f t="shared" si="30"/>
        <v>#DIV/0!</v>
      </c>
      <c r="CT36" s="526">
        <f t="shared" si="143"/>
        <v>0</v>
      </c>
      <c r="CU36" s="524"/>
      <c r="CV36" s="525" t="e">
        <f t="shared" si="31"/>
        <v>#DIV/0!</v>
      </c>
      <c r="CW36" s="526">
        <f t="shared" si="144"/>
        <v>0</v>
      </c>
      <c r="CX36" s="524"/>
      <c r="CY36" s="525" t="e">
        <f t="shared" si="32"/>
        <v>#DIV/0!</v>
      </c>
      <c r="CZ36" s="526">
        <f t="shared" si="145"/>
        <v>0</v>
      </c>
      <c r="DA36" s="524"/>
      <c r="DB36" s="525" t="e">
        <f t="shared" si="33"/>
        <v>#DIV/0!</v>
      </c>
      <c r="DC36" s="526">
        <f t="shared" si="146"/>
        <v>0</v>
      </c>
      <c r="DD36" s="524"/>
      <c r="DE36" s="525" t="e">
        <f t="shared" si="34"/>
        <v>#DIV/0!</v>
      </c>
      <c r="DF36" s="526">
        <f t="shared" si="147"/>
        <v>0</v>
      </c>
      <c r="DG36" s="524"/>
      <c r="DH36" s="525" t="e">
        <f t="shared" si="35"/>
        <v>#DIV/0!</v>
      </c>
      <c r="DI36" s="526">
        <f t="shared" si="203"/>
        <v>0</v>
      </c>
      <c r="DJ36" s="524"/>
      <c r="DK36" s="525" t="e">
        <f t="shared" si="36"/>
        <v>#DIV/0!</v>
      </c>
      <c r="DL36" s="526">
        <f t="shared" si="148"/>
        <v>0</v>
      </c>
      <c r="DM36" s="524"/>
      <c r="DN36" s="525" t="e">
        <f t="shared" si="37"/>
        <v>#DIV/0!</v>
      </c>
      <c r="DO36" s="526">
        <f t="shared" si="149"/>
        <v>0</v>
      </c>
      <c r="DP36" s="524"/>
      <c r="DQ36" s="525" t="e">
        <f t="shared" si="38"/>
        <v>#DIV/0!</v>
      </c>
      <c r="DR36" s="526">
        <f t="shared" si="150"/>
        <v>0</v>
      </c>
      <c r="DS36" s="524"/>
      <c r="DT36" s="525" t="e">
        <f t="shared" si="39"/>
        <v>#DIV/0!</v>
      </c>
      <c r="DU36" s="526">
        <f t="shared" si="151"/>
        <v>0</v>
      </c>
      <c r="DV36" s="524"/>
      <c r="DW36" s="525" t="e">
        <f t="shared" si="40"/>
        <v>#DIV/0!</v>
      </c>
      <c r="DX36" s="526">
        <f t="shared" si="152"/>
        <v>0</v>
      </c>
      <c r="DY36" s="524"/>
      <c r="DZ36" s="525" t="e">
        <f t="shared" si="41"/>
        <v>#DIV/0!</v>
      </c>
      <c r="EA36" s="526">
        <f t="shared" si="153"/>
        <v>0</v>
      </c>
      <c r="EB36" s="524"/>
      <c r="EC36" s="525" t="e">
        <f t="shared" si="42"/>
        <v>#DIV/0!</v>
      </c>
      <c r="ED36" s="526">
        <f t="shared" si="154"/>
        <v>0</v>
      </c>
      <c r="EE36" s="524"/>
      <c r="EF36" s="525" t="e">
        <f t="shared" si="43"/>
        <v>#DIV/0!</v>
      </c>
      <c r="EG36" s="526">
        <f t="shared" si="155"/>
        <v>0</v>
      </c>
      <c r="EH36" s="524"/>
      <c r="EI36" s="525" t="e">
        <f t="shared" si="44"/>
        <v>#DIV/0!</v>
      </c>
      <c r="EJ36" s="526">
        <f t="shared" si="156"/>
        <v>0</v>
      </c>
      <c r="EK36" s="524"/>
      <c r="EL36" s="525" t="e">
        <f t="shared" si="45"/>
        <v>#DIV/0!</v>
      </c>
      <c r="EM36" s="526">
        <f t="shared" si="157"/>
        <v>0</v>
      </c>
      <c r="EN36" s="524"/>
      <c r="EO36" s="525" t="e">
        <f t="shared" si="46"/>
        <v>#DIV/0!</v>
      </c>
      <c r="EP36" s="526">
        <f t="shared" si="158"/>
        <v>0</v>
      </c>
      <c r="EQ36" s="524"/>
      <c r="ER36" s="525" t="e">
        <f t="shared" si="47"/>
        <v>#DIV/0!</v>
      </c>
      <c r="ES36" s="526">
        <f t="shared" si="159"/>
        <v>0</v>
      </c>
      <c r="ET36" s="524"/>
      <c r="EU36" s="525" t="e">
        <f t="shared" si="48"/>
        <v>#DIV/0!</v>
      </c>
      <c r="EV36" s="526">
        <f t="shared" si="160"/>
        <v>0</v>
      </c>
      <c r="EW36" s="524"/>
      <c r="EX36" s="525" t="e">
        <f t="shared" si="49"/>
        <v>#DIV/0!</v>
      </c>
      <c r="EY36" s="526">
        <f t="shared" si="161"/>
        <v>0</v>
      </c>
      <c r="EZ36" s="524"/>
      <c r="FA36" s="525" t="e">
        <f t="shared" si="50"/>
        <v>#DIV/0!</v>
      </c>
      <c r="FB36" s="526">
        <f t="shared" si="162"/>
        <v>0</v>
      </c>
      <c r="FC36" s="524"/>
      <c r="FD36" s="525" t="e">
        <f t="shared" si="51"/>
        <v>#DIV/0!</v>
      </c>
      <c r="FE36" s="526">
        <f t="shared" si="163"/>
        <v>0</v>
      </c>
      <c r="FF36" s="524"/>
      <c r="FG36" s="525" t="e">
        <f t="shared" si="52"/>
        <v>#DIV/0!</v>
      </c>
      <c r="FH36" s="526">
        <f t="shared" si="164"/>
        <v>0</v>
      </c>
      <c r="FI36" s="524"/>
      <c r="FJ36" s="525" t="e">
        <f t="shared" si="53"/>
        <v>#DIV/0!</v>
      </c>
      <c r="FK36" s="526">
        <f t="shared" si="165"/>
        <v>0</v>
      </c>
      <c r="FL36" s="524"/>
      <c r="FM36" s="525" t="e">
        <f t="shared" si="54"/>
        <v>#DIV/0!</v>
      </c>
      <c r="FN36" s="526">
        <f t="shared" si="166"/>
        <v>0</v>
      </c>
      <c r="FO36" s="524"/>
      <c r="FP36" s="525" t="e">
        <f t="shared" si="55"/>
        <v>#DIV/0!</v>
      </c>
      <c r="FQ36" s="526">
        <f t="shared" si="167"/>
        <v>0</v>
      </c>
      <c r="FR36" s="524"/>
      <c r="FS36" s="525" t="e">
        <f t="shared" si="56"/>
        <v>#DIV/0!</v>
      </c>
      <c r="FT36" s="526">
        <f t="shared" si="168"/>
        <v>0</v>
      </c>
      <c r="FU36" s="524"/>
      <c r="FV36" s="525" t="e">
        <f t="shared" si="57"/>
        <v>#DIV/0!</v>
      </c>
      <c r="FW36" s="526">
        <f t="shared" si="169"/>
        <v>0</v>
      </c>
      <c r="FX36" s="524"/>
      <c r="FY36" s="525" t="e">
        <f t="shared" si="58"/>
        <v>#DIV/0!</v>
      </c>
      <c r="FZ36" s="526">
        <f t="shared" si="170"/>
        <v>0</v>
      </c>
      <c r="GA36" s="524"/>
      <c r="GB36" s="525" t="e">
        <f t="shared" si="59"/>
        <v>#DIV/0!</v>
      </c>
      <c r="GC36" s="526">
        <f t="shared" si="171"/>
        <v>0</v>
      </c>
      <c r="GD36" s="524"/>
      <c r="GE36" s="525" t="e">
        <f t="shared" si="60"/>
        <v>#DIV/0!</v>
      </c>
      <c r="GF36" s="526">
        <f t="shared" si="172"/>
        <v>0</v>
      </c>
      <c r="GG36" s="524"/>
      <c r="GH36" s="525" t="e">
        <f t="shared" si="61"/>
        <v>#DIV/0!</v>
      </c>
      <c r="GI36" s="526">
        <f t="shared" si="173"/>
        <v>0</v>
      </c>
      <c r="GJ36" s="524"/>
      <c r="GK36" s="525" t="e">
        <f t="shared" si="62"/>
        <v>#DIV/0!</v>
      </c>
      <c r="GL36" s="526">
        <f t="shared" si="174"/>
        <v>0</v>
      </c>
      <c r="GM36" s="524"/>
      <c r="GN36" s="525" t="e">
        <f t="shared" si="63"/>
        <v>#DIV/0!</v>
      </c>
      <c r="GO36" s="526">
        <f t="shared" si="175"/>
        <v>0</v>
      </c>
      <c r="GP36" s="524"/>
      <c r="GQ36" s="525" t="e">
        <f t="shared" si="64"/>
        <v>#DIV/0!</v>
      </c>
      <c r="GR36" s="526">
        <f t="shared" si="176"/>
        <v>0</v>
      </c>
      <c r="GS36" s="524"/>
      <c r="GT36" s="525" t="e">
        <f t="shared" si="65"/>
        <v>#DIV/0!</v>
      </c>
      <c r="GU36" s="526">
        <f t="shared" si="177"/>
        <v>0</v>
      </c>
      <c r="GV36" s="524"/>
      <c r="GW36" s="525" t="e">
        <f t="shared" si="66"/>
        <v>#DIV/0!</v>
      </c>
      <c r="GX36" s="526">
        <f t="shared" si="178"/>
        <v>0</v>
      </c>
      <c r="GY36" s="524"/>
      <c r="GZ36" s="525" t="e">
        <f t="shared" si="67"/>
        <v>#DIV/0!</v>
      </c>
      <c r="HA36" s="526">
        <f t="shared" si="179"/>
        <v>0</v>
      </c>
      <c r="HB36" s="524"/>
      <c r="HC36" s="525" t="e">
        <f t="shared" si="68"/>
        <v>#DIV/0!</v>
      </c>
      <c r="HD36" s="526">
        <f t="shared" si="180"/>
        <v>0</v>
      </c>
      <c r="HE36" s="524"/>
      <c r="HF36" s="525" t="e">
        <f t="shared" si="69"/>
        <v>#DIV/0!</v>
      </c>
      <c r="HG36" s="526">
        <f t="shared" si="181"/>
        <v>0</v>
      </c>
      <c r="HH36" s="524"/>
      <c r="HI36" s="525" t="e">
        <f t="shared" si="70"/>
        <v>#DIV/0!</v>
      </c>
      <c r="HJ36" s="526">
        <f t="shared" si="182"/>
        <v>0</v>
      </c>
      <c r="HK36" s="524"/>
      <c r="HL36" s="525" t="e">
        <f t="shared" si="71"/>
        <v>#DIV/0!</v>
      </c>
      <c r="HM36" s="526">
        <f t="shared" si="183"/>
        <v>0</v>
      </c>
      <c r="HN36" s="524"/>
      <c r="HO36" s="525" t="e">
        <f t="shared" si="72"/>
        <v>#DIV/0!</v>
      </c>
      <c r="HP36" s="526">
        <f t="shared" si="184"/>
        <v>0</v>
      </c>
      <c r="HQ36" s="524"/>
      <c r="HR36" s="525" t="e">
        <f t="shared" si="73"/>
        <v>#DIV/0!</v>
      </c>
      <c r="HS36" s="526">
        <f t="shared" si="185"/>
        <v>0</v>
      </c>
      <c r="HT36" s="524"/>
      <c r="HU36" s="525" t="e">
        <f t="shared" si="74"/>
        <v>#DIV/0!</v>
      </c>
      <c r="HV36" s="526">
        <f t="shared" si="186"/>
        <v>0</v>
      </c>
      <c r="HW36" s="524"/>
      <c r="HX36" s="525" t="e">
        <f t="shared" si="75"/>
        <v>#DIV/0!</v>
      </c>
      <c r="HY36" s="526">
        <f t="shared" si="187"/>
        <v>0</v>
      </c>
      <c r="HZ36" s="524"/>
      <c r="IA36" s="525" t="e">
        <f t="shared" si="76"/>
        <v>#DIV/0!</v>
      </c>
      <c r="IB36" s="526">
        <f t="shared" si="188"/>
        <v>0</v>
      </c>
      <c r="IC36" s="524"/>
      <c r="ID36" s="525" t="e">
        <f t="shared" si="77"/>
        <v>#DIV/0!</v>
      </c>
      <c r="IE36" s="526">
        <f t="shared" si="189"/>
        <v>0</v>
      </c>
      <c r="IF36" s="524"/>
      <c r="IG36" s="525" t="e">
        <f t="shared" si="78"/>
        <v>#DIV/0!</v>
      </c>
      <c r="IH36" s="526">
        <f t="shared" si="190"/>
        <v>0</v>
      </c>
      <c r="II36" s="524"/>
      <c r="IJ36" s="525" t="e">
        <f t="shared" si="79"/>
        <v>#DIV/0!</v>
      </c>
      <c r="IK36" s="526">
        <f t="shared" si="191"/>
        <v>0</v>
      </c>
      <c r="IL36" s="524"/>
      <c r="IM36" s="525" t="e">
        <f t="shared" si="80"/>
        <v>#DIV/0!</v>
      </c>
      <c r="IN36" s="526">
        <f t="shared" si="192"/>
        <v>0</v>
      </c>
      <c r="IO36" s="524"/>
      <c r="IP36" s="525" t="e">
        <f t="shared" si="81"/>
        <v>#DIV/0!</v>
      </c>
      <c r="IQ36" s="526">
        <f t="shared" si="193"/>
        <v>0</v>
      </c>
      <c r="IR36" s="524"/>
      <c r="IS36" s="525" t="e">
        <f t="shared" si="82"/>
        <v>#DIV/0!</v>
      </c>
      <c r="IT36" s="526">
        <f t="shared" si="194"/>
        <v>0</v>
      </c>
      <c r="IU36" s="524"/>
      <c r="IV36" s="525" t="e">
        <f t="shared" si="83"/>
        <v>#DIV/0!</v>
      </c>
      <c r="IW36" s="526">
        <f t="shared" si="195"/>
        <v>0</v>
      </c>
      <c r="IX36" s="524"/>
      <c r="IY36" s="525" t="e">
        <f t="shared" si="84"/>
        <v>#DIV/0!</v>
      </c>
      <c r="IZ36" s="526">
        <f t="shared" si="196"/>
        <v>0</v>
      </c>
      <c r="JA36" s="524"/>
      <c r="JB36" s="525" t="e">
        <f t="shared" si="85"/>
        <v>#DIV/0!</v>
      </c>
      <c r="JC36" s="526">
        <f t="shared" si="197"/>
        <v>0</v>
      </c>
      <c r="JD36" s="524"/>
      <c r="JE36" s="525" t="e">
        <f t="shared" si="86"/>
        <v>#DIV/0!</v>
      </c>
      <c r="JF36" s="526">
        <f t="shared" si="198"/>
        <v>0</v>
      </c>
      <c r="JG36" s="524"/>
      <c r="JH36" s="525" t="e">
        <f t="shared" si="87"/>
        <v>#DIV/0!</v>
      </c>
      <c r="JI36" s="526">
        <f t="shared" si="199"/>
        <v>0</v>
      </c>
      <c r="JJ36" s="524"/>
      <c r="JK36" s="526" t="str">
        <f t="shared" si="88"/>
        <v>0</v>
      </c>
      <c r="JL36" s="526" t="str">
        <f t="shared" si="89"/>
        <v>0</v>
      </c>
      <c r="JM36" s="524"/>
      <c r="JN36" s="526" t="str">
        <f t="shared" si="90"/>
        <v>0</v>
      </c>
      <c r="JO36" s="526" t="str">
        <f t="shared" si="91"/>
        <v>0</v>
      </c>
      <c r="JP36" s="524"/>
      <c r="JQ36" s="526" t="str">
        <f t="shared" si="92"/>
        <v>0</v>
      </c>
      <c r="JR36" s="526" t="str">
        <f t="shared" si="93"/>
        <v>0</v>
      </c>
      <c r="JS36" s="524"/>
      <c r="JT36" s="526" t="str">
        <f t="shared" si="94"/>
        <v>0</v>
      </c>
      <c r="JU36" s="526" t="str">
        <f t="shared" si="95"/>
        <v>0</v>
      </c>
      <c r="JV36" s="524"/>
      <c r="JW36" s="526" t="str">
        <f t="shared" si="96"/>
        <v>0</v>
      </c>
      <c r="JX36" s="526" t="str">
        <f t="shared" si="97"/>
        <v>0</v>
      </c>
      <c r="JY36" s="524"/>
      <c r="JZ36" s="526" t="str">
        <f t="shared" si="98"/>
        <v>0</v>
      </c>
      <c r="KA36" s="526" t="str">
        <f t="shared" si="99"/>
        <v>0</v>
      </c>
      <c r="KB36" s="524"/>
      <c r="KC36" s="526" t="str">
        <f t="shared" si="100"/>
        <v>0</v>
      </c>
      <c r="KD36" s="526" t="str">
        <f t="shared" si="101"/>
        <v>0</v>
      </c>
      <c r="KE36" s="524"/>
      <c r="KF36" s="526" t="str">
        <f t="shared" si="102"/>
        <v>0</v>
      </c>
      <c r="KG36" s="526" t="str">
        <f t="shared" si="103"/>
        <v>0</v>
      </c>
      <c r="KH36" s="524"/>
      <c r="KI36" s="526" t="str">
        <f t="shared" si="104"/>
        <v>0</v>
      </c>
      <c r="KJ36" s="526" t="str">
        <f t="shared" si="105"/>
        <v>0</v>
      </c>
      <c r="KK36" s="524"/>
      <c r="KL36" s="526" t="str">
        <f t="shared" si="106"/>
        <v>0</v>
      </c>
      <c r="KM36" s="526" t="str">
        <f t="shared" si="107"/>
        <v>0</v>
      </c>
      <c r="KN36" s="524"/>
      <c r="KO36" s="526" t="str">
        <f t="shared" si="108"/>
        <v>0</v>
      </c>
      <c r="KP36" s="526" t="str">
        <f t="shared" si="109"/>
        <v>0</v>
      </c>
      <c r="KQ36" s="524"/>
      <c r="KR36" s="526" t="str">
        <f t="shared" si="110"/>
        <v>0</v>
      </c>
      <c r="KS36" s="526" t="str">
        <f t="shared" si="111"/>
        <v>0</v>
      </c>
      <c r="KT36" s="526">
        <f t="shared" si="201"/>
        <v>0</v>
      </c>
      <c r="KU36" s="526">
        <f t="shared" si="202"/>
        <v>0</v>
      </c>
      <c r="KV36" s="262">
        <f t="shared" si="204"/>
        <v>0</v>
      </c>
    </row>
    <row r="37" spans="1:308" ht="15" customHeight="1">
      <c r="A37" s="263">
        <f t="shared" si="200"/>
        <v>45929</v>
      </c>
      <c r="B37" s="264" t="str">
        <f>+Report1!B37</f>
        <v>STOP</v>
      </c>
      <c r="C37" s="264" t="str">
        <f>+Report1!C37</f>
        <v>12</v>
      </c>
      <c r="D37" s="265">
        <f>+Report1!P37</f>
        <v>0</v>
      </c>
      <c r="E37" s="556">
        <f>+Report1!R37</f>
        <v>0</v>
      </c>
      <c r="F37" s="524"/>
      <c r="G37" s="525" t="e">
        <f t="shared" si="0"/>
        <v>#DIV/0!</v>
      </c>
      <c r="H37" s="526">
        <f t="shared" si="113"/>
        <v>0</v>
      </c>
      <c r="I37" s="524"/>
      <c r="J37" s="525" t="e">
        <f t="shared" si="1"/>
        <v>#DIV/0!</v>
      </c>
      <c r="K37" s="526">
        <f t="shared" si="114"/>
        <v>0</v>
      </c>
      <c r="L37" s="524"/>
      <c r="M37" s="525" t="e">
        <f t="shared" si="2"/>
        <v>#DIV/0!</v>
      </c>
      <c r="N37" s="526">
        <f t="shared" si="115"/>
        <v>0</v>
      </c>
      <c r="O37" s="524"/>
      <c r="P37" s="525" t="e">
        <f t="shared" si="3"/>
        <v>#DIV/0!</v>
      </c>
      <c r="Q37" s="526">
        <f t="shared" si="116"/>
        <v>0</v>
      </c>
      <c r="R37" s="524"/>
      <c r="S37" s="525" t="e">
        <f t="shared" si="4"/>
        <v>#DIV/0!</v>
      </c>
      <c r="T37" s="526">
        <f t="shared" si="117"/>
        <v>0</v>
      </c>
      <c r="U37" s="524"/>
      <c r="V37" s="525" t="e">
        <f t="shared" si="5"/>
        <v>#DIV/0!</v>
      </c>
      <c r="W37" s="526">
        <f t="shared" si="118"/>
        <v>0</v>
      </c>
      <c r="X37" s="524"/>
      <c r="Y37" s="525" t="e">
        <f t="shared" si="6"/>
        <v>#DIV/0!</v>
      </c>
      <c r="Z37" s="526">
        <f t="shared" si="119"/>
        <v>0</v>
      </c>
      <c r="AA37" s="524"/>
      <c r="AB37" s="525" t="e">
        <f t="shared" si="7"/>
        <v>#DIV/0!</v>
      </c>
      <c r="AC37" s="526">
        <f t="shared" si="120"/>
        <v>0</v>
      </c>
      <c r="AD37" s="524"/>
      <c r="AE37" s="525" t="e">
        <f t="shared" si="8"/>
        <v>#DIV/0!</v>
      </c>
      <c r="AF37" s="526">
        <f t="shared" si="121"/>
        <v>0</v>
      </c>
      <c r="AG37" s="524"/>
      <c r="AH37" s="525" t="e">
        <f t="shared" si="9"/>
        <v>#DIV/0!</v>
      </c>
      <c r="AI37" s="526">
        <f t="shared" si="122"/>
        <v>0</v>
      </c>
      <c r="AJ37" s="524">
        <v>26.437499999999993</v>
      </c>
      <c r="AK37" s="525" t="e">
        <f t="shared" si="10"/>
        <v>#DIV/0!</v>
      </c>
      <c r="AL37" s="526">
        <f t="shared" si="123"/>
        <v>0</v>
      </c>
      <c r="AM37" s="524"/>
      <c r="AN37" s="525" t="e">
        <f t="shared" si="11"/>
        <v>#DIV/0!</v>
      </c>
      <c r="AO37" s="526">
        <f t="shared" si="124"/>
        <v>0</v>
      </c>
      <c r="AP37" s="524"/>
      <c r="AQ37" s="525" t="e">
        <f t="shared" si="12"/>
        <v>#DIV/0!</v>
      </c>
      <c r="AR37" s="526">
        <f t="shared" si="125"/>
        <v>0</v>
      </c>
      <c r="AS37" s="524"/>
      <c r="AT37" s="525" t="e">
        <f t="shared" si="13"/>
        <v>#DIV/0!</v>
      </c>
      <c r="AU37" s="526">
        <f t="shared" si="126"/>
        <v>0</v>
      </c>
      <c r="AV37" s="524"/>
      <c r="AW37" s="525" t="e">
        <f t="shared" si="14"/>
        <v>#DIV/0!</v>
      </c>
      <c r="AX37" s="526">
        <f t="shared" si="127"/>
        <v>0</v>
      </c>
      <c r="AY37" s="524"/>
      <c r="AZ37" s="525" t="e">
        <f t="shared" si="15"/>
        <v>#DIV/0!</v>
      </c>
      <c r="BA37" s="526">
        <f t="shared" si="128"/>
        <v>0</v>
      </c>
      <c r="BB37" s="524"/>
      <c r="BC37" s="525" t="e">
        <f t="shared" si="16"/>
        <v>#DIV/0!</v>
      </c>
      <c r="BD37" s="526">
        <f t="shared" si="129"/>
        <v>0</v>
      </c>
      <c r="BE37" s="524"/>
      <c r="BF37" s="525" t="e">
        <f t="shared" si="17"/>
        <v>#DIV/0!</v>
      </c>
      <c r="BG37" s="526">
        <f t="shared" si="130"/>
        <v>0</v>
      </c>
      <c r="BH37" s="524"/>
      <c r="BI37" s="525" t="e">
        <f t="shared" si="18"/>
        <v>#DIV/0!</v>
      </c>
      <c r="BJ37" s="526">
        <f t="shared" si="131"/>
        <v>0</v>
      </c>
      <c r="BK37" s="524"/>
      <c r="BL37" s="525" t="e">
        <f t="shared" si="19"/>
        <v>#DIV/0!</v>
      </c>
      <c r="BM37" s="526">
        <f t="shared" si="132"/>
        <v>0</v>
      </c>
      <c r="BN37" s="524"/>
      <c r="BO37" s="525" t="e">
        <f t="shared" si="20"/>
        <v>#DIV/0!</v>
      </c>
      <c r="BP37" s="526">
        <f t="shared" si="133"/>
        <v>0</v>
      </c>
      <c r="BQ37" s="524"/>
      <c r="BR37" s="525" t="e">
        <f t="shared" si="21"/>
        <v>#DIV/0!</v>
      </c>
      <c r="BS37" s="526">
        <f t="shared" si="134"/>
        <v>0</v>
      </c>
      <c r="BT37" s="524"/>
      <c r="BU37" s="525" t="e">
        <f t="shared" si="22"/>
        <v>#DIV/0!</v>
      </c>
      <c r="BV37" s="526">
        <f t="shared" si="135"/>
        <v>0</v>
      </c>
      <c r="BW37" s="524"/>
      <c r="BX37" s="525" t="e">
        <f t="shared" si="23"/>
        <v>#DIV/0!</v>
      </c>
      <c r="BY37" s="526">
        <f t="shared" si="136"/>
        <v>0</v>
      </c>
      <c r="BZ37" s="524"/>
      <c r="CA37" s="525" t="e">
        <f t="shared" si="24"/>
        <v>#DIV/0!</v>
      </c>
      <c r="CB37" s="526">
        <f t="shared" si="137"/>
        <v>0</v>
      </c>
      <c r="CC37" s="524"/>
      <c r="CD37" s="525" t="e">
        <f t="shared" si="25"/>
        <v>#DIV/0!</v>
      </c>
      <c r="CE37" s="526">
        <f t="shared" si="138"/>
        <v>0</v>
      </c>
      <c r="CF37" s="524"/>
      <c r="CG37" s="525" t="e">
        <f t="shared" si="26"/>
        <v>#DIV/0!</v>
      </c>
      <c r="CH37" s="526">
        <f t="shared" si="139"/>
        <v>0</v>
      </c>
      <c r="CI37" s="524"/>
      <c r="CJ37" s="525" t="e">
        <f t="shared" si="27"/>
        <v>#DIV/0!</v>
      </c>
      <c r="CK37" s="526">
        <f t="shared" si="140"/>
        <v>0</v>
      </c>
      <c r="CL37" s="524"/>
      <c r="CM37" s="525" t="e">
        <f t="shared" si="28"/>
        <v>#DIV/0!</v>
      </c>
      <c r="CN37" s="526">
        <f t="shared" si="141"/>
        <v>0</v>
      </c>
      <c r="CO37" s="524"/>
      <c r="CP37" s="525" t="e">
        <f t="shared" si="29"/>
        <v>#DIV/0!</v>
      </c>
      <c r="CQ37" s="526">
        <f t="shared" si="142"/>
        <v>0</v>
      </c>
      <c r="CR37" s="524"/>
      <c r="CS37" s="525" t="e">
        <f t="shared" si="30"/>
        <v>#DIV/0!</v>
      </c>
      <c r="CT37" s="526">
        <f t="shared" si="143"/>
        <v>0</v>
      </c>
      <c r="CU37" s="524"/>
      <c r="CV37" s="525" t="e">
        <f t="shared" si="31"/>
        <v>#DIV/0!</v>
      </c>
      <c r="CW37" s="526">
        <f t="shared" si="144"/>
        <v>0</v>
      </c>
      <c r="CX37" s="524"/>
      <c r="CY37" s="525" t="e">
        <f t="shared" si="32"/>
        <v>#DIV/0!</v>
      </c>
      <c r="CZ37" s="526">
        <f t="shared" si="145"/>
        <v>0</v>
      </c>
      <c r="DA37" s="524"/>
      <c r="DB37" s="525" t="e">
        <f t="shared" si="33"/>
        <v>#DIV/0!</v>
      </c>
      <c r="DC37" s="526">
        <f t="shared" si="146"/>
        <v>0</v>
      </c>
      <c r="DD37" s="524"/>
      <c r="DE37" s="525" t="e">
        <f t="shared" si="34"/>
        <v>#DIV/0!</v>
      </c>
      <c r="DF37" s="526">
        <f t="shared" si="147"/>
        <v>0</v>
      </c>
      <c r="DG37" s="524"/>
      <c r="DH37" s="525" t="e">
        <f t="shared" si="35"/>
        <v>#DIV/0!</v>
      </c>
      <c r="DI37" s="526">
        <f t="shared" si="203"/>
        <v>0</v>
      </c>
      <c r="DJ37" s="524"/>
      <c r="DK37" s="525" t="e">
        <f t="shared" si="36"/>
        <v>#DIV/0!</v>
      </c>
      <c r="DL37" s="526">
        <f t="shared" si="148"/>
        <v>0</v>
      </c>
      <c r="DM37" s="524"/>
      <c r="DN37" s="525" t="e">
        <f t="shared" si="37"/>
        <v>#DIV/0!</v>
      </c>
      <c r="DO37" s="526">
        <f t="shared" si="149"/>
        <v>0</v>
      </c>
      <c r="DP37" s="524"/>
      <c r="DQ37" s="525" t="e">
        <f t="shared" si="38"/>
        <v>#DIV/0!</v>
      </c>
      <c r="DR37" s="526">
        <f t="shared" si="150"/>
        <v>0</v>
      </c>
      <c r="DS37" s="524"/>
      <c r="DT37" s="525" t="e">
        <f t="shared" si="39"/>
        <v>#DIV/0!</v>
      </c>
      <c r="DU37" s="526">
        <f t="shared" si="151"/>
        <v>0</v>
      </c>
      <c r="DV37" s="524"/>
      <c r="DW37" s="525" t="e">
        <f t="shared" si="40"/>
        <v>#DIV/0!</v>
      </c>
      <c r="DX37" s="526">
        <f t="shared" si="152"/>
        <v>0</v>
      </c>
      <c r="DY37" s="524"/>
      <c r="DZ37" s="525" t="e">
        <f t="shared" si="41"/>
        <v>#DIV/0!</v>
      </c>
      <c r="EA37" s="526">
        <f t="shared" si="153"/>
        <v>0</v>
      </c>
      <c r="EB37" s="524"/>
      <c r="EC37" s="525" t="e">
        <f t="shared" si="42"/>
        <v>#DIV/0!</v>
      </c>
      <c r="ED37" s="526">
        <f t="shared" si="154"/>
        <v>0</v>
      </c>
      <c r="EE37" s="524"/>
      <c r="EF37" s="525" t="e">
        <f t="shared" si="43"/>
        <v>#DIV/0!</v>
      </c>
      <c r="EG37" s="526">
        <f t="shared" si="155"/>
        <v>0</v>
      </c>
      <c r="EH37" s="524"/>
      <c r="EI37" s="525" t="e">
        <f t="shared" si="44"/>
        <v>#DIV/0!</v>
      </c>
      <c r="EJ37" s="526">
        <f t="shared" si="156"/>
        <v>0</v>
      </c>
      <c r="EK37" s="524"/>
      <c r="EL37" s="525" t="e">
        <f t="shared" si="45"/>
        <v>#DIV/0!</v>
      </c>
      <c r="EM37" s="526">
        <f t="shared" si="157"/>
        <v>0</v>
      </c>
      <c r="EN37" s="524"/>
      <c r="EO37" s="525" t="e">
        <f t="shared" si="46"/>
        <v>#DIV/0!</v>
      </c>
      <c r="EP37" s="526">
        <f t="shared" si="158"/>
        <v>0</v>
      </c>
      <c r="EQ37" s="524"/>
      <c r="ER37" s="525" t="e">
        <f t="shared" si="47"/>
        <v>#DIV/0!</v>
      </c>
      <c r="ES37" s="526">
        <f t="shared" si="159"/>
        <v>0</v>
      </c>
      <c r="ET37" s="524"/>
      <c r="EU37" s="525" t="e">
        <f t="shared" si="48"/>
        <v>#DIV/0!</v>
      </c>
      <c r="EV37" s="526">
        <f t="shared" si="160"/>
        <v>0</v>
      </c>
      <c r="EW37" s="524"/>
      <c r="EX37" s="525" t="e">
        <f t="shared" si="49"/>
        <v>#DIV/0!</v>
      </c>
      <c r="EY37" s="526">
        <f t="shared" si="161"/>
        <v>0</v>
      </c>
      <c r="EZ37" s="524"/>
      <c r="FA37" s="525" t="e">
        <f t="shared" si="50"/>
        <v>#DIV/0!</v>
      </c>
      <c r="FB37" s="526">
        <f t="shared" si="162"/>
        <v>0</v>
      </c>
      <c r="FC37" s="524"/>
      <c r="FD37" s="525" t="e">
        <f t="shared" si="51"/>
        <v>#DIV/0!</v>
      </c>
      <c r="FE37" s="526">
        <f t="shared" si="163"/>
        <v>0</v>
      </c>
      <c r="FF37" s="524"/>
      <c r="FG37" s="525" t="e">
        <f t="shared" si="52"/>
        <v>#DIV/0!</v>
      </c>
      <c r="FH37" s="526">
        <f t="shared" si="164"/>
        <v>0</v>
      </c>
      <c r="FI37" s="524"/>
      <c r="FJ37" s="525" t="e">
        <f t="shared" si="53"/>
        <v>#DIV/0!</v>
      </c>
      <c r="FK37" s="526">
        <f t="shared" si="165"/>
        <v>0</v>
      </c>
      <c r="FL37" s="524"/>
      <c r="FM37" s="525" t="e">
        <f t="shared" si="54"/>
        <v>#DIV/0!</v>
      </c>
      <c r="FN37" s="526">
        <f t="shared" si="166"/>
        <v>0</v>
      </c>
      <c r="FO37" s="524"/>
      <c r="FP37" s="525" t="e">
        <f t="shared" si="55"/>
        <v>#DIV/0!</v>
      </c>
      <c r="FQ37" s="526">
        <f t="shared" si="167"/>
        <v>0</v>
      </c>
      <c r="FR37" s="524"/>
      <c r="FS37" s="525" t="e">
        <f t="shared" si="56"/>
        <v>#DIV/0!</v>
      </c>
      <c r="FT37" s="526">
        <f t="shared" si="168"/>
        <v>0</v>
      </c>
      <c r="FU37" s="524"/>
      <c r="FV37" s="525" t="e">
        <f t="shared" si="57"/>
        <v>#DIV/0!</v>
      </c>
      <c r="FW37" s="526">
        <f t="shared" si="169"/>
        <v>0</v>
      </c>
      <c r="FX37" s="524"/>
      <c r="FY37" s="525" t="e">
        <f t="shared" si="58"/>
        <v>#DIV/0!</v>
      </c>
      <c r="FZ37" s="526">
        <f t="shared" si="170"/>
        <v>0</v>
      </c>
      <c r="GA37" s="524"/>
      <c r="GB37" s="525" t="e">
        <f t="shared" si="59"/>
        <v>#DIV/0!</v>
      </c>
      <c r="GC37" s="526">
        <f t="shared" si="171"/>
        <v>0</v>
      </c>
      <c r="GD37" s="524"/>
      <c r="GE37" s="525" t="e">
        <f t="shared" si="60"/>
        <v>#DIV/0!</v>
      </c>
      <c r="GF37" s="526">
        <f t="shared" si="172"/>
        <v>0</v>
      </c>
      <c r="GG37" s="524"/>
      <c r="GH37" s="525" t="e">
        <f t="shared" si="61"/>
        <v>#DIV/0!</v>
      </c>
      <c r="GI37" s="526">
        <f t="shared" si="173"/>
        <v>0</v>
      </c>
      <c r="GJ37" s="524"/>
      <c r="GK37" s="525" t="e">
        <f t="shared" si="62"/>
        <v>#DIV/0!</v>
      </c>
      <c r="GL37" s="526">
        <f t="shared" si="174"/>
        <v>0</v>
      </c>
      <c r="GM37" s="524"/>
      <c r="GN37" s="525" t="e">
        <f t="shared" si="63"/>
        <v>#DIV/0!</v>
      </c>
      <c r="GO37" s="526">
        <f t="shared" si="175"/>
        <v>0</v>
      </c>
      <c r="GP37" s="524"/>
      <c r="GQ37" s="525" t="e">
        <f t="shared" si="64"/>
        <v>#DIV/0!</v>
      </c>
      <c r="GR37" s="526">
        <f t="shared" si="176"/>
        <v>0</v>
      </c>
      <c r="GS37" s="524"/>
      <c r="GT37" s="525" t="e">
        <f t="shared" si="65"/>
        <v>#DIV/0!</v>
      </c>
      <c r="GU37" s="526">
        <f t="shared" si="177"/>
        <v>0</v>
      </c>
      <c r="GV37" s="524"/>
      <c r="GW37" s="525" t="e">
        <f t="shared" si="66"/>
        <v>#DIV/0!</v>
      </c>
      <c r="GX37" s="526">
        <f t="shared" si="178"/>
        <v>0</v>
      </c>
      <c r="GY37" s="524"/>
      <c r="GZ37" s="525" t="e">
        <f t="shared" si="67"/>
        <v>#DIV/0!</v>
      </c>
      <c r="HA37" s="526">
        <f t="shared" si="179"/>
        <v>0</v>
      </c>
      <c r="HB37" s="524"/>
      <c r="HC37" s="525" t="e">
        <f t="shared" si="68"/>
        <v>#DIV/0!</v>
      </c>
      <c r="HD37" s="526">
        <f t="shared" si="180"/>
        <v>0</v>
      </c>
      <c r="HE37" s="524"/>
      <c r="HF37" s="525" t="e">
        <f t="shared" si="69"/>
        <v>#DIV/0!</v>
      </c>
      <c r="HG37" s="526">
        <f t="shared" si="181"/>
        <v>0</v>
      </c>
      <c r="HH37" s="524"/>
      <c r="HI37" s="525" t="e">
        <f t="shared" si="70"/>
        <v>#DIV/0!</v>
      </c>
      <c r="HJ37" s="526">
        <f t="shared" si="182"/>
        <v>0</v>
      </c>
      <c r="HK37" s="524"/>
      <c r="HL37" s="525" t="e">
        <f t="shared" si="71"/>
        <v>#DIV/0!</v>
      </c>
      <c r="HM37" s="526">
        <f t="shared" si="183"/>
        <v>0</v>
      </c>
      <c r="HN37" s="524"/>
      <c r="HO37" s="525" t="e">
        <f t="shared" si="72"/>
        <v>#DIV/0!</v>
      </c>
      <c r="HP37" s="526">
        <f t="shared" si="184"/>
        <v>0</v>
      </c>
      <c r="HQ37" s="524"/>
      <c r="HR37" s="525" t="e">
        <f t="shared" si="73"/>
        <v>#DIV/0!</v>
      </c>
      <c r="HS37" s="526">
        <f t="shared" si="185"/>
        <v>0</v>
      </c>
      <c r="HT37" s="524"/>
      <c r="HU37" s="525" t="e">
        <f t="shared" si="74"/>
        <v>#DIV/0!</v>
      </c>
      <c r="HV37" s="526">
        <f t="shared" si="186"/>
        <v>0</v>
      </c>
      <c r="HW37" s="524"/>
      <c r="HX37" s="525" t="e">
        <f t="shared" si="75"/>
        <v>#DIV/0!</v>
      </c>
      <c r="HY37" s="526">
        <f t="shared" si="187"/>
        <v>0</v>
      </c>
      <c r="HZ37" s="524"/>
      <c r="IA37" s="525" t="e">
        <f t="shared" si="76"/>
        <v>#DIV/0!</v>
      </c>
      <c r="IB37" s="526">
        <f t="shared" si="188"/>
        <v>0</v>
      </c>
      <c r="IC37" s="524"/>
      <c r="ID37" s="525" t="e">
        <f t="shared" si="77"/>
        <v>#DIV/0!</v>
      </c>
      <c r="IE37" s="526">
        <f t="shared" si="189"/>
        <v>0</v>
      </c>
      <c r="IF37" s="524"/>
      <c r="IG37" s="525" t="e">
        <f t="shared" si="78"/>
        <v>#DIV/0!</v>
      </c>
      <c r="IH37" s="526">
        <f t="shared" si="190"/>
        <v>0</v>
      </c>
      <c r="II37" s="524"/>
      <c r="IJ37" s="525" t="e">
        <f t="shared" si="79"/>
        <v>#DIV/0!</v>
      </c>
      <c r="IK37" s="526">
        <f t="shared" si="191"/>
        <v>0</v>
      </c>
      <c r="IL37" s="524"/>
      <c r="IM37" s="525" t="e">
        <f t="shared" si="80"/>
        <v>#DIV/0!</v>
      </c>
      <c r="IN37" s="526">
        <f t="shared" si="192"/>
        <v>0</v>
      </c>
      <c r="IO37" s="524"/>
      <c r="IP37" s="525" t="e">
        <f t="shared" si="81"/>
        <v>#DIV/0!</v>
      </c>
      <c r="IQ37" s="526">
        <f t="shared" si="193"/>
        <v>0</v>
      </c>
      <c r="IR37" s="524"/>
      <c r="IS37" s="525" t="e">
        <f t="shared" si="82"/>
        <v>#DIV/0!</v>
      </c>
      <c r="IT37" s="526">
        <f t="shared" si="194"/>
        <v>0</v>
      </c>
      <c r="IU37" s="524"/>
      <c r="IV37" s="525" t="e">
        <f t="shared" si="83"/>
        <v>#DIV/0!</v>
      </c>
      <c r="IW37" s="526">
        <f t="shared" si="195"/>
        <v>0</v>
      </c>
      <c r="IX37" s="524"/>
      <c r="IY37" s="525" t="e">
        <f t="shared" si="84"/>
        <v>#DIV/0!</v>
      </c>
      <c r="IZ37" s="526">
        <f t="shared" si="196"/>
        <v>0</v>
      </c>
      <c r="JA37" s="524"/>
      <c r="JB37" s="525" t="e">
        <f t="shared" si="85"/>
        <v>#DIV/0!</v>
      </c>
      <c r="JC37" s="526">
        <f t="shared" si="197"/>
        <v>0</v>
      </c>
      <c r="JD37" s="524"/>
      <c r="JE37" s="525" t="e">
        <f t="shared" si="86"/>
        <v>#DIV/0!</v>
      </c>
      <c r="JF37" s="526">
        <f t="shared" si="198"/>
        <v>0</v>
      </c>
      <c r="JG37" s="524"/>
      <c r="JH37" s="525" t="e">
        <f t="shared" si="87"/>
        <v>#DIV/0!</v>
      </c>
      <c r="JI37" s="526">
        <f t="shared" si="199"/>
        <v>0</v>
      </c>
      <c r="JJ37" s="524"/>
      <c r="JK37" s="526" t="str">
        <f t="shared" si="88"/>
        <v>0</v>
      </c>
      <c r="JL37" s="526" t="str">
        <f t="shared" si="89"/>
        <v>0</v>
      </c>
      <c r="JM37" s="524"/>
      <c r="JN37" s="526" t="str">
        <f t="shared" si="90"/>
        <v>0</v>
      </c>
      <c r="JO37" s="526" t="str">
        <f t="shared" si="91"/>
        <v>0</v>
      </c>
      <c r="JP37" s="524"/>
      <c r="JQ37" s="526" t="str">
        <f t="shared" si="92"/>
        <v>0</v>
      </c>
      <c r="JR37" s="526" t="str">
        <f t="shared" si="93"/>
        <v>0</v>
      </c>
      <c r="JS37" s="524"/>
      <c r="JT37" s="526" t="str">
        <f t="shared" si="94"/>
        <v>0</v>
      </c>
      <c r="JU37" s="526" t="str">
        <f t="shared" si="95"/>
        <v>0</v>
      </c>
      <c r="JV37" s="524"/>
      <c r="JW37" s="526" t="str">
        <f t="shared" si="96"/>
        <v>0</v>
      </c>
      <c r="JX37" s="526" t="str">
        <f t="shared" si="97"/>
        <v>0</v>
      </c>
      <c r="JY37" s="524"/>
      <c r="JZ37" s="526" t="str">
        <f t="shared" si="98"/>
        <v>0</v>
      </c>
      <c r="KA37" s="526" t="str">
        <f t="shared" si="99"/>
        <v>0</v>
      </c>
      <c r="KB37" s="524"/>
      <c r="KC37" s="526" t="str">
        <f t="shared" si="100"/>
        <v>0</v>
      </c>
      <c r="KD37" s="526" t="str">
        <f t="shared" si="101"/>
        <v>0</v>
      </c>
      <c r="KE37" s="524"/>
      <c r="KF37" s="526" t="str">
        <f t="shared" si="102"/>
        <v>0</v>
      </c>
      <c r="KG37" s="526" t="str">
        <f t="shared" si="103"/>
        <v>0</v>
      </c>
      <c r="KH37" s="524"/>
      <c r="KI37" s="526" t="str">
        <f t="shared" si="104"/>
        <v>0</v>
      </c>
      <c r="KJ37" s="526" t="str">
        <f t="shared" si="105"/>
        <v>0</v>
      </c>
      <c r="KK37" s="524"/>
      <c r="KL37" s="526" t="str">
        <f t="shared" si="106"/>
        <v>0</v>
      </c>
      <c r="KM37" s="526" t="str">
        <f t="shared" si="107"/>
        <v>0</v>
      </c>
      <c r="KN37" s="524"/>
      <c r="KO37" s="526" t="str">
        <f t="shared" si="108"/>
        <v>0</v>
      </c>
      <c r="KP37" s="526" t="str">
        <f t="shared" si="109"/>
        <v>0</v>
      </c>
      <c r="KQ37" s="524"/>
      <c r="KR37" s="526" t="str">
        <f t="shared" si="110"/>
        <v>0</v>
      </c>
      <c r="KS37" s="526" t="str">
        <f t="shared" si="111"/>
        <v>0</v>
      </c>
      <c r="KT37" s="526">
        <f t="shared" si="201"/>
        <v>0</v>
      </c>
      <c r="KU37" s="526">
        <f t="shared" si="202"/>
        <v>0</v>
      </c>
      <c r="KV37" s="262">
        <f t="shared" si="204"/>
        <v>26.437499999999993</v>
      </c>
    </row>
    <row r="38" spans="1:308" ht="15" customHeight="1">
      <c r="A38" s="263">
        <f t="shared" si="200"/>
        <v>45930</v>
      </c>
      <c r="B38" s="264" t="str">
        <f>+Report1!B38</f>
        <v>STOP</v>
      </c>
      <c r="C38" s="264" t="str">
        <f>+Report1!C38</f>
        <v>12</v>
      </c>
      <c r="D38" s="265">
        <f>+Report1!P38</f>
        <v>0</v>
      </c>
      <c r="E38" s="556">
        <f>+Report1!R38</f>
        <v>0</v>
      </c>
      <c r="F38" s="524"/>
      <c r="G38" s="525" t="e">
        <f t="shared" si="0"/>
        <v>#DIV/0!</v>
      </c>
      <c r="H38" s="526">
        <f t="shared" si="113"/>
        <v>0</v>
      </c>
      <c r="I38" s="524"/>
      <c r="J38" s="525" t="e">
        <f t="shared" si="1"/>
        <v>#DIV/0!</v>
      </c>
      <c r="K38" s="526">
        <f t="shared" si="114"/>
        <v>0</v>
      </c>
      <c r="L38" s="524"/>
      <c r="M38" s="525" t="e">
        <f t="shared" si="2"/>
        <v>#DIV/0!</v>
      </c>
      <c r="N38" s="526">
        <f t="shared" si="115"/>
        <v>0</v>
      </c>
      <c r="O38" s="524"/>
      <c r="P38" s="525" t="e">
        <f t="shared" si="3"/>
        <v>#DIV/0!</v>
      </c>
      <c r="Q38" s="526">
        <f t="shared" si="116"/>
        <v>0</v>
      </c>
      <c r="R38" s="524"/>
      <c r="S38" s="525" t="e">
        <f t="shared" si="4"/>
        <v>#DIV/0!</v>
      </c>
      <c r="T38" s="526">
        <f t="shared" si="117"/>
        <v>0</v>
      </c>
      <c r="U38" s="524"/>
      <c r="V38" s="525" t="e">
        <f t="shared" si="5"/>
        <v>#DIV/0!</v>
      </c>
      <c r="W38" s="526">
        <f t="shared" si="118"/>
        <v>0</v>
      </c>
      <c r="X38" s="524"/>
      <c r="Y38" s="525" t="e">
        <f t="shared" si="6"/>
        <v>#DIV/0!</v>
      </c>
      <c r="Z38" s="526">
        <f t="shared" si="119"/>
        <v>0</v>
      </c>
      <c r="AA38" s="524"/>
      <c r="AB38" s="525" t="e">
        <f t="shared" si="7"/>
        <v>#DIV/0!</v>
      </c>
      <c r="AC38" s="526">
        <f t="shared" si="120"/>
        <v>0</v>
      </c>
      <c r="AD38" s="524"/>
      <c r="AE38" s="525" t="e">
        <f t="shared" si="8"/>
        <v>#DIV/0!</v>
      </c>
      <c r="AF38" s="526">
        <f t="shared" si="121"/>
        <v>0</v>
      </c>
      <c r="AG38" s="524"/>
      <c r="AH38" s="525" t="e">
        <f t="shared" si="9"/>
        <v>#DIV/0!</v>
      </c>
      <c r="AI38" s="526">
        <f t="shared" si="122"/>
        <v>0</v>
      </c>
      <c r="AJ38" s="524"/>
      <c r="AK38" s="525" t="e">
        <f t="shared" si="10"/>
        <v>#DIV/0!</v>
      </c>
      <c r="AL38" s="526">
        <f t="shared" si="123"/>
        <v>0</v>
      </c>
      <c r="AM38" s="524"/>
      <c r="AN38" s="525" t="e">
        <f t="shared" si="11"/>
        <v>#DIV/0!</v>
      </c>
      <c r="AO38" s="526">
        <f t="shared" si="124"/>
        <v>0</v>
      </c>
      <c r="AP38" s="524"/>
      <c r="AQ38" s="525" t="e">
        <f t="shared" si="12"/>
        <v>#DIV/0!</v>
      </c>
      <c r="AR38" s="526">
        <f t="shared" si="125"/>
        <v>0</v>
      </c>
      <c r="AS38" s="524"/>
      <c r="AT38" s="525" t="e">
        <f t="shared" si="13"/>
        <v>#DIV/0!</v>
      </c>
      <c r="AU38" s="526">
        <f t="shared" si="126"/>
        <v>0</v>
      </c>
      <c r="AV38" s="524"/>
      <c r="AW38" s="525" t="e">
        <f t="shared" si="14"/>
        <v>#DIV/0!</v>
      </c>
      <c r="AX38" s="526">
        <f t="shared" si="127"/>
        <v>0</v>
      </c>
      <c r="AY38" s="524"/>
      <c r="AZ38" s="525" t="e">
        <f t="shared" si="15"/>
        <v>#DIV/0!</v>
      </c>
      <c r="BA38" s="526">
        <f t="shared" si="128"/>
        <v>0</v>
      </c>
      <c r="BB38" s="524"/>
      <c r="BC38" s="525" t="e">
        <f t="shared" si="16"/>
        <v>#DIV/0!</v>
      </c>
      <c r="BD38" s="526">
        <f t="shared" si="129"/>
        <v>0</v>
      </c>
      <c r="BE38" s="524"/>
      <c r="BF38" s="525" t="e">
        <f t="shared" si="17"/>
        <v>#DIV/0!</v>
      </c>
      <c r="BG38" s="526">
        <f t="shared" si="130"/>
        <v>0</v>
      </c>
      <c r="BH38" s="524"/>
      <c r="BI38" s="525" t="e">
        <f t="shared" si="18"/>
        <v>#DIV/0!</v>
      </c>
      <c r="BJ38" s="526">
        <f t="shared" si="131"/>
        <v>0</v>
      </c>
      <c r="BK38" s="524"/>
      <c r="BL38" s="525" t="e">
        <f t="shared" si="19"/>
        <v>#DIV/0!</v>
      </c>
      <c r="BM38" s="526">
        <f t="shared" si="132"/>
        <v>0</v>
      </c>
      <c r="BN38" s="524"/>
      <c r="BO38" s="525" t="e">
        <f t="shared" si="20"/>
        <v>#DIV/0!</v>
      </c>
      <c r="BP38" s="526">
        <f t="shared" si="133"/>
        <v>0</v>
      </c>
      <c r="BQ38" s="524"/>
      <c r="BR38" s="525" t="e">
        <f t="shared" si="21"/>
        <v>#DIV/0!</v>
      </c>
      <c r="BS38" s="526">
        <f t="shared" si="134"/>
        <v>0</v>
      </c>
      <c r="BT38" s="524"/>
      <c r="BU38" s="525" t="e">
        <f t="shared" si="22"/>
        <v>#DIV/0!</v>
      </c>
      <c r="BV38" s="526">
        <f t="shared" si="135"/>
        <v>0</v>
      </c>
      <c r="BW38" s="524"/>
      <c r="BX38" s="525" t="e">
        <f t="shared" si="23"/>
        <v>#DIV/0!</v>
      </c>
      <c r="BY38" s="526">
        <f t="shared" si="136"/>
        <v>0</v>
      </c>
      <c r="BZ38" s="524"/>
      <c r="CA38" s="525" t="e">
        <f t="shared" si="24"/>
        <v>#DIV/0!</v>
      </c>
      <c r="CB38" s="526">
        <f t="shared" si="137"/>
        <v>0</v>
      </c>
      <c r="CC38" s="524"/>
      <c r="CD38" s="525" t="e">
        <f t="shared" si="25"/>
        <v>#DIV/0!</v>
      </c>
      <c r="CE38" s="526">
        <f t="shared" si="138"/>
        <v>0</v>
      </c>
      <c r="CF38" s="524"/>
      <c r="CG38" s="525" t="e">
        <f t="shared" si="26"/>
        <v>#DIV/0!</v>
      </c>
      <c r="CH38" s="526">
        <f t="shared" si="139"/>
        <v>0</v>
      </c>
      <c r="CI38" s="524"/>
      <c r="CJ38" s="525" t="e">
        <f t="shared" si="27"/>
        <v>#DIV/0!</v>
      </c>
      <c r="CK38" s="526">
        <f t="shared" si="140"/>
        <v>0</v>
      </c>
      <c r="CL38" s="524"/>
      <c r="CM38" s="525" t="e">
        <f t="shared" si="28"/>
        <v>#DIV/0!</v>
      </c>
      <c r="CN38" s="526">
        <f t="shared" si="141"/>
        <v>0</v>
      </c>
      <c r="CO38" s="524"/>
      <c r="CP38" s="525" t="e">
        <f t="shared" si="29"/>
        <v>#DIV/0!</v>
      </c>
      <c r="CQ38" s="526">
        <f t="shared" si="142"/>
        <v>0</v>
      </c>
      <c r="CR38" s="524"/>
      <c r="CS38" s="525" t="e">
        <f t="shared" si="30"/>
        <v>#DIV/0!</v>
      </c>
      <c r="CT38" s="526">
        <f t="shared" si="143"/>
        <v>0</v>
      </c>
      <c r="CU38" s="524"/>
      <c r="CV38" s="525" t="e">
        <f t="shared" si="31"/>
        <v>#DIV/0!</v>
      </c>
      <c r="CW38" s="526">
        <f t="shared" si="144"/>
        <v>0</v>
      </c>
      <c r="CX38" s="524"/>
      <c r="CY38" s="525" t="e">
        <f t="shared" si="32"/>
        <v>#DIV/0!</v>
      </c>
      <c r="CZ38" s="526">
        <f t="shared" si="145"/>
        <v>0</v>
      </c>
      <c r="DA38" s="524"/>
      <c r="DB38" s="525" t="e">
        <f t="shared" si="33"/>
        <v>#DIV/0!</v>
      </c>
      <c r="DC38" s="526">
        <f t="shared" si="146"/>
        <v>0</v>
      </c>
      <c r="DD38" s="524"/>
      <c r="DE38" s="525" t="e">
        <f t="shared" si="34"/>
        <v>#DIV/0!</v>
      </c>
      <c r="DF38" s="526">
        <f t="shared" si="147"/>
        <v>0</v>
      </c>
      <c r="DG38" s="524"/>
      <c r="DH38" s="525" t="e">
        <f t="shared" si="35"/>
        <v>#DIV/0!</v>
      </c>
      <c r="DI38" s="526">
        <f t="shared" si="203"/>
        <v>0</v>
      </c>
      <c r="DJ38" s="524"/>
      <c r="DK38" s="525" t="e">
        <f t="shared" si="36"/>
        <v>#DIV/0!</v>
      </c>
      <c r="DL38" s="526">
        <f t="shared" si="148"/>
        <v>0</v>
      </c>
      <c r="DM38" s="524"/>
      <c r="DN38" s="525" t="e">
        <f t="shared" si="37"/>
        <v>#DIV/0!</v>
      </c>
      <c r="DO38" s="526">
        <f t="shared" si="149"/>
        <v>0</v>
      </c>
      <c r="DP38" s="524"/>
      <c r="DQ38" s="525" t="e">
        <f t="shared" si="38"/>
        <v>#DIV/0!</v>
      </c>
      <c r="DR38" s="526">
        <f t="shared" si="150"/>
        <v>0</v>
      </c>
      <c r="DS38" s="524"/>
      <c r="DT38" s="525" t="e">
        <f t="shared" si="39"/>
        <v>#DIV/0!</v>
      </c>
      <c r="DU38" s="526">
        <f t="shared" si="151"/>
        <v>0</v>
      </c>
      <c r="DV38" s="524"/>
      <c r="DW38" s="525" t="e">
        <f t="shared" si="40"/>
        <v>#DIV/0!</v>
      </c>
      <c r="DX38" s="526">
        <f t="shared" si="152"/>
        <v>0</v>
      </c>
      <c r="DY38" s="524"/>
      <c r="DZ38" s="525" t="e">
        <f t="shared" si="41"/>
        <v>#DIV/0!</v>
      </c>
      <c r="EA38" s="526">
        <f t="shared" si="153"/>
        <v>0</v>
      </c>
      <c r="EB38" s="524"/>
      <c r="EC38" s="525" t="e">
        <f t="shared" si="42"/>
        <v>#DIV/0!</v>
      </c>
      <c r="ED38" s="526">
        <f t="shared" si="154"/>
        <v>0</v>
      </c>
      <c r="EE38" s="524"/>
      <c r="EF38" s="525" t="e">
        <f t="shared" si="43"/>
        <v>#DIV/0!</v>
      </c>
      <c r="EG38" s="526">
        <f t="shared" si="155"/>
        <v>0</v>
      </c>
      <c r="EH38" s="524"/>
      <c r="EI38" s="525" t="e">
        <f t="shared" si="44"/>
        <v>#DIV/0!</v>
      </c>
      <c r="EJ38" s="526">
        <f t="shared" si="156"/>
        <v>0</v>
      </c>
      <c r="EK38" s="524"/>
      <c r="EL38" s="525" t="e">
        <f t="shared" si="45"/>
        <v>#DIV/0!</v>
      </c>
      <c r="EM38" s="526">
        <f t="shared" si="157"/>
        <v>0</v>
      </c>
      <c r="EN38" s="524"/>
      <c r="EO38" s="525" t="e">
        <f t="shared" si="46"/>
        <v>#DIV/0!</v>
      </c>
      <c r="EP38" s="526">
        <f t="shared" si="158"/>
        <v>0</v>
      </c>
      <c r="EQ38" s="524"/>
      <c r="ER38" s="525" t="e">
        <f t="shared" si="47"/>
        <v>#DIV/0!</v>
      </c>
      <c r="ES38" s="526">
        <f t="shared" si="159"/>
        <v>0</v>
      </c>
      <c r="ET38" s="524"/>
      <c r="EU38" s="525" t="e">
        <f t="shared" si="48"/>
        <v>#DIV/0!</v>
      </c>
      <c r="EV38" s="526">
        <f t="shared" si="160"/>
        <v>0</v>
      </c>
      <c r="EW38" s="524"/>
      <c r="EX38" s="525" t="e">
        <f t="shared" si="49"/>
        <v>#DIV/0!</v>
      </c>
      <c r="EY38" s="526">
        <f t="shared" si="161"/>
        <v>0</v>
      </c>
      <c r="EZ38" s="524"/>
      <c r="FA38" s="525" t="e">
        <f t="shared" si="50"/>
        <v>#DIV/0!</v>
      </c>
      <c r="FB38" s="526">
        <f t="shared" si="162"/>
        <v>0</v>
      </c>
      <c r="FC38" s="524"/>
      <c r="FD38" s="525" t="e">
        <f t="shared" si="51"/>
        <v>#DIV/0!</v>
      </c>
      <c r="FE38" s="526">
        <f t="shared" si="163"/>
        <v>0</v>
      </c>
      <c r="FF38" s="524"/>
      <c r="FG38" s="525" t="e">
        <f t="shared" si="52"/>
        <v>#DIV/0!</v>
      </c>
      <c r="FH38" s="526">
        <f t="shared" si="164"/>
        <v>0</v>
      </c>
      <c r="FI38" s="524"/>
      <c r="FJ38" s="525" t="e">
        <f t="shared" si="53"/>
        <v>#DIV/0!</v>
      </c>
      <c r="FK38" s="526">
        <f t="shared" si="165"/>
        <v>0</v>
      </c>
      <c r="FL38" s="524"/>
      <c r="FM38" s="525" t="e">
        <f t="shared" si="54"/>
        <v>#DIV/0!</v>
      </c>
      <c r="FN38" s="526">
        <f t="shared" si="166"/>
        <v>0</v>
      </c>
      <c r="FO38" s="524"/>
      <c r="FP38" s="525" t="e">
        <f t="shared" si="55"/>
        <v>#DIV/0!</v>
      </c>
      <c r="FQ38" s="526">
        <f t="shared" si="167"/>
        <v>0</v>
      </c>
      <c r="FR38" s="524"/>
      <c r="FS38" s="525" t="e">
        <f t="shared" si="56"/>
        <v>#DIV/0!</v>
      </c>
      <c r="FT38" s="526">
        <f t="shared" si="168"/>
        <v>0</v>
      </c>
      <c r="FU38" s="524"/>
      <c r="FV38" s="525" t="e">
        <f t="shared" si="57"/>
        <v>#DIV/0!</v>
      </c>
      <c r="FW38" s="526">
        <f t="shared" si="169"/>
        <v>0</v>
      </c>
      <c r="FX38" s="524"/>
      <c r="FY38" s="525" t="e">
        <f t="shared" si="58"/>
        <v>#DIV/0!</v>
      </c>
      <c r="FZ38" s="526">
        <f t="shared" si="170"/>
        <v>0</v>
      </c>
      <c r="GA38" s="524"/>
      <c r="GB38" s="525" t="e">
        <f t="shared" si="59"/>
        <v>#DIV/0!</v>
      </c>
      <c r="GC38" s="526">
        <f t="shared" si="171"/>
        <v>0</v>
      </c>
      <c r="GD38" s="524"/>
      <c r="GE38" s="525" t="e">
        <f t="shared" si="60"/>
        <v>#DIV/0!</v>
      </c>
      <c r="GF38" s="526">
        <f t="shared" si="172"/>
        <v>0</v>
      </c>
      <c r="GG38" s="524"/>
      <c r="GH38" s="525" t="e">
        <f t="shared" si="61"/>
        <v>#DIV/0!</v>
      </c>
      <c r="GI38" s="526">
        <f t="shared" si="173"/>
        <v>0</v>
      </c>
      <c r="GJ38" s="524"/>
      <c r="GK38" s="525" t="e">
        <f t="shared" si="62"/>
        <v>#DIV/0!</v>
      </c>
      <c r="GL38" s="526">
        <f t="shared" si="174"/>
        <v>0</v>
      </c>
      <c r="GM38" s="524"/>
      <c r="GN38" s="525" t="e">
        <f t="shared" si="63"/>
        <v>#DIV/0!</v>
      </c>
      <c r="GO38" s="526">
        <f t="shared" si="175"/>
        <v>0</v>
      </c>
      <c r="GP38" s="524"/>
      <c r="GQ38" s="525" t="e">
        <f t="shared" si="64"/>
        <v>#DIV/0!</v>
      </c>
      <c r="GR38" s="526">
        <f t="shared" si="176"/>
        <v>0</v>
      </c>
      <c r="GS38" s="524"/>
      <c r="GT38" s="525" t="e">
        <f t="shared" si="65"/>
        <v>#DIV/0!</v>
      </c>
      <c r="GU38" s="526">
        <f t="shared" si="177"/>
        <v>0</v>
      </c>
      <c r="GV38" s="524"/>
      <c r="GW38" s="525" t="e">
        <f t="shared" si="66"/>
        <v>#DIV/0!</v>
      </c>
      <c r="GX38" s="526">
        <f t="shared" si="178"/>
        <v>0</v>
      </c>
      <c r="GY38" s="524"/>
      <c r="GZ38" s="525" t="e">
        <f t="shared" si="67"/>
        <v>#DIV/0!</v>
      </c>
      <c r="HA38" s="526">
        <f t="shared" si="179"/>
        <v>0</v>
      </c>
      <c r="HB38" s="524"/>
      <c r="HC38" s="525" t="e">
        <f t="shared" si="68"/>
        <v>#DIV/0!</v>
      </c>
      <c r="HD38" s="526">
        <f t="shared" si="180"/>
        <v>0</v>
      </c>
      <c r="HE38" s="524"/>
      <c r="HF38" s="525" t="e">
        <f t="shared" si="69"/>
        <v>#DIV/0!</v>
      </c>
      <c r="HG38" s="526">
        <f t="shared" si="181"/>
        <v>0</v>
      </c>
      <c r="HH38" s="524"/>
      <c r="HI38" s="525" t="e">
        <f t="shared" si="70"/>
        <v>#DIV/0!</v>
      </c>
      <c r="HJ38" s="526">
        <f t="shared" si="182"/>
        <v>0</v>
      </c>
      <c r="HK38" s="524"/>
      <c r="HL38" s="525" t="e">
        <f t="shared" si="71"/>
        <v>#DIV/0!</v>
      </c>
      <c r="HM38" s="526">
        <f t="shared" si="183"/>
        <v>0</v>
      </c>
      <c r="HN38" s="524"/>
      <c r="HO38" s="525" t="e">
        <f t="shared" si="72"/>
        <v>#DIV/0!</v>
      </c>
      <c r="HP38" s="526">
        <f t="shared" si="184"/>
        <v>0</v>
      </c>
      <c r="HQ38" s="524"/>
      <c r="HR38" s="525" t="e">
        <f t="shared" si="73"/>
        <v>#DIV/0!</v>
      </c>
      <c r="HS38" s="526">
        <f t="shared" si="185"/>
        <v>0</v>
      </c>
      <c r="HT38" s="524"/>
      <c r="HU38" s="525" t="e">
        <f t="shared" si="74"/>
        <v>#DIV/0!</v>
      </c>
      <c r="HV38" s="526">
        <f t="shared" si="186"/>
        <v>0</v>
      </c>
      <c r="HW38" s="524"/>
      <c r="HX38" s="525" t="e">
        <f t="shared" si="75"/>
        <v>#DIV/0!</v>
      </c>
      <c r="HY38" s="526">
        <f t="shared" si="187"/>
        <v>0</v>
      </c>
      <c r="HZ38" s="524"/>
      <c r="IA38" s="525" t="e">
        <f t="shared" si="76"/>
        <v>#DIV/0!</v>
      </c>
      <c r="IB38" s="526">
        <f t="shared" si="188"/>
        <v>0</v>
      </c>
      <c r="IC38" s="524"/>
      <c r="ID38" s="525" t="e">
        <f t="shared" si="77"/>
        <v>#DIV/0!</v>
      </c>
      <c r="IE38" s="526">
        <f t="shared" si="189"/>
        <v>0</v>
      </c>
      <c r="IF38" s="524"/>
      <c r="IG38" s="525" t="e">
        <f t="shared" si="78"/>
        <v>#DIV/0!</v>
      </c>
      <c r="IH38" s="526">
        <f t="shared" si="190"/>
        <v>0</v>
      </c>
      <c r="II38" s="524"/>
      <c r="IJ38" s="525" t="e">
        <f t="shared" si="79"/>
        <v>#DIV/0!</v>
      </c>
      <c r="IK38" s="526">
        <f t="shared" si="191"/>
        <v>0</v>
      </c>
      <c r="IL38" s="524"/>
      <c r="IM38" s="525" t="e">
        <f t="shared" si="80"/>
        <v>#DIV/0!</v>
      </c>
      <c r="IN38" s="526">
        <f t="shared" si="192"/>
        <v>0</v>
      </c>
      <c r="IO38" s="524"/>
      <c r="IP38" s="525" t="e">
        <f t="shared" si="81"/>
        <v>#DIV/0!</v>
      </c>
      <c r="IQ38" s="526">
        <f t="shared" si="193"/>
        <v>0</v>
      </c>
      <c r="IR38" s="524"/>
      <c r="IS38" s="525" t="e">
        <f t="shared" si="82"/>
        <v>#DIV/0!</v>
      </c>
      <c r="IT38" s="526">
        <f t="shared" si="194"/>
        <v>0</v>
      </c>
      <c r="IU38" s="524"/>
      <c r="IV38" s="525" t="e">
        <f t="shared" si="83"/>
        <v>#DIV/0!</v>
      </c>
      <c r="IW38" s="526">
        <f t="shared" si="195"/>
        <v>0</v>
      </c>
      <c r="IX38" s="524"/>
      <c r="IY38" s="525" t="e">
        <f t="shared" si="84"/>
        <v>#DIV/0!</v>
      </c>
      <c r="IZ38" s="526">
        <f t="shared" si="196"/>
        <v>0</v>
      </c>
      <c r="JA38" s="524"/>
      <c r="JB38" s="525" t="e">
        <f t="shared" si="85"/>
        <v>#DIV/0!</v>
      </c>
      <c r="JC38" s="526">
        <f t="shared" si="197"/>
        <v>0</v>
      </c>
      <c r="JD38" s="524"/>
      <c r="JE38" s="525" t="e">
        <f t="shared" si="86"/>
        <v>#DIV/0!</v>
      </c>
      <c r="JF38" s="526">
        <f t="shared" si="198"/>
        <v>0</v>
      </c>
      <c r="JG38" s="524"/>
      <c r="JH38" s="525" t="e">
        <f t="shared" si="87"/>
        <v>#DIV/0!</v>
      </c>
      <c r="JI38" s="526">
        <f t="shared" si="199"/>
        <v>0</v>
      </c>
      <c r="JJ38" s="524"/>
      <c r="JK38" s="526" t="str">
        <f t="shared" si="88"/>
        <v>0</v>
      </c>
      <c r="JL38" s="526" t="str">
        <f t="shared" si="89"/>
        <v>0</v>
      </c>
      <c r="JM38" s="524"/>
      <c r="JN38" s="526" t="str">
        <f t="shared" si="90"/>
        <v>0</v>
      </c>
      <c r="JO38" s="526" t="str">
        <f t="shared" si="91"/>
        <v>0</v>
      </c>
      <c r="JP38" s="524"/>
      <c r="JQ38" s="526" t="str">
        <f t="shared" si="92"/>
        <v>0</v>
      </c>
      <c r="JR38" s="526" t="str">
        <f t="shared" si="93"/>
        <v>0</v>
      </c>
      <c r="JS38" s="524"/>
      <c r="JT38" s="526" t="str">
        <f t="shared" si="94"/>
        <v>0</v>
      </c>
      <c r="JU38" s="526" t="str">
        <f t="shared" si="95"/>
        <v>0</v>
      </c>
      <c r="JV38" s="524"/>
      <c r="JW38" s="526" t="str">
        <f t="shared" si="96"/>
        <v>0</v>
      </c>
      <c r="JX38" s="526" t="str">
        <f t="shared" si="97"/>
        <v>0</v>
      </c>
      <c r="JY38" s="524"/>
      <c r="JZ38" s="526" t="str">
        <f t="shared" si="98"/>
        <v>0</v>
      </c>
      <c r="KA38" s="526" t="str">
        <f t="shared" si="99"/>
        <v>0</v>
      </c>
      <c r="KB38" s="524"/>
      <c r="KC38" s="526" t="str">
        <f t="shared" si="100"/>
        <v>0</v>
      </c>
      <c r="KD38" s="526" t="str">
        <f t="shared" si="101"/>
        <v>0</v>
      </c>
      <c r="KE38" s="524"/>
      <c r="KF38" s="526" t="str">
        <f t="shared" si="102"/>
        <v>0</v>
      </c>
      <c r="KG38" s="526" t="str">
        <f t="shared" si="103"/>
        <v>0</v>
      </c>
      <c r="KH38" s="524"/>
      <c r="KI38" s="526" t="str">
        <f t="shared" si="104"/>
        <v>0</v>
      </c>
      <c r="KJ38" s="526" t="str">
        <f t="shared" si="105"/>
        <v>0</v>
      </c>
      <c r="KK38" s="524"/>
      <c r="KL38" s="526" t="str">
        <f t="shared" si="106"/>
        <v>0</v>
      </c>
      <c r="KM38" s="526" t="str">
        <f t="shared" si="107"/>
        <v>0</v>
      </c>
      <c r="KN38" s="524"/>
      <c r="KO38" s="526" t="str">
        <f t="shared" si="108"/>
        <v>0</v>
      </c>
      <c r="KP38" s="526" t="str">
        <f t="shared" si="109"/>
        <v>0</v>
      </c>
      <c r="KQ38" s="524"/>
      <c r="KR38" s="526" t="str">
        <f t="shared" si="110"/>
        <v>0</v>
      </c>
      <c r="KS38" s="526" t="str">
        <f t="shared" si="111"/>
        <v>0</v>
      </c>
      <c r="KT38" s="526">
        <f t="shared" si="201"/>
        <v>0</v>
      </c>
      <c r="KU38" s="526">
        <f t="shared" si="202"/>
        <v>0</v>
      </c>
      <c r="KV38" s="262">
        <f t="shared" si="204"/>
        <v>0</v>
      </c>
    </row>
    <row r="39" spans="1:308" ht="15" customHeight="1">
      <c r="A39" s="263">
        <f t="shared" si="200"/>
        <v>45931</v>
      </c>
      <c r="B39" s="264">
        <f>+Report1!B39</f>
        <v>0</v>
      </c>
      <c r="C39" s="264">
        <f>+Report1!C39</f>
        <v>0</v>
      </c>
      <c r="D39" s="265">
        <f>+Report1!P39</f>
        <v>0</v>
      </c>
      <c r="E39" s="556">
        <f>+Report1!R39</f>
        <v>0</v>
      </c>
      <c r="F39" s="524"/>
      <c r="G39" s="525" t="e">
        <f t="shared" si="0"/>
        <v>#DIV/0!</v>
      </c>
      <c r="H39" s="526">
        <f t="shared" si="113"/>
        <v>0</v>
      </c>
      <c r="I39" s="524"/>
      <c r="J39" s="525" t="e">
        <f t="shared" si="1"/>
        <v>#DIV/0!</v>
      </c>
      <c r="K39" s="526">
        <f t="shared" si="114"/>
        <v>0</v>
      </c>
      <c r="L39" s="524"/>
      <c r="M39" s="525" t="e">
        <f t="shared" si="2"/>
        <v>#DIV/0!</v>
      </c>
      <c r="N39" s="526">
        <f t="shared" si="115"/>
        <v>0</v>
      </c>
      <c r="O39" s="524"/>
      <c r="P39" s="525" t="e">
        <f t="shared" si="3"/>
        <v>#DIV/0!</v>
      </c>
      <c r="Q39" s="526">
        <f t="shared" si="116"/>
        <v>0</v>
      </c>
      <c r="R39" s="524"/>
      <c r="S39" s="525" t="e">
        <f t="shared" si="4"/>
        <v>#DIV/0!</v>
      </c>
      <c r="T39" s="526">
        <f t="shared" si="117"/>
        <v>0</v>
      </c>
      <c r="U39" s="524"/>
      <c r="V39" s="525" t="e">
        <f t="shared" si="5"/>
        <v>#DIV/0!</v>
      </c>
      <c r="W39" s="526">
        <f t="shared" si="118"/>
        <v>0</v>
      </c>
      <c r="X39" s="524"/>
      <c r="Y39" s="525" t="e">
        <f t="shared" si="6"/>
        <v>#DIV/0!</v>
      </c>
      <c r="Z39" s="526">
        <f t="shared" si="119"/>
        <v>0</v>
      </c>
      <c r="AA39" s="524"/>
      <c r="AB39" s="525" t="e">
        <f t="shared" si="7"/>
        <v>#DIV/0!</v>
      </c>
      <c r="AC39" s="526">
        <f t="shared" si="120"/>
        <v>0</v>
      </c>
      <c r="AD39" s="524"/>
      <c r="AE39" s="525" t="e">
        <f t="shared" si="8"/>
        <v>#DIV/0!</v>
      </c>
      <c r="AF39" s="526">
        <f t="shared" si="121"/>
        <v>0</v>
      </c>
      <c r="AG39" s="524"/>
      <c r="AH39" s="525" t="e">
        <f t="shared" si="9"/>
        <v>#DIV/0!</v>
      </c>
      <c r="AI39" s="526">
        <f t="shared" si="122"/>
        <v>0</v>
      </c>
      <c r="AJ39" s="524"/>
      <c r="AK39" s="525" t="e">
        <f t="shared" si="10"/>
        <v>#DIV/0!</v>
      </c>
      <c r="AL39" s="526">
        <f t="shared" si="123"/>
        <v>0</v>
      </c>
      <c r="AM39" s="524"/>
      <c r="AN39" s="525" t="e">
        <f t="shared" si="11"/>
        <v>#DIV/0!</v>
      </c>
      <c r="AO39" s="526">
        <f t="shared" si="124"/>
        <v>0</v>
      </c>
      <c r="AP39" s="524"/>
      <c r="AQ39" s="525" t="e">
        <f t="shared" si="12"/>
        <v>#DIV/0!</v>
      </c>
      <c r="AR39" s="526">
        <f t="shared" si="125"/>
        <v>0</v>
      </c>
      <c r="AS39" s="524"/>
      <c r="AT39" s="525" t="e">
        <f t="shared" si="13"/>
        <v>#DIV/0!</v>
      </c>
      <c r="AU39" s="526">
        <f t="shared" si="126"/>
        <v>0</v>
      </c>
      <c r="AV39" s="524"/>
      <c r="AW39" s="525" t="e">
        <f t="shared" si="14"/>
        <v>#DIV/0!</v>
      </c>
      <c r="AX39" s="526">
        <f t="shared" si="127"/>
        <v>0</v>
      </c>
      <c r="AY39" s="524"/>
      <c r="AZ39" s="525" t="e">
        <f t="shared" si="15"/>
        <v>#DIV/0!</v>
      </c>
      <c r="BA39" s="526">
        <f t="shared" si="128"/>
        <v>0</v>
      </c>
      <c r="BB39" s="524"/>
      <c r="BC39" s="525" t="e">
        <f t="shared" si="16"/>
        <v>#DIV/0!</v>
      </c>
      <c r="BD39" s="526">
        <f t="shared" si="129"/>
        <v>0</v>
      </c>
      <c r="BE39" s="524"/>
      <c r="BF39" s="525" t="e">
        <f t="shared" si="17"/>
        <v>#DIV/0!</v>
      </c>
      <c r="BG39" s="526">
        <f t="shared" si="130"/>
        <v>0</v>
      </c>
      <c r="BH39" s="524"/>
      <c r="BI39" s="525" t="e">
        <f t="shared" si="18"/>
        <v>#DIV/0!</v>
      </c>
      <c r="BJ39" s="526">
        <f t="shared" si="131"/>
        <v>0</v>
      </c>
      <c r="BK39" s="524"/>
      <c r="BL39" s="525" t="e">
        <f t="shared" si="19"/>
        <v>#DIV/0!</v>
      </c>
      <c r="BM39" s="526">
        <f t="shared" si="132"/>
        <v>0</v>
      </c>
      <c r="BN39" s="524"/>
      <c r="BO39" s="525" t="e">
        <f t="shared" si="20"/>
        <v>#DIV/0!</v>
      </c>
      <c r="BP39" s="526">
        <f t="shared" si="133"/>
        <v>0</v>
      </c>
      <c r="BQ39" s="524"/>
      <c r="BR39" s="525" t="e">
        <f t="shared" si="21"/>
        <v>#DIV/0!</v>
      </c>
      <c r="BS39" s="526">
        <f t="shared" si="134"/>
        <v>0</v>
      </c>
      <c r="BT39" s="524"/>
      <c r="BU39" s="525" t="e">
        <f t="shared" si="22"/>
        <v>#DIV/0!</v>
      </c>
      <c r="BV39" s="526">
        <f t="shared" si="135"/>
        <v>0</v>
      </c>
      <c r="BW39" s="524"/>
      <c r="BX39" s="525" t="e">
        <f t="shared" si="23"/>
        <v>#DIV/0!</v>
      </c>
      <c r="BY39" s="526">
        <f t="shared" si="136"/>
        <v>0</v>
      </c>
      <c r="BZ39" s="524"/>
      <c r="CA39" s="525" t="e">
        <f t="shared" si="24"/>
        <v>#DIV/0!</v>
      </c>
      <c r="CB39" s="526">
        <f t="shared" si="137"/>
        <v>0</v>
      </c>
      <c r="CC39" s="524"/>
      <c r="CD39" s="525" t="e">
        <f t="shared" si="25"/>
        <v>#DIV/0!</v>
      </c>
      <c r="CE39" s="526">
        <f t="shared" si="138"/>
        <v>0</v>
      </c>
      <c r="CF39" s="524"/>
      <c r="CG39" s="525" t="e">
        <f t="shared" si="26"/>
        <v>#DIV/0!</v>
      </c>
      <c r="CH39" s="526">
        <f t="shared" si="139"/>
        <v>0</v>
      </c>
      <c r="CI39" s="524"/>
      <c r="CJ39" s="525" t="e">
        <f t="shared" si="27"/>
        <v>#DIV/0!</v>
      </c>
      <c r="CK39" s="526">
        <f t="shared" si="140"/>
        <v>0</v>
      </c>
      <c r="CL39" s="524"/>
      <c r="CM39" s="525" t="e">
        <f t="shared" si="28"/>
        <v>#DIV/0!</v>
      </c>
      <c r="CN39" s="526">
        <f t="shared" si="141"/>
        <v>0</v>
      </c>
      <c r="CO39" s="524"/>
      <c r="CP39" s="525" t="e">
        <f t="shared" si="29"/>
        <v>#DIV/0!</v>
      </c>
      <c r="CQ39" s="526">
        <f t="shared" si="142"/>
        <v>0</v>
      </c>
      <c r="CR39" s="524"/>
      <c r="CS39" s="525" t="e">
        <f t="shared" si="30"/>
        <v>#DIV/0!</v>
      </c>
      <c r="CT39" s="526">
        <f t="shared" si="143"/>
        <v>0</v>
      </c>
      <c r="CU39" s="524"/>
      <c r="CV39" s="525" t="e">
        <f t="shared" si="31"/>
        <v>#DIV/0!</v>
      </c>
      <c r="CW39" s="526">
        <f t="shared" si="144"/>
        <v>0</v>
      </c>
      <c r="CX39" s="524"/>
      <c r="CY39" s="525" t="e">
        <f t="shared" si="32"/>
        <v>#DIV/0!</v>
      </c>
      <c r="CZ39" s="526">
        <f t="shared" si="145"/>
        <v>0</v>
      </c>
      <c r="DA39" s="524"/>
      <c r="DB39" s="525" t="e">
        <f t="shared" si="33"/>
        <v>#DIV/0!</v>
      </c>
      <c r="DC39" s="526">
        <f t="shared" si="146"/>
        <v>0</v>
      </c>
      <c r="DD39" s="524"/>
      <c r="DE39" s="525" t="e">
        <f t="shared" si="34"/>
        <v>#DIV/0!</v>
      </c>
      <c r="DF39" s="526">
        <f t="shared" si="147"/>
        <v>0</v>
      </c>
      <c r="DG39" s="524"/>
      <c r="DH39" s="525" t="e">
        <f t="shared" si="35"/>
        <v>#DIV/0!</v>
      </c>
      <c r="DI39" s="526">
        <f t="shared" si="203"/>
        <v>0</v>
      </c>
      <c r="DJ39" s="524"/>
      <c r="DK39" s="525" t="e">
        <f t="shared" si="36"/>
        <v>#DIV/0!</v>
      </c>
      <c r="DL39" s="526">
        <f t="shared" si="148"/>
        <v>0</v>
      </c>
      <c r="DM39" s="524"/>
      <c r="DN39" s="525" t="e">
        <f t="shared" si="37"/>
        <v>#DIV/0!</v>
      </c>
      <c r="DO39" s="526">
        <f t="shared" si="149"/>
        <v>0</v>
      </c>
      <c r="DP39" s="524"/>
      <c r="DQ39" s="525" t="e">
        <f t="shared" si="38"/>
        <v>#DIV/0!</v>
      </c>
      <c r="DR39" s="526">
        <f t="shared" si="150"/>
        <v>0</v>
      </c>
      <c r="DS39" s="524"/>
      <c r="DT39" s="525" t="e">
        <f t="shared" si="39"/>
        <v>#DIV/0!</v>
      </c>
      <c r="DU39" s="526">
        <f t="shared" si="151"/>
        <v>0</v>
      </c>
      <c r="DV39" s="524"/>
      <c r="DW39" s="525" t="e">
        <f t="shared" si="40"/>
        <v>#DIV/0!</v>
      </c>
      <c r="DX39" s="526">
        <f t="shared" si="152"/>
        <v>0</v>
      </c>
      <c r="DY39" s="524"/>
      <c r="DZ39" s="525" t="e">
        <f t="shared" si="41"/>
        <v>#DIV/0!</v>
      </c>
      <c r="EA39" s="526">
        <f t="shared" si="153"/>
        <v>0</v>
      </c>
      <c r="EB39" s="524"/>
      <c r="EC39" s="525" t="e">
        <f t="shared" si="42"/>
        <v>#DIV/0!</v>
      </c>
      <c r="ED39" s="526">
        <f t="shared" si="154"/>
        <v>0</v>
      </c>
      <c r="EE39" s="524"/>
      <c r="EF39" s="525" t="e">
        <f t="shared" si="43"/>
        <v>#DIV/0!</v>
      </c>
      <c r="EG39" s="526">
        <f t="shared" si="155"/>
        <v>0</v>
      </c>
      <c r="EH39" s="524"/>
      <c r="EI39" s="525" t="e">
        <f t="shared" si="44"/>
        <v>#DIV/0!</v>
      </c>
      <c r="EJ39" s="526">
        <f t="shared" si="156"/>
        <v>0</v>
      </c>
      <c r="EK39" s="524"/>
      <c r="EL39" s="525" t="e">
        <f t="shared" si="45"/>
        <v>#DIV/0!</v>
      </c>
      <c r="EM39" s="526">
        <f t="shared" si="157"/>
        <v>0</v>
      </c>
      <c r="EN39" s="524"/>
      <c r="EO39" s="525" t="e">
        <f t="shared" si="46"/>
        <v>#DIV/0!</v>
      </c>
      <c r="EP39" s="526">
        <f t="shared" si="158"/>
        <v>0</v>
      </c>
      <c r="EQ39" s="524"/>
      <c r="ER39" s="525" t="e">
        <f t="shared" si="47"/>
        <v>#DIV/0!</v>
      </c>
      <c r="ES39" s="526">
        <f t="shared" si="159"/>
        <v>0</v>
      </c>
      <c r="ET39" s="524"/>
      <c r="EU39" s="525" t="e">
        <f t="shared" si="48"/>
        <v>#DIV/0!</v>
      </c>
      <c r="EV39" s="526">
        <f t="shared" si="160"/>
        <v>0</v>
      </c>
      <c r="EW39" s="524"/>
      <c r="EX39" s="525" t="e">
        <f t="shared" si="49"/>
        <v>#DIV/0!</v>
      </c>
      <c r="EY39" s="526">
        <f t="shared" si="161"/>
        <v>0</v>
      </c>
      <c r="EZ39" s="524"/>
      <c r="FA39" s="525" t="e">
        <f t="shared" si="50"/>
        <v>#DIV/0!</v>
      </c>
      <c r="FB39" s="526">
        <f t="shared" si="162"/>
        <v>0</v>
      </c>
      <c r="FC39" s="524"/>
      <c r="FD39" s="525" t="e">
        <f t="shared" si="51"/>
        <v>#DIV/0!</v>
      </c>
      <c r="FE39" s="526">
        <f t="shared" si="163"/>
        <v>0</v>
      </c>
      <c r="FF39" s="524"/>
      <c r="FG39" s="525" t="e">
        <f t="shared" si="52"/>
        <v>#DIV/0!</v>
      </c>
      <c r="FH39" s="526">
        <f t="shared" si="164"/>
        <v>0</v>
      </c>
      <c r="FI39" s="524"/>
      <c r="FJ39" s="525" t="e">
        <f t="shared" si="53"/>
        <v>#DIV/0!</v>
      </c>
      <c r="FK39" s="526">
        <f t="shared" si="165"/>
        <v>0</v>
      </c>
      <c r="FL39" s="524"/>
      <c r="FM39" s="525" t="e">
        <f t="shared" si="54"/>
        <v>#DIV/0!</v>
      </c>
      <c r="FN39" s="526">
        <f t="shared" si="166"/>
        <v>0</v>
      </c>
      <c r="FO39" s="524"/>
      <c r="FP39" s="525" t="e">
        <f t="shared" si="55"/>
        <v>#DIV/0!</v>
      </c>
      <c r="FQ39" s="526">
        <f t="shared" si="167"/>
        <v>0</v>
      </c>
      <c r="FR39" s="524"/>
      <c r="FS39" s="525" t="e">
        <f t="shared" si="56"/>
        <v>#DIV/0!</v>
      </c>
      <c r="FT39" s="526">
        <f t="shared" si="168"/>
        <v>0</v>
      </c>
      <c r="FU39" s="524"/>
      <c r="FV39" s="525" t="e">
        <f t="shared" si="57"/>
        <v>#DIV/0!</v>
      </c>
      <c r="FW39" s="526">
        <f t="shared" si="169"/>
        <v>0</v>
      </c>
      <c r="FX39" s="524"/>
      <c r="FY39" s="525" t="e">
        <f t="shared" si="58"/>
        <v>#DIV/0!</v>
      </c>
      <c r="FZ39" s="526">
        <f t="shared" si="170"/>
        <v>0</v>
      </c>
      <c r="GA39" s="524"/>
      <c r="GB39" s="525" t="e">
        <f t="shared" si="59"/>
        <v>#DIV/0!</v>
      </c>
      <c r="GC39" s="526">
        <f t="shared" si="171"/>
        <v>0</v>
      </c>
      <c r="GD39" s="524"/>
      <c r="GE39" s="525" t="e">
        <f t="shared" si="60"/>
        <v>#DIV/0!</v>
      </c>
      <c r="GF39" s="526">
        <f t="shared" si="172"/>
        <v>0</v>
      </c>
      <c r="GG39" s="524"/>
      <c r="GH39" s="525" t="e">
        <f t="shared" si="61"/>
        <v>#DIV/0!</v>
      </c>
      <c r="GI39" s="526">
        <f t="shared" si="173"/>
        <v>0</v>
      </c>
      <c r="GJ39" s="524"/>
      <c r="GK39" s="525" t="e">
        <f t="shared" si="62"/>
        <v>#DIV/0!</v>
      </c>
      <c r="GL39" s="526">
        <f t="shared" si="174"/>
        <v>0</v>
      </c>
      <c r="GM39" s="524"/>
      <c r="GN39" s="525" t="e">
        <f t="shared" si="63"/>
        <v>#DIV/0!</v>
      </c>
      <c r="GO39" s="526">
        <f t="shared" si="175"/>
        <v>0</v>
      </c>
      <c r="GP39" s="524"/>
      <c r="GQ39" s="525" t="e">
        <f t="shared" si="64"/>
        <v>#DIV/0!</v>
      </c>
      <c r="GR39" s="526">
        <f t="shared" si="176"/>
        <v>0</v>
      </c>
      <c r="GS39" s="524"/>
      <c r="GT39" s="525" t="e">
        <f t="shared" si="65"/>
        <v>#DIV/0!</v>
      </c>
      <c r="GU39" s="526">
        <f t="shared" si="177"/>
        <v>0</v>
      </c>
      <c r="GV39" s="524"/>
      <c r="GW39" s="525" t="e">
        <f t="shared" si="66"/>
        <v>#DIV/0!</v>
      </c>
      <c r="GX39" s="526">
        <f t="shared" si="178"/>
        <v>0</v>
      </c>
      <c r="GY39" s="524"/>
      <c r="GZ39" s="525" t="e">
        <f t="shared" si="67"/>
        <v>#DIV/0!</v>
      </c>
      <c r="HA39" s="526">
        <f t="shared" si="179"/>
        <v>0</v>
      </c>
      <c r="HB39" s="524"/>
      <c r="HC39" s="525" t="e">
        <f t="shared" si="68"/>
        <v>#DIV/0!</v>
      </c>
      <c r="HD39" s="526">
        <f t="shared" si="180"/>
        <v>0</v>
      </c>
      <c r="HE39" s="524"/>
      <c r="HF39" s="525" t="e">
        <f t="shared" si="69"/>
        <v>#DIV/0!</v>
      </c>
      <c r="HG39" s="526">
        <f t="shared" si="181"/>
        <v>0</v>
      </c>
      <c r="HH39" s="524"/>
      <c r="HI39" s="525" t="e">
        <f t="shared" si="70"/>
        <v>#DIV/0!</v>
      </c>
      <c r="HJ39" s="526">
        <f t="shared" si="182"/>
        <v>0</v>
      </c>
      <c r="HK39" s="524"/>
      <c r="HL39" s="525" t="e">
        <f t="shared" si="71"/>
        <v>#DIV/0!</v>
      </c>
      <c r="HM39" s="526">
        <f t="shared" si="183"/>
        <v>0</v>
      </c>
      <c r="HN39" s="524"/>
      <c r="HO39" s="525" t="e">
        <f t="shared" si="72"/>
        <v>#DIV/0!</v>
      </c>
      <c r="HP39" s="526">
        <f t="shared" si="184"/>
        <v>0</v>
      </c>
      <c r="HQ39" s="524"/>
      <c r="HR39" s="525" t="e">
        <f t="shared" si="73"/>
        <v>#DIV/0!</v>
      </c>
      <c r="HS39" s="526">
        <f t="shared" si="185"/>
        <v>0</v>
      </c>
      <c r="HT39" s="524"/>
      <c r="HU39" s="525" t="e">
        <f t="shared" si="74"/>
        <v>#DIV/0!</v>
      </c>
      <c r="HV39" s="526">
        <f t="shared" si="186"/>
        <v>0</v>
      </c>
      <c r="HW39" s="524"/>
      <c r="HX39" s="525" t="e">
        <f t="shared" si="75"/>
        <v>#DIV/0!</v>
      </c>
      <c r="HY39" s="526">
        <f t="shared" si="187"/>
        <v>0</v>
      </c>
      <c r="HZ39" s="524"/>
      <c r="IA39" s="525" t="e">
        <f t="shared" si="76"/>
        <v>#DIV/0!</v>
      </c>
      <c r="IB39" s="526">
        <f t="shared" si="188"/>
        <v>0</v>
      </c>
      <c r="IC39" s="524"/>
      <c r="ID39" s="525" t="e">
        <f t="shared" si="77"/>
        <v>#DIV/0!</v>
      </c>
      <c r="IE39" s="526">
        <f t="shared" si="189"/>
        <v>0</v>
      </c>
      <c r="IF39" s="524"/>
      <c r="IG39" s="525" t="e">
        <f t="shared" si="78"/>
        <v>#DIV/0!</v>
      </c>
      <c r="IH39" s="526">
        <f t="shared" si="190"/>
        <v>0</v>
      </c>
      <c r="II39" s="524"/>
      <c r="IJ39" s="525" t="e">
        <f t="shared" si="79"/>
        <v>#DIV/0!</v>
      </c>
      <c r="IK39" s="526">
        <f t="shared" si="191"/>
        <v>0</v>
      </c>
      <c r="IL39" s="524"/>
      <c r="IM39" s="525" t="e">
        <f t="shared" si="80"/>
        <v>#DIV/0!</v>
      </c>
      <c r="IN39" s="526">
        <f t="shared" si="192"/>
        <v>0</v>
      </c>
      <c r="IO39" s="524"/>
      <c r="IP39" s="525" t="e">
        <f t="shared" si="81"/>
        <v>#DIV/0!</v>
      </c>
      <c r="IQ39" s="526">
        <f t="shared" si="193"/>
        <v>0</v>
      </c>
      <c r="IR39" s="524"/>
      <c r="IS39" s="525" t="e">
        <f t="shared" si="82"/>
        <v>#DIV/0!</v>
      </c>
      <c r="IT39" s="526">
        <f t="shared" si="194"/>
        <v>0</v>
      </c>
      <c r="IU39" s="524"/>
      <c r="IV39" s="525" t="e">
        <f t="shared" si="83"/>
        <v>#DIV/0!</v>
      </c>
      <c r="IW39" s="526">
        <f t="shared" si="195"/>
        <v>0</v>
      </c>
      <c r="IX39" s="524"/>
      <c r="IY39" s="525" t="e">
        <f t="shared" si="84"/>
        <v>#DIV/0!</v>
      </c>
      <c r="IZ39" s="526">
        <f t="shared" si="196"/>
        <v>0</v>
      </c>
      <c r="JA39" s="524"/>
      <c r="JB39" s="525" t="e">
        <f t="shared" si="85"/>
        <v>#DIV/0!</v>
      </c>
      <c r="JC39" s="526">
        <f t="shared" si="197"/>
        <v>0</v>
      </c>
      <c r="JD39" s="524"/>
      <c r="JE39" s="525" t="e">
        <f t="shared" si="86"/>
        <v>#DIV/0!</v>
      </c>
      <c r="JF39" s="526">
        <f t="shared" si="198"/>
        <v>0</v>
      </c>
      <c r="JG39" s="524"/>
      <c r="JH39" s="525" t="e">
        <f t="shared" si="87"/>
        <v>#DIV/0!</v>
      </c>
      <c r="JI39" s="526">
        <f t="shared" si="199"/>
        <v>0</v>
      </c>
      <c r="JJ39" s="524"/>
      <c r="JK39" s="526" t="str">
        <f t="shared" si="88"/>
        <v>0</v>
      </c>
      <c r="JL39" s="526" t="str">
        <f t="shared" si="89"/>
        <v>0</v>
      </c>
      <c r="JM39" s="524"/>
      <c r="JN39" s="526" t="str">
        <f t="shared" si="90"/>
        <v>0</v>
      </c>
      <c r="JO39" s="526" t="str">
        <f t="shared" si="91"/>
        <v>0</v>
      </c>
      <c r="JP39" s="524"/>
      <c r="JQ39" s="526" t="str">
        <f t="shared" si="92"/>
        <v>0</v>
      </c>
      <c r="JR39" s="526" t="str">
        <f t="shared" si="93"/>
        <v>0</v>
      </c>
      <c r="JS39" s="524"/>
      <c r="JT39" s="526" t="str">
        <f t="shared" si="94"/>
        <v>0</v>
      </c>
      <c r="JU39" s="526" t="str">
        <f t="shared" si="95"/>
        <v>0</v>
      </c>
      <c r="JV39" s="524"/>
      <c r="JW39" s="526" t="str">
        <f t="shared" si="96"/>
        <v>0</v>
      </c>
      <c r="JX39" s="526" t="str">
        <f t="shared" si="97"/>
        <v>0</v>
      </c>
      <c r="JY39" s="524"/>
      <c r="JZ39" s="526" t="str">
        <f t="shared" si="98"/>
        <v>0</v>
      </c>
      <c r="KA39" s="526" t="str">
        <f t="shared" si="99"/>
        <v>0</v>
      </c>
      <c r="KB39" s="524"/>
      <c r="KC39" s="526" t="str">
        <f t="shared" si="100"/>
        <v>0</v>
      </c>
      <c r="KD39" s="526" t="str">
        <f t="shared" si="101"/>
        <v>0</v>
      </c>
      <c r="KE39" s="524"/>
      <c r="KF39" s="526" t="str">
        <f t="shared" si="102"/>
        <v>0</v>
      </c>
      <c r="KG39" s="526" t="str">
        <f t="shared" si="103"/>
        <v>0</v>
      </c>
      <c r="KH39" s="524"/>
      <c r="KI39" s="526" t="str">
        <f t="shared" si="104"/>
        <v>0</v>
      </c>
      <c r="KJ39" s="526" t="str">
        <f t="shared" si="105"/>
        <v>0</v>
      </c>
      <c r="KK39" s="524"/>
      <c r="KL39" s="526" t="str">
        <f t="shared" si="106"/>
        <v>0</v>
      </c>
      <c r="KM39" s="526" t="str">
        <f t="shared" si="107"/>
        <v>0</v>
      </c>
      <c r="KN39" s="524"/>
      <c r="KO39" s="526" t="str">
        <f t="shared" si="108"/>
        <v>0</v>
      </c>
      <c r="KP39" s="526" t="str">
        <f t="shared" si="109"/>
        <v>0</v>
      </c>
      <c r="KQ39" s="524"/>
      <c r="KR39" s="526" t="str">
        <f t="shared" si="110"/>
        <v>0</v>
      </c>
      <c r="KS39" s="526" t="str">
        <f t="shared" si="111"/>
        <v>0</v>
      </c>
      <c r="KT39" s="526">
        <f t="shared" si="201"/>
        <v>0</v>
      </c>
      <c r="KU39" s="526">
        <f t="shared" si="202"/>
        <v>0</v>
      </c>
      <c r="KV39" s="262">
        <f t="shared" si="204"/>
        <v>0</v>
      </c>
    </row>
    <row r="40" spans="1:308" ht="15" customHeight="1" thickBot="1">
      <c r="A40" s="266"/>
      <c r="B40" s="267"/>
      <c r="C40" s="268"/>
      <c r="D40" s="268"/>
      <c r="E40" s="556"/>
      <c r="F40" s="524"/>
      <c r="G40" s="525"/>
      <c r="H40" s="526"/>
      <c r="I40" s="524"/>
      <c r="J40" s="525"/>
      <c r="K40" s="526"/>
      <c r="L40" s="524"/>
      <c r="M40" s="525"/>
      <c r="N40" s="526"/>
      <c r="O40" s="524"/>
      <c r="P40" s="525"/>
      <c r="Q40" s="526"/>
      <c r="R40" s="524"/>
      <c r="S40" s="525"/>
      <c r="T40" s="526"/>
      <c r="U40" s="524"/>
      <c r="V40" s="525"/>
      <c r="W40" s="526"/>
      <c r="X40" s="524"/>
      <c r="Y40" s="525"/>
      <c r="Z40" s="526"/>
      <c r="AA40" s="524"/>
      <c r="AB40" s="525"/>
      <c r="AC40" s="526"/>
      <c r="AD40" s="524"/>
      <c r="AE40" s="525"/>
      <c r="AF40" s="526"/>
      <c r="AG40" s="524"/>
      <c r="AH40" s="525"/>
      <c r="AI40" s="526"/>
      <c r="AJ40" s="524"/>
      <c r="AK40" s="525"/>
      <c r="AL40" s="526"/>
      <c r="AM40" s="524"/>
      <c r="AN40" s="525"/>
      <c r="AO40" s="526"/>
      <c r="AP40" s="524"/>
      <c r="AQ40" s="525"/>
      <c r="AR40" s="526"/>
      <c r="AS40" s="524"/>
      <c r="AT40" s="525"/>
      <c r="AU40" s="526"/>
      <c r="AV40" s="524"/>
      <c r="AW40" s="525"/>
      <c r="AX40" s="526"/>
      <c r="AY40" s="524"/>
      <c r="AZ40" s="525"/>
      <c r="BA40" s="526"/>
      <c r="BB40" s="524"/>
      <c r="BC40" s="525"/>
      <c r="BD40" s="526"/>
      <c r="BE40" s="524"/>
      <c r="BF40" s="525"/>
      <c r="BG40" s="526"/>
      <c r="BH40" s="524"/>
      <c r="BI40" s="525"/>
      <c r="BJ40" s="526"/>
      <c r="BK40" s="524"/>
      <c r="BL40" s="525"/>
      <c r="BM40" s="526"/>
      <c r="BN40" s="524"/>
      <c r="BO40" s="525"/>
      <c r="BP40" s="526"/>
      <c r="BQ40" s="524"/>
      <c r="BR40" s="525"/>
      <c r="BS40" s="526"/>
      <c r="BT40" s="524"/>
      <c r="BU40" s="525"/>
      <c r="BV40" s="526"/>
      <c r="BW40" s="524"/>
      <c r="BX40" s="525"/>
      <c r="BY40" s="526"/>
      <c r="BZ40" s="524"/>
      <c r="CA40" s="525"/>
      <c r="CB40" s="526"/>
      <c r="CC40" s="524"/>
      <c r="CD40" s="525"/>
      <c r="CE40" s="526"/>
      <c r="CF40" s="524"/>
      <c r="CG40" s="525"/>
      <c r="CH40" s="526"/>
      <c r="CI40" s="524"/>
      <c r="CJ40" s="525"/>
      <c r="CK40" s="526"/>
      <c r="CL40" s="524"/>
      <c r="CM40" s="525"/>
      <c r="CN40" s="526"/>
      <c r="CO40" s="524"/>
      <c r="CP40" s="525"/>
      <c r="CQ40" s="526"/>
      <c r="CR40" s="524"/>
      <c r="CS40" s="525"/>
      <c r="CT40" s="526"/>
      <c r="CU40" s="524"/>
      <c r="CV40" s="525"/>
      <c r="CW40" s="526"/>
      <c r="CX40" s="524"/>
      <c r="CY40" s="525"/>
      <c r="CZ40" s="526"/>
      <c r="DA40" s="524"/>
      <c r="DB40" s="525"/>
      <c r="DC40" s="526"/>
      <c r="DD40" s="524"/>
      <c r="DE40" s="525"/>
      <c r="DF40" s="526"/>
      <c r="DG40" s="524"/>
      <c r="DH40" s="525"/>
      <c r="DI40" s="526"/>
      <c r="DJ40" s="524"/>
      <c r="DK40" s="525"/>
      <c r="DL40" s="526"/>
      <c r="DM40" s="524"/>
      <c r="DN40" s="525"/>
      <c r="DO40" s="526"/>
      <c r="DP40" s="524"/>
      <c r="DQ40" s="525"/>
      <c r="DR40" s="526"/>
      <c r="DS40" s="524"/>
      <c r="DT40" s="525"/>
      <c r="DU40" s="526"/>
      <c r="DV40" s="524"/>
      <c r="DW40" s="525"/>
      <c r="DX40" s="526"/>
      <c r="DY40" s="524"/>
      <c r="DZ40" s="525"/>
      <c r="EA40" s="526"/>
      <c r="EB40" s="524"/>
      <c r="EC40" s="525"/>
      <c r="ED40" s="526"/>
      <c r="EE40" s="524"/>
      <c r="EF40" s="525"/>
      <c r="EG40" s="526"/>
      <c r="EH40" s="524"/>
      <c r="EI40" s="525"/>
      <c r="EJ40" s="526"/>
      <c r="EK40" s="524"/>
      <c r="EL40" s="525"/>
      <c r="EM40" s="526"/>
      <c r="EN40" s="524"/>
      <c r="EO40" s="525"/>
      <c r="EP40" s="526"/>
      <c r="EQ40" s="524"/>
      <c r="ER40" s="525"/>
      <c r="ES40" s="526"/>
      <c r="ET40" s="524"/>
      <c r="EU40" s="525"/>
      <c r="EV40" s="526"/>
      <c r="EW40" s="524"/>
      <c r="EX40" s="525"/>
      <c r="EY40" s="526"/>
      <c r="EZ40" s="524"/>
      <c r="FA40" s="525"/>
      <c r="FB40" s="526"/>
      <c r="FC40" s="524"/>
      <c r="FD40" s="525"/>
      <c r="FE40" s="526"/>
      <c r="FF40" s="524"/>
      <c r="FG40" s="525"/>
      <c r="FH40" s="526"/>
      <c r="FI40" s="524"/>
      <c r="FJ40" s="525"/>
      <c r="FK40" s="526"/>
      <c r="FL40" s="524"/>
      <c r="FM40" s="525"/>
      <c r="FN40" s="526"/>
      <c r="FO40" s="524"/>
      <c r="FP40" s="525"/>
      <c r="FQ40" s="526"/>
      <c r="FR40" s="524"/>
      <c r="FS40" s="525"/>
      <c r="FT40" s="526"/>
      <c r="FU40" s="524"/>
      <c r="FV40" s="525"/>
      <c r="FW40" s="526"/>
      <c r="FX40" s="524"/>
      <c r="FY40" s="525"/>
      <c r="FZ40" s="526"/>
      <c r="GA40" s="524"/>
      <c r="GB40" s="525"/>
      <c r="GC40" s="526"/>
      <c r="GD40" s="524"/>
      <c r="GE40" s="525"/>
      <c r="GF40" s="526"/>
      <c r="GG40" s="524"/>
      <c r="GH40" s="525"/>
      <c r="GI40" s="526"/>
      <c r="GJ40" s="524"/>
      <c r="GK40" s="525"/>
      <c r="GL40" s="526"/>
      <c r="GM40" s="524"/>
      <c r="GN40" s="525"/>
      <c r="GO40" s="526"/>
      <c r="GP40" s="524"/>
      <c r="GQ40" s="525"/>
      <c r="GR40" s="526"/>
      <c r="GS40" s="524"/>
      <c r="GT40" s="525"/>
      <c r="GU40" s="526"/>
      <c r="GV40" s="524"/>
      <c r="GW40" s="525"/>
      <c r="GX40" s="526"/>
      <c r="GY40" s="524"/>
      <c r="GZ40" s="525"/>
      <c r="HA40" s="526"/>
      <c r="HB40" s="524"/>
      <c r="HC40" s="525"/>
      <c r="HD40" s="526"/>
      <c r="HE40" s="524"/>
      <c r="HF40" s="525"/>
      <c r="HG40" s="526"/>
      <c r="HH40" s="524"/>
      <c r="HI40" s="525"/>
      <c r="HJ40" s="526"/>
      <c r="HK40" s="524"/>
      <c r="HL40" s="525"/>
      <c r="HM40" s="526"/>
      <c r="HN40" s="524"/>
      <c r="HO40" s="525"/>
      <c r="HP40" s="526"/>
      <c r="HQ40" s="524"/>
      <c r="HR40" s="525"/>
      <c r="HS40" s="526"/>
      <c r="HT40" s="524"/>
      <c r="HU40" s="525"/>
      <c r="HV40" s="526"/>
      <c r="HW40" s="524"/>
      <c r="HX40" s="525"/>
      <c r="HY40" s="526"/>
      <c r="HZ40" s="524"/>
      <c r="IA40" s="525"/>
      <c r="IB40" s="526"/>
      <c r="IC40" s="524"/>
      <c r="ID40" s="525"/>
      <c r="IE40" s="526"/>
      <c r="IF40" s="524"/>
      <c r="IG40" s="525"/>
      <c r="IH40" s="526"/>
      <c r="II40" s="524"/>
      <c r="IJ40" s="525"/>
      <c r="IK40" s="526"/>
      <c r="IL40" s="524"/>
      <c r="IM40" s="525"/>
      <c r="IN40" s="526"/>
      <c r="IO40" s="524"/>
      <c r="IP40" s="525"/>
      <c r="IQ40" s="526"/>
      <c r="IR40" s="524"/>
      <c r="IS40" s="525"/>
      <c r="IT40" s="526"/>
      <c r="IU40" s="524"/>
      <c r="IV40" s="525"/>
      <c r="IW40" s="526"/>
      <c r="IX40" s="524"/>
      <c r="IY40" s="525"/>
      <c r="IZ40" s="526"/>
      <c r="JA40" s="524"/>
      <c r="JB40" s="525"/>
      <c r="JC40" s="526"/>
      <c r="JD40" s="524"/>
      <c r="JE40" s="525"/>
      <c r="JF40" s="526"/>
      <c r="JG40" s="524"/>
      <c r="JH40" s="525"/>
      <c r="JI40" s="526"/>
      <c r="JJ40" s="524"/>
      <c r="JK40" s="526"/>
      <c r="JL40" s="526"/>
      <c r="JM40" s="524"/>
      <c r="JN40" s="526"/>
      <c r="JO40" s="526"/>
      <c r="JP40" s="524"/>
      <c r="JQ40" s="526"/>
      <c r="JR40" s="526"/>
      <c r="JS40" s="524"/>
      <c r="JT40" s="526"/>
      <c r="JU40" s="526"/>
      <c r="JV40" s="524"/>
      <c r="JW40" s="526"/>
      <c r="JX40" s="526"/>
      <c r="JY40" s="524"/>
      <c r="JZ40" s="526"/>
      <c r="KA40" s="526"/>
      <c r="KB40" s="524"/>
      <c r="KC40" s="526"/>
      <c r="KD40" s="526"/>
      <c r="KE40" s="524"/>
      <c r="KF40" s="526"/>
      <c r="KG40" s="526"/>
      <c r="KH40" s="524"/>
      <c r="KI40" s="526"/>
      <c r="KJ40" s="526"/>
      <c r="KK40" s="524"/>
      <c r="KL40" s="526"/>
      <c r="KM40" s="526"/>
      <c r="KN40" s="524"/>
      <c r="KO40" s="526"/>
      <c r="KP40" s="526"/>
      <c r="KQ40" s="524"/>
      <c r="KR40" s="526"/>
      <c r="KS40" s="526"/>
      <c r="KT40" s="526"/>
      <c r="KU40" s="526"/>
      <c r="KV40" s="262"/>
    </row>
    <row r="41" spans="1:308" s="529" customFormat="1" ht="15" customHeight="1" thickTop="1" thickBot="1">
      <c r="A41" s="703" t="s">
        <v>28</v>
      </c>
      <c r="B41" s="704"/>
      <c r="C41" s="705"/>
      <c r="D41" s="557">
        <f>SUM(D9:D40)</f>
        <v>440.91260000000005</v>
      </c>
      <c r="E41" s="556">
        <v>0</v>
      </c>
      <c r="F41" s="527">
        <f>SUM(F9:F39)</f>
        <v>0</v>
      </c>
      <c r="G41" s="527">
        <f>IFERROR((F41/$L$41),0)</f>
        <v>0</v>
      </c>
      <c r="H41" s="527">
        <f>IFERROR(((F41*H$8)/$L$41),0)</f>
        <v>0</v>
      </c>
      <c r="I41" s="527">
        <f>SUM(I9:I39)</f>
        <v>2360.4623581395349</v>
      </c>
      <c r="J41" s="527">
        <f>IFERROR((I41/$L$41),0)</f>
        <v>0</v>
      </c>
      <c r="K41" s="527">
        <f>IFERROR(((I41*K$8)/$L$41),0)</f>
        <v>0</v>
      </c>
      <c r="L41" s="527">
        <f>SUM(L9:L39)</f>
        <v>0</v>
      </c>
      <c r="M41" s="527">
        <f>IFERROR((L41/$L$41),0)</f>
        <v>0</v>
      </c>
      <c r="N41" s="527">
        <f>IFERROR(((L41*N$8)/$L$41),0)</f>
        <v>0</v>
      </c>
      <c r="O41" s="527">
        <f>SUM(O9:O39)</f>
        <v>71.995999999999981</v>
      </c>
      <c r="P41" s="527">
        <f>IFERROR((O41/$L$41),0)</f>
        <v>0</v>
      </c>
      <c r="Q41" s="527">
        <f>IFERROR(((O41*Q$8)/$L$41),0)</f>
        <v>0</v>
      </c>
      <c r="R41" s="527">
        <f>SUM(R9:R39)</f>
        <v>0</v>
      </c>
      <c r="S41" s="527">
        <f>IFERROR((R41/$L$41),0)</f>
        <v>0</v>
      </c>
      <c r="T41" s="527">
        <f>IFERROR(((R41*T$8)/$L$41),0)</f>
        <v>0</v>
      </c>
      <c r="U41" s="527">
        <f>SUM(U9:U39)</f>
        <v>88.027100000000019</v>
      </c>
      <c r="V41" s="527">
        <f>IFERROR((U41/$L$41),0)</f>
        <v>0</v>
      </c>
      <c r="W41" s="527">
        <f>IFERROR(((U41*W$8)/$L$41),0)</f>
        <v>0</v>
      </c>
      <c r="X41" s="527">
        <f>SUM(X9:X39)</f>
        <v>0</v>
      </c>
      <c r="Y41" s="527">
        <f>IFERROR((X41/$L$41),0)</f>
        <v>0</v>
      </c>
      <c r="Z41" s="527">
        <f>IFERROR(((X41*Z$8)/$L$41),0)</f>
        <v>0</v>
      </c>
      <c r="AA41" s="527">
        <f>SUM(AA9:AA39)</f>
        <v>64.0625</v>
      </c>
      <c r="AB41" s="527">
        <f>IFERROR((AA41/$L$41),0)</f>
        <v>0</v>
      </c>
      <c r="AC41" s="527">
        <f>IFERROR(((AA41*AC$8)/$L$41),0)</f>
        <v>0</v>
      </c>
      <c r="AD41" s="527">
        <f>SUM(AD9:AD39)</f>
        <v>0</v>
      </c>
      <c r="AE41" s="527">
        <f>IFERROR((AD41/$L$41),0)</f>
        <v>0</v>
      </c>
      <c r="AF41" s="527">
        <f>IFERROR(((AD41*AF$8)/$L$41),0)</f>
        <v>0</v>
      </c>
      <c r="AG41" s="527">
        <f>SUM(AG9:AG39)</f>
        <v>18.899999999999977</v>
      </c>
      <c r="AH41" s="527">
        <f>IFERROR((AG41/$L$41),0)</f>
        <v>0</v>
      </c>
      <c r="AI41" s="527">
        <f>IFERROR(((AG41*AI$8)/$L$41),0)</f>
        <v>0</v>
      </c>
      <c r="AJ41" s="527">
        <f>SUM(AJ9:AJ39)</f>
        <v>64.621200000000016</v>
      </c>
      <c r="AK41" s="527">
        <f>IFERROR((AJ41/$L$41),0)</f>
        <v>0</v>
      </c>
      <c r="AL41" s="527">
        <f>IFERROR(((AJ41*AL$8)/$L$41),0)</f>
        <v>0</v>
      </c>
      <c r="AM41" s="527">
        <f>SUM(AM9:AM39)</f>
        <v>0</v>
      </c>
      <c r="AN41" s="527">
        <f>IFERROR((AM41/$L$41),0)</f>
        <v>0</v>
      </c>
      <c r="AO41" s="527">
        <f>IFERROR(((AM41*AO$8)/$L$41),0)</f>
        <v>0</v>
      </c>
      <c r="AP41" s="527">
        <f>SUM(AP9:AP39)</f>
        <v>541.13954810126597</v>
      </c>
      <c r="AQ41" s="527">
        <f>IFERROR((AP41/$L$41),0)</f>
        <v>0</v>
      </c>
      <c r="AR41" s="527">
        <f>IFERROR(((AP41*AR$8)/$L$41),0)</f>
        <v>0</v>
      </c>
      <c r="AS41" s="527">
        <f>SUM(AS9:AS39)</f>
        <v>0</v>
      </c>
      <c r="AT41" s="527">
        <f>IFERROR((AS41/$L$41),0)</f>
        <v>0</v>
      </c>
      <c r="AU41" s="527">
        <f>IFERROR(((AS41*AU$8)/$L$41),0)</f>
        <v>0</v>
      </c>
      <c r="AV41" s="527">
        <f>SUM(AV9:AV39)</f>
        <v>2.7750000000000004</v>
      </c>
      <c r="AW41" s="527">
        <f>IFERROR((AV41/$L$41),0)</f>
        <v>0</v>
      </c>
      <c r="AX41" s="527">
        <f>IFERROR(((AV41*AX$8)/$L$41),0)</f>
        <v>0</v>
      </c>
      <c r="AY41" s="527">
        <f>SUM(AY9:AY39)</f>
        <v>704.66413333333344</v>
      </c>
      <c r="AZ41" s="527">
        <f>IFERROR((AY41/$L$41),0)</f>
        <v>0</v>
      </c>
      <c r="BA41" s="527">
        <f>IFERROR(((AY41*BA$8)/$L$41),0)</f>
        <v>0</v>
      </c>
      <c r="BB41" s="527">
        <f>SUM(BB9:BB39)</f>
        <v>0</v>
      </c>
      <c r="BC41" s="527">
        <f>IFERROR((BB41/$L$41),0)</f>
        <v>0</v>
      </c>
      <c r="BD41" s="527">
        <f>IFERROR(((BB41*BD$8)/$L$41),0)</f>
        <v>0</v>
      </c>
      <c r="BE41" s="527">
        <f>SUM(BE9:BE39)</f>
        <v>0</v>
      </c>
      <c r="BF41" s="527">
        <f>IFERROR((BE41/$L$41),0)</f>
        <v>0</v>
      </c>
      <c r="BG41" s="527">
        <f>IFERROR(((BE41*BG$8)/$L$41),0)</f>
        <v>0</v>
      </c>
      <c r="BH41" s="527">
        <f>SUM(BH9:BH39)</f>
        <v>0</v>
      </c>
      <c r="BI41" s="527">
        <f>IFERROR((BH41/$L$41),0)</f>
        <v>0</v>
      </c>
      <c r="BJ41" s="527">
        <f>IFERROR(((BH41*BJ$8)/$L$41),0)</f>
        <v>0</v>
      </c>
      <c r="BK41" s="527">
        <f>SUM(BK9:BK39)</f>
        <v>0</v>
      </c>
      <c r="BL41" s="527">
        <f>IFERROR((BK41/$L$41),0)</f>
        <v>0</v>
      </c>
      <c r="BM41" s="527">
        <f>IFERROR(((BK41*BM$8)/$L$41),0)</f>
        <v>0</v>
      </c>
      <c r="BN41" s="527">
        <f>SUM(BN9:BN39)</f>
        <v>0</v>
      </c>
      <c r="BO41" s="527">
        <f>IFERROR((BN41/$L$41),0)</f>
        <v>0</v>
      </c>
      <c r="BP41" s="527">
        <f>IFERROR(((BN41*BP$8)/$L$41),0)</f>
        <v>0</v>
      </c>
      <c r="BQ41" s="527">
        <f>SUM(BQ9:BQ39)</f>
        <v>1728.8854430379749</v>
      </c>
      <c r="BR41" s="527">
        <f>IFERROR((BQ41/$L$41),0)</f>
        <v>0</v>
      </c>
      <c r="BS41" s="527">
        <f>IFERROR(((BQ41*BS$8)/$L$41),0)</f>
        <v>0</v>
      </c>
      <c r="BT41" s="527">
        <f>SUM(BT9:BT39)</f>
        <v>0</v>
      </c>
      <c r="BU41" s="527">
        <f>IFERROR((BT41/$L$41),0)</f>
        <v>0</v>
      </c>
      <c r="BV41" s="527">
        <f>IFERROR(((BT41*BV$8)/$L$41),0)</f>
        <v>0</v>
      </c>
      <c r="BW41" s="527">
        <f>SUM(BW9:BW39)</f>
        <v>0</v>
      </c>
      <c r="BX41" s="527">
        <f>IFERROR((BW41/$L$41),0)</f>
        <v>0</v>
      </c>
      <c r="BY41" s="527">
        <f>IFERROR(((BW41*BY$8)/$L$41),0)</f>
        <v>0</v>
      </c>
      <c r="BZ41" s="527">
        <f>SUM(BZ9:BZ39)</f>
        <v>3012.9767441860463</v>
      </c>
      <c r="CA41" s="527">
        <f>IFERROR((BZ41/$L$41),0)</f>
        <v>0</v>
      </c>
      <c r="CB41" s="527">
        <f>IFERROR(((BZ41*CB$8)/$L$41),0)</f>
        <v>0</v>
      </c>
      <c r="CC41" s="527">
        <f>SUM(CC9:CC39)</f>
        <v>10</v>
      </c>
      <c r="CD41" s="527">
        <f>IFERROR((CC41/$L$41),0)</f>
        <v>0</v>
      </c>
      <c r="CE41" s="527">
        <f>IFERROR(((CC41*CE$8)/$L$41),0)</f>
        <v>0</v>
      </c>
      <c r="CF41" s="527">
        <f>SUM(CF9:CF39)</f>
        <v>6.3999999999999968</v>
      </c>
      <c r="CG41" s="527">
        <f>IFERROR((CF41/$L$41),0)</f>
        <v>0</v>
      </c>
      <c r="CH41" s="527">
        <f>IFERROR(((CF41*CH$8)/$L$41),0)</f>
        <v>0</v>
      </c>
      <c r="CI41" s="527">
        <f>SUM(CI9:CI39)</f>
        <v>0</v>
      </c>
      <c r="CJ41" s="527">
        <f>IFERROR((CI41/$L$41),0)</f>
        <v>0</v>
      </c>
      <c r="CK41" s="527">
        <f>IFERROR(((CI41*CK$8)/$L$41),0)</f>
        <v>0</v>
      </c>
      <c r="CL41" s="527">
        <f>SUM(CL9:CL39)</f>
        <v>0</v>
      </c>
      <c r="CM41" s="527">
        <f>IFERROR((CL41/$L$41),0)</f>
        <v>0</v>
      </c>
      <c r="CN41" s="527">
        <f>IFERROR(((CL41*CN$8)/$L$41),0)</f>
        <v>0</v>
      </c>
      <c r="CO41" s="527">
        <f>SUM(CO9:CO39)</f>
        <v>0</v>
      </c>
      <c r="CP41" s="527">
        <f>IFERROR((CO41/$L$41),0)</f>
        <v>0</v>
      </c>
      <c r="CQ41" s="527">
        <f>IFERROR(((CO41*CQ$8)/$L$41),0)</f>
        <v>0</v>
      </c>
      <c r="CR41" s="527">
        <f>SUM(CR9:CR39)</f>
        <v>0</v>
      </c>
      <c r="CS41" s="527">
        <f>IFERROR((CR41/$L$41),0)</f>
        <v>0</v>
      </c>
      <c r="CT41" s="527">
        <f>IFERROR(((CR41*CT$8)/$L$41),0)</f>
        <v>0</v>
      </c>
      <c r="CU41" s="527">
        <f>SUM(CU9:CU39)</f>
        <v>0</v>
      </c>
      <c r="CV41" s="527">
        <f>IFERROR((CU41/$L$41),0)</f>
        <v>0</v>
      </c>
      <c r="CW41" s="527">
        <f>IFERROR(((CU41*CW$8)/$L$41),0)</f>
        <v>0</v>
      </c>
      <c r="CX41" s="527">
        <f>SUM(CX9:CX39)</f>
        <v>0</v>
      </c>
      <c r="CY41" s="527">
        <f>IFERROR((CX41/$L$41),0)</f>
        <v>0</v>
      </c>
      <c r="CZ41" s="527">
        <f>IFERROR(((CX41*CZ$8)/$L$41),0)</f>
        <v>0</v>
      </c>
      <c r="DA41" s="527">
        <f>SUM(DA9:DA39)</f>
        <v>0</v>
      </c>
      <c r="DB41" s="527">
        <f>IFERROR((DA41/$L$41),0)</f>
        <v>0</v>
      </c>
      <c r="DC41" s="527">
        <f>IFERROR(((DA41*DC$8)/$L$41),0)</f>
        <v>0</v>
      </c>
      <c r="DD41" s="527">
        <f>SUM(DD9:DD39)</f>
        <v>0</v>
      </c>
      <c r="DE41" s="527">
        <f>IFERROR((DD41/$L$41),0)</f>
        <v>0</v>
      </c>
      <c r="DF41" s="527">
        <f>IFERROR(((DD41*DF$8)/$L$41),0)</f>
        <v>0</v>
      </c>
      <c r="DG41" s="527">
        <f>SUM(DG14:DG39)</f>
        <v>0</v>
      </c>
      <c r="DH41" s="527">
        <f>IFERROR((DG41/$L$41),0)</f>
        <v>0</v>
      </c>
      <c r="DI41" s="527">
        <f>IFERROR(((DG41*DI$8)/$L$41),0)</f>
        <v>0</v>
      </c>
      <c r="DJ41" s="527">
        <f>SUM(DJ9:DJ39)</f>
        <v>0</v>
      </c>
      <c r="DK41" s="527">
        <f>IFERROR((DJ41/$L$41),0)</f>
        <v>0</v>
      </c>
      <c r="DL41" s="527">
        <f>IFERROR(((DJ41*DL$8)/$L$41),0)</f>
        <v>0</v>
      </c>
      <c r="DM41" s="527">
        <f>SUM(DM9:DM39)</f>
        <v>0</v>
      </c>
      <c r="DN41" s="527">
        <f>IFERROR((DM41/$L$41),0)</f>
        <v>0</v>
      </c>
      <c r="DO41" s="527">
        <f>IFERROR(((DM41*DO$8)/$L$41),0)</f>
        <v>0</v>
      </c>
      <c r="DP41" s="527">
        <f>SUM(DP9:DP39)</f>
        <v>0</v>
      </c>
      <c r="DQ41" s="527">
        <f>IFERROR((DP41/$L$41),0)</f>
        <v>0</v>
      </c>
      <c r="DR41" s="527">
        <f>IFERROR(((DP41*DR$8)/$L$41),0)</f>
        <v>0</v>
      </c>
      <c r="DS41" s="527">
        <f>SUM(DS9:DS39)</f>
        <v>0</v>
      </c>
      <c r="DT41" s="527">
        <f>IFERROR((DS41/$L$41),0)</f>
        <v>0</v>
      </c>
      <c r="DU41" s="527">
        <f>IFERROR(((DS41*DU$8)/$L$41),0)</f>
        <v>0</v>
      </c>
      <c r="DV41" s="527">
        <f>SUM(DV9:DV39)</f>
        <v>0</v>
      </c>
      <c r="DW41" s="527">
        <f>IFERROR((DV41/$L$41),0)</f>
        <v>0</v>
      </c>
      <c r="DX41" s="527">
        <f>IFERROR(((DV41*DX$8)/$L$41),0)</f>
        <v>0</v>
      </c>
      <c r="DY41" s="527">
        <f>SUM(DY9:DY39)</f>
        <v>0</v>
      </c>
      <c r="DZ41" s="527">
        <f>IFERROR((DY41/$L$41),0)</f>
        <v>0</v>
      </c>
      <c r="EA41" s="527">
        <f>IFERROR(((DY41*EA$8)/$L$41),0)</f>
        <v>0</v>
      </c>
      <c r="EB41" s="527">
        <f>SUM(EB9:EB39)</f>
        <v>0</v>
      </c>
      <c r="EC41" s="527">
        <f>IFERROR((EB41/$L$41),0)</f>
        <v>0</v>
      </c>
      <c r="ED41" s="527">
        <f>IFERROR(((EB41*ED$8)/$L$41),0)</f>
        <v>0</v>
      </c>
      <c r="EE41" s="527">
        <f>SUM(EE9:EE39)</f>
        <v>193.79844961240318</v>
      </c>
      <c r="EF41" s="527">
        <f>IFERROR((EE41/$L$41),0)</f>
        <v>0</v>
      </c>
      <c r="EG41" s="527">
        <f>IFERROR(((EE41*EG$8)/$L$41),0)</f>
        <v>0</v>
      </c>
      <c r="EH41" s="527">
        <f>SUM(EH9:EH39)</f>
        <v>493.1335294117647</v>
      </c>
      <c r="EI41" s="527">
        <f>IFERROR((EH41/$L$41),0)</f>
        <v>0</v>
      </c>
      <c r="EJ41" s="527">
        <f>IFERROR(((EH41*EJ$8)/$L$41),0)</f>
        <v>0</v>
      </c>
      <c r="EK41" s="527">
        <f>SUM(EK9:EK39)</f>
        <v>29.8</v>
      </c>
      <c r="EL41" s="527">
        <f>IFERROR((EK41/$L$41),0)</f>
        <v>0</v>
      </c>
      <c r="EM41" s="527">
        <f>IFERROR(((EK41*EM$8)/$L$41),0)</f>
        <v>0</v>
      </c>
      <c r="EN41" s="527">
        <f>SUM(EN9:EN39)</f>
        <v>0</v>
      </c>
      <c r="EO41" s="527">
        <f>IFERROR((EN41/$L$41),0)</f>
        <v>0</v>
      </c>
      <c r="EP41" s="527">
        <f>IFERROR(((EN41*EP$8)/$L$41),0)</f>
        <v>0</v>
      </c>
      <c r="EQ41" s="527">
        <f>SUM(EQ9:EQ39)</f>
        <v>0</v>
      </c>
      <c r="ER41" s="527">
        <f>IFERROR((EQ41/$L$41),0)</f>
        <v>0</v>
      </c>
      <c r="ES41" s="527">
        <f>IFERROR(((EQ41*ES$8)/$L$41),0)</f>
        <v>0</v>
      </c>
      <c r="ET41" s="527">
        <f>SUM(ET9:ET39)</f>
        <v>0</v>
      </c>
      <c r="EU41" s="527">
        <f>IFERROR((ET41/$L$41),0)</f>
        <v>0</v>
      </c>
      <c r="EV41" s="527">
        <f>IFERROR(((ET41*EV$8)/$L$41),0)</f>
        <v>0</v>
      </c>
      <c r="EW41" s="527">
        <f>SUM(EW9:EW39)</f>
        <v>0</v>
      </c>
      <c r="EX41" s="527">
        <f>IFERROR((EW41/$L$41),0)</f>
        <v>0</v>
      </c>
      <c r="EY41" s="527">
        <f>IFERROR(((EW41*EY$8)/$L$41),0)</f>
        <v>0</v>
      </c>
      <c r="EZ41" s="527">
        <f>SUM(EZ9:EZ39)</f>
        <v>0</v>
      </c>
      <c r="FA41" s="527">
        <f>IFERROR((EZ41/$L$41),0)</f>
        <v>0</v>
      </c>
      <c r="FB41" s="527">
        <f>IFERROR(((EZ41*FB$8)/$L$41),0)</f>
        <v>0</v>
      </c>
      <c r="FC41" s="527">
        <f>SUM(FC9:FC39)</f>
        <v>0</v>
      </c>
      <c r="FD41" s="527">
        <f>IFERROR((FC41/$L$41),0)</f>
        <v>0</v>
      </c>
      <c r="FE41" s="527">
        <f>IFERROR(((FC41*FE$8)/$L$41),0)</f>
        <v>0</v>
      </c>
      <c r="FF41" s="527">
        <f>SUM(FF9:FF39)</f>
        <v>0</v>
      </c>
      <c r="FG41" s="527">
        <f>IFERROR((FF41/$L$41),0)</f>
        <v>0</v>
      </c>
      <c r="FH41" s="527">
        <f>IFERROR(((FF41*FH$8)/$L$41),0)</f>
        <v>0</v>
      </c>
      <c r="FI41" s="527">
        <f>SUM(FI9:FI39)</f>
        <v>0</v>
      </c>
      <c r="FJ41" s="527">
        <f>IFERROR((FI41/$L$41),0)</f>
        <v>0</v>
      </c>
      <c r="FK41" s="527">
        <f>IFERROR(((FI41*FK$8)/$L$41),0)</f>
        <v>0</v>
      </c>
      <c r="FL41" s="527">
        <f>SUM(FL9:FL39)</f>
        <v>0</v>
      </c>
      <c r="FM41" s="527">
        <f>IFERROR((FL41/$L$41),0)</f>
        <v>0</v>
      </c>
      <c r="FN41" s="527">
        <f>IFERROR(((FL41*FN$8)/$L$41),0)</f>
        <v>0</v>
      </c>
      <c r="FO41" s="527">
        <f>SUM(FO9:FO39)</f>
        <v>0</v>
      </c>
      <c r="FP41" s="527">
        <f>IFERROR((FO41/$L$41),0)</f>
        <v>0</v>
      </c>
      <c r="FQ41" s="527">
        <f>IFERROR(((FO41*FQ$8)/$L$41),0)</f>
        <v>0</v>
      </c>
      <c r="FR41" s="527">
        <f>SUM(FR9:FR39)</f>
        <v>0</v>
      </c>
      <c r="FS41" s="527">
        <f>IFERROR((FR41/$L$41),0)</f>
        <v>0</v>
      </c>
      <c r="FT41" s="527">
        <f>IFERROR(((FR41*FT$8)/$L$41),0)</f>
        <v>0</v>
      </c>
      <c r="FU41" s="527">
        <f>SUM(FU9:FU39)</f>
        <v>0</v>
      </c>
      <c r="FV41" s="527">
        <f>IFERROR((FU41/$L$41),0)</f>
        <v>0</v>
      </c>
      <c r="FW41" s="527">
        <f>IFERROR(((FU41*FW$8)/$L$41),0)</f>
        <v>0</v>
      </c>
      <c r="FX41" s="527">
        <f>SUM(FX9:FX39)</f>
        <v>0</v>
      </c>
      <c r="FY41" s="527">
        <f>IFERROR((FX41/$L$41),0)</f>
        <v>0</v>
      </c>
      <c r="FZ41" s="527">
        <f>IFERROR(((FX41*FZ$8)/$L$41),0)</f>
        <v>0</v>
      </c>
      <c r="GA41" s="527">
        <f>SUM(GA9:GA39)</f>
        <v>0</v>
      </c>
      <c r="GB41" s="527">
        <f>IFERROR((GA41/$L$41),0)</f>
        <v>0</v>
      </c>
      <c r="GC41" s="527">
        <f>IFERROR(((GA41*GC$8)/$L$41),0)</f>
        <v>0</v>
      </c>
      <c r="GD41" s="527">
        <f>SUM(GD9:GD39)</f>
        <v>0</v>
      </c>
      <c r="GE41" s="527">
        <f>IFERROR((GD41/$L$41),0)</f>
        <v>0</v>
      </c>
      <c r="GF41" s="527">
        <f>IFERROR(((GD41*GF$8)/$L$41),0)</f>
        <v>0</v>
      </c>
      <c r="GG41" s="527">
        <f>SUM(GG9:GG39)</f>
        <v>0</v>
      </c>
      <c r="GH41" s="527">
        <f>IFERROR((GG41/$L$41),0)</f>
        <v>0</v>
      </c>
      <c r="GI41" s="527">
        <f>IFERROR(((GG41*GI$8)/$L$41),0)</f>
        <v>0</v>
      </c>
      <c r="GJ41" s="527">
        <f>SUM(GJ9:GJ39)</f>
        <v>0</v>
      </c>
      <c r="GK41" s="527">
        <f>IFERROR((GJ41/$L$41),0)</f>
        <v>0</v>
      </c>
      <c r="GL41" s="527">
        <f>IFERROR(((GJ41*GL$8)/$L$41),0)</f>
        <v>0</v>
      </c>
      <c r="GM41" s="527">
        <f>SUM(GM9:GM39)</f>
        <v>0</v>
      </c>
      <c r="GN41" s="527">
        <f>IFERROR((GM41/$L$41),0)</f>
        <v>0</v>
      </c>
      <c r="GO41" s="527">
        <f>IFERROR(((GM41*GO$8)/$L$41),0)</f>
        <v>0</v>
      </c>
      <c r="GP41" s="527">
        <f>SUM(GP9:GP39)</f>
        <v>0</v>
      </c>
      <c r="GQ41" s="527">
        <f>IFERROR((GP41/$L$41),0)</f>
        <v>0</v>
      </c>
      <c r="GR41" s="527">
        <f>IFERROR(((GP41*GR$8)/$L$41),0)</f>
        <v>0</v>
      </c>
      <c r="GS41" s="527">
        <f>SUM(GS9:GS39)</f>
        <v>0</v>
      </c>
      <c r="GT41" s="527">
        <f>IFERROR((GS41/$L$41),0)</f>
        <v>0</v>
      </c>
      <c r="GU41" s="527">
        <f>IFERROR(((GS41*GU$8)/$L$41),0)</f>
        <v>0</v>
      </c>
      <c r="GV41" s="527">
        <f>SUM(GV9:GV39)</f>
        <v>0</v>
      </c>
      <c r="GW41" s="527">
        <f>IFERROR((GV41/$L$41),0)</f>
        <v>0</v>
      </c>
      <c r="GX41" s="527">
        <f>IFERROR(((GV41*GX$8)/$L$41),0)</f>
        <v>0</v>
      </c>
      <c r="GY41" s="527">
        <f>SUM(GY9:GY39)</f>
        <v>0</v>
      </c>
      <c r="GZ41" s="527">
        <f>IFERROR((GY41/$L$41),0)</f>
        <v>0</v>
      </c>
      <c r="HA41" s="527">
        <f>IFERROR(((GY41*HA$8)/$L$41),0)</f>
        <v>0</v>
      </c>
      <c r="HB41" s="527">
        <f>SUM(HB9:HB39)</f>
        <v>2804</v>
      </c>
      <c r="HC41" s="527">
        <f>IFERROR((HB41/$L$41),0)</f>
        <v>0</v>
      </c>
      <c r="HD41" s="527">
        <f>IFERROR(((HB41*HD$8)/$L$41),0)</f>
        <v>0</v>
      </c>
      <c r="HE41" s="527">
        <f>SUM(HE9:HE39)</f>
        <v>0</v>
      </c>
      <c r="HF41" s="527">
        <f>IFERROR((HE41/$L$41),0)</f>
        <v>0</v>
      </c>
      <c r="HG41" s="527">
        <f>IFERROR(((HE41*HG$8)/$L$41),0)</f>
        <v>0</v>
      </c>
      <c r="HH41" s="527">
        <f>SUM(HH9:HH39)</f>
        <v>0</v>
      </c>
      <c r="HI41" s="527">
        <f>IFERROR((HH41/$L$41),0)</f>
        <v>0</v>
      </c>
      <c r="HJ41" s="527">
        <f>IFERROR(((HH41*HJ$8)/$L$41),0)</f>
        <v>0</v>
      </c>
      <c r="HK41" s="527">
        <f>SUM(HK9:HK39)</f>
        <v>0</v>
      </c>
      <c r="HL41" s="527">
        <f>IFERROR((HK41/$L$41),0)</f>
        <v>0</v>
      </c>
      <c r="HM41" s="527">
        <f>IFERROR(((HK41*HM$8)/$L$41),0)</f>
        <v>0</v>
      </c>
      <c r="HN41" s="527">
        <f>SUM(HN9:HN39)</f>
        <v>0</v>
      </c>
      <c r="HO41" s="527">
        <f>IFERROR((HN41/$L$41),0)</f>
        <v>0</v>
      </c>
      <c r="HP41" s="527">
        <f>IFERROR(((HN41*HP$8)/$L$41),0)</f>
        <v>0</v>
      </c>
      <c r="HQ41" s="527">
        <f>SUM(HQ9:HQ39)</f>
        <v>0</v>
      </c>
      <c r="HR41" s="527">
        <f>IFERROR((HQ41/$L$41),0)</f>
        <v>0</v>
      </c>
      <c r="HS41" s="527">
        <f>IFERROR(((HQ41*HS$8)/$L$41),0)</f>
        <v>0</v>
      </c>
      <c r="HT41" s="527">
        <f>SUM(HT9:HT39)</f>
        <v>0</v>
      </c>
      <c r="HU41" s="527">
        <f>IFERROR((HT41/$L$41),0)</f>
        <v>0</v>
      </c>
      <c r="HV41" s="527">
        <f>IFERROR(((HT41*HV$8)/$L$41),0)</f>
        <v>0</v>
      </c>
      <c r="HW41" s="527">
        <f>SUM(HW9:HW39)</f>
        <v>0</v>
      </c>
      <c r="HX41" s="527">
        <f>IFERROR((HW41/$L$41),0)</f>
        <v>0</v>
      </c>
      <c r="HY41" s="527">
        <f>IFERROR(((HW41*HY$8)/$L$41),0)</f>
        <v>0</v>
      </c>
      <c r="HZ41" s="527">
        <f>SUM(HZ9:HZ39)</f>
        <v>0</v>
      </c>
      <c r="IA41" s="527">
        <f>IFERROR((HZ41/$L$41),0)</f>
        <v>0</v>
      </c>
      <c r="IB41" s="527">
        <f>IFERROR(((HZ41*IB$8)/$L$41),0)</f>
        <v>0</v>
      </c>
      <c r="IC41" s="527">
        <f>SUM(IC9:IC39)</f>
        <v>0</v>
      </c>
      <c r="ID41" s="527">
        <f>IFERROR((IC41/$L$41),0)</f>
        <v>0</v>
      </c>
      <c r="IE41" s="527">
        <f>IFERROR(((IC41*IE$8)/$L$41),0)</f>
        <v>0</v>
      </c>
      <c r="IF41" s="527">
        <f>SUM(IF9:IF39)</f>
        <v>0</v>
      </c>
      <c r="IG41" s="527">
        <f>IFERROR((IF41/$L$41),0)</f>
        <v>0</v>
      </c>
      <c r="IH41" s="527">
        <f>IFERROR(((IF41*IH$8)/$L$41),0)</f>
        <v>0</v>
      </c>
      <c r="II41" s="527">
        <f>SUM(II9:II39)</f>
        <v>0</v>
      </c>
      <c r="IJ41" s="527">
        <f>IFERROR((II41/$L$41),0)</f>
        <v>0</v>
      </c>
      <c r="IK41" s="527">
        <f>IFERROR(((II41*IK$8)/$L$41),0)</f>
        <v>0</v>
      </c>
      <c r="IL41" s="527">
        <f>SUM(IL9:IL39)</f>
        <v>0</v>
      </c>
      <c r="IM41" s="527">
        <f>IFERROR((IL41/$L$41),0)</f>
        <v>0</v>
      </c>
      <c r="IN41" s="527">
        <f>IFERROR(((IL41*IN$8)/$L$41),0)</f>
        <v>0</v>
      </c>
      <c r="IO41" s="527">
        <f>SUM(IO9:IO39)</f>
        <v>0</v>
      </c>
      <c r="IP41" s="527">
        <f>IFERROR((IO41/$L$41),0)</f>
        <v>0</v>
      </c>
      <c r="IQ41" s="527">
        <f>IFERROR(((IO41*IQ$8)/$L$41),0)</f>
        <v>0</v>
      </c>
      <c r="IR41" s="527">
        <f>SUM(IR9:IR39)</f>
        <v>0</v>
      </c>
      <c r="IS41" s="527">
        <f>IFERROR((IR41/$L$41),0)</f>
        <v>0</v>
      </c>
      <c r="IT41" s="527">
        <f>IFERROR(((IR41*IT$8)/$L$41),0)</f>
        <v>0</v>
      </c>
      <c r="IU41" s="527">
        <f>SUM(IU9:IU39)</f>
        <v>0</v>
      </c>
      <c r="IV41" s="527">
        <f>IFERROR((IU41/$L$41),0)</f>
        <v>0</v>
      </c>
      <c r="IW41" s="527">
        <f>IFERROR(((IU41*IW$8)/$L$41),0)</f>
        <v>0</v>
      </c>
      <c r="IX41" s="527">
        <f>SUM(IX9:IX39)</f>
        <v>0</v>
      </c>
      <c r="IY41" s="527">
        <f>IFERROR((IX41/$L$41),0)</f>
        <v>0</v>
      </c>
      <c r="IZ41" s="527">
        <f>IFERROR(((IX41*IZ$8)/$L$41),0)</f>
        <v>0</v>
      </c>
      <c r="JA41" s="527">
        <f>SUM(JA9:JA39)</f>
        <v>0</v>
      </c>
      <c r="JB41" s="527">
        <f>IFERROR((JA41/$L$41),0)</f>
        <v>0</v>
      </c>
      <c r="JC41" s="527">
        <f>IFERROR(((JA41*JC$8)/$L$41),0)</f>
        <v>0</v>
      </c>
      <c r="JD41" s="527">
        <f>SUM(JD9:JD39)</f>
        <v>0</v>
      </c>
      <c r="JE41" s="527">
        <f>IFERROR((JD41/$L$41),0)</f>
        <v>0</v>
      </c>
      <c r="JF41" s="527">
        <f>IFERROR(((JD41*JF$8)/$L$41),0)</f>
        <v>0</v>
      </c>
      <c r="JG41" s="527">
        <f>SUM(JG9:JG39)</f>
        <v>0</v>
      </c>
      <c r="JH41" s="527">
        <f>IFERROR((JG41/$L$41),0)</f>
        <v>0</v>
      </c>
      <c r="JI41" s="527">
        <f>IFERROR(((JG41*JI$8)/$L$41),0)</f>
        <v>0</v>
      </c>
      <c r="JJ41" s="527">
        <f>SUM(JJ9:JJ39)</f>
        <v>0</v>
      </c>
      <c r="JK41" s="527">
        <f>IFERROR((JJ41/$L$41),0)</f>
        <v>0</v>
      </c>
      <c r="JL41" s="527">
        <f>IFERROR(((JJ41*JL$8)/$L$41),0)</f>
        <v>0</v>
      </c>
      <c r="JM41" s="527">
        <f>SUM(JM9:JM39)</f>
        <v>0</v>
      </c>
      <c r="JN41" s="527">
        <f>IFERROR((JM41/$L$41),0)</f>
        <v>0</v>
      </c>
      <c r="JO41" s="527">
        <f>IFERROR(((JM41*JO$8)/$L$41),0)</f>
        <v>0</v>
      </c>
      <c r="JP41" s="527">
        <f>SUM(JP9:JP39)</f>
        <v>0</v>
      </c>
      <c r="JQ41" s="527">
        <f>IFERROR((JP41/$L$41),0)</f>
        <v>0</v>
      </c>
      <c r="JR41" s="527">
        <f>IFERROR(((JP41*JR$8)/$L$41),0)</f>
        <v>0</v>
      </c>
      <c r="JS41" s="527">
        <f>SUM(JS9:JS39)</f>
        <v>0</v>
      </c>
      <c r="JT41" s="527">
        <f>IFERROR((JS41/$L$41),0)</f>
        <v>0</v>
      </c>
      <c r="JU41" s="527">
        <f>IFERROR(((JS41*JU$8)/$L$41),0)</f>
        <v>0</v>
      </c>
      <c r="JV41" s="527">
        <f>SUM(JV9:JV39)</f>
        <v>0</v>
      </c>
      <c r="JW41" s="527">
        <f>IFERROR((JV41/$L$41),0)</f>
        <v>0</v>
      </c>
      <c r="JX41" s="527">
        <f>IFERROR(((JV41*JX$8)/$L$41),0)</f>
        <v>0</v>
      </c>
      <c r="JY41" s="527">
        <f>SUM(JY9:JY39)</f>
        <v>0</v>
      </c>
      <c r="JZ41" s="527">
        <f>IFERROR((JY41/$L$41),0)</f>
        <v>0</v>
      </c>
      <c r="KA41" s="527">
        <f>IFERROR(((JY41*KA$8)/$L$41),0)</f>
        <v>0</v>
      </c>
      <c r="KB41" s="527">
        <f>SUM(KB9:KB39)</f>
        <v>0</v>
      </c>
      <c r="KC41" s="527">
        <f>IFERROR((KB41/$L$41),0)</f>
        <v>0</v>
      </c>
      <c r="KD41" s="527">
        <f>IFERROR(((KB41*KD$8)/$L$41),0)</f>
        <v>0</v>
      </c>
      <c r="KE41" s="527">
        <f>SUM(KE9:KE39)</f>
        <v>0</v>
      </c>
      <c r="KF41" s="527">
        <f>IFERROR((KE41/$L$41),0)</f>
        <v>0</v>
      </c>
      <c r="KG41" s="527">
        <f>IFERROR(((KE41*KG$8)/$L$41),0)</f>
        <v>0</v>
      </c>
      <c r="KH41" s="527">
        <f>SUM(KH9:KH39)</f>
        <v>0</v>
      </c>
      <c r="KI41" s="527">
        <f>IFERROR((KH41/$L$41),0)</f>
        <v>0</v>
      </c>
      <c r="KJ41" s="527">
        <f>IFERROR(((KH41*KJ$8)/$L$41),0)</f>
        <v>0</v>
      </c>
      <c r="KK41" s="527">
        <f>SUM(KK9:KK39)</f>
        <v>0</v>
      </c>
      <c r="KL41" s="527">
        <f>IFERROR((KK41/$L$41),0)</f>
        <v>0</v>
      </c>
      <c r="KM41" s="527">
        <f>IFERROR(((KK41*KM$8)/$L$41),0)</f>
        <v>0</v>
      </c>
      <c r="KN41" s="527">
        <f>SUM(KN9:KN39)</f>
        <v>0</v>
      </c>
      <c r="KO41" s="527">
        <f>IFERROR((KN41/$L$41),0)</f>
        <v>0</v>
      </c>
      <c r="KP41" s="527">
        <f>IFERROR(((KN41*KP$8)/$L$41),0)</f>
        <v>0</v>
      </c>
      <c r="KQ41" s="527">
        <f>SUM(KQ9:KQ39)</f>
        <v>0</v>
      </c>
      <c r="KR41" s="527">
        <f>IFERROR((KQ41/$L$41),0)</f>
        <v>0</v>
      </c>
      <c r="KS41" s="527">
        <f>IFERROR(((KQ41*KS$8)/$L$41),0)</f>
        <v>0</v>
      </c>
      <c r="KT41" s="528">
        <f t="shared" si="201"/>
        <v>0</v>
      </c>
      <c r="KU41" s="528">
        <f t="shared" si="202"/>
        <v>0</v>
      </c>
      <c r="KV41" s="262">
        <f t="shared" si="204"/>
        <v>12195.642005822323</v>
      </c>
    </row>
    <row r="43" spans="1:308" ht="15" customHeight="1">
      <c r="A43" s="269" t="s">
        <v>137</v>
      </c>
      <c r="B43" s="270" t="s">
        <v>138</v>
      </c>
      <c r="C43" s="271" t="s">
        <v>149</v>
      </c>
      <c r="D43" s="259"/>
      <c r="E43" s="259"/>
    </row>
    <row r="44" spans="1:308" ht="15" customHeight="1">
      <c r="A44" s="272"/>
      <c r="B44" s="270" t="s">
        <v>139</v>
      </c>
      <c r="C44" s="271" t="s">
        <v>145</v>
      </c>
      <c r="D44" s="259"/>
      <c r="E44" s="259"/>
    </row>
    <row r="45" spans="1:308" ht="15" customHeight="1">
      <c r="A45" s="272"/>
      <c r="B45" s="273" t="s">
        <v>140</v>
      </c>
      <c r="C45" s="271" t="s">
        <v>141</v>
      </c>
      <c r="D45" s="259"/>
      <c r="E45" s="259"/>
    </row>
  </sheetData>
  <mergeCells count="210">
    <mergeCell ref="F5:GC5"/>
    <mergeCell ref="GD5:KS5"/>
    <mergeCell ref="KT5:KT8"/>
    <mergeCell ref="KU5:KU8"/>
    <mergeCell ref="A6:A8"/>
    <mergeCell ref="B6:B8"/>
    <mergeCell ref="C6:C8"/>
    <mergeCell ref="D6:D8"/>
    <mergeCell ref="E6:E8"/>
    <mergeCell ref="F6:H6"/>
    <mergeCell ref="AA6:AC6"/>
    <mergeCell ref="AD6:AF6"/>
    <mergeCell ref="AG6:AI6"/>
    <mergeCell ref="AJ6:AL6"/>
    <mergeCell ref="AM6:AO6"/>
    <mergeCell ref="AP6:AR6"/>
    <mergeCell ref="I6:K6"/>
    <mergeCell ref="L6:N6"/>
    <mergeCell ref="O6:Q6"/>
    <mergeCell ref="R6:T6"/>
    <mergeCell ref="U6:W6"/>
    <mergeCell ref="X6:Z6"/>
    <mergeCell ref="BK6:BM6"/>
    <mergeCell ref="BN6:BP6"/>
    <mergeCell ref="BQ6:BS6"/>
    <mergeCell ref="BT6:BV6"/>
    <mergeCell ref="BW6:BY6"/>
    <mergeCell ref="BZ6:CB6"/>
    <mergeCell ref="AS6:AU6"/>
    <mergeCell ref="AV6:AX6"/>
    <mergeCell ref="AY6:BA6"/>
    <mergeCell ref="BB6:BD6"/>
    <mergeCell ref="BE6:BG6"/>
    <mergeCell ref="BH6:BJ6"/>
    <mergeCell ref="CU6:CW6"/>
    <mergeCell ref="CX6:CZ6"/>
    <mergeCell ref="DA6:DC6"/>
    <mergeCell ref="DD6:DF6"/>
    <mergeCell ref="DG6:DI6"/>
    <mergeCell ref="DJ6:DL6"/>
    <mergeCell ref="CC6:CE6"/>
    <mergeCell ref="CF6:CH6"/>
    <mergeCell ref="CI6:CK6"/>
    <mergeCell ref="CL6:CN6"/>
    <mergeCell ref="CO6:CQ6"/>
    <mergeCell ref="CR6:CT6"/>
    <mergeCell ref="EE6:EG6"/>
    <mergeCell ref="EH6:EJ6"/>
    <mergeCell ref="EK6:EM6"/>
    <mergeCell ref="EN6:EP6"/>
    <mergeCell ref="EQ6:ES6"/>
    <mergeCell ref="ET6:EV6"/>
    <mergeCell ref="DM6:DO6"/>
    <mergeCell ref="DP6:DR6"/>
    <mergeCell ref="DS6:DU6"/>
    <mergeCell ref="DV6:DX6"/>
    <mergeCell ref="DY6:EA6"/>
    <mergeCell ref="EB6:ED6"/>
    <mergeCell ref="FO6:FQ6"/>
    <mergeCell ref="FR6:FT6"/>
    <mergeCell ref="FU6:FW6"/>
    <mergeCell ref="FX6:FZ6"/>
    <mergeCell ref="GA6:GC6"/>
    <mergeCell ref="GD6:GF6"/>
    <mergeCell ref="EW6:EY6"/>
    <mergeCell ref="EZ6:FB6"/>
    <mergeCell ref="FC6:FE6"/>
    <mergeCell ref="FF6:FH6"/>
    <mergeCell ref="FI6:FK6"/>
    <mergeCell ref="FL6:FN6"/>
    <mergeCell ref="GY6:HA6"/>
    <mergeCell ref="HB6:HD6"/>
    <mergeCell ref="HE6:HG6"/>
    <mergeCell ref="HH6:HJ6"/>
    <mergeCell ref="HK6:HM6"/>
    <mergeCell ref="HN6:HP6"/>
    <mergeCell ref="GG6:GI6"/>
    <mergeCell ref="GJ6:GL6"/>
    <mergeCell ref="GM6:GO6"/>
    <mergeCell ref="GP6:GR6"/>
    <mergeCell ref="GS6:GU6"/>
    <mergeCell ref="GV6:GX6"/>
    <mergeCell ref="IO6:IQ6"/>
    <mergeCell ref="IR6:IT6"/>
    <mergeCell ref="IU6:IW6"/>
    <mergeCell ref="IX6:IZ6"/>
    <mergeCell ref="HQ6:HS6"/>
    <mergeCell ref="HT6:HV6"/>
    <mergeCell ref="HW6:HY6"/>
    <mergeCell ref="HZ6:IB6"/>
    <mergeCell ref="IC6:IE6"/>
    <mergeCell ref="IF6:IH6"/>
    <mergeCell ref="KK6:KM6"/>
    <mergeCell ref="KN6:KP6"/>
    <mergeCell ref="KQ6:KS6"/>
    <mergeCell ref="F7:G7"/>
    <mergeCell ref="I7:J7"/>
    <mergeCell ref="L7:M7"/>
    <mergeCell ref="O7:P7"/>
    <mergeCell ref="R7:S7"/>
    <mergeCell ref="U7:V7"/>
    <mergeCell ref="X7:Y7"/>
    <mergeCell ref="JS6:JU6"/>
    <mergeCell ref="JV6:JX6"/>
    <mergeCell ref="JY6:KA6"/>
    <mergeCell ref="KB6:KD6"/>
    <mergeCell ref="KE6:KG6"/>
    <mergeCell ref="KH6:KJ6"/>
    <mergeCell ref="JA6:JC6"/>
    <mergeCell ref="JD6:JF6"/>
    <mergeCell ref="JG6:JI6"/>
    <mergeCell ref="JJ6:JL6"/>
    <mergeCell ref="JM6:JO6"/>
    <mergeCell ref="JP6:JR6"/>
    <mergeCell ref="II6:IK6"/>
    <mergeCell ref="IL6:IN6"/>
    <mergeCell ref="AS7:AT7"/>
    <mergeCell ref="AV7:AW7"/>
    <mergeCell ref="AY7:AZ7"/>
    <mergeCell ref="BB7:BC7"/>
    <mergeCell ref="BE7:BF7"/>
    <mergeCell ref="BH7:BI7"/>
    <mergeCell ref="AA7:AB7"/>
    <mergeCell ref="AD7:AE7"/>
    <mergeCell ref="AG7:AH7"/>
    <mergeCell ref="AJ7:AK7"/>
    <mergeCell ref="AM7:AN7"/>
    <mergeCell ref="AP7:AQ7"/>
    <mergeCell ref="CC7:CD7"/>
    <mergeCell ref="CF7:CG7"/>
    <mergeCell ref="CI7:CJ7"/>
    <mergeCell ref="CL7:CM7"/>
    <mergeCell ref="CO7:CP7"/>
    <mergeCell ref="CR7:CS7"/>
    <mergeCell ref="BK7:BL7"/>
    <mergeCell ref="BN7:BO7"/>
    <mergeCell ref="BQ7:BR7"/>
    <mergeCell ref="BT7:BU7"/>
    <mergeCell ref="BW7:BX7"/>
    <mergeCell ref="BZ7:CA7"/>
    <mergeCell ref="DM7:DN7"/>
    <mergeCell ref="DP7:DQ7"/>
    <mergeCell ref="DS7:DT7"/>
    <mergeCell ref="DV7:DW7"/>
    <mergeCell ref="DY7:DZ7"/>
    <mergeCell ref="EB7:EC7"/>
    <mergeCell ref="CU7:CV7"/>
    <mergeCell ref="CX7:CY7"/>
    <mergeCell ref="DA7:DB7"/>
    <mergeCell ref="DD7:DE7"/>
    <mergeCell ref="DG7:DH7"/>
    <mergeCell ref="DJ7:DK7"/>
    <mergeCell ref="EW7:EX7"/>
    <mergeCell ref="EZ7:FA7"/>
    <mergeCell ref="FC7:FD7"/>
    <mergeCell ref="FF7:FG7"/>
    <mergeCell ref="FI7:FJ7"/>
    <mergeCell ref="FL7:FM7"/>
    <mergeCell ref="EE7:EF7"/>
    <mergeCell ref="EH7:EI7"/>
    <mergeCell ref="EK7:EL7"/>
    <mergeCell ref="EN7:EO7"/>
    <mergeCell ref="EQ7:ER7"/>
    <mergeCell ref="ET7:EU7"/>
    <mergeCell ref="GG7:GH7"/>
    <mergeCell ref="GJ7:GK7"/>
    <mergeCell ref="GM7:GN7"/>
    <mergeCell ref="GP7:GQ7"/>
    <mergeCell ref="GS7:GT7"/>
    <mergeCell ref="GV7:GW7"/>
    <mergeCell ref="FO7:FP7"/>
    <mergeCell ref="FR7:FS7"/>
    <mergeCell ref="FU7:FV7"/>
    <mergeCell ref="FX7:FY7"/>
    <mergeCell ref="GA7:GB7"/>
    <mergeCell ref="GD7:GE7"/>
    <mergeCell ref="HW7:HX7"/>
    <mergeCell ref="HZ7:IA7"/>
    <mergeCell ref="IC7:ID7"/>
    <mergeCell ref="IF7:IG7"/>
    <mergeCell ref="GY7:GZ7"/>
    <mergeCell ref="HB7:HC7"/>
    <mergeCell ref="HE7:HF7"/>
    <mergeCell ref="HH7:HI7"/>
    <mergeCell ref="HK7:HL7"/>
    <mergeCell ref="HN7:HO7"/>
    <mergeCell ref="KK7:KL7"/>
    <mergeCell ref="KN7:KO7"/>
    <mergeCell ref="KQ7:KR7"/>
    <mergeCell ref="A41:C41"/>
    <mergeCell ref="JS7:JT7"/>
    <mergeCell ref="JV7:JW7"/>
    <mergeCell ref="JY7:JZ7"/>
    <mergeCell ref="KB7:KC7"/>
    <mergeCell ref="KE7:KF7"/>
    <mergeCell ref="KH7:KI7"/>
    <mergeCell ref="JA7:JB7"/>
    <mergeCell ref="JD7:JE7"/>
    <mergeCell ref="JG7:JH7"/>
    <mergeCell ref="JJ7:JK7"/>
    <mergeCell ref="JM7:JN7"/>
    <mergeCell ref="JP7:JQ7"/>
    <mergeCell ref="II7:IJ7"/>
    <mergeCell ref="IL7:IM7"/>
    <mergeCell ref="IO7:IP7"/>
    <mergeCell ref="IR7:IS7"/>
    <mergeCell ref="IU7:IV7"/>
    <mergeCell ref="IX7:IY7"/>
    <mergeCell ref="HQ7:HR7"/>
    <mergeCell ref="HT7:HU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39"/>
  <sheetViews>
    <sheetView workbookViewId="0">
      <pane xSplit="1" topLeftCell="AC1" activePane="topRight" state="frozen"/>
      <selection activeCell="H11" sqref="H11"/>
      <selection pane="topRight" activeCell="AM41" sqref="AM41"/>
    </sheetView>
  </sheetViews>
  <sheetFormatPr defaultRowHeight="12.75"/>
  <cols>
    <col min="1" max="1" width="17.5703125" bestFit="1" customWidth="1"/>
    <col min="2" max="13" width="9.140625" customWidth="1"/>
    <col min="14" max="14" width="9.42578125" customWidth="1"/>
    <col min="15" max="21" width="9.140625" customWidth="1"/>
    <col min="22" max="22" width="9.28515625" customWidth="1"/>
    <col min="23" max="31" width="9.140625" customWidth="1"/>
    <col min="32" max="32" width="9.140625" hidden="1" customWidth="1"/>
    <col min="34" max="34" width="10.85546875" bestFit="1" customWidth="1"/>
    <col min="35" max="35" width="16.28515625" bestFit="1" customWidth="1"/>
  </cols>
  <sheetData>
    <row r="1" spans="1:35">
      <c r="B1">
        <v>3700</v>
      </c>
      <c r="C1">
        <v>4960</v>
      </c>
      <c r="D1">
        <v>4610</v>
      </c>
      <c r="E1">
        <v>4680</v>
      </c>
      <c r="F1">
        <v>4380</v>
      </c>
      <c r="G1">
        <v>4080</v>
      </c>
      <c r="H1">
        <v>2390</v>
      </c>
      <c r="I1">
        <v>0</v>
      </c>
      <c r="J1">
        <v>0</v>
      </c>
      <c r="K1">
        <v>3770</v>
      </c>
      <c r="L1">
        <v>2970</v>
      </c>
      <c r="M1">
        <v>5320</v>
      </c>
      <c r="N1">
        <v>0</v>
      </c>
      <c r="O1">
        <v>0</v>
      </c>
      <c r="P1">
        <v>0</v>
      </c>
      <c r="Q1">
        <v>0</v>
      </c>
    </row>
    <row r="2" spans="1:35" ht="15">
      <c r="A2" s="5"/>
      <c r="B2" s="5">
        <v>1</v>
      </c>
      <c r="C2" s="5">
        <v>2</v>
      </c>
      <c r="D2" s="5">
        <v>3</v>
      </c>
      <c r="E2" s="5">
        <v>4</v>
      </c>
      <c r="F2" s="5">
        <v>5</v>
      </c>
      <c r="G2" s="5">
        <v>6</v>
      </c>
      <c r="H2" s="5">
        <v>7</v>
      </c>
      <c r="I2" s="5">
        <v>8</v>
      </c>
      <c r="J2" s="5">
        <v>9</v>
      </c>
      <c r="K2" s="5">
        <v>10</v>
      </c>
      <c r="L2" s="5">
        <v>11</v>
      </c>
      <c r="M2" s="5">
        <v>12</v>
      </c>
      <c r="N2" s="5">
        <v>13</v>
      </c>
      <c r="O2" s="5">
        <v>14</v>
      </c>
      <c r="P2" s="5">
        <v>15</v>
      </c>
      <c r="Q2" s="5">
        <v>16</v>
      </c>
      <c r="R2" s="5">
        <v>17</v>
      </c>
      <c r="S2" s="5">
        <v>18</v>
      </c>
      <c r="T2" s="5">
        <v>19</v>
      </c>
      <c r="U2" s="5">
        <v>20</v>
      </c>
      <c r="V2" s="5">
        <v>21</v>
      </c>
      <c r="W2" s="5">
        <v>22</v>
      </c>
      <c r="X2" s="5">
        <v>23</v>
      </c>
      <c r="Y2" s="5">
        <v>24</v>
      </c>
      <c r="Z2" s="5">
        <v>25</v>
      </c>
      <c r="AA2" s="5">
        <v>26</v>
      </c>
      <c r="AB2" s="5">
        <v>27</v>
      </c>
      <c r="AC2" s="5">
        <v>28</v>
      </c>
      <c r="AD2" s="5">
        <v>29</v>
      </c>
      <c r="AE2" s="5">
        <v>30</v>
      </c>
      <c r="AF2" s="5">
        <v>31</v>
      </c>
      <c r="AG2" s="458" t="s">
        <v>257</v>
      </c>
      <c r="AH2" s="459" t="s">
        <v>258</v>
      </c>
      <c r="AI2" s="485" t="s">
        <v>278</v>
      </c>
    </row>
    <row r="3" spans="1:35">
      <c r="A3" s="440" t="s">
        <v>198</v>
      </c>
      <c r="B3" s="5">
        <f>2132/1000</f>
        <v>2.1320000000000001</v>
      </c>
      <c r="C3" s="5">
        <f>5696/1000</f>
        <v>5.6959999999999997</v>
      </c>
      <c r="D3" s="5">
        <f>5343+3420</f>
        <v>8763</v>
      </c>
      <c r="E3" s="5">
        <f>3240/1000</f>
        <v>3.24</v>
      </c>
      <c r="F3" s="5">
        <f>3354/1000</f>
        <v>3.3540000000000001</v>
      </c>
      <c r="G3" s="5">
        <f>5314/1000</f>
        <v>5.3140000000000001</v>
      </c>
      <c r="H3" s="5">
        <f>3395/1000</f>
        <v>3.395</v>
      </c>
      <c r="I3" s="5">
        <v>0</v>
      </c>
      <c r="J3" s="5">
        <f>2994/1000</f>
        <v>2.9940000000000002</v>
      </c>
      <c r="K3" s="5">
        <f>3357/1000</f>
        <v>3.3570000000000002</v>
      </c>
      <c r="L3" s="5">
        <f>3399/1000</f>
        <v>3.399</v>
      </c>
      <c r="M3" s="5">
        <f>6088/1000</f>
        <v>6.0880000000000001</v>
      </c>
      <c r="N3" s="5">
        <v>0</v>
      </c>
      <c r="O3" s="5">
        <v>0</v>
      </c>
      <c r="P3" s="5">
        <v>0</v>
      </c>
      <c r="Q3" s="5">
        <v>0</v>
      </c>
      <c r="R3" s="5">
        <v>0</v>
      </c>
      <c r="S3" s="5">
        <v>0</v>
      </c>
      <c r="T3" s="5">
        <v>0</v>
      </c>
      <c r="U3" s="5">
        <v>0</v>
      </c>
      <c r="V3" s="5">
        <v>0</v>
      </c>
      <c r="W3" s="5">
        <v>0</v>
      </c>
      <c r="X3" s="5">
        <v>0</v>
      </c>
      <c r="Y3" s="5">
        <v>0</v>
      </c>
      <c r="Z3" s="5">
        <v>0</v>
      </c>
      <c r="AA3" s="5">
        <v>0</v>
      </c>
      <c r="AB3" s="5">
        <v>0</v>
      </c>
      <c r="AC3" s="5">
        <v>0</v>
      </c>
      <c r="AD3" s="5">
        <v>0</v>
      </c>
      <c r="AE3" s="5">
        <v>0</v>
      </c>
      <c r="AF3" s="5"/>
      <c r="AG3" s="5">
        <f>+AE3</f>
        <v>0</v>
      </c>
      <c r="AH3" s="460">
        <f>+AG3/Efficiency1!$K$150</f>
        <v>0</v>
      </c>
      <c r="AI3" s="726">
        <f>SUM(AH3:AH4)</f>
        <v>0</v>
      </c>
    </row>
    <row r="4" spans="1:35">
      <c r="A4" s="440" t="s">
        <v>199</v>
      </c>
      <c r="B4" s="5">
        <f>989/1000</f>
        <v>0.98899999999999999</v>
      </c>
      <c r="C4" s="5">
        <f>467/1000</f>
        <v>0.46700000000000003</v>
      </c>
      <c r="D4" s="5">
        <f>1202/1000</f>
        <v>1.202</v>
      </c>
      <c r="E4" s="5">
        <f>828/1000</f>
        <v>0.82799999999999996</v>
      </c>
      <c r="F4" s="5">
        <f>1473/1000</f>
        <v>1.4730000000000001</v>
      </c>
      <c r="G4" s="5">
        <f>655/1000</f>
        <v>0.65500000000000003</v>
      </c>
      <c r="H4" s="5">
        <v>0</v>
      </c>
      <c r="I4" s="5">
        <v>0</v>
      </c>
      <c r="J4" s="5">
        <f>1910/1000</f>
        <v>1.91</v>
      </c>
      <c r="K4" s="5">
        <f>1289/1000</f>
        <v>1.2889999999999999</v>
      </c>
      <c r="L4" s="5">
        <f>580/1000</f>
        <v>0.57999999999999996</v>
      </c>
      <c r="M4" s="5">
        <f>408/1000</f>
        <v>0.40799999999999997</v>
      </c>
      <c r="N4" s="441">
        <v>0</v>
      </c>
      <c r="O4" s="441">
        <v>0</v>
      </c>
      <c r="P4" s="5">
        <v>0</v>
      </c>
      <c r="Q4" s="5">
        <v>0</v>
      </c>
      <c r="R4" s="5">
        <v>0</v>
      </c>
      <c r="S4" s="5">
        <v>0</v>
      </c>
      <c r="T4" s="5">
        <v>0</v>
      </c>
      <c r="U4" s="5">
        <v>0</v>
      </c>
      <c r="V4" s="5">
        <v>0</v>
      </c>
      <c r="W4" s="5">
        <v>0</v>
      </c>
      <c r="X4" s="5">
        <v>0</v>
      </c>
      <c r="Y4" s="5">
        <v>0</v>
      </c>
      <c r="Z4" s="5">
        <v>0</v>
      </c>
      <c r="AA4" s="5">
        <v>0</v>
      </c>
      <c r="AB4" s="5">
        <v>0</v>
      </c>
      <c r="AC4" s="5">
        <v>0</v>
      </c>
      <c r="AD4" s="5">
        <v>0</v>
      </c>
      <c r="AE4" s="5">
        <v>0</v>
      </c>
      <c r="AF4" s="5"/>
      <c r="AG4" s="5">
        <f>+AE4</f>
        <v>0</v>
      </c>
      <c r="AH4" s="460">
        <f>+AG4/Efficiency1!$K$150</f>
        <v>0</v>
      </c>
      <c r="AI4" s="727"/>
    </row>
    <row r="5" spans="1:35">
      <c r="A5" s="486"/>
      <c r="B5" s="487"/>
      <c r="C5" s="487"/>
      <c r="D5" s="487"/>
      <c r="E5" s="487"/>
      <c r="F5" s="487"/>
      <c r="G5" s="487"/>
      <c r="H5" s="487"/>
      <c r="I5" s="487"/>
      <c r="J5" s="487"/>
      <c r="K5" s="487"/>
      <c r="L5" s="487"/>
      <c r="M5" s="487"/>
      <c r="N5" s="488"/>
      <c r="O5" s="488"/>
      <c r="P5" s="487"/>
      <c r="Q5" s="487"/>
      <c r="R5" s="487"/>
      <c r="S5" s="487"/>
      <c r="T5" s="487"/>
      <c r="U5" s="487"/>
      <c r="V5" s="487"/>
      <c r="W5" s="488"/>
      <c r="X5" s="487"/>
      <c r="Y5" s="487"/>
      <c r="Z5" s="487"/>
      <c r="AA5" s="487"/>
      <c r="AB5" s="487"/>
      <c r="AC5" s="487"/>
      <c r="AD5" s="487"/>
      <c r="AE5" s="487"/>
      <c r="AF5" s="487"/>
      <c r="AG5" s="487"/>
      <c r="AH5" s="489"/>
    </row>
    <row r="6" spans="1:35">
      <c r="A6" s="440" t="s">
        <v>200</v>
      </c>
      <c r="B6" s="441">
        <v>0.39300000000000002</v>
      </c>
      <c r="C6" s="5">
        <v>0.52200000000000002</v>
      </c>
      <c r="D6" s="5">
        <v>2.1040000000000001</v>
      </c>
      <c r="E6" s="5">
        <v>0.65</v>
      </c>
      <c r="F6" s="5">
        <v>0.63</v>
      </c>
      <c r="G6" s="5">
        <v>0.58099999999999996</v>
      </c>
      <c r="H6" s="5">
        <v>0.93300000000000005</v>
      </c>
      <c r="I6" s="5"/>
      <c r="J6" s="5">
        <v>0.58299999999999996</v>
      </c>
      <c r="K6" s="5">
        <v>0.77200000000000002</v>
      </c>
      <c r="L6" s="5">
        <v>0.54600000000000004</v>
      </c>
      <c r="M6" s="5">
        <v>0.53600000000000003</v>
      </c>
      <c r="N6" s="5">
        <v>0.2</v>
      </c>
      <c r="O6" s="5"/>
      <c r="P6" s="5"/>
      <c r="Q6" s="5"/>
      <c r="R6" s="5"/>
      <c r="S6" s="5"/>
      <c r="T6" s="5"/>
      <c r="U6" s="5"/>
      <c r="V6" s="5"/>
      <c r="W6" s="441"/>
      <c r="X6" s="5"/>
      <c r="Y6" s="5"/>
      <c r="Z6" s="5"/>
      <c r="AA6" s="5"/>
      <c r="AB6" s="441"/>
      <c r="AC6" s="5"/>
      <c r="AD6" s="5"/>
      <c r="AE6" s="5"/>
      <c r="AF6" s="5"/>
      <c r="AG6" s="5">
        <f>+SUM(B6:AC6)</f>
        <v>8.4500000000000011</v>
      </c>
      <c r="AH6" s="490">
        <f t="shared" ref="AH6:AH36" si="0">+AG6/$AG$39</f>
        <v>0.35666047611007939</v>
      </c>
    </row>
    <row r="7" spans="1:35">
      <c r="A7" s="440" t="s">
        <v>222</v>
      </c>
      <c r="B7" s="5">
        <v>0.497</v>
      </c>
      <c r="C7" s="5">
        <f>1277/1000</f>
        <v>1.2769999999999999</v>
      </c>
      <c r="D7" s="5">
        <v>0.53400000000000003</v>
      </c>
      <c r="E7" s="5">
        <v>0.41</v>
      </c>
      <c r="F7" s="5">
        <v>0.47</v>
      </c>
      <c r="G7" s="5">
        <v>0.19800000000000001</v>
      </c>
      <c r="H7" s="5">
        <f>1042/1000</f>
        <v>1.042</v>
      </c>
      <c r="I7" s="5"/>
      <c r="J7" s="5">
        <v>0.746</v>
      </c>
      <c r="K7" s="5">
        <f>1304/1000</f>
        <v>1.304</v>
      </c>
      <c r="L7" s="5">
        <v>0.26800000000000002</v>
      </c>
      <c r="M7" s="5">
        <v>0.93700000000000006</v>
      </c>
      <c r="N7" s="5"/>
      <c r="O7" s="5"/>
      <c r="P7" s="5"/>
      <c r="Q7" s="5"/>
      <c r="R7" s="472"/>
      <c r="S7" s="5"/>
      <c r="T7" s="5"/>
      <c r="U7" s="5"/>
      <c r="V7" s="5"/>
      <c r="W7" s="5"/>
      <c r="X7" s="5"/>
      <c r="Y7" s="5"/>
      <c r="Z7" s="5"/>
      <c r="AA7" s="5"/>
      <c r="AB7" s="441"/>
      <c r="AC7" s="5"/>
      <c r="AD7" s="5"/>
      <c r="AE7" s="5"/>
      <c r="AF7" s="5"/>
      <c r="AG7" s="5">
        <f t="shared" ref="AG7:AG37" si="1">+SUM(B7:AC7)</f>
        <v>7.6829999999999998</v>
      </c>
      <c r="AH7" s="460">
        <f t="shared" si="0"/>
        <v>0.32428667904777986</v>
      </c>
    </row>
    <row r="8" spans="1:35">
      <c r="A8" s="442" t="s">
        <v>201</v>
      </c>
      <c r="B8" s="5"/>
      <c r="C8" s="5"/>
      <c r="D8" s="5"/>
      <c r="E8" s="5"/>
      <c r="F8" s="5"/>
      <c r="G8" s="5"/>
      <c r="H8" s="5"/>
      <c r="I8" s="5"/>
      <c r="J8" s="5"/>
      <c r="K8" s="5"/>
      <c r="L8" s="5"/>
      <c r="M8" s="5"/>
      <c r="N8" s="5"/>
      <c r="O8" s="6"/>
      <c r="P8" s="5"/>
      <c r="Q8" s="5"/>
      <c r="R8" s="5"/>
      <c r="S8" s="5"/>
      <c r="T8" s="5"/>
      <c r="U8" s="5"/>
      <c r="V8" s="5"/>
      <c r="W8" s="5"/>
      <c r="X8" s="5"/>
      <c r="Y8" s="5"/>
      <c r="Z8" s="5"/>
      <c r="AA8" s="5"/>
      <c r="AB8" s="5"/>
      <c r="AC8" s="5"/>
      <c r="AD8" s="5"/>
      <c r="AE8" s="5"/>
      <c r="AF8" s="5"/>
      <c r="AG8" s="5">
        <f t="shared" si="1"/>
        <v>0</v>
      </c>
      <c r="AH8" s="460">
        <f t="shared" si="0"/>
        <v>0</v>
      </c>
    </row>
    <row r="9" spans="1:35">
      <c r="A9" s="440" t="s">
        <v>202</v>
      </c>
      <c r="B9" s="5"/>
      <c r="C9" s="5"/>
      <c r="D9" s="5"/>
      <c r="E9" s="5"/>
      <c r="F9" s="5"/>
      <c r="G9" s="5"/>
      <c r="H9" s="5"/>
      <c r="I9" s="5"/>
      <c r="J9" s="5"/>
      <c r="K9" s="5"/>
      <c r="L9" s="5"/>
      <c r="M9" s="5"/>
      <c r="N9" s="5"/>
      <c r="O9" s="6"/>
      <c r="P9" s="5"/>
      <c r="Q9" s="5"/>
      <c r="R9" s="5"/>
      <c r="S9" s="5"/>
      <c r="T9" s="5"/>
      <c r="U9" s="5"/>
      <c r="V9" s="5"/>
      <c r="W9" s="5"/>
      <c r="X9" s="5"/>
      <c r="Y9" s="5"/>
      <c r="Z9" s="5"/>
      <c r="AA9" s="5"/>
      <c r="AB9" s="5"/>
      <c r="AC9" s="5"/>
      <c r="AD9" s="5"/>
      <c r="AE9" s="5"/>
      <c r="AF9" s="5"/>
      <c r="AG9" s="5">
        <f t="shared" si="1"/>
        <v>0</v>
      </c>
      <c r="AH9" s="460">
        <f t="shared" si="0"/>
        <v>0</v>
      </c>
    </row>
    <row r="10" spans="1:35">
      <c r="A10" s="440" t="s">
        <v>203</v>
      </c>
      <c r="B10" s="5"/>
      <c r="C10" s="5"/>
      <c r="D10" s="5"/>
      <c r="E10" s="5">
        <v>0.84</v>
      </c>
      <c r="F10" s="5"/>
      <c r="G10" s="5"/>
      <c r="H10" s="5">
        <v>0.52100000000000002</v>
      </c>
      <c r="I10" s="5"/>
      <c r="J10" s="5"/>
      <c r="K10" s="5"/>
      <c r="L10" s="5"/>
      <c r="M10" s="5"/>
      <c r="N10" s="5"/>
      <c r="O10" s="5"/>
      <c r="P10" s="5"/>
      <c r="Q10" s="5"/>
      <c r="R10" s="5"/>
      <c r="S10" s="5"/>
      <c r="T10" s="5"/>
      <c r="U10" s="5"/>
      <c r="V10" s="5"/>
      <c r="W10" s="5"/>
      <c r="X10" s="5"/>
      <c r="Y10" s="5"/>
      <c r="Z10" s="5"/>
      <c r="AA10" s="5"/>
      <c r="AB10" s="5"/>
      <c r="AC10" s="5"/>
      <c r="AD10" s="5"/>
      <c r="AE10" s="5"/>
      <c r="AF10" s="5"/>
      <c r="AG10" s="5">
        <f t="shared" si="1"/>
        <v>1.361</v>
      </c>
      <c r="AH10" s="460">
        <f t="shared" si="0"/>
        <v>5.7445551240925208E-2</v>
      </c>
    </row>
    <row r="11" spans="1:35">
      <c r="A11" s="440" t="s">
        <v>204</v>
      </c>
      <c r="B11" s="5"/>
      <c r="C11" s="5"/>
      <c r="D11" s="5"/>
      <c r="E11" s="5"/>
      <c r="F11" s="5"/>
      <c r="G11" s="5">
        <v>0.39200000000000002</v>
      </c>
      <c r="H11" s="5">
        <v>0.249</v>
      </c>
      <c r="I11" s="5"/>
      <c r="J11" s="5">
        <v>0.28899999999999998</v>
      </c>
      <c r="K11" s="5"/>
      <c r="L11" s="5"/>
      <c r="M11" s="5">
        <v>0.31</v>
      </c>
      <c r="N11" s="5">
        <v>0.1</v>
      </c>
      <c r="O11" s="5"/>
      <c r="P11" s="5"/>
      <c r="Q11" s="5"/>
      <c r="R11" s="5"/>
      <c r="S11" s="5"/>
      <c r="T11" s="5"/>
      <c r="U11" s="5"/>
      <c r="V11" s="5"/>
      <c r="W11" s="5"/>
      <c r="X11" s="5"/>
      <c r="Y11" s="5"/>
      <c r="Z11" s="5"/>
      <c r="AA11" s="5"/>
      <c r="AB11" s="5"/>
      <c r="AC11" s="5"/>
      <c r="AD11" s="5"/>
      <c r="AE11" s="5"/>
      <c r="AF11" s="5"/>
      <c r="AG11" s="5">
        <f t="shared" si="1"/>
        <v>1.34</v>
      </c>
      <c r="AH11" s="460">
        <f t="shared" si="0"/>
        <v>5.6559176093196016E-2</v>
      </c>
    </row>
    <row r="12" spans="1:35">
      <c r="A12" s="440" t="s">
        <v>205</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f t="shared" si="1"/>
        <v>0</v>
      </c>
      <c r="AH12" s="460">
        <f t="shared" si="0"/>
        <v>0</v>
      </c>
    </row>
    <row r="13" spans="1:35">
      <c r="A13" s="440" t="s">
        <v>206</v>
      </c>
      <c r="B13" s="5"/>
      <c r="C13" s="5">
        <f>2044/1000</f>
        <v>2.044</v>
      </c>
      <c r="D13" s="5"/>
      <c r="E13" s="5"/>
      <c r="F13" s="5"/>
      <c r="G13" s="5"/>
      <c r="H13" s="5">
        <v>0.47</v>
      </c>
      <c r="I13" s="5"/>
      <c r="J13" s="5"/>
      <c r="K13" s="5"/>
      <c r="L13" s="5"/>
      <c r="M13" s="5"/>
      <c r="N13" s="5"/>
      <c r="O13" s="5"/>
      <c r="P13" s="5"/>
      <c r="Q13" s="5"/>
      <c r="R13" s="5"/>
      <c r="S13" s="5"/>
      <c r="T13" s="5"/>
      <c r="U13" s="5"/>
      <c r="V13" s="5"/>
      <c r="W13" s="5"/>
      <c r="X13" s="5"/>
      <c r="Y13" s="5"/>
      <c r="Z13" s="5"/>
      <c r="AA13" s="5"/>
      <c r="AB13" s="441"/>
      <c r="AC13" s="5"/>
      <c r="AD13" s="5"/>
      <c r="AE13" s="5"/>
      <c r="AF13" s="5"/>
      <c r="AG13" s="5">
        <f t="shared" si="1"/>
        <v>2.5140000000000002</v>
      </c>
      <c r="AH13" s="460">
        <f t="shared" si="0"/>
        <v>0.10611176768529462</v>
      </c>
    </row>
    <row r="14" spans="1:35">
      <c r="A14" s="440" t="s">
        <v>207</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f t="shared" si="1"/>
        <v>0</v>
      </c>
      <c r="AH14" s="460">
        <f t="shared" si="0"/>
        <v>0</v>
      </c>
    </row>
    <row r="15" spans="1:35">
      <c r="A15" s="440" t="s">
        <v>279</v>
      </c>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f t="shared" si="1"/>
        <v>0</v>
      </c>
      <c r="AH15" s="460">
        <f t="shared" si="0"/>
        <v>0</v>
      </c>
    </row>
    <row r="16" spans="1:35">
      <c r="A16" s="440" t="s">
        <v>280</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f t="shared" si="1"/>
        <v>0</v>
      </c>
      <c r="AH16" s="460">
        <f t="shared" si="0"/>
        <v>0</v>
      </c>
    </row>
    <row r="17" spans="1:34">
      <c r="A17" s="440" t="s">
        <v>208</v>
      </c>
      <c r="B17" s="5"/>
      <c r="C17" s="5"/>
      <c r="D17" s="5">
        <v>0.30399999999999999</v>
      </c>
      <c r="E17" s="5"/>
      <c r="F17" s="5"/>
      <c r="G17" s="5">
        <v>1.46</v>
      </c>
      <c r="H17" s="5"/>
      <c r="I17" s="5"/>
      <c r="J17" s="5"/>
      <c r="K17" s="5"/>
      <c r="L17" s="5"/>
      <c r="M17" s="5"/>
      <c r="N17" s="5"/>
      <c r="O17" s="5"/>
      <c r="P17" s="5"/>
      <c r="Q17" s="5"/>
      <c r="R17" s="5"/>
      <c r="S17" s="5"/>
      <c r="T17" s="5"/>
      <c r="U17" s="5"/>
      <c r="V17" s="5"/>
      <c r="W17" s="5"/>
      <c r="X17" s="5"/>
      <c r="Y17" s="5"/>
      <c r="Z17" s="5"/>
      <c r="AA17" s="5"/>
      <c r="AB17" s="5"/>
      <c r="AC17" s="5"/>
      <c r="AD17" s="5"/>
      <c r="AE17" s="5"/>
      <c r="AF17" s="5"/>
      <c r="AG17" s="5">
        <f t="shared" si="1"/>
        <v>1.764</v>
      </c>
      <c r="AH17" s="460">
        <f t="shared" si="0"/>
        <v>7.4455512409252064E-2</v>
      </c>
    </row>
    <row r="18" spans="1:34">
      <c r="A18" s="440" t="s">
        <v>209</v>
      </c>
      <c r="B18" s="5"/>
      <c r="C18" s="5"/>
      <c r="D18" s="5"/>
      <c r="E18" s="5"/>
      <c r="F18" s="5"/>
      <c r="G18" s="5"/>
      <c r="H18" s="5"/>
      <c r="I18" s="5"/>
      <c r="J18" s="5"/>
      <c r="K18" s="5"/>
      <c r="L18" s="5"/>
      <c r="M18" s="5"/>
      <c r="N18" s="5"/>
      <c r="O18" s="441"/>
      <c r="P18" s="5"/>
      <c r="Q18" s="5"/>
      <c r="R18" s="5"/>
      <c r="S18" s="5"/>
      <c r="T18" s="5"/>
      <c r="U18" s="5"/>
      <c r="V18" s="5"/>
      <c r="W18" s="5"/>
      <c r="X18" s="5"/>
      <c r="Y18" s="5"/>
      <c r="Z18" s="5"/>
      <c r="AA18" s="5"/>
      <c r="AB18" s="5"/>
      <c r="AC18" s="5"/>
      <c r="AD18" s="5"/>
      <c r="AE18" s="5"/>
      <c r="AF18" s="5"/>
      <c r="AG18" s="5">
        <f t="shared" si="1"/>
        <v>0</v>
      </c>
      <c r="AH18" s="460">
        <f t="shared" si="0"/>
        <v>0</v>
      </c>
    </row>
    <row r="19" spans="1:34">
      <c r="A19" s="440" t="s">
        <v>281</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f t="shared" si="1"/>
        <v>0</v>
      </c>
      <c r="AH19" s="460">
        <f t="shared" si="0"/>
        <v>0</v>
      </c>
    </row>
    <row r="20" spans="1:34">
      <c r="A20" s="440" t="s">
        <v>282</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f t="shared" si="1"/>
        <v>0</v>
      </c>
      <c r="AH20" s="460">
        <f t="shared" si="0"/>
        <v>0</v>
      </c>
    </row>
    <row r="21" spans="1:34">
      <c r="A21" s="440" t="s">
        <v>210</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f t="shared" si="1"/>
        <v>0</v>
      </c>
      <c r="AH21" s="460">
        <f t="shared" si="0"/>
        <v>0</v>
      </c>
    </row>
    <row r="22" spans="1:34">
      <c r="A22" s="440" t="s">
        <v>288</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f t="shared" si="1"/>
        <v>0</v>
      </c>
      <c r="AH22" s="460">
        <f t="shared" si="0"/>
        <v>0</v>
      </c>
    </row>
    <row r="23" spans="1:34">
      <c r="A23" s="440" t="s">
        <v>211</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f t="shared" si="1"/>
        <v>0</v>
      </c>
      <c r="AH23" s="460">
        <f t="shared" si="0"/>
        <v>0</v>
      </c>
    </row>
    <row r="24" spans="1:34">
      <c r="A24" s="440" t="s">
        <v>283</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f t="shared" si="1"/>
        <v>0</v>
      </c>
      <c r="AH24" s="460">
        <f t="shared" si="0"/>
        <v>0</v>
      </c>
    </row>
    <row r="25" spans="1:34">
      <c r="A25" s="440" t="s">
        <v>212</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f t="shared" si="1"/>
        <v>0</v>
      </c>
      <c r="AH25" s="460">
        <f t="shared" si="0"/>
        <v>0</v>
      </c>
    </row>
    <row r="26" spans="1:34">
      <c r="A26" s="440" t="s">
        <v>213</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f t="shared" si="1"/>
        <v>0</v>
      </c>
      <c r="AH26" s="460">
        <f t="shared" si="0"/>
        <v>0</v>
      </c>
    </row>
    <row r="27" spans="1:34">
      <c r="A27" s="440" t="s">
        <v>214</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f t="shared" si="1"/>
        <v>0</v>
      </c>
      <c r="AH27" s="460">
        <f t="shared" si="0"/>
        <v>0</v>
      </c>
    </row>
    <row r="28" spans="1:34">
      <c r="A28" s="440" t="s">
        <v>215</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f t="shared" si="1"/>
        <v>0</v>
      </c>
      <c r="AH28" s="460">
        <f t="shared" si="0"/>
        <v>0</v>
      </c>
    </row>
    <row r="29" spans="1:34">
      <c r="A29" s="440" t="s">
        <v>284</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f t="shared" si="1"/>
        <v>0</v>
      </c>
      <c r="AH29" s="460">
        <f t="shared" si="0"/>
        <v>0</v>
      </c>
    </row>
    <row r="30" spans="1:34">
      <c r="A30" s="440" t="s">
        <v>285</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f t="shared" si="1"/>
        <v>0</v>
      </c>
      <c r="AH30" s="460">
        <f t="shared" si="0"/>
        <v>0</v>
      </c>
    </row>
    <row r="31" spans="1:34">
      <c r="A31" s="440" t="s">
        <v>216</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f t="shared" si="1"/>
        <v>0</v>
      </c>
      <c r="AH31" s="460">
        <f t="shared" si="0"/>
        <v>0</v>
      </c>
    </row>
    <row r="32" spans="1:34">
      <c r="A32" s="440" t="s">
        <v>217</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f t="shared" si="1"/>
        <v>0</v>
      </c>
      <c r="AH32" s="460">
        <f t="shared" si="0"/>
        <v>0</v>
      </c>
    </row>
    <row r="33" spans="1:34">
      <c r="A33" s="440" t="s">
        <v>218</v>
      </c>
      <c r="B33" s="5"/>
      <c r="C33" s="5"/>
      <c r="D33" s="5"/>
      <c r="E33" s="5">
        <v>0.57999999999999996</v>
      </c>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f t="shared" si="1"/>
        <v>0.57999999999999996</v>
      </c>
      <c r="AH33" s="460">
        <f t="shared" si="0"/>
        <v>2.44808374134729E-2</v>
      </c>
    </row>
    <row r="34" spans="1:34">
      <c r="A34" s="443" t="s">
        <v>219</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f t="shared" si="1"/>
        <v>0</v>
      </c>
      <c r="AH34" s="460">
        <f t="shared" si="0"/>
        <v>0</v>
      </c>
    </row>
    <row r="35" spans="1:34">
      <c r="A35" s="443" t="s">
        <v>220</v>
      </c>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f t="shared" si="1"/>
        <v>0</v>
      </c>
      <c r="AH35" s="460">
        <f t="shared" si="0"/>
        <v>0</v>
      </c>
    </row>
    <row r="36" spans="1:34">
      <c r="A36" s="443" t="s">
        <v>221</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f t="shared" si="1"/>
        <v>0</v>
      </c>
      <c r="AH36" s="460">
        <f t="shared" si="0"/>
        <v>0</v>
      </c>
    </row>
    <row r="37" spans="1:34">
      <c r="A37" s="443" t="s">
        <v>380</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f t="shared" si="1"/>
        <v>0</v>
      </c>
      <c r="AH37" s="460">
        <f>+AG37/$AG$39</f>
        <v>0</v>
      </c>
    </row>
    <row r="38" spans="1:34">
      <c r="A38" s="491" t="s">
        <v>286</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492">
        <f>+AG39/Efficiency1!$K$150</f>
        <v>1.8210322627185825E-2</v>
      </c>
    </row>
    <row r="39" spans="1:34">
      <c r="A39" s="443" t="s">
        <v>2</v>
      </c>
      <c r="B39" s="5">
        <f>SUM(B3:B37)</f>
        <v>4.0110000000000001</v>
      </c>
      <c r="C39" s="5">
        <f t="shared" ref="C39:AC39" si="2">SUM(C3:C37)</f>
        <v>10.006</v>
      </c>
      <c r="D39" s="5">
        <f t="shared" si="2"/>
        <v>8767.1439999999984</v>
      </c>
      <c r="E39" s="5">
        <f t="shared" si="2"/>
        <v>6.5480000000000009</v>
      </c>
      <c r="F39" s="5">
        <f>SUM(F3:F37)</f>
        <v>5.9269999999999996</v>
      </c>
      <c r="G39" s="5">
        <f>SUM(G3:G37)</f>
        <v>8.6000000000000014</v>
      </c>
      <c r="H39" s="5">
        <f t="shared" si="2"/>
        <v>6.6099999999999994</v>
      </c>
      <c r="I39" s="5">
        <f t="shared" si="2"/>
        <v>0</v>
      </c>
      <c r="J39" s="5">
        <f t="shared" si="2"/>
        <v>6.5220000000000002</v>
      </c>
      <c r="K39" s="5">
        <f t="shared" si="2"/>
        <v>6.7220000000000004</v>
      </c>
      <c r="L39" s="5">
        <f t="shared" si="2"/>
        <v>4.7930000000000001</v>
      </c>
      <c r="M39" s="5">
        <f t="shared" si="2"/>
        <v>8.2789999999999999</v>
      </c>
      <c r="N39" s="5">
        <f t="shared" si="2"/>
        <v>0.30000000000000004</v>
      </c>
      <c r="O39" s="6">
        <f t="shared" si="2"/>
        <v>0</v>
      </c>
      <c r="P39" s="5">
        <f t="shared" si="2"/>
        <v>0</v>
      </c>
      <c r="Q39" s="5">
        <f t="shared" si="2"/>
        <v>0</v>
      </c>
      <c r="R39" s="5">
        <f>SUM(R3:R37)</f>
        <v>0</v>
      </c>
      <c r="S39" s="5">
        <f t="shared" si="2"/>
        <v>0</v>
      </c>
      <c r="T39" s="5">
        <f t="shared" si="2"/>
        <v>0</v>
      </c>
      <c r="U39" s="5">
        <f t="shared" si="2"/>
        <v>0</v>
      </c>
      <c r="V39" s="5">
        <f t="shared" si="2"/>
        <v>0</v>
      </c>
      <c r="W39" s="5">
        <f t="shared" si="2"/>
        <v>0</v>
      </c>
      <c r="X39" s="5">
        <f t="shared" si="2"/>
        <v>0</v>
      </c>
      <c r="Y39" s="5">
        <f t="shared" si="2"/>
        <v>0</v>
      </c>
      <c r="Z39" s="5">
        <f t="shared" si="2"/>
        <v>0</v>
      </c>
      <c r="AA39" s="5">
        <f t="shared" si="2"/>
        <v>0</v>
      </c>
      <c r="AB39" s="5">
        <f t="shared" si="2"/>
        <v>0</v>
      </c>
      <c r="AC39" s="5">
        <f t="shared" si="2"/>
        <v>0</v>
      </c>
      <c r="AD39" s="5">
        <f>SUM(AD3:AD37)</f>
        <v>0</v>
      </c>
      <c r="AE39" s="5">
        <f t="shared" ref="AE39:AF39" si="3">SUM(AE3:AE37)</f>
        <v>0</v>
      </c>
      <c r="AF39" s="5">
        <f t="shared" si="3"/>
        <v>0</v>
      </c>
      <c r="AG39" s="16">
        <f>SUM(AG6:AG38)</f>
        <v>23.692</v>
      </c>
      <c r="AH39" s="461">
        <f>SUM(AH6:AH37)</f>
        <v>1</v>
      </c>
    </row>
  </sheetData>
  <mergeCells count="1">
    <mergeCell ref="AI3:AI4"/>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5"/>
  <sheetViews>
    <sheetView zoomScale="85" workbookViewId="0">
      <pane xSplit="5" ySplit="9" topLeftCell="AN10" activePane="bottomRight" state="frozen"/>
      <selection activeCell="H11" sqref="H11"/>
      <selection pane="topRight" activeCell="H11" sqref="H11"/>
      <selection pane="bottomLeft" activeCell="H11" sqref="H11"/>
      <selection pane="bottomRight" activeCell="BK41" sqref="BK41"/>
    </sheetView>
  </sheetViews>
  <sheetFormatPr defaultColWidth="9.140625" defaultRowHeight="12.75"/>
  <cols>
    <col min="1" max="1" width="8"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3.140625" bestFit="1" customWidth="1"/>
    <col min="20" max="20" width="8.28515625" bestFit="1" customWidth="1"/>
    <col min="21" max="21" width="14.42578125" bestFit="1" customWidth="1"/>
    <col min="22" max="22" width="8" bestFit="1" customWidth="1"/>
    <col min="23" max="23" width="12.7109375" hidden="1" customWidth="1"/>
    <col min="24" max="24" width="8.7109375" hidden="1" customWidth="1"/>
    <col min="25" max="25" width="12.140625" hidden="1" customWidth="1"/>
    <col min="26" max="26" width="21.42578125" hidden="1" customWidth="1"/>
    <col min="27" max="27" width="17.7109375" hidden="1" customWidth="1"/>
    <col min="28" max="28" width="12.28515625" hidden="1" customWidth="1"/>
    <col min="29" max="29" width="14.42578125" hidden="1" customWidth="1"/>
    <col min="30" max="30" width="9.42578125" hidden="1" customWidth="1"/>
    <col min="31" max="31" width="17.7109375" hidden="1" customWidth="1"/>
    <col min="32" max="32" width="9.28515625" hidden="1" customWidth="1"/>
    <col min="33" max="33" width="14.42578125" hidden="1" customWidth="1"/>
    <col min="34" max="34" width="8.140625" hidden="1" customWidth="1"/>
    <col min="35" max="35" width="11.42578125" hidden="1" customWidth="1"/>
    <col min="36" max="36" width="8.5703125" hidden="1" customWidth="1"/>
    <col min="37" max="37" width="11.42578125" hidden="1" customWidth="1"/>
    <col min="38" max="38" width="8" hidden="1" customWidth="1"/>
    <col min="39" max="39" width="11.5703125" customWidth="1"/>
    <col min="40" max="40" width="8.140625" customWidth="1"/>
    <col min="41" max="41" width="13.140625" bestFit="1" customWidth="1"/>
    <col min="42" max="42" width="8.140625" customWidth="1"/>
    <col min="43" max="43" width="12.140625" hidden="1" customWidth="1"/>
    <col min="44" max="44" width="7.7109375" hidden="1" customWidth="1"/>
    <col min="45" max="45" width="12.140625" hidden="1" customWidth="1"/>
    <col min="46" max="46" width="7.7109375" hidden="1" customWidth="1"/>
    <col min="47" max="47" width="13.28515625" hidden="1" customWidth="1"/>
    <col min="48" max="48" width="8.85546875" hidden="1" customWidth="1"/>
    <col min="49" max="49" width="15.28515625" hidden="1" customWidth="1"/>
    <col min="50" max="50" width="7.7109375" hidden="1" customWidth="1"/>
    <col min="51" max="51" width="10.28515625" hidden="1" customWidth="1"/>
    <col min="52" max="52" width="8.140625" hidden="1" customWidth="1"/>
    <col min="53" max="53" width="11.42578125" hidden="1" customWidth="1"/>
    <col min="54" max="54" width="7.7109375" hidden="1" customWidth="1"/>
    <col min="55" max="55" width="10.5703125" bestFit="1" customWidth="1"/>
    <col min="56" max="56" width="9.28515625" customWidth="1"/>
    <col min="57" max="57" width="14.42578125" customWidth="1"/>
    <col min="58" max="58" width="10" customWidth="1"/>
    <col min="59" max="59" width="10.85546875" hidden="1" customWidth="1"/>
    <col min="60" max="60" width="8.7109375" hidden="1" customWidth="1"/>
    <col min="61" max="61" width="12.85546875" hidden="1" customWidth="1"/>
    <col min="62" max="62" width="8.42578125" hidden="1" customWidth="1"/>
    <col min="63" max="63" width="13.7109375" customWidth="1"/>
    <col min="64" max="64" width="14.42578125" bestFit="1" customWidth="1"/>
    <col min="65" max="65" width="8.85546875" bestFit="1" customWidth="1"/>
    <col min="66" max="66" width="10.28515625" bestFit="1" customWidth="1"/>
    <col min="67" max="67" width="13.28515625" bestFit="1" customWidth="1"/>
    <col min="68" max="68" width="10.42578125" bestFit="1" customWidth="1"/>
    <col min="70" max="70" width="15.42578125" bestFit="1" customWidth="1"/>
    <col min="71" max="71" width="10.42578125" bestFit="1" customWidth="1"/>
    <col min="74" max="74" width="10.42578125" bestFit="1" customWidth="1"/>
  </cols>
  <sheetData>
    <row r="1" spans="1:66" ht="15.75">
      <c r="A1" s="148"/>
      <c r="AE1" s="252"/>
    </row>
    <row r="2" spans="1:66" ht="15.75">
      <c r="A2" s="148"/>
      <c r="AE2" s="252"/>
      <c r="AI2" s="18"/>
    </row>
    <row r="3" spans="1:66" ht="15">
      <c r="A3" s="150"/>
      <c r="AE3" s="252"/>
    </row>
    <row r="4" spans="1:66" ht="15.75">
      <c r="A4" s="151" t="s">
        <v>290</v>
      </c>
      <c r="G4" s="13"/>
      <c r="AA4" s="13"/>
      <c r="AE4" s="252"/>
      <c r="AV4" s="18"/>
    </row>
    <row r="5" spans="1:66" ht="15.75">
      <c r="A5" s="151"/>
      <c r="G5" s="13"/>
      <c r="AA5" s="13"/>
      <c r="AE5" s="13"/>
    </row>
    <row r="6" spans="1:66" ht="18">
      <c r="A6" s="253"/>
      <c r="AA6" s="13"/>
      <c r="AE6" s="13"/>
      <c r="BD6" s="13"/>
      <c r="BE6" s="13"/>
      <c r="BF6" s="13"/>
      <c r="BL6" s="13"/>
    </row>
    <row r="7" spans="1:66" ht="16.5" thickBot="1">
      <c r="A7" s="254"/>
      <c r="B7" s="254"/>
      <c r="C7" s="254"/>
      <c r="D7" s="254"/>
      <c r="E7" s="254"/>
      <c r="F7" s="254"/>
      <c r="G7" s="254">
        <v>250</v>
      </c>
      <c r="S7" s="254"/>
      <c r="T7" s="254"/>
      <c r="U7" s="255"/>
      <c r="V7" s="255"/>
      <c r="W7" s="254">
        <v>248.881</v>
      </c>
      <c r="X7" s="254"/>
      <c r="Y7" s="254"/>
      <c r="Z7" s="254"/>
      <c r="AA7" s="446">
        <v>250.69</v>
      </c>
      <c r="AB7" s="254"/>
      <c r="AC7" s="254"/>
      <c r="AD7" s="254"/>
      <c r="AE7" s="446">
        <v>251.53399999999999</v>
      </c>
      <c r="AF7" s="254"/>
      <c r="AG7" s="254"/>
      <c r="AH7" s="254"/>
      <c r="AI7" s="254">
        <v>238.345</v>
      </c>
      <c r="AJ7" s="254"/>
      <c r="AK7" s="254"/>
      <c r="AL7" s="254"/>
      <c r="AM7" s="254"/>
      <c r="AN7" s="254"/>
      <c r="AO7" s="254"/>
      <c r="AP7" s="254"/>
      <c r="AQ7" s="254">
        <v>244.68</v>
      </c>
      <c r="AR7" s="254"/>
      <c r="AS7" s="254"/>
      <c r="AT7" s="254"/>
      <c r="AU7" s="254"/>
      <c r="AV7" s="254"/>
      <c r="AW7" s="254"/>
      <c r="AX7" s="254"/>
      <c r="AY7" s="254"/>
      <c r="AZ7" s="254"/>
      <c r="BA7" s="254"/>
      <c r="BB7" s="254"/>
      <c r="BC7" s="255"/>
      <c r="BD7" s="255"/>
      <c r="BE7" s="254"/>
      <c r="BF7" s="254"/>
      <c r="BG7" s="254"/>
      <c r="BH7" s="254"/>
      <c r="BI7" s="254"/>
      <c r="BJ7" s="254"/>
      <c r="BK7" s="254"/>
      <c r="BL7" s="254"/>
      <c r="BM7" s="254"/>
      <c r="BN7" s="254"/>
    </row>
    <row r="8" spans="1:66" ht="38.25" customHeight="1" thickTop="1">
      <c r="A8" s="540" t="s">
        <v>29</v>
      </c>
      <c r="B8" s="540" t="s">
        <v>4</v>
      </c>
      <c r="C8" s="540" t="s">
        <v>5</v>
      </c>
      <c r="D8" s="542" t="s">
        <v>41</v>
      </c>
      <c r="E8" s="728" t="s">
        <v>39</v>
      </c>
      <c r="F8" s="729"/>
      <c r="G8" s="728" t="s">
        <v>379</v>
      </c>
      <c r="H8" s="730"/>
      <c r="I8" s="730"/>
      <c r="J8" s="729"/>
      <c r="K8" s="728" t="s">
        <v>146</v>
      </c>
      <c r="L8" s="730"/>
      <c r="M8" s="730"/>
      <c r="N8" s="729"/>
      <c r="O8" s="728" t="s">
        <v>42</v>
      </c>
      <c r="P8" s="730"/>
      <c r="Q8" s="730"/>
      <c r="R8" s="729"/>
      <c r="S8" s="728" t="s">
        <v>43</v>
      </c>
      <c r="T8" s="730"/>
      <c r="U8" s="730"/>
      <c r="V8" s="729"/>
      <c r="W8" s="728" t="s">
        <v>394</v>
      </c>
      <c r="X8" s="730"/>
      <c r="Y8" s="730"/>
      <c r="Z8" s="729"/>
      <c r="AA8" s="728" t="s">
        <v>174</v>
      </c>
      <c r="AB8" s="730"/>
      <c r="AC8" s="730"/>
      <c r="AD8" s="729"/>
      <c r="AE8" s="728" t="s">
        <v>229</v>
      </c>
      <c r="AF8" s="730"/>
      <c r="AG8" s="730"/>
      <c r="AH8" s="729"/>
      <c r="AI8" s="728" t="s">
        <v>382</v>
      </c>
      <c r="AJ8" s="730"/>
      <c r="AK8" s="730"/>
      <c r="AL8" s="729"/>
      <c r="AM8" s="728" t="s">
        <v>89</v>
      </c>
      <c r="AN8" s="730"/>
      <c r="AO8" s="730"/>
      <c r="AP8" s="729"/>
      <c r="AQ8" s="728" t="s">
        <v>414</v>
      </c>
      <c r="AR8" s="730"/>
      <c r="AS8" s="730"/>
      <c r="AT8" s="729"/>
      <c r="AU8" s="728" t="s">
        <v>147</v>
      </c>
      <c r="AV8" s="730"/>
      <c r="AW8" s="730"/>
      <c r="AX8" s="729"/>
      <c r="AY8" s="728" t="s">
        <v>148</v>
      </c>
      <c r="AZ8" s="730"/>
      <c r="BA8" s="730"/>
      <c r="BB8" s="729"/>
      <c r="BC8" s="728" t="s">
        <v>90</v>
      </c>
      <c r="BD8" s="730"/>
      <c r="BE8" s="730"/>
      <c r="BF8" s="729"/>
      <c r="BG8" s="728" t="s">
        <v>44</v>
      </c>
      <c r="BH8" s="730"/>
      <c r="BI8" s="730"/>
      <c r="BJ8" s="729"/>
      <c r="BK8" s="728" t="s">
        <v>45</v>
      </c>
      <c r="BL8" s="729"/>
      <c r="BM8" s="728" t="s">
        <v>46</v>
      </c>
      <c r="BN8" s="729"/>
    </row>
    <row r="9" spans="1:66">
      <c r="A9" s="541"/>
      <c r="B9" s="541"/>
      <c r="C9" s="541"/>
      <c r="D9" s="543"/>
      <c r="E9" s="2" t="s">
        <v>37</v>
      </c>
      <c r="F9" s="539" t="s">
        <v>38</v>
      </c>
      <c r="G9" s="8" t="s">
        <v>37</v>
      </c>
      <c r="H9" s="8" t="s">
        <v>11</v>
      </c>
      <c r="I9" s="543" t="s">
        <v>38</v>
      </c>
      <c r="J9" s="543" t="s">
        <v>11</v>
      </c>
      <c r="K9" s="8" t="s">
        <v>37</v>
      </c>
      <c r="L9" s="8" t="s">
        <v>11</v>
      </c>
      <c r="M9" s="543" t="s">
        <v>38</v>
      </c>
      <c r="N9" s="543" t="s">
        <v>11</v>
      </c>
      <c r="O9" s="8" t="s">
        <v>37</v>
      </c>
      <c r="P9" s="8" t="s">
        <v>11</v>
      </c>
      <c r="Q9" s="543" t="s">
        <v>38</v>
      </c>
      <c r="R9" s="543" t="s">
        <v>11</v>
      </c>
      <c r="S9" s="543" t="s">
        <v>37</v>
      </c>
      <c r="T9" s="543" t="s">
        <v>11</v>
      </c>
      <c r="U9" s="543" t="s">
        <v>38</v>
      </c>
      <c r="V9" s="543" t="s">
        <v>11</v>
      </c>
      <c r="W9" s="543" t="s">
        <v>37</v>
      </c>
      <c r="X9" s="543" t="s">
        <v>11</v>
      </c>
      <c r="Y9" s="543" t="s">
        <v>38</v>
      </c>
      <c r="Z9" s="543" t="s">
        <v>11</v>
      </c>
      <c r="AA9" s="543" t="s">
        <v>37</v>
      </c>
      <c r="AB9" s="543" t="s">
        <v>11</v>
      </c>
      <c r="AC9" s="543" t="s">
        <v>38</v>
      </c>
      <c r="AD9" s="543" t="s">
        <v>11</v>
      </c>
      <c r="AE9" s="543" t="s">
        <v>37</v>
      </c>
      <c r="AF9" s="543" t="s">
        <v>11</v>
      </c>
      <c r="AG9" s="543" t="s">
        <v>38</v>
      </c>
      <c r="AH9" s="543" t="s">
        <v>11</v>
      </c>
      <c r="AI9" s="543" t="s">
        <v>37</v>
      </c>
      <c r="AJ9" s="543" t="s">
        <v>11</v>
      </c>
      <c r="AK9" s="543" t="s">
        <v>38</v>
      </c>
      <c r="AL9" s="543" t="s">
        <v>11</v>
      </c>
      <c r="AM9" s="543" t="s">
        <v>37</v>
      </c>
      <c r="AN9" s="543" t="s">
        <v>11</v>
      </c>
      <c r="AO9" s="543" t="s">
        <v>38</v>
      </c>
      <c r="AP9" s="543" t="s">
        <v>11</v>
      </c>
      <c r="AQ9" s="543" t="s">
        <v>37</v>
      </c>
      <c r="AR9" s="543" t="s">
        <v>11</v>
      </c>
      <c r="AS9" s="543" t="s">
        <v>38</v>
      </c>
      <c r="AT9" s="543" t="s">
        <v>11</v>
      </c>
      <c r="AU9" s="543" t="s">
        <v>37</v>
      </c>
      <c r="AV9" s="543" t="s">
        <v>11</v>
      </c>
      <c r="AW9" s="543" t="s">
        <v>38</v>
      </c>
      <c r="AX9" s="543" t="s">
        <v>11</v>
      </c>
      <c r="AY9" s="543" t="s">
        <v>37</v>
      </c>
      <c r="AZ9" s="543" t="s">
        <v>11</v>
      </c>
      <c r="BA9" s="543" t="s">
        <v>38</v>
      </c>
      <c r="BB9" s="543" t="s">
        <v>11</v>
      </c>
      <c r="BC9" s="543" t="s">
        <v>37</v>
      </c>
      <c r="BD9" s="543" t="s">
        <v>11</v>
      </c>
      <c r="BE9" s="543" t="s">
        <v>38</v>
      </c>
      <c r="BF9" s="543" t="s">
        <v>11</v>
      </c>
      <c r="BG9" s="543" t="s">
        <v>37</v>
      </c>
      <c r="BH9" s="543" t="s">
        <v>11</v>
      </c>
      <c r="BI9" s="543" t="s">
        <v>38</v>
      </c>
      <c r="BJ9" s="543" t="s">
        <v>11</v>
      </c>
      <c r="BK9" s="543" t="s">
        <v>37</v>
      </c>
      <c r="BL9" s="543" t="s">
        <v>38</v>
      </c>
      <c r="BM9" s="543" t="s">
        <v>37</v>
      </c>
      <c r="BN9" s="543" t="s">
        <v>38</v>
      </c>
    </row>
    <row r="10" spans="1:66">
      <c r="A10" s="15">
        <f>+Chem!A9</f>
        <v>45901</v>
      </c>
      <c r="B10" s="5" t="str">
        <f>+Chem!B9</f>
        <v>Facial</v>
      </c>
      <c r="C10" s="15" t="str">
        <f>+Chem!C9</f>
        <v>12</v>
      </c>
      <c r="D10" s="7">
        <f>+Chem!D9</f>
        <v>40.056000000000004</v>
      </c>
      <c r="E10" s="6">
        <f>+Chem!E9</f>
        <v>41.481999999999999</v>
      </c>
      <c r="F10" s="6">
        <f>+E10</f>
        <v>41.481999999999999</v>
      </c>
      <c r="G10" s="96">
        <f>18.5*G7</f>
        <v>4625</v>
      </c>
      <c r="H10" s="9">
        <f t="shared" ref="H10:H40" si="0">G10/BK10*100</f>
        <v>11.325336135976515</v>
      </c>
      <c r="I10" s="7">
        <f>G10</f>
        <v>4625</v>
      </c>
      <c r="J10" s="9">
        <f t="shared" ref="J10:J40" si="1">I10/BL10*100</f>
        <v>11.325336135976515</v>
      </c>
      <c r="K10" s="96">
        <v>0</v>
      </c>
      <c r="L10" s="9">
        <f t="shared" ref="L10:L40" si="2">+K10/BK10*100</f>
        <v>0</v>
      </c>
      <c r="M10" s="9">
        <f>+K10</f>
        <v>0</v>
      </c>
      <c r="N10" s="9">
        <f t="shared" ref="N10:N40" si="3">+M10/BL10*100</f>
        <v>0</v>
      </c>
      <c r="O10" s="96"/>
      <c r="P10" s="9">
        <f t="shared" ref="P10:P40" si="4">+O10/BK10*100</f>
        <v>0</v>
      </c>
      <c r="Q10" s="9">
        <f>+O10</f>
        <v>0</v>
      </c>
      <c r="R10" s="9">
        <f t="shared" ref="R10:R40" si="5">+Q10/BL10*100</f>
        <v>0</v>
      </c>
      <c r="S10" s="9">
        <f>G10+K10+O10</f>
        <v>4625</v>
      </c>
      <c r="T10" s="9">
        <f t="shared" ref="T10:T40" si="6">S10/BK10*100</f>
        <v>11.325336135976515</v>
      </c>
      <c r="U10" s="9">
        <f>S10</f>
        <v>4625</v>
      </c>
      <c r="V10" s="9">
        <f t="shared" ref="V10:V40" si="7">U10/BL10*100</f>
        <v>11.325336135976515</v>
      </c>
      <c r="W10" s="96"/>
      <c r="X10" s="9">
        <f>W10/BK10*100</f>
        <v>0</v>
      </c>
      <c r="Y10" s="9">
        <f>W10</f>
        <v>0</v>
      </c>
      <c r="Z10" s="9">
        <f>Y10/BL10*100</f>
        <v>0</v>
      </c>
      <c r="AA10" s="96"/>
      <c r="AB10" s="9">
        <f t="shared" ref="AB10:AB40" si="8">AA10/BK10*100</f>
        <v>0</v>
      </c>
      <c r="AC10" s="9">
        <f>AA10</f>
        <v>0</v>
      </c>
      <c r="AD10" s="9">
        <f t="shared" ref="AD10:AD40" si="9">AC10/BL10*100</f>
        <v>0</v>
      </c>
      <c r="AE10" s="96"/>
      <c r="AF10" s="9">
        <f t="shared" ref="AF10:AF40" si="10">AE10/BK10*100</f>
        <v>0</v>
      </c>
      <c r="AG10" s="9">
        <f>AE10</f>
        <v>0</v>
      </c>
      <c r="AH10" s="9">
        <f t="shared" ref="AH10:AH40" si="11">AG10/BL10*100</f>
        <v>0</v>
      </c>
      <c r="AI10" s="96"/>
      <c r="AJ10" s="9">
        <f t="shared" ref="AJ10:AJ40" si="12">AI10/BK10*100</f>
        <v>0</v>
      </c>
      <c r="AK10" s="9">
        <f>AI10</f>
        <v>0</v>
      </c>
      <c r="AL10" s="9">
        <f t="shared" ref="AL10:AL40" si="13">AK10/BL10</f>
        <v>0</v>
      </c>
      <c r="AM10" s="9">
        <f>AA10+AE10+AI10+W10</f>
        <v>0</v>
      </c>
      <c r="AN10" s="9">
        <f t="shared" ref="AN10:AN39" si="14">AM10/BK10*100</f>
        <v>0</v>
      </c>
      <c r="AO10" s="9">
        <f>AM10</f>
        <v>0</v>
      </c>
      <c r="AP10" s="9">
        <f t="shared" ref="AP10:AP39" si="15">AO10/BL10*100</f>
        <v>0</v>
      </c>
      <c r="AQ10" s="96">
        <f>148*AQ7</f>
        <v>36212.639999999999</v>
      </c>
      <c r="AR10" s="9">
        <f t="shared" ref="AR10:AR39" si="16">+AQ10/BK10*100</f>
        <v>88.674663864023486</v>
      </c>
      <c r="AS10" s="9">
        <f>+AQ10</f>
        <v>36212.639999999999</v>
      </c>
      <c r="AT10" s="9">
        <f t="shared" ref="AT10:AT39" si="17">+AS10/BL10*100</f>
        <v>88.674663864023486</v>
      </c>
      <c r="AU10" s="96">
        <f>14*AV6</f>
        <v>0</v>
      </c>
      <c r="AV10" s="9">
        <f t="shared" ref="AV10:AV39" si="18">AU10/BK10*100</f>
        <v>0</v>
      </c>
      <c r="AW10" s="9">
        <f>AU10</f>
        <v>0</v>
      </c>
      <c r="AX10" s="9">
        <f t="shared" ref="AX10:AX39" si="19">AW10/BL10*100</f>
        <v>0</v>
      </c>
      <c r="AY10" s="96"/>
      <c r="AZ10" s="14">
        <f t="shared" ref="AZ10:AZ39" si="20">AY10/BK10*100</f>
        <v>0</v>
      </c>
      <c r="BA10" s="9">
        <f>AY10</f>
        <v>0</v>
      </c>
      <c r="BB10" s="9">
        <f t="shared" ref="BB10:BB39" si="21">BA10/BL10*100</f>
        <v>0</v>
      </c>
      <c r="BC10" s="9">
        <f>AQ10+AU10+AY10</f>
        <v>36212.639999999999</v>
      </c>
      <c r="BD10" s="9">
        <f t="shared" ref="BD10:BD39" si="22">BC10/BK10*100</f>
        <v>88.674663864023486</v>
      </c>
      <c r="BE10" s="9">
        <f>BC10</f>
        <v>36212.639999999999</v>
      </c>
      <c r="BF10" s="9">
        <f t="shared" ref="BF10:BF39" si="23">BE10/BL10*100</f>
        <v>88.674663864023486</v>
      </c>
      <c r="BG10" s="96">
        <v>0</v>
      </c>
      <c r="BH10" s="9">
        <f t="shared" ref="BH10:BH39" si="24">BG10/BK10*100</f>
        <v>0</v>
      </c>
      <c r="BI10" s="9">
        <f>BG10</f>
        <v>0</v>
      </c>
      <c r="BJ10" s="9">
        <f t="shared" ref="BJ10:BJ39" si="25">BI10/BL10*100</f>
        <v>0</v>
      </c>
      <c r="BK10" s="9">
        <f t="shared" ref="BK10:BK40" si="26">S10+AM10+BC10+BG10</f>
        <v>40837.64</v>
      </c>
      <c r="BL10" s="9">
        <f>BK10</f>
        <v>40837.64</v>
      </c>
      <c r="BM10" s="512">
        <f t="shared" ref="BM10:BM40" si="27">BK10/1000/E10</f>
        <v>0.9844665155971265</v>
      </c>
      <c r="BN10" s="9">
        <f t="shared" ref="BN10:BN40" si="28">(BL10/1000)/F10</f>
        <v>0.9844665155971265</v>
      </c>
    </row>
    <row r="11" spans="1:66">
      <c r="A11" s="15">
        <f>+Chem!A10</f>
        <v>45902</v>
      </c>
      <c r="B11" s="5" t="str">
        <f>+Chem!B10</f>
        <v>Facial</v>
      </c>
      <c r="C11" s="15" t="str">
        <f>+Chem!C10</f>
        <v>12/13</v>
      </c>
      <c r="D11" s="7">
        <f>+Chem!D10</f>
        <v>38.489000000000004</v>
      </c>
      <c r="E11" s="6">
        <f>+Chem!E10</f>
        <v>31.631</v>
      </c>
      <c r="F11" s="6">
        <f t="shared" ref="F11:F39" si="29">+E11+F10</f>
        <v>73.113</v>
      </c>
      <c r="G11" s="96">
        <f>20*G7</f>
        <v>5000</v>
      </c>
      <c r="H11" s="9">
        <f t="shared" si="0"/>
        <v>12.427325003380233</v>
      </c>
      <c r="I11" s="7">
        <f t="shared" ref="I11:I39" si="30">G11+I10</f>
        <v>9625</v>
      </c>
      <c r="J11" s="9">
        <f t="shared" si="1"/>
        <v>11.872227449428628</v>
      </c>
      <c r="K11" s="96"/>
      <c r="L11" s="9">
        <f t="shared" si="2"/>
        <v>0</v>
      </c>
      <c r="M11" s="9">
        <f t="shared" ref="M11:M39" si="31">+K11+M10</f>
        <v>0</v>
      </c>
      <c r="N11" s="9">
        <f t="shared" si="3"/>
        <v>0</v>
      </c>
      <c r="O11" s="96"/>
      <c r="P11" s="9">
        <f t="shared" si="4"/>
        <v>0</v>
      </c>
      <c r="Q11" s="9">
        <f t="shared" ref="Q11:Q39" si="32">+O11+Q10</f>
        <v>0</v>
      </c>
      <c r="R11" s="9">
        <f t="shared" si="5"/>
        <v>0</v>
      </c>
      <c r="S11" s="9">
        <f t="shared" ref="S11:S40" si="33">G11+K11+O11</f>
        <v>5000</v>
      </c>
      <c r="T11" s="9">
        <f t="shared" si="6"/>
        <v>12.427325003380233</v>
      </c>
      <c r="U11" s="9">
        <f t="shared" ref="U11:U39" si="34">S11+U10</f>
        <v>9625</v>
      </c>
      <c r="V11" s="9">
        <f t="shared" si="7"/>
        <v>11.872227449428628</v>
      </c>
      <c r="W11" s="96"/>
      <c r="X11" s="9"/>
      <c r="Y11" s="9"/>
      <c r="Z11" s="9"/>
      <c r="AA11" s="96"/>
      <c r="AB11" s="9">
        <f t="shared" si="8"/>
        <v>0</v>
      </c>
      <c r="AC11" s="9">
        <f t="shared" ref="AC11:AC39" si="35">AA11+AC10</f>
        <v>0</v>
      </c>
      <c r="AD11" s="9">
        <f t="shared" si="9"/>
        <v>0</v>
      </c>
      <c r="AE11" s="96"/>
      <c r="AF11" s="9">
        <f t="shared" si="10"/>
        <v>0</v>
      </c>
      <c r="AG11" s="9">
        <f t="shared" ref="AG11:AG39" si="36">AE11+AG10</f>
        <v>0</v>
      </c>
      <c r="AH11" s="9">
        <f t="shared" si="11"/>
        <v>0</v>
      </c>
      <c r="AI11" s="96"/>
      <c r="AJ11" s="9">
        <f t="shared" si="12"/>
        <v>0</v>
      </c>
      <c r="AK11" s="9">
        <f t="shared" ref="AK11:AK39" si="37">AI11+AK10</f>
        <v>0</v>
      </c>
      <c r="AL11" s="9">
        <f t="shared" si="13"/>
        <v>0</v>
      </c>
      <c r="AM11" s="9">
        <f t="shared" ref="AM11:AM40" si="38">AA11+AE11+AI11+W11</f>
        <v>0</v>
      </c>
      <c r="AN11" s="9">
        <f t="shared" si="14"/>
        <v>0</v>
      </c>
      <c r="AO11" s="9">
        <f t="shared" ref="AO11:AO39" si="39">AM11+AO10</f>
        <v>0</v>
      </c>
      <c r="AP11" s="9">
        <f t="shared" si="15"/>
        <v>0</v>
      </c>
      <c r="AQ11" s="96">
        <f>144*AQ7</f>
        <v>35233.919999999998</v>
      </c>
      <c r="AR11" s="9">
        <f t="shared" si="16"/>
        <v>87.572674996619767</v>
      </c>
      <c r="AS11" s="9">
        <f t="shared" ref="AS11:AS39" si="40">+AQ11+AS10</f>
        <v>71446.559999999998</v>
      </c>
      <c r="AT11" s="9">
        <f t="shared" si="17"/>
        <v>88.127772550571365</v>
      </c>
      <c r="AU11" s="96"/>
      <c r="AV11" s="9">
        <f t="shared" si="18"/>
        <v>0</v>
      </c>
      <c r="AW11" s="9">
        <f t="shared" ref="AW11:AW39" si="41">AU11+AW10</f>
        <v>0</v>
      </c>
      <c r="AX11" s="9">
        <f t="shared" si="19"/>
        <v>0</v>
      </c>
      <c r="AY11" s="96"/>
      <c r="AZ11" s="14">
        <f t="shared" si="20"/>
        <v>0</v>
      </c>
      <c r="BA11" s="9">
        <f t="shared" ref="BA11:BA39" si="42">AY11+BA10</f>
        <v>0</v>
      </c>
      <c r="BB11" s="9">
        <f t="shared" si="21"/>
        <v>0</v>
      </c>
      <c r="BC11" s="9">
        <f t="shared" ref="BC11:BC39" si="43">AQ11+AU11+AY11</f>
        <v>35233.919999999998</v>
      </c>
      <c r="BD11" s="9">
        <f t="shared" si="22"/>
        <v>87.572674996619767</v>
      </c>
      <c r="BE11" s="9">
        <f t="shared" ref="BE11:BE39" si="44">BC11+BE10</f>
        <v>71446.559999999998</v>
      </c>
      <c r="BF11" s="9">
        <f t="shared" si="23"/>
        <v>88.127772550571365</v>
      </c>
      <c r="BG11" s="96">
        <v>0</v>
      </c>
      <c r="BH11" s="9">
        <f t="shared" si="24"/>
        <v>0</v>
      </c>
      <c r="BI11" s="9">
        <f t="shared" ref="BI11:BI39" si="45">BG11+BI10</f>
        <v>0</v>
      </c>
      <c r="BJ11" s="9">
        <f t="shared" si="25"/>
        <v>0</v>
      </c>
      <c r="BK11" s="9">
        <f t="shared" si="26"/>
        <v>40233.919999999998</v>
      </c>
      <c r="BL11" s="9">
        <f t="shared" ref="BL11:BL39" si="46">BK11+BL10</f>
        <v>81071.56</v>
      </c>
      <c r="BM11" s="512">
        <f t="shared" si="27"/>
        <v>1.271977490436597</v>
      </c>
      <c r="BN11" s="9">
        <f t="shared" si="28"/>
        <v>1.1088528715823449</v>
      </c>
    </row>
    <row r="12" spans="1:66">
      <c r="A12" s="15">
        <f>+Chem!A11</f>
        <v>45903</v>
      </c>
      <c r="B12" s="5" t="str">
        <f>+Chem!B11</f>
        <v>Facial</v>
      </c>
      <c r="C12" s="15" t="str">
        <f>+Chem!C11</f>
        <v>13/12</v>
      </c>
      <c r="D12" s="7">
        <f>+Chem!D11</f>
        <v>38.158000000000001</v>
      </c>
      <c r="E12" s="6">
        <f>+Chem!E11</f>
        <v>31.742999999999999</v>
      </c>
      <c r="F12" s="6">
        <f t="shared" si="29"/>
        <v>104.85599999999999</v>
      </c>
      <c r="G12" s="96">
        <f>24*G7</f>
        <v>6000</v>
      </c>
      <c r="H12" s="9">
        <f t="shared" si="0"/>
        <v>15.666712622357023</v>
      </c>
      <c r="I12" s="7">
        <f t="shared" si="30"/>
        <v>15625</v>
      </c>
      <c r="J12" s="9">
        <f t="shared" si="1"/>
        <v>13.089628055182018</v>
      </c>
      <c r="K12" s="96"/>
      <c r="L12" s="9">
        <f t="shared" si="2"/>
        <v>0</v>
      </c>
      <c r="M12" s="9">
        <f t="shared" si="31"/>
        <v>0</v>
      </c>
      <c r="N12" s="9">
        <f t="shared" si="3"/>
        <v>0</v>
      </c>
      <c r="O12" s="96"/>
      <c r="P12" s="9">
        <f t="shared" si="4"/>
        <v>0</v>
      </c>
      <c r="Q12" s="9">
        <f t="shared" si="32"/>
        <v>0</v>
      </c>
      <c r="R12" s="9">
        <f t="shared" si="5"/>
        <v>0</v>
      </c>
      <c r="S12" s="9">
        <f t="shared" si="33"/>
        <v>6000</v>
      </c>
      <c r="T12" s="9">
        <f t="shared" si="6"/>
        <v>15.666712622357023</v>
      </c>
      <c r="U12" s="9">
        <f t="shared" si="34"/>
        <v>15625</v>
      </c>
      <c r="V12" s="9">
        <f t="shared" si="7"/>
        <v>13.089628055182018</v>
      </c>
      <c r="W12" s="96"/>
      <c r="X12" s="9"/>
      <c r="Y12" s="9"/>
      <c r="Z12" s="9"/>
      <c r="AA12" s="96"/>
      <c r="AB12" s="9">
        <f t="shared" si="8"/>
        <v>0</v>
      </c>
      <c r="AC12" s="9">
        <f t="shared" si="35"/>
        <v>0</v>
      </c>
      <c r="AD12" s="9">
        <f t="shared" si="9"/>
        <v>0</v>
      </c>
      <c r="AE12" s="96"/>
      <c r="AF12" s="9">
        <f t="shared" si="10"/>
        <v>0</v>
      </c>
      <c r="AG12" s="9">
        <f t="shared" si="36"/>
        <v>0</v>
      </c>
      <c r="AH12" s="9">
        <f t="shared" si="11"/>
        <v>0</v>
      </c>
      <c r="AI12" s="96"/>
      <c r="AJ12" s="9">
        <f t="shared" si="12"/>
        <v>0</v>
      </c>
      <c r="AK12" s="9">
        <f t="shared" si="37"/>
        <v>0</v>
      </c>
      <c r="AL12" s="9">
        <f t="shared" si="13"/>
        <v>0</v>
      </c>
      <c r="AM12" s="9">
        <f t="shared" si="38"/>
        <v>0</v>
      </c>
      <c r="AN12" s="9">
        <f t="shared" si="14"/>
        <v>0</v>
      </c>
      <c r="AO12" s="9">
        <f t="shared" si="39"/>
        <v>0</v>
      </c>
      <c r="AP12" s="9">
        <f t="shared" si="15"/>
        <v>0</v>
      </c>
      <c r="AQ12" s="96">
        <f>132*AQ7</f>
        <v>32297.760000000002</v>
      </c>
      <c r="AR12" s="9">
        <f t="shared" si="16"/>
        <v>84.333287377642975</v>
      </c>
      <c r="AS12" s="9">
        <f t="shared" si="40"/>
        <v>103744.32000000001</v>
      </c>
      <c r="AT12" s="9">
        <f t="shared" si="17"/>
        <v>86.910371944817982</v>
      </c>
      <c r="AU12" s="96"/>
      <c r="AV12" s="9">
        <f t="shared" si="18"/>
        <v>0</v>
      </c>
      <c r="AW12" s="9">
        <f t="shared" si="41"/>
        <v>0</v>
      </c>
      <c r="AX12" s="9">
        <f t="shared" si="19"/>
        <v>0</v>
      </c>
      <c r="AY12" s="96"/>
      <c r="AZ12" s="14">
        <f t="shared" si="20"/>
        <v>0</v>
      </c>
      <c r="BA12" s="9">
        <f t="shared" si="42"/>
        <v>0</v>
      </c>
      <c r="BB12" s="9">
        <f t="shared" si="21"/>
        <v>0</v>
      </c>
      <c r="BC12" s="9">
        <f t="shared" si="43"/>
        <v>32297.760000000002</v>
      </c>
      <c r="BD12" s="9">
        <f t="shared" si="22"/>
        <v>84.333287377642975</v>
      </c>
      <c r="BE12" s="9">
        <f t="shared" si="44"/>
        <v>103744.32000000001</v>
      </c>
      <c r="BF12" s="9">
        <f t="shared" si="23"/>
        <v>86.910371944817982</v>
      </c>
      <c r="BG12" s="96">
        <v>0</v>
      </c>
      <c r="BH12" s="9">
        <f t="shared" si="24"/>
        <v>0</v>
      </c>
      <c r="BI12" s="9">
        <f t="shared" si="45"/>
        <v>0</v>
      </c>
      <c r="BJ12" s="9">
        <f t="shared" si="25"/>
        <v>0</v>
      </c>
      <c r="BK12" s="9">
        <f t="shared" si="26"/>
        <v>38297.760000000002</v>
      </c>
      <c r="BL12" s="9">
        <f t="shared" si="46"/>
        <v>119369.32</v>
      </c>
      <c r="BM12" s="512">
        <f t="shared" si="27"/>
        <v>1.206494660240053</v>
      </c>
      <c r="BN12" s="9">
        <f t="shared" si="28"/>
        <v>1.1384119172961014</v>
      </c>
    </row>
    <row r="13" spans="1:66">
      <c r="A13" s="15">
        <f>+Chem!A12</f>
        <v>45904</v>
      </c>
      <c r="B13" s="5" t="str">
        <f>+Chem!B12</f>
        <v>Facial</v>
      </c>
      <c r="C13" s="15" t="str">
        <f>+Chem!C12</f>
        <v>12/14</v>
      </c>
      <c r="D13" s="7">
        <f>+Chem!D12</f>
        <v>41.57</v>
      </c>
      <c r="E13" s="6">
        <f>+Chem!E12</f>
        <v>40.655999999999999</v>
      </c>
      <c r="F13" s="6">
        <f t="shared" si="29"/>
        <v>145.512</v>
      </c>
      <c r="G13" s="96">
        <f>30.5*G7</f>
        <v>7625</v>
      </c>
      <c r="H13" s="9">
        <f t="shared" si="0"/>
        <v>19.579375945587564</v>
      </c>
      <c r="I13" s="7">
        <f t="shared" si="30"/>
        <v>23250</v>
      </c>
      <c r="J13" s="9">
        <f t="shared" si="1"/>
        <v>14.686063134532676</v>
      </c>
      <c r="K13" s="96"/>
      <c r="L13" s="9">
        <f t="shared" si="2"/>
        <v>0</v>
      </c>
      <c r="M13" s="9">
        <f t="shared" si="31"/>
        <v>0</v>
      </c>
      <c r="N13" s="9">
        <f t="shared" si="3"/>
        <v>0</v>
      </c>
      <c r="O13" s="96"/>
      <c r="P13" s="9">
        <f t="shared" si="4"/>
        <v>0</v>
      </c>
      <c r="Q13" s="9">
        <f t="shared" si="32"/>
        <v>0</v>
      </c>
      <c r="R13" s="9">
        <f t="shared" si="5"/>
        <v>0</v>
      </c>
      <c r="S13" s="9">
        <f t="shared" si="33"/>
        <v>7625</v>
      </c>
      <c r="T13" s="9">
        <f t="shared" si="6"/>
        <v>19.579375945587564</v>
      </c>
      <c r="U13" s="9">
        <f t="shared" si="34"/>
        <v>23250</v>
      </c>
      <c r="V13" s="9">
        <f t="shared" si="7"/>
        <v>14.686063134532676</v>
      </c>
      <c r="W13" s="96"/>
      <c r="X13" s="9"/>
      <c r="Y13" s="9"/>
      <c r="Z13" s="9"/>
      <c r="AA13" s="96"/>
      <c r="AB13" s="9">
        <f t="shared" si="8"/>
        <v>0</v>
      </c>
      <c r="AC13" s="9">
        <f t="shared" si="35"/>
        <v>0</v>
      </c>
      <c r="AD13" s="9">
        <f t="shared" si="9"/>
        <v>0</v>
      </c>
      <c r="AE13" s="96"/>
      <c r="AF13" s="9">
        <f t="shared" si="10"/>
        <v>0</v>
      </c>
      <c r="AG13" s="9">
        <f t="shared" si="36"/>
        <v>0</v>
      </c>
      <c r="AH13" s="9">
        <f t="shared" si="11"/>
        <v>0</v>
      </c>
      <c r="AI13" s="96"/>
      <c r="AJ13" s="9">
        <f t="shared" si="12"/>
        <v>0</v>
      </c>
      <c r="AK13" s="9">
        <f t="shared" si="37"/>
        <v>0</v>
      </c>
      <c r="AL13" s="9">
        <f t="shared" si="13"/>
        <v>0</v>
      </c>
      <c r="AM13" s="9">
        <f t="shared" si="38"/>
        <v>0</v>
      </c>
      <c r="AN13" s="9">
        <f t="shared" si="14"/>
        <v>0</v>
      </c>
      <c r="AO13" s="9">
        <f t="shared" si="39"/>
        <v>0</v>
      </c>
      <c r="AP13" s="9">
        <f t="shared" si="15"/>
        <v>0</v>
      </c>
      <c r="AQ13" s="96">
        <f>128*AQ7</f>
        <v>31319.040000000001</v>
      </c>
      <c r="AR13" s="9">
        <f t="shared" si="16"/>
        <v>80.420624054412443</v>
      </c>
      <c r="AS13" s="9">
        <f t="shared" si="40"/>
        <v>135063.36000000002</v>
      </c>
      <c r="AT13" s="9">
        <f t="shared" si="17"/>
        <v>85.313936865467326</v>
      </c>
      <c r="AU13" s="96"/>
      <c r="AV13" s="9">
        <f t="shared" si="18"/>
        <v>0</v>
      </c>
      <c r="AW13" s="9">
        <f t="shared" si="41"/>
        <v>0</v>
      </c>
      <c r="AX13" s="9">
        <f t="shared" si="19"/>
        <v>0</v>
      </c>
      <c r="AY13" s="96"/>
      <c r="AZ13" s="14">
        <f t="shared" si="20"/>
        <v>0</v>
      </c>
      <c r="BA13" s="9">
        <f t="shared" si="42"/>
        <v>0</v>
      </c>
      <c r="BB13" s="9">
        <f t="shared" si="21"/>
        <v>0</v>
      </c>
      <c r="BC13" s="9">
        <f t="shared" si="43"/>
        <v>31319.040000000001</v>
      </c>
      <c r="BD13" s="9">
        <f t="shared" si="22"/>
        <v>80.420624054412443</v>
      </c>
      <c r="BE13" s="9">
        <f t="shared" si="44"/>
        <v>135063.36000000002</v>
      </c>
      <c r="BF13" s="9">
        <f t="shared" si="23"/>
        <v>85.313936865467326</v>
      </c>
      <c r="BG13" s="96">
        <v>0</v>
      </c>
      <c r="BH13" s="9">
        <f t="shared" si="24"/>
        <v>0</v>
      </c>
      <c r="BI13" s="9">
        <f t="shared" si="45"/>
        <v>0</v>
      </c>
      <c r="BJ13" s="9">
        <f t="shared" si="25"/>
        <v>0</v>
      </c>
      <c r="BK13" s="9">
        <f t="shared" si="26"/>
        <v>38944.04</v>
      </c>
      <c r="BL13" s="9">
        <f t="shared" si="46"/>
        <v>158313.36000000002</v>
      </c>
      <c r="BM13" s="512">
        <f t="shared" si="27"/>
        <v>0.95789157811885095</v>
      </c>
      <c r="BN13" s="9">
        <f t="shared" si="28"/>
        <v>1.0879746000329871</v>
      </c>
    </row>
    <row r="14" spans="1:66">
      <c r="A14" s="15">
        <f>+Chem!A13</f>
        <v>45905</v>
      </c>
      <c r="B14" s="5" t="str">
        <f>+Chem!B13</f>
        <v>Facial</v>
      </c>
      <c r="C14" s="15" t="str">
        <f>+Chem!C13</f>
        <v>14</v>
      </c>
      <c r="D14" s="7">
        <f>+Chem!D13</f>
        <v>42.805</v>
      </c>
      <c r="E14" s="6">
        <f>+Chem!E13</f>
        <v>41.62</v>
      </c>
      <c r="F14" s="6">
        <f t="shared" si="29"/>
        <v>187.13200000000001</v>
      </c>
      <c r="G14" s="97">
        <f>34*G7</f>
        <v>8500</v>
      </c>
      <c r="H14" s="87">
        <f t="shared" si="0"/>
        <v>20.346376717234193</v>
      </c>
      <c r="I14" s="7">
        <f t="shared" si="30"/>
        <v>31750</v>
      </c>
      <c r="J14" s="87">
        <f t="shared" si="1"/>
        <v>15.867872151829395</v>
      </c>
      <c r="K14" s="97"/>
      <c r="L14" s="87">
        <f t="shared" si="2"/>
        <v>0</v>
      </c>
      <c r="M14" s="87">
        <f t="shared" si="31"/>
        <v>0</v>
      </c>
      <c r="N14" s="87">
        <f t="shared" si="3"/>
        <v>0</v>
      </c>
      <c r="O14" s="97"/>
      <c r="P14" s="87">
        <f t="shared" si="4"/>
        <v>0</v>
      </c>
      <c r="Q14" s="87">
        <f t="shared" si="32"/>
        <v>0</v>
      </c>
      <c r="R14" s="87">
        <f t="shared" si="5"/>
        <v>0</v>
      </c>
      <c r="S14" s="9">
        <f t="shared" si="33"/>
        <v>8500</v>
      </c>
      <c r="T14" s="87">
        <f t="shared" si="6"/>
        <v>20.346376717234193</v>
      </c>
      <c r="U14" s="87">
        <f t="shared" si="34"/>
        <v>31750</v>
      </c>
      <c r="V14" s="87">
        <f t="shared" si="7"/>
        <v>15.867872151829395</v>
      </c>
      <c r="W14" s="97"/>
      <c r="X14" s="87"/>
      <c r="Y14" s="87"/>
      <c r="Z14" s="87"/>
      <c r="AA14" s="97"/>
      <c r="AB14" s="87">
        <f t="shared" si="8"/>
        <v>0</v>
      </c>
      <c r="AC14" s="87">
        <f t="shared" si="35"/>
        <v>0</v>
      </c>
      <c r="AD14" s="87">
        <f t="shared" si="9"/>
        <v>0</v>
      </c>
      <c r="AE14" s="97"/>
      <c r="AF14" s="87">
        <f t="shared" si="10"/>
        <v>0</v>
      </c>
      <c r="AG14" s="87">
        <f t="shared" si="36"/>
        <v>0</v>
      </c>
      <c r="AH14" s="87">
        <f t="shared" si="11"/>
        <v>0</v>
      </c>
      <c r="AI14" s="97"/>
      <c r="AJ14" s="87">
        <f t="shared" si="12"/>
        <v>0</v>
      </c>
      <c r="AK14" s="87">
        <f t="shared" si="37"/>
        <v>0</v>
      </c>
      <c r="AL14" s="87">
        <f t="shared" si="13"/>
        <v>0</v>
      </c>
      <c r="AM14" s="9">
        <f t="shared" si="38"/>
        <v>0</v>
      </c>
      <c r="AN14" s="87">
        <f t="shared" si="14"/>
        <v>0</v>
      </c>
      <c r="AO14" s="87">
        <f t="shared" si="39"/>
        <v>0</v>
      </c>
      <c r="AP14" s="87">
        <f t="shared" si="15"/>
        <v>0</v>
      </c>
      <c r="AQ14" s="97">
        <f>136*AQ7</f>
        <v>33276.480000000003</v>
      </c>
      <c r="AR14" s="87">
        <f t="shared" si="16"/>
        <v>79.653623282765807</v>
      </c>
      <c r="AS14" s="87">
        <f t="shared" si="40"/>
        <v>168339.84000000003</v>
      </c>
      <c r="AT14" s="87">
        <f t="shared" si="17"/>
        <v>84.132127848170597</v>
      </c>
      <c r="AU14" s="97"/>
      <c r="AV14" s="87">
        <f t="shared" si="18"/>
        <v>0</v>
      </c>
      <c r="AW14" s="87">
        <f t="shared" si="41"/>
        <v>0</v>
      </c>
      <c r="AX14" s="87">
        <f t="shared" si="19"/>
        <v>0</v>
      </c>
      <c r="AY14" s="97"/>
      <c r="AZ14" s="88">
        <f t="shared" si="20"/>
        <v>0</v>
      </c>
      <c r="BA14" s="87">
        <f t="shared" si="42"/>
        <v>0</v>
      </c>
      <c r="BB14" s="87">
        <f t="shared" si="21"/>
        <v>0</v>
      </c>
      <c r="BC14" s="87">
        <f t="shared" si="43"/>
        <v>33276.480000000003</v>
      </c>
      <c r="BD14" s="87">
        <f t="shared" si="22"/>
        <v>79.653623282765807</v>
      </c>
      <c r="BE14" s="87">
        <f t="shared" si="44"/>
        <v>168339.84000000003</v>
      </c>
      <c r="BF14" s="87">
        <f t="shared" si="23"/>
        <v>84.132127848170597</v>
      </c>
      <c r="BG14" s="97">
        <v>0</v>
      </c>
      <c r="BH14" s="87">
        <f t="shared" si="24"/>
        <v>0</v>
      </c>
      <c r="BI14" s="87">
        <f t="shared" si="45"/>
        <v>0</v>
      </c>
      <c r="BJ14" s="87">
        <f t="shared" si="25"/>
        <v>0</v>
      </c>
      <c r="BK14" s="87">
        <f t="shared" si="26"/>
        <v>41776.480000000003</v>
      </c>
      <c r="BL14" s="87">
        <f t="shared" si="46"/>
        <v>200089.84000000003</v>
      </c>
      <c r="BM14" s="512">
        <f t="shared" si="27"/>
        <v>1.0037597308986066</v>
      </c>
      <c r="BN14" s="87">
        <f t="shared" si="28"/>
        <v>1.0692443836436314</v>
      </c>
    </row>
    <row r="15" spans="1:66">
      <c r="A15" s="15">
        <f>+Chem!A14</f>
        <v>45906</v>
      </c>
      <c r="B15" s="5" t="str">
        <f>+Chem!B14</f>
        <v>Facial</v>
      </c>
      <c r="C15" s="15" t="str">
        <f>+Chem!C14</f>
        <v>14</v>
      </c>
      <c r="D15" s="7">
        <f>+Chem!D14</f>
        <v>27.34</v>
      </c>
      <c r="E15" s="6">
        <f>+Chem!E14</f>
        <v>22.628</v>
      </c>
      <c r="F15" s="6">
        <f t="shared" si="29"/>
        <v>209.76</v>
      </c>
      <c r="G15" s="97">
        <f>21*G7</f>
        <v>5250</v>
      </c>
      <c r="H15" s="87">
        <f t="shared" si="0"/>
        <v>20.346376717234197</v>
      </c>
      <c r="I15" s="7">
        <f t="shared" si="30"/>
        <v>37000</v>
      </c>
      <c r="J15" s="87">
        <f t="shared" si="1"/>
        <v>16.379439182168404</v>
      </c>
      <c r="K15" s="97"/>
      <c r="L15" s="87">
        <f t="shared" si="2"/>
        <v>0</v>
      </c>
      <c r="M15" s="87">
        <f t="shared" si="31"/>
        <v>0</v>
      </c>
      <c r="N15" s="87">
        <f t="shared" si="3"/>
        <v>0</v>
      </c>
      <c r="O15" s="97"/>
      <c r="P15" s="87">
        <f t="shared" si="4"/>
        <v>0</v>
      </c>
      <c r="Q15" s="87">
        <f t="shared" si="32"/>
        <v>0</v>
      </c>
      <c r="R15" s="87">
        <f t="shared" si="5"/>
        <v>0</v>
      </c>
      <c r="S15" s="9">
        <f t="shared" si="33"/>
        <v>5250</v>
      </c>
      <c r="T15" s="87">
        <f t="shared" si="6"/>
        <v>20.346376717234197</v>
      </c>
      <c r="U15" s="87">
        <f t="shared" si="34"/>
        <v>37000</v>
      </c>
      <c r="V15" s="87">
        <f t="shared" si="7"/>
        <v>16.379439182168404</v>
      </c>
      <c r="W15" s="97"/>
      <c r="X15" s="87"/>
      <c r="Y15" s="87"/>
      <c r="Z15" s="87"/>
      <c r="AA15" s="97"/>
      <c r="AB15" s="87">
        <f t="shared" si="8"/>
        <v>0</v>
      </c>
      <c r="AC15" s="87">
        <f t="shared" si="35"/>
        <v>0</v>
      </c>
      <c r="AD15" s="87">
        <f t="shared" si="9"/>
        <v>0</v>
      </c>
      <c r="AE15" s="97"/>
      <c r="AF15" s="87">
        <f t="shared" si="10"/>
        <v>0</v>
      </c>
      <c r="AG15" s="87">
        <f t="shared" si="36"/>
        <v>0</v>
      </c>
      <c r="AH15" s="87">
        <f t="shared" si="11"/>
        <v>0</v>
      </c>
      <c r="AI15" s="97"/>
      <c r="AJ15" s="87">
        <f t="shared" si="12"/>
        <v>0</v>
      </c>
      <c r="AK15" s="87">
        <f t="shared" si="37"/>
        <v>0</v>
      </c>
      <c r="AL15" s="87">
        <f t="shared" si="13"/>
        <v>0</v>
      </c>
      <c r="AM15" s="9">
        <f t="shared" si="38"/>
        <v>0</v>
      </c>
      <c r="AN15" s="87">
        <f t="shared" si="14"/>
        <v>0</v>
      </c>
      <c r="AO15" s="87">
        <f t="shared" si="39"/>
        <v>0</v>
      </c>
      <c r="AP15" s="87">
        <f t="shared" si="15"/>
        <v>0</v>
      </c>
      <c r="AQ15" s="97">
        <f>84*AQ7</f>
        <v>20553.12</v>
      </c>
      <c r="AR15" s="87">
        <f t="shared" si="16"/>
        <v>79.653623282765807</v>
      </c>
      <c r="AS15" s="87">
        <f t="shared" si="40"/>
        <v>188892.96000000002</v>
      </c>
      <c r="AT15" s="87">
        <f t="shared" si="17"/>
        <v>83.620560817831603</v>
      </c>
      <c r="AU15" s="97"/>
      <c r="AV15" s="87">
        <f t="shared" si="18"/>
        <v>0</v>
      </c>
      <c r="AW15" s="87">
        <f t="shared" si="41"/>
        <v>0</v>
      </c>
      <c r="AX15" s="87">
        <f t="shared" si="19"/>
        <v>0</v>
      </c>
      <c r="AY15" s="97"/>
      <c r="AZ15" s="88">
        <f t="shared" si="20"/>
        <v>0</v>
      </c>
      <c r="BA15" s="87">
        <f t="shared" si="42"/>
        <v>0</v>
      </c>
      <c r="BB15" s="87">
        <f t="shared" si="21"/>
        <v>0</v>
      </c>
      <c r="BC15" s="87">
        <f t="shared" si="43"/>
        <v>20553.12</v>
      </c>
      <c r="BD15" s="87">
        <f t="shared" si="22"/>
        <v>79.653623282765807</v>
      </c>
      <c r="BE15" s="87">
        <f t="shared" si="44"/>
        <v>188892.96000000002</v>
      </c>
      <c r="BF15" s="87">
        <f t="shared" si="23"/>
        <v>83.620560817831603</v>
      </c>
      <c r="BG15" s="97">
        <v>0</v>
      </c>
      <c r="BH15" s="87">
        <f t="shared" si="24"/>
        <v>0</v>
      </c>
      <c r="BI15" s="87">
        <f t="shared" si="45"/>
        <v>0</v>
      </c>
      <c r="BJ15" s="87">
        <f t="shared" si="25"/>
        <v>0</v>
      </c>
      <c r="BK15" s="87">
        <f t="shared" si="26"/>
        <v>25803.119999999999</v>
      </c>
      <c r="BL15" s="87">
        <f t="shared" si="46"/>
        <v>225892.96000000002</v>
      </c>
      <c r="BM15" s="512">
        <f t="shared" si="27"/>
        <v>1.140318189853279</v>
      </c>
      <c r="BN15" s="87">
        <f t="shared" si="28"/>
        <v>1.076911517925248</v>
      </c>
    </row>
    <row r="16" spans="1:66">
      <c r="A16" s="15">
        <f>+Chem!A15</f>
        <v>45907</v>
      </c>
      <c r="B16" s="5" t="str">
        <f>+Chem!B15</f>
        <v>Facial/Toilet</v>
      </c>
      <c r="C16" s="15" t="str">
        <f>+Chem!C15</f>
        <v>14/12/12</v>
      </c>
      <c r="D16" s="7">
        <f>+Chem!D15</f>
        <v>34.924599999999998</v>
      </c>
      <c r="E16" s="6">
        <f>+Chem!E15</f>
        <v>34.488999999999997</v>
      </c>
      <c r="F16" s="6">
        <f t="shared" si="29"/>
        <v>244.249</v>
      </c>
      <c r="G16" s="97">
        <f>17*G7</f>
        <v>4250</v>
      </c>
      <c r="H16" s="87">
        <f t="shared" si="0"/>
        <v>13.426355335286106</v>
      </c>
      <c r="I16" s="7">
        <f t="shared" si="30"/>
        <v>41250</v>
      </c>
      <c r="J16" s="87">
        <f t="shared" si="1"/>
        <v>16.01648661417763</v>
      </c>
      <c r="K16" s="97"/>
      <c r="L16" s="87">
        <f t="shared" si="2"/>
        <v>0</v>
      </c>
      <c r="M16" s="87">
        <f t="shared" si="31"/>
        <v>0</v>
      </c>
      <c r="N16" s="87">
        <f t="shared" si="3"/>
        <v>0</v>
      </c>
      <c r="O16" s="97"/>
      <c r="P16" s="87">
        <f t="shared" si="4"/>
        <v>0</v>
      </c>
      <c r="Q16" s="87">
        <f t="shared" si="32"/>
        <v>0</v>
      </c>
      <c r="R16" s="87">
        <f t="shared" si="5"/>
        <v>0</v>
      </c>
      <c r="S16" s="9">
        <f t="shared" si="33"/>
        <v>4250</v>
      </c>
      <c r="T16" s="87">
        <f t="shared" si="6"/>
        <v>13.426355335286106</v>
      </c>
      <c r="U16" s="87">
        <f t="shared" si="34"/>
        <v>41250</v>
      </c>
      <c r="V16" s="87">
        <f t="shared" si="7"/>
        <v>16.01648661417763</v>
      </c>
      <c r="W16" s="97"/>
      <c r="X16" s="87"/>
      <c r="Y16" s="87"/>
      <c r="Z16" s="87"/>
      <c r="AA16" s="97"/>
      <c r="AB16" s="87">
        <f t="shared" si="8"/>
        <v>0</v>
      </c>
      <c r="AC16" s="87">
        <f t="shared" si="35"/>
        <v>0</v>
      </c>
      <c r="AD16" s="87">
        <f t="shared" si="9"/>
        <v>0</v>
      </c>
      <c r="AE16" s="97"/>
      <c r="AF16" s="87">
        <f t="shared" si="10"/>
        <v>0</v>
      </c>
      <c r="AG16" s="87">
        <f t="shared" si="36"/>
        <v>0</v>
      </c>
      <c r="AH16" s="87">
        <f t="shared" si="11"/>
        <v>0</v>
      </c>
      <c r="AI16" s="97"/>
      <c r="AJ16" s="87">
        <f t="shared" si="12"/>
        <v>0</v>
      </c>
      <c r="AK16" s="87">
        <f t="shared" si="37"/>
        <v>0</v>
      </c>
      <c r="AL16" s="87">
        <f t="shared" si="13"/>
        <v>0</v>
      </c>
      <c r="AM16" s="9">
        <f t="shared" si="38"/>
        <v>0</v>
      </c>
      <c r="AN16" s="87">
        <f t="shared" si="14"/>
        <v>0</v>
      </c>
      <c r="AO16" s="87">
        <f t="shared" si="39"/>
        <v>0</v>
      </c>
      <c r="AP16" s="87">
        <f t="shared" si="15"/>
        <v>0</v>
      </c>
      <c r="AQ16" s="97">
        <f>112*AQ7</f>
        <v>27404.16</v>
      </c>
      <c r="AR16" s="87">
        <f t="shared" si="16"/>
        <v>86.573644664713896</v>
      </c>
      <c r="AS16" s="87">
        <f t="shared" si="40"/>
        <v>216297.12000000002</v>
      </c>
      <c r="AT16" s="87">
        <f t="shared" si="17"/>
        <v>83.983513385822377</v>
      </c>
      <c r="AU16" s="97"/>
      <c r="AV16" s="87">
        <f t="shared" si="18"/>
        <v>0</v>
      </c>
      <c r="AW16" s="87">
        <f t="shared" si="41"/>
        <v>0</v>
      </c>
      <c r="AX16" s="87">
        <f t="shared" si="19"/>
        <v>0</v>
      </c>
      <c r="AY16" s="97"/>
      <c r="AZ16" s="88">
        <f t="shared" si="20"/>
        <v>0</v>
      </c>
      <c r="BA16" s="87">
        <f t="shared" si="42"/>
        <v>0</v>
      </c>
      <c r="BB16" s="87">
        <f t="shared" si="21"/>
        <v>0</v>
      </c>
      <c r="BC16" s="87">
        <f t="shared" si="43"/>
        <v>27404.16</v>
      </c>
      <c r="BD16" s="87">
        <f t="shared" si="22"/>
        <v>86.573644664713896</v>
      </c>
      <c r="BE16" s="87">
        <f t="shared" si="44"/>
        <v>216297.12000000002</v>
      </c>
      <c r="BF16" s="87">
        <f t="shared" si="23"/>
        <v>83.983513385822377</v>
      </c>
      <c r="BG16" s="97">
        <v>0</v>
      </c>
      <c r="BH16" s="87">
        <f t="shared" si="24"/>
        <v>0</v>
      </c>
      <c r="BI16" s="87">
        <f t="shared" si="45"/>
        <v>0</v>
      </c>
      <c r="BJ16" s="87">
        <f t="shared" si="25"/>
        <v>0</v>
      </c>
      <c r="BK16" s="87">
        <f t="shared" si="26"/>
        <v>31654.16</v>
      </c>
      <c r="BL16" s="87">
        <f t="shared" si="46"/>
        <v>257547.12000000002</v>
      </c>
      <c r="BM16" s="512">
        <f t="shared" si="27"/>
        <v>0.91780451738235391</v>
      </c>
      <c r="BN16" s="87">
        <f t="shared" si="28"/>
        <v>1.0544449311972619</v>
      </c>
    </row>
    <row r="17" spans="1:75">
      <c r="A17" s="15">
        <f>+Chem!A16</f>
        <v>45908</v>
      </c>
      <c r="B17" s="5" t="str">
        <f>+Chem!B16</f>
        <v>STOP</v>
      </c>
      <c r="C17" s="15" t="str">
        <f>+Chem!C16</f>
        <v>12</v>
      </c>
      <c r="D17" s="7">
        <f>+Chem!D16</f>
        <v>0</v>
      </c>
      <c r="E17" s="6">
        <f>+Chem!E16</f>
        <v>0</v>
      </c>
      <c r="F17" s="6">
        <f t="shared" si="29"/>
        <v>244.249</v>
      </c>
      <c r="G17" s="97">
        <f>0.5*G7</f>
        <v>125</v>
      </c>
      <c r="H17" s="87">
        <f t="shared" si="0"/>
        <v>11.325336135976515</v>
      </c>
      <c r="I17" s="7">
        <f t="shared" si="30"/>
        <v>41375</v>
      </c>
      <c r="J17" s="87">
        <f t="shared" si="1"/>
        <v>15.996468443713537</v>
      </c>
      <c r="K17" s="97"/>
      <c r="L17" s="87">
        <f t="shared" si="2"/>
        <v>0</v>
      </c>
      <c r="M17" s="87">
        <f t="shared" si="31"/>
        <v>0</v>
      </c>
      <c r="N17" s="87">
        <f t="shared" si="3"/>
        <v>0</v>
      </c>
      <c r="O17" s="97"/>
      <c r="P17" s="87">
        <f t="shared" si="4"/>
        <v>0</v>
      </c>
      <c r="Q17" s="87">
        <f t="shared" si="32"/>
        <v>0</v>
      </c>
      <c r="R17" s="87">
        <f t="shared" si="5"/>
        <v>0</v>
      </c>
      <c r="S17" s="9">
        <f t="shared" si="33"/>
        <v>125</v>
      </c>
      <c r="T17" s="87">
        <f t="shared" si="6"/>
        <v>11.325336135976515</v>
      </c>
      <c r="U17" s="87">
        <f t="shared" si="34"/>
        <v>41375</v>
      </c>
      <c r="V17" s="87">
        <f t="shared" si="7"/>
        <v>15.996468443713537</v>
      </c>
      <c r="W17" s="97"/>
      <c r="X17" s="87"/>
      <c r="Y17" s="87"/>
      <c r="Z17" s="87"/>
      <c r="AA17" s="97"/>
      <c r="AB17" s="87">
        <f t="shared" si="8"/>
        <v>0</v>
      </c>
      <c r="AC17" s="87">
        <f t="shared" si="35"/>
        <v>0</v>
      </c>
      <c r="AD17" s="87">
        <f t="shared" si="9"/>
        <v>0</v>
      </c>
      <c r="AE17" s="97"/>
      <c r="AF17" s="87">
        <f t="shared" si="10"/>
        <v>0</v>
      </c>
      <c r="AG17" s="87">
        <f t="shared" si="36"/>
        <v>0</v>
      </c>
      <c r="AH17" s="87">
        <f t="shared" si="11"/>
        <v>0</v>
      </c>
      <c r="AI17" s="97"/>
      <c r="AJ17" s="87">
        <f t="shared" si="12"/>
        <v>0</v>
      </c>
      <c r="AK17" s="87">
        <f t="shared" si="37"/>
        <v>0</v>
      </c>
      <c r="AL17" s="87">
        <f t="shared" si="13"/>
        <v>0</v>
      </c>
      <c r="AM17" s="9">
        <f t="shared" si="38"/>
        <v>0</v>
      </c>
      <c r="AN17" s="87">
        <f t="shared" si="14"/>
        <v>0</v>
      </c>
      <c r="AO17" s="87">
        <f t="shared" si="39"/>
        <v>0</v>
      </c>
      <c r="AP17" s="87">
        <f t="shared" si="15"/>
        <v>0</v>
      </c>
      <c r="AQ17" s="97">
        <f>4*AQ7</f>
        <v>978.72</v>
      </c>
      <c r="AR17" s="87">
        <f t="shared" si="16"/>
        <v>88.674663864023486</v>
      </c>
      <c r="AS17" s="87">
        <f t="shared" si="40"/>
        <v>217275.84000000003</v>
      </c>
      <c r="AT17" s="87">
        <f t="shared" si="17"/>
        <v>84.003531556286461</v>
      </c>
      <c r="AU17" s="97"/>
      <c r="AV17" s="87">
        <f t="shared" si="18"/>
        <v>0</v>
      </c>
      <c r="AW17" s="87">
        <f t="shared" si="41"/>
        <v>0</v>
      </c>
      <c r="AX17" s="87">
        <f t="shared" si="19"/>
        <v>0</v>
      </c>
      <c r="AY17" s="97"/>
      <c r="AZ17" s="88">
        <f t="shared" si="20"/>
        <v>0</v>
      </c>
      <c r="BA17" s="87">
        <f t="shared" si="42"/>
        <v>0</v>
      </c>
      <c r="BB17" s="87">
        <f t="shared" si="21"/>
        <v>0</v>
      </c>
      <c r="BC17" s="87">
        <f t="shared" si="43"/>
        <v>978.72</v>
      </c>
      <c r="BD17" s="87">
        <f t="shared" si="22"/>
        <v>88.674663864023486</v>
      </c>
      <c r="BE17" s="87">
        <f t="shared" si="44"/>
        <v>217275.84000000003</v>
      </c>
      <c r="BF17" s="87">
        <f t="shared" si="23"/>
        <v>84.003531556286461</v>
      </c>
      <c r="BG17" s="97">
        <v>0</v>
      </c>
      <c r="BH17" s="87">
        <f t="shared" si="24"/>
        <v>0</v>
      </c>
      <c r="BI17" s="87">
        <f t="shared" si="45"/>
        <v>0</v>
      </c>
      <c r="BJ17" s="87">
        <f t="shared" si="25"/>
        <v>0</v>
      </c>
      <c r="BK17" s="87">
        <f t="shared" si="26"/>
        <v>1103.72</v>
      </c>
      <c r="BL17" s="87">
        <f t="shared" si="46"/>
        <v>258650.84000000003</v>
      </c>
      <c r="BM17" s="512" t="e">
        <f t="shared" si="27"/>
        <v>#DIV/0!</v>
      </c>
      <c r="BN17" s="87">
        <f t="shared" si="28"/>
        <v>1.0589637623900201</v>
      </c>
    </row>
    <row r="18" spans="1:75">
      <c r="A18" s="15">
        <f>+Chem!A17</f>
        <v>45909</v>
      </c>
      <c r="B18" s="5" t="str">
        <f>+Chem!B17</f>
        <v>Facial</v>
      </c>
      <c r="C18" s="15" t="str">
        <f>+Chem!C17</f>
        <v>12/13</v>
      </c>
      <c r="D18" s="7">
        <f>+Chem!D17</f>
        <v>40.210999999999999</v>
      </c>
      <c r="E18" s="6">
        <f>+Chem!E17</f>
        <v>34.527999999999999</v>
      </c>
      <c r="F18" s="6">
        <f t="shared" si="29"/>
        <v>278.77699999999999</v>
      </c>
      <c r="G18" s="96">
        <f>18.5*G7</f>
        <v>4625</v>
      </c>
      <c r="H18" s="9">
        <f t="shared" si="0"/>
        <v>11.603425280965968</v>
      </c>
      <c r="I18" s="7">
        <f t="shared" si="30"/>
        <v>46000</v>
      </c>
      <c r="J18" s="9">
        <f t="shared" si="1"/>
        <v>15.409881405552703</v>
      </c>
      <c r="K18" s="96"/>
      <c r="L18" s="9">
        <f t="shared" si="2"/>
        <v>0</v>
      </c>
      <c r="M18" s="9">
        <f t="shared" si="31"/>
        <v>0</v>
      </c>
      <c r="N18" s="9">
        <f t="shared" si="3"/>
        <v>0</v>
      </c>
      <c r="O18" s="96"/>
      <c r="P18" s="9">
        <f t="shared" si="4"/>
        <v>0</v>
      </c>
      <c r="Q18" s="9">
        <f t="shared" si="32"/>
        <v>0</v>
      </c>
      <c r="R18" s="9">
        <f t="shared" si="5"/>
        <v>0</v>
      </c>
      <c r="S18" s="9">
        <f t="shared" si="33"/>
        <v>4625</v>
      </c>
      <c r="T18" s="9">
        <f t="shared" si="6"/>
        <v>11.603425280965968</v>
      </c>
      <c r="U18" s="9">
        <f t="shared" si="34"/>
        <v>46000</v>
      </c>
      <c r="V18" s="9">
        <f t="shared" si="7"/>
        <v>15.409881405552703</v>
      </c>
      <c r="W18" s="96"/>
      <c r="X18" s="9"/>
      <c r="Y18" s="9"/>
      <c r="Z18" s="9"/>
      <c r="AA18" s="96"/>
      <c r="AB18" s="9">
        <f t="shared" si="8"/>
        <v>0</v>
      </c>
      <c r="AC18" s="9">
        <f t="shared" si="35"/>
        <v>0</v>
      </c>
      <c r="AD18" s="9">
        <f t="shared" si="9"/>
        <v>0</v>
      </c>
      <c r="AE18" s="96"/>
      <c r="AF18" s="9">
        <f t="shared" si="10"/>
        <v>0</v>
      </c>
      <c r="AG18" s="9">
        <f t="shared" si="36"/>
        <v>0</v>
      </c>
      <c r="AH18" s="9">
        <f t="shared" si="11"/>
        <v>0</v>
      </c>
      <c r="AI18" s="96"/>
      <c r="AJ18" s="9">
        <f t="shared" si="12"/>
        <v>0</v>
      </c>
      <c r="AK18" s="9">
        <f t="shared" si="37"/>
        <v>0</v>
      </c>
      <c r="AL18" s="9">
        <f t="shared" si="13"/>
        <v>0</v>
      </c>
      <c r="AM18" s="9">
        <f t="shared" si="38"/>
        <v>0</v>
      </c>
      <c r="AN18" s="9">
        <f t="shared" si="14"/>
        <v>0</v>
      </c>
      <c r="AO18" s="9">
        <f t="shared" si="39"/>
        <v>0</v>
      </c>
      <c r="AP18" s="9">
        <f t="shared" si="15"/>
        <v>0</v>
      </c>
      <c r="AQ18" s="96">
        <f>144*AQ7</f>
        <v>35233.919999999998</v>
      </c>
      <c r="AR18" s="9">
        <f t="shared" si="16"/>
        <v>88.396574719034035</v>
      </c>
      <c r="AS18" s="9">
        <f t="shared" si="40"/>
        <v>252509.76</v>
      </c>
      <c r="AT18" s="9">
        <f t="shared" si="17"/>
        <v>84.59011859444729</v>
      </c>
      <c r="AU18" s="96"/>
      <c r="AV18" s="9">
        <f t="shared" si="18"/>
        <v>0</v>
      </c>
      <c r="AW18" s="9">
        <f t="shared" si="41"/>
        <v>0</v>
      </c>
      <c r="AX18" s="9">
        <f t="shared" si="19"/>
        <v>0</v>
      </c>
      <c r="AY18" s="96"/>
      <c r="AZ18" s="14">
        <f t="shared" si="20"/>
        <v>0</v>
      </c>
      <c r="BA18" s="9">
        <f t="shared" si="42"/>
        <v>0</v>
      </c>
      <c r="BB18" s="9">
        <f t="shared" si="21"/>
        <v>0</v>
      </c>
      <c r="BC18" s="9">
        <f t="shared" si="43"/>
        <v>35233.919999999998</v>
      </c>
      <c r="BD18" s="9">
        <f t="shared" si="22"/>
        <v>88.396574719034035</v>
      </c>
      <c r="BE18" s="9">
        <f t="shared" si="44"/>
        <v>252509.76</v>
      </c>
      <c r="BF18" s="9">
        <f t="shared" si="23"/>
        <v>84.59011859444729</v>
      </c>
      <c r="BG18" s="96">
        <v>0</v>
      </c>
      <c r="BH18" s="9">
        <f t="shared" si="24"/>
        <v>0</v>
      </c>
      <c r="BI18" s="9">
        <f t="shared" si="45"/>
        <v>0</v>
      </c>
      <c r="BJ18" s="9">
        <f t="shared" si="25"/>
        <v>0</v>
      </c>
      <c r="BK18" s="9">
        <f t="shared" si="26"/>
        <v>39858.92</v>
      </c>
      <c r="BL18" s="9">
        <f t="shared" si="46"/>
        <v>298509.76</v>
      </c>
      <c r="BM18" s="512">
        <f t="shared" si="27"/>
        <v>1.1543941149212233</v>
      </c>
      <c r="BN18" s="9">
        <f t="shared" si="28"/>
        <v>1.0707833142619372</v>
      </c>
    </row>
    <row r="19" spans="1:75">
      <c r="A19" s="15">
        <f>+Chem!A18</f>
        <v>45910</v>
      </c>
      <c r="B19" s="5" t="str">
        <f>+Chem!B18</f>
        <v>Facial</v>
      </c>
      <c r="C19" s="15" t="str">
        <f>+Chem!C18</f>
        <v>12/12,5</v>
      </c>
      <c r="D19" s="7">
        <f>+Chem!D18</f>
        <v>39.506</v>
      </c>
      <c r="E19" s="6">
        <f>+Chem!E18</f>
        <v>37.357999999999997</v>
      </c>
      <c r="F19" s="6">
        <f t="shared" si="29"/>
        <v>316.13499999999999</v>
      </c>
      <c r="G19" s="96">
        <f>22.5*G7</f>
        <v>5625</v>
      </c>
      <c r="H19" s="9">
        <f t="shared" si="0"/>
        <v>13.766883706177257</v>
      </c>
      <c r="I19" s="7">
        <f t="shared" si="30"/>
        <v>51625</v>
      </c>
      <c r="J19" s="9">
        <f t="shared" si="1"/>
        <v>15.212069658284319</v>
      </c>
      <c r="K19" s="96"/>
      <c r="L19" s="9">
        <f t="shared" si="2"/>
        <v>0</v>
      </c>
      <c r="M19" s="9">
        <f t="shared" si="31"/>
        <v>0</v>
      </c>
      <c r="N19" s="9">
        <f t="shared" si="3"/>
        <v>0</v>
      </c>
      <c r="O19" s="96"/>
      <c r="P19" s="9">
        <f t="shared" si="4"/>
        <v>0</v>
      </c>
      <c r="Q19" s="9">
        <f t="shared" si="32"/>
        <v>0</v>
      </c>
      <c r="R19" s="9">
        <f t="shared" si="5"/>
        <v>0</v>
      </c>
      <c r="S19" s="9">
        <f t="shared" si="33"/>
        <v>5625</v>
      </c>
      <c r="T19" s="9">
        <f t="shared" si="6"/>
        <v>13.766883706177257</v>
      </c>
      <c r="U19" s="9">
        <f t="shared" si="34"/>
        <v>51625</v>
      </c>
      <c r="V19" s="9">
        <f t="shared" si="7"/>
        <v>15.212069658284319</v>
      </c>
      <c r="W19" s="96"/>
      <c r="X19" s="9"/>
      <c r="Y19" s="9"/>
      <c r="Z19" s="9"/>
      <c r="AA19" s="96"/>
      <c r="AB19" s="9">
        <f t="shared" si="8"/>
        <v>0</v>
      </c>
      <c r="AC19" s="9">
        <f t="shared" si="35"/>
        <v>0</v>
      </c>
      <c r="AD19" s="9">
        <f t="shared" si="9"/>
        <v>0</v>
      </c>
      <c r="AE19" s="96"/>
      <c r="AF19" s="9">
        <f t="shared" si="10"/>
        <v>0</v>
      </c>
      <c r="AG19" s="9">
        <f t="shared" si="36"/>
        <v>0</v>
      </c>
      <c r="AH19" s="9">
        <f t="shared" si="11"/>
        <v>0</v>
      </c>
      <c r="AI19" s="96"/>
      <c r="AJ19" s="9">
        <f t="shared" si="12"/>
        <v>0</v>
      </c>
      <c r="AK19" s="9">
        <f t="shared" si="37"/>
        <v>0</v>
      </c>
      <c r="AL19" s="9">
        <f t="shared" si="13"/>
        <v>0</v>
      </c>
      <c r="AM19" s="9">
        <f t="shared" si="38"/>
        <v>0</v>
      </c>
      <c r="AN19" s="9">
        <f t="shared" si="14"/>
        <v>0</v>
      </c>
      <c r="AO19" s="9">
        <f t="shared" si="39"/>
        <v>0</v>
      </c>
      <c r="AP19" s="9">
        <f t="shared" si="15"/>
        <v>0</v>
      </c>
      <c r="AQ19" s="96">
        <f>144*AQ7</f>
        <v>35233.919999999998</v>
      </c>
      <c r="AR19" s="9">
        <f t="shared" si="16"/>
        <v>86.233116293822746</v>
      </c>
      <c r="AS19" s="9">
        <f t="shared" si="40"/>
        <v>287743.68</v>
      </c>
      <c r="AT19" s="9">
        <f t="shared" si="17"/>
        <v>84.787930341715679</v>
      </c>
      <c r="AU19" s="96"/>
      <c r="AV19" s="9">
        <f t="shared" si="18"/>
        <v>0</v>
      </c>
      <c r="AW19" s="9">
        <f t="shared" si="41"/>
        <v>0</v>
      </c>
      <c r="AX19" s="9">
        <f t="shared" si="19"/>
        <v>0</v>
      </c>
      <c r="AY19" s="96"/>
      <c r="AZ19" s="14">
        <f t="shared" si="20"/>
        <v>0</v>
      </c>
      <c r="BA19" s="9">
        <f t="shared" si="42"/>
        <v>0</v>
      </c>
      <c r="BB19" s="9">
        <f t="shared" si="21"/>
        <v>0</v>
      </c>
      <c r="BC19" s="9">
        <f t="shared" si="43"/>
        <v>35233.919999999998</v>
      </c>
      <c r="BD19" s="9">
        <f t="shared" si="22"/>
        <v>86.233116293822746</v>
      </c>
      <c r="BE19" s="9">
        <f t="shared" si="44"/>
        <v>287743.68</v>
      </c>
      <c r="BF19" s="9">
        <f t="shared" si="23"/>
        <v>84.787930341715679</v>
      </c>
      <c r="BG19" s="96"/>
      <c r="BH19" s="9">
        <f t="shared" si="24"/>
        <v>0</v>
      </c>
      <c r="BI19" s="9">
        <f t="shared" si="45"/>
        <v>0</v>
      </c>
      <c r="BJ19" s="9">
        <f t="shared" si="25"/>
        <v>0</v>
      </c>
      <c r="BK19" s="9">
        <f t="shared" si="26"/>
        <v>40858.92</v>
      </c>
      <c r="BL19" s="9">
        <f t="shared" si="46"/>
        <v>339368.68</v>
      </c>
      <c r="BM19" s="512">
        <f t="shared" si="27"/>
        <v>1.0937127255206383</v>
      </c>
      <c r="BN19" s="9">
        <f t="shared" si="28"/>
        <v>1.0734929065114587</v>
      </c>
    </row>
    <row r="20" spans="1:75">
      <c r="A20" s="15">
        <f>+Chem!A19</f>
        <v>45911</v>
      </c>
      <c r="B20" s="5" t="str">
        <f>+Chem!B19</f>
        <v>Facial</v>
      </c>
      <c r="C20" s="15" t="str">
        <f>+Chem!C19</f>
        <v>12,5/12</v>
      </c>
      <c r="D20" s="7">
        <f>+Chem!D19</f>
        <v>39.807000000000002</v>
      </c>
      <c r="E20" s="6">
        <f>+Chem!E19</f>
        <v>38.933999999999997</v>
      </c>
      <c r="F20" s="6">
        <f t="shared" si="29"/>
        <v>355.06899999999996</v>
      </c>
      <c r="G20" s="96">
        <f>29.75*G7</f>
        <v>7437.5</v>
      </c>
      <c r="H20" s="9">
        <f t="shared" si="0"/>
        <v>17.429698847612759</v>
      </c>
      <c r="I20" s="7">
        <f t="shared" si="30"/>
        <v>59062.5</v>
      </c>
      <c r="J20" s="9">
        <f t="shared" si="1"/>
        <v>15.459764563981635</v>
      </c>
      <c r="K20" s="96"/>
      <c r="L20" s="9">
        <f t="shared" si="2"/>
        <v>0</v>
      </c>
      <c r="M20" s="9">
        <f t="shared" si="31"/>
        <v>0</v>
      </c>
      <c r="N20" s="9">
        <f t="shared" si="3"/>
        <v>0</v>
      </c>
      <c r="O20" s="96"/>
      <c r="P20" s="9">
        <f t="shared" si="4"/>
        <v>0</v>
      </c>
      <c r="Q20" s="9">
        <f t="shared" si="32"/>
        <v>0</v>
      </c>
      <c r="R20" s="9">
        <f t="shared" si="5"/>
        <v>0</v>
      </c>
      <c r="S20" s="9">
        <f t="shared" si="33"/>
        <v>7437.5</v>
      </c>
      <c r="T20" s="9">
        <f t="shared" si="6"/>
        <v>17.429698847612759</v>
      </c>
      <c r="U20" s="9">
        <f t="shared" si="34"/>
        <v>59062.5</v>
      </c>
      <c r="V20" s="9">
        <f t="shared" si="7"/>
        <v>15.459764563981635</v>
      </c>
      <c r="W20" s="96"/>
      <c r="X20" s="9"/>
      <c r="Y20" s="9"/>
      <c r="Z20" s="9"/>
      <c r="AA20" s="96"/>
      <c r="AB20" s="9">
        <f t="shared" si="8"/>
        <v>0</v>
      </c>
      <c r="AC20" s="9">
        <f t="shared" si="35"/>
        <v>0</v>
      </c>
      <c r="AD20" s="9">
        <f t="shared" si="9"/>
        <v>0</v>
      </c>
      <c r="AE20" s="96"/>
      <c r="AF20" s="9">
        <f t="shared" si="10"/>
        <v>0</v>
      </c>
      <c r="AG20" s="9">
        <f t="shared" si="36"/>
        <v>0</v>
      </c>
      <c r="AH20" s="9">
        <f t="shared" si="11"/>
        <v>0</v>
      </c>
      <c r="AI20" s="96"/>
      <c r="AJ20" s="9">
        <f t="shared" si="12"/>
        <v>0</v>
      </c>
      <c r="AK20" s="9">
        <f t="shared" si="37"/>
        <v>0</v>
      </c>
      <c r="AL20" s="9">
        <f t="shared" si="13"/>
        <v>0</v>
      </c>
      <c r="AM20" s="9">
        <f t="shared" si="38"/>
        <v>0</v>
      </c>
      <c r="AN20" s="9">
        <f t="shared" si="14"/>
        <v>0</v>
      </c>
      <c r="AO20" s="9">
        <f t="shared" si="39"/>
        <v>0</v>
      </c>
      <c r="AP20" s="9">
        <f t="shared" si="15"/>
        <v>0</v>
      </c>
      <c r="AQ20" s="96">
        <f>144*AQ7</f>
        <v>35233.919999999998</v>
      </c>
      <c r="AR20" s="9">
        <f t="shared" si="16"/>
        <v>82.570301152387231</v>
      </c>
      <c r="AS20" s="9">
        <f t="shared" si="40"/>
        <v>322977.59999999998</v>
      </c>
      <c r="AT20" s="9">
        <f t="shared" si="17"/>
        <v>84.540235436018364</v>
      </c>
      <c r="AU20" s="96"/>
      <c r="AV20" s="9">
        <f t="shared" si="18"/>
        <v>0</v>
      </c>
      <c r="AW20" s="9">
        <f t="shared" si="41"/>
        <v>0</v>
      </c>
      <c r="AX20" s="9">
        <f t="shared" si="19"/>
        <v>0</v>
      </c>
      <c r="AY20" s="96"/>
      <c r="AZ20" s="14">
        <f t="shared" si="20"/>
        <v>0</v>
      </c>
      <c r="BA20" s="9">
        <f t="shared" si="42"/>
        <v>0</v>
      </c>
      <c r="BB20" s="9">
        <f t="shared" si="21"/>
        <v>0</v>
      </c>
      <c r="BC20" s="9">
        <f t="shared" si="43"/>
        <v>35233.919999999998</v>
      </c>
      <c r="BD20" s="9">
        <f t="shared" si="22"/>
        <v>82.570301152387231</v>
      </c>
      <c r="BE20" s="9">
        <f t="shared" si="44"/>
        <v>322977.59999999998</v>
      </c>
      <c r="BF20" s="9">
        <f t="shared" si="23"/>
        <v>84.540235436018364</v>
      </c>
      <c r="BG20" s="96"/>
      <c r="BH20" s="9">
        <f t="shared" si="24"/>
        <v>0</v>
      </c>
      <c r="BI20" s="9">
        <f t="shared" si="45"/>
        <v>0</v>
      </c>
      <c r="BJ20" s="9">
        <f t="shared" si="25"/>
        <v>0</v>
      </c>
      <c r="BK20" s="9">
        <f t="shared" si="26"/>
        <v>42671.42</v>
      </c>
      <c r="BL20" s="9">
        <f t="shared" si="46"/>
        <v>382040.1</v>
      </c>
      <c r="BM20" s="512">
        <f t="shared" si="27"/>
        <v>1.0959937329840244</v>
      </c>
      <c r="BN20" s="9">
        <f t="shared" si="28"/>
        <v>1.0759601654889615</v>
      </c>
    </row>
    <row r="21" spans="1:75">
      <c r="A21" s="15">
        <f>+Chem!A20</f>
        <v>45912</v>
      </c>
      <c r="B21" s="5" t="str">
        <f>+Chem!B20</f>
        <v>Facial</v>
      </c>
      <c r="C21" s="15" t="str">
        <f>+Chem!C20</f>
        <v>12/13,5/13</v>
      </c>
      <c r="D21" s="7">
        <f>+Chem!D20</f>
        <v>44.411000000000001</v>
      </c>
      <c r="E21" s="6">
        <f>+Chem!E20</f>
        <v>39.984000000000002</v>
      </c>
      <c r="F21" s="6">
        <f t="shared" si="29"/>
        <v>395.05299999999994</v>
      </c>
      <c r="G21" s="96">
        <f>20.75*G7</f>
        <v>5187.5</v>
      </c>
      <c r="H21" s="9">
        <f t="shared" si="0"/>
        <v>11.447639215430115</v>
      </c>
      <c r="I21" s="7">
        <f t="shared" si="30"/>
        <v>64250</v>
      </c>
      <c r="J21" s="9">
        <f t="shared" si="1"/>
        <v>15.034334910975208</v>
      </c>
      <c r="K21" s="96"/>
      <c r="L21" s="9">
        <f t="shared" si="2"/>
        <v>0</v>
      </c>
      <c r="M21" s="9">
        <f t="shared" si="31"/>
        <v>0</v>
      </c>
      <c r="N21" s="9">
        <f t="shared" si="3"/>
        <v>0</v>
      </c>
      <c r="O21" s="96"/>
      <c r="P21" s="9">
        <f t="shared" si="4"/>
        <v>0</v>
      </c>
      <c r="Q21" s="9">
        <f t="shared" si="32"/>
        <v>0</v>
      </c>
      <c r="R21" s="9">
        <f t="shared" si="5"/>
        <v>0</v>
      </c>
      <c r="S21" s="9">
        <f t="shared" si="33"/>
        <v>5187.5</v>
      </c>
      <c r="T21" s="9">
        <f t="shared" si="6"/>
        <v>11.447639215430115</v>
      </c>
      <c r="U21" s="9">
        <f t="shared" si="34"/>
        <v>64250</v>
      </c>
      <c r="V21" s="9">
        <f t="shared" si="7"/>
        <v>15.034334910975208</v>
      </c>
      <c r="W21" s="96"/>
      <c r="X21" s="9"/>
      <c r="Y21" s="9"/>
      <c r="Z21" s="9"/>
      <c r="AA21" s="96"/>
      <c r="AB21" s="9">
        <f t="shared" si="8"/>
        <v>0</v>
      </c>
      <c r="AC21" s="9">
        <f t="shared" si="35"/>
        <v>0</v>
      </c>
      <c r="AD21" s="9">
        <f t="shared" si="9"/>
        <v>0</v>
      </c>
      <c r="AE21" s="96"/>
      <c r="AF21" s="9">
        <f t="shared" si="10"/>
        <v>0</v>
      </c>
      <c r="AG21" s="9">
        <f t="shared" si="36"/>
        <v>0</v>
      </c>
      <c r="AH21" s="9">
        <f t="shared" si="11"/>
        <v>0</v>
      </c>
      <c r="AI21" s="96"/>
      <c r="AJ21" s="9">
        <f t="shared" si="12"/>
        <v>0</v>
      </c>
      <c r="AK21" s="9">
        <f t="shared" si="37"/>
        <v>0</v>
      </c>
      <c r="AL21" s="9">
        <f t="shared" si="13"/>
        <v>0</v>
      </c>
      <c r="AM21" s="9">
        <f t="shared" si="38"/>
        <v>0</v>
      </c>
      <c r="AN21" s="9">
        <f t="shared" si="14"/>
        <v>0</v>
      </c>
      <c r="AO21" s="9">
        <f t="shared" si="39"/>
        <v>0</v>
      </c>
      <c r="AP21" s="9">
        <f t="shared" si="15"/>
        <v>0</v>
      </c>
      <c r="AQ21" s="96">
        <f>164*AQ7</f>
        <v>40127.520000000004</v>
      </c>
      <c r="AR21" s="9">
        <f t="shared" si="16"/>
        <v>88.552360784569885</v>
      </c>
      <c r="AS21" s="9">
        <f t="shared" si="40"/>
        <v>363105.12</v>
      </c>
      <c r="AT21" s="9">
        <f t="shared" si="17"/>
        <v>84.965665089024782</v>
      </c>
      <c r="AU21" s="96"/>
      <c r="AV21" s="9">
        <f t="shared" si="18"/>
        <v>0</v>
      </c>
      <c r="AW21" s="9">
        <f t="shared" si="41"/>
        <v>0</v>
      </c>
      <c r="AX21" s="9">
        <f t="shared" si="19"/>
        <v>0</v>
      </c>
      <c r="AY21" s="96"/>
      <c r="AZ21" s="14">
        <f t="shared" si="20"/>
        <v>0</v>
      </c>
      <c r="BA21" s="9">
        <f t="shared" si="42"/>
        <v>0</v>
      </c>
      <c r="BB21" s="9">
        <f t="shared" si="21"/>
        <v>0</v>
      </c>
      <c r="BC21" s="9">
        <f t="shared" si="43"/>
        <v>40127.520000000004</v>
      </c>
      <c r="BD21" s="9">
        <f t="shared" si="22"/>
        <v>88.552360784569885</v>
      </c>
      <c r="BE21" s="9">
        <f t="shared" si="44"/>
        <v>363105.12</v>
      </c>
      <c r="BF21" s="9">
        <f t="shared" si="23"/>
        <v>84.965665089024782</v>
      </c>
      <c r="BG21" s="96"/>
      <c r="BH21" s="9">
        <f t="shared" si="24"/>
        <v>0</v>
      </c>
      <c r="BI21" s="9">
        <f t="shared" si="45"/>
        <v>0</v>
      </c>
      <c r="BJ21" s="9">
        <f t="shared" si="25"/>
        <v>0</v>
      </c>
      <c r="BK21" s="9">
        <f t="shared" si="26"/>
        <v>45315.020000000004</v>
      </c>
      <c r="BL21" s="9">
        <f t="shared" si="46"/>
        <v>427355.12</v>
      </c>
      <c r="BM21" s="512">
        <f t="shared" si="27"/>
        <v>1.1333288315326131</v>
      </c>
      <c r="BN21" s="9">
        <f t="shared" si="28"/>
        <v>1.0817665477796652</v>
      </c>
      <c r="BR21" s="13"/>
      <c r="BS21" s="13"/>
      <c r="BV21" s="13"/>
      <c r="BW21" s="13"/>
    </row>
    <row r="22" spans="1:75">
      <c r="A22" s="15">
        <f>+Chem!A21</f>
        <v>45913</v>
      </c>
      <c r="B22" s="5" t="str">
        <f>+Chem!B21</f>
        <v>Facial</v>
      </c>
      <c r="C22" s="15" t="str">
        <f>+Chem!C21</f>
        <v>13/12</v>
      </c>
      <c r="D22" s="7">
        <f>+Chem!D21</f>
        <v>13.635000000000002</v>
      </c>
      <c r="E22" s="6">
        <f>+Chem!E21</f>
        <v>18.619</v>
      </c>
      <c r="F22" s="6">
        <f t="shared" si="29"/>
        <v>413.67199999999991</v>
      </c>
      <c r="G22" s="96">
        <f>4.5*G7</f>
        <v>1125</v>
      </c>
      <c r="H22" s="9">
        <f t="shared" si="0"/>
        <v>11.325336135976515</v>
      </c>
      <c r="I22" s="7">
        <f t="shared" si="30"/>
        <v>65375</v>
      </c>
      <c r="J22" s="9">
        <f t="shared" si="1"/>
        <v>14.950081022006978</v>
      </c>
      <c r="K22" s="96"/>
      <c r="L22" s="9">
        <f t="shared" si="2"/>
        <v>0</v>
      </c>
      <c r="M22" s="9">
        <f t="shared" si="31"/>
        <v>0</v>
      </c>
      <c r="N22" s="9">
        <f t="shared" si="3"/>
        <v>0</v>
      </c>
      <c r="O22" s="96"/>
      <c r="P22" s="9">
        <f t="shared" si="4"/>
        <v>0</v>
      </c>
      <c r="Q22" s="9">
        <f t="shared" si="32"/>
        <v>0</v>
      </c>
      <c r="R22" s="9">
        <f t="shared" si="5"/>
        <v>0</v>
      </c>
      <c r="S22" s="9">
        <f t="shared" si="33"/>
        <v>1125</v>
      </c>
      <c r="T22" s="9">
        <f t="shared" si="6"/>
        <v>11.325336135976515</v>
      </c>
      <c r="U22" s="9">
        <f t="shared" si="34"/>
        <v>65375</v>
      </c>
      <c r="V22" s="9">
        <f t="shared" si="7"/>
        <v>14.950081022006978</v>
      </c>
      <c r="W22" s="96"/>
      <c r="X22" s="9"/>
      <c r="Y22" s="9"/>
      <c r="Z22" s="9"/>
      <c r="AA22" s="96"/>
      <c r="AB22" s="9">
        <f t="shared" si="8"/>
        <v>0</v>
      </c>
      <c r="AC22" s="9">
        <f t="shared" si="35"/>
        <v>0</v>
      </c>
      <c r="AD22" s="9">
        <f t="shared" si="9"/>
        <v>0</v>
      </c>
      <c r="AE22" s="96"/>
      <c r="AF22" s="9">
        <f t="shared" si="10"/>
        <v>0</v>
      </c>
      <c r="AG22" s="9">
        <f t="shared" si="36"/>
        <v>0</v>
      </c>
      <c r="AH22" s="9">
        <f t="shared" si="11"/>
        <v>0</v>
      </c>
      <c r="AI22" s="96"/>
      <c r="AJ22" s="9">
        <f t="shared" si="12"/>
        <v>0</v>
      </c>
      <c r="AK22" s="9">
        <f t="shared" si="37"/>
        <v>0</v>
      </c>
      <c r="AL22" s="9">
        <f t="shared" si="13"/>
        <v>0</v>
      </c>
      <c r="AM22" s="9">
        <f t="shared" si="38"/>
        <v>0</v>
      </c>
      <c r="AN22" s="9">
        <f t="shared" si="14"/>
        <v>0</v>
      </c>
      <c r="AO22" s="9">
        <f t="shared" si="39"/>
        <v>0</v>
      </c>
      <c r="AP22" s="9">
        <f t="shared" si="15"/>
        <v>0</v>
      </c>
      <c r="AQ22" s="96">
        <f>36*AQ7</f>
        <v>8808.48</v>
      </c>
      <c r="AR22" s="9">
        <f t="shared" si="16"/>
        <v>88.674663864023486</v>
      </c>
      <c r="AS22" s="9">
        <f t="shared" si="40"/>
        <v>371913.6</v>
      </c>
      <c r="AT22" s="9">
        <f t="shared" si="17"/>
        <v>85.049918977993016</v>
      </c>
      <c r="AU22" s="96"/>
      <c r="AV22" s="9">
        <f t="shared" si="18"/>
        <v>0</v>
      </c>
      <c r="AW22" s="9">
        <f t="shared" si="41"/>
        <v>0</v>
      </c>
      <c r="AX22" s="9">
        <f t="shared" si="19"/>
        <v>0</v>
      </c>
      <c r="AY22" s="96"/>
      <c r="AZ22" s="14">
        <f t="shared" si="20"/>
        <v>0</v>
      </c>
      <c r="BA22" s="9">
        <f t="shared" si="42"/>
        <v>0</v>
      </c>
      <c r="BB22" s="9">
        <f t="shared" si="21"/>
        <v>0</v>
      </c>
      <c r="BC22" s="9">
        <f t="shared" si="43"/>
        <v>8808.48</v>
      </c>
      <c r="BD22" s="9">
        <f t="shared" si="22"/>
        <v>88.674663864023486</v>
      </c>
      <c r="BE22" s="9">
        <f t="shared" si="44"/>
        <v>371913.6</v>
      </c>
      <c r="BF22" s="9">
        <f t="shared" si="23"/>
        <v>85.049918977993016</v>
      </c>
      <c r="BG22" s="96"/>
      <c r="BH22" s="9">
        <f t="shared" si="24"/>
        <v>0</v>
      </c>
      <c r="BI22" s="9">
        <f t="shared" si="45"/>
        <v>0</v>
      </c>
      <c r="BJ22" s="9">
        <f t="shared" si="25"/>
        <v>0</v>
      </c>
      <c r="BK22" s="9">
        <f t="shared" si="26"/>
        <v>9933.48</v>
      </c>
      <c r="BL22" s="9">
        <f t="shared" si="46"/>
        <v>437288.6</v>
      </c>
      <c r="BM22" s="512">
        <f t="shared" si="27"/>
        <v>0.53351307803856274</v>
      </c>
      <c r="BN22" s="9">
        <f t="shared" si="28"/>
        <v>1.0570901583863546</v>
      </c>
      <c r="BR22" s="13"/>
      <c r="BS22" s="13"/>
      <c r="BV22" s="13"/>
      <c r="BW22" s="13"/>
    </row>
    <row r="23" spans="1:75">
      <c r="A23" s="15">
        <f>+Chem!A22</f>
        <v>45914</v>
      </c>
      <c r="B23" s="5" t="str">
        <f>+Chem!B22</f>
        <v>STOP</v>
      </c>
      <c r="C23" s="15" t="str">
        <f>+Chem!C22</f>
        <v>12</v>
      </c>
      <c r="D23" s="7">
        <f>+Chem!D22</f>
        <v>0</v>
      </c>
      <c r="E23" s="6">
        <f>+Chem!E22</f>
        <v>0</v>
      </c>
      <c r="F23" s="6">
        <f t="shared" si="29"/>
        <v>413.67199999999991</v>
      </c>
      <c r="G23" s="96"/>
      <c r="H23" s="9" t="e">
        <f t="shared" si="0"/>
        <v>#DIV/0!</v>
      </c>
      <c r="I23" s="7">
        <f t="shared" si="30"/>
        <v>65375</v>
      </c>
      <c r="J23" s="9">
        <f t="shared" si="1"/>
        <v>14.950081022006978</v>
      </c>
      <c r="K23" s="96"/>
      <c r="L23" s="9" t="e">
        <f t="shared" si="2"/>
        <v>#DIV/0!</v>
      </c>
      <c r="M23" s="9">
        <f t="shared" si="31"/>
        <v>0</v>
      </c>
      <c r="N23" s="9">
        <f t="shared" si="3"/>
        <v>0</v>
      </c>
      <c r="O23" s="96"/>
      <c r="P23" s="9" t="e">
        <f t="shared" si="4"/>
        <v>#DIV/0!</v>
      </c>
      <c r="Q23" s="9">
        <f t="shared" si="32"/>
        <v>0</v>
      </c>
      <c r="R23" s="9">
        <f t="shared" si="5"/>
        <v>0</v>
      </c>
      <c r="S23" s="9">
        <f t="shared" si="33"/>
        <v>0</v>
      </c>
      <c r="T23" s="9" t="e">
        <f t="shared" si="6"/>
        <v>#DIV/0!</v>
      </c>
      <c r="U23" s="9">
        <f t="shared" si="34"/>
        <v>65375</v>
      </c>
      <c r="V23" s="9">
        <f t="shared" si="7"/>
        <v>14.950081022006978</v>
      </c>
      <c r="W23" s="96"/>
      <c r="X23" s="9"/>
      <c r="Y23" s="9"/>
      <c r="Z23" s="9"/>
      <c r="AA23" s="96"/>
      <c r="AB23" s="9" t="e">
        <f t="shared" si="8"/>
        <v>#DIV/0!</v>
      </c>
      <c r="AC23" s="9">
        <f t="shared" si="35"/>
        <v>0</v>
      </c>
      <c r="AD23" s="9">
        <f t="shared" si="9"/>
        <v>0</v>
      </c>
      <c r="AE23" s="96"/>
      <c r="AF23" s="9" t="e">
        <f t="shared" si="10"/>
        <v>#DIV/0!</v>
      </c>
      <c r="AG23" s="9">
        <f t="shared" si="36"/>
        <v>0</v>
      </c>
      <c r="AH23" s="9">
        <f t="shared" si="11"/>
        <v>0</v>
      </c>
      <c r="AI23" s="96"/>
      <c r="AJ23" s="9" t="e">
        <f t="shared" si="12"/>
        <v>#DIV/0!</v>
      </c>
      <c r="AK23" s="9">
        <f t="shared" si="37"/>
        <v>0</v>
      </c>
      <c r="AL23" s="9">
        <f t="shared" si="13"/>
        <v>0</v>
      </c>
      <c r="AM23" s="9">
        <f t="shared" si="38"/>
        <v>0</v>
      </c>
      <c r="AN23" s="9" t="e">
        <f t="shared" si="14"/>
        <v>#DIV/0!</v>
      </c>
      <c r="AO23" s="9">
        <f t="shared" si="39"/>
        <v>0</v>
      </c>
      <c r="AP23" s="9">
        <f t="shared" si="15"/>
        <v>0</v>
      </c>
      <c r="AQ23" s="96"/>
      <c r="AR23" s="9" t="e">
        <f t="shared" si="16"/>
        <v>#DIV/0!</v>
      </c>
      <c r="AS23" s="9">
        <f t="shared" si="40"/>
        <v>371913.6</v>
      </c>
      <c r="AT23" s="9">
        <f t="shared" si="17"/>
        <v>85.049918977993016</v>
      </c>
      <c r="AU23" s="96"/>
      <c r="AV23" s="9" t="e">
        <f t="shared" si="18"/>
        <v>#DIV/0!</v>
      </c>
      <c r="AW23" s="9">
        <f t="shared" si="41"/>
        <v>0</v>
      </c>
      <c r="AX23" s="9">
        <f t="shared" si="19"/>
        <v>0</v>
      </c>
      <c r="AY23" s="96"/>
      <c r="AZ23" s="14" t="e">
        <f t="shared" si="20"/>
        <v>#DIV/0!</v>
      </c>
      <c r="BA23" s="9">
        <f t="shared" si="42"/>
        <v>0</v>
      </c>
      <c r="BB23" s="9">
        <f t="shared" si="21"/>
        <v>0</v>
      </c>
      <c r="BC23" s="9">
        <f t="shared" si="43"/>
        <v>0</v>
      </c>
      <c r="BD23" s="9" t="e">
        <f t="shared" si="22"/>
        <v>#DIV/0!</v>
      </c>
      <c r="BE23" s="9">
        <f t="shared" si="44"/>
        <v>371913.6</v>
      </c>
      <c r="BF23" s="9">
        <f t="shared" si="23"/>
        <v>85.049918977993016</v>
      </c>
      <c r="BG23" s="96"/>
      <c r="BH23" s="9" t="e">
        <f t="shared" si="24"/>
        <v>#DIV/0!</v>
      </c>
      <c r="BI23" s="9">
        <f t="shared" si="45"/>
        <v>0</v>
      </c>
      <c r="BJ23" s="9">
        <f t="shared" si="25"/>
        <v>0</v>
      </c>
      <c r="BK23" s="9">
        <f t="shared" si="26"/>
        <v>0</v>
      </c>
      <c r="BL23" s="9">
        <f t="shared" si="46"/>
        <v>437288.6</v>
      </c>
      <c r="BM23" s="512" t="e">
        <f t="shared" si="27"/>
        <v>#DIV/0!</v>
      </c>
      <c r="BN23" s="9">
        <f t="shared" si="28"/>
        <v>1.0570901583863546</v>
      </c>
      <c r="BV23" s="13"/>
      <c r="BW23" s="13"/>
    </row>
    <row r="24" spans="1:75">
      <c r="A24" s="15">
        <f>+Chem!A23</f>
        <v>45915</v>
      </c>
      <c r="B24" s="5" t="str">
        <f>+Chem!B23</f>
        <v>STOP</v>
      </c>
      <c r="C24" s="15" t="str">
        <f>+Chem!C23</f>
        <v>12</v>
      </c>
      <c r="D24" s="7">
        <f>+Chem!D23</f>
        <v>0</v>
      </c>
      <c r="E24" s="6">
        <f>+Chem!E23</f>
        <v>0</v>
      </c>
      <c r="F24" s="6">
        <f t="shared" si="29"/>
        <v>413.67199999999991</v>
      </c>
      <c r="G24" s="96"/>
      <c r="H24" s="9" t="e">
        <f t="shared" si="0"/>
        <v>#DIV/0!</v>
      </c>
      <c r="I24" s="7">
        <f t="shared" si="30"/>
        <v>65375</v>
      </c>
      <c r="J24" s="9">
        <f t="shared" si="1"/>
        <v>14.950081022006978</v>
      </c>
      <c r="K24" s="96"/>
      <c r="L24" s="9" t="e">
        <f t="shared" si="2"/>
        <v>#DIV/0!</v>
      </c>
      <c r="M24" s="9">
        <f t="shared" si="31"/>
        <v>0</v>
      </c>
      <c r="N24" s="9">
        <f t="shared" si="3"/>
        <v>0</v>
      </c>
      <c r="O24" s="96"/>
      <c r="P24" s="9" t="e">
        <f t="shared" si="4"/>
        <v>#DIV/0!</v>
      </c>
      <c r="Q24" s="9">
        <f t="shared" si="32"/>
        <v>0</v>
      </c>
      <c r="R24" s="9">
        <f t="shared" si="5"/>
        <v>0</v>
      </c>
      <c r="S24" s="9">
        <f t="shared" si="33"/>
        <v>0</v>
      </c>
      <c r="T24" s="9" t="e">
        <f t="shared" si="6"/>
        <v>#DIV/0!</v>
      </c>
      <c r="U24" s="9">
        <f t="shared" si="34"/>
        <v>65375</v>
      </c>
      <c r="V24" s="9">
        <f t="shared" si="7"/>
        <v>14.950081022006978</v>
      </c>
      <c r="W24" s="96"/>
      <c r="X24" s="9"/>
      <c r="Y24" s="9"/>
      <c r="Z24" s="9"/>
      <c r="AA24" s="96"/>
      <c r="AB24" s="9" t="e">
        <f t="shared" si="8"/>
        <v>#DIV/0!</v>
      </c>
      <c r="AC24" s="9">
        <f t="shared" si="35"/>
        <v>0</v>
      </c>
      <c r="AD24" s="9">
        <f t="shared" si="9"/>
        <v>0</v>
      </c>
      <c r="AE24" s="96"/>
      <c r="AF24" s="9" t="e">
        <f t="shared" si="10"/>
        <v>#DIV/0!</v>
      </c>
      <c r="AG24" s="9">
        <f t="shared" si="36"/>
        <v>0</v>
      </c>
      <c r="AH24" s="9">
        <f t="shared" si="11"/>
        <v>0</v>
      </c>
      <c r="AI24" s="96"/>
      <c r="AJ24" s="9" t="e">
        <f t="shared" si="12"/>
        <v>#DIV/0!</v>
      </c>
      <c r="AK24" s="9">
        <f t="shared" si="37"/>
        <v>0</v>
      </c>
      <c r="AL24" s="9">
        <f t="shared" si="13"/>
        <v>0</v>
      </c>
      <c r="AM24" s="9">
        <f t="shared" si="38"/>
        <v>0</v>
      </c>
      <c r="AN24" s="9" t="e">
        <f t="shared" si="14"/>
        <v>#DIV/0!</v>
      </c>
      <c r="AO24" s="9">
        <f t="shared" si="39"/>
        <v>0</v>
      </c>
      <c r="AP24" s="9">
        <f t="shared" si="15"/>
        <v>0</v>
      </c>
      <c r="AQ24" s="96"/>
      <c r="AR24" s="9" t="e">
        <f t="shared" si="16"/>
        <v>#DIV/0!</v>
      </c>
      <c r="AS24" s="9">
        <f t="shared" si="40"/>
        <v>371913.6</v>
      </c>
      <c r="AT24" s="9">
        <f t="shared" si="17"/>
        <v>85.049918977993016</v>
      </c>
      <c r="AU24" s="96"/>
      <c r="AV24" s="9" t="e">
        <f t="shared" si="18"/>
        <v>#DIV/0!</v>
      </c>
      <c r="AW24" s="9">
        <f t="shared" si="41"/>
        <v>0</v>
      </c>
      <c r="AX24" s="9">
        <f t="shared" si="19"/>
        <v>0</v>
      </c>
      <c r="AY24" s="96"/>
      <c r="AZ24" s="14" t="e">
        <f t="shared" si="20"/>
        <v>#DIV/0!</v>
      </c>
      <c r="BA24" s="9">
        <f t="shared" si="42"/>
        <v>0</v>
      </c>
      <c r="BB24" s="9">
        <f t="shared" si="21"/>
        <v>0</v>
      </c>
      <c r="BC24" s="9">
        <f t="shared" si="43"/>
        <v>0</v>
      </c>
      <c r="BD24" s="9" t="e">
        <f t="shared" si="22"/>
        <v>#DIV/0!</v>
      </c>
      <c r="BE24" s="9">
        <f t="shared" si="44"/>
        <v>371913.6</v>
      </c>
      <c r="BF24" s="9">
        <f t="shared" si="23"/>
        <v>85.049918977993016</v>
      </c>
      <c r="BG24" s="96"/>
      <c r="BH24" s="9" t="e">
        <f t="shared" si="24"/>
        <v>#DIV/0!</v>
      </c>
      <c r="BI24" s="9">
        <f t="shared" si="45"/>
        <v>0</v>
      </c>
      <c r="BJ24" s="9">
        <f t="shared" si="25"/>
        <v>0</v>
      </c>
      <c r="BK24" s="9">
        <f t="shared" si="26"/>
        <v>0</v>
      </c>
      <c r="BL24" s="9">
        <f t="shared" si="46"/>
        <v>437288.6</v>
      </c>
      <c r="BM24" s="512" t="e">
        <f t="shared" si="27"/>
        <v>#DIV/0!</v>
      </c>
      <c r="BN24" s="9">
        <f t="shared" si="28"/>
        <v>1.0570901583863546</v>
      </c>
      <c r="BV24" s="13"/>
      <c r="BW24" s="13"/>
    </row>
    <row r="25" spans="1:75">
      <c r="A25" s="15">
        <f>+Chem!A24</f>
        <v>45916</v>
      </c>
      <c r="B25" s="5" t="str">
        <f>+Chem!B24</f>
        <v>STOP</v>
      </c>
      <c r="C25" s="15" t="str">
        <f>+Chem!C24</f>
        <v>12</v>
      </c>
      <c r="D25" s="7">
        <f>+Chem!D24</f>
        <v>0</v>
      </c>
      <c r="E25" s="6">
        <f>+Chem!E24</f>
        <v>0</v>
      </c>
      <c r="F25" s="6">
        <f t="shared" si="29"/>
        <v>413.67199999999991</v>
      </c>
      <c r="G25" s="96"/>
      <c r="H25" s="9" t="e">
        <f t="shared" si="0"/>
        <v>#DIV/0!</v>
      </c>
      <c r="I25" s="7">
        <f t="shared" si="30"/>
        <v>65375</v>
      </c>
      <c r="J25" s="9">
        <f t="shared" si="1"/>
        <v>14.950081022006978</v>
      </c>
      <c r="K25" s="96"/>
      <c r="L25" s="9" t="e">
        <f t="shared" si="2"/>
        <v>#DIV/0!</v>
      </c>
      <c r="M25" s="9">
        <f t="shared" si="31"/>
        <v>0</v>
      </c>
      <c r="N25" s="9">
        <f t="shared" si="3"/>
        <v>0</v>
      </c>
      <c r="O25" s="96"/>
      <c r="P25" s="9" t="e">
        <f t="shared" si="4"/>
        <v>#DIV/0!</v>
      </c>
      <c r="Q25" s="9">
        <f t="shared" si="32"/>
        <v>0</v>
      </c>
      <c r="R25" s="9">
        <f t="shared" si="5"/>
        <v>0</v>
      </c>
      <c r="S25" s="9">
        <f t="shared" si="33"/>
        <v>0</v>
      </c>
      <c r="T25" s="9" t="e">
        <f t="shared" si="6"/>
        <v>#DIV/0!</v>
      </c>
      <c r="U25" s="9">
        <f t="shared" si="34"/>
        <v>65375</v>
      </c>
      <c r="V25" s="9">
        <f t="shared" si="7"/>
        <v>14.950081022006978</v>
      </c>
      <c r="W25" s="96"/>
      <c r="X25" s="9"/>
      <c r="Y25" s="9"/>
      <c r="Z25" s="9"/>
      <c r="AA25" s="96"/>
      <c r="AB25" s="9" t="e">
        <f t="shared" si="8"/>
        <v>#DIV/0!</v>
      </c>
      <c r="AC25" s="9">
        <f t="shared" si="35"/>
        <v>0</v>
      </c>
      <c r="AD25" s="9">
        <f t="shared" si="9"/>
        <v>0</v>
      </c>
      <c r="AE25" s="96"/>
      <c r="AF25" s="9" t="e">
        <f t="shared" si="10"/>
        <v>#DIV/0!</v>
      </c>
      <c r="AG25" s="9">
        <f t="shared" si="36"/>
        <v>0</v>
      </c>
      <c r="AH25" s="9">
        <f t="shared" si="11"/>
        <v>0</v>
      </c>
      <c r="AI25" s="96"/>
      <c r="AJ25" s="9" t="e">
        <f t="shared" si="12"/>
        <v>#DIV/0!</v>
      </c>
      <c r="AK25" s="9">
        <f t="shared" si="37"/>
        <v>0</v>
      </c>
      <c r="AL25" s="9">
        <f t="shared" si="13"/>
        <v>0</v>
      </c>
      <c r="AM25" s="9">
        <f t="shared" si="38"/>
        <v>0</v>
      </c>
      <c r="AN25" s="9" t="e">
        <f t="shared" si="14"/>
        <v>#DIV/0!</v>
      </c>
      <c r="AO25" s="9">
        <f t="shared" si="39"/>
        <v>0</v>
      </c>
      <c r="AP25" s="9">
        <f t="shared" si="15"/>
        <v>0</v>
      </c>
      <c r="AQ25" s="96"/>
      <c r="AR25" s="9" t="e">
        <f t="shared" si="16"/>
        <v>#DIV/0!</v>
      </c>
      <c r="AS25" s="9">
        <f t="shared" si="40"/>
        <v>371913.6</v>
      </c>
      <c r="AT25" s="9">
        <f t="shared" si="17"/>
        <v>85.049918977993016</v>
      </c>
      <c r="AU25" s="96"/>
      <c r="AV25" s="9" t="e">
        <f t="shared" si="18"/>
        <v>#DIV/0!</v>
      </c>
      <c r="AW25" s="9">
        <f t="shared" si="41"/>
        <v>0</v>
      </c>
      <c r="AX25" s="9">
        <f t="shared" si="19"/>
        <v>0</v>
      </c>
      <c r="AY25" s="96"/>
      <c r="AZ25" s="14" t="e">
        <f t="shared" si="20"/>
        <v>#DIV/0!</v>
      </c>
      <c r="BA25" s="9">
        <f t="shared" si="42"/>
        <v>0</v>
      </c>
      <c r="BB25" s="9">
        <f t="shared" si="21"/>
        <v>0</v>
      </c>
      <c r="BC25" s="9">
        <f t="shared" si="43"/>
        <v>0</v>
      </c>
      <c r="BD25" s="9" t="e">
        <f t="shared" si="22"/>
        <v>#DIV/0!</v>
      </c>
      <c r="BE25" s="9">
        <f t="shared" si="44"/>
        <v>371913.6</v>
      </c>
      <c r="BF25" s="9">
        <f t="shared" si="23"/>
        <v>85.049918977993016</v>
      </c>
      <c r="BG25" s="96"/>
      <c r="BH25" s="9" t="e">
        <f t="shared" si="24"/>
        <v>#DIV/0!</v>
      </c>
      <c r="BI25" s="9">
        <f t="shared" si="45"/>
        <v>0</v>
      </c>
      <c r="BJ25" s="9">
        <f t="shared" si="25"/>
        <v>0</v>
      </c>
      <c r="BK25" s="9">
        <f t="shared" si="26"/>
        <v>0</v>
      </c>
      <c r="BL25" s="9">
        <f t="shared" si="46"/>
        <v>437288.6</v>
      </c>
      <c r="BM25" s="512" t="e">
        <f t="shared" si="27"/>
        <v>#DIV/0!</v>
      </c>
      <c r="BN25" s="9">
        <f t="shared" si="28"/>
        <v>1.0570901583863546</v>
      </c>
      <c r="BV25" s="13"/>
      <c r="BW25" s="13"/>
    </row>
    <row r="26" spans="1:75">
      <c r="A26" s="15">
        <f>+Chem!A25</f>
        <v>45917</v>
      </c>
      <c r="B26" s="5" t="str">
        <f>+Chem!B25</f>
        <v>STOP</v>
      </c>
      <c r="C26" s="15" t="str">
        <f>+Chem!C25</f>
        <v>12</v>
      </c>
      <c r="D26" s="7">
        <f>+Chem!D25</f>
        <v>0</v>
      </c>
      <c r="E26" s="6">
        <f>+Chem!E25</f>
        <v>0</v>
      </c>
      <c r="F26" s="6">
        <f t="shared" si="29"/>
        <v>413.67199999999991</v>
      </c>
      <c r="G26" s="96"/>
      <c r="H26" s="9" t="e">
        <f t="shared" si="0"/>
        <v>#DIV/0!</v>
      </c>
      <c r="I26" s="7">
        <f t="shared" si="30"/>
        <v>65375</v>
      </c>
      <c r="J26" s="9">
        <f t="shared" si="1"/>
        <v>14.950081022006978</v>
      </c>
      <c r="K26" s="96"/>
      <c r="L26" s="9" t="e">
        <f t="shared" si="2"/>
        <v>#DIV/0!</v>
      </c>
      <c r="M26" s="9">
        <f t="shared" si="31"/>
        <v>0</v>
      </c>
      <c r="N26" s="9">
        <f t="shared" si="3"/>
        <v>0</v>
      </c>
      <c r="O26" s="96"/>
      <c r="P26" s="9" t="e">
        <f t="shared" si="4"/>
        <v>#DIV/0!</v>
      </c>
      <c r="Q26" s="9">
        <f t="shared" si="32"/>
        <v>0</v>
      </c>
      <c r="R26" s="9">
        <f t="shared" si="5"/>
        <v>0</v>
      </c>
      <c r="S26" s="9">
        <f t="shared" si="33"/>
        <v>0</v>
      </c>
      <c r="T26" s="9" t="e">
        <f t="shared" si="6"/>
        <v>#DIV/0!</v>
      </c>
      <c r="U26" s="9">
        <f t="shared" si="34"/>
        <v>65375</v>
      </c>
      <c r="V26" s="9">
        <f t="shared" si="7"/>
        <v>14.950081022006978</v>
      </c>
      <c r="W26" s="96"/>
      <c r="X26" s="9"/>
      <c r="Y26" s="9"/>
      <c r="Z26" s="9"/>
      <c r="AA26" s="96"/>
      <c r="AB26" s="9" t="e">
        <f t="shared" si="8"/>
        <v>#DIV/0!</v>
      </c>
      <c r="AC26" s="9">
        <f t="shared" si="35"/>
        <v>0</v>
      </c>
      <c r="AD26" s="9">
        <f t="shared" si="9"/>
        <v>0</v>
      </c>
      <c r="AE26" s="96"/>
      <c r="AF26" s="9" t="e">
        <f t="shared" si="10"/>
        <v>#DIV/0!</v>
      </c>
      <c r="AG26" s="9">
        <f t="shared" si="36"/>
        <v>0</v>
      </c>
      <c r="AH26" s="9">
        <f t="shared" si="11"/>
        <v>0</v>
      </c>
      <c r="AI26" s="96"/>
      <c r="AJ26" s="9" t="e">
        <f t="shared" si="12"/>
        <v>#DIV/0!</v>
      </c>
      <c r="AK26" s="9">
        <f t="shared" si="37"/>
        <v>0</v>
      </c>
      <c r="AL26" s="9">
        <f t="shared" si="13"/>
        <v>0</v>
      </c>
      <c r="AM26" s="9">
        <f t="shared" si="38"/>
        <v>0</v>
      </c>
      <c r="AN26" s="9" t="e">
        <f t="shared" si="14"/>
        <v>#DIV/0!</v>
      </c>
      <c r="AO26" s="9">
        <f t="shared" si="39"/>
        <v>0</v>
      </c>
      <c r="AP26" s="9">
        <f t="shared" si="15"/>
        <v>0</v>
      </c>
      <c r="AQ26" s="96"/>
      <c r="AR26" s="9" t="e">
        <f t="shared" si="16"/>
        <v>#DIV/0!</v>
      </c>
      <c r="AS26" s="9">
        <f t="shared" si="40"/>
        <v>371913.6</v>
      </c>
      <c r="AT26" s="9">
        <f t="shared" si="17"/>
        <v>85.049918977993016</v>
      </c>
      <c r="AU26" s="96"/>
      <c r="AV26" s="9" t="e">
        <f t="shared" si="18"/>
        <v>#DIV/0!</v>
      </c>
      <c r="AW26" s="9">
        <f t="shared" si="41"/>
        <v>0</v>
      </c>
      <c r="AX26" s="9">
        <f t="shared" si="19"/>
        <v>0</v>
      </c>
      <c r="AY26" s="96"/>
      <c r="AZ26" s="14" t="e">
        <f t="shared" si="20"/>
        <v>#DIV/0!</v>
      </c>
      <c r="BA26" s="9">
        <f t="shared" si="42"/>
        <v>0</v>
      </c>
      <c r="BB26" s="9">
        <f t="shared" si="21"/>
        <v>0</v>
      </c>
      <c r="BC26" s="9">
        <f t="shared" si="43"/>
        <v>0</v>
      </c>
      <c r="BD26" s="9" t="e">
        <f t="shared" si="22"/>
        <v>#DIV/0!</v>
      </c>
      <c r="BE26" s="9">
        <f t="shared" si="44"/>
        <v>371913.6</v>
      </c>
      <c r="BF26" s="9">
        <f t="shared" si="23"/>
        <v>85.049918977993016</v>
      </c>
      <c r="BG26" s="96"/>
      <c r="BH26" s="9" t="e">
        <f t="shared" si="24"/>
        <v>#DIV/0!</v>
      </c>
      <c r="BI26" s="9">
        <f t="shared" si="45"/>
        <v>0</v>
      </c>
      <c r="BJ26" s="9">
        <f t="shared" si="25"/>
        <v>0</v>
      </c>
      <c r="BK26" s="9">
        <f t="shared" si="26"/>
        <v>0</v>
      </c>
      <c r="BL26" s="9">
        <f t="shared" si="46"/>
        <v>437288.6</v>
      </c>
      <c r="BM26" s="512" t="e">
        <f t="shared" si="27"/>
        <v>#DIV/0!</v>
      </c>
      <c r="BN26" s="9">
        <f t="shared" si="28"/>
        <v>1.0570901583863546</v>
      </c>
      <c r="BP26" s="13"/>
      <c r="BV26" s="13"/>
    </row>
    <row r="27" spans="1:75">
      <c r="A27" s="15">
        <f>+Chem!A26</f>
        <v>45918</v>
      </c>
      <c r="B27" s="5" t="str">
        <f>+Chem!B26</f>
        <v>STOP</v>
      </c>
      <c r="C27" s="15" t="str">
        <f>+Chem!C26</f>
        <v>12</v>
      </c>
      <c r="D27" s="7">
        <f>+Chem!D26</f>
        <v>0</v>
      </c>
      <c r="E27" s="6">
        <f>+Chem!E26</f>
        <v>0</v>
      </c>
      <c r="F27" s="6">
        <f t="shared" si="29"/>
        <v>413.67199999999991</v>
      </c>
      <c r="G27" s="96"/>
      <c r="H27" s="9" t="e">
        <f t="shared" si="0"/>
        <v>#DIV/0!</v>
      </c>
      <c r="I27" s="7">
        <f t="shared" si="30"/>
        <v>65375</v>
      </c>
      <c r="J27" s="9">
        <f t="shared" si="1"/>
        <v>14.950081022006978</v>
      </c>
      <c r="K27" s="96"/>
      <c r="L27" s="9" t="e">
        <f t="shared" si="2"/>
        <v>#DIV/0!</v>
      </c>
      <c r="M27" s="9">
        <f t="shared" si="31"/>
        <v>0</v>
      </c>
      <c r="N27" s="9">
        <f t="shared" si="3"/>
        <v>0</v>
      </c>
      <c r="O27" s="96"/>
      <c r="P27" s="9" t="e">
        <f t="shared" si="4"/>
        <v>#DIV/0!</v>
      </c>
      <c r="Q27" s="9">
        <f t="shared" si="32"/>
        <v>0</v>
      </c>
      <c r="R27" s="9">
        <f t="shared" si="5"/>
        <v>0</v>
      </c>
      <c r="S27" s="9">
        <f t="shared" si="33"/>
        <v>0</v>
      </c>
      <c r="T27" s="9" t="e">
        <f t="shared" si="6"/>
        <v>#DIV/0!</v>
      </c>
      <c r="U27" s="9">
        <f t="shared" si="34"/>
        <v>65375</v>
      </c>
      <c r="V27" s="9">
        <f t="shared" si="7"/>
        <v>14.950081022006978</v>
      </c>
      <c r="W27" s="96"/>
      <c r="X27" s="9"/>
      <c r="Y27" s="9"/>
      <c r="Z27" s="9"/>
      <c r="AA27" s="96"/>
      <c r="AB27" s="9" t="e">
        <f t="shared" si="8"/>
        <v>#DIV/0!</v>
      </c>
      <c r="AC27" s="9">
        <f t="shared" si="35"/>
        <v>0</v>
      </c>
      <c r="AD27" s="9">
        <f t="shared" si="9"/>
        <v>0</v>
      </c>
      <c r="AE27" s="96"/>
      <c r="AF27" s="9" t="e">
        <f t="shared" si="10"/>
        <v>#DIV/0!</v>
      </c>
      <c r="AG27" s="9">
        <f t="shared" si="36"/>
        <v>0</v>
      </c>
      <c r="AH27" s="9">
        <f t="shared" si="11"/>
        <v>0</v>
      </c>
      <c r="AI27" s="96"/>
      <c r="AJ27" s="9" t="e">
        <f t="shared" si="12"/>
        <v>#DIV/0!</v>
      </c>
      <c r="AK27" s="9">
        <f t="shared" si="37"/>
        <v>0</v>
      </c>
      <c r="AL27" s="9">
        <f t="shared" si="13"/>
        <v>0</v>
      </c>
      <c r="AM27" s="9">
        <f t="shared" si="38"/>
        <v>0</v>
      </c>
      <c r="AN27" s="9" t="e">
        <f t="shared" si="14"/>
        <v>#DIV/0!</v>
      </c>
      <c r="AO27" s="9">
        <f t="shared" si="39"/>
        <v>0</v>
      </c>
      <c r="AP27" s="9">
        <f t="shared" si="15"/>
        <v>0</v>
      </c>
      <c r="AQ27" s="96"/>
      <c r="AR27" s="9" t="e">
        <f t="shared" si="16"/>
        <v>#DIV/0!</v>
      </c>
      <c r="AS27" s="9">
        <f t="shared" si="40"/>
        <v>371913.6</v>
      </c>
      <c r="AT27" s="9">
        <f t="shared" si="17"/>
        <v>85.049918977993016</v>
      </c>
      <c r="AU27" s="96"/>
      <c r="AV27" s="9" t="e">
        <f t="shared" si="18"/>
        <v>#DIV/0!</v>
      </c>
      <c r="AW27" s="9">
        <f t="shared" si="41"/>
        <v>0</v>
      </c>
      <c r="AX27" s="9">
        <f t="shared" si="19"/>
        <v>0</v>
      </c>
      <c r="AY27" s="96"/>
      <c r="AZ27" s="14" t="e">
        <f t="shared" si="20"/>
        <v>#DIV/0!</v>
      </c>
      <c r="BA27" s="9">
        <f t="shared" si="42"/>
        <v>0</v>
      </c>
      <c r="BB27" s="9">
        <f t="shared" si="21"/>
        <v>0</v>
      </c>
      <c r="BC27" s="9">
        <f t="shared" si="43"/>
        <v>0</v>
      </c>
      <c r="BD27" s="9" t="e">
        <f t="shared" si="22"/>
        <v>#DIV/0!</v>
      </c>
      <c r="BE27" s="9">
        <f t="shared" si="44"/>
        <v>371913.6</v>
      </c>
      <c r="BF27" s="9">
        <f t="shared" si="23"/>
        <v>85.049918977993016</v>
      </c>
      <c r="BG27" s="96"/>
      <c r="BH27" s="9" t="e">
        <f t="shared" si="24"/>
        <v>#DIV/0!</v>
      </c>
      <c r="BI27" s="9">
        <f t="shared" si="45"/>
        <v>0</v>
      </c>
      <c r="BJ27" s="9">
        <f t="shared" si="25"/>
        <v>0</v>
      </c>
      <c r="BK27" s="9">
        <f t="shared" si="26"/>
        <v>0</v>
      </c>
      <c r="BL27" s="9">
        <f t="shared" si="46"/>
        <v>437288.6</v>
      </c>
      <c r="BM27" s="512" t="e">
        <f t="shared" si="27"/>
        <v>#DIV/0!</v>
      </c>
      <c r="BN27" s="9">
        <f t="shared" si="28"/>
        <v>1.0570901583863546</v>
      </c>
      <c r="BV27" s="13"/>
    </row>
    <row r="28" spans="1:75">
      <c r="A28" s="15">
        <f>+Chem!A27</f>
        <v>45919</v>
      </c>
      <c r="B28" s="5" t="str">
        <f>+Chem!B27</f>
        <v>STOP</v>
      </c>
      <c r="C28" s="15" t="str">
        <f>+Chem!C27</f>
        <v>12</v>
      </c>
      <c r="D28" s="7">
        <f>+Chem!D27</f>
        <v>0</v>
      </c>
      <c r="E28" s="6">
        <f>+Chem!E27</f>
        <v>0</v>
      </c>
      <c r="F28" s="6">
        <f t="shared" si="29"/>
        <v>413.67199999999991</v>
      </c>
      <c r="G28" s="96"/>
      <c r="H28" s="9" t="e">
        <f t="shared" si="0"/>
        <v>#DIV/0!</v>
      </c>
      <c r="I28" s="7">
        <f t="shared" si="30"/>
        <v>65375</v>
      </c>
      <c r="J28" s="9">
        <f t="shared" si="1"/>
        <v>14.950081022006978</v>
      </c>
      <c r="K28" s="96"/>
      <c r="L28" s="9" t="e">
        <f t="shared" si="2"/>
        <v>#DIV/0!</v>
      </c>
      <c r="M28" s="9">
        <f t="shared" si="31"/>
        <v>0</v>
      </c>
      <c r="N28" s="9">
        <f t="shared" si="3"/>
        <v>0</v>
      </c>
      <c r="O28" s="96"/>
      <c r="P28" s="9" t="e">
        <f t="shared" si="4"/>
        <v>#DIV/0!</v>
      </c>
      <c r="Q28" s="9">
        <f t="shared" si="32"/>
        <v>0</v>
      </c>
      <c r="R28" s="9">
        <f t="shared" si="5"/>
        <v>0</v>
      </c>
      <c r="S28" s="9">
        <f t="shared" si="33"/>
        <v>0</v>
      </c>
      <c r="T28" s="9" t="e">
        <f t="shared" si="6"/>
        <v>#DIV/0!</v>
      </c>
      <c r="U28" s="9">
        <f t="shared" si="34"/>
        <v>65375</v>
      </c>
      <c r="V28" s="9">
        <f t="shared" si="7"/>
        <v>14.950081022006978</v>
      </c>
      <c r="W28" s="96"/>
      <c r="X28" s="9"/>
      <c r="Y28" s="9"/>
      <c r="Z28" s="9"/>
      <c r="AA28" s="96"/>
      <c r="AB28" s="9" t="e">
        <f t="shared" si="8"/>
        <v>#DIV/0!</v>
      </c>
      <c r="AC28" s="9">
        <f t="shared" si="35"/>
        <v>0</v>
      </c>
      <c r="AD28" s="9">
        <f t="shared" si="9"/>
        <v>0</v>
      </c>
      <c r="AE28" s="96"/>
      <c r="AF28" s="9" t="e">
        <f t="shared" si="10"/>
        <v>#DIV/0!</v>
      </c>
      <c r="AG28" s="9">
        <f t="shared" si="36"/>
        <v>0</v>
      </c>
      <c r="AH28" s="9">
        <f t="shared" si="11"/>
        <v>0</v>
      </c>
      <c r="AI28" s="96"/>
      <c r="AJ28" s="9" t="e">
        <f t="shared" si="12"/>
        <v>#DIV/0!</v>
      </c>
      <c r="AK28" s="9">
        <f t="shared" si="37"/>
        <v>0</v>
      </c>
      <c r="AL28" s="9">
        <f t="shared" si="13"/>
        <v>0</v>
      </c>
      <c r="AM28" s="9">
        <f t="shared" si="38"/>
        <v>0</v>
      </c>
      <c r="AN28" s="9" t="e">
        <f t="shared" si="14"/>
        <v>#DIV/0!</v>
      </c>
      <c r="AO28" s="9">
        <f t="shared" si="39"/>
        <v>0</v>
      </c>
      <c r="AP28" s="9">
        <f t="shared" si="15"/>
        <v>0</v>
      </c>
      <c r="AQ28" s="96"/>
      <c r="AR28" s="9" t="e">
        <f t="shared" si="16"/>
        <v>#DIV/0!</v>
      </c>
      <c r="AS28" s="9">
        <f t="shared" si="40"/>
        <v>371913.6</v>
      </c>
      <c r="AT28" s="9">
        <f t="shared" si="17"/>
        <v>85.049918977993016</v>
      </c>
      <c r="AU28" s="96"/>
      <c r="AV28" s="9" t="e">
        <f t="shared" si="18"/>
        <v>#DIV/0!</v>
      </c>
      <c r="AW28" s="9">
        <f t="shared" si="41"/>
        <v>0</v>
      </c>
      <c r="AX28" s="9">
        <f t="shared" si="19"/>
        <v>0</v>
      </c>
      <c r="AY28" s="96"/>
      <c r="AZ28" s="14" t="e">
        <f t="shared" si="20"/>
        <v>#DIV/0!</v>
      </c>
      <c r="BA28" s="9">
        <f t="shared" si="42"/>
        <v>0</v>
      </c>
      <c r="BB28" s="9">
        <f t="shared" si="21"/>
        <v>0</v>
      </c>
      <c r="BC28" s="9">
        <f t="shared" si="43"/>
        <v>0</v>
      </c>
      <c r="BD28" s="9" t="e">
        <f t="shared" si="22"/>
        <v>#DIV/0!</v>
      </c>
      <c r="BE28" s="9">
        <f t="shared" si="44"/>
        <v>371913.6</v>
      </c>
      <c r="BF28" s="9">
        <f t="shared" si="23"/>
        <v>85.049918977993016</v>
      </c>
      <c r="BG28" s="96"/>
      <c r="BH28" s="9" t="e">
        <f t="shared" si="24"/>
        <v>#DIV/0!</v>
      </c>
      <c r="BI28" s="9">
        <f t="shared" si="45"/>
        <v>0</v>
      </c>
      <c r="BJ28" s="9">
        <f t="shared" si="25"/>
        <v>0</v>
      </c>
      <c r="BK28" s="9">
        <f t="shared" si="26"/>
        <v>0</v>
      </c>
      <c r="BL28" s="9">
        <f t="shared" si="46"/>
        <v>437288.6</v>
      </c>
      <c r="BM28" s="512" t="e">
        <f t="shared" si="27"/>
        <v>#DIV/0!</v>
      </c>
      <c r="BN28" s="9">
        <f t="shared" si="28"/>
        <v>1.0570901583863546</v>
      </c>
      <c r="BV28" s="13"/>
    </row>
    <row r="29" spans="1:75">
      <c r="A29" s="15">
        <f>+Chem!A28</f>
        <v>45920</v>
      </c>
      <c r="B29" s="5" t="str">
        <f>+Chem!B28</f>
        <v>STOP</v>
      </c>
      <c r="C29" s="15" t="str">
        <f>+Chem!C28</f>
        <v>12</v>
      </c>
      <c r="D29" s="7">
        <f>+Chem!D28</f>
        <v>0</v>
      </c>
      <c r="E29" s="6">
        <f>+Chem!E28</f>
        <v>0</v>
      </c>
      <c r="F29" s="6">
        <f t="shared" si="29"/>
        <v>413.67199999999991</v>
      </c>
      <c r="G29" s="96"/>
      <c r="H29" s="9" t="e">
        <f t="shared" si="0"/>
        <v>#DIV/0!</v>
      </c>
      <c r="I29" s="7">
        <f t="shared" si="30"/>
        <v>65375</v>
      </c>
      <c r="J29" s="9">
        <f t="shared" si="1"/>
        <v>14.950081022006978</v>
      </c>
      <c r="K29" s="96"/>
      <c r="L29" s="9" t="e">
        <f t="shared" si="2"/>
        <v>#DIV/0!</v>
      </c>
      <c r="M29" s="9">
        <f t="shared" si="31"/>
        <v>0</v>
      </c>
      <c r="N29" s="9">
        <f t="shared" si="3"/>
        <v>0</v>
      </c>
      <c r="O29" s="96"/>
      <c r="P29" s="9" t="e">
        <f t="shared" si="4"/>
        <v>#DIV/0!</v>
      </c>
      <c r="Q29" s="9">
        <f t="shared" si="32"/>
        <v>0</v>
      </c>
      <c r="R29" s="9">
        <f t="shared" si="5"/>
        <v>0</v>
      </c>
      <c r="S29" s="9">
        <f t="shared" si="33"/>
        <v>0</v>
      </c>
      <c r="T29" s="9" t="e">
        <f t="shared" si="6"/>
        <v>#DIV/0!</v>
      </c>
      <c r="U29" s="9">
        <f t="shared" si="34"/>
        <v>65375</v>
      </c>
      <c r="V29" s="9">
        <f t="shared" si="7"/>
        <v>14.950081022006978</v>
      </c>
      <c r="W29" s="96"/>
      <c r="X29" s="9"/>
      <c r="Y29" s="9"/>
      <c r="Z29" s="9"/>
      <c r="AA29" s="96"/>
      <c r="AB29" s="9" t="e">
        <f t="shared" si="8"/>
        <v>#DIV/0!</v>
      </c>
      <c r="AC29" s="9">
        <f t="shared" si="35"/>
        <v>0</v>
      </c>
      <c r="AD29" s="9">
        <f t="shared" si="9"/>
        <v>0</v>
      </c>
      <c r="AE29" s="96"/>
      <c r="AF29" s="9" t="e">
        <f t="shared" si="10"/>
        <v>#DIV/0!</v>
      </c>
      <c r="AG29" s="9">
        <f t="shared" si="36"/>
        <v>0</v>
      </c>
      <c r="AH29" s="9">
        <f t="shared" si="11"/>
        <v>0</v>
      </c>
      <c r="AI29" s="96"/>
      <c r="AJ29" s="9" t="e">
        <f t="shared" si="12"/>
        <v>#DIV/0!</v>
      </c>
      <c r="AK29" s="9">
        <f t="shared" si="37"/>
        <v>0</v>
      </c>
      <c r="AL29" s="9">
        <f t="shared" si="13"/>
        <v>0</v>
      </c>
      <c r="AM29" s="9">
        <f t="shared" si="38"/>
        <v>0</v>
      </c>
      <c r="AN29" s="9" t="e">
        <f t="shared" si="14"/>
        <v>#DIV/0!</v>
      </c>
      <c r="AO29" s="9">
        <f t="shared" si="39"/>
        <v>0</v>
      </c>
      <c r="AP29" s="9">
        <f t="shared" si="15"/>
        <v>0</v>
      </c>
      <c r="AQ29" s="96"/>
      <c r="AR29" s="9" t="e">
        <f t="shared" si="16"/>
        <v>#DIV/0!</v>
      </c>
      <c r="AS29" s="9">
        <f t="shared" si="40"/>
        <v>371913.6</v>
      </c>
      <c r="AT29" s="9">
        <f t="shared" si="17"/>
        <v>85.049918977993016</v>
      </c>
      <c r="AU29" s="96"/>
      <c r="AV29" s="9" t="e">
        <f t="shared" si="18"/>
        <v>#DIV/0!</v>
      </c>
      <c r="AW29" s="9">
        <f t="shared" si="41"/>
        <v>0</v>
      </c>
      <c r="AX29" s="9">
        <f t="shared" si="19"/>
        <v>0</v>
      </c>
      <c r="AY29" s="96"/>
      <c r="AZ29" s="14" t="e">
        <f t="shared" si="20"/>
        <v>#DIV/0!</v>
      </c>
      <c r="BA29" s="9">
        <f t="shared" si="42"/>
        <v>0</v>
      </c>
      <c r="BB29" s="9">
        <f t="shared" si="21"/>
        <v>0</v>
      </c>
      <c r="BC29" s="9">
        <f t="shared" si="43"/>
        <v>0</v>
      </c>
      <c r="BD29" s="9" t="e">
        <f t="shared" si="22"/>
        <v>#DIV/0!</v>
      </c>
      <c r="BE29" s="9">
        <f t="shared" si="44"/>
        <v>371913.6</v>
      </c>
      <c r="BF29" s="9">
        <f t="shared" si="23"/>
        <v>85.049918977993016</v>
      </c>
      <c r="BG29" s="96"/>
      <c r="BH29" s="9" t="e">
        <f t="shared" si="24"/>
        <v>#DIV/0!</v>
      </c>
      <c r="BI29" s="9">
        <f t="shared" si="45"/>
        <v>0</v>
      </c>
      <c r="BJ29" s="9">
        <f t="shared" si="25"/>
        <v>0</v>
      </c>
      <c r="BK29" s="9">
        <f t="shared" si="26"/>
        <v>0</v>
      </c>
      <c r="BL29" s="9">
        <f t="shared" si="46"/>
        <v>437288.6</v>
      </c>
      <c r="BM29" s="512" t="e">
        <f t="shared" si="27"/>
        <v>#DIV/0!</v>
      </c>
      <c r="BN29" s="9">
        <f t="shared" si="28"/>
        <v>1.0570901583863546</v>
      </c>
      <c r="BV29" s="13"/>
    </row>
    <row r="30" spans="1:75">
      <c r="A30" s="15">
        <f>+Chem!A29</f>
        <v>45921</v>
      </c>
      <c r="B30" s="5" t="str">
        <f>+Chem!B29</f>
        <v>STOP</v>
      </c>
      <c r="C30" s="15" t="str">
        <f>+Chem!C29</f>
        <v>12</v>
      </c>
      <c r="D30" s="7">
        <f>+Chem!D29</f>
        <v>0</v>
      </c>
      <c r="E30" s="6">
        <f>+Chem!E29</f>
        <v>0</v>
      </c>
      <c r="F30" s="6">
        <f t="shared" si="29"/>
        <v>413.67199999999991</v>
      </c>
      <c r="G30" s="96"/>
      <c r="H30" s="9" t="e">
        <f t="shared" si="0"/>
        <v>#DIV/0!</v>
      </c>
      <c r="I30" s="7">
        <f t="shared" si="30"/>
        <v>65375</v>
      </c>
      <c r="J30" s="9">
        <f t="shared" si="1"/>
        <v>14.950081022006978</v>
      </c>
      <c r="K30" s="96"/>
      <c r="L30" s="9" t="e">
        <f t="shared" si="2"/>
        <v>#DIV/0!</v>
      </c>
      <c r="M30" s="9">
        <f t="shared" si="31"/>
        <v>0</v>
      </c>
      <c r="N30" s="9">
        <f t="shared" si="3"/>
        <v>0</v>
      </c>
      <c r="O30" s="96"/>
      <c r="P30" s="9" t="e">
        <f t="shared" si="4"/>
        <v>#DIV/0!</v>
      </c>
      <c r="Q30" s="9">
        <f t="shared" si="32"/>
        <v>0</v>
      </c>
      <c r="R30" s="9">
        <f t="shared" si="5"/>
        <v>0</v>
      </c>
      <c r="S30" s="9">
        <f t="shared" si="33"/>
        <v>0</v>
      </c>
      <c r="T30" s="9" t="e">
        <f t="shared" si="6"/>
        <v>#DIV/0!</v>
      </c>
      <c r="U30" s="9">
        <f t="shared" si="34"/>
        <v>65375</v>
      </c>
      <c r="V30" s="9">
        <f t="shared" si="7"/>
        <v>14.950081022006978</v>
      </c>
      <c r="W30" s="96"/>
      <c r="X30" s="9"/>
      <c r="Y30" s="9"/>
      <c r="Z30" s="9"/>
      <c r="AA30" s="96"/>
      <c r="AB30" s="9" t="e">
        <f t="shared" si="8"/>
        <v>#DIV/0!</v>
      </c>
      <c r="AC30" s="9">
        <f t="shared" si="35"/>
        <v>0</v>
      </c>
      <c r="AD30" s="9">
        <f t="shared" si="9"/>
        <v>0</v>
      </c>
      <c r="AE30" s="96"/>
      <c r="AF30" s="9" t="e">
        <f t="shared" si="10"/>
        <v>#DIV/0!</v>
      </c>
      <c r="AG30" s="9">
        <f t="shared" si="36"/>
        <v>0</v>
      </c>
      <c r="AH30" s="9">
        <f t="shared" si="11"/>
        <v>0</v>
      </c>
      <c r="AI30" s="96"/>
      <c r="AJ30" s="9" t="e">
        <f t="shared" si="12"/>
        <v>#DIV/0!</v>
      </c>
      <c r="AK30" s="9">
        <f t="shared" si="37"/>
        <v>0</v>
      </c>
      <c r="AL30" s="9">
        <f t="shared" si="13"/>
        <v>0</v>
      </c>
      <c r="AM30" s="9">
        <f t="shared" si="38"/>
        <v>0</v>
      </c>
      <c r="AN30" s="9" t="e">
        <f t="shared" si="14"/>
        <v>#DIV/0!</v>
      </c>
      <c r="AO30" s="9">
        <f t="shared" si="39"/>
        <v>0</v>
      </c>
      <c r="AP30" s="9">
        <f t="shared" si="15"/>
        <v>0</v>
      </c>
      <c r="AQ30" s="96"/>
      <c r="AR30" s="9" t="e">
        <f t="shared" si="16"/>
        <v>#DIV/0!</v>
      </c>
      <c r="AS30" s="9">
        <f t="shared" si="40"/>
        <v>371913.6</v>
      </c>
      <c r="AT30" s="9">
        <f t="shared" si="17"/>
        <v>85.049918977993016</v>
      </c>
      <c r="AU30" s="96"/>
      <c r="AV30" s="9" t="e">
        <f t="shared" si="18"/>
        <v>#DIV/0!</v>
      </c>
      <c r="AW30" s="9">
        <f t="shared" si="41"/>
        <v>0</v>
      </c>
      <c r="AX30" s="9">
        <f t="shared" si="19"/>
        <v>0</v>
      </c>
      <c r="AY30" s="96"/>
      <c r="AZ30" s="14" t="e">
        <f t="shared" si="20"/>
        <v>#DIV/0!</v>
      </c>
      <c r="BA30" s="9">
        <f t="shared" si="42"/>
        <v>0</v>
      </c>
      <c r="BB30" s="9">
        <f t="shared" si="21"/>
        <v>0</v>
      </c>
      <c r="BC30" s="9">
        <f t="shared" si="43"/>
        <v>0</v>
      </c>
      <c r="BD30" s="9" t="e">
        <f t="shared" si="22"/>
        <v>#DIV/0!</v>
      </c>
      <c r="BE30" s="9">
        <f t="shared" si="44"/>
        <v>371913.6</v>
      </c>
      <c r="BF30" s="9">
        <f t="shared" si="23"/>
        <v>85.049918977993016</v>
      </c>
      <c r="BG30" s="96"/>
      <c r="BH30" s="9" t="e">
        <f t="shared" si="24"/>
        <v>#DIV/0!</v>
      </c>
      <c r="BI30" s="9">
        <f t="shared" si="45"/>
        <v>0</v>
      </c>
      <c r="BJ30" s="9">
        <f t="shared" si="25"/>
        <v>0</v>
      </c>
      <c r="BK30" s="9">
        <f t="shared" si="26"/>
        <v>0</v>
      </c>
      <c r="BL30" s="9">
        <f t="shared" si="46"/>
        <v>437288.6</v>
      </c>
      <c r="BM30" s="512" t="e">
        <f t="shared" si="27"/>
        <v>#DIV/0!</v>
      </c>
      <c r="BN30" s="9">
        <f t="shared" si="28"/>
        <v>1.0570901583863546</v>
      </c>
    </row>
    <row r="31" spans="1:75">
      <c r="A31" s="15">
        <f>+Chem!A30</f>
        <v>45922</v>
      </c>
      <c r="B31" s="5" t="str">
        <f>+Chem!B30</f>
        <v>STOP</v>
      </c>
      <c r="C31" s="15" t="str">
        <f>+Chem!C30</f>
        <v>12</v>
      </c>
      <c r="D31" s="7">
        <f>+Chem!D30</f>
        <v>0</v>
      </c>
      <c r="E31" s="6">
        <f>+Chem!E30</f>
        <v>0</v>
      </c>
      <c r="F31" s="6">
        <f t="shared" si="29"/>
        <v>413.67199999999991</v>
      </c>
      <c r="G31" s="96"/>
      <c r="H31" s="9" t="e">
        <f t="shared" si="0"/>
        <v>#DIV/0!</v>
      </c>
      <c r="I31" s="7">
        <f t="shared" si="30"/>
        <v>65375</v>
      </c>
      <c r="J31" s="9">
        <f t="shared" si="1"/>
        <v>14.950081022006978</v>
      </c>
      <c r="K31" s="96"/>
      <c r="L31" s="9" t="e">
        <f t="shared" si="2"/>
        <v>#DIV/0!</v>
      </c>
      <c r="M31" s="9">
        <f t="shared" si="31"/>
        <v>0</v>
      </c>
      <c r="N31" s="9">
        <f t="shared" si="3"/>
        <v>0</v>
      </c>
      <c r="O31" s="96"/>
      <c r="P31" s="9" t="e">
        <f t="shared" si="4"/>
        <v>#DIV/0!</v>
      </c>
      <c r="Q31" s="9">
        <f t="shared" si="32"/>
        <v>0</v>
      </c>
      <c r="R31" s="9">
        <f t="shared" si="5"/>
        <v>0</v>
      </c>
      <c r="S31" s="9">
        <f t="shared" si="33"/>
        <v>0</v>
      </c>
      <c r="T31" s="9" t="e">
        <f t="shared" si="6"/>
        <v>#DIV/0!</v>
      </c>
      <c r="U31" s="9">
        <f t="shared" si="34"/>
        <v>65375</v>
      </c>
      <c r="V31" s="9">
        <f t="shared" si="7"/>
        <v>14.950081022006978</v>
      </c>
      <c r="W31" s="96"/>
      <c r="X31" s="9"/>
      <c r="Y31" s="9"/>
      <c r="Z31" s="9"/>
      <c r="AA31" s="96"/>
      <c r="AB31" s="9" t="e">
        <f t="shared" si="8"/>
        <v>#DIV/0!</v>
      </c>
      <c r="AC31" s="9">
        <f t="shared" si="35"/>
        <v>0</v>
      </c>
      <c r="AD31" s="9">
        <f t="shared" si="9"/>
        <v>0</v>
      </c>
      <c r="AE31" s="96"/>
      <c r="AF31" s="9" t="e">
        <f t="shared" si="10"/>
        <v>#DIV/0!</v>
      </c>
      <c r="AG31" s="9">
        <f t="shared" si="36"/>
        <v>0</v>
      </c>
      <c r="AH31" s="9">
        <f t="shared" si="11"/>
        <v>0</v>
      </c>
      <c r="AI31" s="96"/>
      <c r="AJ31" s="9" t="e">
        <f t="shared" si="12"/>
        <v>#DIV/0!</v>
      </c>
      <c r="AK31" s="9">
        <f t="shared" si="37"/>
        <v>0</v>
      </c>
      <c r="AL31" s="9">
        <f t="shared" si="13"/>
        <v>0</v>
      </c>
      <c r="AM31" s="9">
        <f t="shared" si="38"/>
        <v>0</v>
      </c>
      <c r="AN31" s="9" t="e">
        <f t="shared" si="14"/>
        <v>#DIV/0!</v>
      </c>
      <c r="AO31" s="9">
        <f t="shared" si="39"/>
        <v>0</v>
      </c>
      <c r="AP31" s="9">
        <f t="shared" si="15"/>
        <v>0</v>
      </c>
      <c r="AQ31" s="96"/>
      <c r="AR31" s="9" t="e">
        <f t="shared" si="16"/>
        <v>#DIV/0!</v>
      </c>
      <c r="AS31" s="9">
        <f t="shared" si="40"/>
        <v>371913.6</v>
      </c>
      <c r="AT31" s="9">
        <f t="shared" si="17"/>
        <v>85.049918977993016</v>
      </c>
      <c r="AU31" s="96"/>
      <c r="AV31" s="9" t="e">
        <f t="shared" si="18"/>
        <v>#DIV/0!</v>
      </c>
      <c r="AW31" s="9">
        <f t="shared" si="41"/>
        <v>0</v>
      </c>
      <c r="AX31" s="9">
        <f t="shared" si="19"/>
        <v>0</v>
      </c>
      <c r="AY31" s="96"/>
      <c r="AZ31" s="14" t="e">
        <f t="shared" si="20"/>
        <v>#DIV/0!</v>
      </c>
      <c r="BA31" s="9">
        <f t="shared" si="42"/>
        <v>0</v>
      </c>
      <c r="BB31" s="9">
        <f t="shared" si="21"/>
        <v>0</v>
      </c>
      <c r="BC31" s="9">
        <f t="shared" si="43"/>
        <v>0</v>
      </c>
      <c r="BD31" s="9" t="e">
        <f t="shared" si="22"/>
        <v>#DIV/0!</v>
      </c>
      <c r="BE31" s="9">
        <f t="shared" si="44"/>
        <v>371913.6</v>
      </c>
      <c r="BF31" s="9">
        <f t="shared" si="23"/>
        <v>85.049918977993016</v>
      </c>
      <c r="BG31" s="96"/>
      <c r="BH31" s="9" t="e">
        <f t="shared" si="24"/>
        <v>#DIV/0!</v>
      </c>
      <c r="BI31" s="9">
        <f t="shared" si="45"/>
        <v>0</v>
      </c>
      <c r="BJ31" s="9">
        <f t="shared" si="25"/>
        <v>0</v>
      </c>
      <c r="BK31" s="9">
        <f t="shared" si="26"/>
        <v>0</v>
      </c>
      <c r="BL31" s="9">
        <f t="shared" si="46"/>
        <v>437288.6</v>
      </c>
      <c r="BM31" s="512" t="e">
        <f t="shared" si="27"/>
        <v>#DIV/0!</v>
      </c>
      <c r="BN31" s="9">
        <f t="shared" si="28"/>
        <v>1.0570901583863546</v>
      </c>
    </row>
    <row r="32" spans="1:75">
      <c r="A32" s="15">
        <f>+Chem!A31</f>
        <v>45923</v>
      </c>
      <c r="B32" s="5" t="str">
        <f>+Chem!B31</f>
        <v>STOP</v>
      </c>
      <c r="C32" s="15" t="str">
        <f>+Chem!C31</f>
        <v>12</v>
      </c>
      <c r="D32" s="7">
        <f>+Chem!D31</f>
        <v>0</v>
      </c>
      <c r="E32" s="6">
        <f>+Chem!E31</f>
        <v>0</v>
      </c>
      <c r="F32" s="6">
        <f t="shared" si="29"/>
        <v>413.67199999999991</v>
      </c>
      <c r="G32" s="96"/>
      <c r="H32" s="9" t="e">
        <f t="shared" si="0"/>
        <v>#DIV/0!</v>
      </c>
      <c r="I32" s="7">
        <f t="shared" si="30"/>
        <v>65375</v>
      </c>
      <c r="J32" s="9">
        <f t="shared" si="1"/>
        <v>14.950081022006978</v>
      </c>
      <c r="K32" s="96"/>
      <c r="L32" s="9" t="e">
        <f t="shared" si="2"/>
        <v>#DIV/0!</v>
      </c>
      <c r="M32" s="9">
        <f t="shared" si="31"/>
        <v>0</v>
      </c>
      <c r="N32" s="9">
        <f t="shared" si="3"/>
        <v>0</v>
      </c>
      <c r="O32" s="96"/>
      <c r="P32" s="9" t="e">
        <f t="shared" si="4"/>
        <v>#DIV/0!</v>
      </c>
      <c r="Q32" s="9">
        <f t="shared" si="32"/>
        <v>0</v>
      </c>
      <c r="R32" s="9">
        <f t="shared" si="5"/>
        <v>0</v>
      </c>
      <c r="S32" s="9">
        <f t="shared" si="33"/>
        <v>0</v>
      </c>
      <c r="T32" s="9" t="e">
        <f t="shared" si="6"/>
        <v>#DIV/0!</v>
      </c>
      <c r="U32" s="9">
        <f t="shared" si="34"/>
        <v>65375</v>
      </c>
      <c r="V32" s="9">
        <f t="shared" si="7"/>
        <v>14.950081022006978</v>
      </c>
      <c r="W32" s="96"/>
      <c r="X32" s="9"/>
      <c r="Y32" s="9"/>
      <c r="Z32" s="9"/>
      <c r="AA32" s="96"/>
      <c r="AB32" s="9" t="e">
        <f t="shared" si="8"/>
        <v>#DIV/0!</v>
      </c>
      <c r="AC32" s="9">
        <f t="shared" si="35"/>
        <v>0</v>
      </c>
      <c r="AD32" s="9">
        <f t="shared" si="9"/>
        <v>0</v>
      </c>
      <c r="AE32" s="96"/>
      <c r="AF32" s="9" t="e">
        <f t="shared" si="10"/>
        <v>#DIV/0!</v>
      </c>
      <c r="AG32" s="9">
        <f t="shared" si="36"/>
        <v>0</v>
      </c>
      <c r="AH32" s="9">
        <f t="shared" si="11"/>
        <v>0</v>
      </c>
      <c r="AI32" s="96"/>
      <c r="AJ32" s="9" t="e">
        <f t="shared" si="12"/>
        <v>#DIV/0!</v>
      </c>
      <c r="AK32" s="9">
        <f t="shared" si="37"/>
        <v>0</v>
      </c>
      <c r="AL32" s="9">
        <f t="shared" si="13"/>
        <v>0</v>
      </c>
      <c r="AM32" s="9">
        <f t="shared" si="38"/>
        <v>0</v>
      </c>
      <c r="AN32" s="9" t="e">
        <f t="shared" si="14"/>
        <v>#DIV/0!</v>
      </c>
      <c r="AO32" s="9">
        <f t="shared" si="39"/>
        <v>0</v>
      </c>
      <c r="AP32" s="9">
        <f t="shared" si="15"/>
        <v>0</v>
      </c>
      <c r="AQ32" s="96"/>
      <c r="AR32" s="9" t="e">
        <f t="shared" si="16"/>
        <v>#DIV/0!</v>
      </c>
      <c r="AS32" s="9">
        <f t="shared" si="40"/>
        <v>371913.6</v>
      </c>
      <c r="AT32" s="9">
        <f t="shared" si="17"/>
        <v>85.049918977993016</v>
      </c>
      <c r="AU32" s="96"/>
      <c r="AV32" s="9" t="e">
        <f t="shared" si="18"/>
        <v>#DIV/0!</v>
      </c>
      <c r="AW32" s="9">
        <f t="shared" si="41"/>
        <v>0</v>
      </c>
      <c r="AX32" s="9">
        <f t="shared" si="19"/>
        <v>0</v>
      </c>
      <c r="AY32" s="96"/>
      <c r="AZ32" s="14" t="e">
        <f t="shared" si="20"/>
        <v>#DIV/0!</v>
      </c>
      <c r="BA32" s="9">
        <f t="shared" si="42"/>
        <v>0</v>
      </c>
      <c r="BB32" s="9">
        <f t="shared" si="21"/>
        <v>0</v>
      </c>
      <c r="BC32" s="9">
        <f t="shared" si="43"/>
        <v>0</v>
      </c>
      <c r="BD32" s="9" t="e">
        <f t="shared" si="22"/>
        <v>#DIV/0!</v>
      </c>
      <c r="BE32" s="9">
        <f t="shared" si="44"/>
        <v>371913.6</v>
      </c>
      <c r="BF32" s="9">
        <f t="shared" si="23"/>
        <v>85.049918977993016</v>
      </c>
      <c r="BG32" s="96"/>
      <c r="BH32" s="9" t="e">
        <f t="shared" si="24"/>
        <v>#DIV/0!</v>
      </c>
      <c r="BI32" s="9">
        <f t="shared" si="45"/>
        <v>0</v>
      </c>
      <c r="BJ32" s="9">
        <f t="shared" si="25"/>
        <v>0</v>
      </c>
      <c r="BK32" s="9">
        <f t="shared" si="26"/>
        <v>0</v>
      </c>
      <c r="BL32" s="9">
        <f t="shared" si="46"/>
        <v>437288.6</v>
      </c>
      <c r="BM32" s="512" t="e">
        <f t="shared" si="27"/>
        <v>#DIV/0!</v>
      </c>
      <c r="BN32" s="9">
        <f t="shared" si="28"/>
        <v>1.0570901583863546</v>
      </c>
    </row>
    <row r="33" spans="1:66">
      <c r="A33" s="15">
        <f>+Chem!A32</f>
        <v>45924</v>
      </c>
      <c r="B33" s="5" t="str">
        <f>+Chem!B32</f>
        <v>STOP</v>
      </c>
      <c r="C33" s="15" t="str">
        <f>+Chem!C32</f>
        <v>12</v>
      </c>
      <c r="D33" s="7">
        <f>+Chem!D32</f>
        <v>0</v>
      </c>
      <c r="E33" s="6">
        <f>+Chem!E32</f>
        <v>0</v>
      </c>
      <c r="F33" s="6">
        <f t="shared" si="29"/>
        <v>413.67199999999991</v>
      </c>
      <c r="G33" s="96"/>
      <c r="H33" s="9" t="e">
        <f t="shared" si="0"/>
        <v>#DIV/0!</v>
      </c>
      <c r="I33" s="7">
        <f t="shared" si="30"/>
        <v>65375</v>
      </c>
      <c r="J33" s="9">
        <f t="shared" si="1"/>
        <v>14.950081022006978</v>
      </c>
      <c r="K33" s="96"/>
      <c r="L33" s="9" t="e">
        <f t="shared" si="2"/>
        <v>#DIV/0!</v>
      </c>
      <c r="M33" s="9">
        <f t="shared" si="31"/>
        <v>0</v>
      </c>
      <c r="N33" s="9">
        <f t="shared" si="3"/>
        <v>0</v>
      </c>
      <c r="O33" s="96"/>
      <c r="P33" s="9" t="e">
        <f t="shared" si="4"/>
        <v>#DIV/0!</v>
      </c>
      <c r="Q33" s="9">
        <f t="shared" si="32"/>
        <v>0</v>
      </c>
      <c r="R33" s="9">
        <f t="shared" si="5"/>
        <v>0</v>
      </c>
      <c r="S33" s="9">
        <f t="shared" si="33"/>
        <v>0</v>
      </c>
      <c r="T33" s="9" t="e">
        <f t="shared" si="6"/>
        <v>#DIV/0!</v>
      </c>
      <c r="U33" s="9">
        <f t="shared" si="34"/>
        <v>65375</v>
      </c>
      <c r="V33" s="9">
        <f t="shared" si="7"/>
        <v>14.950081022006978</v>
      </c>
      <c r="W33" s="96"/>
      <c r="X33" s="9"/>
      <c r="Y33" s="9"/>
      <c r="Z33" s="9"/>
      <c r="AA33" s="96"/>
      <c r="AB33" s="9" t="e">
        <f t="shared" si="8"/>
        <v>#DIV/0!</v>
      </c>
      <c r="AC33" s="9">
        <f>AA33+AC32</f>
        <v>0</v>
      </c>
      <c r="AD33" s="9">
        <f t="shared" si="9"/>
        <v>0</v>
      </c>
      <c r="AE33" s="96"/>
      <c r="AF33" s="9" t="e">
        <f t="shared" si="10"/>
        <v>#DIV/0!</v>
      </c>
      <c r="AG33" s="9">
        <f t="shared" si="36"/>
        <v>0</v>
      </c>
      <c r="AH33" s="9">
        <f t="shared" si="11"/>
        <v>0</v>
      </c>
      <c r="AI33" s="96"/>
      <c r="AJ33" s="9" t="e">
        <f t="shared" si="12"/>
        <v>#DIV/0!</v>
      </c>
      <c r="AK33" s="9">
        <f t="shared" si="37"/>
        <v>0</v>
      </c>
      <c r="AL33" s="9">
        <f t="shared" si="13"/>
        <v>0</v>
      </c>
      <c r="AM33" s="9">
        <f t="shared" si="38"/>
        <v>0</v>
      </c>
      <c r="AN33" s="9" t="e">
        <f t="shared" si="14"/>
        <v>#DIV/0!</v>
      </c>
      <c r="AO33" s="9">
        <f t="shared" si="39"/>
        <v>0</v>
      </c>
      <c r="AP33" s="9">
        <f t="shared" si="15"/>
        <v>0</v>
      </c>
      <c r="AQ33" s="96"/>
      <c r="AR33" s="9" t="e">
        <f t="shared" si="16"/>
        <v>#DIV/0!</v>
      </c>
      <c r="AS33" s="9">
        <f t="shared" si="40"/>
        <v>371913.6</v>
      </c>
      <c r="AT33" s="9">
        <f t="shared" si="17"/>
        <v>85.049918977993016</v>
      </c>
      <c r="AU33" s="96"/>
      <c r="AV33" s="9" t="e">
        <f t="shared" si="18"/>
        <v>#DIV/0!</v>
      </c>
      <c r="AW33" s="9">
        <f t="shared" si="41"/>
        <v>0</v>
      </c>
      <c r="AX33" s="9">
        <f t="shared" si="19"/>
        <v>0</v>
      </c>
      <c r="AY33" s="96"/>
      <c r="AZ33" s="14" t="e">
        <f t="shared" si="20"/>
        <v>#DIV/0!</v>
      </c>
      <c r="BA33" s="9">
        <f t="shared" si="42"/>
        <v>0</v>
      </c>
      <c r="BB33" s="9">
        <f t="shared" si="21"/>
        <v>0</v>
      </c>
      <c r="BC33" s="9">
        <f t="shared" si="43"/>
        <v>0</v>
      </c>
      <c r="BD33" s="9" t="e">
        <f t="shared" si="22"/>
        <v>#DIV/0!</v>
      </c>
      <c r="BE33" s="9">
        <f t="shared" si="44"/>
        <v>371913.6</v>
      </c>
      <c r="BF33" s="9">
        <f t="shared" si="23"/>
        <v>85.049918977993016</v>
      </c>
      <c r="BG33" s="96"/>
      <c r="BH33" s="9" t="e">
        <f t="shared" si="24"/>
        <v>#DIV/0!</v>
      </c>
      <c r="BI33" s="9">
        <f t="shared" si="45"/>
        <v>0</v>
      </c>
      <c r="BJ33" s="9">
        <f t="shared" si="25"/>
        <v>0</v>
      </c>
      <c r="BK33" s="9">
        <f t="shared" si="26"/>
        <v>0</v>
      </c>
      <c r="BL33" s="9">
        <f t="shared" si="46"/>
        <v>437288.6</v>
      </c>
      <c r="BM33" s="512" t="e">
        <f t="shared" si="27"/>
        <v>#DIV/0!</v>
      </c>
      <c r="BN33" s="9">
        <f t="shared" si="28"/>
        <v>1.0570901583863546</v>
      </c>
    </row>
    <row r="34" spans="1:66">
      <c r="A34" s="15">
        <f>+Chem!A33</f>
        <v>45925</v>
      </c>
      <c r="B34" s="5" t="str">
        <f>+Chem!B33</f>
        <v>STOP</v>
      </c>
      <c r="C34" s="15" t="str">
        <f>+Chem!C33</f>
        <v>12</v>
      </c>
      <c r="D34" s="7">
        <f>+Chem!D33</f>
        <v>0</v>
      </c>
      <c r="E34" s="6">
        <f>+Chem!E33</f>
        <v>0</v>
      </c>
      <c r="F34" s="6">
        <f t="shared" si="29"/>
        <v>413.67199999999991</v>
      </c>
      <c r="G34" s="96"/>
      <c r="H34" s="9" t="e">
        <f t="shared" si="0"/>
        <v>#DIV/0!</v>
      </c>
      <c r="I34" s="7">
        <f t="shared" si="30"/>
        <v>65375</v>
      </c>
      <c r="J34" s="9">
        <f t="shared" si="1"/>
        <v>14.950081022006978</v>
      </c>
      <c r="K34" s="96"/>
      <c r="L34" s="9" t="e">
        <f t="shared" si="2"/>
        <v>#DIV/0!</v>
      </c>
      <c r="M34" s="9">
        <f t="shared" si="31"/>
        <v>0</v>
      </c>
      <c r="N34" s="9">
        <f t="shared" si="3"/>
        <v>0</v>
      </c>
      <c r="O34" s="96"/>
      <c r="P34" s="9" t="e">
        <f t="shared" si="4"/>
        <v>#DIV/0!</v>
      </c>
      <c r="Q34" s="9">
        <f t="shared" si="32"/>
        <v>0</v>
      </c>
      <c r="R34" s="9">
        <f t="shared" si="5"/>
        <v>0</v>
      </c>
      <c r="S34" s="9">
        <f t="shared" si="33"/>
        <v>0</v>
      </c>
      <c r="T34" s="9" t="e">
        <f t="shared" si="6"/>
        <v>#DIV/0!</v>
      </c>
      <c r="U34" s="9">
        <f t="shared" si="34"/>
        <v>65375</v>
      </c>
      <c r="V34" s="9">
        <f t="shared" si="7"/>
        <v>14.950081022006978</v>
      </c>
      <c r="W34" s="96"/>
      <c r="X34" s="9"/>
      <c r="Y34" s="9"/>
      <c r="Z34" s="9"/>
      <c r="AA34" s="96"/>
      <c r="AB34" s="9" t="e">
        <f t="shared" si="8"/>
        <v>#DIV/0!</v>
      </c>
      <c r="AC34" s="9">
        <f>AA34+AC33</f>
        <v>0</v>
      </c>
      <c r="AD34" s="9">
        <f t="shared" si="9"/>
        <v>0</v>
      </c>
      <c r="AE34" s="96"/>
      <c r="AF34" s="9" t="e">
        <f t="shared" si="10"/>
        <v>#DIV/0!</v>
      </c>
      <c r="AG34" s="9">
        <f t="shared" si="36"/>
        <v>0</v>
      </c>
      <c r="AH34" s="9">
        <f t="shared" si="11"/>
        <v>0</v>
      </c>
      <c r="AI34" s="96"/>
      <c r="AJ34" s="9" t="e">
        <f t="shared" si="12"/>
        <v>#DIV/0!</v>
      </c>
      <c r="AK34" s="9">
        <f t="shared" si="37"/>
        <v>0</v>
      </c>
      <c r="AL34" s="9">
        <f t="shared" si="13"/>
        <v>0</v>
      </c>
      <c r="AM34" s="9">
        <f t="shared" si="38"/>
        <v>0</v>
      </c>
      <c r="AN34" s="9" t="e">
        <f t="shared" si="14"/>
        <v>#DIV/0!</v>
      </c>
      <c r="AO34" s="9">
        <f t="shared" si="39"/>
        <v>0</v>
      </c>
      <c r="AP34" s="9">
        <f t="shared" si="15"/>
        <v>0</v>
      </c>
      <c r="AQ34" s="96"/>
      <c r="AR34" s="9" t="e">
        <f t="shared" si="16"/>
        <v>#DIV/0!</v>
      </c>
      <c r="AS34" s="9">
        <f t="shared" si="40"/>
        <v>371913.6</v>
      </c>
      <c r="AT34" s="9">
        <f t="shared" si="17"/>
        <v>85.049918977993016</v>
      </c>
      <c r="AU34" s="96"/>
      <c r="AV34" s="9" t="e">
        <f t="shared" si="18"/>
        <v>#DIV/0!</v>
      </c>
      <c r="AW34" s="9">
        <f t="shared" si="41"/>
        <v>0</v>
      </c>
      <c r="AX34" s="9">
        <f t="shared" si="19"/>
        <v>0</v>
      </c>
      <c r="AY34" s="96"/>
      <c r="AZ34" s="14" t="e">
        <f t="shared" si="20"/>
        <v>#DIV/0!</v>
      </c>
      <c r="BA34" s="9">
        <f t="shared" si="42"/>
        <v>0</v>
      </c>
      <c r="BB34" s="9">
        <f t="shared" si="21"/>
        <v>0</v>
      </c>
      <c r="BC34" s="9">
        <f t="shared" si="43"/>
        <v>0</v>
      </c>
      <c r="BD34" s="9" t="e">
        <f t="shared" si="22"/>
        <v>#DIV/0!</v>
      </c>
      <c r="BE34" s="9">
        <f t="shared" si="44"/>
        <v>371913.6</v>
      </c>
      <c r="BF34" s="9">
        <f t="shared" si="23"/>
        <v>85.049918977993016</v>
      </c>
      <c r="BG34" s="96"/>
      <c r="BH34" s="9" t="e">
        <f t="shared" si="24"/>
        <v>#DIV/0!</v>
      </c>
      <c r="BI34" s="9">
        <f t="shared" si="45"/>
        <v>0</v>
      </c>
      <c r="BJ34" s="9">
        <f t="shared" si="25"/>
        <v>0</v>
      </c>
      <c r="BK34" s="9">
        <f t="shared" si="26"/>
        <v>0</v>
      </c>
      <c r="BL34" s="9">
        <f t="shared" si="46"/>
        <v>437288.6</v>
      </c>
      <c r="BM34" s="512" t="e">
        <f t="shared" si="27"/>
        <v>#DIV/0!</v>
      </c>
      <c r="BN34" s="9">
        <f t="shared" si="28"/>
        <v>1.0570901583863546</v>
      </c>
    </row>
    <row r="35" spans="1:66">
      <c r="A35" s="15">
        <f>+Chem!A34</f>
        <v>45926</v>
      </c>
      <c r="B35" s="5" t="str">
        <f>+Chem!B34</f>
        <v>STOP</v>
      </c>
      <c r="C35" s="15" t="str">
        <f>+Chem!C34</f>
        <v>12</v>
      </c>
      <c r="D35" s="7">
        <f>+Chem!D34</f>
        <v>0</v>
      </c>
      <c r="E35" s="6">
        <f>+Chem!E34</f>
        <v>0</v>
      </c>
      <c r="F35" s="6">
        <f t="shared" si="29"/>
        <v>413.67199999999991</v>
      </c>
      <c r="G35" s="96"/>
      <c r="H35" s="9" t="e">
        <f t="shared" si="0"/>
        <v>#DIV/0!</v>
      </c>
      <c r="I35" s="7">
        <f t="shared" si="30"/>
        <v>65375</v>
      </c>
      <c r="J35" s="9">
        <f t="shared" si="1"/>
        <v>14.950081022006978</v>
      </c>
      <c r="K35" s="96"/>
      <c r="L35" s="9" t="e">
        <f t="shared" si="2"/>
        <v>#DIV/0!</v>
      </c>
      <c r="M35" s="9">
        <f t="shared" si="31"/>
        <v>0</v>
      </c>
      <c r="N35" s="9">
        <f t="shared" si="3"/>
        <v>0</v>
      </c>
      <c r="O35" s="96"/>
      <c r="P35" s="9" t="e">
        <f t="shared" si="4"/>
        <v>#DIV/0!</v>
      </c>
      <c r="Q35" s="9">
        <f t="shared" si="32"/>
        <v>0</v>
      </c>
      <c r="R35" s="9">
        <f t="shared" si="5"/>
        <v>0</v>
      </c>
      <c r="S35" s="9">
        <f t="shared" si="33"/>
        <v>0</v>
      </c>
      <c r="T35" s="9" t="e">
        <f t="shared" si="6"/>
        <v>#DIV/0!</v>
      </c>
      <c r="U35" s="9">
        <f t="shared" si="34"/>
        <v>65375</v>
      </c>
      <c r="V35" s="9">
        <f t="shared" si="7"/>
        <v>14.950081022006978</v>
      </c>
      <c r="W35" s="96"/>
      <c r="X35" s="9"/>
      <c r="Y35" s="9"/>
      <c r="Z35" s="9"/>
      <c r="AA35" s="96"/>
      <c r="AB35" s="9" t="e">
        <f t="shared" si="8"/>
        <v>#DIV/0!</v>
      </c>
      <c r="AC35" s="9">
        <f>AA35+AC34</f>
        <v>0</v>
      </c>
      <c r="AD35" s="9">
        <f t="shared" si="9"/>
        <v>0</v>
      </c>
      <c r="AE35" s="96"/>
      <c r="AF35" s="9" t="e">
        <f t="shared" si="10"/>
        <v>#DIV/0!</v>
      </c>
      <c r="AG35" s="9">
        <f t="shared" si="36"/>
        <v>0</v>
      </c>
      <c r="AH35" s="9">
        <f t="shared" si="11"/>
        <v>0</v>
      </c>
      <c r="AI35" s="96"/>
      <c r="AJ35" s="9" t="e">
        <f t="shared" si="12"/>
        <v>#DIV/0!</v>
      </c>
      <c r="AK35" s="9">
        <f t="shared" si="37"/>
        <v>0</v>
      </c>
      <c r="AL35" s="9">
        <f t="shared" si="13"/>
        <v>0</v>
      </c>
      <c r="AM35" s="9">
        <f t="shared" si="38"/>
        <v>0</v>
      </c>
      <c r="AN35" s="9" t="e">
        <f t="shared" si="14"/>
        <v>#DIV/0!</v>
      </c>
      <c r="AO35" s="9">
        <f t="shared" si="39"/>
        <v>0</v>
      </c>
      <c r="AP35" s="9">
        <f t="shared" si="15"/>
        <v>0</v>
      </c>
      <c r="AQ35" s="96"/>
      <c r="AR35" s="9" t="e">
        <f t="shared" si="16"/>
        <v>#DIV/0!</v>
      </c>
      <c r="AS35" s="9">
        <f t="shared" si="40"/>
        <v>371913.6</v>
      </c>
      <c r="AT35" s="9">
        <f t="shared" si="17"/>
        <v>85.049918977993016</v>
      </c>
      <c r="AU35" s="96"/>
      <c r="AV35" s="9" t="e">
        <f t="shared" si="18"/>
        <v>#DIV/0!</v>
      </c>
      <c r="AW35" s="9">
        <f t="shared" si="41"/>
        <v>0</v>
      </c>
      <c r="AX35" s="9">
        <f t="shared" si="19"/>
        <v>0</v>
      </c>
      <c r="AY35" s="96"/>
      <c r="AZ35" s="14" t="e">
        <f t="shared" si="20"/>
        <v>#DIV/0!</v>
      </c>
      <c r="BA35" s="9">
        <f t="shared" si="42"/>
        <v>0</v>
      </c>
      <c r="BB35" s="9">
        <f t="shared" si="21"/>
        <v>0</v>
      </c>
      <c r="BC35" s="9">
        <f t="shared" si="43"/>
        <v>0</v>
      </c>
      <c r="BD35" s="9" t="e">
        <f t="shared" si="22"/>
        <v>#DIV/0!</v>
      </c>
      <c r="BE35" s="9">
        <f t="shared" si="44"/>
        <v>371913.6</v>
      </c>
      <c r="BF35" s="9">
        <f t="shared" si="23"/>
        <v>85.049918977993016</v>
      </c>
      <c r="BG35" s="96"/>
      <c r="BH35" s="9" t="e">
        <f t="shared" si="24"/>
        <v>#DIV/0!</v>
      </c>
      <c r="BI35" s="9">
        <f t="shared" si="45"/>
        <v>0</v>
      </c>
      <c r="BJ35" s="9">
        <f t="shared" si="25"/>
        <v>0</v>
      </c>
      <c r="BK35" s="9">
        <f t="shared" si="26"/>
        <v>0</v>
      </c>
      <c r="BL35" s="9">
        <f t="shared" si="46"/>
        <v>437288.6</v>
      </c>
      <c r="BM35" s="512" t="e">
        <f t="shared" si="27"/>
        <v>#DIV/0!</v>
      </c>
      <c r="BN35" s="9">
        <f t="shared" si="28"/>
        <v>1.0570901583863546</v>
      </c>
    </row>
    <row r="36" spans="1:66">
      <c r="A36" s="15">
        <f>+Chem!A35</f>
        <v>45927</v>
      </c>
      <c r="B36" s="5" t="str">
        <f>+Chem!B35</f>
        <v>STOP</v>
      </c>
      <c r="C36" s="15" t="str">
        <f>+Chem!C35</f>
        <v>12</v>
      </c>
      <c r="D36" s="7">
        <f>+Chem!D35</f>
        <v>0</v>
      </c>
      <c r="E36" s="6">
        <f>+Chem!E35</f>
        <v>0</v>
      </c>
      <c r="F36" s="6">
        <f t="shared" si="29"/>
        <v>413.67199999999991</v>
      </c>
      <c r="G36" s="96"/>
      <c r="H36" s="9" t="e">
        <f t="shared" si="0"/>
        <v>#DIV/0!</v>
      </c>
      <c r="I36" s="7">
        <f t="shared" si="30"/>
        <v>65375</v>
      </c>
      <c r="J36" s="9">
        <f t="shared" si="1"/>
        <v>14.950081022006978</v>
      </c>
      <c r="K36" s="96"/>
      <c r="L36" s="9" t="e">
        <f t="shared" si="2"/>
        <v>#DIV/0!</v>
      </c>
      <c r="M36" s="9">
        <f t="shared" si="31"/>
        <v>0</v>
      </c>
      <c r="N36" s="9">
        <f t="shared" si="3"/>
        <v>0</v>
      </c>
      <c r="O36" s="96"/>
      <c r="P36" s="9" t="e">
        <f t="shared" si="4"/>
        <v>#DIV/0!</v>
      </c>
      <c r="Q36" s="9">
        <f t="shared" si="32"/>
        <v>0</v>
      </c>
      <c r="R36" s="9">
        <f t="shared" si="5"/>
        <v>0</v>
      </c>
      <c r="S36" s="9">
        <f t="shared" si="33"/>
        <v>0</v>
      </c>
      <c r="T36" s="9" t="e">
        <f t="shared" si="6"/>
        <v>#DIV/0!</v>
      </c>
      <c r="U36" s="9">
        <f t="shared" si="34"/>
        <v>65375</v>
      </c>
      <c r="V36" s="9">
        <f t="shared" si="7"/>
        <v>14.950081022006978</v>
      </c>
      <c r="W36" s="96"/>
      <c r="X36" s="9"/>
      <c r="Y36" s="9"/>
      <c r="Z36" s="9"/>
      <c r="AA36" s="96"/>
      <c r="AB36" s="9" t="e">
        <f t="shared" si="8"/>
        <v>#DIV/0!</v>
      </c>
      <c r="AC36" s="9">
        <f t="shared" si="35"/>
        <v>0</v>
      </c>
      <c r="AD36" s="9">
        <f t="shared" si="9"/>
        <v>0</v>
      </c>
      <c r="AE36" s="96"/>
      <c r="AF36" s="9" t="e">
        <f t="shared" si="10"/>
        <v>#DIV/0!</v>
      </c>
      <c r="AG36" s="9">
        <f t="shared" si="36"/>
        <v>0</v>
      </c>
      <c r="AH36" s="9">
        <f t="shared" si="11"/>
        <v>0</v>
      </c>
      <c r="AI36" s="96"/>
      <c r="AJ36" s="9" t="e">
        <f t="shared" si="12"/>
        <v>#DIV/0!</v>
      </c>
      <c r="AK36" s="9">
        <f t="shared" si="37"/>
        <v>0</v>
      </c>
      <c r="AL36" s="9">
        <f t="shared" si="13"/>
        <v>0</v>
      </c>
      <c r="AM36" s="9">
        <f t="shared" si="38"/>
        <v>0</v>
      </c>
      <c r="AN36" s="9" t="e">
        <f t="shared" si="14"/>
        <v>#DIV/0!</v>
      </c>
      <c r="AO36" s="9">
        <f t="shared" si="39"/>
        <v>0</v>
      </c>
      <c r="AP36" s="9">
        <f t="shared" si="15"/>
        <v>0</v>
      </c>
      <c r="AQ36" s="96"/>
      <c r="AR36" s="9" t="e">
        <f t="shared" si="16"/>
        <v>#DIV/0!</v>
      </c>
      <c r="AS36" s="9">
        <f t="shared" si="40"/>
        <v>371913.6</v>
      </c>
      <c r="AT36" s="9">
        <f t="shared" si="17"/>
        <v>85.049918977993016</v>
      </c>
      <c r="AU36" s="96"/>
      <c r="AV36" s="9" t="e">
        <f t="shared" si="18"/>
        <v>#DIV/0!</v>
      </c>
      <c r="AW36" s="9">
        <f t="shared" si="41"/>
        <v>0</v>
      </c>
      <c r="AX36" s="9">
        <f t="shared" si="19"/>
        <v>0</v>
      </c>
      <c r="AY36" s="96"/>
      <c r="AZ36" s="14" t="e">
        <f t="shared" si="20"/>
        <v>#DIV/0!</v>
      </c>
      <c r="BA36" s="9">
        <f t="shared" si="42"/>
        <v>0</v>
      </c>
      <c r="BB36" s="9">
        <f t="shared" si="21"/>
        <v>0</v>
      </c>
      <c r="BC36" s="9">
        <f t="shared" si="43"/>
        <v>0</v>
      </c>
      <c r="BD36" s="9" t="e">
        <f t="shared" si="22"/>
        <v>#DIV/0!</v>
      </c>
      <c r="BE36" s="9">
        <f t="shared" si="44"/>
        <v>371913.6</v>
      </c>
      <c r="BF36" s="9">
        <f t="shared" si="23"/>
        <v>85.049918977993016</v>
      </c>
      <c r="BG36" s="96"/>
      <c r="BH36" s="9" t="e">
        <f t="shared" si="24"/>
        <v>#DIV/0!</v>
      </c>
      <c r="BI36" s="9">
        <f t="shared" si="45"/>
        <v>0</v>
      </c>
      <c r="BJ36" s="9">
        <f t="shared" si="25"/>
        <v>0</v>
      </c>
      <c r="BK36" s="9">
        <f t="shared" si="26"/>
        <v>0</v>
      </c>
      <c r="BL36" s="9">
        <f t="shared" si="46"/>
        <v>437288.6</v>
      </c>
      <c r="BM36" s="512" t="e">
        <f t="shared" si="27"/>
        <v>#DIV/0!</v>
      </c>
      <c r="BN36" s="9">
        <f t="shared" si="28"/>
        <v>1.0570901583863546</v>
      </c>
    </row>
    <row r="37" spans="1:66">
      <c r="A37" s="15">
        <f>+Chem!A36</f>
        <v>45928</v>
      </c>
      <c r="B37" s="5" t="str">
        <f>+Chem!B36</f>
        <v>STOP</v>
      </c>
      <c r="C37" s="15" t="str">
        <f>+Chem!C36</f>
        <v>12</v>
      </c>
      <c r="D37" s="7">
        <f>+Chem!D36</f>
        <v>0</v>
      </c>
      <c r="E37" s="6">
        <f>+Chem!E36</f>
        <v>0</v>
      </c>
      <c r="F37" s="6">
        <f t="shared" si="29"/>
        <v>413.67199999999991</v>
      </c>
      <c r="G37" s="96"/>
      <c r="H37" s="9" t="e">
        <f t="shared" si="0"/>
        <v>#DIV/0!</v>
      </c>
      <c r="I37" s="7">
        <f t="shared" si="30"/>
        <v>65375</v>
      </c>
      <c r="J37" s="9">
        <f t="shared" si="1"/>
        <v>14.950081022006978</v>
      </c>
      <c r="K37" s="96"/>
      <c r="L37" s="9" t="e">
        <f t="shared" si="2"/>
        <v>#DIV/0!</v>
      </c>
      <c r="M37" s="9">
        <f t="shared" si="31"/>
        <v>0</v>
      </c>
      <c r="N37" s="9">
        <f t="shared" si="3"/>
        <v>0</v>
      </c>
      <c r="O37" s="96"/>
      <c r="P37" s="9" t="e">
        <f t="shared" si="4"/>
        <v>#DIV/0!</v>
      </c>
      <c r="Q37" s="9">
        <f t="shared" si="32"/>
        <v>0</v>
      </c>
      <c r="R37" s="9">
        <f t="shared" si="5"/>
        <v>0</v>
      </c>
      <c r="S37" s="9">
        <f t="shared" si="33"/>
        <v>0</v>
      </c>
      <c r="T37" s="9" t="e">
        <f t="shared" si="6"/>
        <v>#DIV/0!</v>
      </c>
      <c r="U37" s="9">
        <f t="shared" si="34"/>
        <v>65375</v>
      </c>
      <c r="V37" s="9">
        <f t="shared" si="7"/>
        <v>14.950081022006978</v>
      </c>
      <c r="W37" s="96"/>
      <c r="X37" s="9"/>
      <c r="Y37" s="9"/>
      <c r="Z37" s="9"/>
      <c r="AA37" s="96"/>
      <c r="AB37" s="9" t="e">
        <f t="shared" si="8"/>
        <v>#DIV/0!</v>
      </c>
      <c r="AC37" s="9">
        <f t="shared" si="35"/>
        <v>0</v>
      </c>
      <c r="AD37" s="9">
        <f t="shared" si="9"/>
        <v>0</v>
      </c>
      <c r="AE37" s="96"/>
      <c r="AF37" s="9" t="e">
        <f t="shared" si="10"/>
        <v>#DIV/0!</v>
      </c>
      <c r="AG37" s="9">
        <f t="shared" si="36"/>
        <v>0</v>
      </c>
      <c r="AH37" s="9">
        <f t="shared" si="11"/>
        <v>0</v>
      </c>
      <c r="AI37" s="96"/>
      <c r="AJ37" s="9" t="e">
        <f t="shared" si="12"/>
        <v>#DIV/0!</v>
      </c>
      <c r="AK37" s="9">
        <f t="shared" si="37"/>
        <v>0</v>
      </c>
      <c r="AL37" s="9">
        <f t="shared" si="13"/>
        <v>0</v>
      </c>
      <c r="AM37" s="9">
        <f t="shared" si="38"/>
        <v>0</v>
      </c>
      <c r="AN37" s="9" t="e">
        <f t="shared" si="14"/>
        <v>#DIV/0!</v>
      </c>
      <c r="AO37" s="9">
        <f t="shared" si="39"/>
        <v>0</v>
      </c>
      <c r="AP37" s="9">
        <f t="shared" si="15"/>
        <v>0</v>
      </c>
      <c r="AQ37" s="96"/>
      <c r="AR37" s="9" t="e">
        <f t="shared" si="16"/>
        <v>#DIV/0!</v>
      </c>
      <c r="AS37" s="9">
        <f t="shared" si="40"/>
        <v>371913.6</v>
      </c>
      <c r="AT37" s="9">
        <f t="shared" si="17"/>
        <v>85.049918977993016</v>
      </c>
      <c r="AU37" s="96"/>
      <c r="AV37" s="9" t="e">
        <f t="shared" si="18"/>
        <v>#DIV/0!</v>
      </c>
      <c r="AW37" s="9">
        <f t="shared" si="41"/>
        <v>0</v>
      </c>
      <c r="AX37" s="9">
        <f t="shared" si="19"/>
        <v>0</v>
      </c>
      <c r="AY37" s="96"/>
      <c r="AZ37" s="14" t="e">
        <f t="shared" si="20"/>
        <v>#DIV/0!</v>
      </c>
      <c r="BA37" s="9">
        <f t="shared" si="42"/>
        <v>0</v>
      </c>
      <c r="BB37" s="9">
        <f t="shared" si="21"/>
        <v>0</v>
      </c>
      <c r="BC37" s="9">
        <f t="shared" si="43"/>
        <v>0</v>
      </c>
      <c r="BD37" s="9" t="e">
        <f t="shared" si="22"/>
        <v>#DIV/0!</v>
      </c>
      <c r="BE37" s="9">
        <f t="shared" si="44"/>
        <v>371913.6</v>
      </c>
      <c r="BF37" s="9">
        <f t="shared" si="23"/>
        <v>85.049918977993016</v>
      </c>
      <c r="BG37" s="96"/>
      <c r="BH37" s="9" t="e">
        <f t="shared" si="24"/>
        <v>#DIV/0!</v>
      </c>
      <c r="BI37" s="9">
        <f t="shared" si="45"/>
        <v>0</v>
      </c>
      <c r="BJ37" s="9">
        <f t="shared" si="25"/>
        <v>0</v>
      </c>
      <c r="BK37" s="9">
        <f t="shared" si="26"/>
        <v>0</v>
      </c>
      <c r="BL37" s="9">
        <f t="shared" si="46"/>
        <v>437288.6</v>
      </c>
      <c r="BM37" s="512" t="e">
        <f t="shared" si="27"/>
        <v>#DIV/0!</v>
      </c>
      <c r="BN37" s="9">
        <f t="shared" si="28"/>
        <v>1.0570901583863546</v>
      </c>
    </row>
    <row r="38" spans="1:66">
      <c r="A38" s="15">
        <f>+Chem!A37</f>
        <v>45929</v>
      </c>
      <c r="B38" s="5" t="str">
        <f>+Chem!B37</f>
        <v>STOP</v>
      </c>
      <c r="C38" s="15" t="str">
        <f>+Chem!C37</f>
        <v>12</v>
      </c>
      <c r="D38" s="7">
        <f>+Chem!D37</f>
        <v>0</v>
      </c>
      <c r="E38" s="6">
        <f>+Chem!E37</f>
        <v>0</v>
      </c>
      <c r="F38" s="6">
        <f t="shared" si="29"/>
        <v>413.67199999999991</v>
      </c>
      <c r="G38" s="96"/>
      <c r="H38" s="9" t="e">
        <f t="shared" si="0"/>
        <v>#DIV/0!</v>
      </c>
      <c r="I38" s="7">
        <f t="shared" si="30"/>
        <v>65375</v>
      </c>
      <c r="J38" s="9">
        <f t="shared" si="1"/>
        <v>14.950081022006978</v>
      </c>
      <c r="K38" s="96"/>
      <c r="L38" s="9" t="e">
        <f t="shared" si="2"/>
        <v>#DIV/0!</v>
      </c>
      <c r="M38" s="9">
        <f t="shared" si="31"/>
        <v>0</v>
      </c>
      <c r="N38" s="9">
        <f t="shared" si="3"/>
        <v>0</v>
      </c>
      <c r="O38" s="96"/>
      <c r="P38" s="9" t="e">
        <f t="shared" si="4"/>
        <v>#DIV/0!</v>
      </c>
      <c r="Q38" s="9">
        <f t="shared" si="32"/>
        <v>0</v>
      </c>
      <c r="R38" s="9">
        <f t="shared" si="5"/>
        <v>0</v>
      </c>
      <c r="S38" s="9">
        <f t="shared" si="33"/>
        <v>0</v>
      </c>
      <c r="T38" s="9" t="e">
        <f t="shared" si="6"/>
        <v>#DIV/0!</v>
      </c>
      <c r="U38" s="9">
        <f t="shared" si="34"/>
        <v>65375</v>
      </c>
      <c r="V38" s="9">
        <f t="shared" si="7"/>
        <v>14.950081022006978</v>
      </c>
      <c r="W38" s="96"/>
      <c r="X38" s="9"/>
      <c r="Y38" s="9"/>
      <c r="Z38" s="9"/>
      <c r="AA38" s="96"/>
      <c r="AB38" s="9" t="e">
        <f t="shared" si="8"/>
        <v>#DIV/0!</v>
      </c>
      <c r="AC38" s="9">
        <f t="shared" si="35"/>
        <v>0</v>
      </c>
      <c r="AD38" s="9">
        <f t="shared" si="9"/>
        <v>0</v>
      </c>
      <c r="AE38" s="96"/>
      <c r="AF38" s="9" t="e">
        <f t="shared" si="10"/>
        <v>#DIV/0!</v>
      </c>
      <c r="AG38" s="9">
        <f t="shared" si="36"/>
        <v>0</v>
      </c>
      <c r="AH38" s="9">
        <f t="shared" si="11"/>
        <v>0</v>
      </c>
      <c r="AI38" s="96"/>
      <c r="AJ38" s="9" t="e">
        <f t="shared" si="12"/>
        <v>#DIV/0!</v>
      </c>
      <c r="AK38" s="9">
        <f t="shared" si="37"/>
        <v>0</v>
      </c>
      <c r="AL38" s="9">
        <f t="shared" si="13"/>
        <v>0</v>
      </c>
      <c r="AM38" s="9">
        <f t="shared" si="38"/>
        <v>0</v>
      </c>
      <c r="AN38" s="9" t="e">
        <f t="shared" si="14"/>
        <v>#DIV/0!</v>
      </c>
      <c r="AO38" s="9">
        <f t="shared" si="39"/>
        <v>0</v>
      </c>
      <c r="AP38" s="9">
        <f t="shared" si="15"/>
        <v>0</v>
      </c>
      <c r="AQ38" s="96"/>
      <c r="AR38" s="9" t="e">
        <f t="shared" si="16"/>
        <v>#DIV/0!</v>
      </c>
      <c r="AS38" s="9">
        <f t="shared" si="40"/>
        <v>371913.6</v>
      </c>
      <c r="AT38" s="9">
        <f t="shared" si="17"/>
        <v>85.049918977993016</v>
      </c>
      <c r="AU38" s="96"/>
      <c r="AV38" s="9" t="e">
        <f t="shared" si="18"/>
        <v>#DIV/0!</v>
      </c>
      <c r="AW38" s="9">
        <f t="shared" si="41"/>
        <v>0</v>
      </c>
      <c r="AX38" s="9">
        <f t="shared" si="19"/>
        <v>0</v>
      </c>
      <c r="AY38" s="96"/>
      <c r="AZ38" s="14" t="e">
        <f t="shared" si="20"/>
        <v>#DIV/0!</v>
      </c>
      <c r="BA38" s="9">
        <f t="shared" si="42"/>
        <v>0</v>
      </c>
      <c r="BB38" s="9">
        <f t="shared" si="21"/>
        <v>0</v>
      </c>
      <c r="BC38" s="9">
        <f t="shared" si="43"/>
        <v>0</v>
      </c>
      <c r="BD38" s="9" t="e">
        <f t="shared" si="22"/>
        <v>#DIV/0!</v>
      </c>
      <c r="BE38" s="9">
        <f t="shared" si="44"/>
        <v>371913.6</v>
      </c>
      <c r="BF38" s="9">
        <f t="shared" si="23"/>
        <v>85.049918977993016</v>
      </c>
      <c r="BG38" s="96"/>
      <c r="BH38" s="9" t="e">
        <f t="shared" si="24"/>
        <v>#DIV/0!</v>
      </c>
      <c r="BI38" s="9">
        <f t="shared" si="45"/>
        <v>0</v>
      </c>
      <c r="BJ38" s="9">
        <f t="shared" si="25"/>
        <v>0</v>
      </c>
      <c r="BK38" s="9">
        <f t="shared" si="26"/>
        <v>0</v>
      </c>
      <c r="BL38" s="9">
        <f t="shared" si="46"/>
        <v>437288.6</v>
      </c>
      <c r="BM38" s="512" t="e">
        <f t="shared" si="27"/>
        <v>#DIV/0!</v>
      </c>
      <c r="BN38" s="9">
        <f t="shared" si="28"/>
        <v>1.0570901583863546</v>
      </c>
    </row>
    <row r="39" spans="1:66">
      <c r="A39" s="15">
        <f>+Chem!A38</f>
        <v>45930</v>
      </c>
      <c r="B39" s="5" t="str">
        <f>+Chem!B38</f>
        <v>STOP</v>
      </c>
      <c r="C39" s="15" t="str">
        <f>+Chem!C38</f>
        <v>12</v>
      </c>
      <c r="D39" s="7">
        <f>+Chem!D38</f>
        <v>0</v>
      </c>
      <c r="E39" s="6">
        <f>+Chem!E38</f>
        <v>0</v>
      </c>
      <c r="F39" s="6">
        <f t="shared" si="29"/>
        <v>413.67199999999991</v>
      </c>
      <c r="G39" s="96"/>
      <c r="H39" s="9" t="e">
        <f t="shared" si="0"/>
        <v>#DIV/0!</v>
      </c>
      <c r="I39" s="7">
        <f t="shared" si="30"/>
        <v>65375</v>
      </c>
      <c r="J39" s="9">
        <f t="shared" si="1"/>
        <v>14.950081022006978</v>
      </c>
      <c r="K39" s="96"/>
      <c r="L39" s="9" t="e">
        <f t="shared" si="2"/>
        <v>#DIV/0!</v>
      </c>
      <c r="M39" s="9">
        <f t="shared" si="31"/>
        <v>0</v>
      </c>
      <c r="N39" s="9">
        <f t="shared" si="3"/>
        <v>0</v>
      </c>
      <c r="O39" s="96"/>
      <c r="P39" s="9" t="e">
        <f t="shared" si="4"/>
        <v>#DIV/0!</v>
      </c>
      <c r="Q39" s="9">
        <f t="shared" si="32"/>
        <v>0</v>
      </c>
      <c r="R39" s="9">
        <f t="shared" si="5"/>
        <v>0</v>
      </c>
      <c r="S39" s="9">
        <f t="shared" si="33"/>
        <v>0</v>
      </c>
      <c r="T39" s="9" t="e">
        <f t="shared" si="6"/>
        <v>#DIV/0!</v>
      </c>
      <c r="U39" s="9">
        <f t="shared" si="34"/>
        <v>65375</v>
      </c>
      <c r="V39" s="9">
        <f t="shared" si="7"/>
        <v>14.950081022006978</v>
      </c>
      <c r="W39" s="96"/>
      <c r="X39" s="9"/>
      <c r="Y39" s="9"/>
      <c r="Z39" s="9"/>
      <c r="AA39" s="96"/>
      <c r="AB39" s="9" t="e">
        <f t="shared" si="8"/>
        <v>#DIV/0!</v>
      </c>
      <c r="AC39" s="9">
        <f t="shared" si="35"/>
        <v>0</v>
      </c>
      <c r="AD39" s="9">
        <f t="shared" si="9"/>
        <v>0</v>
      </c>
      <c r="AE39" s="96"/>
      <c r="AF39" s="9" t="e">
        <f t="shared" si="10"/>
        <v>#DIV/0!</v>
      </c>
      <c r="AG39" s="9">
        <f t="shared" si="36"/>
        <v>0</v>
      </c>
      <c r="AH39" s="9">
        <f t="shared" si="11"/>
        <v>0</v>
      </c>
      <c r="AI39" s="96"/>
      <c r="AJ39" s="9" t="e">
        <f t="shared" si="12"/>
        <v>#DIV/0!</v>
      </c>
      <c r="AK39" s="9">
        <f t="shared" si="37"/>
        <v>0</v>
      </c>
      <c r="AL39" s="9">
        <f t="shared" si="13"/>
        <v>0</v>
      </c>
      <c r="AM39" s="9">
        <f t="shared" si="38"/>
        <v>0</v>
      </c>
      <c r="AN39" s="9" t="e">
        <f t="shared" si="14"/>
        <v>#DIV/0!</v>
      </c>
      <c r="AO39" s="9">
        <f t="shared" si="39"/>
        <v>0</v>
      </c>
      <c r="AP39" s="9">
        <f t="shared" si="15"/>
        <v>0</v>
      </c>
      <c r="AQ39" s="96"/>
      <c r="AR39" s="9" t="e">
        <f t="shared" si="16"/>
        <v>#DIV/0!</v>
      </c>
      <c r="AS39" s="9">
        <f t="shared" si="40"/>
        <v>371913.6</v>
      </c>
      <c r="AT39" s="9">
        <f t="shared" si="17"/>
        <v>85.049918977993016</v>
      </c>
      <c r="AU39" s="96"/>
      <c r="AV39" s="9" t="e">
        <f t="shared" si="18"/>
        <v>#DIV/0!</v>
      </c>
      <c r="AW39" s="9">
        <f t="shared" si="41"/>
        <v>0</v>
      </c>
      <c r="AX39" s="9">
        <f t="shared" si="19"/>
        <v>0</v>
      </c>
      <c r="AY39" s="96"/>
      <c r="AZ39" s="14" t="e">
        <f t="shared" si="20"/>
        <v>#DIV/0!</v>
      </c>
      <c r="BA39" s="9">
        <f t="shared" si="42"/>
        <v>0</v>
      </c>
      <c r="BB39" s="9">
        <f t="shared" si="21"/>
        <v>0</v>
      </c>
      <c r="BC39" s="9">
        <f t="shared" si="43"/>
        <v>0</v>
      </c>
      <c r="BD39" s="9" t="e">
        <f t="shared" si="22"/>
        <v>#DIV/0!</v>
      </c>
      <c r="BE39" s="9">
        <f t="shared" si="44"/>
        <v>371913.6</v>
      </c>
      <c r="BF39" s="9">
        <f t="shared" si="23"/>
        <v>85.049918977993016</v>
      </c>
      <c r="BG39" s="96"/>
      <c r="BH39" s="9" t="e">
        <f t="shared" si="24"/>
        <v>#DIV/0!</v>
      </c>
      <c r="BI39" s="9">
        <f t="shared" si="45"/>
        <v>0</v>
      </c>
      <c r="BJ39" s="9">
        <f t="shared" si="25"/>
        <v>0</v>
      </c>
      <c r="BK39" s="9">
        <f t="shared" si="26"/>
        <v>0</v>
      </c>
      <c r="BL39" s="9">
        <f t="shared" si="46"/>
        <v>437288.6</v>
      </c>
      <c r="BM39" s="512" t="e">
        <f t="shared" si="27"/>
        <v>#DIV/0!</v>
      </c>
      <c r="BN39" s="9">
        <f t="shared" si="28"/>
        <v>1.0570901583863546</v>
      </c>
    </row>
    <row r="40" spans="1:66" hidden="1">
      <c r="A40" s="15">
        <f>+Chem!A39</f>
        <v>45931</v>
      </c>
      <c r="B40" s="5">
        <f>+Chem!B39</f>
        <v>0</v>
      </c>
      <c r="C40" s="15">
        <f>+Chem!C39</f>
        <v>0</v>
      </c>
      <c r="D40" s="7">
        <f>+Chem!D39</f>
        <v>0</v>
      </c>
      <c r="E40" s="6">
        <f>+Chem!E39</f>
        <v>0</v>
      </c>
      <c r="F40" s="6">
        <f>+E40+F39</f>
        <v>413.67199999999991</v>
      </c>
      <c r="G40" s="96"/>
      <c r="H40" s="9" t="e">
        <f t="shared" si="0"/>
        <v>#DIV/0!</v>
      </c>
      <c r="I40" s="7">
        <f>G40+I39</f>
        <v>65375</v>
      </c>
      <c r="J40" s="9">
        <f t="shared" si="1"/>
        <v>14.950081022006978</v>
      </c>
      <c r="K40" s="96"/>
      <c r="L40" s="9" t="e">
        <f t="shared" si="2"/>
        <v>#DIV/0!</v>
      </c>
      <c r="M40" s="9">
        <f>+K40+M39</f>
        <v>0</v>
      </c>
      <c r="N40" s="9">
        <f t="shared" si="3"/>
        <v>0</v>
      </c>
      <c r="O40" s="96"/>
      <c r="P40" s="9" t="e">
        <f t="shared" si="4"/>
        <v>#DIV/0!</v>
      </c>
      <c r="Q40" s="9">
        <f>+O40+Q39</f>
        <v>0</v>
      </c>
      <c r="R40" s="9">
        <f t="shared" si="5"/>
        <v>0</v>
      </c>
      <c r="S40" s="9">
        <f t="shared" si="33"/>
        <v>0</v>
      </c>
      <c r="T40" s="9" t="e">
        <f t="shared" si="6"/>
        <v>#DIV/0!</v>
      </c>
      <c r="U40" s="9">
        <f>S40+U39</f>
        <v>65375</v>
      </c>
      <c r="V40" s="9">
        <f t="shared" si="7"/>
        <v>14.950081022006978</v>
      </c>
      <c r="W40" s="96"/>
      <c r="X40" s="9"/>
      <c r="Y40" s="9"/>
      <c r="Z40" s="9"/>
      <c r="AA40" s="96"/>
      <c r="AB40" s="9" t="e">
        <f t="shared" si="8"/>
        <v>#DIV/0!</v>
      </c>
      <c r="AC40" s="9">
        <f>AA40+AC39</f>
        <v>0</v>
      </c>
      <c r="AD40" s="9">
        <f t="shared" si="9"/>
        <v>0</v>
      </c>
      <c r="AE40" s="96"/>
      <c r="AF40" s="9" t="e">
        <f t="shared" si="10"/>
        <v>#DIV/0!</v>
      </c>
      <c r="AG40" s="9">
        <f>AE40+AG39</f>
        <v>0</v>
      </c>
      <c r="AH40" s="9">
        <f t="shared" si="11"/>
        <v>0</v>
      </c>
      <c r="AI40" s="96"/>
      <c r="AJ40" s="9" t="e">
        <f t="shared" si="12"/>
        <v>#DIV/0!</v>
      </c>
      <c r="AK40" s="9">
        <f>AI40+AK39</f>
        <v>0</v>
      </c>
      <c r="AL40" s="9">
        <f t="shared" si="13"/>
        <v>0</v>
      </c>
      <c r="AM40" s="9">
        <f t="shared" si="38"/>
        <v>0</v>
      </c>
      <c r="AN40" s="9" t="e">
        <f>AM40/BK40*100</f>
        <v>#DIV/0!</v>
      </c>
      <c r="AO40" s="9">
        <f>AM40+AO39</f>
        <v>0</v>
      </c>
      <c r="AP40" s="9">
        <f>AO40/BL40*100</f>
        <v>0</v>
      </c>
      <c r="AQ40" s="96"/>
      <c r="AR40" s="9" t="e">
        <f>+AQ40/BK40*100</f>
        <v>#DIV/0!</v>
      </c>
      <c r="AS40" s="9">
        <f>+AQ40+AS39</f>
        <v>371913.6</v>
      </c>
      <c r="AT40" s="9">
        <f>+AS40/BL40*100</f>
        <v>85.049918977993016</v>
      </c>
      <c r="AU40" s="96"/>
      <c r="AV40" s="9" t="e">
        <f>AU40/BK40*100</f>
        <v>#DIV/0!</v>
      </c>
      <c r="AW40" s="9">
        <f>AU40+AW39</f>
        <v>0</v>
      </c>
      <c r="AX40" s="9">
        <f>AW40/BL40*100</f>
        <v>0</v>
      </c>
      <c r="AY40" s="96"/>
      <c r="AZ40" s="14" t="e">
        <f>AY40/BK40*100</f>
        <v>#DIV/0!</v>
      </c>
      <c r="BA40" s="9">
        <f>AY40+BA39</f>
        <v>0</v>
      </c>
      <c r="BB40" s="9">
        <f>BA40/BL40*100</f>
        <v>0</v>
      </c>
      <c r="BC40" s="9">
        <f>AQ40+AU40+AY40</f>
        <v>0</v>
      </c>
      <c r="BD40" s="9" t="e">
        <f>BC40/BK40*100</f>
        <v>#DIV/0!</v>
      </c>
      <c r="BE40" s="9">
        <f>BC40+BE39</f>
        <v>371913.6</v>
      </c>
      <c r="BF40" s="9">
        <f>BE40/BL40*100</f>
        <v>85.049918977993016</v>
      </c>
      <c r="BG40" s="96"/>
      <c r="BH40" s="9" t="e">
        <f>BG40/BK40*100</f>
        <v>#DIV/0!</v>
      </c>
      <c r="BI40" s="9">
        <f>BG40+BI39</f>
        <v>0</v>
      </c>
      <c r="BJ40" s="9">
        <f>BI40/BL40*100</f>
        <v>0</v>
      </c>
      <c r="BK40" s="9">
        <f t="shared" si="26"/>
        <v>0</v>
      </c>
      <c r="BL40" s="9">
        <f>BK40+BL39</f>
        <v>437288.6</v>
      </c>
      <c r="BM40" s="512" t="e">
        <f t="shared" si="27"/>
        <v>#DIV/0!</v>
      </c>
      <c r="BN40" s="9">
        <f t="shared" si="28"/>
        <v>1.0570901583863546</v>
      </c>
    </row>
    <row r="41" spans="1:66">
      <c r="A41" s="15"/>
      <c r="B41" s="15"/>
      <c r="C41" s="15"/>
      <c r="D41" s="7"/>
      <c r="E41" s="6"/>
      <c r="F41" s="6"/>
      <c r="G41" s="96"/>
      <c r="H41" s="9"/>
      <c r="I41" s="7"/>
      <c r="J41" s="9"/>
      <c r="K41" s="96"/>
      <c r="L41" s="9"/>
      <c r="M41" s="9"/>
      <c r="N41" s="9"/>
      <c r="O41" s="96"/>
      <c r="P41" s="9"/>
      <c r="Q41" s="9"/>
      <c r="R41" s="9"/>
      <c r="S41" s="9"/>
      <c r="T41" s="9"/>
      <c r="U41" s="9"/>
      <c r="V41" s="9"/>
      <c r="W41" s="96"/>
      <c r="X41" s="9"/>
      <c r="Y41" s="9"/>
      <c r="Z41" s="9"/>
      <c r="AA41" s="96"/>
      <c r="AB41" s="9"/>
      <c r="AC41" s="9"/>
      <c r="AD41" s="9"/>
      <c r="AE41" s="96"/>
      <c r="AF41" s="9"/>
      <c r="AG41" s="9"/>
      <c r="AH41" s="9"/>
      <c r="AI41" s="96"/>
      <c r="AJ41" s="9"/>
      <c r="AK41" s="9"/>
      <c r="AL41" s="9"/>
      <c r="AM41" s="9"/>
      <c r="AN41" s="9"/>
      <c r="AO41" s="9"/>
      <c r="AP41" s="9"/>
      <c r="AQ41" s="96"/>
      <c r="AR41" s="9"/>
      <c r="AS41" s="9"/>
      <c r="AT41" s="9"/>
      <c r="AU41" s="96"/>
      <c r="AV41" s="9"/>
      <c r="AW41" s="9"/>
      <c r="AX41" s="9"/>
      <c r="AY41" s="96"/>
      <c r="AZ41" s="14"/>
      <c r="BA41" s="9"/>
      <c r="BB41" s="9"/>
      <c r="BC41" s="9"/>
      <c r="BD41" s="9"/>
      <c r="BE41" s="9"/>
      <c r="BF41" s="9"/>
      <c r="BG41" s="96"/>
      <c r="BH41" s="9"/>
      <c r="BI41" s="9"/>
      <c r="BJ41" s="9"/>
      <c r="BK41" s="9"/>
      <c r="BL41" s="9"/>
      <c r="BM41" s="9"/>
      <c r="BN41" s="9"/>
    </row>
    <row r="42" spans="1:66" ht="13.5" thickBot="1">
      <c r="A42" s="10" t="s">
        <v>28</v>
      </c>
      <c r="B42" s="10"/>
      <c r="C42" s="11"/>
      <c r="D42" s="11">
        <f>SUM(D10:D41)</f>
        <v>440.91260000000005</v>
      </c>
      <c r="E42" s="11">
        <f>SUM(E10:E41)</f>
        <v>413.67199999999991</v>
      </c>
      <c r="F42" s="11"/>
      <c r="G42" s="11">
        <f>SUM(G10:G41)</f>
        <v>65375</v>
      </c>
      <c r="H42" s="11">
        <f>G42/BK42*100</f>
        <v>14.950081022006978</v>
      </c>
      <c r="I42" s="11"/>
      <c r="J42" s="11"/>
      <c r="K42" s="11">
        <f>SUM(K10:K41)</f>
        <v>0</v>
      </c>
      <c r="L42" s="11"/>
      <c r="M42" s="11"/>
      <c r="N42" s="11"/>
      <c r="O42" s="11"/>
      <c r="P42" s="11"/>
      <c r="Q42" s="11"/>
      <c r="R42" s="11"/>
      <c r="S42" s="11">
        <f>SUM(S10:S41)</f>
        <v>65375</v>
      </c>
      <c r="T42" s="17">
        <f>S42/$BK$42*100</f>
        <v>14.950081022006978</v>
      </c>
      <c r="U42" s="11"/>
      <c r="V42" s="11"/>
      <c r="W42" s="11">
        <f>SUM(W10:W41)</f>
        <v>0</v>
      </c>
      <c r="X42" s="11" t="e">
        <f>W42/BG42*100</f>
        <v>#DIV/0!</v>
      </c>
      <c r="Y42" s="11"/>
      <c r="Z42" s="11"/>
      <c r="AA42" s="11">
        <f>SUM(AA10:AA41)</f>
        <v>0</v>
      </c>
      <c r="AB42" s="11">
        <f>AA42/$BK$42*100</f>
        <v>0</v>
      </c>
      <c r="AC42" s="11"/>
      <c r="AD42" s="11"/>
      <c r="AE42" s="11">
        <f>SUM(AE10:AE41)</f>
        <v>0</v>
      </c>
      <c r="AF42" s="11">
        <f>AE42/$BK$42*100</f>
        <v>0</v>
      </c>
      <c r="AG42" s="11"/>
      <c r="AH42" s="11"/>
      <c r="AI42" s="11">
        <f>SUM(AI10:AI41)</f>
        <v>0</v>
      </c>
      <c r="AJ42" s="11">
        <f>AI42/$BK$42*100</f>
        <v>0</v>
      </c>
      <c r="AK42" s="11"/>
      <c r="AL42" s="11"/>
      <c r="AM42" s="11">
        <f>SUM(AM10:AM41)</f>
        <v>0</v>
      </c>
      <c r="AN42" s="11"/>
      <c r="AO42" s="11"/>
      <c r="AP42" s="11"/>
      <c r="AQ42" s="11">
        <f>SUM(AQ10:AQ41)</f>
        <v>371913.6</v>
      </c>
      <c r="AR42" s="11">
        <f>AQ42/$BK$42*100</f>
        <v>85.049918977993016</v>
      </c>
      <c r="AS42" s="11"/>
      <c r="AT42" s="11"/>
      <c r="AU42" s="11">
        <f>SUM(AU10:AU41)</f>
        <v>0</v>
      </c>
      <c r="AV42" s="11">
        <f>AU42/$BK$42*100</f>
        <v>0</v>
      </c>
      <c r="AW42" s="11"/>
      <c r="AX42" s="11"/>
      <c r="AY42" s="11">
        <f>SUM(AY10:AY41)</f>
        <v>0</v>
      </c>
      <c r="AZ42" s="11">
        <f>AY42/$BK$42*100</f>
        <v>0</v>
      </c>
      <c r="BA42" s="11"/>
      <c r="BB42" s="11"/>
      <c r="BC42" s="11">
        <f>SUM(BC10:BC41)</f>
        <v>371913.6</v>
      </c>
      <c r="BD42" s="19">
        <f>BC42/$BK$42*100</f>
        <v>85.049918977993016</v>
      </c>
      <c r="BE42" s="11"/>
      <c r="BF42" s="11"/>
      <c r="BG42" s="11">
        <f>SUM(BG10:BG41)</f>
        <v>0</v>
      </c>
      <c r="BH42" s="11">
        <f>BG42/$BK$42*100</f>
        <v>0</v>
      </c>
      <c r="BI42" s="11"/>
      <c r="BJ42" s="11"/>
      <c r="BK42" s="11">
        <f>SUM(BK10:BK41)</f>
        <v>437288.6</v>
      </c>
      <c r="BL42" s="11">
        <f>BK42/$BK$42*100</f>
        <v>100</v>
      </c>
      <c r="BM42" s="11">
        <f>BK42/1000/E42</f>
        <v>1.0570901583863546</v>
      </c>
      <c r="BN42" s="11"/>
    </row>
    <row r="43" spans="1:66" ht="13.5" thickTop="1"/>
    <row r="44" spans="1:66">
      <c r="W44" s="13"/>
      <c r="AA44" s="13"/>
      <c r="AE44" s="13"/>
      <c r="BD44" s="13"/>
      <c r="BG44" s="13"/>
      <c r="BH44" s="13"/>
    </row>
    <row r="45" spans="1:66">
      <c r="E45" s="13"/>
      <c r="F45" s="13"/>
      <c r="G45" s="13"/>
      <c r="I45" s="13"/>
      <c r="AA45" s="13"/>
      <c r="AE45" s="13"/>
      <c r="BG45" s="13"/>
    </row>
  </sheetData>
  <mergeCells count="17">
    <mergeCell ref="E8:F8"/>
    <mergeCell ref="AQ8:AT8"/>
    <mergeCell ref="AU8:AX8"/>
    <mergeCell ref="AY8:BB8"/>
    <mergeCell ref="BC8:BF8"/>
    <mergeCell ref="G8:J8"/>
    <mergeCell ref="O8:R8"/>
    <mergeCell ref="K8:N8"/>
    <mergeCell ref="BK8:BL8"/>
    <mergeCell ref="BM8:BN8"/>
    <mergeCell ref="S8:V8"/>
    <mergeCell ref="W8:Z8"/>
    <mergeCell ref="AA8:AD8"/>
    <mergeCell ref="AE8:AH8"/>
    <mergeCell ref="AI8:AL8"/>
    <mergeCell ref="AM8:AP8"/>
    <mergeCell ref="BG8:BJ8"/>
  </mergeCells>
  <phoneticPr fontId="32" type="noConversion"/>
  <pageMargins left="0.19513888888888889" right="0.19513888888888889" top="0.05" bottom="0.05" header="0" footer="0"/>
  <pageSetup paperSize="9" scale="70" firstPageNumber="4294963191" orientation="landscape"/>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5"/>
  <sheetViews>
    <sheetView topLeftCell="A43" workbookViewId="0">
      <selection activeCell="C75" sqref="C74:C75"/>
    </sheetView>
  </sheetViews>
  <sheetFormatPr defaultRowHeight="12.75"/>
  <cols>
    <col min="2" max="2" width="10.85546875" style="470" bestFit="1" customWidth="1"/>
    <col min="3" max="3" width="11.85546875" style="3" customWidth="1"/>
    <col min="4" max="4" width="38.28515625" customWidth="1"/>
    <col min="5" max="6" width="23.140625" bestFit="1" customWidth="1"/>
    <col min="8" max="8" width="30.7109375" bestFit="1" customWidth="1"/>
    <col min="10" max="10" width="12" customWidth="1"/>
    <col min="13" max="13" width="10.85546875" style="470" bestFit="1" customWidth="1"/>
    <col min="14" max="14" width="11.85546875" style="3" customWidth="1"/>
    <col min="15" max="15" width="38.28515625" customWidth="1"/>
    <col min="16" max="17" width="23.140625" bestFit="1" customWidth="1"/>
    <col min="19" max="19" width="30.7109375" bestFit="1" customWidth="1"/>
    <col min="21" max="21" width="12" customWidth="1"/>
  </cols>
  <sheetData>
    <row r="1" spans="1:21" ht="30">
      <c r="A1" s="422" t="s">
        <v>188</v>
      </c>
      <c r="B1" s="463" t="s">
        <v>8</v>
      </c>
      <c r="C1" s="464" t="s">
        <v>259</v>
      </c>
      <c r="D1" s="465" t="s">
        <v>127</v>
      </c>
      <c r="E1" s="465" t="s">
        <v>260</v>
      </c>
      <c r="F1" s="465" t="s">
        <v>261</v>
      </c>
      <c r="H1" s="462" t="s">
        <v>262</v>
      </c>
      <c r="I1" s="455" t="s">
        <v>263</v>
      </c>
      <c r="J1" s="455" t="s">
        <v>264</v>
      </c>
      <c r="L1" s="422" t="s">
        <v>374</v>
      </c>
      <c r="M1" s="463" t="s">
        <v>8</v>
      </c>
      <c r="N1" s="464" t="s">
        <v>259</v>
      </c>
      <c r="O1" s="465" t="s">
        <v>127</v>
      </c>
      <c r="P1" s="465" t="s">
        <v>260</v>
      </c>
      <c r="Q1" s="465" t="s">
        <v>261</v>
      </c>
      <c r="S1" s="534" t="s">
        <v>262</v>
      </c>
      <c r="T1" s="455" t="s">
        <v>263</v>
      </c>
      <c r="U1" s="455" t="s">
        <v>264</v>
      </c>
    </row>
    <row r="2" spans="1:21">
      <c r="B2" s="328">
        <v>45901</v>
      </c>
      <c r="C2" s="3">
        <v>35</v>
      </c>
      <c r="D2" s="469" t="s">
        <v>411</v>
      </c>
      <c r="E2" t="s">
        <v>250</v>
      </c>
      <c r="F2" t="s">
        <v>247</v>
      </c>
      <c r="H2" s="5" t="s">
        <v>150</v>
      </c>
      <c r="I2" s="306">
        <f>+Efficiency1!Z150</f>
        <v>10.652000000000001</v>
      </c>
      <c r="J2" s="457">
        <f t="shared" ref="J2:J3" si="0">I2/$I$8</f>
        <v>8.1874200837744153E-3</v>
      </c>
      <c r="M2" s="328">
        <v>45901</v>
      </c>
      <c r="N2" s="3">
        <v>35</v>
      </c>
      <c r="O2" s="469" t="s">
        <v>411</v>
      </c>
      <c r="P2" t="s">
        <v>250</v>
      </c>
      <c r="Q2" t="s">
        <v>247</v>
      </c>
      <c r="S2" s="5" t="s">
        <v>150</v>
      </c>
      <c r="T2" s="306">
        <f>+Efficiency2!Z150</f>
        <v>10.652000000000001</v>
      </c>
      <c r="U2" s="457">
        <f>T2/$T$8</f>
        <v>1.9842955548376173E-2</v>
      </c>
    </row>
    <row r="3" spans="1:21">
      <c r="B3" s="328"/>
      <c r="C3" s="3">
        <v>10</v>
      </c>
      <c r="D3" s="469" t="s">
        <v>412</v>
      </c>
      <c r="E3" t="s">
        <v>248</v>
      </c>
      <c r="F3" t="s">
        <v>247</v>
      </c>
      <c r="H3" s="5" t="s">
        <v>241</v>
      </c>
      <c r="I3" s="306">
        <f>+Efficiency1!Y150+Efficiency1!AA150</f>
        <v>16.90631690843982</v>
      </c>
      <c r="J3" s="457">
        <f t="shared" si="0"/>
        <v>1.2994660026174911E-2</v>
      </c>
      <c r="M3" s="328"/>
      <c r="N3" s="3">
        <v>10</v>
      </c>
      <c r="O3" s="469" t="s">
        <v>412</v>
      </c>
      <c r="P3" t="s">
        <v>248</v>
      </c>
      <c r="Q3" t="s">
        <v>247</v>
      </c>
      <c r="S3" s="5" t="s">
        <v>241</v>
      </c>
      <c r="T3" s="306">
        <f>+Efficiency2!AA150+Efficiency2!Y150</f>
        <v>16.90631690843982</v>
      </c>
      <c r="U3" s="457">
        <f t="shared" ref="U3:U5" si="1">T3/$T$8</f>
        <v>3.1493737786418681E-2</v>
      </c>
    </row>
    <row r="4" spans="1:21">
      <c r="B4" s="40"/>
      <c r="C4" s="3">
        <v>26</v>
      </c>
      <c r="D4" s="469" t="s">
        <v>413</v>
      </c>
      <c r="E4" t="s">
        <v>249</v>
      </c>
      <c r="F4" t="s">
        <v>247</v>
      </c>
      <c r="H4" s="5" t="s">
        <v>265</v>
      </c>
      <c r="I4" s="306">
        <f>+Efficiency1!AB150</f>
        <v>-0.64556817478018269</v>
      </c>
      <c r="J4" s="457">
        <f>I4/$I$8</f>
        <v>-4.9620144945933709E-4</v>
      </c>
      <c r="M4" s="40"/>
      <c r="N4" s="3">
        <v>26</v>
      </c>
      <c r="O4" s="469" t="s">
        <v>413</v>
      </c>
      <c r="P4" t="s">
        <v>249</v>
      </c>
      <c r="Q4" t="s">
        <v>247</v>
      </c>
      <c r="S4" s="5" t="s">
        <v>265</v>
      </c>
      <c r="T4" s="306">
        <f>+Efficiency2!AB150</f>
        <v>-0.64556817478030593</v>
      </c>
      <c r="U4" s="457">
        <f t="shared" si="1"/>
        <v>-1.2025892410450572E-3</v>
      </c>
    </row>
    <row r="5" spans="1:21" ht="15" customHeight="1">
      <c r="B5" s="40"/>
      <c r="D5" s="469"/>
      <c r="H5" s="5" t="s">
        <v>244</v>
      </c>
      <c r="I5" s="306">
        <f>+Efficiency1!AC150</f>
        <v>8.7684455056219619</v>
      </c>
      <c r="J5" s="457">
        <f>I5/$I$8</f>
        <v>6.7396683098207618E-3</v>
      </c>
      <c r="M5" s="40"/>
      <c r="O5" s="469"/>
      <c r="S5" s="5" t="s">
        <v>244</v>
      </c>
      <c r="T5" s="306">
        <f>+Efficiency2!AC150</f>
        <v>8.7684455056219619</v>
      </c>
      <c r="U5" s="457">
        <f t="shared" si="1"/>
        <v>1.6334197746565471E-2</v>
      </c>
    </row>
    <row r="6" spans="1:21" ht="15" customHeight="1">
      <c r="B6" s="328">
        <v>45902</v>
      </c>
      <c r="C6" s="3">
        <v>28</v>
      </c>
      <c r="D6" s="469" t="s">
        <v>435</v>
      </c>
      <c r="E6" t="s">
        <v>250</v>
      </c>
      <c r="F6" t="s">
        <v>247</v>
      </c>
      <c r="M6" s="328">
        <v>45902</v>
      </c>
      <c r="N6" s="3">
        <v>28</v>
      </c>
      <c r="O6" s="469" t="s">
        <v>435</v>
      </c>
      <c r="P6" t="s">
        <v>250</v>
      </c>
      <c r="Q6" t="s">
        <v>247</v>
      </c>
    </row>
    <row r="7" spans="1:21" ht="12.75" customHeight="1">
      <c r="B7" s="328"/>
      <c r="C7" s="3">
        <v>8</v>
      </c>
      <c r="D7" t="s">
        <v>431</v>
      </c>
      <c r="E7" t="s">
        <v>248</v>
      </c>
      <c r="F7" t="s">
        <v>247</v>
      </c>
      <c r="I7" s="466"/>
      <c r="J7" s="467"/>
      <c r="M7" s="328"/>
      <c r="N7" s="3">
        <v>8</v>
      </c>
      <c r="O7" t="s">
        <v>431</v>
      </c>
      <c r="P7" t="s">
        <v>248</v>
      </c>
      <c r="Q7" t="s">
        <v>247</v>
      </c>
      <c r="T7" s="466"/>
      <c r="U7" s="467"/>
    </row>
    <row r="8" spans="1:21" ht="12.75" customHeight="1">
      <c r="B8" s="328"/>
      <c r="C8" s="3">
        <v>42</v>
      </c>
      <c r="D8" t="s">
        <v>436</v>
      </c>
      <c r="E8" t="s">
        <v>249</v>
      </c>
      <c r="F8" t="s">
        <v>247</v>
      </c>
      <c r="H8" s="468" t="s">
        <v>266</v>
      </c>
      <c r="I8" s="6">
        <f>+Efficiency1!K150</f>
        <v>1301.0203325354976</v>
      </c>
      <c r="M8" s="328"/>
      <c r="N8" s="3">
        <v>42</v>
      </c>
      <c r="O8" t="s">
        <v>436</v>
      </c>
      <c r="P8" t="s">
        <v>249</v>
      </c>
      <c r="Q8" t="s">
        <v>247</v>
      </c>
      <c r="S8" s="468" t="s">
        <v>266</v>
      </c>
      <c r="T8" s="6">
        <f>+Efficiency2!K150</f>
        <v>536.81519237549753</v>
      </c>
    </row>
    <row r="9" spans="1:21" ht="12.75" customHeight="1">
      <c r="B9" s="328"/>
      <c r="H9" s="468" t="s">
        <v>267</v>
      </c>
      <c r="I9" s="6">
        <f>+Efficiency1!AD150</f>
        <v>28435</v>
      </c>
      <c r="M9" s="328"/>
      <c r="S9" s="468" t="s">
        <v>267</v>
      </c>
      <c r="T9" s="6">
        <f>+Efficiency2!AD150</f>
        <v>2965</v>
      </c>
    </row>
    <row r="10" spans="1:21" ht="15" customHeight="1">
      <c r="B10" s="328">
        <v>45903</v>
      </c>
      <c r="C10" s="3">
        <v>32</v>
      </c>
      <c r="D10" t="s">
        <v>455</v>
      </c>
      <c r="E10" t="s">
        <v>250</v>
      </c>
      <c r="F10" t="s">
        <v>247</v>
      </c>
      <c r="H10" s="468" t="s">
        <v>268</v>
      </c>
      <c r="I10" s="6">
        <f>+Efficiency1!V150</f>
        <v>851.66713829621563</v>
      </c>
      <c r="M10" s="328">
        <v>45903</v>
      </c>
      <c r="N10" s="3">
        <v>32</v>
      </c>
      <c r="O10" t="s">
        <v>455</v>
      </c>
      <c r="P10" t="s">
        <v>250</v>
      </c>
      <c r="Q10" t="s">
        <v>247</v>
      </c>
      <c r="S10" s="468" t="s">
        <v>268</v>
      </c>
      <c r="T10" s="6">
        <f>+Efficiency2!V150</f>
        <v>87.461998136215954</v>
      </c>
    </row>
    <row r="11" spans="1:21" ht="12.75" customHeight="1">
      <c r="B11" s="328"/>
      <c r="C11" s="3">
        <v>2</v>
      </c>
      <c r="D11" t="s">
        <v>452</v>
      </c>
      <c r="E11" t="s">
        <v>248</v>
      </c>
      <c r="F11" t="s">
        <v>247</v>
      </c>
      <c r="H11" s="468" t="s">
        <v>269</v>
      </c>
      <c r="I11" s="460">
        <f>I10/I8</f>
        <v>0.65461477964486647</v>
      </c>
      <c r="M11" s="328"/>
      <c r="N11" s="3">
        <v>2</v>
      </c>
      <c r="O11" t="s">
        <v>452</v>
      </c>
      <c r="P11" t="s">
        <v>248</v>
      </c>
      <c r="Q11" t="s">
        <v>247</v>
      </c>
      <c r="S11" s="468" t="s">
        <v>269</v>
      </c>
      <c r="T11" s="460">
        <f>T10/T8</f>
        <v>0.16292757615368875</v>
      </c>
    </row>
    <row r="12" spans="1:21">
      <c r="B12" s="328"/>
      <c r="C12" s="3">
        <v>50</v>
      </c>
      <c r="D12" t="s">
        <v>413</v>
      </c>
      <c r="E12" t="s">
        <v>249</v>
      </c>
      <c r="F12" t="s">
        <v>247</v>
      </c>
      <c r="M12" s="328"/>
      <c r="N12" s="3">
        <v>50</v>
      </c>
      <c r="O12" t="s">
        <v>413</v>
      </c>
      <c r="P12" t="s">
        <v>249</v>
      </c>
      <c r="Q12" t="s">
        <v>247</v>
      </c>
    </row>
    <row r="13" spans="1:21">
      <c r="B13" s="328"/>
      <c r="M13" s="328"/>
    </row>
    <row r="14" spans="1:21" ht="15" customHeight="1">
      <c r="B14" s="328">
        <v>45904</v>
      </c>
      <c r="C14" s="3">
        <v>18</v>
      </c>
      <c r="D14" t="s">
        <v>470</v>
      </c>
      <c r="E14" t="s">
        <v>250</v>
      </c>
      <c r="F14" t="s">
        <v>247</v>
      </c>
      <c r="M14" s="328">
        <v>45904</v>
      </c>
      <c r="N14" s="3">
        <v>18</v>
      </c>
      <c r="O14" t="s">
        <v>470</v>
      </c>
      <c r="P14" t="s">
        <v>250</v>
      </c>
      <c r="Q14" t="s">
        <v>247</v>
      </c>
    </row>
    <row r="15" spans="1:21" ht="15" customHeight="1">
      <c r="B15" s="328"/>
      <c r="C15" s="3">
        <v>2</v>
      </c>
      <c r="D15" t="s">
        <v>452</v>
      </c>
      <c r="E15" t="s">
        <v>248</v>
      </c>
      <c r="F15" t="s">
        <v>247</v>
      </c>
      <c r="G15" s="513">
        <f>+summary!H42</f>
        <v>0.99999999999999978</v>
      </c>
      <c r="M15" s="328"/>
      <c r="N15" s="3">
        <v>2</v>
      </c>
      <c r="O15" t="s">
        <v>452</v>
      </c>
      <c r="P15" t="s">
        <v>248</v>
      </c>
      <c r="Q15" t="s">
        <v>247</v>
      </c>
      <c r="R15" s="513">
        <f>+summary!Q42</f>
        <v>0.99999999999999978</v>
      </c>
    </row>
    <row r="16" spans="1:21">
      <c r="B16" s="328"/>
      <c r="C16" s="3">
        <v>58</v>
      </c>
      <c r="D16" t="s">
        <v>436</v>
      </c>
      <c r="E16" t="s">
        <v>249</v>
      </c>
      <c r="F16" t="s">
        <v>247</v>
      </c>
      <c r="M16" s="328"/>
      <c r="N16" s="3">
        <v>58</v>
      </c>
      <c r="O16" t="s">
        <v>436</v>
      </c>
      <c r="P16" t="s">
        <v>249</v>
      </c>
      <c r="Q16" t="s">
        <v>247</v>
      </c>
    </row>
    <row r="17" spans="2:17">
      <c r="B17" s="328"/>
      <c r="M17" s="328"/>
    </row>
    <row r="18" spans="2:17">
      <c r="B18" s="328">
        <v>45905</v>
      </c>
      <c r="C18" s="3">
        <v>18</v>
      </c>
      <c r="D18" t="s">
        <v>470</v>
      </c>
      <c r="E18" t="s">
        <v>250</v>
      </c>
      <c r="F18" t="s">
        <v>247</v>
      </c>
      <c r="M18" s="328">
        <v>45905</v>
      </c>
      <c r="N18" s="3">
        <v>18</v>
      </c>
      <c r="O18" t="s">
        <v>470</v>
      </c>
      <c r="P18" t="s">
        <v>250</v>
      </c>
      <c r="Q18" t="s">
        <v>247</v>
      </c>
    </row>
    <row r="19" spans="2:17">
      <c r="B19" s="328"/>
      <c r="C19" s="3">
        <v>4</v>
      </c>
      <c r="D19" t="s">
        <v>406</v>
      </c>
      <c r="E19" t="s">
        <v>248</v>
      </c>
      <c r="F19" t="s">
        <v>247</v>
      </c>
      <c r="M19" s="328"/>
      <c r="N19" s="3">
        <v>4</v>
      </c>
      <c r="O19" t="s">
        <v>406</v>
      </c>
      <c r="P19" t="s">
        <v>248</v>
      </c>
      <c r="Q19" t="s">
        <v>247</v>
      </c>
    </row>
    <row r="20" spans="2:17">
      <c r="B20" s="328"/>
      <c r="C20" s="3">
        <v>54</v>
      </c>
      <c r="D20" t="s">
        <v>436</v>
      </c>
      <c r="E20" t="s">
        <v>249</v>
      </c>
      <c r="F20" t="s">
        <v>247</v>
      </c>
      <c r="M20" s="328"/>
      <c r="N20" s="3">
        <v>54</v>
      </c>
      <c r="O20" t="s">
        <v>436</v>
      </c>
      <c r="P20" t="s">
        <v>249</v>
      </c>
      <c r="Q20" t="s">
        <v>247</v>
      </c>
    </row>
    <row r="21" spans="2:17">
      <c r="B21" s="328"/>
      <c r="M21" s="328"/>
    </row>
    <row r="22" spans="2:17">
      <c r="B22" s="328">
        <v>45906</v>
      </c>
      <c r="C22" s="3">
        <v>12</v>
      </c>
      <c r="D22" t="s">
        <v>470</v>
      </c>
      <c r="E22" t="s">
        <v>250</v>
      </c>
      <c r="F22" t="s">
        <v>247</v>
      </c>
      <c r="M22" s="328">
        <v>45906</v>
      </c>
      <c r="N22" s="3">
        <v>12</v>
      </c>
      <c r="O22" t="s">
        <v>470</v>
      </c>
      <c r="P22" t="s">
        <v>250</v>
      </c>
      <c r="Q22" t="s">
        <v>247</v>
      </c>
    </row>
    <row r="23" spans="2:17">
      <c r="B23" s="328"/>
      <c r="C23" s="3">
        <v>0</v>
      </c>
      <c r="D23" t="s">
        <v>432</v>
      </c>
      <c r="E23" t="s">
        <v>248</v>
      </c>
      <c r="F23" t="s">
        <v>247</v>
      </c>
      <c r="M23" s="328"/>
      <c r="N23" s="3">
        <v>0</v>
      </c>
      <c r="O23" t="s">
        <v>432</v>
      </c>
      <c r="P23" t="s">
        <v>248</v>
      </c>
      <c r="Q23" t="s">
        <v>247</v>
      </c>
    </row>
    <row r="24" spans="2:17">
      <c r="B24" s="328"/>
      <c r="C24" s="3">
        <v>29</v>
      </c>
      <c r="D24" t="s">
        <v>492</v>
      </c>
      <c r="E24" t="s">
        <v>249</v>
      </c>
      <c r="F24" t="s">
        <v>247</v>
      </c>
      <c r="M24" s="328"/>
      <c r="N24" s="3">
        <v>29</v>
      </c>
      <c r="O24" t="s">
        <v>492</v>
      </c>
      <c r="P24" t="s">
        <v>249</v>
      </c>
      <c r="Q24" t="s">
        <v>247</v>
      </c>
    </row>
    <row r="25" spans="2:17">
      <c r="B25" s="328"/>
      <c r="C25" s="3">
        <v>515</v>
      </c>
      <c r="D25" t="s">
        <v>493</v>
      </c>
      <c r="E25" t="s">
        <v>524</v>
      </c>
      <c r="F25" t="s">
        <v>252</v>
      </c>
      <c r="M25" s="328"/>
      <c r="N25" s="3">
        <v>515</v>
      </c>
      <c r="O25" t="s">
        <v>493</v>
      </c>
      <c r="P25" t="s">
        <v>524</v>
      </c>
      <c r="Q25" t="s">
        <v>252</v>
      </c>
    </row>
    <row r="26" spans="2:17">
      <c r="B26" s="328"/>
      <c r="M26" s="328"/>
    </row>
    <row r="27" spans="2:17">
      <c r="B27" s="328">
        <v>45907</v>
      </c>
      <c r="C27" s="3">
        <v>18</v>
      </c>
      <c r="D27" t="s">
        <v>470</v>
      </c>
      <c r="E27" t="s">
        <v>250</v>
      </c>
      <c r="F27" t="s">
        <v>247</v>
      </c>
      <c r="M27" s="328">
        <v>45907</v>
      </c>
      <c r="N27" s="3">
        <v>18</v>
      </c>
      <c r="O27" t="s">
        <v>470</v>
      </c>
      <c r="P27" t="s">
        <v>250</v>
      </c>
      <c r="Q27" t="s">
        <v>247</v>
      </c>
    </row>
    <row r="28" spans="2:17">
      <c r="B28" s="328"/>
      <c r="C28" s="3">
        <v>0</v>
      </c>
      <c r="D28" t="s">
        <v>432</v>
      </c>
      <c r="E28" t="s">
        <v>248</v>
      </c>
      <c r="F28" t="s">
        <v>247</v>
      </c>
      <c r="M28" s="328"/>
      <c r="N28" s="3">
        <v>0</v>
      </c>
      <c r="O28" t="s">
        <v>432</v>
      </c>
      <c r="P28" t="s">
        <v>248</v>
      </c>
      <c r="Q28" t="s">
        <v>247</v>
      </c>
    </row>
    <row r="29" spans="2:17">
      <c r="B29" s="328"/>
      <c r="C29" s="3">
        <v>38</v>
      </c>
      <c r="D29" t="s">
        <v>436</v>
      </c>
      <c r="E29" t="s">
        <v>249</v>
      </c>
      <c r="F29" t="s">
        <v>247</v>
      </c>
      <c r="M29" s="328"/>
      <c r="N29" s="3">
        <v>38</v>
      </c>
      <c r="O29" t="s">
        <v>436</v>
      </c>
      <c r="P29" t="s">
        <v>249</v>
      </c>
      <c r="Q29" t="s">
        <v>247</v>
      </c>
    </row>
    <row r="30" spans="2:17">
      <c r="B30" s="328"/>
      <c r="C30" s="3">
        <v>115</v>
      </c>
      <c r="D30" t="s">
        <v>495</v>
      </c>
      <c r="E30" t="s">
        <v>523</v>
      </c>
      <c r="F30" t="s">
        <v>256</v>
      </c>
      <c r="M30" s="328"/>
      <c r="N30" s="3">
        <v>115</v>
      </c>
      <c r="O30" t="s">
        <v>495</v>
      </c>
      <c r="P30" t="s">
        <v>523</v>
      </c>
      <c r="Q30" t="s">
        <v>256</v>
      </c>
    </row>
    <row r="31" spans="2:17">
      <c r="B31" s="328"/>
      <c r="M31" s="328"/>
    </row>
    <row r="32" spans="2:17">
      <c r="B32" s="328">
        <v>45908</v>
      </c>
      <c r="C32" s="3">
        <v>0</v>
      </c>
      <c r="D32" t="s">
        <v>466</v>
      </c>
      <c r="E32" t="s">
        <v>250</v>
      </c>
      <c r="F32" t="s">
        <v>247</v>
      </c>
      <c r="M32" s="328">
        <v>45908</v>
      </c>
      <c r="N32" s="3">
        <v>0</v>
      </c>
      <c r="O32" t="s">
        <v>466</v>
      </c>
      <c r="P32" t="s">
        <v>250</v>
      </c>
      <c r="Q32" t="s">
        <v>247</v>
      </c>
    </row>
    <row r="33" spans="2:17">
      <c r="B33" s="328"/>
      <c r="C33" s="3">
        <v>0</v>
      </c>
      <c r="D33" t="s">
        <v>432</v>
      </c>
      <c r="E33" t="s">
        <v>248</v>
      </c>
      <c r="F33" t="s">
        <v>247</v>
      </c>
      <c r="M33" s="328"/>
      <c r="N33" s="3">
        <v>0</v>
      </c>
      <c r="O33" t="s">
        <v>432</v>
      </c>
      <c r="P33" t="s">
        <v>248</v>
      </c>
      <c r="Q33" t="s">
        <v>247</v>
      </c>
    </row>
    <row r="34" spans="2:17">
      <c r="B34" s="328"/>
      <c r="C34" s="3">
        <v>0</v>
      </c>
      <c r="D34" t="s">
        <v>507</v>
      </c>
      <c r="E34" t="s">
        <v>249</v>
      </c>
      <c r="F34" t="s">
        <v>247</v>
      </c>
      <c r="M34" s="328"/>
      <c r="N34" s="3">
        <v>0</v>
      </c>
      <c r="O34" t="s">
        <v>507</v>
      </c>
      <c r="P34" t="s">
        <v>249</v>
      </c>
      <c r="Q34" t="s">
        <v>247</v>
      </c>
    </row>
    <row r="35" spans="2:17">
      <c r="B35" s="328"/>
      <c r="C35" s="3">
        <v>1440</v>
      </c>
      <c r="D35" t="s">
        <v>508</v>
      </c>
      <c r="E35" t="s">
        <v>523</v>
      </c>
      <c r="F35" t="s">
        <v>256</v>
      </c>
      <c r="M35" s="328"/>
      <c r="N35" s="3">
        <v>1440</v>
      </c>
      <c r="O35" t="s">
        <v>508</v>
      </c>
      <c r="P35" t="s">
        <v>523</v>
      </c>
      <c r="Q35" t="s">
        <v>256</v>
      </c>
    </row>
    <row r="36" spans="2:17">
      <c r="B36" s="328"/>
      <c r="M36" s="328"/>
    </row>
    <row r="37" spans="2:17">
      <c r="B37" s="328">
        <v>45909</v>
      </c>
      <c r="C37" s="3">
        <v>21</v>
      </c>
      <c r="D37" t="s">
        <v>453</v>
      </c>
      <c r="E37" t="s">
        <v>250</v>
      </c>
      <c r="F37" t="s">
        <v>247</v>
      </c>
      <c r="M37" s="328">
        <v>45909</v>
      </c>
      <c r="N37" s="3">
        <v>21</v>
      </c>
      <c r="O37" t="s">
        <v>453</v>
      </c>
      <c r="P37" t="s">
        <v>250</v>
      </c>
      <c r="Q37" t="s">
        <v>247</v>
      </c>
    </row>
    <row r="38" spans="2:17">
      <c r="B38" s="328"/>
      <c r="C38" s="3">
        <v>15</v>
      </c>
      <c r="D38" t="s">
        <v>521</v>
      </c>
      <c r="E38" t="s">
        <v>248</v>
      </c>
      <c r="F38" t="s">
        <v>247</v>
      </c>
      <c r="M38" s="328"/>
      <c r="N38" s="3">
        <v>15</v>
      </c>
      <c r="O38" t="s">
        <v>521</v>
      </c>
      <c r="P38" t="s">
        <v>248</v>
      </c>
      <c r="Q38" t="s">
        <v>247</v>
      </c>
    </row>
    <row r="39" spans="2:17">
      <c r="B39" s="328"/>
      <c r="C39" s="3">
        <v>23</v>
      </c>
      <c r="D39" t="s">
        <v>522</v>
      </c>
      <c r="E39" t="s">
        <v>249</v>
      </c>
      <c r="F39" t="s">
        <v>247</v>
      </c>
      <c r="M39" s="328"/>
      <c r="N39" s="3">
        <v>23</v>
      </c>
      <c r="O39" t="s">
        <v>522</v>
      </c>
      <c r="P39" t="s">
        <v>249</v>
      </c>
      <c r="Q39" t="s">
        <v>247</v>
      </c>
    </row>
    <row r="40" spans="2:17">
      <c r="B40" s="328"/>
      <c r="M40" s="328"/>
    </row>
    <row r="41" spans="2:17">
      <c r="B41" s="328">
        <v>45910</v>
      </c>
      <c r="C41" s="3">
        <v>0</v>
      </c>
      <c r="D41" t="s">
        <v>466</v>
      </c>
      <c r="E41" t="s">
        <v>250</v>
      </c>
      <c r="F41" t="s">
        <v>247</v>
      </c>
      <c r="M41" s="328">
        <v>45910</v>
      </c>
      <c r="N41" s="3">
        <v>0</v>
      </c>
      <c r="O41" t="s">
        <v>466</v>
      </c>
      <c r="P41" t="s">
        <v>250</v>
      </c>
      <c r="Q41" t="s">
        <v>247</v>
      </c>
    </row>
    <row r="42" spans="2:17">
      <c r="B42" s="328"/>
      <c r="C42" s="3">
        <v>10</v>
      </c>
      <c r="D42" t="s">
        <v>412</v>
      </c>
      <c r="E42" t="s">
        <v>248</v>
      </c>
      <c r="F42" t="s">
        <v>247</v>
      </c>
      <c r="M42" s="328"/>
      <c r="N42" s="3">
        <v>10</v>
      </c>
      <c r="O42" t="s">
        <v>412</v>
      </c>
      <c r="P42" t="s">
        <v>248</v>
      </c>
      <c r="Q42" t="s">
        <v>247</v>
      </c>
    </row>
    <row r="43" spans="2:17">
      <c r="B43" s="328"/>
      <c r="C43" s="3">
        <v>43</v>
      </c>
      <c r="D43" t="s">
        <v>413</v>
      </c>
      <c r="E43" t="s">
        <v>249</v>
      </c>
      <c r="F43" t="s">
        <v>247</v>
      </c>
      <c r="M43" s="328"/>
      <c r="N43" s="3">
        <v>43</v>
      </c>
      <c r="O43" t="s">
        <v>413</v>
      </c>
      <c r="P43" t="s">
        <v>249</v>
      </c>
      <c r="Q43" t="s">
        <v>247</v>
      </c>
    </row>
    <row r="44" spans="2:17">
      <c r="B44" s="328"/>
      <c r="C44" s="3">
        <v>35</v>
      </c>
      <c r="D44" t="s">
        <v>534</v>
      </c>
      <c r="E44" t="s">
        <v>589</v>
      </c>
      <c r="F44" t="s">
        <v>252</v>
      </c>
      <c r="M44" s="328"/>
      <c r="N44" s="3">
        <v>35</v>
      </c>
      <c r="O44" t="s">
        <v>534</v>
      </c>
      <c r="P44" t="s">
        <v>589</v>
      </c>
      <c r="Q44" t="s">
        <v>252</v>
      </c>
    </row>
    <row r="45" spans="2:17">
      <c r="B45" s="328"/>
      <c r="M45" s="328"/>
    </row>
    <row r="46" spans="2:17">
      <c r="B46" s="328">
        <v>45911</v>
      </c>
      <c r="C46" s="3">
        <v>10</v>
      </c>
      <c r="D46" t="s">
        <v>550</v>
      </c>
      <c r="E46" t="s">
        <v>250</v>
      </c>
      <c r="F46" t="s">
        <v>247</v>
      </c>
      <c r="M46" s="328">
        <v>45911</v>
      </c>
      <c r="N46" s="3">
        <v>10</v>
      </c>
      <c r="O46" t="s">
        <v>550</v>
      </c>
      <c r="P46" t="s">
        <v>250</v>
      </c>
      <c r="Q46" t="s">
        <v>247</v>
      </c>
    </row>
    <row r="47" spans="2:17">
      <c r="B47" s="328"/>
      <c r="C47" s="3">
        <v>0</v>
      </c>
      <c r="D47" t="s">
        <v>432</v>
      </c>
      <c r="E47" t="s">
        <v>248</v>
      </c>
      <c r="F47" t="s">
        <v>247</v>
      </c>
      <c r="M47" s="328"/>
      <c r="N47" s="3">
        <v>0</v>
      </c>
      <c r="O47" t="s">
        <v>432</v>
      </c>
      <c r="P47" t="s">
        <v>248</v>
      </c>
      <c r="Q47" t="s">
        <v>247</v>
      </c>
    </row>
    <row r="48" spans="2:17">
      <c r="B48" s="328"/>
      <c r="C48" s="3">
        <v>43</v>
      </c>
      <c r="D48" t="s">
        <v>413</v>
      </c>
      <c r="E48" t="s">
        <v>249</v>
      </c>
      <c r="F48" t="s">
        <v>247</v>
      </c>
      <c r="M48" s="328"/>
      <c r="N48" s="3">
        <v>43</v>
      </c>
      <c r="O48" t="s">
        <v>413</v>
      </c>
      <c r="P48" t="s">
        <v>249</v>
      </c>
      <c r="Q48" t="s">
        <v>247</v>
      </c>
    </row>
    <row r="49" spans="2:17">
      <c r="B49" s="328"/>
      <c r="C49" s="3">
        <v>100</v>
      </c>
      <c r="D49" t="s">
        <v>549</v>
      </c>
      <c r="E49" t="s">
        <v>587</v>
      </c>
      <c r="F49" t="s">
        <v>245</v>
      </c>
      <c r="M49" s="328"/>
      <c r="N49" s="3">
        <v>100</v>
      </c>
      <c r="O49" t="s">
        <v>549</v>
      </c>
      <c r="P49" t="s">
        <v>587</v>
      </c>
      <c r="Q49" t="s">
        <v>245</v>
      </c>
    </row>
    <row r="50" spans="2:17">
      <c r="B50" s="328"/>
      <c r="M50" s="328"/>
    </row>
    <row r="51" spans="2:17">
      <c r="B51" s="328">
        <v>45912</v>
      </c>
      <c r="C51" s="3">
        <v>33</v>
      </c>
      <c r="D51" t="s">
        <v>561</v>
      </c>
      <c r="E51" t="s">
        <v>250</v>
      </c>
      <c r="F51" t="s">
        <v>247</v>
      </c>
      <c r="M51" s="328">
        <v>45912</v>
      </c>
      <c r="N51" s="3">
        <v>33</v>
      </c>
      <c r="O51" t="s">
        <v>561</v>
      </c>
      <c r="P51" t="s">
        <v>250</v>
      </c>
      <c r="Q51" t="s">
        <v>247</v>
      </c>
    </row>
    <row r="52" spans="2:17">
      <c r="B52" s="328"/>
      <c r="C52" s="3">
        <v>0</v>
      </c>
      <c r="D52" t="s">
        <v>432</v>
      </c>
      <c r="E52" t="s">
        <v>248</v>
      </c>
      <c r="F52" t="s">
        <v>247</v>
      </c>
      <c r="M52" s="328"/>
      <c r="N52" s="3">
        <v>0</v>
      </c>
      <c r="O52" t="s">
        <v>432</v>
      </c>
      <c r="P52" t="s">
        <v>248</v>
      </c>
      <c r="Q52" t="s">
        <v>247</v>
      </c>
    </row>
    <row r="53" spans="2:17">
      <c r="B53" s="328"/>
      <c r="C53" s="3">
        <v>51</v>
      </c>
      <c r="D53" t="s">
        <v>522</v>
      </c>
      <c r="E53" t="s">
        <v>249</v>
      </c>
      <c r="F53" t="s">
        <v>247</v>
      </c>
      <c r="M53" s="328"/>
      <c r="N53" s="3">
        <v>51</v>
      </c>
      <c r="O53" t="s">
        <v>522</v>
      </c>
      <c r="P53" t="s">
        <v>249</v>
      </c>
      <c r="Q53" t="s">
        <v>247</v>
      </c>
    </row>
    <row r="54" spans="2:17">
      <c r="B54" s="328"/>
      <c r="M54" s="328"/>
    </row>
    <row r="55" spans="2:17">
      <c r="B55" s="40">
        <v>45913</v>
      </c>
      <c r="C55" s="3">
        <v>0</v>
      </c>
      <c r="D55" t="s">
        <v>466</v>
      </c>
      <c r="E55" t="s">
        <v>250</v>
      </c>
      <c r="F55" t="s">
        <v>247</v>
      </c>
      <c r="M55" s="40">
        <v>45913</v>
      </c>
      <c r="N55" s="3">
        <v>0</v>
      </c>
      <c r="O55" t="s">
        <v>466</v>
      </c>
      <c r="P55" t="s">
        <v>250</v>
      </c>
      <c r="Q55" t="s">
        <v>247</v>
      </c>
    </row>
    <row r="56" spans="2:17">
      <c r="B56" s="328"/>
      <c r="C56" s="3">
        <v>12</v>
      </c>
      <c r="D56" t="s">
        <v>408</v>
      </c>
      <c r="E56" t="s">
        <v>248</v>
      </c>
      <c r="F56" t="s">
        <v>247</v>
      </c>
      <c r="M56" s="328"/>
      <c r="N56" s="3">
        <v>12</v>
      </c>
      <c r="O56" t="s">
        <v>408</v>
      </c>
      <c r="P56" t="s">
        <v>248</v>
      </c>
      <c r="Q56" t="s">
        <v>247</v>
      </c>
    </row>
    <row r="57" spans="2:17">
      <c r="B57" s="328"/>
      <c r="C57" s="3">
        <v>15</v>
      </c>
      <c r="D57" t="s">
        <v>386</v>
      </c>
      <c r="E57" t="s">
        <v>249</v>
      </c>
      <c r="F57" t="s">
        <v>247</v>
      </c>
      <c r="M57" s="328"/>
      <c r="N57" s="3">
        <v>15</v>
      </c>
      <c r="O57" t="s">
        <v>386</v>
      </c>
      <c r="P57" t="s">
        <v>249</v>
      </c>
      <c r="Q57" t="s">
        <v>247</v>
      </c>
    </row>
    <row r="58" spans="2:17">
      <c r="B58" s="328"/>
      <c r="C58" s="3">
        <v>990</v>
      </c>
      <c r="D58" t="s">
        <v>571</v>
      </c>
      <c r="E58" t="s">
        <v>588</v>
      </c>
      <c r="F58" t="s">
        <v>240</v>
      </c>
      <c r="M58" s="328"/>
      <c r="N58" s="3">
        <v>0</v>
      </c>
      <c r="O58" t="s">
        <v>571</v>
      </c>
      <c r="P58" t="s">
        <v>588</v>
      </c>
      <c r="Q58" t="s">
        <v>240</v>
      </c>
    </row>
    <row r="59" spans="2:17">
      <c r="B59" s="328"/>
      <c r="M59" s="328"/>
    </row>
    <row r="60" spans="2:17">
      <c r="B60" s="328">
        <v>45914</v>
      </c>
      <c r="C60" s="3">
        <v>0</v>
      </c>
      <c r="D60" t="s">
        <v>466</v>
      </c>
      <c r="E60" t="s">
        <v>250</v>
      </c>
      <c r="F60" t="s">
        <v>247</v>
      </c>
      <c r="M60" s="328">
        <v>45914</v>
      </c>
      <c r="N60" s="3">
        <v>0</v>
      </c>
      <c r="O60" t="s">
        <v>466</v>
      </c>
      <c r="P60" t="s">
        <v>250</v>
      </c>
      <c r="Q60" t="s">
        <v>247</v>
      </c>
    </row>
    <row r="61" spans="2:17">
      <c r="B61" s="328"/>
      <c r="C61" s="3">
        <v>0</v>
      </c>
      <c r="D61" t="s">
        <v>432</v>
      </c>
      <c r="E61" t="s">
        <v>248</v>
      </c>
      <c r="F61" t="s">
        <v>247</v>
      </c>
      <c r="M61" s="328"/>
      <c r="N61" s="3">
        <v>0</v>
      </c>
      <c r="O61" t="s">
        <v>432</v>
      </c>
      <c r="P61" t="s">
        <v>248</v>
      </c>
      <c r="Q61" t="s">
        <v>247</v>
      </c>
    </row>
    <row r="62" spans="2:17">
      <c r="B62" s="328"/>
      <c r="C62" s="3">
        <v>0</v>
      </c>
      <c r="D62" t="s">
        <v>507</v>
      </c>
      <c r="E62" t="s">
        <v>249</v>
      </c>
      <c r="F62" t="s">
        <v>247</v>
      </c>
      <c r="M62" s="328"/>
      <c r="N62" s="3">
        <v>0</v>
      </c>
      <c r="O62" t="s">
        <v>507</v>
      </c>
      <c r="P62" t="s">
        <v>249</v>
      </c>
      <c r="Q62" t="s">
        <v>247</v>
      </c>
    </row>
    <row r="63" spans="2:17">
      <c r="B63" s="328"/>
      <c r="C63" s="3">
        <v>1440</v>
      </c>
      <c r="D63" t="s">
        <v>586</v>
      </c>
      <c r="E63" t="s">
        <v>588</v>
      </c>
      <c r="F63" t="s">
        <v>240</v>
      </c>
      <c r="M63" s="328"/>
      <c r="N63" s="3">
        <v>0</v>
      </c>
      <c r="O63" t="s">
        <v>586</v>
      </c>
      <c r="P63" t="s">
        <v>588</v>
      </c>
      <c r="Q63" t="s">
        <v>240</v>
      </c>
    </row>
    <row r="64" spans="2:17">
      <c r="B64" s="328"/>
      <c r="M64" s="328"/>
    </row>
    <row r="65" spans="2:17">
      <c r="B65" s="328">
        <v>45915</v>
      </c>
      <c r="C65" s="3">
        <v>0</v>
      </c>
      <c r="D65" t="s">
        <v>466</v>
      </c>
      <c r="E65" t="s">
        <v>250</v>
      </c>
      <c r="F65" t="s">
        <v>247</v>
      </c>
      <c r="M65" s="328">
        <v>45915</v>
      </c>
      <c r="N65" s="3">
        <v>0</v>
      </c>
      <c r="O65" t="s">
        <v>466</v>
      </c>
      <c r="P65" t="s">
        <v>250</v>
      </c>
      <c r="Q65" t="s">
        <v>247</v>
      </c>
    </row>
    <row r="66" spans="2:17" ht="12.75" customHeight="1">
      <c r="B66" s="328"/>
      <c r="C66" s="3">
        <v>0</v>
      </c>
      <c r="D66" t="s">
        <v>432</v>
      </c>
      <c r="E66" t="s">
        <v>248</v>
      </c>
      <c r="F66" t="s">
        <v>247</v>
      </c>
      <c r="M66" s="328"/>
      <c r="N66" s="3">
        <v>0</v>
      </c>
      <c r="O66" t="s">
        <v>432</v>
      </c>
      <c r="P66" t="s">
        <v>248</v>
      </c>
      <c r="Q66" t="s">
        <v>247</v>
      </c>
    </row>
    <row r="67" spans="2:17" ht="12.75" customHeight="1">
      <c r="B67" s="328"/>
      <c r="C67" s="3">
        <v>0</v>
      </c>
      <c r="D67" t="s">
        <v>507</v>
      </c>
      <c r="E67" t="s">
        <v>249</v>
      </c>
      <c r="F67" t="s">
        <v>247</v>
      </c>
      <c r="M67" s="328"/>
      <c r="N67" s="3">
        <v>0</v>
      </c>
      <c r="O67" t="s">
        <v>507</v>
      </c>
      <c r="P67" t="s">
        <v>249</v>
      </c>
      <c r="Q67" t="s">
        <v>247</v>
      </c>
    </row>
    <row r="68" spans="2:17" ht="12.75" customHeight="1">
      <c r="B68" s="328"/>
      <c r="C68" s="3">
        <v>1440</v>
      </c>
      <c r="D68" t="s">
        <v>586</v>
      </c>
      <c r="E68" t="s">
        <v>588</v>
      </c>
      <c r="F68" t="s">
        <v>240</v>
      </c>
      <c r="M68" s="328"/>
      <c r="N68" s="3">
        <v>0</v>
      </c>
      <c r="O68" t="s">
        <v>586</v>
      </c>
      <c r="P68" t="s">
        <v>588</v>
      </c>
      <c r="Q68" t="s">
        <v>240</v>
      </c>
    </row>
    <row r="69" spans="2:17" ht="12.75" customHeight="1">
      <c r="B69" s="328"/>
      <c r="M69" s="328"/>
    </row>
    <row r="70" spans="2:17">
      <c r="B70" s="328">
        <v>45916</v>
      </c>
      <c r="C70" s="3">
        <v>0</v>
      </c>
      <c r="D70" t="s">
        <v>466</v>
      </c>
      <c r="E70" t="s">
        <v>250</v>
      </c>
      <c r="F70" t="s">
        <v>247</v>
      </c>
      <c r="M70" s="328">
        <v>45916</v>
      </c>
      <c r="N70" s="3">
        <v>0</v>
      </c>
      <c r="O70" t="s">
        <v>466</v>
      </c>
      <c r="P70" t="s">
        <v>250</v>
      </c>
      <c r="Q70" t="s">
        <v>247</v>
      </c>
    </row>
    <row r="71" spans="2:17">
      <c r="B71" s="328"/>
      <c r="C71" s="3">
        <v>0</v>
      </c>
      <c r="D71" t="s">
        <v>432</v>
      </c>
      <c r="E71" t="s">
        <v>248</v>
      </c>
      <c r="F71" t="s">
        <v>247</v>
      </c>
      <c r="M71" s="328"/>
      <c r="N71" s="3">
        <v>0</v>
      </c>
      <c r="O71" t="s">
        <v>432</v>
      </c>
      <c r="P71" t="s">
        <v>248</v>
      </c>
      <c r="Q71" t="s">
        <v>247</v>
      </c>
    </row>
    <row r="72" spans="2:17">
      <c r="B72" s="328"/>
      <c r="C72" s="3">
        <v>0</v>
      </c>
      <c r="D72" t="s">
        <v>507</v>
      </c>
      <c r="E72" t="s">
        <v>249</v>
      </c>
      <c r="F72" t="s">
        <v>247</v>
      </c>
      <c r="M72" s="328"/>
      <c r="N72" s="3">
        <v>0</v>
      </c>
      <c r="O72" t="s">
        <v>507</v>
      </c>
      <c r="P72" t="s">
        <v>249</v>
      </c>
      <c r="Q72" t="s">
        <v>247</v>
      </c>
    </row>
    <row r="73" spans="2:17">
      <c r="B73" s="328"/>
      <c r="C73" s="3">
        <v>1440</v>
      </c>
      <c r="D73" t="s">
        <v>586</v>
      </c>
      <c r="E73" t="s">
        <v>588</v>
      </c>
      <c r="F73" t="s">
        <v>240</v>
      </c>
      <c r="M73" s="328"/>
      <c r="N73" s="3">
        <v>0</v>
      </c>
      <c r="O73" t="s">
        <v>586</v>
      </c>
      <c r="P73" t="s">
        <v>588</v>
      </c>
      <c r="Q73" t="s">
        <v>240</v>
      </c>
    </row>
    <row r="74" spans="2:17">
      <c r="B74" s="328"/>
      <c r="M74" s="328"/>
    </row>
    <row r="75" spans="2:17">
      <c r="B75" s="328">
        <v>45917</v>
      </c>
      <c r="C75" s="3">
        <v>0</v>
      </c>
      <c r="D75" t="s">
        <v>466</v>
      </c>
      <c r="E75" t="s">
        <v>250</v>
      </c>
      <c r="F75" t="s">
        <v>247</v>
      </c>
      <c r="M75" s="328">
        <v>45917</v>
      </c>
      <c r="N75" s="3">
        <v>0</v>
      </c>
      <c r="O75" t="s">
        <v>466</v>
      </c>
      <c r="P75" t="s">
        <v>250</v>
      </c>
      <c r="Q75" t="s">
        <v>247</v>
      </c>
    </row>
    <row r="76" spans="2:17">
      <c r="B76" s="328"/>
      <c r="C76" s="3">
        <v>0</v>
      </c>
      <c r="D76" t="s">
        <v>432</v>
      </c>
      <c r="E76" t="s">
        <v>248</v>
      </c>
      <c r="F76" t="s">
        <v>247</v>
      </c>
      <c r="M76" s="328"/>
      <c r="N76" s="3">
        <v>0</v>
      </c>
      <c r="O76" t="s">
        <v>432</v>
      </c>
      <c r="P76" t="s">
        <v>248</v>
      </c>
      <c r="Q76" t="s">
        <v>247</v>
      </c>
    </row>
    <row r="77" spans="2:17">
      <c r="B77" s="328"/>
      <c r="C77" s="3">
        <v>0</v>
      </c>
      <c r="D77" t="s">
        <v>507</v>
      </c>
      <c r="E77" t="s">
        <v>249</v>
      </c>
      <c r="F77" t="s">
        <v>247</v>
      </c>
      <c r="M77" s="328"/>
      <c r="N77" s="3">
        <v>0</v>
      </c>
      <c r="O77" t="s">
        <v>507</v>
      </c>
      <c r="P77" t="s">
        <v>249</v>
      </c>
      <c r="Q77" t="s">
        <v>247</v>
      </c>
    </row>
    <row r="78" spans="2:17">
      <c r="B78" s="328"/>
      <c r="C78" s="3">
        <v>1440</v>
      </c>
      <c r="D78" t="s">
        <v>586</v>
      </c>
      <c r="E78" t="s">
        <v>588</v>
      </c>
      <c r="F78" t="s">
        <v>240</v>
      </c>
      <c r="M78" s="328"/>
      <c r="N78" s="3">
        <v>0</v>
      </c>
      <c r="O78" t="s">
        <v>586</v>
      </c>
      <c r="P78" t="s">
        <v>588</v>
      </c>
      <c r="Q78" t="s">
        <v>240</v>
      </c>
    </row>
    <row r="79" spans="2:17">
      <c r="B79" s="328"/>
      <c r="M79" s="328"/>
    </row>
    <row r="80" spans="2:17">
      <c r="B80" s="328">
        <v>45918</v>
      </c>
      <c r="C80" s="3">
        <v>0</v>
      </c>
      <c r="D80" t="s">
        <v>466</v>
      </c>
      <c r="E80" t="s">
        <v>250</v>
      </c>
      <c r="F80" t="s">
        <v>247</v>
      </c>
      <c r="M80" s="328">
        <v>45918</v>
      </c>
      <c r="N80" s="3">
        <v>0</v>
      </c>
      <c r="O80" t="s">
        <v>466</v>
      </c>
      <c r="P80" t="s">
        <v>250</v>
      </c>
      <c r="Q80" t="s">
        <v>247</v>
      </c>
    </row>
    <row r="81" spans="2:17">
      <c r="B81" s="328"/>
      <c r="C81" s="3">
        <v>0</v>
      </c>
      <c r="D81" t="s">
        <v>432</v>
      </c>
      <c r="E81" t="s">
        <v>248</v>
      </c>
      <c r="F81" t="s">
        <v>247</v>
      </c>
      <c r="M81" s="328"/>
      <c r="N81" s="3">
        <v>0</v>
      </c>
      <c r="O81" t="s">
        <v>432</v>
      </c>
      <c r="P81" t="s">
        <v>248</v>
      </c>
      <c r="Q81" t="s">
        <v>247</v>
      </c>
    </row>
    <row r="82" spans="2:17">
      <c r="B82" s="328"/>
      <c r="C82" s="3">
        <v>0</v>
      </c>
      <c r="D82" t="s">
        <v>507</v>
      </c>
      <c r="E82" t="s">
        <v>249</v>
      </c>
      <c r="F82" t="s">
        <v>247</v>
      </c>
      <c r="M82" s="328"/>
      <c r="N82" s="3">
        <v>0</v>
      </c>
      <c r="O82" t="s">
        <v>507</v>
      </c>
      <c r="P82" t="s">
        <v>249</v>
      </c>
      <c r="Q82" t="s">
        <v>247</v>
      </c>
    </row>
    <row r="83" spans="2:17">
      <c r="B83" s="328"/>
      <c r="C83" s="3">
        <v>1440</v>
      </c>
      <c r="D83" t="s">
        <v>586</v>
      </c>
      <c r="E83" t="s">
        <v>588</v>
      </c>
      <c r="F83" t="s">
        <v>240</v>
      </c>
      <c r="M83" s="328"/>
      <c r="N83" s="3">
        <v>0</v>
      </c>
      <c r="O83" t="s">
        <v>586</v>
      </c>
      <c r="P83" t="s">
        <v>588</v>
      </c>
      <c r="Q83" t="s">
        <v>240</v>
      </c>
    </row>
    <row r="84" spans="2:17">
      <c r="B84" s="328"/>
      <c r="M84" s="328"/>
    </row>
    <row r="85" spans="2:17">
      <c r="B85" s="328">
        <v>45919</v>
      </c>
      <c r="C85" s="3">
        <v>0</v>
      </c>
      <c r="D85" t="s">
        <v>466</v>
      </c>
      <c r="E85" t="s">
        <v>250</v>
      </c>
      <c r="F85" t="s">
        <v>247</v>
      </c>
      <c r="M85" s="328">
        <v>45919</v>
      </c>
      <c r="N85" s="3">
        <v>0</v>
      </c>
      <c r="O85" t="s">
        <v>466</v>
      </c>
      <c r="P85" t="s">
        <v>250</v>
      </c>
      <c r="Q85" t="s">
        <v>247</v>
      </c>
    </row>
    <row r="86" spans="2:17">
      <c r="B86" s="328"/>
      <c r="C86" s="3">
        <v>0</v>
      </c>
      <c r="D86" t="s">
        <v>432</v>
      </c>
      <c r="E86" t="s">
        <v>248</v>
      </c>
      <c r="F86" t="s">
        <v>247</v>
      </c>
      <c r="M86" s="328"/>
      <c r="N86" s="3">
        <v>0</v>
      </c>
      <c r="O86" t="s">
        <v>432</v>
      </c>
      <c r="P86" t="s">
        <v>248</v>
      </c>
      <c r="Q86" t="s">
        <v>247</v>
      </c>
    </row>
    <row r="87" spans="2:17">
      <c r="B87" s="328"/>
      <c r="C87" s="3">
        <v>0</v>
      </c>
      <c r="D87" t="s">
        <v>507</v>
      </c>
      <c r="E87" t="s">
        <v>249</v>
      </c>
      <c r="F87" t="s">
        <v>247</v>
      </c>
      <c r="M87" s="328"/>
      <c r="N87" s="3">
        <v>0</v>
      </c>
      <c r="O87" t="s">
        <v>507</v>
      </c>
      <c r="P87" t="s">
        <v>249</v>
      </c>
      <c r="Q87" t="s">
        <v>247</v>
      </c>
    </row>
    <row r="88" spans="2:17">
      <c r="B88" s="328"/>
      <c r="C88" s="3">
        <v>1440</v>
      </c>
      <c r="D88" t="s">
        <v>586</v>
      </c>
      <c r="E88" t="s">
        <v>588</v>
      </c>
      <c r="F88" t="s">
        <v>240</v>
      </c>
      <c r="M88" s="328"/>
      <c r="N88" s="3">
        <v>0</v>
      </c>
      <c r="O88" t="s">
        <v>586</v>
      </c>
      <c r="P88" t="s">
        <v>588</v>
      </c>
      <c r="Q88" t="s">
        <v>240</v>
      </c>
    </row>
    <row r="89" spans="2:17">
      <c r="B89" s="328"/>
      <c r="M89" s="328"/>
    </row>
    <row r="90" spans="2:17">
      <c r="B90" s="328">
        <v>45920</v>
      </c>
      <c r="C90" s="3">
        <v>0</v>
      </c>
      <c r="D90" t="s">
        <v>466</v>
      </c>
      <c r="E90" t="s">
        <v>250</v>
      </c>
      <c r="F90" t="s">
        <v>247</v>
      </c>
      <c r="M90" s="328">
        <v>45920</v>
      </c>
      <c r="N90" s="3">
        <v>0</v>
      </c>
      <c r="O90" t="s">
        <v>466</v>
      </c>
      <c r="P90" t="s">
        <v>250</v>
      </c>
      <c r="Q90" t="s">
        <v>247</v>
      </c>
    </row>
    <row r="91" spans="2:17">
      <c r="B91" s="328"/>
      <c r="C91" s="3">
        <v>0</v>
      </c>
      <c r="D91" t="s">
        <v>432</v>
      </c>
      <c r="E91" t="s">
        <v>248</v>
      </c>
      <c r="F91" t="s">
        <v>247</v>
      </c>
      <c r="M91" s="328"/>
      <c r="N91" s="3">
        <v>0</v>
      </c>
      <c r="O91" t="s">
        <v>432</v>
      </c>
      <c r="P91" t="s">
        <v>248</v>
      </c>
      <c r="Q91" t="s">
        <v>247</v>
      </c>
    </row>
    <row r="92" spans="2:17">
      <c r="B92" s="328"/>
      <c r="C92" s="3">
        <v>0</v>
      </c>
      <c r="D92" t="s">
        <v>507</v>
      </c>
      <c r="E92" t="s">
        <v>249</v>
      </c>
      <c r="F92" t="s">
        <v>247</v>
      </c>
      <c r="M92" s="328"/>
      <c r="N92" s="3">
        <v>0</v>
      </c>
      <c r="O92" t="s">
        <v>507</v>
      </c>
      <c r="P92" t="s">
        <v>249</v>
      </c>
      <c r="Q92" t="s">
        <v>247</v>
      </c>
    </row>
    <row r="93" spans="2:17">
      <c r="B93" s="328"/>
      <c r="C93" s="3">
        <v>1440</v>
      </c>
      <c r="D93" t="s">
        <v>586</v>
      </c>
      <c r="E93" t="s">
        <v>588</v>
      </c>
      <c r="F93" t="s">
        <v>240</v>
      </c>
      <c r="M93" s="328"/>
      <c r="N93" s="3">
        <v>0</v>
      </c>
      <c r="O93" t="s">
        <v>586</v>
      </c>
      <c r="P93" t="s">
        <v>588</v>
      </c>
      <c r="Q93" t="s">
        <v>240</v>
      </c>
    </row>
    <row r="94" spans="2:17">
      <c r="B94" s="328"/>
      <c r="M94" s="328"/>
    </row>
    <row r="95" spans="2:17">
      <c r="B95" s="328">
        <v>45921</v>
      </c>
      <c r="C95" s="3">
        <v>0</v>
      </c>
      <c r="D95" t="s">
        <v>466</v>
      </c>
      <c r="E95" t="s">
        <v>250</v>
      </c>
      <c r="F95" t="s">
        <v>247</v>
      </c>
      <c r="M95" s="328">
        <v>45921</v>
      </c>
      <c r="N95" s="3">
        <v>0</v>
      </c>
      <c r="O95" t="s">
        <v>466</v>
      </c>
      <c r="P95" t="s">
        <v>250</v>
      </c>
      <c r="Q95" t="s">
        <v>247</v>
      </c>
    </row>
    <row r="96" spans="2:17">
      <c r="B96" s="328"/>
      <c r="C96" s="3">
        <v>0</v>
      </c>
      <c r="D96" t="s">
        <v>432</v>
      </c>
      <c r="E96" t="s">
        <v>248</v>
      </c>
      <c r="F96" t="s">
        <v>247</v>
      </c>
      <c r="M96" s="328"/>
      <c r="N96" s="3">
        <v>0</v>
      </c>
      <c r="O96" t="s">
        <v>432</v>
      </c>
      <c r="P96" t="s">
        <v>248</v>
      </c>
      <c r="Q96" t="s">
        <v>247</v>
      </c>
    </row>
    <row r="97" spans="2:17">
      <c r="B97" s="328"/>
      <c r="C97" s="3">
        <v>0</v>
      </c>
      <c r="D97" t="s">
        <v>507</v>
      </c>
      <c r="E97" t="s">
        <v>249</v>
      </c>
      <c r="F97" t="s">
        <v>247</v>
      </c>
      <c r="M97" s="328"/>
      <c r="N97" s="3">
        <v>0</v>
      </c>
      <c r="O97" t="s">
        <v>507</v>
      </c>
      <c r="P97" t="s">
        <v>249</v>
      </c>
      <c r="Q97" t="s">
        <v>247</v>
      </c>
    </row>
    <row r="98" spans="2:17">
      <c r="B98" s="328"/>
      <c r="C98" s="3">
        <v>1440</v>
      </c>
      <c r="D98" t="s">
        <v>586</v>
      </c>
      <c r="E98" t="s">
        <v>588</v>
      </c>
      <c r="F98" t="s">
        <v>240</v>
      </c>
      <c r="M98" s="328"/>
      <c r="N98" s="3">
        <v>0</v>
      </c>
      <c r="O98" t="s">
        <v>586</v>
      </c>
      <c r="P98" t="s">
        <v>588</v>
      </c>
      <c r="Q98" t="s">
        <v>240</v>
      </c>
    </row>
    <row r="99" spans="2:17">
      <c r="B99" s="328"/>
      <c r="M99" s="328"/>
    </row>
    <row r="100" spans="2:17">
      <c r="B100" s="328">
        <v>45922</v>
      </c>
      <c r="C100" s="3">
        <v>0</v>
      </c>
      <c r="D100" t="s">
        <v>466</v>
      </c>
      <c r="E100" t="s">
        <v>250</v>
      </c>
      <c r="F100" t="s">
        <v>247</v>
      </c>
      <c r="M100" s="328">
        <v>45922</v>
      </c>
      <c r="N100" s="3">
        <v>0</v>
      </c>
      <c r="O100" t="s">
        <v>466</v>
      </c>
      <c r="P100" t="s">
        <v>250</v>
      </c>
      <c r="Q100" t="s">
        <v>247</v>
      </c>
    </row>
    <row r="101" spans="2:17">
      <c r="B101" s="328"/>
      <c r="C101" s="3">
        <v>0</v>
      </c>
      <c r="D101" t="s">
        <v>432</v>
      </c>
      <c r="E101" t="s">
        <v>248</v>
      </c>
      <c r="F101" t="s">
        <v>247</v>
      </c>
      <c r="M101" s="328"/>
      <c r="N101" s="3">
        <v>0</v>
      </c>
      <c r="O101" t="s">
        <v>432</v>
      </c>
      <c r="P101" t="s">
        <v>248</v>
      </c>
      <c r="Q101" t="s">
        <v>247</v>
      </c>
    </row>
    <row r="102" spans="2:17">
      <c r="B102" s="328"/>
      <c r="C102" s="3">
        <v>0</v>
      </c>
      <c r="D102" t="s">
        <v>507</v>
      </c>
      <c r="E102" t="s">
        <v>249</v>
      </c>
      <c r="F102" t="s">
        <v>247</v>
      </c>
      <c r="M102" s="328"/>
      <c r="N102" s="3">
        <v>0</v>
      </c>
      <c r="O102" t="s">
        <v>507</v>
      </c>
      <c r="P102" t="s">
        <v>249</v>
      </c>
      <c r="Q102" t="s">
        <v>247</v>
      </c>
    </row>
    <row r="103" spans="2:17">
      <c r="B103" s="328"/>
      <c r="C103" s="3">
        <v>1440</v>
      </c>
      <c r="D103" t="s">
        <v>586</v>
      </c>
      <c r="E103" t="s">
        <v>588</v>
      </c>
      <c r="F103" t="s">
        <v>240</v>
      </c>
      <c r="M103" s="328"/>
      <c r="N103" s="3">
        <v>0</v>
      </c>
      <c r="O103" t="s">
        <v>586</v>
      </c>
      <c r="P103" t="s">
        <v>588</v>
      </c>
      <c r="Q103" t="s">
        <v>240</v>
      </c>
    </row>
    <row r="104" spans="2:17">
      <c r="B104" s="328"/>
      <c r="M104" s="328"/>
    </row>
    <row r="105" spans="2:17">
      <c r="B105" s="328">
        <v>45923</v>
      </c>
      <c r="C105" s="3">
        <v>0</v>
      </c>
      <c r="D105" t="s">
        <v>466</v>
      </c>
      <c r="E105" t="s">
        <v>250</v>
      </c>
      <c r="F105" t="s">
        <v>247</v>
      </c>
      <c r="M105" s="328">
        <v>45923</v>
      </c>
      <c r="N105" s="3">
        <v>0</v>
      </c>
      <c r="O105" t="s">
        <v>466</v>
      </c>
      <c r="P105" t="s">
        <v>250</v>
      </c>
      <c r="Q105" t="s">
        <v>247</v>
      </c>
    </row>
    <row r="106" spans="2:17">
      <c r="B106" s="328"/>
      <c r="C106" s="3">
        <v>0</v>
      </c>
      <c r="D106" t="s">
        <v>432</v>
      </c>
      <c r="E106" t="s">
        <v>248</v>
      </c>
      <c r="F106" t="s">
        <v>247</v>
      </c>
      <c r="M106" s="328"/>
      <c r="N106" s="3">
        <v>0</v>
      </c>
      <c r="O106" t="s">
        <v>432</v>
      </c>
      <c r="P106" t="s">
        <v>248</v>
      </c>
      <c r="Q106" t="s">
        <v>247</v>
      </c>
    </row>
    <row r="107" spans="2:17">
      <c r="B107" s="328"/>
      <c r="C107" s="3">
        <v>0</v>
      </c>
      <c r="D107" t="s">
        <v>507</v>
      </c>
      <c r="E107" t="s">
        <v>249</v>
      </c>
      <c r="F107" t="s">
        <v>247</v>
      </c>
      <c r="M107" s="328"/>
      <c r="N107" s="3">
        <v>0</v>
      </c>
      <c r="O107" t="s">
        <v>507</v>
      </c>
      <c r="P107" t="s">
        <v>249</v>
      </c>
      <c r="Q107" t="s">
        <v>247</v>
      </c>
    </row>
    <row r="108" spans="2:17">
      <c r="B108" s="328"/>
      <c r="C108" s="3">
        <v>1440</v>
      </c>
      <c r="D108" t="s">
        <v>586</v>
      </c>
      <c r="E108" t="s">
        <v>588</v>
      </c>
      <c r="F108" t="s">
        <v>240</v>
      </c>
      <c r="M108" s="328"/>
      <c r="N108" s="3">
        <v>0</v>
      </c>
      <c r="O108" t="s">
        <v>586</v>
      </c>
      <c r="P108" t="s">
        <v>588</v>
      </c>
      <c r="Q108" t="s">
        <v>240</v>
      </c>
    </row>
    <row r="109" spans="2:17">
      <c r="B109" s="328"/>
      <c r="M109" s="328"/>
    </row>
    <row r="110" spans="2:17">
      <c r="B110" s="328">
        <v>45924</v>
      </c>
      <c r="C110" s="3">
        <v>0</v>
      </c>
      <c r="D110" t="s">
        <v>466</v>
      </c>
      <c r="E110" t="s">
        <v>250</v>
      </c>
      <c r="F110" t="s">
        <v>247</v>
      </c>
      <c r="M110" s="328">
        <v>45924</v>
      </c>
      <c r="N110" s="3">
        <v>0</v>
      </c>
      <c r="O110" t="s">
        <v>466</v>
      </c>
      <c r="P110" t="s">
        <v>250</v>
      </c>
      <c r="Q110" t="s">
        <v>247</v>
      </c>
    </row>
    <row r="111" spans="2:17">
      <c r="B111" s="328"/>
      <c r="C111" s="3">
        <v>0</v>
      </c>
      <c r="D111" t="s">
        <v>432</v>
      </c>
      <c r="E111" t="s">
        <v>248</v>
      </c>
      <c r="F111" t="s">
        <v>247</v>
      </c>
      <c r="M111" s="328"/>
      <c r="N111" s="3">
        <v>0</v>
      </c>
      <c r="O111" t="s">
        <v>432</v>
      </c>
      <c r="P111" t="s">
        <v>248</v>
      </c>
      <c r="Q111" t="s">
        <v>247</v>
      </c>
    </row>
    <row r="112" spans="2:17">
      <c r="B112" s="328"/>
      <c r="C112" s="3">
        <v>0</v>
      </c>
      <c r="D112" t="s">
        <v>507</v>
      </c>
      <c r="E112" t="s">
        <v>249</v>
      </c>
      <c r="F112" t="s">
        <v>247</v>
      </c>
      <c r="M112" s="328"/>
      <c r="N112" s="3">
        <v>0</v>
      </c>
      <c r="O112" t="s">
        <v>507</v>
      </c>
      <c r="P112" t="s">
        <v>249</v>
      </c>
      <c r="Q112" t="s">
        <v>247</v>
      </c>
    </row>
    <row r="113" spans="2:17">
      <c r="B113" s="328"/>
      <c r="C113" s="3">
        <v>1440</v>
      </c>
      <c r="D113" t="s">
        <v>586</v>
      </c>
      <c r="E113" t="s">
        <v>588</v>
      </c>
      <c r="F113" t="s">
        <v>240</v>
      </c>
      <c r="M113" s="328"/>
      <c r="N113" s="3">
        <v>0</v>
      </c>
      <c r="O113" t="s">
        <v>586</v>
      </c>
      <c r="P113" t="s">
        <v>588</v>
      </c>
      <c r="Q113" t="s">
        <v>240</v>
      </c>
    </row>
    <row r="114" spans="2:17">
      <c r="B114" s="328"/>
      <c r="M114" s="328"/>
    </row>
    <row r="115" spans="2:17">
      <c r="B115" s="328">
        <v>45925</v>
      </c>
      <c r="C115" s="3">
        <v>0</v>
      </c>
      <c r="D115" t="s">
        <v>466</v>
      </c>
      <c r="E115" t="s">
        <v>250</v>
      </c>
      <c r="F115" t="s">
        <v>247</v>
      </c>
      <c r="M115" s="328">
        <v>45925</v>
      </c>
      <c r="N115" s="3">
        <v>0</v>
      </c>
      <c r="O115" t="s">
        <v>466</v>
      </c>
      <c r="P115" t="s">
        <v>250</v>
      </c>
      <c r="Q115" t="s">
        <v>247</v>
      </c>
    </row>
    <row r="116" spans="2:17">
      <c r="B116" s="328"/>
      <c r="C116" s="3">
        <v>0</v>
      </c>
      <c r="D116" t="s">
        <v>432</v>
      </c>
      <c r="E116" t="s">
        <v>248</v>
      </c>
      <c r="F116" t="s">
        <v>247</v>
      </c>
      <c r="M116" s="328"/>
      <c r="N116" s="3">
        <v>0</v>
      </c>
      <c r="O116" t="s">
        <v>432</v>
      </c>
      <c r="P116" t="s">
        <v>248</v>
      </c>
      <c r="Q116" t="s">
        <v>247</v>
      </c>
    </row>
    <row r="117" spans="2:17">
      <c r="B117" s="328"/>
      <c r="C117" s="3">
        <v>0</v>
      </c>
      <c r="D117" t="s">
        <v>507</v>
      </c>
      <c r="E117" t="s">
        <v>249</v>
      </c>
      <c r="F117" t="s">
        <v>247</v>
      </c>
      <c r="M117" s="328"/>
      <c r="N117" s="3">
        <v>0</v>
      </c>
      <c r="O117" t="s">
        <v>507</v>
      </c>
      <c r="P117" t="s">
        <v>249</v>
      </c>
      <c r="Q117" t="s">
        <v>247</v>
      </c>
    </row>
    <row r="118" spans="2:17">
      <c r="B118" s="328"/>
      <c r="C118" s="3">
        <v>1440</v>
      </c>
      <c r="D118" t="s">
        <v>586</v>
      </c>
      <c r="E118" t="s">
        <v>588</v>
      </c>
      <c r="F118" t="s">
        <v>240</v>
      </c>
      <c r="M118" s="328"/>
      <c r="N118" s="3">
        <v>0</v>
      </c>
      <c r="O118" t="s">
        <v>586</v>
      </c>
      <c r="P118" t="s">
        <v>588</v>
      </c>
      <c r="Q118" t="s">
        <v>240</v>
      </c>
    </row>
    <row r="119" spans="2:17">
      <c r="B119" s="328"/>
      <c r="M119" s="328"/>
    </row>
    <row r="120" spans="2:17">
      <c r="B120" s="328">
        <v>45926</v>
      </c>
      <c r="C120" s="3">
        <v>0</v>
      </c>
      <c r="D120" t="s">
        <v>466</v>
      </c>
      <c r="E120" t="s">
        <v>250</v>
      </c>
      <c r="F120" t="s">
        <v>247</v>
      </c>
      <c r="M120" s="328">
        <v>45926</v>
      </c>
      <c r="N120" s="3">
        <v>0</v>
      </c>
      <c r="O120" t="s">
        <v>466</v>
      </c>
      <c r="P120" t="s">
        <v>250</v>
      </c>
      <c r="Q120" t="s">
        <v>247</v>
      </c>
    </row>
    <row r="121" spans="2:17">
      <c r="B121" s="328"/>
      <c r="C121" s="3">
        <v>0</v>
      </c>
      <c r="D121" t="s">
        <v>432</v>
      </c>
      <c r="E121" t="s">
        <v>248</v>
      </c>
      <c r="F121" t="s">
        <v>247</v>
      </c>
      <c r="M121" s="328"/>
      <c r="N121" s="3">
        <v>0</v>
      </c>
      <c r="O121" t="s">
        <v>432</v>
      </c>
      <c r="P121" t="s">
        <v>248</v>
      </c>
      <c r="Q121" t="s">
        <v>247</v>
      </c>
    </row>
    <row r="122" spans="2:17">
      <c r="B122" s="328"/>
      <c r="C122" s="3">
        <v>0</v>
      </c>
      <c r="D122" t="s">
        <v>507</v>
      </c>
      <c r="E122" t="s">
        <v>249</v>
      </c>
      <c r="F122" t="s">
        <v>247</v>
      </c>
      <c r="M122" s="328"/>
      <c r="N122" s="3">
        <v>0</v>
      </c>
      <c r="O122" t="s">
        <v>507</v>
      </c>
      <c r="P122" t="s">
        <v>249</v>
      </c>
      <c r="Q122" t="s">
        <v>247</v>
      </c>
    </row>
    <row r="123" spans="2:17">
      <c r="B123" s="328"/>
      <c r="C123" s="3">
        <v>1440</v>
      </c>
      <c r="D123" t="s">
        <v>586</v>
      </c>
      <c r="E123" t="s">
        <v>588</v>
      </c>
      <c r="F123" t="s">
        <v>240</v>
      </c>
      <c r="M123" s="328"/>
      <c r="N123" s="3">
        <v>0</v>
      </c>
      <c r="O123" t="s">
        <v>586</v>
      </c>
      <c r="P123" t="s">
        <v>588</v>
      </c>
      <c r="Q123" t="s">
        <v>240</v>
      </c>
    </row>
    <row r="124" spans="2:17">
      <c r="B124" s="328"/>
      <c r="M124" s="328"/>
    </row>
    <row r="125" spans="2:17">
      <c r="B125" s="328">
        <v>45927</v>
      </c>
      <c r="C125" s="3">
        <v>0</v>
      </c>
      <c r="D125" t="s">
        <v>466</v>
      </c>
      <c r="E125" t="s">
        <v>250</v>
      </c>
      <c r="F125" t="s">
        <v>247</v>
      </c>
      <c r="M125" s="328">
        <v>45927</v>
      </c>
      <c r="N125" s="3">
        <v>0</v>
      </c>
      <c r="O125" t="s">
        <v>466</v>
      </c>
      <c r="P125" t="s">
        <v>250</v>
      </c>
      <c r="Q125" t="s">
        <v>247</v>
      </c>
    </row>
    <row r="126" spans="2:17">
      <c r="B126" s="328"/>
      <c r="C126" s="3">
        <v>0</v>
      </c>
      <c r="D126" t="s">
        <v>432</v>
      </c>
      <c r="E126" t="s">
        <v>248</v>
      </c>
      <c r="F126" t="s">
        <v>247</v>
      </c>
      <c r="M126" s="328"/>
      <c r="N126" s="3">
        <v>0</v>
      </c>
      <c r="O126" t="s">
        <v>432</v>
      </c>
      <c r="P126" t="s">
        <v>248</v>
      </c>
      <c r="Q126" t="s">
        <v>247</v>
      </c>
    </row>
    <row r="127" spans="2:17">
      <c r="B127" s="328"/>
      <c r="C127" s="3">
        <v>0</v>
      </c>
      <c r="D127" t="s">
        <v>507</v>
      </c>
      <c r="E127" t="s">
        <v>249</v>
      </c>
      <c r="F127" t="s">
        <v>247</v>
      </c>
      <c r="M127" s="328"/>
      <c r="N127" s="3">
        <v>0</v>
      </c>
      <c r="O127" t="s">
        <v>507</v>
      </c>
      <c r="P127" t="s">
        <v>249</v>
      </c>
      <c r="Q127" t="s">
        <v>247</v>
      </c>
    </row>
    <row r="128" spans="2:17">
      <c r="B128" s="328"/>
      <c r="C128" s="3">
        <v>1440</v>
      </c>
      <c r="D128" t="s">
        <v>586</v>
      </c>
      <c r="E128" t="s">
        <v>588</v>
      </c>
      <c r="F128" t="s">
        <v>240</v>
      </c>
      <c r="M128" s="328"/>
      <c r="N128" s="3">
        <v>0</v>
      </c>
      <c r="O128" t="s">
        <v>586</v>
      </c>
      <c r="P128" t="s">
        <v>588</v>
      </c>
      <c r="Q128" t="s">
        <v>240</v>
      </c>
    </row>
    <row r="129" spans="2:18">
      <c r="B129" s="328"/>
      <c r="M129" s="328"/>
    </row>
    <row r="130" spans="2:18">
      <c r="B130" s="328">
        <v>45928</v>
      </c>
      <c r="C130" s="3">
        <v>0</v>
      </c>
      <c r="D130" t="s">
        <v>466</v>
      </c>
      <c r="E130" t="s">
        <v>250</v>
      </c>
      <c r="F130" t="s">
        <v>247</v>
      </c>
      <c r="M130" s="328">
        <v>45928</v>
      </c>
      <c r="N130" s="3">
        <v>0</v>
      </c>
      <c r="O130" t="s">
        <v>466</v>
      </c>
      <c r="P130" t="s">
        <v>250</v>
      </c>
      <c r="Q130" t="s">
        <v>247</v>
      </c>
    </row>
    <row r="131" spans="2:18">
      <c r="B131" s="328"/>
      <c r="C131" s="3">
        <v>0</v>
      </c>
      <c r="D131" t="s">
        <v>432</v>
      </c>
      <c r="E131" t="s">
        <v>248</v>
      </c>
      <c r="F131" t="s">
        <v>247</v>
      </c>
      <c r="M131" s="328"/>
      <c r="N131" s="3">
        <v>0</v>
      </c>
      <c r="O131" t="s">
        <v>432</v>
      </c>
      <c r="P131" t="s">
        <v>248</v>
      </c>
      <c r="Q131" t="s">
        <v>247</v>
      </c>
    </row>
    <row r="132" spans="2:18">
      <c r="B132" s="328"/>
      <c r="C132" s="3">
        <v>0</v>
      </c>
      <c r="D132" t="s">
        <v>507</v>
      </c>
      <c r="E132" t="s">
        <v>249</v>
      </c>
      <c r="F132" t="s">
        <v>247</v>
      </c>
      <c r="M132" s="328"/>
      <c r="N132" s="3">
        <v>0</v>
      </c>
      <c r="O132" t="s">
        <v>507</v>
      </c>
      <c r="P132" t="s">
        <v>249</v>
      </c>
      <c r="Q132" t="s">
        <v>247</v>
      </c>
    </row>
    <row r="133" spans="2:18">
      <c r="B133" s="328"/>
      <c r="C133" s="3">
        <v>1440</v>
      </c>
      <c r="D133" t="s">
        <v>586</v>
      </c>
      <c r="E133" t="s">
        <v>588</v>
      </c>
      <c r="F133" t="s">
        <v>240</v>
      </c>
      <c r="M133" s="328"/>
      <c r="N133" s="3">
        <v>0</v>
      </c>
      <c r="O133" t="s">
        <v>586</v>
      </c>
      <c r="P133" t="s">
        <v>588</v>
      </c>
      <c r="Q133" t="s">
        <v>240</v>
      </c>
    </row>
    <row r="134" spans="2:18">
      <c r="B134" s="328"/>
      <c r="M134" s="328"/>
    </row>
    <row r="135" spans="2:18">
      <c r="B135" s="328">
        <v>45929</v>
      </c>
      <c r="C135" s="3">
        <v>0</v>
      </c>
      <c r="D135" t="s">
        <v>466</v>
      </c>
      <c r="E135" t="s">
        <v>250</v>
      </c>
      <c r="F135" t="s">
        <v>247</v>
      </c>
      <c r="M135" s="328">
        <v>45929</v>
      </c>
      <c r="N135" s="3">
        <v>0</v>
      </c>
      <c r="O135" t="s">
        <v>466</v>
      </c>
      <c r="P135" t="s">
        <v>250</v>
      </c>
      <c r="Q135" t="s">
        <v>247</v>
      </c>
    </row>
    <row r="136" spans="2:18">
      <c r="B136" s="328"/>
      <c r="C136" s="3">
        <v>0</v>
      </c>
      <c r="D136" t="s">
        <v>432</v>
      </c>
      <c r="E136" t="s">
        <v>248</v>
      </c>
      <c r="F136" t="s">
        <v>247</v>
      </c>
      <c r="M136" s="328"/>
      <c r="N136" s="3">
        <v>0</v>
      </c>
      <c r="O136" t="s">
        <v>432</v>
      </c>
      <c r="P136" t="s">
        <v>248</v>
      </c>
      <c r="Q136" t="s">
        <v>247</v>
      </c>
    </row>
    <row r="137" spans="2:18">
      <c r="B137" s="328"/>
      <c r="C137" s="3">
        <v>0</v>
      </c>
      <c r="D137" t="s">
        <v>507</v>
      </c>
      <c r="E137" t="s">
        <v>249</v>
      </c>
      <c r="F137" t="s">
        <v>247</v>
      </c>
      <c r="M137" s="328"/>
      <c r="N137" s="3">
        <v>0</v>
      </c>
      <c r="O137" t="s">
        <v>507</v>
      </c>
      <c r="P137" t="s">
        <v>249</v>
      </c>
      <c r="Q137" t="s">
        <v>247</v>
      </c>
    </row>
    <row r="138" spans="2:18" ht="12.75" customHeight="1">
      <c r="B138" s="328"/>
      <c r="C138" s="3">
        <v>1440</v>
      </c>
      <c r="D138" t="s">
        <v>586</v>
      </c>
      <c r="E138" t="s">
        <v>588</v>
      </c>
      <c r="F138" t="s">
        <v>240</v>
      </c>
      <c r="M138" s="328"/>
      <c r="N138" s="3">
        <v>0</v>
      </c>
      <c r="O138" t="s">
        <v>586</v>
      </c>
      <c r="P138" t="s">
        <v>588</v>
      </c>
      <c r="Q138" t="s">
        <v>240</v>
      </c>
    </row>
    <row r="139" spans="2:18">
      <c r="B139" s="328"/>
      <c r="M139" s="328"/>
    </row>
    <row r="140" spans="2:18">
      <c r="B140" s="328">
        <v>45930</v>
      </c>
      <c r="C140" s="3">
        <v>0</v>
      </c>
      <c r="D140" t="s">
        <v>466</v>
      </c>
      <c r="E140" t="s">
        <v>250</v>
      </c>
      <c r="F140" t="s">
        <v>247</v>
      </c>
      <c r="M140" s="328">
        <v>45930</v>
      </c>
      <c r="N140" s="3">
        <v>0</v>
      </c>
      <c r="O140" t="s">
        <v>466</v>
      </c>
      <c r="P140" t="s">
        <v>250</v>
      </c>
      <c r="Q140" t="s">
        <v>247</v>
      </c>
    </row>
    <row r="141" spans="2:18">
      <c r="B141" s="328"/>
      <c r="C141" s="3">
        <v>0</v>
      </c>
      <c r="D141" t="s">
        <v>432</v>
      </c>
      <c r="E141" t="s">
        <v>248</v>
      </c>
      <c r="F141" t="s">
        <v>247</v>
      </c>
      <c r="M141" s="328"/>
      <c r="N141" s="3">
        <v>0</v>
      </c>
      <c r="O141" t="s">
        <v>432</v>
      </c>
      <c r="P141" t="s">
        <v>248</v>
      </c>
      <c r="Q141" t="s">
        <v>247</v>
      </c>
    </row>
    <row r="142" spans="2:18">
      <c r="B142" s="328"/>
      <c r="C142" s="3">
        <v>0</v>
      </c>
      <c r="D142" t="s">
        <v>507</v>
      </c>
      <c r="E142" t="s">
        <v>249</v>
      </c>
      <c r="F142" t="s">
        <v>247</v>
      </c>
      <c r="M142" s="328"/>
      <c r="N142" s="3">
        <v>0</v>
      </c>
      <c r="O142" t="s">
        <v>507</v>
      </c>
      <c r="P142" t="s">
        <v>249</v>
      </c>
      <c r="Q142" t="s">
        <v>247</v>
      </c>
    </row>
    <row r="143" spans="2:18">
      <c r="B143" s="328"/>
      <c r="C143" s="3">
        <v>1440</v>
      </c>
      <c r="D143" t="s">
        <v>586</v>
      </c>
      <c r="E143" t="s">
        <v>588</v>
      </c>
      <c r="F143" t="s">
        <v>240</v>
      </c>
      <c r="M143" s="328"/>
      <c r="N143" s="3">
        <v>0</v>
      </c>
      <c r="O143" t="s">
        <v>586</v>
      </c>
      <c r="P143" t="s">
        <v>588</v>
      </c>
      <c r="Q143" t="s">
        <v>240</v>
      </c>
    </row>
    <row r="144" spans="2:18">
      <c r="B144" s="328"/>
      <c r="M144" s="328"/>
      <c r="R144" s="513">
        <f>+summary!Q52</f>
        <v>0</v>
      </c>
    </row>
    <row r="145" spans="2:13">
      <c r="B145" s="328"/>
      <c r="G145" s="513">
        <f>+summary!H52</f>
        <v>0</v>
      </c>
      <c r="M145" s="328"/>
    </row>
    <row r="146" spans="2:13">
      <c r="B146" s="328"/>
      <c r="M146" s="328"/>
    </row>
    <row r="147" spans="2:13">
      <c r="B147" s="328"/>
      <c r="M147" s="328"/>
    </row>
    <row r="148" spans="2:13">
      <c r="B148" s="328"/>
      <c r="M148" s="328"/>
    </row>
    <row r="149" spans="2:13">
      <c r="B149" s="328"/>
      <c r="M149" s="328"/>
    </row>
    <row r="150" spans="2:13">
      <c r="B150" s="328"/>
      <c r="M150" s="328"/>
    </row>
    <row r="151" spans="2:13">
      <c r="B151" s="328"/>
      <c r="M151" s="328"/>
    </row>
    <row r="152" spans="2:13">
      <c r="B152" s="328"/>
      <c r="M152" s="328"/>
    </row>
    <row r="153" spans="2:13">
      <c r="B153" s="328"/>
      <c r="M153" s="328"/>
    </row>
    <row r="154" spans="2:13">
      <c r="B154" s="328"/>
      <c r="M154" s="328"/>
    </row>
    <row r="155" spans="2:13">
      <c r="B155" s="328"/>
      <c r="M155" s="328"/>
    </row>
  </sheetData>
  <autoFilter ref="B1:F121"/>
  <conditionalFormatting sqref="G1:G7 R1:R7 R9:R76 R144 G9:G68 G70:G115 G117:G1048576">
    <cfRule type="cellIs" dxfId="7" priority="2" operator="greaterThan">
      <formula>0</formula>
    </cfRule>
  </conditionalFormatting>
  <conditionalFormatting sqref="R78:R104 R106:R143 R145:R1048576">
    <cfRule type="cellIs" dxfId="6" priority="1" operator="greaterThan">
      <formula>0</formula>
    </cfRule>
  </conditionalFormatting>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2"/>
  <sheetViews>
    <sheetView topLeftCell="I7" workbookViewId="0">
      <selection activeCell="Q40" sqref="Q40"/>
    </sheetView>
  </sheetViews>
  <sheetFormatPr defaultRowHeight="12.75"/>
  <cols>
    <col min="1" max="1" width="15.28515625" bestFit="1" customWidth="1"/>
    <col min="2" max="2" width="23.28515625" bestFit="1" customWidth="1"/>
    <col min="3" max="3" width="34.28515625" style="547" customWidth="1"/>
    <col min="4" max="8" width="13.5703125" customWidth="1"/>
    <col min="10" max="10" width="15.28515625" bestFit="1" customWidth="1"/>
    <col min="11" max="11" width="23.28515625" bestFit="1" customWidth="1"/>
    <col min="12" max="12" width="34.28515625" style="547" customWidth="1"/>
    <col min="13" max="17" width="13.5703125" customWidth="1"/>
  </cols>
  <sheetData>
    <row r="1" spans="1:17" ht="15">
      <c r="A1" s="422" t="s">
        <v>270</v>
      </c>
      <c r="E1" s="453"/>
      <c r="F1" s="1"/>
      <c r="J1" s="422" t="s">
        <v>375</v>
      </c>
      <c r="N1" s="453"/>
      <c r="O1" s="1"/>
    </row>
    <row r="2" spans="1:17" ht="30">
      <c r="A2" s="750" t="s">
        <v>231</v>
      </c>
      <c r="B2" s="750" t="s">
        <v>232</v>
      </c>
      <c r="C2" s="751" t="s">
        <v>233</v>
      </c>
      <c r="D2" s="454" t="s">
        <v>234</v>
      </c>
      <c r="E2" s="546" t="s">
        <v>235</v>
      </c>
      <c r="F2" s="456" t="s">
        <v>236</v>
      </c>
      <c r="G2" s="546" t="s">
        <v>237</v>
      </c>
      <c r="H2" s="546" t="s">
        <v>238</v>
      </c>
      <c r="J2" s="750" t="s">
        <v>231</v>
      </c>
      <c r="K2" s="750" t="s">
        <v>232</v>
      </c>
      <c r="L2" s="749" t="s">
        <v>233</v>
      </c>
      <c r="M2" s="454" t="s">
        <v>234</v>
      </c>
      <c r="N2" s="546" t="s">
        <v>235</v>
      </c>
      <c r="O2" s="456" t="s">
        <v>236</v>
      </c>
      <c r="P2" s="546" t="s">
        <v>237</v>
      </c>
      <c r="Q2" s="546" t="s">
        <v>238</v>
      </c>
    </row>
    <row r="3" spans="1:17" ht="15">
      <c r="A3" s="750"/>
      <c r="B3" s="750"/>
      <c r="C3" s="752"/>
      <c r="D3" s="454" t="s">
        <v>410</v>
      </c>
      <c r="E3" s="454" t="str">
        <f>+D3</f>
        <v>SEPTEMBER</v>
      </c>
      <c r="F3" s="454" t="str">
        <f>+E3</f>
        <v>SEPTEMBER</v>
      </c>
      <c r="G3" s="454" t="str">
        <f>+F3</f>
        <v>SEPTEMBER</v>
      </c>
      <c r="H3" s="454" t="str">
        <f>+G3</f>
        <v>SEPTEMBER</v>
      </c>
      <c r="J3" s="750"/>
      <c r="K3" s="750"/>
      <c r="L3" s="749"/>
      <c r="M3" s="454" t="str">
        <f>+H3</f>
        <v>SEPTEMBER</v>
      </c>
      <c r="N3" s="454" t="str">
        <f>+M3</f>
        <v>SEPTEMBER</v>
      </c>
      <c r="O3" s="454" t="str">
        <f>+N3</f>
        <v>SEPTEMBER</v>
      </c>
      <c r="P3" s="454" t="str">
        <f>+O3</f>
        <v>SEPTEMBER</v>
      </c>
      <c r="Q3" s="454" t="str">
        <f>+P3</f>
        <v>SEPTEMBER</v>
      </c>
    </row>
    <row r="4" spans="1:17" ht="15">
      <c r="A4" s="734" t="s">
        <v>239</v>
      </c>
      <c r="B4" s="545" t="s">
        <v>303</v>
      </c>
      <c r="C4" s="548"/>
      <c r="D4" s="6">
        <f>SUMIFS(Sheet1!$C$2:$C$180,Sheet1!$F$2:$F$180,B4,Sheet1!$E$2:$E$180,C4)</f>
        <v>0</v>
      </c>
      <c r="E4" s="6">
        <f>D4/Sheet1!$I$9*Sheet1!$I$10</f>
        <v>0</v>
      </c>
      <c r="F4" s="471">
        <f>D4/Sheet1!$I$9*Sheet1!$I$11</f>
        <v>0</v>
      </c>
      <c r="G4" s="544">
        <f>F4</f>
        <v>0</v>
      </c>
      <c r="H4" s="748">
        <f>SUM(G4:G11)</f>
        <v>0.5863561961510374</v>
      </c>
      <c r="J4" s="734" t="s">
        <v>239</v>
      </c>
      <c r="K4" s="545" t="s">
        <v>303</v>
      </c>
      <c r="L4" s="548"/>
      <c r="M4" s="6">
        <f>SUMIFS(Sheet1!$N$2:$N$180,Sheet1!$Q$2:$Q$180,K4,Sheet1!$P$2:$P$180,L4)</f>
        <v>0</v>
      </c>
      <c r="N4" s="6">
        <f>M4/Sheet1!$T$9*Sheet1!$T$10</f>
        <v>0</v>
      </c>
      <c r="O4" s="471">
        <f>M4/Sheet1!$T$9*Sheet1!$T$11</f>
        <v>0</v>
      </c>
      <c r="P4" s="544">
        <f>O4</f>
        <v>0</v>
      </c>
      <c r="Q4" s="748">
        <f>SUM(P4:P11)</f>
        <v>0</v>
      </c>
    </row>
    <row r="5" spans="1:17" ht="15">
      <c r="A5" s="734"/>
      <c r="B5" s="545" t="s">
        <v>240</v>
      </c>
      <c r="C5" s="548" t="s">
        <v>588</v>
      </c>
      <c r="D5" s="6">
        <f>SUMIFS(Sheet1!$C$2:$C$180,Sheet1!$F$2:$F$180,B5,Sheet1!$E$2:$E$180,C5)</f>
        <v>25470</v>
      </c>
      <c r="E5" s="6">
        <f>D5/Sheet1!$I$9*Sheet1!$I$10</f>
        <v>762.86133330067219</v>
      </c>
      <c r="F5" s="471">
        <f>D5/Sheet1!$I$9*Sheet1!$I$11</f>
        <v>0.5863561961510374</v>
      </c>
      <c r="G5" s="549">
        <f t="shared" ref="G5:G14" si="0">F5</f>
        <v>0.5863561961510374</v>
      </c>
      <c r="H5" s="734"/>
      <c r="J5" s="734"/>
      <c r="K5" s="545" t="s">
        <v>240</v>
      </c>
      <c r="L5" s="548" t="s">
        <v>588</v>
      </c>
      <c r="M5" s="6">
        <f>SUMIFS(Sheet1!$N$2:$N$180,Sheet1!$Q$2:$Q$180,K5,Sheet1!$P$2:$P$180,L5)</f>
        <v>0</v>
      </c>
      <c r="N5" s="6">
        <f>M5/Sheet1!$T$9*Sheet1!$T$10</f>
        <v>0</v>
      </c>
      <c r="O5" s="471">
        <f>M5/Sheet1!$T$9*Sheet1!$T$11</f>
        <v>0</v>
      </c>
      <c r="P5" s="549">
        <f t="shared" ref="P5:P14" si="1">O5</f>
        <v>0</v>
      </c>
      <c r="Q5" s="734"/>
    </row>
    <row r="6" spans="1:17" ht="15">
      <c r="A6" s="734"/>
      <c r="B6" s="737" t="s">
        <v>310</v>
      </c>
      <c r="C6" s="548"/>
      <c r="D6" s="6">
        <f>SUMIFS(Sheet1!$C$2:$C$180,Sheet1!$F$2:$F$180,B6,Sheet1!$E$2:$E$180,C6)</f>
        <v>0</v>
      </c>
      <c r="E6" s="6">
        <f>D6/Sheet1!$I$9*Sheet1!$I$10</f>
        <v>0</v>
      </c>
      <c r="F6" s="471">
        <f>D6/Sheet1!$I$9*Sheet1!$I$11</f>
        <v>0</v>
      </c>
      <c r="G6" s="549">
        <f t="shared" si="0"/>
        <v>0</v>
      </c>
      <c r="H6" s="734"/>
      <c r="J6" s="734"/>
      <c r="K6" s="737" t="s">
        <v>310</v>
      </c>
      <c r="L6" s="548"/>
      <c r="M6" s="6">
        <f>SUMIFS(Sheet1!$N$2:$N$180,Sheet1!$Q$2:$Q$180,K6,Sheet1!$P$2:$P$180,L6)</f>
        <v>0</v>
      </c>
      <c r="N6" s="6">
        <f>M6/Sheet1!$T$9*Sheet1!$T$10</f>
        <v>0</v>
      </c>
      <c r="O6" s="471">
        <f>M6/Sheet1!$T$9*Sheet1!$T$11</f>
        <v>0</v>
      </c>
      <c r="P6" s="549">
        <f t="shared" si="1"/>
        <v>0</v>
      </c>
      <c r="Q6" s="734"/>
    </row>
    <row r="7" spans="1:17" ht="15">
      <c r="A7" s="734"/>
      <c r="B7" s="738"/>
      <c r="C7" s="548"/>
      <c r="D7" s="6">
        <f>SUMIFS(Sheet1!$C$2:$C$180,Sheet1!$F$2:$F$180,B6,Sheet1!$E$2:$E$180,C7)</f>
        <v>0</v>
      </c>
      <c r="E7" s="6">
        <f>D7/Sheet1!$I$9*Sheet1!$I$10</f>
        <v>0</v>
      </c>
      <c r="F7" s="471">
        <f>D7/Sheet1!$I$9*Sheet1!$I$11</f>
        <v>0</v>
      </c>
      <c r="G7" s="549">
        <f t="shared" si="0"/>
        <v>0</v>
      </c>
      <c r="H7" s="734"/>
      <c r="J7" s="734"/>
      <c r="K7" s="738"/>
      <c r="L7" s="548"/>
      <c r="M7" s="6">
        <f>SUMIFS(Sheet1!$N$2:$N$180,Sheet1!$Q$2:$Q$180,K6,Sheet1!$P$2:$P$180,L7)</f>
        <v>0</v>
      </c>
      <c r="N7" s="6">
        <f>M7/Sheet1!$T$9*Sheet1!$T$10</f>
        <v>0</v>
      </c>
      <c r="O7" s="471">
        <f>M7/Sheet1!$T$9*Sheet1!$T$11</f>
        <v>0</v>
      </c>
      <c r="P7" s="549">
        <f t="shared" si="1"/>
        <v>0</v>
      </c>
      <c r="Q7" s="734"/>
    </row>
    <row r="8" spans="1:17">
      <c r="A8" s="734"/>
      <c r="B8" s="737" t="s">
        <v>309</v>
      </c>
      <c r="C8" s="548"/>
      <c r="D8" s="6">
        <f>SUMIFS(Sheet1!$C$2:$C$180,Sheet1!$F$2:$F$180,B8,Sheet1!$E$2:$E$180,C8)</f>
        <v>0</v>
      </c>
      <c r="E8" s="6">
        <f>D8/Sheet1!$I$9*Sheet1!$I$10</f>
        <v>0</v>
      </c>
      <c r="F8" s="471">
        <f>D8/Sheet1!$I$9*Sheet1!$I$11</f>
        <v>0</v>
      </c>
      <c r="G8" s="550">
        <f t="shared" si="0"/>
        <v>0</v>
      </c>
      <c r="H8" s="734"/>
      <c r="J8" s="734"/>
      <c r="K8" s="737" t="s">
        <v>309</v>
      </c>
      <c r="L8" s="548"/>
      <c r="M8" s="6">
        <f>SUMIFS(Sheet1!$N$2:$N$180,Sheet1!$Q$2:$Q$180,K8,Sheet1!$P$2:$P$180,L8)</f>
        <v>0</v>
      </c>
      <c r="N8" s="6">
        <f>M8/Sheet1!$T$9*Sheet1!$T$10</f>
        <v>0</v>
      </c>
      <c r="O8" s="471">
        <f>M8/Sheet1!$T$9*Sheet1!$T$11</f>
        <v>0</v>
      </c>
      <c r="P8" s="550">
        <f t="shared" si="1"/>
        <v>0</v>
      </c>
      <c r="Q8" s="734"/>
    </row>
    <row r="9" spans="1:17">
      <c r="A9" s="734"/>
      <c r="B9" s="738"/>
      <c r="C9" s="548"/>
      <c r="D9" s="6">
        <f>SUMIFS(Sheet1!$C$2:$C$180,Sheet1!$F$2:$F$180,B8,Sheet1!$E$2:$E$180,C9)</f>
        <v>0</v>
      </c>
      <c r="E9" s="6">
        <f>D9/Sheet1!$I$9*Sheet1!$I$10</f>
        <v>0</v>
      </c>
      <c r="F9" s="471">
        <f>D9/Sheet1!$I$9*Sheet1!$I$11</f>
        <v>0</v>
      </c>
      <c r="G9" s="550">
        <f t="shared" si="0"/>
        <v>0</v>
      </c>
      <c r="H9" s="734"/>
      <c r="J9" s="734"/>
      <c r="K9" s="738"/>
      <c r="L9" s="548"/>
      <c r="M9" s="6">
        <f>SUMIFS(Sheet1!$N$2:$N$180,Sheet1!$Q$2:$Q$180,K8,Sheet1!$P$2:$P$180,L9)</f>
        <v>0</v>
      </c>
      <c r="N9" s="6">
        <f>M9/Sheet1!$T$9*Sheet1!$T$10</f>
        <v>0</v>
      </c>
      <c r="O9" s="471">
        <f>M9/Sheet1!$T$9*Sheet1!$T$11</f>
        <v>0</v>
      </c>
      <c r="P9" s="550">
        <f t="shared" si="1"/>
        <v>0</v>
      </c>
      <c r="Q9" s="734"/>
    </row>
    <row r="10" spans="1:17" ht="15" customHeight="1">
      <c r="A10" s="734"/>
      <c r="B10" s="737" t="s">
        <v>376</v>
      </c>
      <c r="C10" s="548"/>
      <c r="D10" s="6">
        <f>SUMIFS(Sheet1!$C$2:$C$180,Sheet1!$F$2:$F$180,B10,Sheet1!$E$2:$E$180,C10)</f>
        <v>0</v>
      </c>
      <c r="E10" s="6">
        <f>D10/Sheet1!$I$9*Sheet1!$I$10</f>
        <v>0</v>
      </c>
      <c r="F10" s="471">
        <f>D10/Sheet1!$I$9*Sheet1!$I$11</f>
        <v>0</v>
      </c>
      <c r="G10" s="550">
        <f t="shared" si="0"/>
        <v>0</v>
      </c>
      <c r="H10" s="734"/>
      <c r="J10" s="734"/>
      <c r="K10" s="737" t="s">
        <v>376</v>
      </c>
      <c r="L10" s="548"/>
      <c r="M10" s="6">
        <f>SUMIFS(Sheet1!$N$2:$N$180,Sheet1!$Q$2:$Q$180,K10,Sheet1!$P$2:$P$180,L10)</f>
        <v>0</v>
      </c>
      <c r="N10" s="6">
        <f>M10/Sheet1!$T$9*Sheet1!$T$10</f>
        <v>0</v>
      </c>
      <c r="O10" s="471">
        <f>M10/Sheet1!$T$9*Sheet1!$T$11</f>
        <v>0</v>
      </c>
      <c r="P10" s="550">
        <f t="shared" si="1"/>
        <v>0</v>
      </c>
      <c r="Q10" s="734"/>
    </row>
    <row r="11" spans="1:17" ht="15" customHeight="1">
      <c r="A11" s="734"/>
      <c r="B11" s="738"/>
      <c r="C11" s="548"/>
      <c r="D11" s="6">
        <f>SUMIFS(Sheet1!$C$2:$C$180,Sheet1!$F$2:$F$180,B10,Sheet1!$E$2:$E$180,C11)</f>
        <v>0</v>
      </c>
      <c r="E11" s="6">
        <f>D11/Sheet1!$I$9*Sheet1!$I$10</f>
        <v>0</v>
      </c>
      <c r="F11" s="471">
        <f>D11/Sheet1!$I$9*Sheet1!$I$11</f>
        <v>0</v>
      </c>
      <c r="G11" s="550">
        <f t="shared" si="0"/>
        <v>0</v>
      </c>
      <c r="H11" s="734"/>
      <c r="J11" s="734"/>
      <c r="K11" s="738"/>
      <c r="L11" s="548"/>
      <c r="M11" s="6">
        <f>SUMIFS(Sheet1!$N$2:$N$180,Sheet1!$Q$2:$Q$180,K10,Sheet1!$P$2:$P$180,L11)</f>
        <v>0</v>
      </c>
      <c r="N11" s="6">
        <f>M11/Sheet1!$T$9*Sheet1!$T$10</f>
        <v>0</v>
      </c>
      <c r="O11" s="471">
        <f>M11/Sheet1!$T$9*Sheet1!$T$11</f>
        <v>0</v>
      </c>
      <c r="P11" s="550">
        <f t="shared" si="1"/>
        <v>0</v>
      </c>
      <c r="Q11" s="734"/>
    </row>
    <row r="12" spans="1:17" ht="15">
      <c r="A12" s="734" t="s">
        <v>10</v>
      </c>
      <c r="B12" s="545" t="s">
        <v>150</v>
      </c>
      <c r="C12" s="548" t="s">
        <v>150</v>
      </c>
      <c r="D12" s="6"/>
      <c r="E12" s="6">
        <f>+Sheet1!I2</f>
        <v>10.652000000000001</v>
      </c>
      <c r="F12" s="471">
        <f>E12/Sheet1!$I$8</f>
        <v>8.1874200837744153E-3</v>
      </c>
      <c r="G12" s="549">
        <f t="shared" si="0"/>
        <v>8.1874200837744153E-3</v>
      </c>
      <c r="H12" s="742">
        <f>SUM(G12:G13)</f>
        <v>2.1182080109949326E-2</v>
      </c>
      <c r="J12" s="734" t="s">
        <v>10</v>
      </c>
      <c r="K12" s="545" t="s">
        <v>150</v>
      </c>
      <c r="L12" s="548" t="s">
        <v>150</v>
      </c>
      <c r="M12" s="6"/>
      <c r="N12" s="6">
        <f>+Sheet1!T2</f>
        <v>10.652000000000001</v>
      </c>
      <c r="O12" s="471">
        <f>+Sheet1!U2</f>
        <v>1.9842955548376173E-2</v>
      </c>
      <c r="P12" s="549">
        <f t="shared" si="1"/>
        <v>1.9842955548376173E-2</v>
      </c>
      <c r="Q12" s="742">
        <f>SUM(P12:P13)</f>
        <v>5.1336693334794854E-2</v>
      </c>
    </row>
    <row r="13" spans="1:17" ht="15">
      <c r="A13" s="734"/>
      <c r="B13" s="545" t="s">
        <v>241</v>
      </c>
      <c r="C13" s="548" t="s">
        <v>242</v>
      </c>
      <c r="D13" s="6"/>
      <c r="E13" s="6">
        <f>+Sheet1!I3</f>
        <v>16.90631690843982</v>
      </c>
      <c r="F13" s="471">
        <f>E13/Sheet1!$I$8</f>
        <v>1.2994660026174911E-2</v>
      </c>
      <c r="G13" s="549">
        <f t="shared" si="0"/>
        <v>1.2994660026174911E-2</v>
      </c>
      <c r="H13" s="743"/>
      <c r="J13" s="734"/>
      <c r="K13" s="545" t="s">
        <v>241</v>
      </c>
      <c r="L13" s="548" t="s">
        <v>242</v>
      </c>
      <c r="M13" s="6"/>
      <c r="N13" s="6">
        <f>+Sheet1!T3</f>
        <v>16.90631690843982</v>
      </c>
      <c r="O13" s="471">
        <f>+Sheet1!U3</f>
        <v>3.1493737786418681E-2</v>
      </c>
      <c r="P13" s="549">
        <f t="shared" si="1"/>
        <v>3.1493737786418681E-2</v>
      </c>
      <c r="Q13" s="743"/>
    </row>
    <row r="14" spans="1:17" ht="15">
      <c r="A14" s="744" t="s">
        <v>12</v>
      </c>
      <c r="B14" s="545" t="s">
        <v>243</v>
      </c>
      <c r="C14" s="548" t="s">
        <v>243</v>
      </c>
      <c r="D14" s="6"/>
      <c r="E14" s="6">
        <f>+Sheet1!I4</f>
        <v>-0.64556817478018269</v>
      </c>
      <c r="F14" s="471">
        <f>E14/Sheet1!$I$8</f>
        <v>-4.9620144945933709E-4</v>
      </c>
      <c r="G14" s="549">
        <f t="shared" si="0"/>
        <v>-4.9620144945933709E-4</v>
      </c>
      <c r="H14" s="740">
        <f>SUM(G14:G23)</f>
        <v>2.6041909290274744E-2</v>
      </c>
      <c r="J14" s="744" t="s">
        <v>12</v>
      </c>
      <c r="K14" s="545" t="s">
        <v>243</v>
      </c>
      <c r="L14" s="548" t="s">
        <v>243</v>
      </c>
      <c r="M14" s="6"/>
      <c r="N14" s="6">
        <f>+Sheet1!T4</f>
        <v>-0.64556817478030593</v>
      </c>
      <c r="O14" s="471">
        <f>+Sheet1!U4</f>
        <v>-1.2025892410450572E-3</v>
      </c>
      <c r="P14" s="549">
        <f t="shared" si="1"/>
        <v>-1.2025892410450572E-3</v>
      </c>
      <c r="Q14" s="740">
        <f>SUM(P14:P23)</f>
        <v>6.2388848131885444E-2</v>
      </c>
    </row>
    <row r="15" spans="1:17" ht="15">
      <c r="A15" s="745"/>
      <c r="B15" s="545" t="s">
        <v>244</v>
      </c>
      <c r="C15" s="548" t="s">
        <v>244</v>
      </c>
      <c r="D15" s="6"/>
      <c r="E15" s="6">
        <f>+Sheet1!I5</f>
        <v>8.7684455056219619</v>
      </c>
      <c r="F15" s="471">
        <f>E15/Sheet1!$I$8</f>
        <v>6.7396683098207618E-3</v>
      </c>
      <c r="G15" s="549">
        <f>F15</f>
        <v>6.7396683098207618E-3</v>
      </c>
      <c r="H15" s="740"/>
      <c r="J15" s="745"/>
      <c r="K15" s="545" t="s">
        <v>244</v>
      </c>
      <c r="L15" s="548" t="s">
        <v>244</v>
      </c>
      <c r="M15" s="6"/>
      <c r="N15" s="6">
        <f>+Sheet1!T5</f>
        <v>8.7684455056219619</v>
      </c>
      <c r="O15" s="471">
        <f>+Sheet1!U5</f>
        <v>1.6334197746565471E-2</v>
      </c>
      <c r="P15" s="549">
        <f>O15</f>
        <v>1.6334197746565471E-2</v>
      </c>
      <c r="Q15" s="740"/>
    </row>
    <row r="16" spans="1:17">
      <c r="A16" s="745"/>
      <c r="B16" s="741" t="s">
        <v>245</v>
      </c>
      <c r="C16" s="548" t="s">
        <v>587</v>
      </c>
      <c r="D16" s="6">
        <f>SUMIFS(Sheet1!$C$2:$C$180,Sheet1!$F$2:$F$180,B16,Sheet1!$E$2:$E$180,C16)</f>
        <v>100</v>
      </c>
      <c r="E16" s="6">
        <f>D16/Sheet1!$I$9*Sheet1!$I$10</f>
        <v>2.9951367620756657</v>
      </c>
      <c r="F16" s="471">
        <f>D16/Sheet1!$I$9*Sheet1!$I$11</f>
        <v>2.3021444685945719E-3</v>
      </c>
      <c r="G16" s="739">
        <f>SUM(F16:F17)</f>
        <v>2.3021444685945719E-3</v>
      </c>
      <c r="H16" s="740"/>
      <c r="J16" s="745"/>
      <c r="K16" s="741" t="s">
        <v>245</v>
      </c>
      <c r="L16" s="548" t="s">
        <v>587</v>
      </c>
      <c r="M16" s="6">
        <f>SUMIFS(Sheet1!$N$2:$N$180,Sheet1!$Q$2:$Q$180,K16,Sheet1!$P$2:$P$180,L16)</f>
        <v>100</v>
      </c>
      <c r="N16" s="6">
        <f>M16/Sheet1!$T$9*Sheet1!$T$10</f>
        <v>2.949814439670015</v>
      </c>
      <c r="O16" s="471">
        <f>M16/Sheet1!$T$9*Sheet1!$T$11</f>
        <v>5.4950278635308176E-3</v>
      </c>
      <c r="P16" s="739">
        <f>SUM(O16:O17)</f>
        <v>5.4950278635308176E-3</v>
      </c>
      <c r="Q16" s="740"/>
    </row>
    <row r="17" spans="1:17">
      <c r="A17" s="745"/>
      <c r="B17" s="741"/>
      <c r="C17" s="548"/>
      <c r="D17" s="6">
        <f>SUMIFS(Sheet1!$C$2:$C$180,Sheet1!$F$2:$F$180,B16,Sheet1!$E$2:$E$180,C17)</f>
        <v>0</v>
      </c>
      <c r="E17" s="6">
        <f>D17/Sheet1!$I$9*Sheet1!$I$10</f>
        <v>0</v>
      </c>
      <c r="F17" s="471">
        <f>D17/Sheet1!$I$9*Sheet1!$I$11</f>
        <v>0</v>
      </c>
      <c r="G17" s="739"/>
      <c r="H17" s="740"/>
      <c r="J17" s="745"/>
      <c r="K17" s="741"/>
      <c r="L17" s="548"/>
      <c r="M17" s="6">
        <f>SUMIFS(Sheet1!$N$2:$N$180,Sheet1!$Q$2:$Q$180,K16,Sheet1!$P$2:$P$180,L17)</f>
        <v>0</v>
      </c>
      <c r="N17" s="6">
        <f>M17/Sheet1!$T$9*Sheet1!$T$10</f>
        <v>0</v>
      </c>
      <c r="O17" s="471">
        <f>M17/Sheet1!$T$9*Sheet1!$T$11</f>
        <v>0</v>
      </c>
      <c r="P17" s="739"/>
      <c r="Q17" s="740"/>
    </row>
    <row r="18" spans="1:17" ht="15">
      <c r="A18" s="745"/>
      <c r="B18" s="545" t="s">
        <v>246</v>
      </c>
      <c r="C18" s="548" t="s">
        <v>223</v>
      </c>
      <c r="D18" s="6">
        <f>SUMIFS(Sheet1!$C$2:$C$180,Sheet1!$F$2:$F$180,B18,Sheet1!$E$2:$E$180,C18)</f>
        <v>0</v>
      </c>
      <c r="E18" s="6">
        <f>D18/Sheet1!$I$9*Sheet1!$I$10</f>
        <v>0</v>
      </c>
      <c r="F18" s="471">
        <f>D18/Sheet1!$I$9*Sheet1!$I$11</f>
        <v>0</v>
      </c>
      <c r="G18" s="549">
        <f>F18</f>
        <v>0</v>
      </c>
      <c r="H18" s="740"/>
      <c r="J18" s="745"/>
      <c r="K18" s="545" t="s">
        <v>246</v>
      </c>
      <c r="L18" s="548" t="s">
        <v>223</v>
      </c>
      <c r="M18" s="6">
        <f>SUMIFS(Sheet1!$N$2:$N$180,Sheet1!$Q$2:$Q$180,K18,Sheet1!$P$2:$P$180,L18)</f>
        <v>0</v>
      </c>
      <c r="N18" s="6">
        <f>M18/Sheet1!$T$9*Sheet1!$T$10</f>
        <v>0</v>
      </c>
      <c r="O18" s="471">
        <f>M18/Sheet1!$T$9*Sheet1!$T$11</f>
        <v>0</v>
      </c>
      <c r="P18" s="549">
        <f>O18</f>
        <v>0</v>
      </c>
      <c r="Q18" s="740"/>
    </row>
    <row r="19" spans="1:17">
      <c r="A19" s="745"/>
      <c r="B19" s="737" t="s">
        <v>247</v>
      </c>
      <c r="C19" s="548" t="s">
        <v>248</v>
      </c>
      <c r="D19" s="6">
        <f>SUMIFS(Sheet1!$C$2:$C$180,Sheet1!$F$2:$F$180,B19,Sheet1!$E$2:$E$180,C19)</f>
        <v>63</v>
      </c>
      <c r="E19" s="6">
        <f>D19/Sheet1!$I$9*Sheet1!$I$10</f>
        <v>1.8869361601076697</v>
      </c>
      <c r="F19" s="471">
        <f>D19/Sheet1!$I$9*Sheet1!$I$11</f>
        <v>1.4503510152145801E-3</v>
      </c>
      <c r="G19" s="735">
        <f>SUM(F19:F23)</f>
        <v>1.7496297961318748E-2</v>
      </c>
      <c r="H19" s="740"/>
      <c r="J19" s="745"/>
      <c r="K19" s="737" t="s">
        <v>247</v>
      </c>
      <c r="L19" s="548" t="s">
        <v>248</v>
      </c>
      <c r="M19" s="6">
        <f>SUMIFS(Sheet1!$N$2:$N$180,Sheet1!$Q$2:$Q$180,$K$19,Sheet1!$P$2:$P$180,L19)</f>
        <v>63</v>
      </c>
      <c r="N19" s="6">
        <f>M19/Sheet1!$T$9*Sheet1!$T$10</f>
        <v>1.8583830969921096</v>
      </c>
      <c r="O19" s="471">
        <f>M19/Sheet1!$T$9*Sheet1!$T$11</f>
        <v>3.4618675540244153E-3</v>
      </c>
      <c r="P19" s="735">
        <f>SUM(O19:O23)</f>
        <v>4.1762211762834213E-2</v>
      </c>
      <c r="Q19" s="740"/>
    </row>
    <row r="20" spans="1:17">
      <c r="A20" s="745"/>
      <c r="B20" s="746"/>
      <c r="C20" s="548" t="s">
        <v>249</v>
      </c>
      <c r="D20" s="6">
        <f>SUMIFS(Sheet1!$C$2:$C$180,Sheet1!$F$2:$F$180,B19,Sheet1!$E$2:$E$180,C20)</f>
        <v>472</v>
      </c>
      <c r="E20" s="6">
        <f>D20/Sheet1!$I$9*Sheet1!$I$10</f>
        <v>14.137045516997143</v>
      </c>
      <c r="F20" s="471">
        <f>D20/Sheet1!$I$9*Sheet1!$I$11</f>
        <v>1.0866121891766379E-2</v>
      </c>
      <c r="G20" s="747"/>
      <c r="H20" s="740"/>
      <c r="J20" s="745"/>
      <c r="K20" s="746"/>
      <c r="L20" s="548" t="s">
        <v>249</v>
      </c>
      <c r="M20" s="6">
        <f>SUMIFS(Sheet1!$N$2:$N$180,Sheet1!$Q$2:$Q$180,$K$19,Sheet1!$P$2:$P$180,L20)</f>
        <v>472</v>
      </c>
      <c r="N20" s="6">
        <f>M20/Sheet1!$T$9*Sheet1!$T$10</f>
        <v>13.923124155242471</v>
      </c>
      <c r="O20" s="471">
        <f>M20/Sheet1!$T$9*Sheet1!$T$11</f>
        <v>2.5936531515865457E-2</v>
      </c>
      <c r="P20" s="747"/>
      <c r="Q20" s="740"/>
    </row>
    <row r="21" spans="1:17">
      <c r="A21" s="745"/>
      <c r="B21" s="746"/>
      <c r="C21" s="548" t="s">
        <v>250</v>
      </c>
      <c r="D21" s="6">
        <f>SUMIFS(Sheet1!$C$2:$C$180,Sheet1!$F$2:$F$180,B19,Sheet1!$E$2:$E$180,C21)</f>
        <v>225</v>
      </c>
      <c r="E21" s="6">
        <f>D21/Sheet1!$I$9*Sheet1!$I$10</f>
        <v>6.7390577146702482</v>
      </c>
      <c r="F21" s="471">
        <f>D21/Sheet1!$I$9*Sheet1!$I$11</f>
        <v>5.1798250543377868E-3</v>
      </c>
      <c r="G21" s="747"/>
      <c r="H21" s="740"/>
      <c r="J21" s="745"/>
      <c r="K21" s="746"/>
      <c r="L21" s="548" t="s">
        <v>250</v>
      </c>
      <c r="M21" s="6">
        <f>SUMIFS(Sheet1!$N$2:$N$180,Sheet1!$Q$2:$Q$180,$K$19,Sheet1!$P$2:$P$180,L21)</f>
        <v>225</v>
      </c>
      <c r="N21" s="6">
        <f>M21/Sheet1!$T$9*Sheet1!$T$10</f>
        <v>6.6370824892575344</v>
      </c>
      <c r="O21" s="471">
        <f>M21/Sheet1!$T$9*Sheet1!$T$11</f>
        <v>1.2363812692944341E-2</v>
      </c>
      <c r="P21" s="747"/>
      <c r="Q21" s="740"/>
    </row>
    <row r="22" spans="1:17">
      <c r="A22" s="745"/>
      <c r="B22" s="746"/>
      <c r="C22" s="548" t="s">
        <v>13</v>
      </c>
      <c r="D22" s="6">
        <f>SUMIFS(Sheet1!$C$2:$C$180,Sheet1!$F$2:$F$180,B19,Sheet1!$E$2:$E$180,C22)</f>
        <v>0</v>
      </c>
      <c r="E22" s="6">
        <f>D22/Sheet1!$I$9*Sheet1!$I$10</f>
        <v>0</v>
      </c>
      <c r="F22" s="471">
        <f>D22/Sheet1!$I$9*Sheet1!$I$11</f>
        <v>0</v>
      </c>
      <c r="G22" s="747"/>
      <c r="H22" s="740"/>
      <c r="J22" s="745"/>
      <c r="K22" s="746"/>
      <c r="L22" s="548" t="s">
        <v>13</v>
      </c>
      <c r="M22" s="6">
        <f>SUMIFS(Sheet1!$N$2:$N$180,Sheet1!$Q$2:$Q$180,$K$19,Sheet1!$P$2:$P$180,L22)</f>
        <v>0</v>
      </c>
      <c r="N22" s="6">
        <f>M22/Sheet1!$T$9*Sheet1!$T$10</f>
        <v>0</v>
      </c>
      <c r="O22" s="471">
        <f>M22/Sheet1!$T$9*Sheet1!$T$11</f>
        <v>0</v>
      </c>
      <c r="P22" s="747"/>
      <c r="Q22" s="740"/>
    </row>
    <row r="23" spans="1:17">
      <c r="A23" s="745"/>
      <c r="B23" s="738"/>
      <c r="C23" s="548"/>
      <c r="D23" s="6">
        <f>SUMIFS(Sheet1!$C$2:$C$180,Sheet1!$F$2:$F$180,B19,Sheet1!$E$2:$E$180,C23)</f>
        <v>0</v>
      </c>
      <c r="E23" s="6">
        <f>D23/Sheet1!$I$9*Sheet1!$I$10</f>
        <v>0</v>
      </c>
      <c r="F23" s="471">
        <f>D23/Sheet1!$I$9*Sheet1!$I$11</f>
        <v>0</v>
      </c>
      <c r="G23" s="736"/>
      <c r="H23" s="740"/>
      <c r="J23" s="745"/>
      <c r="K23" s="738"/>
      <c r="L23" s="548"/>
      <c r="M23" s="6">
        <f>SUMIFS(Sheet1!$N$2:$N$180,Sheet1!$Q$2:$Q$180,$K$19,Sheet1!$P$2:$P$180,L23)</f>
        <v>0</v>
      </c>
      <c r="N23" s="6">
        <f>M23/Sheet1!$T$9*Sheet1!$T$10</f>
        <v>0</v>
      </c>
      <c r="O23" s="471">
        <f>M23/Sheet1!$T$9*Sheet1!$T$11</f>
        <v>0</v>
      </c>
      <c r="P23" s="736"/>
      <c r="Q23" s="740"/>
    </row>
    <row r="24" spans="1:17">
      <c r="A24" s="734" t="s">
        <v>251</v>
      </c>
      <c r="B24" s="741" t="s">
        <v>252</v>
      </c>
      <c r="C24" s="551" t="s">
        <v>524</v>
      </c>
      <c r="D24" s="6">
        <f>SUMIFS(Sheet1!$C$2:$C$180,Sheet1!$F$2:$F$180,B24,Sheet1!$E$2:$E$180,C24)</f>
        <v>515</v>
      </c>
      <c r="E24" s="6">
        <f>D24/Sheet1!$I$9*Sheet1!$I$10</f>
        <v>15.424954324689679</v>
      </c>
      <c r="F24" s="471">
        <f>D24/Sheet1!$I$9*Sheet1!$I$11</f>
        <v>1.1856044013262044E-2</v>
      </c>
      <c r="G24" s="739">
        <f>SUM(F24:F30)</f>
        <v>1.2661794577270144E-2</v>
      </c>
      <c r="H24" s="740">
        <f>SUM(G24:G37)</f>
        <v>1.2661794577270144E-2</v>
      </c>
      <c r="J24" s="734" t="s">
        <v>251</v>
      </c>
      <c r="K24" s="741" t="s">
        <v>252</v>
      </c>
      <c r="L24" s="551" t="s">
        <v>524</v>
      </c>
      <c r="M24" s="6">
        <f>SUMIFS(Sheet1!$N$2:$N$180,Sheet1!$Q$2:$Q$180,$K$24,Sheet1!$P$2:$P$180,L24)</f>
        <v>515</v>
      </c>
      <c r="N24" s="6">
        <f>M24/Sheet1!$T$9*Sheet1!$T$10</f>
        <v>15.191544364300579</v>
      </c>
      <c r="O24" s="471">
        <f>M24/Sheet1!$T$9*Sheet1!$T$11</f>
        <v>2.8299393497183713E-2</v>
      </c>
      <c r="P24" s="739">
        <f>SUM(O24:O30)</f>
        <v>3.0222653249419501E-2</v>
      </c>
      <c r="Q24" s="740">
        <f>SUM(P24:P37)</f>
        <v>3.0222653249419501E-2</v>
      </c>
    </row>
    <row r="25" spans="1:17" ht="38.25">
      <c r="A25" s="734"/>
      <c r="B25" s="741"/>
      <c r="C25" s="551" t="s">
        <v>589</v>
      </c>
      <c r="D25" s="6">
        <f>SUMIFS(Sheet1!$C$2:$C$180,Sheet1!$F$2:$F$180,B24,Sheet1!$E$2:$E$180,C25)</f>
        <v>35</v>
      </c>
      <c r="E25" s="6">
        <f>D25/Sheet1!$I$9*Sheet1!$I$10</f>
        <v>1.0482978667264831</v>
      </c>
      <c r="F25" s="471">
        <f>D25/Sheet1!$I$9*Sheet1!$I$11</f>
        <v>8.0575056400810014E-4</v>
      </c>
      <c r="G25" s="739"/>
      <c r="H25" s="740"/>
      <c r="J25" s="734"/>
      <c r="K25" s="741"/>
      <c r="L25" s="551" t="s">
        <v>589</v>
      </c>
      <c r="M25" s="6">
        <f>SUMIFS(Sheet1!$N$2:$N$180,Sheet1!$Q$2:$Q$180,$K$24,Sheet1!$P$2:$P$180,L25)</f>
        <v>35</v>
      </c>
      <c r="N25" s="6">
        <f>M25/Sheet1!$T$9*Sheet1!$T$10</f>
        <v>1.0324350538845053</v>
      </c>
      <c r="O25" s="471">
        <f>M25/Sheet1!$T$9*Sheet1!$T$11</f>
        <v>1.9232597522357861E-3</v>
      </c>
      <c r="P25" s="739"/>
      <c r="Q25" s="740"/>
    </row>
    <row r="26" spans="1:17">
      <c r="A26" s="734"/>
      <c r="B26" s="741"/>
      <c r="C26" s="535"/>
      <c r="D26" s="6">
        <f>SUMIFS(Sheet1!$C$2:$C$180,Sheet1!$F$2:$F$180,B24,Sheet1!$E$2:$E$180,C26)</f>
        <v>0</v>
      </c>
      <c r="E26" s="6">
        <f>D26/Sheet1!$I$9*Sheet1!$I$10</f>
        <v>0</v>
      </c>
      <c r="F26" s="471">
        <f>D26/Sheet1!$I$9*Sheet1!$I$11</f>
        <v>0</v>
      </c>
      <c r="G26" s="739"/>
      <c r="H26" s="740"/>
      <c r="J26" s="734"/>
      <c r="K26" s="741"/>
      <c r="L26" s="535"/>
      <c r="M26" s="6">
        <f>SUMIFS(Sheet1!$N$2:$N$180,Sheet1!$Q$2:$Q$180,$K$24,Sheet1!$P$2:$P$180,L26)</f>
        <v>0</v>
      </c>
      <c r="N26" s="6">
        <f>M26/Sheet1!$T$9*Sheet1!$T$10</f>
        <v>0</v>
      </c>
      <c r="O26" s="471">
        <f>M26/Sheet1!$T$9*Sheet1!$T$11</f>
        <v>0</v>
      </c>
      <c r="P26" s="739"/>
      <c r="Q26" s="740"/>
    </row>
    <row r="27" spans="1:17">
      <c r="A27" s="734"/>
      <c r="B27" s="741"/>
      <c r="D27" s="6">
        <f>SUMIFS(Sheet1!$C$2:$C$180,Sheet1!$F$2:$F$180,B24,Sheet1!$E$2:$E$180,C27)</f>
        <v>0</v>
      </c>
      <c r="E27" s="6">
        <f>D27/Sheet1!$I$9*Sheet1!$I$10</f>
        <v>0</v>
      </c>
      <c r="F27" s="471">
        <f>D27/Sheet1!$I$9*Sheet1!$I$11</f>
        <v>0</v>
      </c>
      <c r="G27" s="739"/>
      <c r="H27" s="740"/>
      <c r="J27" s="734"/>
      <c r="K27" s="741"/>
      <c r="M27" s="6">
        <f>SUMIFS(Sheet1!$N$2:$N$180,Sheet1!$Q$2:$Q$180,$K$24,Sheet1!$P$2:$P$180,L27)</f>
        <v>0</v>
      </c>
      <c r="N27" s="6">
        <f>M27/Sheet1!$T$9*Sheet1!$T$10</f>
        <v>0</v>
      </c>
      <c r="O27" s="471">
        <f>M27/Sheet1!$T$9*Sheet1!$T$11</f>
        <v>0</v>
      </c>
      <c r="P27" s="739"/>
      <c r="Q27" s="740"/>
    </row>
    <row r="28" spans="1:17">
      <c r="A28" s="734"/>
      <c r="B28" s="741"/>
      <c r="C28" s="548"/>
      <c r="D28" s="6">
        <f>SUMIFS(Sheet1!$C$2:$C$180,Sheet1!$F$2:$F$180,B24,Sheet1!$E$2:$E$180,C28)</f>
        <v>0</v>
      </c>
      <c r="E28" s="6">
        <f>D28/Sheet1!$I$9*Sheet1!$I$10</f>
        <v>0</v>
      </c>
      <c r="F28" s="471">
        <f>D28/Sheet1!$I$9*Sheet1!$I$11</f>
        <v>0</v>
      </c>
      <c r="G28" s="739"/>
      <c r="H28" s="740"/>
      <c r="J28" s="734"/>
      <c r="K28" s="741"/>
      <c r="L28" s="548"/>
      <c r="M28" s="6">
        <f>SUMIFS(Sheet1!$N$2:$N$180,Sheet1!$Q$2:$Q$180,$K$24,Sheet1!$P$2:$P$180,L28)</f>
        <v>0</v>
      </c>
      <c r="N28" s="6">
        <f>M28/Sheet1!$T$9*Sheet1!$T$10</f>
        <v>0</v>
      </c>
      <c r="O28" s="471">
        <f>M28/Sheet1!$T$9*Sheet1!$T$11</f>
        <v>0</v>
      </c>
      <c r="P28" s="739"/>
      <c r="Q28" s="740"/>
    </row>
    <row r="29" spans="1:17">
      <c r="A29" s="734"/>
      <c r="B29" s="741"/>
      <c r="C29" s="548"/>
      <c r="D29" s="6">
        <f>SUMIFS(Sheet1!$C$2:$C$180,Sheet1!$F$2:$F$180,B24,Sheet1!$E$2:$E$180,C29)</f>
        <v>0</v>
      </c>
      <c r="E29" s="6">
        <f>D29/Sheet1!$I$9*Sheet1!$I$10</f>
        <v>0</v>
      </c>
      <c r="F29" s="471">
        <f>D29/Sheet1!$I$9*Sheet1!$I$11</f>
        <v>0</v>
      </c>
      <c r="G29" s="739"/>
      <c r="H29" s="740"/>
      <c r="J29" s="734"/>
      <c r="K29" s="741"/>
      <c r="L29" s="548"/>
      <c r="M29" s="6">
        <f>SUMIFS(Sheet1!$N$2:$N$180,Sheet1!$Q$2:$Q$180,$K$24,Sheet1!$P$2:$P$180,L29)</f>
        <v>0</v>
      </c>
      <c r="N29" s="6">
        <f>M29/Sheet1!$T$9*Sheet1!$T$10</f>
        <v>0</v>
      </c>
      <c r="O29" s="471">
        <f>M29/Sheet1!$T$9*Sheet1!$T$11</f>
        <v>0</v>
      </c>
      <c r="P29" s="739"/>
      <c r="Q29" s="740"/>
    </row>
    <row r="30" spans="1:17">
      <c r="A30" s="734"/>
      <c r="B30" s="741"/>
      <c r="C30" s="548"/>
      <c r="D30" s="6">
        <f>SUMIFS(Sheet1!$C$2:$C$180,Sheet1!$F$2:$F$180,B24,Sheet1!$E$2:$E$180,C30)</f>
        <v>0</v>
      </c>
      <c r="E30" s="6">
        <f>D30/Sheet1!$I$9*Sheet1!$I$10</f>
        <v>0</v>
      </c>
      <c r="F30" s="471">
        <f>D30/Sheet1!$I$9*Sheet1!$I$11</f>
        <v>0</v>
      </c>
      <c r="G30" s="739"/>
      <c r="H30" s="740"/>
      <c r="J30" s="734"/>
      <c r="K30" s="741"/>
      <c r="L30" s="548"/>
      <c r="M30" s="6">
        <f>SUMIFS(Sheet1!$N$2:$N$180,Sheet1!$Q$2:$Q$180,$K$24,Sheet1!$P$2:$P$180,L30)</f>
        <v>0</v>
      </c>
      <c r="N30" s="6">
        <f>M30/Sheet1!$T$9*Sheet1!$T$10</f>
        <v>0</v>
      </c>
      <c r="O30" s="471">
        <f>M30/Sheet1!$T$9*Sheet1!$T$11</f>
        <v>0</v>
      </c>
      <c r="P30" s="739"/>
      <c r="Q30" s="740"/>
    </row>
    <row r="31" spans="1:17">
      <c r="A31" s="734"/>
      <c r="B31" s="737" t="s">
        <v>253</v>
      </c>
      <c r="D31" s="6">
        <f>SUMIFS(Sheet1!$C$2:$C$180,Sheet1!$F$2:$F$180,B31,Sheet1!$E$2:$E$180,C31)</f>
        <v>0</v>
      </c>
      <c r="E31" s="6">
        <f>D31/Sheet1!$I$9*Sheet1!$I$10</f>
        <v>0</v>
      </c>
      <c r="F31" s="471">
        <f>D31/Sheet1!$I$9*Sheet1!$I$11</f>
        <v>0</v>
      </c>
      <c r="G31" s="735">
        <f>SUM(F31:F32)</f>
        <v>0</v>
      </c>
      <c r="H31" s="740"/>
      <c r="J31" s="734"/>
      <c r="K31" s="737" t="s">
        <v>253</v>
      </c>
      <c r="M31" s="6">
        <f>SUMIFS(Sheet1!$N$2:$N$180,Sheet1!$Q$2:$Q$180,$K$31,Sheet1!$P$2:$P$180,L31)</f>
        <v>0</v>
      </c>
      <c r="N31" s="6">
        <f>M31/Sheet1!$T$9*Sheet1!$T$10</f>
        <v>0</v>
      </c>
      <c r="O31" s="471">
        <f>M31/Sheet1!$T$9*Sheet1!$T$11</f>
        <v>0</v>
      </c>
      <c r="P31" s="735">
        <f>SUM(O31:O32)</f>
        <v>0</v>
      </c>
      <c r="Q31" s="740"/>
    </row>
    <row r="32" spans="1:17">
      <c r="A32" s="734"/>
      <c r="B32" s="738"/>
      <c r="C32" s="548"/>
      <c r="D32" s="6">
        <f>SUMIFS(Sheet1!$C$2:$C$180,Sheet1!$F$2:$F$180,B31,Sheet1!$E$2:$E$180,C32)</f>
        <v>0</v>
      </c>
      <c r="E32" s="6">
        <f>D32/Sheet1!$I$9*Sheet1!$I$10</f>
        <v>0</v>
      </c>
      <c r="F32" s="471">
        <f>D32/Sheet1!$I$9*Sheet1!$I$11</f>
        <v>0</v>
      </c>
      <c r="G32" s="736"/>
      <c r="H32" s="740"/>
      <c r="J32" s="734"/>
      <c r="K32" s="738"/>
      <c r="L32" s="548"/>
      <c r="M32" s="6">
        <f>SUMIFS(Sheet1!$N$2:$N$180,Sheet1!$Q$2:$Q$180,$K$31,Sheet1!$P$2:$P$180,L32)</f>
        <v>0</v>
      </c>
      <c r="N32" s="6">
        <f>M32/Sheet1!$T$9*Sheet1!$T$10</f>
        <v>0</v>
      </c>
      <c r="O32" s="471">
        <f>M32/Sheet1!$T$9*Sheet1!$T$11</f>
        <v>0</v>
      </c>
      <c r="P32" s="736"/>
      <c r="Q32" s="740"/>
    </row>
    <row r="33" spans="1:17">
      <c r="A33" s="734"/>
      <c r="B33" s="741" t="s">
        <v>254</v>
      </c>
      <c r="C33" s="548"/>
      <c r="D33" s="6">
        <f>SUMIFS(Sheet1!$C$2:$C$180,Sheet1!$F$2:$F$180,B33,Sheet1!$E$2:$E$180,C33)</f>
        <v>0</v>
      </c>
      <c r="E33" s="6">
        <f>D33/Sheet1!$I$9*Sheet1!$I$10</f>
        <v>0</v>
      </c>
      <c r="F33" s="471">
        <f>D33/Sheet1!$I$9*Sheet1!$I$11</f>
        <v>0</v>
      </c>
      <c r="G33" s="739">
        <f>SUM(F33:F35)</f>
        <v>0</v>
      </c>
      <c r="H33" s="740"/>
      <c r="J33" s="734"/>
      <c r="K33" s="741" t="s">
        <v>254</v>
      </c>
      <c r="L33" s="548"/>
      <c r="M33" s="6">
        <f>SUMIFS(Sheet1!$N$2:$N$180,Sheet1!$Q$2:$Q$180,$K$33,Sheet1!$P$2:$P$180,L33)</f>
        <v>0</v>
      </c>
      <c r="N33" s="6">
        <f>M33/Sheet1!$T$9*Sheet1!$T$10</f>
        <v>0</v>
      </c>
      <c r="O33" s="471">
        <f>M33/Sheet1!$T$9*Sheet1!$T$11</f>
        <v>0</v>
      </c>
      <c r="P33" s="739">
        <f>SUM(O33:O35)</f>
        <v>0</v>
      </c>
      <c r="Q33" s="740"/>
    </row>
    <row r="34" spans="1:17">
      <c r="A34" s="734"/>
      <c r="B34" s="741"/>
      <c r="C34" s="548"/>
      <c r="D34" s="6">
        <f>SUMIFS(Sheet1!$C$2:$C$180,Sheet1!$F$2:$F$180,B33,Sheet1!$E$2:$E$180,C34)</f>
        <v>0</v>
      </c>
      <c r="E34" s="6">
        <f>D34/Sheet1!$I$9*Sheet1!$I$10</f>
        <v>0</v>
      </c>
      <c r="F34" s="471">
        <f>D34/Sheet1!$I$9*Sheet1!$I$11</f>
        <v>0</v>
      </c>
      <c r="G34" s="739"/>
      <c r="H34" s="740"/>
      <c r="J34" s="734"/>
      <c r="K34" s="741"/>
      <c r="L34" s="548"/>
      <c r="M34" s="6">
        <f>SUMIFS(Sheet1!$N$2:$N$180,Sheet1!$Q$2:$Q$180,$K$33,Sheet1!$P$2:$P$180,L34)</f>
        <v>0</v>
      </c>
      <c r="N34" s="6">
        <f>M34/Sheet1!$T$9*Sheet1!$T$10</f>
        <v>0</v>
      </c>
      <c r="O34" s="471">
        <f>M34/Sheet1!$T$9*Sheet1!$T$11</f>
        <v>0</v>
      </c>
      <c r="P34" s="739"/>
      <c r="Q34" s="740"/>
    </row>
    <row r="35" spans="1:17">
      <c r="A35" s="734"/>
      <c r="B35" s="741"/>
      <c r="C35" s="548"/>
      <c r="D35" s="6">
        <f>SUMIFS(Sheet1!$C$2:$C$180,Sheet1!$F$2:$F$180,B33,Sheet1!$E$2:$E$180,C35)</f>
        <v>0</v>
      </c>
      <c r="E35" s="6">
        <f>D35/Sheet1!$I$9*Sheet1!$I$10</f>
        <v>0</v>
      </c>
      <c r="F35" s="471">
        <f>D35/Sheet1!$I$9*Sheet1!$I$11</f>
        <v>0</v>
      </c>
      <c r="G35" s="739"/>
      <c r="H35" s="740"/>
      <c r="J35" s="734"/>
      <c r="K35" s="741"/>
      <c r="L35" s="548"/>
      <c r="M35" s="6">
        <f>SUMIFS(Sheet1!$N$2:$N$180,Sheet1!$Q$2:$Q$180,$K$33,Sheet1!$P$2:$P$180,L35)</f>
        <v>0</v>
      </c>
      <c r="N35" s="6">
        <f>M35/Sheet1!$T$9*Sheet1!$T$10</f>
        <v>0</v>
      </c>
      <c r="O35" s="471">
        <f>M35/Sheet1!$T$9*Sheet1!$T$11</f>
        <v>0</v>
      </c>
      <c r="P35" s="739"/>
      <c r="Q35" s="740"/>
    </row>
    <row r="36" spans="1:17" ht="12.75" customHeight="1">
      <c r="A36" s="734"/>
      <c r="B36" s="737" t="s">
        <v>255</v>
      </c>
      <c r="C36" s="548"/>
      <c r="D36" s="6">
        <f>SUMIFS(Sheet1!$C$2:$C$180,Sheet1!$F$2:$F$180,B36,Sheet1!$E$2:$E$180,C36)</f>
        <v>0</v>
      </c>
      <c r="E36" s="6">
        <f>D36/Sheet1!$I$9*Sheet1!$I$10</f>
        <v>0</v>
      </c>
      <c r="F36" s="471">
        <f>D36/Sheet1!$I$9*Sheet1!$I$11</f>
        <v>0</v>
      </c>
      <c r="G36" s="735">
        <f>SUM(F36:F37)</f>
        <v>0</v>
      </c>
      <c r="H36" s="740"/>
      <c r="J36" s="734"/>
      <c r="K36" s="737" t="s">
        <v>255</v>
      </c>
      <c r="L36" s="548"/>
      <c r="M36" s="6">
        <f>SUMIFS(Sheet1!$N$2:$N$180,Sheet1!$Q$2:$Q$180,$K$36,Sheet1!$P$2:$P$180,L36)</f>
        <v>0</v>
      </c>
      <c r="N36" s="6">
        <f>M36/Sheet1!$T$9*Sheet1!$T$10</f>
        <v>0</v>
      </c>
      <c r="O36" s="471">
        <f>M36/Sheet1!$T$9*Sheet1!$T$11</f>
        <v>0</v>
      </c>
      <c r="P36" s="735">
        <f>SUM(O36:O37)</f>
        <v>0</v>
      </c>
      <c r="Q36" s="740"/>
    </row>
    <row r="37" spans="1:17" ht="12.75" customHeight="1">
      <c r="A37" s="734"/>
      <c r="B37" s="738"/>
      <c r="C37" s="548"/>
      <c r="D37" s="6">
        <f>SUMIFS(Sheet1!$C$2:$C$180,Sheet1!$F$2:$F$180,B36,Sheet1!$E$2:$E$180,C37)</f>
        <v>0</v>
      </c>
      <c r="E37" s="6">
        <f>D37/Sheet1!$I$9*Sheet1!$I$10</f>
        <v>0</v>
      </c>
      <c r="F37" s="471">
        <f>D37/Sheet1!$I$9*Sheet1!$I$11</f>
        <v>0</v>
      </c>
      <c r="G37" s="736"/>
      <c r="H37" s="740"/>
      <c r="J37" s="734"/>
      <c r="K37" s="738"/>
      <c r="L37" s="548"/>
      <c r="M37" s="6">
        <f>SUMIFS(Sheet1!$N$2:$N$180,Sheet1!$Q$2:$Q$180,$K$36,Sheet1!$P$2:$P$180,L37)</f>
        <v>0</v>
      </c>
      <c r="N37" s="6">
        <f>M37/Sheet1!$T$9*Sheet1!$T$10</f>
        <v>0</v>
      </c>
      <c r="O37" s="471">
        <f>M37/Sheet1!$T$9*Sheet1!$T$11</f>
        <v>0</v>
      </c>
      <c r="P37" s="736"/>
      <c r="Q37" s="740"/>
    </row>
    <row r="38" spans="1:17" ht="12.75" customHeight="1">
      <c r="A38" s="734" t="s">
        <v>395</v>
      </c>
      <c r="B38" s="737" t="s">
        <v>256</v>
      </c>
      <c r="C38" t="s">
        <v>523</v>
      </c>
      <c r="D38" s="6">
        <f>SUMIFS(Sheet1!$C$2:$C$180,Sheet1!$F$2:$F$180,B38,Sheet1!$E$2:$E$180,C38)</f>
        <v>1555</v>
      </c>
      <c r="E38" s="6">
        <f>D38/Sheet1!$I$9*Sheet1!$I$10</f>
        <v>46.574376650276605</v>
      </c>
      <c r="F38" s="471">
        <f>D38/Sheet1!$I$9*Sheet1!$I$11</f>
        <v>3.5798346486645594E-2</v>
      </c>
      <c r="G38" s="735">
        <f>SUM(F38:F39)</f>
        <v>3.5798346486645594E-2</v>
      </c>
      <c r="H38" s="731">
        <f>SUM(G38:G39)</f>
        <v>3.5798346486645594E-2</v>
      </c>
      <c r="J38" s="734" t="s">
        <v>395</v>
      </c>
      <c r="K38" s="737" t="s">
        <v>256</v>
      </c>
      <c r="L38" s="597" t="s">
        <v>523</v>
      </c>
      <c r="M38" s="6">
        <f>SUMIFS(Sheet1!$N$2:$N$180,Sheet1!$Q$2:$Q$180,K38,Sheet1!$P$2:$P$180,L38)</f>
        <v>1555</v>
      </c>
      <c r="N38" s="6">
        <f>M38/Sheet1!$T$9*Sheet1!$T$10</f>
        <v>45.869614536868738</v>
      </c>
      <c r="O38" s="471">
        <f>M38/Sheet1!$T$9*Sheet1!$T$11</f>
        <v>8.5447683277904224E-2</v>
      </c>
      <c r="P38" s="735">
        <f>SUM(O38:O39)</f>
        <v>8.5447683277904224E-2</v>
      </c>
      <c r="Q38" s="731">
        <f>SUM(P38:P39)</f>
        <v>8.5447683277904224E-2</v>
      </c>
    </row>
    <row r="39" spans="1:17" ht="12.75" customHeight="1">
      <c r="A39" s="734"/>
      <c r="B39" s="738"/>
      <c r="C39" s="551"/>
      <c r="D39" s="6">
        <f>SUMIFS(Sheet1!$C$2:$C$180,Sheet1!$F$2:$F$180,B38,Sheet1!$E$2:$E$180,C39)</f>
        <v>0</v>
      </c>
      <c r="E39" s="6">
        <f>D39/Sheet1!$I$9*Sheet1!$I$10</f>
        <v>0</v>
      </c>
      <c r="F39" s="471">
        <f>D39/Sheet1!$I$9*Sheet1!$I$11</f>
        <v>0</v>
      </c>
      <c r="G39" s="736"/>
      <c r="H39" s="732"/>
      <c r="J39" s="734"/>
      <c r="K39" s="738"/>
      <c r="L39" s="551"/>
      <c r="M39" s="6">
        <f>SUMIFS(Sheet1!$N$2:$N$180,Sheet1!$Q$2:$Q$180,K38,Sheet1!$P$2:$P$180,L39)</f>
        <v>0</v>
      </c>
      <c r="N39" s="6">
        <f>M39/Sheet1!$T$9*Sheet1!$T$10</f>
        <v>0</v>
      </c>
      <c r="O39" s="471">
        <f>M39/Sheet1!$T$9*Sheet1!$T$11</f>
        <v>0</v>
      </c>
      <c r="P39" s="736"/>
      <c r="Q39" s="732"/>
    </row>
    <row r="40" spans="1:17" ht="15">
      <c r="A40" s="552"/>
      <c r="B40" s="733" t="s">
        <v>2</v>
      </c>
      <c r="C40" s="733"/>
      <c r="D40" s="306">
        <f>SUM(D4:D39)</f>
        <v>28435</v>
      </c>
      <c r="E40" s="306">
        <f>SUM(E4:E39)</f>
        <v>887.34833253549709</v>
      </c>
      <c r="F40" s="457">
        <f>SUM(F4:F39)</f>
        <v>0.68204032661517711</v>
      </c>
      <c r="G40" s="457">
        <f>SUM(G4:G39)</f>
        <v>0.68204032661517711</v>
      </c>
      <c r="H40" s="457">
        <f>SUM(H4:H39)</f>
        <v>0.68204032661517722</v>
      </c>
      <c r="J40" s="552"/>
      <c r="K40" s="733" t="s">
        <v>2</v>
      </c>
      <c r="L40" s="733"/>
      <c r="M40" s="306">
        <f>SUM(M4:M39)</f>
        <v>2965</v>
      </c>
      <c r="N40" s="306">
        <f>SUM(N4:N39)</f>
        <v>123.14319237549742</v>
      </c>
      <c r="O40" s="457">
        <f>SUM(O4:O39)</f>
        <v>0.22939587799400402</v>
      </c>
      <c r="P40" s="457">
        <f>SUM(P4:P39)</f>
        <v>0.22939587799400402</v>
      </c>
      <c r="Q40" s="457">
        <f>SUM(Q4:Q39)</f>
        <v>0.22939587799400402</v>
      </c>
    </row>
    <row r="41" spans="1:17" ht="15">
      <c r="A41" s="552"/>
      <c r="B41" s="733" t="s">
        <v>1</v>
      </c>
      <c r="C41" s="733"/>
      <c r="D41" s="733"/>
      <c r="E41" s="733"/>
      <c r="F41" s="553">
        <f>+Efficiency1!X150</f>
        <v>0.31795967338482256</v>
      </c>
      <c r="G41" s="553">
        <f>+F41</f>
        <v>0.31795967338482256</v>
      </c>
      <c r="H41" s="553">
        <f>+G41</f>
        <v>0.31795967338482256</v>
      </c>
      <c r="J41" s="552"/>
      <c r="K41" s="733" t="s">
        <v>1</v>
      </c>
      <c r="L41" s="733"/>
      <c r="M41" s="733"/>
      <c r="N41" s="733"/>
      <c r="O41" s="553">
        <f>+Efficiency2!X150</f>
        <v>0.77060412200599582</v>
      </c>
      <c r="P41" s="553">
        <f>+O41</f>
        <v>0.77060412200599582</v>
      </c>
      <c r="Q41" s="553">
        <f>+P41</f>
        <v>0.77060412200599582</v>
      </c>
    </row>
    <row r="42" spans="1:17" ht="15">
      <c r="A42" s="552"/>
      <c r="B42" s="733" t="s">
        <v>57</v>
      </c>
      <c r="C42" s="733"/>
      <c r="D42" s="733"/>
      <c r="E42" s="733"/>
      <c r="F42" s="473">
        <f>SUM(F40:F41)</f>
        <v>0.99999999999999967</v>
      </c>
      <c r="G42" s="473">
        <f>SUM(G40:G41)</f>
        <v>0.99999999999999967</v>
      </c>
      <c r="H42" s="544">
        <f>SUM(H40:H41)</f>
        <v>0.99999999999999978</v>
      </c>
      <c r="J42" s="552"/>
      <c r="K42" s="733" t="s">
        <v>57</v>
      </c>
      <c r="L42" s="733"/>
      <c r="M42" s="733"/>
      <c r="N42" s="733"/>
      <c r="O42" s="473">
        <f>SUM(O40:O41)</f>
        <v>0.99999999999999978</v>
      </c>
      <c r="P42" s="473">
        <f>SUM(P40:P41)</f>
        <v>0.99999999999999978</v>
      </c>
      <c r="Q42" s="544">
        <f>SUM(Q40:Q41)</f>
        <v>0.99999999999999978</v>
      </c>
    </row>
  </sheetData>
  <mergeCells count="66">
    <mergeCell ref="L2:L3"/>
    <mergeCell ref="A2:A3"/>
    <mergeCell ref="B2:B3"/>
    <mergeCell ref="C2:C3"/>
    <mergeCell ref="J2:J3"/>
    <mergeCell ref="K2:K3"/>
    <mergeCell ref="A4:A11"/>
    <mergeCell ref="H4:H11"/>
    <mergeCell ref="J4:J11"/>
    <mergeCell ref="Q4:Q11"/>
    <mergeCell ref="B6:B7"/>
    <mergeCell ref="K6:K7"/>
    <mergeCell ref="B8:B9"/>
    <mergeCell ref="K8:K9"/>
    <mergeCell ref="B10:B11"/>
    <mergeCell ref="K10:K11"/>
    <mergeCell ref="Q12:Q13"/>
    <mergeCell ref="A14:A23"/>
    <mergeCell ref="H14:H23"/>
    <mergeCell ref="J14:J23"/>
    <mergeCell ref="Q14:Q23"/>
    <mergeCell ref="B16:B17"/>
    <mergeCell ref="G16:G17"/>
    <mergeCell ref="K16:K17"/>
    <mergeCell ref="P16:P17"/>
    <mergeCell ref="B19:B23"/>
    <mergeCell ref="G19:G23"/>
    <mergeCell ref="K19:K23"/>
    <mergeCell ref="P19:P23"/>
    <mergeCell ref="A24:A37"/>
    <mergeCell ref="A38:A39"/>
    <mergeCell ref="A12:A13"/>
    <mergeCell ref="H12:H13"/>
    <mergeCell ref="J12:J13"/>
    <mergeCell ref="Q24:Q37"/>
    <mergeCell ref="B31:B32"/>
    <mergeCell ref="G31:G32"/>
    <mergeCell ref="K31:K32"/>
    <mergeCell ref="P31:P32"/>
    <mergeCell ref="B33:B35"/>
    <mergeCell ref="G33:G35"/>
    <mergeCell ref="K33:K35"/>
    <mergeCell ref="P33:P35"/>
    <mergeCell ref="K24:K30"/>
    <mergeCell ref="K36:K37"/>
    <mergeCell ref="B24:B30"/>
    <mergeCell ref="G24:G30"/>
    <mergeCell ref="H24:H37"/>
    <mergeCell ref="B36:B37"/>
    <mergeCell ref="G36:G37"/>
    <mergeCell ref="B42:E42"/>
    <mergeCell ref="K42:N42"/>
    <mergeCell ref="P36:P37"/>
    <mergeCell ref="B38:B39"/>
    <mergeCell ref="G38:G39"/>
    <mergeCell ref="H38:H39"/>
    <mergeCell ref="K38:K39"/>
    <mergeCell ref="P38:P39"/>
    <mergeCell ref="J24:J37"/>
    <mergeCell ref="P24:P30"/>
    <mergeCell ref="Q38:Q39"/>
    <mergeCell ref="B40:C40"/>
    <mergeCell ref="K40:L40"/>
    <mergeCell ref="B41:E41"/>
    <mergeCell ref="K41:N41"/>
    <mergeCell ref="J38:J39"/>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 right="0.31496062992125984" top="0.3543307086614173" bottom="0.3543307086614173" header="0.31496062992125984" footer="0.31496062992125984"/>
  <pageSetup paperSize="9" scale="34"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1"/>
  <sheetViews>
    <sheetView topLeftCell="A4" zoomScale="80" zoomScaleNormal="80" workbookViewId="0">
      <selection activeCell="H28" sqref="H2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7.140625" style="149" customWidth="1"/>
    <col min="14" max="15" width="9.140625" style="149"/>
    <col min="16" max="16" width="10.28515625" style="149" bestFit="1" customWidth="1"/>
    <col min="17" max="17" width="9.28515625" style="149" bestFit="1" customWidth="1"/>
    <col min="18" max="16384" width="9.140625" style="149"/>
  </cols>
  <sheetData>
    <row r="1" spans="1:23" ht="15.75">
      <c r="A1" s="148"/>
    </row>
    <row r="2" spans="1:23" ht="15.75">
      <c r="A2" s="148" t="s">
        <v>185</v>
      </c>
    </row>
    <row r="3" spans="1:23" ht="15">
      <c r="A3" s="150"/>
    </row>
    <row r="4" spans="1:23" ht="20.25">
      <c r="A4" s="151" t="s">
        <v>3</v>
      </c>
      <c r="B4" s="152"/>
      <c r="F4" s="153" t="s">
        <v>29</v>
      </c>
      <c r="G4" s="154">
        <v>30</v>
      </c>
      <c r="H4" s="154" t="str">
        <f>+'1'!H4</f>
        <v>.9.25</v>
      </c>
    </row>
    <row r="5" spans="1:23" ht="13.5" thickBot="1">
      <c r="C5" s="155"/>
      <c r="D5" s="155"/>
    </row>
    <row r="6" spans="1:2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81" t="s">
        <v>92</v>
      </c>
      <c r="O6" s="423" t="s">
        <v>192</v>
      </c>
      <c r="P6" s="423" t="s">
        <v>192</v>
      </c>
      <c r="Q6" s="423" t="s">
        <v>193</v>
      </c>
      <c r="R6" s="423" t="s">
        <v>194</v>
      </c>
      <c r="S6" s="423" t="s">
        <v>195</v>
      </c>
      <c r="T6" s="423" t="s">
        <v>190</v>
      </c>
      <c r="U6" s="424" t="s">
        <v>196</v>
      </c>
      <c r="V6" s="423" t="s">
        <v>197</v>
      </c>
      <c r="W6" s="423" t="s">
        <v>191</v>
      </c>
    </row>
    <row r="7" spans="1:23" ht="13.5" customHeight="1" thickBot="1">
      <c r="A7" s="765"/>
      <c r="B7" s="215"/>
      <c r="C7" s="216"/>
      <c r="D7" s="217"/>
      <c r="E7" s="218"/>
      <c r="F7" s="228"/>
      <c r="G7" s="229" t="s">
        <v>12</v>
      </c>
      <c r="H7" s="230" t="s">
        <v>466</v>
      </c>
      <c r="I7" s="768"/>
      <c r="J7" s="214" t="str">
        <f>+'29'!J7</f>
        <v>F 12 VP OW</v>
      </c>
      <c r="K7" s="238"/>
      <c r="L7" s="242"/>
      <c r="M7" s="117">
        <f>+K7+'29'!M7+L7</f>
        <v>172842</v>
      </c>
      <c r="N7" s="425">
        <v>14.5</v>
      </c>
      <c r="O7" s="199">
        <v>1200</v>
      </c>
      <c r="P7" s="199">
        <v>1120</v>
      </c>
      <c r="Q7" s="199">
        <v>896</v>
      </c>
      <c r="R7" s="426">
        <f>1-(Q7/P7)</f>
        <v>0.19999999999999996</v>
      </c>
      <c r="S7" s="427">
        <v>45</v>
      </c>
      <c r="T7" s="428">
        <v>256.5</v>
      </c>
      <c r="U7" s="429">
        <f>(O7*(1-R7)*N7*T7*S7)/100000000</f>
        <v>1.606716</v>
      </c>
      <c r="V7" s="430">
        <f>+C14/1000</f>
        <v>0</v>
      </c>
      <c r="W7" s="431">
        <f>SUM(V7:V9)/SUM(U7:U9)</f>
        <v>0</v>
      </c>
    </row>
    <row r="8" spans="1:23" ht="13.5" thickBot="1">
      <c r="A8" s="766"/>
      <c r="B8" s="215"/>
      <c r="C8" s="216"/>
      <c r="D8" s="217"/>
      <c r="E8" s="219"/>
      <c r="F8" s="231"/>
      <c r="G8" s="560" t="s">
        <v>12</v>
      </c>
      <c r="H8" s="230" t="s">
        <v>432</v>
      </c>
      <c r="I8" s="769"/>
      <c r="J8" s="214" t="str">
        <f>+'29'!J8</f>
        <v>F 13 VP OW</v>
      </c>
      <c r="K8" s="239"/>
      <c r="L8" s="239"/>
      <c r="M8" s="117">
        <f>+K8+'29'!M8+L8</f>
        <v>66206</v>
      </c>
      <c r="N8" s="425">
        <v>18</v>
      </c>
      <c r="O8" s="199">
        <v>1200</v>
      </c>
      <c r="P8" s="199">
        <v>930</v>
      </c>
      <c r="Q8" s="199">
        <v>744</v>
      </c>
      <c r="R8" s="426">
        <f>1-(Q8/P8)</f>
        <v>0.19999999999999996</v>
      </c>
      <c r="S8" s="427">
        <f>480-S7</f>
        <v>435</v>
      </c>
      <c r="T8" s="428">
        <v>256.5</v>
      </c>
      <c r="U8" s="429">
        <f>(O8*(1-R8)*N8*T8*S8)/100000000</f>
        <v>19.280591999999999</v>
      </c>
      <c r="V8" s="430"/>
      <c r="W8" s="432"/>
    </row>
    <row r="9" spans="1:23" ht="13.5" thickBot="1">
      <c r="A9" s="766"/>
      <c r="B9" s="215"/>
      <c r="C9" s="216"/>
      <c r="D9" s="217"/>
      <c r="E9" s="220"/>
      <c r="F9" s="228"/>
      <c r="G9" s="560" t="s">
        <v>12</v>
      </c>
      <c r="H9" s="233" t="s">
        <v>507</v>
      </c>
      <c r="I9" s="769"/>
      <c r="J9" s="214" t="str">
        <f>+'29'!J9</f>
        <v>F 14 VP OW</v>
      </c>
      <c r="K9" s="239"/>
      <c r="L9" s="239"/>
      <c r="M9" s="117">
        <f>+K9+'29'!M9+L9</f>
        <v>100560</v>
      </c>
      <c r="N9" s="433"/>
    </row>
    <row r="10" spans="1:23" ht="13.5" thickBot="1">
      <c r="A10" s="766"/>
      <c r="B10" s="215"/>
      <c r="C10" s="216"/>
      <c r="D10" s="217"/>
      <c r="E10" s="219"/>
      <c r="F10" s="228">
        <v>480</v>
      </c>
      <c r="G10" s="237" t="s">
        <v>20</v>
      </c>
      <c r="H10" s="233" t="s">
        <v>604</v>
      </c>
      <c r="I10" s="769"/>
      <c r="J10" s="214" t="str">
        <f>+'29'!J10</f>
        <v>T 12,5 VP OW</v>
      </c>
      <c r="K10" s="239"/>
      <c r="L10" s="239"/>
      <c r="M10" s="117">
        <f>+K10+'29'!M10+L10</f>
        <v>19885</v>
      </c>
      <c r="N10" s="433"/>
    </row>
    <row r="11" spans="1:23" ht="51.75" thickBot="1">
      <c r="A11" s="766"/>
      <c r="B11" s="215"/>
      <c r="C11" s="216"/>
      <c r="D11" s="217"/>
      <c r="E11" s="219"/>
      <c r="F11" s="228"/>
      <c r="G11" s="232"/>
      <c r="H11" s="233" t="s">
        <v>628</v>
      </c>
      <c r="I11" s="769"/>
      <c r="J11" s="214" t="str">
        <f>+'29'!J11</f>
        <v>F 12,5 VP OW</v>
      </c>
      <c r="K11" s="239"/>
      <c r="L11" s="239"/>
      <c r="M11" s="117">
        <f>+K11+'29'!M11+L11</f>
        <v>42554</v>
      </c>
      <c r="N11" s="433"/>
    </row>
    <row r="12" spans="1:23" ht="13.5" thickBot="1">
      <c r="A12" s="766"/>
      <c r="B12" s="215"/>
      <c r="C12" s="216"/>
      <c r="D12" s="217"/>
      <c r="E12" s="219"/>
      <c r="F12" s="228"/>
      <c r="G12" s="232"/>
      <c r="H12" s="233"/>
      <c r="I12" s="769"/>
      <c r="J12" s="214" t="str">
        <f>+'29'!J12</f>
        <v>F 13,5 VP OW</v>
      </c>
      <c r="K12" s="239"/>
      <c r="L12" s="239"/>
      <c r="M12" s="117">
        <f>+K12+'29'!M12+L12</f>
        <v>11625</v>
      </c>
      <c r="N12" s="433"/>
    </row>
    <row r="13" spans="1:23" ht="13.5" thickBot="1">
      <c r="A13" s="766"/>
      <c r="B13" s="215"/>
      <c r="C13" s="216"/>
      <c r="D13" s="216"/>
      <c r="E13" s="219"/>
      <c r="F13" s="228"/>
      <c r="G13" s="232"/>
      <c r="H13" s="233"/>
      <c r="I13" s="770"/>
      <c r="J13" s="214">
        <f>+'29'!J13</f>
        <v>0</v>
      </c>
      <c r="K13" s="239"/>
      <c r="L13" s="239"/>
      <c r="M13" s="117">
        <f>+K13+'29'!M13+L13</f>
        <v>0</v>
      </c>
      <c r="N13" s="434"/>
      <c r="O13" s="435"/>
      <c r="P13" s="435"/>
      <c r="Q13" s="435"/>
      <c r="R13" s="435"/>
      <c r="S13" s="435"/>
      <c r="T13" s="435"/>
      <c r="U13" s="435"/>
      <c r="V13" s="435"/>
      <c r="W13" s="435"/>
    </row>
    <row r="14" spans="1:23" ht="13.5" thickBot="1">
      <c r="A14" s="767"/>
      <c r="B14" s="165" t="s">
        <v>2</v>
      </c>
      <c r="C14" s="99">
        <f>SUM(C7:C13)</f>
        <v>0</v>
      </c>
      <c r="D14" s="111">
        <f>SUM(D7:D13)</f>
        <v>0</v>
      </c>
      <c r="E14" s="112">
        <f>SUM(E5:E13)</f>
        <v>0</v>
      </c>
      <c r="F14" s="116">
        <f>SUM(F7:F13)</f>
        <v>480</v>
      </c>
      <c r="G14" s="159"/>
      <c r="H14" s="166"/>
      <c r="I14" s="167"/>
      <c r="J14" s="214">
        <f>+'29'!J14</f>
        <v>0</v>
      </c>
      <c r="K14" s="239"/>
      <c r="L14" s="239"/>
      <c r="M14" s="117">
        <f>+K14+'29'!M14+L14</f>
        <v>0</v>
      </c>
    </row>
    <row r="15" spans="1:23" ht="13.5" customHeight="1" thickBot="1">
      <c r="A15" s="765"/>
      <c r="B15" s="165"/>
      <c r="C15" s="113" t="e">
        <f>C14/($C$23+$D$23+$E$23)</f>
        <v>#DIV/0!</v>
      </c>
      <c r="D15" s="114" t="e">
        <f>D14/($C$23+$D$23+$E$23)</f>
        <v>#DIV/0!</v>
      </c>
      <c r="E15" s="115" t="e">
        <f>E14/($C$23+$D$23+$E$23)</f>
        <v>#DIV/0!</v>
      </c>
      <c r="F15" s="228"/>
      <c r="G15" s="229" t="s">
        <v>12</v>
      </c>
      <c r="H15" s="230" t="s">
        <v>466</v>
      </c>
      <c r="I15" s="768"/>
      <c r="J15" s="214">
        <f>+'29'!J15</f>
        <v>0</v>
      </c>
      <c r="K15" s="239"/>
      <c r="L15" s="239"/>
      <c r="M15" s="117">
        <f>+K15+'29'!M15+L15</f>
        <v>0</v>
      </c>
      <c r="N15" s="425">
        <v>18</v>
      </c>
      <c r="O15" s="199">
        <v>1200</v>
      </c>
      <c r="P15" s="199">
        <v>850</v>
      </c>
      <c r="Q15" s="199">
        <v>680</v>
      </c>
      <c r="R15" s="426">
        <f>1-(Q15/P15)</f>
        <v>0.19999999999999996</v>
      </c>
      <c r="S15" s="427">
        <v>480</v>
      </c>
      <c r="T15" s="428">
        <v>256.5</v>
      </c>
      <c r="U15" s="429">
        <f>(O15*(1-R15)*N15*T15*S15)/100000000</f>
        <v>21.275136</v>
      </c>
      <c r="V15" s="430">
        <f>+C23/1000</f>
        <v>0</v>
      </c>
      <c r="W15" s="431">
        <f>SUM(V15:V17)/SUM(U15:U17)</f>
        <v>0</v>
      </c>
    </row>
    <row r="16" spans="1:23" ht="13.5" thickBot="1">
      <c r="A16" s="771"/>
      <c r="B16" s="221"/>
      <c r="C16" s="222"/>
      <c r="D16" s="223"/>
      <c r="E16" s="224"/>
      <c r="F16" s="231"/>
      <c r="G16" s="560" t="s">
        <v>12</v>
      </c>
      <c r="H16" s="230" t="s">
        <v>432</v>
      </c>
      <c r="I16" s="769"/>
      <c r="J16" s="214">
        <f>+'29'!J16</f>
        <v>0</v>
      </c>
      <c r="K16" s="229"/>
      <c r="L16" s="229"/>
      <c r="M16" s="117">
        <f>+K16+'29'!M16+L16</f>
        <v>0</v>
      </c>
      <c r="N16" s="436"/>
      <c r="O16" s="199"/>
      <c r="P16" s="199"/>
      <c r="Q16" s="437"/>
      <c r="R16" s="426"/>
      <c r="S16" s="199"/>
      <c r="T16" s="428"/>
      <c r="U16" s="429"/>
      <c r="V16" s="430"/>
      <c r="W16" s="432"/>
    </row>
    <row r="17" spans="1:23" ht="13.5" thickBot="1">
      <c r="A17" s="771"/>
      <c r="B17" s="215"/>
      <c r="C17" s="216"/>
      <c r="D17" s="217"/>
      <c r="E17" s="225"/>
      <c r="F17" s="228"/>
      <c r="G17" s="560" t="s">
        <v>12</v>
      </c>
      <c r="H17" s="233" t="s">
        <v>507</v>
      </c>
      <c r="I17" s="769"/>
      <c r="J17" s="214">
        <f>+'29'!J17</f>
        <v>0</v>
      </c>
      <c r="K17" s="229"/>
      <c r="L17" s="229"/>
      <c r="M17" s="117">
        <f>+K17+'29'!M17+L17</f>
        <v>0</v>
      </c>
      <c r="N17" s="433"/>
      <c r="O17" s="199"/>
      <c r="R17" s="426"/>
      <c r="T17" s="428"/>
      <c r="U17" s="429"/>
    </row>
    <row r="18" spans="1:23" ht="13.5" thickBot="1">
      <c r="A18" s="771"/>
      <c r="B18" s="215"/>
      <c r="C18" s="216"/>
      <c r="D18" s="217"/>
      <c r="E18" s="225"/>
      <c r="F18" s="228">
        <v>480</v>
      </c>
      <c r="G18" s="237" t="s">
        <v>20</v>
      </c>
      <c r="H18" s="233" t="s">
        <v>604</v>
      </c>
      <c r="I18" s="769"/>
      <c r="J18" s="214">
        <f>+'29'!J18</f>
        <v>0</v>
      </c>
      <c r="K18" s="239"/>
      <c r="L18" s="239"/>
      <c r="M18" s="117">
        <f>+K18+'29'!M18+L18</f>
        <v>0</v>
      </c>
      <c r="N18" s="433"/>
    </row>
    <row r="19" spans="1:23" ht="13.5" thickBot="1">
      <c r="A19" s="771"/>
      <c r="B19" s="215"/>
      <c r="C19" s="216"/>
      <c r="D19" s="217"/>
      <c r="E19" s="225"/>
      <c r="F19" s="235"/>
      <c r="G19" s="232"/>
      <c r="H19" s="233"/>
      <c r="I19" s="769"/>
      <c r="J19" s="214">
        <f>+'29'!J19</f>
        <v>0</v>
      </c>
      <c r="K19" s="239"/>
      <c r="L19" s="239"/>
      <c r="M19" s="117">
        <f>+K19+'29'!M19+L19</f>
        <v>0</v>
      </c>
      <c r="N19" s="433"/>
    </row>
    <row r="20" spans="1:23" ht="13.5" thickBot="1">
      <c r="A20" s="771"/>
      <c r="B20" s="215"/>
      <c r="C20" s="216"/>
      <c r="D20" s="217"/>
      <c r="E20" s="225"/>
      <c r="F20" s="228"/>
      <c r="G20" s="232"/>
      <c r="H20" s="233"/>
      <c r="I20" s="769"/>
      <c r="J20" s="214">
        <f>+'29'!J20</f>
        <v>0</v>
      </c>
      <c r="K20" s="240"/>
      <c r="L20" s="240"/>
      <c r="M20" s="117">
        <f>+K20+'29'!M20+L20</f>
        <v>0</v>
      </c>
      <c r="N20" s="433"/>
    </row>
    <row r="21" spans="1:23" ht="13.5" thickBot="1">
      <c r="A21" s="771"/>
      <c r="B21" s="215"/>
      <c r="C21" s="216"/>
      <c r="D21" s="217"/>
      <c r="E21" s="225"/>
      <c r="F21" s="231"/>
      <c r="G21" s="232"/>
      <c r="H21" s="233"/>
      <c r="I21" s="769"/>
      <c r="J21" s="214">
        <f>+'29'!J21</f>
        <v>0</v>
      </c>
      <c r="K21" s="239"/>
      <c r="L21" s="239"/>
      <c r="M21" s="117">
        <f>+K21+'29'!M21+L21</f>
        <v>0</v>
      </c>
      <c r="N21" s="434"/>
      <c r="O21" s="435"/>
      <c r="P21" s="435"/>
      <c r="Q21" s="435"/>
      <c r="R21" s="435"/>
      <c r="S21" s="435"/>
      <c r="T21" s="435"/>
      <c r="U21" s="435"/>
      <c r="V21" s="435"/>
      <c r="W21" s="435"/>
    </row>
    <row r="22" spans="1:23" ht="13.5" thickBot="1">
      <c r="A22" s="771"/>
      <c r="B22" s="215"/>
      <c r="C22" s="216"/>
      <c r="D22" s="217"/>
      <c r="E22" s="225"/>
      <c r="F22" s="236"/>
      <c r="G22" s="232"/>
      <c r="H22" s="233"/>
      <c r="I22" s="770"/>
      <c r="J22" s="214">
        <f>+'29'!J22</f>
        <v>0</v>
      </c>
      <c r="K22" s="239"/>
      <c r="L22" s="239"/>
      <c r="M22" s="117">
        <f>+K22+'29'!M22+L22</f>
        <v>0</v>
      </c>
    </row>
    <row r="23" spans="1:23" ht="13.5" thickBot="1">
      <c r="A23" s="772"/>
      <c r="B23" s="168" t="s">
        <v>2</v>
      </c>
      <c r="C23" s="100">
        <f>SUM(C16:C22)</f>
        <v>0</v>
      </c>
      <c r="D23" s="111">
        <f>SUM(D16:D22)</f>
        <v>0</v>
      </c>
      <c r="E23" s="112">
        <f>SUM(E18:E22)</f>
        <v>0</v>
      </c>
      <c r="F23" s="116">
        <f>SUM(F15:F22)</f>
        <v>480</v>
      </c>
      <c r="G23" s="159"/>
      <c r="H23" s="166"/>
      <c r="I23" s="169"/>
      <c r="J23" s="214">
        <f>+'29'!J23</f>
        <v>0</v>
      </c>
      <c r="K23" s="239"/>
      <c r="L23" s="239"/>
      <c r="M23" s="117">
        <f>+K23+'29'!M23+L23</f>
        <v>0</v>
      </c>
      <c r="N23" s="438"/>
      <c r="O23" s="439"/>
      <c r="P23" s="439"/>
      <c r="Q23" s="439"/>
      <c r="R23" s="439"/>
      <c r="S23" s="439"/>
      <c r="T23" s="439"/>
      <c r="U23" s="439"/>
      <c r="V23" s="439"/>
      <c r="W23" s="439"/>
    </row>
    <row r="24" spans="1:23" ht="13.5" customHeight="1" thickBot="1">
      <c r="A24" s="765"/>
      <c r="B24" s="170"/>
      <c r="C24" s="113" t="e">
        <f>C23/($C$23+$D$23+$E$23)</f>
        <v>#DIV/0!</v>
      </c>
      <c r="D24" s="114" t="e">
        <f>D23/($C$23+$D$23+$E$23)</f>
        <v>#DIV/0!</v>
      </c>
      <c r="E24" s="115" t="e">
        <f>E23/($C$23+$D$23+$E$23)</f>
        <v>#DIV/0!</v>
      </c>
      <c r="F24" s="228"/>
      <c r="G24" s="229" t="s">
        <v>12</v>
      </c>
      <c r="H24" s="230" t="s">
        <v>466</v>
      </c>
      <c r="I24" s="768"/>
      <c r="J24" s="214">
        <f>+'29'!J24</f>
        <v>0</v>
      </c>
      <c r="K24" s="239"/>
      <c r="L24" s="239"/>
      <c r="M24" s="117">
        <f>+K24+'29'!M24+L24</f>
        <v>0</v>
      </c>
      <c r="N24" s="425">
        <v>18</v>
      </c>
      <c r="O24" s="199">
        <v>1200</v>
      </c>
      <c r="P24" s="199">
        <v>770</v>
      </c>
      <c r="Q24" s="199">
        <v>616</v>
      </c>
      <c r="R24" s="426">
        <f>1-(Q24/P24)</f>
        <v>0.19999999999999996</v>
      </c>
      <c r="S24" s="427">
        <v>480</v>
      </c>
      <c r="T24" s="428">
        <v>256.5</v>
      </c>
      <c r="U24" s="429">
        <f>(O24*(1-R24)*N24*T24*S24)/100000000</f>
        <v>21.275136</v>
      </c>
      <c r="V24" s="430">
        <f>+C32/1000</f>
        <v>0</v>
      </c>
      <c r="W24" s="431">
        <f>SUM(V24:V25)/SUM(U24:U25)</f>
        <v>0</v>
      </c>
    </row>
    <row r="25" spans="1:23" ht="13.5" thickBot="1">
      <c r="A25" s="771"/>
      <c r="B25" s="215"/>
      <c r="C25" s="226"/>
      <c r="D25" s="217"/>
      <c r="E25" s="225"/>
      <c r="F25" s="231"/>
      <c r="G25" s="560" t="s">
        <v>12</v>
      </c>
      <c r="H25" s="230" t="s">
        <v>432</v>
      </c>
      <c r="I25" s="769"/>
      <c r="J25" s="214">
        <f>+'29'!J25</f>
        <v>0</v>
      </c>
      <c r="K25" s="239"/>
      <c r="L25" s="239"/>
      <c r="M25" s="117">
        <f>+K25+'29'!M25+L25</f>
        <v>0</v>
      </c>
      <c r="N25" s="425"/>
      <c r="O25" s="199"/>
      <c r="P25" s="199"/>
      <c r="Q25" s="199"/>
      <c r="R25" s="426"/>
      <c r="S25" s="427"/>
      <c r="T25" s="428"/>
      <c r="U25" s="429"/>
      <c r="V25" s="430"/>
      <c r="W25" s="431"/>
    </row>
    <row r="26" spans="1:23" ht="13.5" thickBot="1">
      <c r="A26" s="771"/>
      <c r="B26" s="215"/>
      <c r="C26" s="226"/>
      <c r="D26" s="217"/>
      <c r="E26" s="227"/>
      <c r="F26" s="228"/>
      <c r="G26" s="560" t="s">
        <v>12</v>
      </c>
      <c r="H26" s="233" t="s">
        <v>507</v>
      </c>
      <c r="I26" s="769"/>
      <c r="J26" s="214">
        <f>+'29'!J26</f>
        <v>0</v>
      </c>
      <c r="K26" s="239"/>
      <c r="L26" s="239"/>
      <c r="M26" s="117">
        <f>+K26+'29'!M26+L26</f>
        <v>0</v>
      </c>
    </row>
    <row r="27" spans="1:23" ht="13.5" thickBot="1">
      <c r="A27" s="771"/>
      <c r="B27" s="215"/>
      <c r="C27" s="216"/>
      <c r="D27" s="217"/>
      <c r="E27" s="225"/>
      <c r="F27" s="228">
        <v>480</v>
      </c>
      <c r="G27" s="237" t="s">
        <v>20</v>
      </c>
      <c r="H27" s="233" t="s">
        <v>604</v>
      </c>
      <c r="I27" s="769"/>
      <c r="J27" s="214">
        <f>+'29'!J27</f>
        <v>0</v>
      </c>
      <c r="K27" s="239"/>
      <c r="L27" s="239"/>
      <c r="M27" s="117">
        <f>+K27+'29'!M27+L27</f>
        <v>0</v>
      </c>
    </row>
    <row r="28" spans="1:23" ht="64.5" thickBot="1">
      <c r="A28" s="771"/>
      <c r="B28" s="215"/>
      <c r="C28" s="216"/>
      <c r="D28" s="217"/>
      <c r="E28" s="225"/>
      <c r="F28" s="235"/>
      <c r="G28" s="232"/>
      <c r="H28" s="233" t="s">
        <v>624</v>
      </c>
      <c r="I28" s="769"/>
      <c r="J28" s="214">
        <f>+'29'!J28</f>
        <v>0</v>
      </c>
      <c r="K28" s="239"/>
      <c r="L28" s="239"/>
      <c r="M28" s="117">
        <f>+K28+'29'!M28+L28</f>
        <v>0</v>
      </c>
    </row>
    <row r="29" spans="1:23" ht="13.5" thickBot="1">
      <c r="A29" s="771"/>
      <c r="B29" s="215"/>
      <c r="C29" s="216"/>
      <c r="D29" s="217"/>
      <c r="E29" s="225"/>
      <c r="F29" s="236"/>
      <c r="G29" s="232"/>
      <c r="H29" s="233"/>
      <c r="I29" s="769"/>
      <c r="J29" s="214">
        <f>+'29'!J29</f>
        <v>0</v>
      </c>
      <c r="K29" s="239"/>
      <c r="L29" s="239"/>
      <c r="M29" s="117">
        <f>+K29+'29'!M29+L29</f>
        <v>0</v>
      </c>
    </row>
    <row r="30" spans="1:23" ht="13.5" thickBot="1">
      <c r="A30" s="771"/>
      <c r="B30" s="215"/>
      <c r="C30" s="226"/>
      <c r="D30" s="217"/>
      <c r="E30" s="225"/>
      <c r="F30" s="236"/>
      <c r="G30" s="232"/>
      <c r="H30" s="233"/>
      <c r="I30" s="769"/>
      <c r="J30" s="214">
        <f>+'29'!J30</f>
        <v>0</v>
      </c>
      <c r="K30" s="239"/>
      <c r="L30" s="239"/>
      <c r="M30" s="117">
        <f>+K30+'29'!M30+L30</f>
        <v>0</v>
      </c>
      <c r="N30" s="155"/>
    </row>
    <row r="31" spans="1:23" ht="13.5" thickBot="1">
      <c r="A31" s="771"/>
      <c r="B31" s="215"/>
      <c r="C31" s="226"/>
      <c r="D31" s="217"/>
      <c r="E31" s="225"/>
      <c r="F31" s="236"/>
      <c r="G31" s="237"/>
      <c r="H31" s="445"/>
      <c r="I31" s="770"/>
      <c r="J31" s="214">
        <f>+'29'!J31</f>
        <v>0</v>
      </c>
      <c r="K31" s="239"/>
      <c r="L31" s="239"/>
      <c r="M31" s="117">
        <f>+K31+'29'!M31+L31</f>
        <v>0</v>
      </c>
    </row>
    <row r="32" spans="1:23" ht="13.5" thickBot="1">
      <c r="A32" s="772"/>
      <c r="B32" s="165" t="s">
        <v>2</v>
      </c>
      <c r="C32" s="99">
        <f>SUM(C25:C31)</f>
        <v>0</v>
      </c>
      <c r="D32" s="100">
        <f>SUM(D25:D31)</f>
        <v>0</v>
      </c>
      <c r="E32" s="101">
        <f>SUM(E25:E31)</f>
        <v>0</v>
      </c>
      <c r="F32" s="102">
        <f>SUM(F24:F31)</f>
        <v>480</v>
      </c>
      <c r="G32" s="171"/>
      <c r="H32" s="172"/>
      <c r="I32" s="169"/>
      <c r="J32" s="214">
        <f>+'29'!J32</f>
        <v>0</v>
      </c>
      <c r="K32" s="241"/>
      <c r="L32" s="243"/>
      <c r="M32" s="117">
        <f>+K32+'29'!M32+L32</f>
        <v>0</v>
      </c>
    </row>
    <row r="33" spans="1:14" ht="13.5" thickBot="1">
      <c r="A33" s="173"/>
      <c r="B33" s="174"/>
      <c r="C33" s="103" t="e">
        <f>C32/($C$32+$D$32+$E$32)</f>
        <v>#DIV/0!</v>
      </c>
      <c r="D33" s="104" t="e">
        <f>D32/($C$32+$D$32+$E$32)</f>
        <v>#DIV/0!</v>
      </c>
      <c r="E33" s="105" t="e">
        <f>E32/($C$32+$D$32+$E$32)</f>
        <v>#DIV/0!</v>
      </c>
      <c r="F33" s="106"/>
      <c r="G33" s="175"/>
      <c r="H33" s="176"/>
      <c r="I33" s="177"/>
      <c r="J33" s="121"/>
      <c r="K33" s="122"/>
      <c r="L33" s="213"/>
      <c r="M33" s="119"/>
    </row>
    <row r="34" spans="1:14"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c r="N34" s="155"/>
    </row>
    <row r="35" spans="1:14" ht="13.5" thickBot="1">
      <c r="A35" s="179"/>
      <c r="B35" s="180"/>
      <c r="C35" s="104" t="e">
        <f>C34/($C$34+$D$34+$E$34)</f>
        <v>#DIV/0!</v>
      </c>
      <c r="D35" s="104" t="e">
        <f>D34/($C$34+$D$34+$E$34)</f>
        <v>#DIV/0!</v>
      </c>
      <c r="E35" s="109" t="e">
        <f>E34/($C$34+$D$34+$E$34)</f>
        <v>#DIV/0!</v>
      </c>
      <c r="K35" s="155"/>
    </row>
    <row r="36" spans="1:14" ht="13.5" thickBot="1">
      <c r="A36" s="178"/>
      <c r="B36" s="178"/>
      <c r="C36" s="155"/>
      <c r="D36" s="155"/>
      <c r="E36" s="155"/>
      <c r="G36" s="155"/>
      <c r="H36" s="181"/>
      <c r="I36" s="162" t="s">
        <v>37</v>
      </c>
      <c r="J36" s="162" t="s">
        <v>38</v>
      </c>
      <c r="K36" s="182"/>
    </row>
    <row r="37" spans="1:14" ht="17.45" customHeight="1" thickBot="1">
      <c r="A37" s="763" t="s">
        <v>58</v>
      </c>
      <c r="B37" s="764"/>
      <c r="C37" s="162" t="s">
        <v>59</v>
      </c>
      <c r="D37" s="183" t="s">
        <v>60</v>
      </c>
      <c r="E37" s="184" t="s">
        <v>61</v>
      </c>
      <c r="F37" s="322"/>
      <c r="G37" s="324"/>
      <c r="H37" s="186" t="s">
        <v>62</v>
      </c>
      <c r="I37" s="244">
        <f>(15*453+18*987)/1440*G42*2.74*1440/1000000</f>
        <v>0</v>
      </c>
      <c r="J37" s="125" t="e">
        <f>+I37+'29'!J37</f>
        <v>#DIV/0!</v>
      </c>
      <c r="K37" s="126" t="s">
        <v>63</v>
      </c>
    </row>
    <row r="38" spans="1:14" ht="17.45" customHeight="1">
      <c r="A38" s="755" t="s">
        <v>12</v>
      </c>
      <c r="B38" s="756"/>
      <c r="C38" s="164">
        <f>SUMIF($G$7:$G$31,"Process",$F$7:$F$31)</f>
        <v>0</v>
      </c>
      <c r="D38" s="118">
        <f>+C38+'29'!D38</f>
        <v>860</v>
      </c>
      <c r="E38" s="143">
        <f t="shared" ref="E38:E51" si="0">D38/60</f>
        <v>14.333333333333334</v>
      </c>
      <c r="F38" s="322"/>
      <c r="G38" s="322"/>
      <c r="H38" s="187" t="s">
        <v>64</v>
      </c>
      <c r="I38" s="245"/>
      <c r="J38" s="127">
        <f>+I38+'29'!J38</f>
        <v>440.91260000000005</v>
      </c>
      <c r="K38" s="128" t="s">
        <v>63</v>
      </c>
    </row>
    <row r="39" spans="1:14" ht="17.45" customHeight="1">
      <c r="A39" s="759" t="s">
        <v>13</v>
      </c>
      <c r="B39" s="760"/>
      <c r="C39" s="164">
        <f>SUMIF($G$7:$G$31,"Cleaning",$F$7:$F$31)</f>
        <v>0</v>
      </c>
      <c r="D39" s="118">
        <f>+C39+'29'!D39</f>
        <v>0</v>
      </c>
      <c r="E39" s="143">
        <f t="shared" si="0"/>
        <v>0</v>
      </c>
      <c r="F39" s="322"/>
      <c r="G39" s="322"/>
      <c r="H39" s="187" t="s">
        <v>65</v>
      </c>
      <c r="I39" s="142"/>
      <c r="J39" s="129" t="e">
        <f>J37/G4</f>
        <v>#DIV/0!</v>
      </c>
      <c r="K39" s="130" t="s">
        <v>63</v>
      </c>
    </row>
    <row r="40" spans="1:14" ht="17.45" customHeight="1">
      <c r="A40" s="759" t="s">
        <v>66</v>
      </c>
      <c r="B40" s="760"/>
      <c r="C40" s="164">
        <f>SUMIF($G$7:$G$31,"Mechanical",$F$7:$F$31)</f>
        <v>0</v>
      </c>
      <c r="D40" s="118">
        <f>+C40+'29'!D40</f>
        <v>0</v>
      </c>
      <c r="E40" s="143">
        <f t="shared" si="0"/>
        <v>0</v>
      </c>
      <c r="F40" s="322"/>
      <c r="G40" s="322"/>
      <c r="H40" s="187" t="s">
        <v>67</v>
      </c>
      <c r="I40" s="118">
        <f>(K34+L34)/1000</f>
        <v>0</v>
      </c>
      <c r="J40" s="131">
        <f>+I40+'29'!J40</f>
        <v>413.67199999999991</v>
      </c>
      <c r="K40" s="130" t="s">
        <v>63</v>
      </c>
    </row>
    <row r="41" spans="1:14" ht="17.45" customHeight="1">
      <c r="A41" s="759" t="s">
        <v>68</v>
      </c>
      <c r="B41" s="760"/>
      <c r="C41" s="164">
        <f>SUMIF($G$7:$G$31,"Electrical",$F$7:$F$31)</f>
        <v>0</v>
      </c>
      <c r="D41" s="118">
        <f>+C41+'29'!D41</f>
        <v>550</v>
      </c>
      <c r="E41" s="143">
        <f t="shared" si="0"/>
        <v>9.1666666666666661</v>
      </c>
      <c r="F41" s="322"/>
      <c r="G41" s="322"/>
      <c r="H41" s="187" t="s">
        <v>69</v>
      </c>
      <c r="I41" s="142"/>
      <c r="J41" s="129">
        <f>J40/G4</f>
        <v>13.789066666666663</v>
      </c>
      <c r="K41" s="130" t="s">
        <v>63</v>
      </c>
    </row>
    <row r="42" spans="1:14" ht="17.45" customHeight="1">
      <c r="A42" s="759" t="s">
        <v>16</v>
      </c>
      <c r="B42" s="760"/>
      <c r="C42" s="164">
        <f>SUMIF($G$7:$G$31,"Instrument",$F$7:$F$31)</f>
        <v>0</v>
      </c>
      <c r="D42" s="118">
        <f>+C42+'29'!D42</f>
        <v>0</v>
      </c>
      <c r="E42" s="143">
        <f t="shared" si="0"/>
        <v>0</v>
      </c>
      <c r="F42" s="322">
        <f>+(F38*480+F39*480+F40*480)/1440</f>
        <v>0</v>
      </c>
      <c r="G42" s="322">
        <f>+(G38*480+G39*480+G40*480)/1440</f>
        <v>0</v>
      </c>
      <c r="H42" s="187" t="s">
        <v>70</v>
      </c>
      <c r="I42" s="246"/>
      <c r="J42" s="132"/>
      <c r="K42" s="130" t="s">
        <v>71</v>
      </c>
    </row>
    <row r="43" spans="1:14" ht="17.45" customHeight="1">
      <c r="A43" s="759" t="s">
        <v>72</v>
      </c>
      <c r="B43" s="760"/>
      <c r="C43" s="164">
        <f>SUMIF($G$7:$G$31,"Water",$F$7:$F$31)</f>
        <v>0</v>
      </c>
      <c r="D43" s="118">
        <f>+C43+'29'!D43</f>
        <v>0</v>
      </c>
      <c r="E43" s="143">
        <f t="shared" si="0"/>
        <v>0</v>
      </c>
      <c r="F43" s="322"/>
      <c r="G43" s="323"/>
      <c r="H43" s="188" t="s">
        <v>73</v>
      </c>
      <c r="I43" s="118">
        <f>+Report1!Z38</f>
        <v>5</v>
      </c>
      <c r="J43" s="133">
        <f>+I43+'29'!J43</f>
        <v>783.80000000000018</v>
      </c>
      <c r="K43" s="130" t="s">
        <v>63</v>
      </c>
      <c r="L43" s="189"/>
    </row>
    <row r="44" spans="1:14" ht="17.45" customHeight="1">
      <c r="A44" s="759" t="s">
        <v>17</v>
      </c>
      <c r="B44" s="760"/>
      <c r="C44" s="164">
        <f>SUMIF($G$7:$G$31,"PLN",$F$7:$F$31)</f>
        <v>0</v>
      </c>
      <c r="D44" s="118">
        <f>+C44+'29'!D44</f>
        <v>0</v>
      </c>
      <c r="E44" s="143">
        <f t="shared" si="0"/>
        <v>0</v>
      </c>
      <c r="F44" s="322"/>
      <c r="G44" s="323"/>
      <c r="H44" s="188" t="s">
        <v>74</v>
      </c>
      <c r="I44" s="118" t="e">
        <f>I43/I38</f>
        <v>#DIV/0!</v>
      </c>
      <c r="J44" s="134">
        <f>J43/J38</f>
        <v>1.7776765735431468</v>
      </c>
      <c r="K44" s="130" t="s">
        <v>63</v>
      </c>
    </row>
    <row r="45" spans="1:14" ht="17.45" customHeight="1">
      <c r="A45" s="759" t="s">
        <v>18</v>
      </c>
      <c r="B45" s="760"/>
      <c r="C45" s="164">
        <f>SUMIF($G$7:$G$31,"Boiler",$F$7:$F$31)</f>
        <v>0</v>
      </c>
      <c r="D45" s="118">
        <f>+C45+'29'!D45</f>
        <v>0</v>
      </c>
      <c r="E45" s="143">
        <f t="shared" si="0"/>
        <v>0</v>
      </c>
      <c r="F45" s="322"/>
      <c r="G45" s="325"/>
      <c r="H45" s="188" t="s">
        <v>75</v>
      </c>
      <c r="I45" s="118" t="e">
        <f>I43/I40</f>
        <v>#DIV/0!</v>
      </c>
      <c r="J45" s="134">
        <f>J43/J40</f>
        <v>1.8947378599470119</v>
      </c>
      <c r="K45" s="130" t="s">
        <v>63</v>
      </c>
    </row>
    <row r="46" spans="1:14" ht="17.45" customHeight="1">
      <c r="A46" s="759" t="s">
        <v>76</v>
      </c>
      <c r="B46" s="760"/>
      <c r="C46" s="164">
        <f>SUMIF($G$7:$G$31,"Gas",$F$7:$F$31)</f>
        <v>0</v>
      </c>
      <c r="D46" s="118">
        <f>+C46+'29'!D46</f>
        <v>0</v>
      </c>
      <c r="E46" s="143">
        <f t="shared" si="0"/>
        <v>0</v>
      </c>
      <c r="F46" s="322"/>
      <c r="G46" s="323"/>
      <c r="H46" s="188" t="s">
        <v>77</v>
      </c>
      <c r="I46" s="140">
        <f>+SUMIF(Listrik!P37,"&gt;0")</f>
        <v>6338.6600000010912</v>
      </c>
      <c r="J46" s="135">
        <f>+I46+'29'!J46</f>
        <v>526564.36000000115</v>
      </c>
      <c r="K46" s="130" t="s">
        <v>78</v>
      </c>
    </row>
    <row r="47" spans="1:14" ht="17.45" customHeight="1">
      <c r="A47" s="759" t="s">
        <v>79</v>
      </c>
      <c r="B47" s="760"/>
      <c r="C47" s="164">
        <f>SUMIF($G$7:$G$31,"Gas",$F$7:$F$31)</f>
        <v>0</v>
      </c>
      <c r="D47" s="118">
        <f>+C47+'29'!D47</f>
        <v>0</v>
      </c>
      <c r="E47" s="143">
        <f t="shared" si="0"/>
        <v>0</v>
      </c>
      <c r="F47" s="322"/>
      <c r="G47" s="323"/>
      <c r="H47" s="188" t="s">
        <v>80</v>
      </c>
      <c r="I47" s="118" t="e">
        <f>I46/I38</f>
        <v>#DIV/0!</v>
      </c>
      <c r="J47" s="135">
        <f>J46/J38</f>
        <v>1194.2601776406505</v>
      </c>
      <c r="K47" s="130" t="s">
        <v>24</v>
      </c>
    </row>
    <row r="48" spans="1:14" ht="17.45" customHeight="1">
      <c r="A48" s="759" t="s">
        <v>14</v>
      </c>
      <c r="B48" s="760"/>
      <c r="C48" s="164">
        <f>SUMIF($G$7:$G$31,"Start Up",$F$7:$F$31)</f>
        <v>0</v>
      </c>
      <c r="D48" s="118">
        <f>+C48+'29'!D48</f>
        <v>0</v>
      </c>
      <c r="E48" s="143">
        <f t="shared" si="0"/>
        <v>0</v>
      </c>
      <c r="F48" s="322"/>
      <c r="G48" s="323"/>
      <c r="H48" s="188" t="s">
        <v>81</v>
      </c>
      <c r="I48" s="118" t="e">
        <f>I46/I40</f>
        <v>#DIV/0!</v>
      </c>
      <c r="J48" s="135">
        <f>J46/J40</f>
        <v>1272.9030729660244</v>
      </c>
      <c r="K48" s="130" t="s">
        <v>24</v>
      </c>
    </row>
    <row r="49" spans="1:23" ht="17.45" customHeight="1">
      <c r="A49" s="759" t="s">
        <v>20</v>
      </c>
      <c r="B49" s="760"/>
      <c r="C49" s="164">
        <f>SUMIF($G$7:$G$31,"Others",$F$7:$F$31)</f>
        <v>1440</v>
      </c>
      <c r="D49" s="118">
        <f>+C49+'29'!D49</f>
        <v>25470</v>
      </c>
      <c r="E49" s="143">
        <f t="shared" si="0"/>
        <v>424.5</v>
      </c>
      <c r="F49" s="185"/>
      <c r="H49" s="188" t="s">
        <v>272</v>
      </c>
      <c r="I49" s="118">
        <f>+Report1!T38</f>
        <v>0</v>
      </c>
      <c r="J49" s="135">
        <f>+I49+'29'!J49</f>
        <v>41069.474159648547</v>
      </c>
      <c r="K49" s="130" t="s">
        <v>82</v>
      </c>
    </row>
    <row r="50" spans="1:23" ht="17.45" customHeight="1">
      <c r="A50" s="759" t="s">
        <v>19</v>
      </c>
      <c r="B50" s="760"/>
      <c r="C50" s="164">
        <f>SUMIF($G$7:$G$31,"Steam",$F$7:$F$31)</f>
        <v>0</v>
      </c>
      <c r="D50" s="118">
        <f>+C50+'29'!D50</f>
        <v>0</v>
      </c>
      <c r="E50" s="143">
        <f t="shared" si="0"/>
        <v>0</v>
      </c>
      <c r="F50" s="185"/>
      <c r="H50" s="188" t="s">
        <v>83</v>
      </c>
      <c r="I50" s="140" t="e">
        <f>I49/I38</f>
        <v>#DIV/0!</v>
      </c>
      <c r="J50" s="133">
        <f>J49/J38</f>
        <v>93.146519649582572</v>
      </c>
      <c r="K50" s="130" t="s">
        <v>82</v>
      </c>
    </row>
    <row r="51" spans="1:23" ht="17.45" customHeight="1" thickBot="1">
      <c r="A51" s="753" t="s">
        <v>84</v>
      </c>
      <c r="B51" s="754"/>
      <c r="C51" s="164">
        <f>SUMIF($G$7:$G$31,"Planned shut",$F$7:$F$31)</f>
        <v>0</v>
      </c>
      <c r="D51" s="118">
        <f>+C51+'29'!D51</f>
        <v>1555</v>
      </c>
      <c r="E51" s="143">
        <f t="shared" si="0"/>
        <v>25.916666666666668</v>
      </c>
      <c r="F51" s="185"/>
      <c r="H51" s="190" t="s">
        <v>85</v>
      </c>
      <c r="I51" s="141" t="e">
        <f>I49/I40</f>
        <v>#DIV/0!</v>
      </c>
      <c r="J51" s="136">
        <f>J49/J40</f>
        <v>99.280285249300306</v>
      </c>
      <c r="K51" s="137" t="s">
        <v>82</v>
      </c>
    </row>
    <row r="52" spans="1:23" ht="13.5" thickBot="1">
      <c r="A52" s="755" t="s">
        <v>28</v>
      </c>
      <c r="B52" s="756"/>
      <c r="C52" s="144">
        <f>SUM(C38:C51)</f>
        <v>1440</v>
      </c>
      <c r="D52" s="144">
        <f>SUM(D38:D51)</f>
        <v>28435</v>
      </c>
      <c r="E52" s="145">
        <f>SUM(E38:E51)</f>
        <v>473.91666666666669</v>
      </c>
      <c r="F52" s="185"/>
      <c r="H52" s="191"/>
      <c r="I52" s="192"/>
      <c r="J52" s="138"/>
      <c r="K52" s="139"/>
    </row>
    <row r="53" spans="1:23" ht="13.5" thickBot="1">
      <c r="A53" s="757"/>
      <c r="B53" s="758"/>
      <c r="C53" s="146">
        <f>C52/(24*60)</f>
        <v>1</v>
      </c>
      <c r="D53" s="146">
        <f>D52/(24*60*G4)</f>
        <v>0.6582175925925926</v>
      </c>
      <c r="E53" s="147">
        <f>E52/(G4*24)</f>
        <v>0.6582175925925926</v>
      </c>
      <c r="F53" s="185"/>
    </row>
    <row r="54" spans="1:23">
      <c r="E54" s="193"/>
      <c r="F54" s="185"/>
    </row>
    <row r="55" spans="1:23">
      <c r="E55" s="193"/>
    </row>
    <row r="56" spans="1:23">
      <c r="A56" s="194" t="s">
        <v>86</v>
      </c>
      <c r="B56" s="195"/>
      <c r="C56" s="196"/>
      <c r="D56" s="196"/>
      <c r="E56" s="196"/>
      <c r="F56" s="197"/>
      <c r="G56" s="196"/>
      <c r="H56" s="198"/>
      <c r="I56" s="199" t="s">
        <v>87</v>
      </c>
      <c r="J56" s="200">
        <f>+D34+'29'!J56</f>
        <v>10652</v>
      </c>
      <c r="K56" s="201">
        <f>J56/(J40+J56/1000)/1000</f>
        <v>2.5103458677802816E-2</v>
      </c>
    </row>
    <row r="57" spans="1:23">
      <c r="A57" s="176"/>
      <c r="I57" s="199" t="s">
        <v>88</v>
      </c>
      <c r="J57" s="200">
        <f>+E34+'29'!J57</f>
        <v>0</v>
      </c>
      <c r="K57" s="201">
        <f>J57/(J40+J57/1000)/1000</f>
        <v>0</v>
      </c>
    </row>
    <row r="58" spans="1:23">
      <c r="A58" s="202"/>
      <c r="B58" s="203"/>
      <c r="F58" s="185"/>
      <c r="H58" s="204"/>
    </row>
    <row r="59" spans="1:23">
      <c r="A59" s="205"/>
      <c r="B59" s="176"/>
      <c r="C59" s="176"/>
      <c r="D59" s="176"/>
      <c r="E59" s="176"/>
      <c r="F59" s="189"/>
      <c r="G59" s="176"/>
      <c r="H59" s="204"/>
    </row>
    <row r="60" spans="1:23">
      <c r="H60" s="204"/>
    </row>
    <row r="61" spans="1:23">
      <c r="A61" s="206"/>
      <c r="B61" s="207"/>
      <c r="C61" s="207"/>
      <c r="D61" s="207"/>
      <c r="E61" s="207"/>
      <c r="F61" s="208"/>
      <c r="G61" s="207"/>
      <c r="H61" s="209"/>
      <c r="W61" s="149" t="s">
        <v>0</v>
      </c>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5625" right="0.19513888888888889" top="0.39027777777777778" bottom="0.39027777777777778" header="0" footer="0"/>
  <pageSetup paperSize="9" scale="63" firstPageNumber="4294963191" orientation="landscape"/>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1"/>
  <sheetViews>
    <sheetView zoomScale="80" zoomScaleNormal="80" workbookViewId="0">
      <selection activeCell="F7" sqref="F7:H3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140625" style="149" customWidth="1"/>
    <col min="14" max="15" width="9.140625" style="149"/>
    <col min="16" max="16" width="10.28515625" style="149" bestFit="1" customWidth="1"/>
    <col min="17" max="17" width="9.28515625" style="149" bestFit="1" customWidth="1"/>
    <col min="18" max="16384" width="9.140625" style="149"/>
  </cols>
  <sheetData>
    <row r="1" spans="1:23" ht="15.75">
      <c r="A1" s="148"/>
    </row>
    <row r="2" spans="1:23" ht="15.75">
      <c r="A2" s="148" t="s">
        <v>185</v>
      </c>
    </row>
    <row r="3" spans="1:23" ht="15">
      <c r="A3" s="150"/>
    </row>
    <row r="4" spans="1:23" ht="20.25">
      <c r="A4" s="151" t="s">
        <v>3</v>
      </c>
      <c r="B4" s="152"/>
      <c r="F4" s="153" t="s">
        <v>29</v>
      </c>
      <c r="G4" s="154">
        <v>29</v>
      </c>
      <c r="H4" s="154" t="str">
        <f>+'1'!H4</f>
        <v>.9.25</v>
      </c>
    </row>
    <row r="5" spans="1:23" ht="13.5" thickBot="1">
      <c r="C5" s="155"/>
      <c r="D5" s="155"/>
    </row>
    <row r="6" spans="1:2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81" t="s">
        <v>92</v>
      </c>
      <c r="O6" s="423" t="s">
        <v>192</v>
      </c>
      <c r="P6" s="423" t="s">
        <v>192</v>
      </c>
      <c r="Q6" s="423" t="s">
        <v>193</v>
      </c>
      <c r="R6" s="423" t="s">
        <v>194</v>
      </c>
      <c r="S6" s="423" t="s">
        <v>195</v>
      </c>
      <c r="T6" s="423" t="s">
        <v>190</v>
      </c>
      <c r="U6" s="424" t="s">
        <v>196</v>
      </c>
      <c r="V6" s="423" t="s">
        <v>197</v>
      </c>
      <c r="W6" s="423" t="s">
        <v>191</v>
      </c>
    </row>
    <row r="7" spans="1:23" ht="13.5" customHeight="1" thickBot="1">
      <c r="A7" s="765"/>
      <c r="B7" s="215"/>
      <c r="C7" s="216"/>
      <c r="D7" s="217"/>
      <c r="E7" s="218"/>
      <c r="F7" s="228"/>
      <c r="G7" s="229" t="s">
        <v>12</v>
      </c>
      <c r="H7" s="230" t="s">
        <v>466</v>
      </c>
      <c r="I7" s="768"/>
      <c r="J7" s="214" t="str">
        <f>+'28'!J7</f>
        <v>F 12 VP OW</v>
      </c>
      <c r="K7" s="238">
        <f>+C34</f>
        <v>0</v>
      </c>
      <c r="L7" s="242"/>
      <c r="M7" s="117">
        <f>+K7+'28'!M7+L7</f>
        <v>172842</v>
      </c>
      <c r="N7" s="425">
        <v>14.5</v>
      </c>
      <c r="O7" s="199">
        <v>1200</v>
      </c>
      <c r="P7" s="199">
        <v>1120</v>
      </c>
      <c r="Q7" s="199">
        <v>896</v>
      </c>
      <c r="R7" s="426">
        <f>1-(Q7/P7)</f>
        <v>0.19999999999999996</v>
      </c>
      <c r="S7" s="427">
        <v>45</v>
      </c>
      <c r="T7" s="428">
        <v>256.5</v>
      </c>
      <c r="U7" s="429">
        <f>(O7*(1-R7)*N7*T7*S7)/100000000</f>
        <v>1.606716</v>
      </c>
      <c r="V7" s="430">
        <f>+C14/1000</f>
        <v>0</v>
      </c>
      <c r="W7" s="431">
        <f>SUM(V7:V9)/SUM(U7:U9)</f>
        <v>0</v>
      </c>
    </row>
    <row r="8" spans="1:23" ht="13.5" thickBot="1">
      <c r="A8" s="766"/>
      <c r="B8" s="215"/>
      <c r="C8" s="216"/>
      <c r="D8" s="217"/>
      <c r="E8" s="219"/>
      <c r="F8" s="231"/>
      <c r="G8" s="560" t="s">
        <v>12</v>
      </c>
      <c r="H8" s="230" t="s">
        <v>432</v>
      </c>
      <c r="I8" s="769"/>
      <c r="J8" s="214" t="str">
        <f>+'28'!J8</f>
        <v>F 13 VP OW</v>
      </c>
      <c r="K8" s="239"/>
      <c r="L8" s="239"/>
      <c r="M8" s="117">
        <f>+K8+'28'!M8+L8</f>
        <v>66206</v>
      </c>
      <c r="N8" s="425">
        <v>18</v>
      </c>
      <c r="O8" s="199">
        <v>1200</v>
      </c>
      <c r="P8" s="199">
        <v>930</v>
      </c>
      <c r="Q8" s="199">
        <v>744</v>
      </c>
      <c r="R8" s="426">
        <f>1-(Q8/P8)</f>
        <v>0.19999999999999996</v>
      </c>
      <c r="S8" s="427">
        <f>480-S7</f>
        <v>435</v>
      </c>
      <c r="T8" s="428">
        <v>256.5</v>
      </c>
      <c r="U8" s="429">
        <f>(O8*(1-R8)*N8*T8*S8)/100000000</f>
        <v>19.280591999999999</v>
      </c>
      <c r="V8" s="430"/>
      <c r="W8" s="432"/>
    </row>
    <row r="9" spans="1:23" ht="13.5" thickBot="1">
      <c r="A9" s="766"/>
      <c r="B9" s="215"/>
      <c r="C9" s="216"/>
      <c r="D9" s="217"/>
      <c r="E9" s="220"/>
      <c r="F9" s="228"/>
      <c r="G9" s="560" t="s">
        <v>12</v>
      </c>
      <c r="H9" s="233" t="s">
        <v>507</v>
      </c>
      <c r="I9" s="769"/>
      <c r="J9" s="214" t="str">
        <f>+'28'!J9</f>
        <v>F 14 VP OW</v>
      </c>
      <c r="K9" s="239"/>
      <c r="L9" s="239"/>
      <c r="M9" s="117">
        <f>+K9+'28'!M9+L9</f>
        <v>100560</v>
      </c>
      <c r="N9" s="433"/>
    </row>
    <row r="10" spans="1:23" ht="13.5" thickBot="1">
      <c r="A10" s="766"/>
      <c r="B10" s="215"/>
      <c r="C10" s="216"/>
      <c r="D10" s="217"/>
      <c r="E10" s="219"/>
      <c r="F10" s="228">
        <v>480</v>
      </c>
      <c r="G10" s="237" t="s">
        <v>20</v>
      </c>
      <c r="H10" s="233" t="s">
        <v>604</v>
      </c>
      <c r="I10" s="769"/>
      <c r="J10" s="214" t="str">
        <f>+'28'!J10</f>
        <v>T 12,5 VP OW</v>
      </c>
      <c r="K10" s="239"/>
      <c r="L10" s="239"/>
      <c r="M10" s="117">
        <f>+K10+'28'!M10+L10</f>
        <v>19885</v>
      </c>
      <c r="N10" s="433"/>
    </row>
    <row r="11" spans="1:23" ht="51.75" thickBot="1">
      <c r="A11" s="766"/>
      <c r="B11" s="215"/>
      <c r="C11" s="216"/>
      <c r="D11" s="217"/>
      <c r="E11" s="219"/>
      <c r="F11" s="228"/>
      <c r="G11" s="232"/>
      <c r="H11" s="233" t="s">
        <v>628</v>
      </c>
      <c r="I11" s="769"/>
      <c r="J11" s="214" t="str">
        <f>+'28'!J11</f>
        <v>F 12,5 VP OW</v>
      </c>
      <c r="K11" s="239"/>
      <c r="L11" s="239"/>
      <c r="M11" s="117">
        <f>+K11+'28'!M11+L11</f>
        <v>42554</v>
      </c>
      <c r="N11" s="433"/>
    </row>
    <row r="12" spans="1:23" ht="13.5" thickBot="1">
      <c r="A12" s="766"/>
      <c r="B12" s="215"/>
      <c r="C12" s="216"/>
      <c r="D12" s="217"/>
      <c r="E12" s="219"/>
      <c r="F12" s="228"/>
      <c r="G12" s="232"/>
      <c r="H12" s="233"/>
      <c r="I12" s="769"/>
      <c r="J12" s="214" t="str">
        <f>+'28'!J12</f>
        <v>F 13,5 VP OW</v>
      </c>
      <c r="K12" s="239"/>
      <c r="L12" s="239"/>
      <c r="M12" s="117">
        <f>+K12+'28'!M12+L12</f>
        <v>11625</v>
      </c>
      <c r="N12" s="433"/>
    </row>
    <row r="13" spans="1:23" ht="13.5" thickBot="1">
      <c r="A13" s="766"/>
      <c r="B13" s="215"/>
      <c r="C13" s="216"/>
      <c r="D13" s="216"/>
      <c r="E13" s="219"/>
      <c r="F13" s="228"/>
      <c r="G13" s="232"/>
      <c r="H13" s="233"/>
      <c r="I13" s="770"/>
      <c r="J13" s="214">
        <f>+'28'!J13</f>
        <v>0</v>
      </c>
      <c r="K13" s="239"/>
      <c r="L13" s="239"/>
      <c r="M13" s="117">
        <f>+K13+'28'!M13+L13</f>
        <v>0</v>
      </c>
      <c r="N13" s="434"/>
      <c r="O13" s="435"/>
      <c r="P13" s="435"/>
      <c r="Q13" s="435"/>
      <c r="R13" s="435"/>
      <c r="S13" s="435"/>
      <c r="T13" s="435"/>
      <c r="U13" s="435"/>
      <c r="V13" s="435"/>
      <c r="W13" s="435"/>
    </row>
    <row r="14" spans="1:23" ht="13.5" thickBot="1">
      <c r="A14" s="767"/>
      <c r="B14" s="165" t="s">
        <v>2</v>
      </c>
      <c r="C14" s="99">
        <f>SUM(C7:C13)</f>
        <v>0</v>
      </c>
      <c r="D14" s="111">
        <f>SUM(D7:D13)</f>
        <v>0</v>
      </c>
      <c r="E14" s="112">
        <f>SUM(E5:E13)</f>
        <v>0</v>
      </c>
      <c r="F14" s="116">
        <f>SUM(F7:F13)</f>
        <v>480</v>
      </c>
      <c r="G14" s="159"/>
      <c r="H14" s="166"/>
      <c r="I14" s="167"/>
      <c r="J14" s="214">
        <f>+'28'!J14</f>
        <v>0</v>
      </c>
      <c r="K14" s="239"/>
      <c r="L14" s="239"/>
      <c r="M14" s="117">
        <f>+K14+'28'!M14+L14</f>
        <v>0</v>
      </c>
    </row>
    <row r="15" spans="1:23" ht="13.5" customHeight="1" thickBot="1">
      <c r="A15" s="765"/>
      <c r="B15" s="165"/>
      <c r="C15" s="113" t="e">
        <f>C14/($C$23+$D$23+$E$23)</f>
        <v>#DIV/0!</v>
      </c>
      <c r="D15" s="114" t="e">
        <f>D14/($C$23+$D$23+$E$23)</f>
        <v>#DIV/0!</v>
      </c>
      <c r="E15" s="115" t="e">
        <f>E14/($C$23+$D$23+$E$23)</f>
        <v>#DIV/0!</v>
      </c>
      <c r="F15" s="228"/>
      <c r="G15" s="229" t="s">
        <v>12</v>
      </c>
      <c r="H15" s="230" t="s">
        <v>466</v>
      </c>
      <c r="I15" s="768"/>
      <c r="J15" s="214">
        <f>+'28'!J15</f>
        <v>0</v>
      </c>
      <c r="K15" s="239"/>
      <c r="L15" s="239"/>
      <c r="M15" s="117">
        <f>+K15+'28'!M15+L15</f>
        <v>0</v>
      </c>
      <c r="N15" s="425">
        <v>18</v>
      </c>
      <c r="O15" s="199">
        <v>1200</v>
      </c>
      <c r="P15" s="199">
        <v>850</v>
      </c>
      <c r="Q15" s="199">
        <v>680</v>
      </c>
      <c r="R15" s="426">
        <f>1-(Q15/P15)</f>
        <v>0.19999999999999996</v>
      </c>
      <c r="S15" s="427">
        <v>480</v>
      </c>
      <c r="T15" s="428">
        <v>256.5</v>
      </c>
      <c r="U15" s="429">
        <f>(O15*(1-R15)*N15*T15*S15)/100000000</f>
        <v>21.275136</v>
      </c>
      <c r="V15" s="430">
        <f>+C23/1000</f>
        <v>0</v>
      </c>
      <c r="W15" s="431">
        <f>SUM(V15:V17)/SUM(U15:U17)</f>
        <v>0</v>
      </c>
    </row>
    <row r="16" spans="1:23" ht="13.5" thickBot="1">
      <c r="A16" s="771"/>
      <c r="B16" s="215"/>
      <c r="C16" s="222"/>
      <c r="D16" s="223"/>
      <c r="E16" s="224"/>
      <c r="F16" s="231"/>
      <c r="G16" s="560" t="s">
        <v>12</v>
      </c>
      <c r="H16" s="230" t="s">
        <v>432</v>
      </c>
      <c r="I16" s="769"/>
      <c r="J16" s="214">
        <f>+'28'!J16</f>
        <v>0</v>
      </c>
      <c r="K16" s="229"/>
      <c r="L16" s="229"/>
      <c r="M16" s="117">
        <f>+K16+'28'!M16+L16</f>
        <v>0</v>
      </c>
      <c r="N16" s="436"/>
      <c r="O16" s="199"/>
      <c r="P16" s="199"/>
      <c r="Q16" s="437"/>
      <c r="R16" s="426"/>
      <c r="S16" s="199"/>
      <c r="T16" s="428"/>
      <c r="U16" s="429"/>
      <c r="V16" s="430"/>
      <c r="W16" s="432"/>
    </row>
    <row r="17" spans="1:23" ht="13.5" thickBot="1">
      <c r="A17" s="771"/>
      <c r="B17" s="215"/>
      <c r="C17" s="216"/>
      <c r="D17" s="217"/>
      <c r="E17" s="225"/>
      <c r="F17" s="228"/>
      <c r="G17" s="560" t="s">
        <v>12</v>
      </c>
      <c r="H17" s="233" t="s">
        <v>507</v>
      </c>
      <c r="I17" s="769"/>
      <c r="J17" s="214">
        <f>+'28'!J17</f>
        <v>0</v>
      </c>
      <c r="K17" s="229"/>
      <c r="L17" s="229"/>
      <c r="M17" s="117">
        <f>+K17+'28'!M17+L17</f>
        <v>0</v>
      </c>
      <c r="N17" s="433"/>
      <c r="O17" s="199"/>
      <c r="R17" s="426"/>
      <c r="T17" s="428"/>
      <c r="U17" s="429"/>
    </row>
    <row r="18" spans="1:23" ht="13.5" thickBot="1">
      <c r="A18" s="771"/>
      <c r="B18" s="215"/>
      <c r="C18" s="216"/>
      <c r="D18" s="217"/>
      <c r="E18" s="225"/>
      <c r="F18" s="228">
        <v>480</v>
      </c>
      <c r="G18" s="237" t="s">
        <v>20</v>
      </c>
      <c r="H18" s="233" t="s">
        <v>604</v>
      </c>
      <c r="I18" s="769"/>
      <c r="J18" s="214">
        <f>+'28'!J18</f>
        <v>0</v>
      </c>
      <c r="K18" s="239"/>
      <c r="L18" s="239"/>
      <c r="M18" s="117">
        <f>+K18+'28'!M18+L18</f>
        <v>0</v>
      </c>
      <c r="N18" s="433"/>
    </row>
    <row r="19" spans="1:23" ht="13.5" thickBot="1">
      <c r="A19" s="771"/>
      <c r="B19" s="215"/>
      <c r="C19" s="216"/>
      <c r="D19" s="217"/>
      <c r="E19" s="225"/>
      <c r="F19" s="235"/>
      <c r="G19" s="232"/>
      <c r="H19" s="233"/>
      <c r="I19" s="769"/>
      <c r="J19" s="214">
        <f>+'28'!J19</f>
        <v>0</v>
      </c>
      <c r="K19" s="239"/>
      <c r="L19" s="239"/>
      <c r="M19" s="117">
        <f>+K19+'28'!M19+L19</f>
        <v>0</v>
      </c>
      <c r="N19" s="433"/>
    </row>
    <row r="20" spans="1:23" ht="13.5" thickBot="1">
      <c r="A20" s="771"/>
      <c r="B20" s="215"/>
      <c r="C20" s="216"/>
      <c r="D20" s="217"/>
      <c r="E20" s="225"/>
      <c r="F20" s="228"/>
      <c r="G20" s="232"/>
      <c r="H20" s="233"/>
      <c r="I20" s="769"/>
      <c r="J20" s="214">
        <f>+'28'!J20</f>
        <v>0</v>
      </c>
      <c r="K20" s="240"/>
      <c r="L20" s="240"/>
      <c r="M20" s="117">
        <f>+K20+'28'!M20+L20</f>
        <v>0</v>
      </c>
      <c r="N20" s="433"/>
    </row>
    <row r="21" spans="1:23" ht="13.5" thickBot="1">
      <c r="A21" s="771"/>
      <c r="B21" s="215"/>
      <c r="C21" s="216"/>
      <c r="D21" s="217"/>
      <c r="E21" s="225"/>
      <c r="F21" s="231"/>
      <c r="G21" s="232"/>
      <c r="H21" s="233"/>
      <c r="I21" s="769"/>
      <c r="J21" s="214">
        <f>+'28'!J21</f>
        <v>0</v>
      </c>
      <c r="K21" s="239"/>
      <c r="L21" s="239"/>
      <c r="M21" s="117">
        <f>+K21+'28'!M21+L21</f>
        <v>0</v>
      </c>
      <c r="N21" s="434"/>
      <c r="O21" s="435"/>
      <c r="P21" s="435"/>
      <c r="Q21" s="435"/>
      <c r="R21" s="435"/>
      <c r="S21" s="435"/>
      <c r="T21" s="435"/>
      <c r="U21" s="435"/>
      <c r="V21" s="435"/>
      <c r="W21" s="435"/>
    </row>
    <row r="22" spans="1:23" ht="13.5" thickBot="1">
      <c r="A22" s="771"/>
      <c r="B22" s="215"/>
      <c r="C22" s="216"/>
      <c r="D22" s="217"/>
      <c r="E22" s="225"/>
      <c r="F22" s="236"/>
      <c r="G22" s="232"/>
      <c r="H22" s="233"/>
      <c r="I22" s="770"/>
      <c r="J22" s="214">
        <f>+'28'!J22</f>
        <v>0</v>
      </c>
      <c r="K22" s="239"/>
      <c r="L22" s="239"/>
      <c r="M22" s="117">
        <f>+K22+'28'!M22+L22</f>
        <v>0</v>
      </c>
    </row>
    <row r="23" spans="1:23" ht="13.5" thickBot="1">
      <c r="A23" s="772"/>
      <c r="B23" s="168" t="s">
        <v>2</v>
      </c>
      <c r="C23" s="100">
        <f>SUM(C16:C22)</f>
        <v>0</v>
      </c>
      <c r="D23" s="111">
        <f>SUM(D16:D22)</f>
        <v>0</v>
      </c>
      <c r="E23" s="112">
        <f>SUM(E18:E22)</f>
        <v>0</v>
      </c>
      <c r="F23" s="116">
        <f>SUM(F15:F22)</f>
        <v>480</v>
      </c>
      <c r="G23" s="159"/>
      <c r="H23" s="166"/>
      <c r="I23" s="169"/>
      <c r="J23" s="214">
        <f>+'28'!J23</f>
        <v>0</v>
      </c>
      <c r="K23" s="239"/>
      <c r="L23" s="239"/>
      <c r="M23" s="117">
        <f>+K23+'28'!M23+L23</f>
        <v>0</v>
      </c>
      <c r="N23" s="438"/>
      <c r="O23" s="439"/>
      <c r="P23" s="439"/>
      <c r="Q23" s="439"/>
      <c r="R23" s="439"/>
      <c r="S23" s="439"/>
      <c r="T23" s="439"/>
      <c r="U23" s="439"/>
      <c r="V23" s="439"/>
      <c r="W23" s="439"/>
    </row>
    <row r="24" spans="1:23" ht="13.5" customHeight="1" thickBot="1">
      <c r="A24" s="765"/>
      <c r="B24" s="170"/>
      <c r="C24" s="113" t="e">
        <f>C23/($C$23+$D$23+$E$23)</f>
        <v>#DIV/0!</v>
      </c>
      <c r="D24" s="114" t="e">
        <f>D23/($C$23+$D$23+$E$23)</f>
        <v>#DIV/0!</v>
      </c>
      <c r="E24" s="115" t="e">
        <f>E23/($C$23+$D$23+$E$23)</f>
        <v>#DIV/0!</v>
      </c>
      <c r="F24" s="228"/>
      <c r="G24" s="229" t="s">
        <v>12</v>
      </c>
      <c r="H24" s="230" t="s">
        <v>466</v>
      </c>
      <c r="I24" s="768"/>
      <c r="J24" s="214">
        <f>+'28'!J24</f>
        <v>0</v>
      </c>
      <c r="K24" s="239"/>
      <c r="L24" s="239"/>
      <c r="M24" s="117">
        <f>+K24+'28'!M24+L24</f>
        <v>0</v>
      </c>
      <c r="N24" s="425">
        <v>18</v>
      </c>
      <c r="O24" s="199">
        <v>1200</v>
      </c>
      <c r="P24" s="199">
        <v>770</v>
      </c>
      <c r="Q24" s="199">
        <v>616</v>
      </c>
      <c r="R24" s="426">
        <f>1-(Q24/P24)</f>
        <v>0.19999999999999996</v>
      </c>
      <c r="S24" s="427">
        <v>480</v>
      </c>
      <c r="T24" s="428">
        <v>256.5</v>
      </c>
      <c r="U24" s="429">
        <f>(O24*(1-R24)*N24*T24*S24)/100000000</f>
        <v>21.275136</v>
      </c>
      <c r="V24" s="430">
        <f>+C32/1000</f>
        <v>0</v>
      </c>
      <c r="W24" s="431">
        <f>SUM(V24:V25)/SUM(U24:U25)</f>
        <v>0</v>
      </c>
    </row>
    <row r="25" spans="1:23" ht="13.5" customHeight="1" thickBot="1">
      <c r="A25" s="771"/>
      <c r="B25" s="215"/>
      <c r="C25" s="226"/>
      <c r="D25" s="217"/>
      <c r="E25" s="225"/>
      <c r="F25" s="231"/>
      <c r="G25" s="560" t="s">
        <v>12</v>
      </c>
      <c r="H25" s="230" t="s">
        <v>432</v>
      </c>
      <c r="I25" s="769"/>
      <c r="J25" s="214">
        <f>+'28'!J25</f>
        <v>0</v>
      </c>
      <c r="K25" s="239"/>
      <c r="L25" s="239"/>
      <c r="M25" s="117">
        <f>+K25+'28'!M25+L25</f>
        <v>0</v>
      </c>
      <c r="N25" s="425"/>
      <c r="O25" s="199"/>
      <c r="P25" s="199"/>
      <c r="Q25" s="199"/>
      <c r="R25" s="426"/>
      <c r="S25" s="427"/>
      <c r="T25" s="428"/>
      <c r="U25" s="429"/>
      <c r="V25" s="430"/>
      <c r="W25" s="431"/>
    </row>
    <row r="26" spans="1:23" ht="13.5" customHeight="1" thickBot="1">
      <c r="A26" s="771"/>
      <c r="B26" s="215"/>
      <c r="C26" s="226"/>
      <c r="D26" s="217"/>
      <c r="E26" s="227"/>
      <c r="F26" s="228"/>
      <c r="G26" s="560" t="s">
        <v>12</v>
      </c>
      <c r="H26" s="233" t="s">
        <v>507</v>
      </c>
      <c r="I26" s="769"/>
      <c r="J26" s="214">
        <f>+'28'!J26</f>
        <v>0</v>
      </c>
      <c r="K26" s="239"/>
      <c r="L26" s="239"/>
      <c r="M26" s="117">
        <f>+K26+'28'!M26+L26</f>
        <v>0</v>
      </c>
    </row>
    <row r="27" spans="1:23" ht="13.5" customHeight="1" thickBot="1">
      <c r="A27" s="771"/>
      <c r="B27" s="215"/>
      <c r="C27" s="216"/>
      <c r="D27" s="217"/>
      <c r="E27" s="225"/>
      <c r="F27" s="228">
        <v>480</v>
      </c>
      <c r="G27" s="237" t="s">
        <v>20</v>
      </c>
      <c r="H27" s="233" t="s">
        <v>604</v>
      </c>
      <c r="I27" s="769"/>
      <c r="J27" s="214">
        <f>+'28'!J27</f>
        <v>0</v>
      </c>
      <c r="K27" s="239"/>
      <c r="L27" s="239"/>
      <c r="M27" s="117">
        <f>+K27+'28'!M27+L27</f>
        <v>0</v>
      </c>
    </row>
    <row r="28" spans="1:23" ht="13.5" customHeight="1" thickBot="1">
      <c r="A28" s="771"/>
      <c r="B28" s="215"/>
      <c r="C28" s="216"/>
      <c r="D28" s="217"/>
      <c r="E28" s="225"/>
      <c r="F28" s="235"/>
      <c r="G28" s="232"/>
      <c r="H28" s="233" t="s">
        <v>624</v>
      </c>
      <c r="I28" s="769"/>
      <c r="J28" s="214">
        <f>+'28'!J28</f>
        <v>0</v>
      </c>
      <c r="K28" s="239"/>
      <c r="L28" s="239"/>
      <c r="M28" s="117">
        <f>+K28+'28'!M28+L28</f>
        <v>0</v>
      </c>
    </row>
    <row r="29" spans="1:23" ht="13.5" customHeight="1" thickBot="1">
      <c r="A29" s="771"/>
      <c r="B29" s="215"/>
      <c r="C29" s="216"/>
      <c r="D29" s="217"/>
      <c r="E29" s="225"/>
      <c r="F29" s="236"/>
      <c r="G29" s="232"/>
      <c r="H29" s="233"/>
      <c r="I29" s="769"/>
      <c r="J29" s="214">
        <f>+'28'!J29</f>
        <v>0</v>
      </c>
      <c r="K29" s="239"/>
      <c r="L29" s="239"/>
      <c r="M29" s="117">
        <f>+K29+'28'!M29+L29</f>
        <v>0</v>
      </c>
    </row>
    <row r="30" spans="1:23" ht="13.5" customHeight="1" thickBot="1">
      <c r="A30" s="771"/>
      <c r="B30" s="215"/>
      <c r="C30" s="226"/>
      <c r="D30" s="217"/>
      <c r="E30" s="225"/>
      <c r="F30" s="236"/>
      <c r="G30" s="232"/>
      <c r="H30" s="233"/>
      <c r="I30" s="769"/>
      <c r="J30" s="214">
        <f>+'28'!J30</f>
        <v>0</v>
      </c>
      <c r="K30" s="239"/>
      <c r="L30" s="239"/>
      <c r="M30" s="117">
        <f>+K30+'28'!M30+L30</f>
        <v>0</v>
      </c>
      <c r="N30" s="155"/>
    </row>
    <row r="31" spans="1:23" ht="13.5" customHeight="1" thickBot="1">
      <c r="A31" s="771"/>
      <c r="B31" s="215"/>
      <c r="C31" s="226"/>
      <c r="D31" s="217"/>
      <c r="E31" s="225"/>
      <c r="F31" s="236"/>
      <c r="G31" s="237"/>
      <c r="H31" s="445"/>
      <c r="I31" s="770"/>
      <c r="J31" s="214">
        <f>+'28'!J31</f>
        <v>0</v>
      </c>
      <c r="K31" s="239"/>
      <c r="L31" s="239"/>
      <c r="M31" s="117">
        <f>+K31+'28'!M31+L31</f>
        <v>0</v>
      </c>
    </row>
    <row r="32" spans="1:23" ht="13.5" customHeight="1" thickBot="1">
      <c r="A32" s="772"/>
      <c r="B32" s="165" t="s">
        <v>2</v>
      </c>
      <c r="C32" s="99">
        <f>SUM(C25:C31)</f>
        <v>0</v>
      </c>
      <c r="D32" s="100">
        <f>SUM(D25:D31)</f>
        <v>0</v>
      </c>
      <c r="E32" s="101">
        <f>SUM(E25:E31)</f>
        <v>0</v>
      </c>
      <c r="F32" s="102">
        <f>SUM(F24:F31)</f>
        <v>480</v>
      </c>
      <c r="G32" s="171"/>
      <c r="H32" s="172"/>
      <c r="I32" s="169"/>
      <c r="J32" s="214">
        <f>+'28'!J32</f>
        <v>0</v>
      </c>
      <c r="K32" s="241"/>
      <c r="L32" s="243"/>
      <c r="M32" s="117">
        <f>+K32+'28'!M32+L32</f>
        <v>0</v>
      </c>
    </row>
    <row r="33" spans="1:14" ht="13.5" thickBot="1">
      <c r="A33" s="173"/>
      <c r="B33" s="174"/>
      <c r="C33" s="103" t="e">
        <f>C32/($C$32+$D$32+$E$32)</f>
        <v>#DIV/0!</v>
      </c>
      <c r="D33" s="104" t="e">
        <f>D32/($C$32+$D$32+$E$32)</f>
        <v>#DIV/0!</v>
      </c>
      <c r="E33" s="105" t="e">
        <f>E32/($C$32+$D$32+$E$32)</f>
        <v>#DIV/0!</v>
      </c>
      <c r="F33" s="106"/>
      <c r="G33" s="175"/>
      <c r="H33" s="176"/>
      <c r="I33" s="177"/>
      <c r="J33" s="121"/>
      <c r="K33" s="122"/>
      <c r="L33" s="213"/>
      <c r="M33" s="119"/>
    </row>
    <row r="34" spans="1:14"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c r="N34" s="155"/>
    </row>
    <row r="35" spans="1:14" ht="13.5" thickBot="1">
      <c r="A35" s="179"/>
      <c r="B35" s="180"/>
      <c r="C35" s="104" t="e">
        <f>C34/($C$34+$D$34+$E$34)</f>
        <v>#DIV/0!</v>
      </c>
      <c r="D35" s="104" t="e">
        <f>D34/($C$34+$D$34+$E$34)</f>
        <v>#DIV/0!</v>
      </c>
      <c r="E35" s="109" t="e">
        <f>E34/($C$34+$D$34+$E$34)</f>
        <v>#DIV/0!</v>
      </c>
      <c r="K35" s="155"/>
    </row>
    <row r="36" spans="1:14" ht="13.5" thickBot="1">
      <c r="A36" s="178"/>
      <c r="B36" s="178"/>
      <c r="C36" s="155"/>
      <c r="D36" s="155"/>
      <c r="E36" s="155"/>
      <c r="G36" s="155"/>
      <c r="H36" s="181" t="s">
        <v>0</v>
      </c>
      <c r="I36" s="162" t="s">
        <v>37</v>
      </c>
      <c r="J36" s="162" t="s">
        <v>38</v>
      </c>
      <c r="K36" s="182"/>
    </row>
    <row r="37" spans="1:14" ht="17.45" customHeight="1" thickBot="1">
      <c r="A37" s="763" t="s">
        <v>58</v>
      </c>
      <c r="B37" s="764"/>
      <c r="C37" s="162" t="s">
        <v>59</v>
      </c>
      <c r="D37" s="183" t="s">
        <v>60</v>
      </c>
      <c r="E37" s="184" t="s">
        <v>61</v>
      </c>
      <c r="F37" s="322"/>
      <c r="G37" s="324"/>
      <c r="H37" s="186" t="s">
        <v>62</v>
      </c>
      <c r="I37" s="244">
        <f>(10.3*1440)/1440*G42*2.74*1440/1000000</f>
        <v>0</v>
      </c>
      <c r="J37" s="125" t="e">
        <f>+I37+'28'!J37</f>
        <v>#DIV/0!</v>
      </c>
      <c r="K37" s="126" t="s">
        <v>63</v>
      </c>
    </row>
    <row r="38" spans="1:14" ht="17.45" customHeight="1">
      <c r="A38" s="755" t="s">
        <v>12</v>
      </c>
      <c r="B38" s="756"/>
      <c r="C38" s="164">
        <f>SUMIF($G$7:$G$31,"Process",$F$7:$F$31)</f>
        <v>0</v>
      </c>
      <c r="D38" s="118">
        <f>+C38+'28'!D38</f>
        <v>860</v>
      </c>
      <c r="E38" s="143">
        <f t="shared" ref="E38:E51" si="0">D38/60</f>
        <v>14.333333333333334</v>
      </c>
      <c r="F38" s="322"/>
      <c r="G38" s="322"/>
      <c r="H38" s="187" t="s">
        <v>64</v>
      </c>
      <c r="I38" s="245"/>
      <c r="J38" s="127">
        <f>+I38+'28'!J38</f>
        <v>440.91260000000005</v>
      </c>
      <c r="K38" s="128" t="s">
        <v>63</v>
      </c>
    </row>
    <row r="39" spans="1:14" ht="17.45" customHeight="1">
      <c r="A39" s="759" t="s">
        <v>13</v>
      </c>
      <c r="B39" s="760"/>
      <c r="C39" s="164">
        <f>SUMIF($G$7:$G$31,"Cleaning",$F$7:$F$31)</f>
        <v>0</v>
      </c>
      <c r="D39" s="118">
        <f>+C39+'28'!D39</f>
        <v>0</v>
      </c>
      <c r="E39" s="143">
        <f t="shared" si="0"/>
        <v>0</v>
      </c>
      <c r="F39" s="322"/>
      <c r="G39" s="322"/>
      <c r="H39" s="187" t="s">
        <v>65</v>
      </c>
      <c r="I39" s="142"/>
      <c r="J39" s="129" t="e">
        <f>J37/G4</f>
        <v>#DIV/0!</v>
      </c>
      <c r="K39" s="130" t="s">
        <v>63</v>
      </c>
    </row>
    <row r="40" spans="1:14" ht="17.45" customHeight="1">
      <c r="A40" s="759" t="s">
        <v>66</v>
      </c>
      <c r="B40" s="760"/>
      <c r="C40" s="164">
        <f>SUMIF($G$7:$G$31,"Mechanical",$F$7:$F$31)</f>
        <v>0</v>
      </c>
      <c r="D40" s="118">
        <f>+C40+'28'!D40</f>
        <v>0</v>
      </c>
      <c r="E40" s="143">
        <f t="shared" si="0"/>
        <v>0</v>
      </c>
      <c r="F40" s="322"/>
      <c r="G40" s="322"/>
      <c r="H40" s="187" t="s">
        <v>67</v>
      </c>
      <c r="I40" s="118">
        <f>(K34+L34)/1000</f>
        <v>0</v>
      </c>
      <c r="J40" s="131">
        <f>+I40+'28'!J40</f>
        <v>413.67199999999991</v>
      </c>
      <c r="K40" s="130" t="s">
        <v>63</v>
      </c>
    </row>
    <row r="41" spans="1:14" ht="17.45" customHeight="1">
      <c r="A41" s="759" t="s">
        <v>68</v>
      </c>
      <c r="B41" s="760"/>
      <c r="C41" s="164">
        <f>SUMIF($G$7:$G$31,"Electrical",$F$7:$F$31)</f>
        <v>0</v>
      </c>
      <c r="D41" s="118">
        <f>+C41+'28'!D41</f>
        <v>550</v>
      </c>
      <c r="E41" s="143">
        <f t="shared" si="0"/>
        <v>9.1666666666666661</v>
      </c>
      <c r="F41" s="322"/>
      <c r="G41" s="322"/>
      <c r="H41" s="187" t="s">
        <v>69</v>
      </c>
      <c r="I41" s="142"/>
      <c r="J41" s="129">
        <f>J40/G4</f>
        <v>14.264551724137927</v>
      </c>
      <c r="K41" s="130" t="s">
        <v>63</v>
      </c>
    </row>
    <row r="42" spans="1:14" ht="17.45" customHeight="1">
      <c r="A42" s="759" t="s">
        <v>16</v>
      </c>
      <c r="B42" s="760"/>
      <c r="C42" s="164">
        <f>SUMIF($G$7:$G$31,"Instrument",$F$7:$F$31)</f>
        <v>0</v>
      </c>
      <c r="D42" s="118">
        <f>+C42+'28'!D42</f>
        <v>0</v>
      </c>
      <c r="E42" s="143">
        <f t="shared" si="0"/>
        <v>0</v>
      </c>
      <c r="F42" s="322">
        <f>+(480*F38+480*F39+480*F40)/1440</f>
        <v>0</v>
      </c>
      <c r="G42" s="322">
        <f>+(480*G38+480*G39+480*G40)/1440</f>
        <v>0</v>
      </c>
      <c r="H42" s="187" t="s">
        <v>70</v>
      </c>
      <c r="I42" s="246"/>
      <c r="J42" s="132"/>
      <c r="K42" s="130" t="s">
        <v>71</v>
      </c>
    </row>
    <row r="43" spans="1:14" ht="17.45" customHeight="1">
      <c r="A43" s="759" t="s">
        <v>72</v>
      </c>
      <c r="B43" s="760"/>
      <c r="C43" s="164">
        <f>SUMIF($G$7:$G$31,"Water",$F$7:$F$31)</f>
        <v>0</v>
      </c>
      <c r="D43" s="118">
        <f>+C43+'28'!D43</f>
        <v>0</v>
      </c>
      <c r="E43" s="143">
        <f t="shared" si="0"/>
        <v>0</v>
      </c>
      <c r="F43" s="322"/>
      <c r="G43" s="323"/>
      <c r="H43" s="188" t="s">
        <v>73</v>
      </c>
      <c r="I43" s="118">
        <f>+Report1!Z37</f>
        <v>5.0999999999999996</v>
      </c>
      <c r="J43" s="133">
        <f>+I43+'28'!J43</f>
        <v>778.80000000000018</v>
      </c>
      <c r="K43" s="130" t="s">
        <v>63</v>
      </c>
      <c r="L43" s="189"/>
    </row>
    <row r="44" spans="1:14" ht="17.45" customHeight="1">
      <c r="A44" s="759" t="s">
        <v>17</v>
      </c>
      <c r="B44" s="760"/>
      <c r="C44" s="164">
        <f>SUMIF($G$7:$G$31,"PLN",$F$7:$F$31)</f>
        <v>0</v>
      </c>
      <c r="D44" s="118">
        <f>+C44+'28'!D44</f>
        <v>0</v>
      </c>
      <c r="E44" s="143">
        <f t="shared" si="0"/>
        <v>0</v>
      </c>
      <c r="F44" s="322"/>
      <c r="G44" s="323"/>
      <c r="H44" s="188" t="s">
        <v>74</v>
      </c>
      <c r="I44" s="118" t="e">
        <f>I43/I38</f>
        <v>#DIV/0!</v>
      </c>
      <c r="J44" s="134">
        <f>J43/J38</f>
        <v>1.7663364576108735</v>
      </c>
      <c r="K44" s="130" t="s">
        <v>63</v>
      </c>
    </row>
    <row r="45" spans="1:14" ht="17.45" customHeight="1">
      <c r="A45" s="759" t="s">
        <v>18</v>
      </c>
      <c r="B45" s="760"/>
      <c r="C45" s="164">
        <f>SUMIF($G$7:$G$31,"Boiler",$F$7:$F$31)</f>
        <v>0</v>
      </c>
      <c r="D45" s="118">
        <f>+C45+'28'!D45</f>
        <v>0</v>
      </c>
      <c r="E45" s="143">
        <f t="shared" si="0"/>
        <v>0</v>
      </c>
      <c r="F45" s="322"/>
      <c r="G45" s="325"/>
      <c r="H45" s="188" t="s">
        <v>75</v>
      </c>
      <c r="I45" s="118" t="e">
        <f>I43/I40</f>
        <v>#DIV/0!</v>
      </c>
      <c r="J45" s="134">
        <f>J43/J40</f>
        <v>1.8826509891895036</v>
      </c>
      <c r="K45" s="130" t="s">
        <v>63</v>
      </c>
    </row>
    <row r="46" spans="1:14" ht="17.45" customHeight="1">
      <c r="A46" s="759" t="s">
        <v>76</v>
      </c>
      <c r="B46" s="760"/>
      <c r="C46" s="164">
        <f>SUMIF($G$7:$G$31,"Gas",$F$7:$F$31)</f>
        <v>0</v>
      </c>
      <c r="D46" s="118">
        <f>+C46+'28'!D46</f>
        <v>0</v>
      </c>
      <c r="E46" s="143">
        <f t="shared" si="0"/>
        <v>0</v>
      </c>
      <c r="F46" s="322"/>
      <c r="G46" s="323"/>
      <c r="H46" s="188" t="s">
        <v>77</v>
      </c>
      <c r="I46" s="140">
        <f>+SUMIF(Listrik!P36,"&gt;0")</f>
        <v>4763.0399999992733</v>
      </c>
      <c r="J46" s="135">
        <f>+I46+'28'!J46</f>
        <v>520225.7</v>
      </c>
      <c r="K46" s="130" t="s">
        <v>78</v>
      </c>
    </row>
    <row r="47" spans="1:14" ht="17.45" customHeight="1">
      <c r="A47" s="759" t="s">
        <v>79</v>
      </c>
      <c r="B47" s="760"/>
      <c r="C47" s="164">
        <f>SUMIF($G$7:$G$31,"Gas",$F$7:$F$31)</f>
        <v>0</v>
      </c>
      <c r="D47" s="118">
        <f>+C47+'28'!D47</f>
        <v>0</v>
      </c>
      <c r="E47" s="143">
        <f t="shared" si="0"/>
        <v>0</v>
      </c>
      <c r="F47" s="322"/>
      <c r="G47" s="323"/>
      <c r="H47" s="188" t="s">
        <v>80</v>
      </c>
      <c r="I47" s="118" t="e">
        <f>I46/I38</f>
        <v>#DIV/0!</v>
      </c>
      <c r="J47" s="135">
        <f>J46/J38</f>
        <v>1179.8839497895954</v>
      </c>
      <c r="K47" s="130" t="s">
        <v>24</v>
      </c>
    </row>
    <row r="48" spans="1:14" ht="17.45" customHeight="1">
      <c r="A48" s="759" t="s">
        <v>14</v>
      </c>
      <c r="B48" s="760"/>
      <c r="C48" s="164">
        <f>SUMIF($G$7:$G$31,"Start Up",$F$7:$F$31)</f>
        <v>0</v>
      </c>
      <c r="D48" s="118">
        <f>+C48+'28'!D48</f>
        <v>0</v>
      </c>
      <c r="E48" s="143">
        <f t="shared" si="0"/>
        <v>0</v>
      </c>
      <c r="F48" s="322"/>
      <c r="G48" s="323"/>
      <c r="H48" s="188" t="s">
        <v>81</v>
      </c>
      <c r="I48" s="118" t="e">
        <f>I46/I40</f>
        <v>#DIV/0!</v>
      </c>
      <c r="J48" s="135">
        <f>J46/J40</f>
        <v>1257.580160126864</v>
      </c>
      <c r="K48" s="130" t="s">
        <v>24</v>
      </c>
    </row>
    <row r="49" spans="1:23" ht="17.45" customHeight="1">
      <c r="A49" s="773" t="s">
        <v>20</v>
      </c>
      <c r="B49" s="760"/>
      <c r="C49" s="164">
        <f>SUMIF($G$7:$G$31,"Others",$F$7:$F$31)</f>
        <v>1440</v>
      </c>
      <c r="D49" s="118">
        <f>+C49+'28'!D49</f>
        <v>24030</v>
      </c>
      <c r="E49" s="143">
        <f t="shared" si="0"/>
        <v>400.5</v>
      </c>
      <c r="F49" s="185"/>
      <c r="H49" s="188" t="s">
        <v>272</v>
      </c>
      <c r="I49" s="118">
        <f>+Report1!T37</f>
        <v>0</v>
      </c>
      <c r="J49" s="135">
        <f>+I49+'28'!J49</f>
        <v>41069.474159648547</v>
      </c>
      <c r="K49" s="130" t="s">
        <v>82</v>
      </c>
    </row>
    <row r="50" spans="1:23" ht="17.45" customHeight="1">
      <c r="A50" s="759" t="s">
        <v>19</v>
      </c>
      <c r="B50" s="760"/>
      <c r="C50" s="164">
        <f>SUMIF($G$7:$G$31,"Steam",$F$7:$F$31)</f>
        <v>0</v>
      </c>
      <c r="D50" s="118">
        <f>+C50+'28'!D50</f>
        <v>0</v>
      </c>
      <c r="E50" s="143">
        <f t="shared" si="0"/>
        <v>0</v>
      </c>
      <c r="F50" s="185"/>
      <c r="H50" s="188" t="s">
        <v>83</v>
      </c>
      <c r="I50" s="140" t="e">
        <f>I49/I38</f>
        <v>#DIV/0!</v>
      </c>
      <c r="J50" s="133">
        <f>J49/J38</f>
        <v>93.146519649582572</v>
      </c>
      <c r="K50" s="130" t="s">
        <v>82</v>
      </c>
    </row>
    <row r="51" spans="1:23" ht="17.45" customHeight="1" thickBot="1">
      <c r="A51" s="753" t="s">
        <v>84</v>
      </c>
      <c r="B51" s="754"/>
      <c r="C51" s="164">
        <f>SUMIF($G$7:$G$31,"Planned shut",$F$7:$F$31)</f>
        <v>0</v>
      </c>
      <c r="D51" s="118">
        <f>+C51+'28'!D51</f>
        <v>1555</v>
      </c>
      <c r="E51" s="143">
        <f t="shared" si="0"/>
        <v>25.916666666666668</v>
      </c>
      <c r="F51" s="185"/>
      <c r="H51" s="190" t="s">
        <v>85</v>
      </c>
      <c r="I51" s="141" t="e">
        <f>I49/I40</f>
        <v>#DIV/0!</v>
      </c>
      <c r="J51" s="136">
        <f>J49/J40</f>
        <v>99.280285249300306</v>
      </c>
      <c r="K51" s="137" t="s">
        <v>82</v>
      </c>
    </row>
    <row r="52" spans="1:23" ht="13.5" thickBot="1">
      <c r="A52" s="755" t="s">
        <v>28</v>
      </c>
      <c r="B52" s="756"/>
      <c r="C52" s="144">
        <f>SUM(C38:C51)</f>
        <v>1440</v>
      </c>
      <c r="D52" s="144">
        <f>SUM(D38:D51)</f>
        <v>26995</v>
      </c>
      <c r="E52" s="145">
        <f>SUM(E38:E51)</f>
        <v>449.91666666666669</v>
      </c>
      <c r="F52" s="185"/>
      <c r="H52" s="191"/>
      <c r="I52" s="192"/>
      <c r="J52" s="138"/>
      <c r="K52" s="139"/>
    </row>
    <row r="53" spans="1:23" ht="13.5" thickBot="1">
      <c r="A53" s="757"/>
      <c r="B53" s="758"/>
      <c r="C53" s="146">
        <f>C52/(24*60)</f>
        <v>1</v>
      </c>
      <c r="D53" s="146">
        <f>D52/(24*60*G4)</f>
        <v>0.64643199233716475</v>
      </c>
      <c r="E53" s="147">
        <f>E52/(G4*24)</f>
        <v>0.64643199233716475</v>
      </c>
      <c r="F53" s="185"/>
    </row>
    <row r="54" spans="1:23">
      <c r="E54" s="193"/>
      <c r="F54" s="185"/>
    </row>
    <row r="55" spans="1:23">
      <c r="E55" s="193"/>
    </row>
    <row r="56" spans="1:23">
      <c r="A56" s="194" t="s">
        <v>86</v>
      </c>
      <c r="B56" s="195"/>
      <c r="C56" s="196"/>
      <c r="D56" s="196"/>
      <c r="E56" s="196"/>
      <c r="F56" s="197"/>
      <c r="G56" s="196"/>
      <c r="H56" s="198"/>
      <c r="I56" s="199" t="s">
        <v>87</v>
      </c>
      <c r="J56" s="200">
        <f>+D34+'28'!J56</f>
        <v>10652</v>
      </c>
      <c r="K56" s="201">
        <f>J56/(J40+J56/1000)/1000</f>
        <v>2.5103458677802816E-2</v>
      </c>
    </row>
    <row r="57" spans="1:23">
      <c r="A57" s="176"/>
      <c r="I57" s="199" t="s">
        <v>88</v>
      </c>
      <c r="J57" s="200">
        <f>+E34+'28'!J57</f>
        <v>0</v>
      </c>
      <c r="K57" s="201">
        <f>J57/(J40+J57/1000)/1000</f>
        <v>0</v>
      </c>
    </row>
    <row r="58" spans="1:23">
      <c r="A58" s="202"/>
      <c r="B58" s="203"/>
      <c r="F58" s="185"/>
      <c r="H58" s="204"/>
    </row>
    <row r="59" spans="1:23">
      <c r="A59" s="205"/>
      <c r="B59" s="176"/>
      <c r="C59" s="176"/>
      <c r="D59" s="176"/>
      <c r="E59" s="176"/>
      <c r="F59" s="189"/>
      <c r="G59" s="176"/>
      <c r="H59" s="204"/>
    </row>
    <row r="60" spans="1:23">
      <c r="H60" s="204"/>
    </row>
    <row r="61" spans="1:23">
      <c r="A61" s="206"/>
      <c r="B61" s="207"/>
      <c r="C61" s="207"/>
      <c r="D61" s="207"/>
      <c r="E61" s="207"/>
      <c r="F61" s="208"/>
      <c r="G61" s="207"/>
      <c r="H61" s="209"/>
      <c r="W61" s="149" t="s">
        <v>0</v>
      </c>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1"/>
  <sheetViews>
    <sheetView zoomScale="80" zoomScaleNormal="80" workbookViewId="0">
      <selection activeCell="F7" sqref="F7:F3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5.42578125" style="149" customWidth="1"/>
    <col min="14" max="15" width="9.140625" style="149"/>
    <col min="16" max="16" width="10.28515625" style="149" bestFit="1" customWidth="1"/>
    <col min="17" max="17" width="9.28515625" style="149" bestFit="1" customWidth="1"/>
    <col min="18" max="16384" width="9.140625" style="149"/>
  </cols>
  <sheetData>
    <row r="1" spans="1:23" ht="15.75">
      <c r="A1" s="148"/>
    </row>
    <row r="2" spans="1:23" ht="15.75">
      <c r="A2" s="148" t="s">
        <v>185</v>
      </c>
    </row>
    <row r="3" spans="1:23" ht="15">
      <c r="A3" s="150"/>
    </row>
    <row r="4" spans="1:23" ht="20.25">
      <c r="A4" s="151" t="s">
        <v>3</v>
      </c>
      <c r="B4" s="152"/>
      <c r="F4" s="153" t="s">
        <v>29</v>
      </c>
      <c r="G4" s="154">
        <v>28</v>
      </c>
      <c r="H4" s="154" t="str">
        <f>+'1'!H4</f>
        <v>.9.25</v>
      </c>
    </row>
    <row r="5" spans="1:23" ht="13.5" thickBot="1">
      <c r="C5" s="155"/>
      <c r="D5" s="155"/>
    </row>
    <row r="6" spans="1:2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81" t="s">
        <v>92</v>
      </c>
      <c r="O6" s="423" t="s">
        <v>192</v>
      </c>
      <c r="P6" s="423" t="s">
        <v>192</v>
      </c>
      <c r="Q6" s="423" t="s">
        <v>193</v>
      </c>
      <c r="R6" s="423" t="s">
        <v>194</v>
      </c>
      <c r="S6" s="423" t="s">
        <v>195</v>
      </c>
      <c r="T6" s="423" t="s">
        <v>190</v>
      </c>
      <c r="U6" s="424" t="s">
        <v>196</v>
      </c>
      <c r="V6" s="423" t="s">
        <v>197</v>
      </c>
      <c r="W6" s="423" t="s">
        <v>191</v>
      </c>
    </row>
    <row r="7" spans="1:23" ht="13.5" customHeight="1" thickBot="1">
      <c r="A7" s="765"/>
      <c r="B7" s="215"/>
      <c r="C7" s="216"/>
      <c r="D7" s="217"/>
      <c r="E7" s="218"/>
      <c r="F7" s="228"/>
      <c r="G7" s="229" t="s">
        <v>12</v>
      </c>
      <c r="H7" s="230" t="s">
        <v>466</v>
      </c>
      <c r="I7" s="768"/>
      <c r="J7" s="214" t="str">
        <f>+'27'!J7</f>
        <v>F 12 VP OW</v>
      </c>
      <c r="K7" s="238">
        <f>+C34</f>
        <v>0</v>
      </c>
      <c r="L7" s="242"/>
      <c r="M7" s="117">
        <f>+K7+'27'!M7+L7</f>
        <v>172842</v>
      </c>
      <c r="N7" s="425">
        <v>14.5</v>
      </c>
      <c r="O7" s="199">
        <v>1200</v>
      </c>
      <c r="P7" s="199">
        <v>1120</v>
      </c>
      <c r="Q7" s="199">
        <v>896</v>
      </c>
      <c r="R7" s="426">
        <f>1-(Q7/P7)</f>
        <v>0.19999999999999996</v>
      </c>
      <c r="S7" s="427">
        <v>45</v>
      </c>
      <c r="T7" s="428">
        <v>256.5</v>
      </c>
      <c r="U7" s="429">
        <f>(O7*(1-R7)*N7*T7*S7)/100000000</f>
        <v>1.606716</v>
      </c>
      <c r="V7" s="430">
        <f>+C14/1000</f>
        <v>0</v>
      </c>
      <c r="W7" s="431">
        <f>SUM(V7:V9)/SUM(U7:U9)</f>
        <v>0</v>
      </c>
    </row>
    <row r="8" spans="1:23" ht="13.5" thickBot="1">
      <c r="A8" s="766"/>
      <c r="B8" s="215"/>
      <c r="C8" s="216"/>
      <c r="D8" s="217"/>
      <c r="E8" s="219"/>
      <c r="F8" s="231"/>
      <c r="G8" s="560" t="s">
        <v>12</v>
      </c>
      <c r="H8" s="230" t="s">
        <v>432</v>
      </c>
      <c r="I8" s="769"/>
      <c r="J8" s="214" t="str">
        <f>+'27'!J8</f>
        <v>F 13 VP OW</v>
      </c>
      <c r="K8" s="239"/>
      <c r="L8" s="239"/>
      <c r="M8" s="117">
        <f>+K8+'27'!M8+L8</f>
        <v>66206</v>
      </c>
      <c r="N8" s="425">
        <v>18</v>
      </c>
      <c r="O8" s="199">
        <v>1200</v>
      </c>
      <c r="P8" s="199">
        <v>930</v>
      </c>
      <c r="Q8" s="199">
        <v>744</v>
      </c>
      <c r="R8" s="426">
        <f>1-(Q8/P8)</f>
        <v>0.19999999999999996</v>
      </c>
      <c r="S8" s="427">
        <f>480-S7</f>
        <v>435</v>
      </c>
      <c r="T8" s="428">
        <v>256.5</v>
      </c>
      <c r="U8" s="429">
        <f>(O8*(1-R8)*N8*T8*S8)/100000000</f>
        <v>19.280591999999999</v>
      </c>
      <c r="V8" s="430"/>
      <c r="W8" s="432"/>
    </row>
    <row r="9" spans="1:23" ht="13.5" thickBot="1">
      <c r="A9" s="766"/>
      <c r="B9" s="215"/>
      <c r="C9" s="216"/>
      <c r="D9" s="217"/>
      <c r="E9" s="220"/>
      <c r="F9" s="228"/>
      <c r="G9" s="560" t="s">
        <v>12</v>
      </c>
      <c r="H9" s="233" t="s">
        <v>507</v>
      </c>
      <c r="I9" s="769"/>
      <c r="J9" s="214" t="str">
        <f>+'27'!J9</f>
        <v>F 14 VP OW</v>
      </c>
      <c r="K9" s="239"/>
      <c r="L9" s="239"/>
      <c r="M9" s="117">
        <f>+K9+'27'!M9+L9</f>
        <v>100560</v>
      </c>
      <c r="N9" s="433"/>
    </row>
    <row r="10" spans="1:23" ht="51.75" thickBot="1">
      <c r="A10" s="766"/>
      <c r="B10" s="215"/>
      <c r="C10" s="216"/>
      <c r="D10" s="217"/>
      <c r="E10" s="219"/>
      <c r="F10" s="228">
        <v>480</v>
      </c>
      <c r="G10" s="237" t="s">
        <v>20</v>
      </c>
      <c r="H10" s="233" t="s">
        <v>625</v>
      </c>
      <c r="I10" s="769"/>
      <c r="J10" s="214" t="str">
        <f>+'27'!J10</f>
        <v>T 12,5 VP OW</v>
      </c>
      <c r="K10" s="239"/>
      <c r="L10" s="239"/>
      <c r="M10" s="117">
        <f>+K10+'27'!M10+L10</f>
        <v>19885</v>
      </c>
      <c r="N10" s="433"/>
    </row>
    <row r="11" spans="1:23" ht="13.5" thickBot="1">
      <c r="A11" s="766"/>
      <c r="B11" s="215"/>
      <c r="C11" s="216"/>
      <c r="D11" s="217"/>
      <c r="E11" s="219"/>
      <c r="F11" s="228"/>
      <c r="G11" s="232"/>
      <c r="H11" s="233"/>
      <c r="I11" s="769"/>
      <c r="J11" s="214" t="str">
        <f>+'27'!J11</f>
        <v>F 12,5 VP OW</v>
      </c>
      <c r="K11" s="239"/>
      <c r="L11" s="239"/>
      <c r="M11" s="117">
        <f>+K11+'27'!M11+L11</f>
        <v>42554</v>
      </c>
      <c r="N11" s="433"/>
    </row>
    <row r="12" spans="1:23" ht="13.5" thickBot="1">
      <c r="A12" s="766"/>
      <c r="B12" s="215"/>
      <c r="C12" s="216"/>
      <c r="D12" s="217"/>
      <c r="E12" s="219"/>
      <c r="F12" s="228"/>
      <c r="G12" s="232"/>
      <c r="H12" s="233"/>
      <c r="I12" s="769"/>
      <c r="J12" s="214" t="str">
        <f>+'27'!J12</f>
        <v>F 13,5 VP OW</v>
      </c>
      <c r="K12" s="239"/>
      <c r="L12" s="239"/>
      <c r="M12" s="117">
        <f>+K12+'27'!M12+L12</f>
        <v>11625</v>
      </c>
      <c r="N12" s="433"/>
    </row>
    <row r="13" spans="1:23" ht="13.5" thickBot="1">
      <c r="A13" s="766"/>
      <c r="B13" s="215"/>
      <c r="C13" s="216"/>
      <c r="D13" s="216"/>
      <c r="E13" s="219"/>
      <c r="F13" s="228"/>
      <c r="G13" s="232"/>
      <c r="H13" s="233"/>
      <c r="I13" s="770"/>
      <c r="J13" s="214">
        <f>+'27'!J13</f>
        <v>0</v>
      </c>
      <c r="K13" s="239"/>
      <c r="L13" s="239"/>
      <c r="M13" s="117">
        <f>+K13+'27'!M13+L13</f>
        <v>0</v>
      </c>
      <c r="N13" s="434"/>
      <c r="O13" s="435"/>
      <c r="P13" s="435"/>
      <c r="Q13" s="435"/>
      <c r="R13" s="435"/>
      <c r="S13" s="435"/>
      <c r="T13" s="435"/>
      <c r="U13" s="435"/>
      <c r="V13" s="435"/>
      <c r="W13" s="435"/>
    </row>
    <row r="14" spans="1:23" ht="13.5" thickBot="1">
      <c r="A14" s="767"/>
      <c r="B14" s="165" t="s">
        <v>2</v>
      </c>
      <c r="C14" s="99">
        <f>SUM(C7:C13)</f>
        <v>0</v>
      </c>
      <c r="D14" s="111">
        <f>SUM(D7:D13)</f>
        <v>0</v>
      </c>
      <c r="E14" s="112">
        <f>SUM(E5:E13)</f>
        <v>0</v>
      </c>
      <c r="F14" s="116">
        <f>SUM(F7:F13)</f>
        <v>480</v>
      </c>
      <c r="G14" s="159"/>
      <c r="H14" s="166"/>
      <c r="I14" s="167"/>
      <c r="J14" s="214">
        <f>+'27'!J14</f>
        <v>0</v>
      </c>
      <c r="K14" s="239"/>
      <c r="L14" s="239"/>
      <c r="M14" s="117">
        <f>+K14+'27'!M14+L14</f>
        <v>0</v>
      </c>
    </row>
    <row r="15" spans="1:23" ht="13.5" customHeight="1" thickBot="1">
      <c r="A15" s="765"/>
      <c r="B15" s="165"/>
      <c r="C15" s="113" t="e">
        <f>C14/($C$23+$D$23+$E$23)</f>
        <v>#DIV/0!</v>
      </c>
      <c r="D15" s="114" t="e">
        <f>D14/($C$23+$D$23+$E$23)</f>
        <v>#DIV/0!</v>
      </c>
      <c r="E15" s="115" t="e">
        <f>E14/($C$23+$D$23+$E$23)</f>
        <v>#DIV/0!</v>
      </c>
      <c r="F15" s="228"/>
      <c r="G15" s="229" t="s">
        <v>12</v>
      </c>
      <c r="H15" s="230" t="s">
        <v>466</v>
      </c>
      <c r="I15" s="768"/>
      <c r="J15" s="214">
        <f>+'27'!J15</f>
        <v>0</v>
      </c>
      <c r="K15" s="239"/>
      <c r="L15" s="239"/>
      <c r="M15" s="117">
        <f>+K15+'27'!M15+L15</f>
        <v>0</v>
      </c>
      <c r="N15" s="425">
        <v>18</v>
      </c>
      <c r="O15" s="199">
        <v>1200</v>
      </c>
      <c r="P15" s="199">
        <v>850</v>
      </c>
      <c r="Q15" s="199">
        <v>680</v>
      </c>
      <c r="R15" s="426">
        <f>1-(Q15/P15)</f>
        <v>0.19999999999999996</v>
      </c>
      <c r="S15" s="427">
        <v>480</v>
      </c>
      <c r="T15" s="428">
        <v>256.5</v>
      </c>
      <c r="U15" s="429">
        <f>(O15*(1-R15)*N15*T15*S15)/100000000</f>
        <v>21.275136</v>
      </c>
      <c r="V15" s="430">
        <f>+C23/1000</f>
        <v>0</v>
      </c>
      <c r="W15" s="431">
        <f>SUM(V15:V17)/SUM(U15:U17)</f>
        <v>0</v>
      </c>
    </row>
    <row r="16" spans="1:23" ht="13.5" thickBot="1">
      <c r="A16" s="771"/>
      <c r="B16" s="215"/>
      <c r="C16" s="222"/>
      <c r="D16" s="223"/>
      <c r="E16" s="224"/>
      <c r="F16" s="231"/>
      <c r="G16" s="560" t="s">
        <v>12</v>
      </c>
      <c r="H16" s="230" t="s">
        <v>432</v>
      </c>
      <c r="I16" s="769"/>
      <c r="J16" s="214">
        <f>+'27'!J16</f>
        <v>0</v>
      </c>
      <c r="K16" s="229"/>
      <c r="L16" s="229"/>
      <c r="M16" s="117">
        <f>+K16+'27'!M16+L16</f>
        <v>0</v>
      </c>
      <c r="N16" s="436"/>
      <c r="O16" s="199"/>
      <c r="P16" s="199"/>
      <c r="Q16" s="437"/>
      <c r="R16" s="426"/>
      <c r="S16" s="199"/>
      <c r="T16" s="428"/>
      <c r="U16" s="429"/>
      <c r="V16" s="430"/>
      <c r="W16" s="432"/>
    </row>
    <row r="17" spans="1:23" ht="13.5" thickBot="1">
      <c r="A17" s="771"/>
      <c r="B17" s="215"/>
      <c r="C17" s="216"/>
      <c r="D17" s="217"/>
      <c r="E17" s="225"/>
      <c r="F17" s="228"/>
      <c r="G17" s="560" t="s">
        <v>12</v>
      </c>
      <c r="H17" s="233" t="s">
        <v>507</v>
      </c>
      <c r="I17" s="769"/>
      <c r="J17" s="214">
        <f>+'27'!J17</f>
        <v>0</v>
      </c>
      <c r="K17" s="229"/>
      <c r="L17" s="229"/>
      <c r="M17" s="117">
        <f>+K17+'27'!M17+L17</f>
        <v>0</v>
      </c>
      <c r="N17" s="433"/>
      <c r="O17" s="199"/>
      <c r="R17" s="426"/>
      <c r="T17" s="428"/>
      <c r="U17" s="429"/>
    </row>
    <row r="18" spans="1:23" ht="51.75" thickBot="1">
      <c r="A18" s="771"/>
      <c r="B18" s="215"/>
      <c r="C18" s="216"/>
      <c r="D18" s="217"/>
      <c r="E18" s="225"/>
      <c r="F18" s="228">
        <v>480</v>
      </c>
      <c r="G18" s="237" t="s">
        <v>20</v>
      </c>
      <c r="H18" s="233" t="s">
        <v>626</v>
      </c>
      <c r="I18" s="769"/>
      <c r="J18" s="214">
        <f>+'27'!J18</f>
        <v>0</v>
      </c>
      <c r="K18" s="239"/>
      <c r="L18" s="239"/>
      <c r="M18" s="117">
        <f>+K18+'27'!M18+L18</f>
        <v>0</v>
      </c>
      <c r="N18" s="433"/>
    </row>
    <row r="19" spans="1:23" ht="13.5" thickBot="1">
      <c r="A19" s="771"/>
      <c r="B19" s="215"/>
      <c r="C19" s="216"/>
      <c r="D19" s="217"/>
      <c r="E19" s="225"/>
      <c r="F19" s="235"/>
      <c r="G19" s="232"/>
      <c r="H19" s="233"/>
      <c r="I19" s="769"/>
      <c r="J19" s="214">
        <f>+'27'!J19</f>
        <v>0</v>
      </c>
      <c r="K19" s="239"/>
      <c r="L19" s="239"/>
      <c r="M19" s="117">
        <f>+K19+'27'!M19+L19</f>
        <v>0</v>
      </c>
      <c r="N19" s="433"/>
    </row>
    <row r="20" spans="1:23" ht="13.5" thickBot="1">
      <c r="A20" s="771"/>
      <c r="B20" s="215"/>
      <c r="C20" s="216"/>
      <c r="D20" s="217"/>
      <c r="E20" s="225"/>
      <c r="F20" s="228"/>
      <c r="G20" s="232"/>
      <c r="H20" s="233"/>
      <c r="I20" s="769"/>
      <c r="J20" s="214">
        <f>+'27'!J20</f>
        <v>0</v>
      </c>
      <c r="K20" s="240"/>
      <c r="L20" s="240"/>
      <c r="M20" s="117">
        <f>+K20+'27'!M20+L20</f>
        <v>0</v>
      </c>
      <c r="N20" s="433"/>
    </row>
    <row r="21" spans="1:23" ht="13.5" thickBot="1">
      <c r="A21" s="771"/>
      <c r="B21" s="215"/>
      <c r="C21" s="216"/>
      <c r="D21" s="217"/>
      <c r="E21" s="225"/>
      <c r="F21" s="231"/>
      <c r="G21" s="232"/>
      <c r="H21" s="233"/>
      <c r="I21" s="769"/>
      <c r="J21" s="214">
        <f>+'27'!J21</f>
        <v>0</v>
      </c>
      <c r="K21" s="239"/>
      <c r="L21" s="239"/>
      <c r="M21" s="117">
        <f>+K21+'27'!M21+L21</f>
        <v>0</v>
      </c>
      <c r="N21" s="434"/>
      <c r="O21" s="435"/>
      <c r="P21" s="435"/>
      <c r="Q21" s="435"/>
      <c r="R21" s="435"/>
      <c r="S21" s="435"/>
      <c r="T21" s="435"/>
      <c r="U21" s="435"/>
      <c r="V21" s="435"/>
      <c r="W21" s="435"/>
    </row>
    <row r="22" spans="1:23" ht="13.5" thickBot="1">
      <c r="A22" s="771"/>
      <c r="B22" s="215"/>
      <c r="C22" s="216"/>
      <c r="D22" s="217"/>
      <c r="E22" s="225"/>
      <c r="F22" s="236"/>
      <c r="G22" s="232"/>
      <c r="H22" s="233"/>
      <c r="I22" s="770"/>
      <c r="J22" s="214">
        <f>+'27'!J22</f>
        <v>0</v>
      </c>
      <c r="K22" s="239"/>
      <c r="L22" s="239"/>
      <c r="M22" s="117">
        <f>+K22+'27'!M22+L22</f>
        <v>0</v>
      </c>
    </row>
    <row r="23" spans="1:23" ht="13.5" thickBot="1">
      <c r="A23" s="772"/>
      <c r="B23" s="168" t="s">
        <v>2</v>
      </c>
      <c r="C23" s="100">
        <f>SUM(C16:C22)</f>
        <v>0</v>
      </c>
      <c r="D23" s="111">
        <f>SUM(D16:D22)</f>
        <v>0</v>
      </c>
      <c r="E23" s="112">
        <f>SUM(E18:E22)</f>
        <v>0</v>
      </c>
      <c r="F23" s="116">
        <f>SUM(F15:F22)</f>
        <v>480</v>
      </c>
      <c r="G23" s="159"/>
      <c r="H23" s="166"/>
      <c r="I23" s="169"/>
      <c r="J23" s="214">
        <f>+'27'!J23</f>
        <v>0</v>
      </c>
      <c r="K23" s="239"/>
      <c r="L23" s="239"/>
      <c r="M23" s="117">
        <f>+K23+'27'!M23+L23</f>
        <v>0</v>
      </c>
      <c r="N23" s="438"/>
      <c r="O23" s="439"/>
      <c r="P23" s="439"/>
      <c r="Q23" s="439"/>
      <c r="R23" s="439"/>
      <c r="S23" s="439"/>
      <c r="T23" s="439"/>
      <c r="U23" s="439"/>
      <c r="V23" s="439"/>
      <c r="W23" s="439"/>
    </row>
    <row r="24" spans="1:23" ht="13.5" customHeight="1" thickBot="1">
      <c r="A24" s="765"/>
      <c r="B24" s="170"/>
      <c r="C24" s="113" t="e">
        <f>C23/($C$23+$D$23+$E$23)</f>
        <v>#DIV/0!</v>
      </c>
      <c r="D24" s="114" t="e">
        <f>D23/($C$23+$D$23+$E$23)</f>
        <v>#DIV/0!</v>
      </c>
      <c r="E24" s="115" t="e">
        <f>E23/($C$23+$D$23+$E$23)</f>
        <v>#DIV/0!</v>
      </c>
      <c r="F24" s="228"/>
      <c r="G24" s="229" t="s">
        <v>12</v>
      </c>
      <c r="H24" s="230" t="s">
        <v>466</v>
      </c>
      <c r="I24" s="768"/>
      <c r="J24" s="214">
        <f>+'27'!J24</f>
        <v>0</v>
      </c>
      <c r="K24" s="239"/>
      <c r="L24" s="239"/>
      <c r="M24" s="117">
        <f>+K24+'27'!M24+L24</f>
        <v>0</v>
      </c>
      <c r="N24" s="425">
        <v>18</v>
      </c>
      <c r="O24" s="199">
        <v>1200</v>
      </c>
      <c r="P24" s="199">
        <v>770</v>
      </c>
      <c r="Q24" s="199">
        <v>616</v>
      </c>
      <c r="R24" s="426">
        <f>1-(Q24/P24)</f>
        <v>0.19999999999999996</v>
      </c>
      <c r="S24" s="427">
        <v>480</v>
      </c>
      <c r="T24" s="428">
        <v>256.5</v>
      </c>
      <c r="U24" s="429">
        <f>(O24*(1-R24)*N24*T24*S24)/100000000</f>
        <v>21.275136</v>
      </c>
      <c r="V24" s="430">
        <f>+C32/1000</f>
        <v>0</v>
      </c>
      <c r="W24" s="431">
        <f>SUM(V24:V25)/SUM(U24:U25)</f>
        <v>0</v>
      </c>
    </row>
    <row r="25" spans="1:23" ht="13.5" customHeight="1" thickBot="1">
      <c r="A25" s="771"/>
      <c r="B25" s="215"/>
      <c r="C25" s="226"/>
      <c r="D25" s="217"/>
      <c r="E25" s="225"/>
      <c r="F25" s="231"/>
      <c r="G25" s="560" t="s">
        <v>12</v>
      </c>
      <c r="H25" s="230" t="s">
        <v>432</v>
      </c>
      <c r="I25" s="769"/>
      <c r="J25" s="214">
        <f>+'27'!J25</f>
        <v>0</v>
      </c>
      <c r="K25" s="239"/>
      <c r="L25" s="239"/>
      <c r="M25" s="117">
        <f>+K25+'27'!M25+L25</f>
        <v>0</v>
      </c>
      <c r="N25" s="425"/>
      <c r="O25" s="199"/>
      <c r="P25" s="199"/>
      <c r="Q25" s="199"/>
      <c r="R25" s="426"/>
      <c r="S25" s="427"/>
      <c r="T25" s="428"/>
      <c r="U25" s="429"/>
      <c r="V25" s="430"/>
      <c r="W25" s="431"/>
    </row>
    <row r="26" spans="1:23" ht="13.5" customHeight="1" thickBot="1">
      <c r="A26" s="771"/>
      <c r="B26" s="215"/>
      <c r="C26" s="226"/>
      <c r="D26" s="217"/>
      <c r="E26" s="227"/>
      <c r="F26" s="228"/>
      <c r="G26" s="560" t="s">
        <v>12</v>
      </c>
      <c r="H26" s="233" t="s">
        <v>507</v>
      </c>
      <c r="I26" s="769"/>
      <c r="J26" s="214">
        <f>+'27'!J26</f>
        <v>0</v>
      </c>
      <c r="K26" s="239"/>
      <c r="L26" s="239"/>
      <c r="M26" s="117">
        <f>+K26+'27'!M26+L26</f>
        <v>0</v>
      </c>
    </row>
    <row r="27" spans="1:23" ht="13.5" customHeight="1" thickBot="1">
      <c r="A27" s="771"/>
      <c r="B27" s="215"/>
      <c r="C27" s="216"/>
      <c r="D27" s="217"/>
      <c r="E27" s="225"/>
      <c r="F27" s="228">
        <v>480</v>
      </c>
      <c r="G27" s="237" t="s">
        <v>20</v>
      </c>
      <c r="H27" s="233" t="s">
        <v>604</v>
      </c>
      <c r="I27" s="769"/>
      <c r="J27" s="214">
        <f>+'27'!J27</f>
        <v>0</v>
      </c>
      <c r="K27" s="239"/>
      <c r="L27" s="239"/>
      <c r="M27" s="117">
        <f>+K27+'27'!M27+L27</f>
        <v>0</v>
      </c>
    </row>
    <row r="28" spans="1:23" ht="64.5" thickBot="1">
      <c r="A28" s="771"/>
      <c r="B28" s="215"/>
      <c r="C28" s="216"/>
      <c r="D28" s="217"/>
      <c r="E28" s="225"/>
      <c r="F28" s="235"/>
      <c r="G28" s="232"/>
      <c r="H28" s="233" t="s">
        <v>624</v>
      </c>
      <c r="I28" s="769"/>
      <c r="J28" s="214">
        <f>+'27'!J28</f>
        <v>0</v>
      </c>
      <c r="K28" s="239"/>
      <c r="L28" s="239"/>
      <c r="M28" s="117">
        <f>+K28+'27'!M28+L28</f>
        <v>0</v>
      </c>
    </row>
    <row r="29" spans="1:23" ht="13.5" customHeight="1" thickBot="1">
      <c r="A29" s="771"/>
      <c r="B29" s="215"/>
      <c r="C29" s="216"/>
      <c r="D29" s="217"/>
      <c r="E29" s="225"/>
      <c r="F29" s="236"/>
      <c r="G29" s="232"/>
      <c r="H29" s="233"/>
      <c r="I29" s="769"/>
      <c r="J29" s="214">
        <f>+'27'!J29</f>
        <v>0</v>
      </c>
      <c r="K29" s="239"/>
      <c r="L29" s="239"/>
      <c r="M29" s="117">
        <f>+K29+'27'!M29+L29</f>
        <v>0</v>
      </c>
    </row>
    <row r="30" spans="1:23" ht="13.5" customHeight="1" thickBot="1">
      <c r="A30" s="771"/>
      <c r="B30" s="215"/>
      <c r="C30" s="226"/>
      <c r="D30" s="217"/>
      <c r="E30" s="225"/>
      <c r="F30" s="236"/>
      <c r="G30" s="232"/>
      <c r="H30" s="233"/>
      <c r="I30" s="769"/>
      <c r="J30" s="214">
        <f>+'27'!J30</f>
        <v>0</v>
      </c>
      <c r="K30" s="239"/>
      <c r="L30" s="239"/>
      <c r="M30" s="117">
        <f>+K30+'27'!M30+L30</f>
        <v>0</v>
      </c>
      <c r="N30" s="155"/>
    </row>
    <row r="31" spans="1:23" ht="13.5" customHeight="1" thickBot="1">
      <c r="A31" s="771"/>
      <c r="B31" s="215"/>
      <c r="C31" s="226"/>
      <c r="D31" s="217"/>
      <c r="E31" s="225"/>
      <c r="F31" s="236"/>
      <c r="G31" s="237"/>
      <c r="H31" s="445"/>
      <c r="I31" s="770"/>
      <c r="J31" s="214">
        <f>+'27'!J31</f>
        <v>0</v>
      </c>
      <c r="K31" s="239"/>
      <c r="L31" s="239"/>
      <c r="M31" s="117">
        <f>+K31+'27'!M31+L31</f>
        <v>0</v>
      </c>
    </row>
    <row r="32" spans="1:23" ht="13.5" customHeight="1" thickBot="1">
      <c r="A32" s="772"/>
      <c r="B32" s="165" t="s">
        <v>2</v>
      </c>
      <c r="C32" s="99">
        <f>SUM(C25:C31)</f>
        <v>0</v>
      </c>
      <c r="D32" s="100">
        <f>SUM(D25:D31)</f>
        <v>0</v>
      </c>
      <c r="E32" s="101">
        <f>SUM(E25:E31)</f>
        <v>0</v>
      </c>
      <c r="F32" s="102">
        <f>SUM(F24:F31)</f>
        <v>480</v>
      </c>
      <c r="G32" s="171"/>
      <c r="H32" s="172"/>
      <c r="I32" s="169"/>
      <c r="J32" s="214">
        <f>+'27'!J32</f>
        <v>0</v>
      </c>
      <c r="K32" s="241"/>
      <c r="L32" s="243"/>
      <c r="M32" s="117">
        <f>+K32+'27'!M32+L32</f>
        <v>0</v>
      </c>
    </row>
    <row r="33" spans="1:14" ht="13.5" thickBot="1">
      <c r="A33" s="173"/>
      <c r="B33" s="174"/>
      <c r="C33" s="103" t="e">
        <f>C32/($C$32+$D$32+$E$32)</f>
        <v>#DIV/0!</v>
      </c>
      <c r="D33" s="104" t="e">
        <f>D32/($C$32+$D$32+$E$32)</f>
        <v>#DIV/0!</v>
      </c>
      <c r="E33" s="105" t="e">
        <f>E32/($C$32+$D$32+$E$32)</f>
        <v>#DIV/0!</v>
      </c>
      <c r="F33" s="106"/>
      <c r="G33" s="175"/>
      <c r="H33" s="176"/>
      <c r="I33" s="177"/>
      <c r="J33" s="121"/>
      <c r="K33" s="122"/>
      <c r="L33" s="213"/>
      <c r="M33" s="119"/>
    </row>
    <row r="34" spans="1:14"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c r="N34" s="155"/>
    </row>
    <row r="35" spans="1:14" ht="13.5" thickBot="1">
      <c r="A35" s="179"/>
      <c r="B35" s="180"/>
      <c r="C35" s="104" t="e">
        <f>C34/($C$34+$D$34+$E$34)</f>
        <v>#DIV/0!</v>
      </c>
      <c r="D35" s="104" t="e">
        <f>D34/($C$34+$D$34+$E$34)</f>
        <v>#DIV/0!</v>
      </c>
      <c r="E35" s="109" t="e">
        <f>E34/($C$34+$D$34+$E$34)</f>
        <v>#DIV/0!</v>
      </c>
      <c r="K35" s="155"/>
    </row>
    <row r="36" spans="1:14" ht="13.5" thickBot="1">
      <c r="A36" s="178"/>
      <c r="B36" s="178"/>
      <c r="C36" s="155"/>
      <c r="D36" s="155"/>
      <c r="E36" s="155"/>
      <c r="G36" s="155"/>
      <c r="H36" s="181"/>
      <c r="I36" s="162" t="s">
        <v>37</v>
      </c>
      <c r="J36" s="162" t="s">
        <v>38</v>
      </c>
      <c r="K36" s="182"/>
    </row>
    <row r="37" spans="1:14" ht="17.45" customHeight="1" thickBot="1">
      <c r="A37" s="763" t="s">
        <v>58</v>
      </c>
      <c r="B37" s="764"/>
      <c r="C37" s="162" t="s">
        <v>59</v>
      </c>
      <c r="D37" s="183" t="s">
        <v>60</v>
      </c>
      <c r="E37" s="184" t="s">
        <v>61</v>
      </c>
      <c r="F37" s="322"/>
      <c r="G37" s="324"/>
      <c r="H37" s="186" t="s">
        <v>62</v>
      </c>
      <c r="I37" s="244">
        <f>(10.3*1440)/1440*G42*2.74*1440/1000000</f>
        <v>0</v>
      </c>
      <c r="J37" s="125" t="e">
        <f>+I37+'27'!J37</f>
        <v>#DIV/0!</v>
      </c>
      <c r="K37" s="126" t="s">
        <v>63</v>
      </c>
    </row>
    <row r="38" spans="1:14" ht="17.45" customHeight="1">
      <c r="A38" s="755" t="s">
        <v>12</v>
      </c>
      <c r="B38" s="756"/>
      <c r="C38" s="164">
        <f>SUMIF($G$7:$G$31,"Process",$F$7:$F$31)</f>
        <v>0</v>
      </c>
      <c r="D38" s="118">
        <f>+C38+'27'!D38</f>
        <v>860</v>
      </c>
      <c r="E38" s="143">
        <f t="shared" ref="E38:E51" si="0">D38/60</f>
        <v>14.333333333333334</v>
      </c>
      <c r="F38" s="322"/>
      <c r="G38" s="322"/>
      <c r="H38" s="187" t="s">
        <v>64</v>
      </c>
      <c r="I38" s="245"/>
      <c r="J38" s="127">
        <f>+I38+'27'!J38</f>
        <v>440.91260000000005</v>
      </c>
      <c r="K38" s="128" t="s">
        <v>63</v>
      </c>
    </row>
    <row r="39" spans="1:14" ht="17.45" customHeight="1">
      <c r="A39" s="759" t="s">
        <v>13</v>
      </c>
      <c r="B39" s="760"/>
      <c r="C39" s="164">
        <f>SUMIF($G$7:$G$31,"Cleaning",$F$7:$F$31)</f>
        <v>0</v>
      </c>
      <c r="D39" s="118">
        <f>+C39+'27'!D39</f>
        <v>0</v>
      </c>
      <c r="E39" s="143">
        <f t="shared" si="0"/>
        <v>0</v>
      </c>
      <c r="F39" s="322"/>
      <c r="G39" s="322"/>
      <c r="H39" s="187" t="s">
        <v>65</v>
      </c>
      <c r="I39" s="142"/>
      <c r="J39" s="129" t="e">
        <f>J37/G4</f>
        <v>#DIV/0!</v>
      </c>
      <c r="K39" s="130" t="s">
        <v>63</v>
      </c>
    </row>
    <row r="40" spans="1:14" ht="17.45" customHeight="1">
      <c r="A40" s="759" t="s">
        <v>66</v>
      </c>
      <c r="B40" s="760"/>
      <c r="C40" s="164">
        <f>SUMIF($G$7:$G$31,"Mechanical",$F$7:$F$31)</f>
        <v>0</v>
      </c>
      <c r="D40" s="118">
        <f>+C40+'27'!D40</f>
        <v>0</v>
      </c>
      <c r="E40" s="143">
        <f t="shared" si="0"/>
        <v>0</v>
      </c>
      <c r="F40" s="322"/>
      <c r="G40" s="322"/>
      <c r="H40" s="187" t="s">
        <v>67</v>
      </c>
      <c r="I40" s="118">
        <f>(K34+L34)/1000</f>
        <v>0</v>
      </c>
      <c r="J40" s="131">
        <f>+I40+'27'!J40</f>
        <v>413.67199999999991</v>
      </c>
      <c r="K40" s="130" t="s">
        <v>63</v>
      </c>
    </row>
    <row r="41" spans="1:14" ht="17.45" customHeight="1">
      <c r="A41" s="759" t="s">
        <v>68</v>
      </c>
      <c r="B41" s="760"/>
      <c r="C41" s="164">
        <f>SUMIF($G$7:$G$31,"Electrical",$F$7:$F$31)</f>
        <v>0</v>
      </c>
      <c r="D41" s="118">
        <f>+C41+'27'!D41</f>
        <v>550</v>
      </c>
      <c r="E41" s="143">
        <f t="shared" si="0"/>
        <v>9.1666666666666661</v>
      </c>
      <c r="F41" s="322"/>
      <c r="G41" s="322"/>
      <c r="H41" s="187" t="s">
        <v>69</v>
      </c>
      <c r="I41" s="142"/>
      <c r="J41" s="129">
        <f>J40/G4</f>
        <v>14.773999999999997</v>
      </c>
      <c r="K41" s="130" t="s">
        <v>63</v>
      </c>
    </row>
    <row r="42" spans="1:14" ht="17.45" customHeight="1">
      <c r="A42" s="759" t="s">
        <v>16</v>
      </c>
      <c r="B42" s="760"/>
      <c r="C42" s="164">
        <f>SUMIF($G$7:$G$31,"Instrument",$F$7:$F$31)</f>
        <v>0</v>
      </c>
      <c r="D42" s="118">
        <f>+C42+'27'!D42</f>
        <v>0</v>
      </c>
      <c r="E42" s="143">
        <f t="shared" si="0"/>
        <v>0</v>
      </c>
      <c r="F42" s="322">
        <f>+(F38*480+F39*480+F40*480)/1440</f>
        <v>0</v>
      </c>
      <c r="G42" s="322">
        <f>+(G38*480+G39*480+G40*480)/1440</f>
        <v>0</v>
      </c>
      <c r="H42" s="187" t="s">
        <v>70</v>
      </c>
      <c r="I42" s="246"/>
      <c r="J42" s="132"/>
      <c r="K42" s="130" t="s">
        <v>71</v>
      </c>
    </row>
    <row r="43" spans="1:14" ht="17.45" customHeight="1">
      <c r="A43" s="759" t="s">
        <v>72</v>
      </c>
      <c r="B43" s="760"/>
      <c r="C43" s="164">
        <f>SUMIF($G$7:$G$31,"Water",$F$7:$F$31)</f>
        <v>0</v>
      </c>
      <c r="D43" s="118">
        <f>+C43+'27'!D43</f>
        <v>0</v>
      </c>
      <c r="E43" s="143">
        <f t="shared" si="0"/>
        <v>0</v>
      </c>
      <c r="F43" s="322"/>
      <c r="G43" s="323"/>
      <c r="H43" s="188" t="s">
        <v>73</v>
      </c>
      <c r="I43" s="118">
        <f>+Report1!Z36</f>
        <v>4.4000000000000004</v>
      </c>
      <c r="J43" s="133">
        <f>+I43+'27'!J43</f>
        <v>773.70000000000016</v>
      </c>
      <c r="K43" s="130" t="s">
        <v>63</v>
      </c>
      <c r="L43" s="189"/>
    </row>
    <row r="44" spans="1:14" ht="17.45" customHeight="1">
      <c r="A44" s="759" t="s">
        <v>17</v>
      </c>
      <c r="B44" s="760"/>
      <c r="C44" s="164">
        <f>SUMIF($G$7:$G$31,"PLN",$F$7:$F$31)</f>
        <v>0</v>
      </c>
      <c r="D44" s="118">
        <f>+C44+'27'!D44</f>
        <v>0</v>
      </c>
      <c r="E44" s="143">
        <f t="shared" si="0"/>
        <v>0</v>
      </c>
      <c r="F44" s="322"/>
      <c r="G44" s="323"/>
      <c r="H44" s="188" t="s">
        <v>74</v>
      </c>
      <c r="I44" s="118" t="e">
        <f>I43/I38</f>
        <v>#DIV/0!</v>
      </c>
      <c r="J44" s="134">
        <f>J43/J38</f>
        <v>1.7547695393599549</v>
      </c>
      <c r="K44" s="130" t="s">
        <v>63</v>
      </c>
    </row>
    <row r="45" spans="1:14" ht="17.45" customHeight="1">
      <c r="A45" s="759" t="s">
        <v>18</v>
      </c>
      <c r="B45" s="760"/>
      <c r="C45" s="164">
        <f>SUMIF($G$7:$G$31,"Boiler",$F$7:$F$31)</f>
        <v>0</v>
      </c>
      <c r="D45" s="118">
        <f>+C45+'27'!D45</f>
        <v>0</v>
      </c>
      <c r="E45" s="143">
        <f t="shared" si="0"/>
        <v>0</v>
      </c>
      <c r="F45" s="322"/>
      <c r="G45" s="325"/>
      <c r="H45" s="188" t="s">
        <v>75</v>
      </c>
      <c r="I45" s="118" t="e">
        <f>I43/I40</f>
        <v>#DIV/0!</v>
      </c>
      <c r="J45" s="134">
        <f>J43/J40</f>
        <v>1.870322381016845</v>
      </c>
      <c r="K45" s="130" t="s">
        <v>63</v>
      </c>
    </row>
    <row r="46" spans="1:14" ht="17.45" customHeight="1">
      <c r="A46" s="759" t="s">
        <v>76</v>
      </c>
      <c r="B46" s="760"/>
      <c r="C46" s="164">
        <f>SUMIF($G$7:$G$31,"Gas",$F$7:$F$31)</f>
        <v>0</v>
      </c>
      <c r="D46" s="118">
        <f>+C46+'27'!D46</f>
        <v>0</v>
      </c>
      <c r="E46" s="143">
        <f t="shared" si="0"/>
        <v>0</v>
      </c>
      <c r="F46" s="322"/>
      <c r="G46" s="323"/>
      <c r="H46" s="188" t="s">
        <v>77</v>
      </c>
      <c r="I46" s="140">
        <f>+SUMIF(Listrik!P35,"&gt;0")</f>
        <v>9007.399999999272</v>
      </c>
      <c r="J46" s="135">
        <f>+I46+'27'!J46</f>
        <v>515462.66000000073</v>
      </c>
      <c r="K46" s="130" t="s">
        <v>78</v>
      </c>
    </row>
    <row r="47" spans="1:14" ht="17.45" customHeight="1">
      <c r="A47" s="759" t="s">
        <v>79</v>
      </c>
      <c r="B47" s="760"/>
      <c r="C47" s="164">
        <f>SUMIF($G$7:$G$31,"Gas",$F$7:$F$31)</f>
        <v>0</v>
      </c>
      <c r="D47" s="118">
        <f>+C47+'27'!D47</f>
        <v>0</v>
      </c>
      <c r="E47" s="143">
        <f t="shared" si="0"/>
        <v>0</v>
      </c>
      <c r="F47" s="322"/>
      <c r="G47" s="323"/>
      <c r="H47" s="188" t="s">
        <v>80</v>
      </c>
      <c r="I47" s="118" t="e">
        <f>I46/I38</f>
        <v>#DIV/0!</v>
      </c>
      <c r="J47" s="135">
        <f>J46/J38</f>
        <v>1169.081264631586</v>
      </c>
      <c r="K47" s="130" t="s">
        <v>24</v>
      </c>
    </row>
    <row r="48" spans="1:14" ht="17.45" customHeight="1">
      <c r="A48" s="759" t="s">
        <v>14</v>
      </c>
      <c r="B48" s="760"/>
      <c r="C48" s="164">
        <f>SUMIF($G$7:$G$31,"Start Up",$F$7:$F$31)</f>
        <v>0</v>
      </c>
      <c r="D48" s="118">
        <f>+C48+'27'!D48</f>
        <v>0</v>
      </c>
      <c r="E48" s="143">
        <f t="shared" si="0"/>
        <v>0</v>
      </c>
      <c r="F48" s="322"/>
      <c r="G48" s="323"/>
      <c r="H48" s="188" t="s">
        <v>81</v>
      </c>
      <c r="I48" s="118" t="e">
        <f>I46/I40</f>
        <v>#DIV/0!</v>
      </c>
      <c r="J48" s="135">
        <f>J46/J40</f>
        <v>1246.0661103482973</v>
      </c>
      <c r="K48" s="130" t="s">
        <v>24</v>
      </c>
    </row>
    <row r="49" spans="1:23" ht="17.45" customHeight="1">
      <c r="A49" s="759" t="s">
        <v>20</v>
      </c>
      <c r="B49" s="760"/>
      <c r="C49" s="164">
        <f>SUMIF($G$7:$G$31,"Others",$F$7:$F$31)</f>
        <v>1440</v>
      </c>
      <c r="D49" s="118">
        <f>+C49+'27'!D49</f>
        <v>22590</v>
      </c>
      <c r="E49" s="143">
        <f t="shared" si="0"/>
        <v>376.5</v>
      </c>
      <c r="F49" s="185"/>
      <c r="H49" s="188" t="s">
        <v>272</v>
      </c>
      <c r="I49" s="118">
        <f>+Report1!T36</f>
        <v>0</v>
      </c>
      <c r="J49" s="135">
        <f>+I49+'27'!J49</f>
        <v>41069.474159648547</v>
      </c>
      <c r="K49" s="130" t="s">
        <v>82</v>
      </c>
    </row>
    <row r="50" spans="1:23" ht="17.45" customHeight="1">
      <c r="A50" s="759" t="s">
        <v>19</v>
      </c>
      <c r="B50" s="760"/>
      <c r="C50" s="164">
        <f>SUMIF($G$7:$G$31,"Steam",$F$7:$F$31)</f>
        <v>0</v>
      </c>
      <c r="D50" s="118">
        <f>+C50+'27'!D50</f>
        <v>0</v>
      </c>
      <c r="E50" s="143">
        <f t="shared" si="0"/>
        <v>0</v>
      </c>
      <c r="F50" s="185"/>
      <c r="H50" s="188" t="s">
        <v>83</v>
      </c>
      <c r="I50" s="140" t="e">
        <f>I49/I38</f>
        <v>#DIV/0!</v>
      </c>
      <c r="J50" s="133">
        <f>J49/J38</f>
        <v>93.146519649582572</v>
      </c>
      <c r="K50" s="130" t="s">
        <v>82</v>
      </c>
    </row>
    <row r="51" spans="1:23" ht="17.45" customHeight="1" thickBot="1">
      <c r="A51" s="753" t="s">
        <v>84</v>
      </c>
      <c r="B51" s="754"/>
      <c r="C51" s="164">
        <f>SUMIF($G$7:$G$31,"Planned shut",$F$7:$F$31)</f>
        <v>0</v>
      </c>
      <c r="D51" s="118">
        <f>+C51+'27'!D51</f>
        <v>1555</v>
      </c>
      <c r="E51" s="143">
        <f t="shared" si="0"/>
        <v>25.916666666666668</v>
      </c>
      <c r="F51" s="185"/>
      <c r="H51" s="190" t="s">
        <v>85</v>
      </c>
      <c r="I51" s="141" t="e">
        <f>I49/I40</f>
        <v>#DIV/0!</v>
      </c>
      <c r="J51" s="136">
        <f>J49/J40</f>
        <v>99.280285249300306</v>
      </c>
      <c r="K51" s="137" t="s">
        <v>82</v>
      </c>
    </row>
    <row r="52" spans="1:23" ht="13.5" thickBot="1">
      <c r="A52" s="755" t="s">
        <v>28</v>
      </c>
      <c r="B52" s="756"/>
      <c r="C52" s="144">
        <f>SUM(C38:C51)</f>
        <v>1440</v>
      </c>
      <c r="D52" s="144">
        <f>SUM(D38:D51)</f>
        <v>25555</v>
      </c>
      <c r="E52" s="145">
        <f>SUM(E38:E51)</f>
        <v>425.91666666666669</v>
      </c>
      <c r="F52" s="185"/>
      <c r="H52" s="191"/>
      <c r="I52" s="192"/>
      <c r="J52" s="138"/>
      <c r="K52" s="139"/>
    </row>
    <row r="53" spans="1:23" ht="13.5" thickBot="1">
      <c r="A53" s="757"/>
      <c r="B53" s="758"/>
      <c r="C53" s="146">
        <f>C52/(24*60)</f>
        <v>1</v>
      </c>
      <c r="D53" s="146">
        <f>D52/(24*60*G4)</f>
        <v>0.63380456349206349</v>
      </c>
      <c r="E53" s="147">
        <f>E52/(G4*24)</f>
        <v>0.63380456349206349</v>
      </c>
      <c r="F53" s="185"/>
    </row>
    <row r="54" spans="1:23">
      <c r="E54" s="193"/>
      <c r="F54" s="185"/>
    </row>
    <row r="55" spans="1:23">
      <c r="E55" s="193"/>
    </row>
    <row r="56" spans="1:23">
      <c r="A56" s="194" t="s">
        <v>86</v>
      </c>
      <c r="B56" s="195"/>
      <c r="C56" s="196"/>
      <c r="D56" s="196"/>
      <c r="E56" s="196"/>
      <c r="F56" s="197"/>
      <c r="G56" s="196"/>
      <c r="H56" s="198"/>
      <c r="I56" s="199" t="s">
        <v>87</v>
      </c>
      <c r="J56" s="200">
        <f>+D34+'27'!J56</f>
        <v>10652</v>
      </c>
      <c r="K56" s="201">
        <f>J56/(J40+J56/1000)/1000</f>
        <v>2.5103458677802816E-2</v>
      </c>
    </row>
    <row r="57" spans="1:23">
      <c r="A57" s="176"/>
      <c r="I57" s="199" t="s">
        <v>88</v>
      </c>
      <c r="J57" s="200">
        <f>+E34+'27'!J57</f>
        <v>0</v>
      </c>
      <c r="K57" s="201">
        <f>J57/(J40+J57/1000)/1000</f>
        <v>0</v>
      </c>
    </row>
    <row r="58" spans="1:23">
      <c r="A58" s="202"/>
      <c r="B58" s="203"/>
      <c r="F58" s="185"/>
      <c r="H58" s="204"/>
    </row>
    <row r="59" spans="1:23">
      <c r="A59" s="205"/>
      <c r="B59" s="176"/>
      <c r="C59" s="176"/>
      <c r="D59" s="176"/>
      <c r="E59" s="176"/>
      <c r="F59" s="189"/>
      <c r="G59" s="176"/>
      <c r="H59" s="204"/>
    </row>
    <row r="60" spans="1:23">
      <c r="H60" s="204"/>
    </row>
    <row r="61" spans="1:23">
      <c r="A61" s="206"/>
      <c r="B61" s="207"/>
      <c r="C61" s="207"/>
      <c r="D61" s="207"/>
      <c r="E61" s="207"/>
      <c r="F61" s="208"/>
      <c r="G61" s="207"/>
      <c r="H61" s="209"/>
      <c r="W61" s="149" t="s">
        <v>0</v>
      </c>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05" right="0.05" top="0.19513888888888889" bottom="0.39027777777777778" header="0" footer="0"/>
  <pageSetup paperSize="9" scale="63"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1"/>
  <sheetViews>
    <sheetView zoomScale="80" zoomScaleNormal="80" workbookViewId="0">
      <selection activeCell="H18" sqref="H18"/>
    </sheetView>
  </sheetViews>
  <sheetFormatPr defaultColWidth="9.140625" defaultRowHeight="12.75"/>
  <cols>
    <col min="1" max="1" width="8" style="149" customWidth="1"/>
    <col min="2" max="2" width="10.7109375" style="149"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28515625" style="149" customWidth="1"/>
    <col min="14" max="16384" width="9.140625" style="149"/>
  </cols>
  <sheetData>
    <row r="1" spans="1:13" ht="15.75">
      <c r="A1" s="148"/>
    </row>
    <row r="2" spans="1:13" ht="15.75">
      <c r="A2" s="148" t="s">
        <v>185</v>
      </c>
    </row>
    <row r="3" spans="1:13" ht="15">
      <c r="A3" s="150"/>
    </row>
    <row r="4" spans="1:13" ht="20.25">
      <c r="A4" s="151" t="s">
        <v>3</v>
      </c>
      <c r="B4" s="152"/>
      <c r="F4" s="153" t="s">
        <v>29</v>
      </c>
      <c r="G4" s="154">
        <v>27</v>
      </c>
      <c r="H4" s="154" t="str">
        <f>+'1'!H4</f>
        <v>.9.25</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c r="E7" s="218"/>
      <c r="F7" s="228"/>
      <c r="G7" s="229" t="s">
        <v>12</v>
      </c>
      <c r="H7" s="230" t="s">
        <v>466</v>
      </c>
      <c r="I7" s="768"/>
      <c r="J7" s="214" t="str">
        <f>+'26'!J7</f>
        <v>F 12 VP OW</v>
      </c>
      <c r="K7" s="238"/>
      <c r="L7" s="242"/>
      <c r="M7" s="117">
        <f>+K7+'26'!M7+L7</f>
        <v>172842</v>
      </c>
    </row>
    <row r="8" spans="1:13" ht="13.5" thickBot="1">
      <c r="A8" s="766"/>
      <c r="B8" s="215"/>
      <c r="C8" s="216"/>
      <c r="D8" s="217"/>
      <c r="E8" s="219"/>
      <c r="F8" s="231"/>
      <c r="G8" s="560" t="s">
        <v>12</v>
      </c>
      <c r="H8" s="230" t="s">
        <v>432</v>
      </c>
      <c r="I8" s="769"/>
      <c r="J8" s="214" t="str">
        <f>+'26'!J8</f>
        <v>F 13 VP OW</v>
      </c>
      <c r="K8" s="239"/>
      <c r="L8" s="239"/>
      <c r="M8" s="117">
        <f>+K8+'26'!M8+L8</f>
        <v>66206</v>
      </c>
    </row>
    <row r="9" spans="1:13" ht="13.5" thickBot="1">
      <c r="A9" s="766"/>
      <c r="B9" s="215"/>
      <c r="C9" s="216"/>
      <c r="D9" s="217"/>
      <c r="E9" s="220"/>
      <c r="F9" s="228"/>
      <c r="G9" s="560" t="s">
        <v>12</v>
      </c>
      <c r="H9" s="233" t="s">
        <v>507</v>
      </c>
      <c r="I9" s="769"/>
      <c r="J9" s="214" t="str">
        <f>+'26'!J9</f>
        <v>F 14 VP OW</v>
      </c>
      <c r="K9" s="239"/>
      <c r="L9" s="239"/>
      <c r="M9" s="117">
        <f>+K9+'26'!M9+L9</f>
        <v>100560</v>
      </c>
    </row>
    <row r="10" spans="1:13" ht="141" thickBot="1">
      <c r="A10" s="766"/>
      <c r="B10" s="215"/>
      <c r="C10" s="216"/>
      <c r="D10" s="217"/>
      <c r="E10" s="219"/>
      <c r="F10" s="228">
        <v>480</v>
      </c>
      <c r="G10" s="237" t="s">
        <v>20</v>
      </c>
      <c r="H10" s="233" t="s">
        <v>627</v>
      </c>
      <c r="I10" s="769"/>
      <c r="J10" s="214" t="str">
        <f>+'26'!J10</f>
        <v>T 12,5 VP OW</v>
      </c>
      <c r="K10" s="239"/>
      <c r="L10" s="239"/>
      <c r="M10" s="117">
        <f>+K10+'26'!M10+L10</f>
        <v>19885</v>
      </c>
    </row>
    <row r="11" spans="1:13" ht="13.5" thickBot="1">
      <c r="A11" s="766"/>
      <c r="B11" s="215"/>
      <c r="C11" s="216"/>
      <c r="D11" s="217"/>
      <c r="E11" s="219"/>
      <c r="F11" s="228"/>
      <c r="G11" s="232"/>
      <c r="H11" s="233"/>
      <c r="I11" s="769"/>
      <c r="J11" s="214" t="str">
        <f>+'26'!J11</f>
        <v>F 12,5 VP OW</v>
      </c>
      <c r="K11" s="239"/>
      <c r="L11" s="239"/>
      <c r="M11" s="117">
        <f>+K11+'26'!M11+L11</f>
        <v>42554</v>
      </c>
    </row>
    <row r="12" spans="1:13" ht="13.5" thickBot="1">
      <c r="A12" s="766"/>
      <c r="B12" s="215"/>
      <c r="C12" s="216"/>
      <c r="D12" s="217"/>
      <c r="E12" s="219"/>
      <c r="F12" s="228"/>
      <c r="G12" s="232"/>
      <c r="H12" s="233"/>
      <c r="I12" s="769"/>
      <c r="J12" s="214" t="str">
        <f>+'26'!J12</f>
        <v>F 13,5 VP OW</v>
      </c>
      <c r="K12" s="239"/>
      <c r="L12" s="239"/>
      <c r="M12" s="117">
        <f>+K12+'26'!M12+L12</f>
        <v>11625</v>
      </c>
    </row>
    <row r="13" spans="1:13" ht="13.5" thickBot="1">
      <c r="A13" s="766"/>
      <c r="B13" s="215"/>
      <c r="C13" s="216"/>
      <c r="D13" s="216"/>
      <c r="E13" s="219"/>
      <c r="F13" s="228"/>
      <c r="G13" s="232"/>
      <c r="H13" s="233"/>
      <c r="I13" s="770"/>
      <c r="J13" s="214">
        <f>+'26'!J13</f>
        <v>0</v>
      </c>
      <c r="K13" s="239"/>
      <c r="L13" s="239"/>
      <c r="M13" s="117">
        <f>+K13+'26'!M13+L13</f>
        <v>0</v>
      </c>
    </row>
    <row r="14" spans="1:13" ht="13.5" thickBot="1">
      <c r="A14" s="767"/>
      <c r="B14" s="165" t="s">
        <v>2</v>
      </c>
      <c r="C14" s="99">
        <f>SUM(C7:C13)</f>
        <v>0</v>
      </c>
      <c r="D14" s="111">
        <f>SUM(D7:D13)</f>
        <v>0</v>
      </c>
      <c r="E14" s="112">
        <f>SUM(E5:E13)</f>
        <v>0</v>
      </c>
      <c r="F14" s="116">
        <f>SUM(F7:F13)</f>
        <v>480</v>
      </c>
      <c r="G14" s="159"/>
      <c r="H14" s="166"/>
      <c r="I14" s="167"/>
      <c r="J14" s="214">
        <f>+'26'!J14</f>
        <v>0</v>
      </c>
      <c r="K14" s="239"/>
      <c r="L14" s="239"/>
      <c r="M14" s="117">
        <f>+K14+'26'!M14+L14</f>
        <v>0</v>
      </c>
    </row>
    <row r="15" spans="1:13" ht="13.5" customHeight="1" thickBot="1">
      <c r="A15" s="765"/>
      <c r="B15" s="165"/>
      <c r="C15" s="113" t="e">
        <f>C14/($C$23+$D$23+$E$23)</f>
        <v>#DIV/0!</v>
      </c>
      <c r="D15" s="114" t="e">
        <f>D14/($C$23+$D$23+$E$23)</f>
        <v>#DIV/0!</v>
      </c>
      <c r="E15" s="115" t="e">
        <f>E14/($C$23+$D$23+$E$23)</f>
        <v>#DIV/0!</v>
      </c>
      <c r="F15" s="228"/>
      <c r="G15" s="229" t="s">
        <v>12</v>
      </c>
      <c r="H15" s="230" t="s">
        <v>466</v>
      </c>
      <c r="I15" s="768"/>
      <c r="J15" s="214">
        <f>+'26'!J15</f>
        <v>0</v>
      </c>
      <c r="K15" s="239"/>
      <c r="L15" s="239"/>
      <c r="M15" s="117">
        <f>+K15+'26'!M15+L15</f>
        <v>0</v>
      </c>
    </row>
    <row r="16" spans="1:13" ht="13.5" thickBot="1">
      <c r="A16" s="771"/>
      <c r="B16" s="215"/>
      <c r="C16" s="222"/>
      <c r="D16" s="223"/>
      <c r="E16" s="224"/>
      <c r="F16" s="231"/>
      <c r="G16" s="560" t="s">
        <v>12</v>
      </c>
      <c r="H16" s="230" t="s">
        <v>432</v>
      </c>
      <c r="I16" s="769"/>
      <c r="J16" s="214">
        <f>+'26'!J16</f>
        <v>0</v>
      </c>
      <c r="K16" s="229"/>
      <c r="L16" s="229"/>
      <c r="M16" s="117">
        <f>+K16+'26'!M16+L16</f>
        <v>0</v>
      </c>
    </row>
    <row r="17" spans="1:13" ht="13.5" thickBot="1">
      <c r="A17" s="771"/>
      <c r="B17" s="215"/>
      <c r="C17" s="216"/>
      <c r="D17" s="217"/>
      <c r="E17" s="225"/>
      <c r="F17" s="228"/>
      <c r="G17" s="560" t="s">
        <v>12</v>
      </c>
      <c r="H17" s="233" t="s">
        <v>507</v>
      </c>
      <c r="I17" s="769"/>
      <c r="J17" s="214">
        <f>+'26'!J17</f>
        <v>0</v>
      </c>
      <c r="K17" s="229"/>
      <c r="L17" s="229"/>
      <c r="M17" s="117">
        <f>+K17+'26'!M17+L17</f>
        <v>0</v>
      </c>
    </row>
    <row r="18" spans="1:13" ht="51.75" thickBot="1">
      <c r="A18" s="771"/>
      <c r="B18" s="215"/>
      <c r="C18" s="216"/>
      <c r="D18" s="217"/>
      <c r="E18" s="225"/>
      <c r="F18" s="228">
        <v>480</v>
      </c>
      <c r="G18" s="237" t="s">
        <v>20</v>
      </c>
      <c r="H18" s="233" t="s">
        <v>626</v>
      </c>
      <c r="I18" s="769"/>
      <c r="J18" s="214">
        <f>+'26'!J18</f>
        <v>0</v>
      </c>
      <c r="K18" s="239"/>
      <c r="L18" s="239"/>
      <c r="M18" s="117">
        <f>+K18+'26'!M18+L18</f>
        <v>0</v>
      </c>
    </row>
    <row r="19" spans="1:13" ht="13.5" thickBot="1">
      <c r="A19" s="771"/>
      <c r="B19" s="215"/>
      <c r="C19" s="216"/>
      <c r="D19" s="217"/>
      <c r="E19" s="225"/>
      <c r="F19" s="235"/>
      <c r="G19" s="232"/>
      <c r="H19" s="233"/>
      <c r="I19" s="769"/>
      <c r="J19" s="214">
        <f>+'26'!J19</f>
        <v>0</v>
      </c>
      <c r="K19" s="239"/>
      <c r="L19" s="239"/>
      <c r="M19" s="117">
        <f>+K19+'26'!M19+L19</f>
        <v>0</v>
      </c>
    </row>
    <row r="20" spans="1:13" ht="13.5" thickBot="1">
      <c r="A20" s="771"/>
      <c r="B20" s="215"/>
      <c r="C20" s="216"/>
      <c r="D20" s="217"/>
      <c r="E20" s="225"/>
      <c r="F20" s="228"/>
      <c r="G20" s="232"/>
      <c r="H20" s="233"/>
      <c r="I20" s="769"/>
      <c r="J20" s="214">
        <f>+'26'!J20</f>
        <v>0</v>
      </c>
      <c r="K20" s="240"/>
      <c r="L20" s="240"/>
      <c r="M20" s="117">
        <f>+K20+'26'!M20+L20</f>
        <v>0</v>
      </c>
    </row>
    <row r="21" spans="1:13" ht="13.5" thickBot="1">
      <c r="A21" s="771"/>
      <c r="B21" s="215"/>
      <c r="C21" s="216"/>
      <c r="D21" s="217"/>
      <c r="E21" s="225"/>
      <c r="F21" s="231"/>
      <c r="G21" s="232"/>
      <c r="H21" s="233"/>
      <c r="I21" s="769"/>
      <c r="J21" s="214">
        <f>+'26'!J21</f>
        <v>0</v>
      </c>
      <c r="K21" s="239"/>
      <c r="L21" s="239"/>
      <c r="M21" s="117">
        <f>+K21+'26'!M21+L21</f>
        <v>0</v>
      </c>
    </row>
    <row r="22" spans="1:13" ht="13.5" thickBot="1">
      <c r="A22" s="771"/>
      <c r="B22" s="215"/>
      <c r="C22" s="216"/>
      <c r="D22" s="217"/>
      <c r="E22" s="225"/>
      <c r="F22" s="236"/>
      <c r="G22" s="232"/>
      <c r="H22" s="233"/>
      <c r="I22" s="770"/>
      <c r="J22" s="214">
        <f>+'26'!J22</f>
        <v>0</v>
      </c>
      <c r="K22" s="239"/>
      <c r="L22" s="239"/>
      <c r="M22" s="117">
        <f>+K22+'26'!M22+L22</f>
        <v>0</v>
      </c>
    </row>
    <row r="23" spans="1:13" ht="13.5" thickBot="1">
      <c r="A23" s="772"/>
      <c r="B23" s="168" t="s">
        <v>2</v>
      </c>
      <c r="C23" s="100">
        <f>SUM(C16:C22)</f>
        <v>0</v>
      </c>
      <c r="D23" s="111">
        <f>SUM(D16:D22)</f>
        <v>0</v>
      </c>
      <c r="E23" s="112">
        <f>SUM(E18:E22)</f>
        <v>0</v>
      </c>
      <c r="F23" s="116">
        <f>SUM(F15:F22)</f>
        <v>480</v>
      </c>
      <c r="G23" s="159"/>
      <c r="H23" s="166"/>
      <c r="I23" s="169"/>
      <c r="J23" s="214">
        <f>+'26'!J23</f>
        <v>0</v>
      </c>
      <c r="K23" s="239"/>
      <c r="L23" s="239"/>
      <c r="M23" s="117">
        <f>+K23+'26'!M23+L23</f>
        <v>0</v>
      </c>
    </row>
    <row r="24" spans="1:13" ht="13.5" customHeight="1" thickBot="1">
      <c r="A24" s="765"/>
      <c r="B24" s="170"/>
      <c r="C24" s="113" t="e">
        <f>C23/($C$23+$D$23+$E$23)</f>
        <v>#DIV/0!</v>
      </c>
      <c r="D24" s="114" t="e">
        <f>D23/($C$23+$D$23+$E$23)</f>
        <v>#DIV/0!</v>
      </c>
      <c r="E24" s="115" t="e">
        <f>E23/($C$23+$D$23+$E$23)</f>
        <v>#DIV/0!</v>
      </c>
      <c r="F24" s="228"/>
      <c r="G24" s="229" t="s">
        <v>12</v>
      </c>
      <c r="H24" s="230" t="s">
        <v>466</v>
      </c>
      <c r="I24" s="768"/>
      <c r="J24" s="214">
        <f>+'26'!J24</f>
        <v>0</v>
      </c>
      <c r="K24" s="239"/>
      <c r="L24" s="239"/>
      <c r="M24" s="117">
        <f>+K24+'26'!M24+L24</f>
        <v>0</v>
      </c>
    </row>
    <row r="25" spans="1:13" ht="13.5" thickBot="1">
      <c r="A25" s="771"/>
      <c r="B25" s="215"/>
      <c r="C25" s="226"/>
      <c r="D25" s="217"/>
      <c r="E25" s="225"/>
      <c r="F25" s="231"/>
      <c r="G25" s="560" t="s">
        <v>12</v>
      </c>
      <c r="H25" s="230" t="s">
        <v>432</v>
      </c>
      <c r="I25" s="769"/>
      <c r="J25" s="214">
        <f>+'26'!J25</f>
        <v>0</v>
      </c>
      <c r="K25" s="239"/>
      <c r="L25" s="239"/>
      <c r="M25" s="117">
        <f>+K25+'26'!M25+L25</f>
        <v>0</v>
      </c>
    </row>
    <row r="26" spans="1:13" ht="13.5" thickBot="1">
      <c r="A26" s="771"/>
      <c r="B26" s="215"/>
      <c r="C26" s="226"/>
      <c r="D26" s="217"/>
      <c r="E26" s="227"/>
      <c r="F26" s="228"/>
      <c r="G26" s="560" t="s">
        <v>12</v>
      </c>
      <c r="H26" s="233" t="s">
        <v>507</v>
      </c>
      <c r="I26" s="769"/>
      <c r="J26" s="214">
        <f>+'26'!J26</f>
        <v>0</v>
      </c>
      <c r="K26" s="239"/>
      <c r="L26" s="239"/>
      <c r="M26" s="117">
        <f>+K26+'26'!M26+L26</f>
        <v>0</v>
      </c>
    </row>
    <row r="27" spans="1:13" ht="13.5" thickBot="1">
      <c r="A27" s="771"/>
      <c r="B27" s="215"/>
      <c r="C27" s="216"/>
      <c r="D27" s="217"/>
      <c r="E27" s="225"/>
      <c r="F27" s="228">
        <v>480</v>
      </c>
      <c r="G27" s="237" t="s">
        <v>20</v>
      </c>
      <c r="H27" s="233" t="s">
        <v>604</v>
      </c>
      <c r="I27" s="769"/>
      <c r="J27" s="214">
        <f>+'26'!J27</f>
        <v>0</v>
      </c>
      <c r="K27" s="239"/>
      <c r="L27" s="239"/>
      <c r="M27" s="117">
        <f>+K27+'26'!M27+L27</f>
        <v>0</v>
      </c>
    </row>
    <row r="28" spans="1:13" ht="13.5" thickBot="1">
      <c r="A28" s="771"/>
      <c r="B28" s="215"/>
      <c r="C28" s="216"/>
      <c r="D28" s="217"/>
      <c r="E28" s="225"/>
      <c r="F28" s="235"/>
      <c r="G28" s="232"/>
      <c r="H28" s="233"/>
      <c r="I28" s="769"/>
      <c r="J28" s="214">
        <f>+'26'!J28</f>
        <v>0</v>
      </c>
      <c r="K28" s="239"/>
      <c r="L28" s="239"/>
      <c r="M28" s="117">
        <f>+K28+'26'!M28+L28</f>
        <v>0</v>
      </c>
    </row>
    <row r="29" spans="1:13" ht="13.5" thickBot="1">
      <c r="A29" s="771"/>
      <c r="B29" s="215"/>
      <c r="C29" s="216"/>
      <c r="D29" s="217"/>
      <c r="E29" s="225"/>
      <c r="F29" s="236"/>
      <c r="G29" s="232"/>
      <c r="H29" s="233"/>
      <c r="I29" s="769"/>
      <c r="J29" s="214">
        <f>+'26'!J29</f>
        <v>0</v>
      </c>
      <c r="K29" s="239"/>
      <c r="L29" s="239"/>
      <c r="M29" s="117">
        <f>+K29+'26'!M29+L29</f>
        <v>0</v>
      </c>
    </row>
    <row r="30" spans="1:13" ht="13.5" thickBot="1">
      <c r="A30" s="771"/>
      <c r="B30" s="215"/>
      <c r="C30" s="226"/>
      <c r="D30" s="217"/>
      <c r="E30" s="225"/>
      <c r="F30" s="236"/>
      <c r="G30" s="232"/>
      <c r="H30" s="233"/>
      <c r="I30" s="769"/>
      <c r="J30" s="214">
        <f>+'26'!J30</f>
        <v>0</v>
      </c>
      <c r="K30" s="239"/>
      <c r="L30" s="239"/>
      <c r="M30" s="117">
        <f>+K30+'26'!M30+L30</f>
        <v>0</v>
      </c>
    </row>
    <row r="31" spans="1:13" ht="13.5" thickBot="1">
      <c r="A31" s="771"/>
      <c r="B31" s="215"/>
      <c r="C31" s="226"/>
      <c r="D31" s="217"/>
      <c r="E31" s="225"/>
      <c r="F31" s="236"/>
      <c r="G31" s="237"/>
      <c r="H31" s="445"/>
      <c r="I31" s="770"/>
      <c r="J31" s="214">
        <f>+'26'!J31</f>
        <v>0</v>
      </c>
      <c r="K31" s="239"/>
      <c r="L31" s="239"/>
      <c r="M31" s="117">
        <f>+K31+'26'!M31+L31</f>
        <v>0</v>
      </c>
    </row>
    <row r="32" spans="1:13" ht="13.5" thickBot="1">
      <c r="A32" s="772"/>
      <c r="B32" s="165" t="s">
        <v>2</v>
      </c>
      <c r="C32" s="99">
        <f>SUM(C25:C31)</f>
        <v>0</v>
      </c>
      <c r="D32" s="100">
        <f>SUM(D25:D31)</f>
        <v>0</v>
      </c>
      <c r="E32" s="101">
        <f>SUM(E25:E31)</f>
        <v>0</v>
      </c>
      <c r="F32" s="102">
        <f>SUM(F24:F31)</f>
        <v>480</v>
      </c>
      <c r="G32" s="171"/>
      <c r="H32" s="172"/>
      <c r="I32" s="169"/>
      <c r="J32" s="214">
        <f>+'26'!J32</f>
        <v>0</v>
      </c>
      <c r="K32" s="241"/>
      <c r="L32" s="243"/>
      <c r="M32" s="117">
        <f>+K32+'26'!M32+L32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9"/>
      <c r="G37" s="324"/>
      <c r="H37" s="186" t="s">
        <v>62</v>
      </c>
      <c r="I37" s="244">
        <f>(10.3*1440)/1440*G42*2.74*1440/1000000</f>
        <v>0</v>
      </c>
      <c r="J37" s="125" t="e">
        <f>+I37+'26'!J37</f>
        <v>#DIV/0!</v>
      </c>
      <c r="K37" s="126" t="s">
        <v>63</v>
      </c>
    </row>
    <row r="38" spans="1:13" ht="17.45" customHeight="1">
      <c r="A38" s="755" t="s">
        <v>12</v>
      </c>
      <c r="B38" s="756"/>
      <c r="C38" s="164">
        <f>SUMIF($G$7:$G$31,"Process",$F$7:$F$31)</f>
        <v>0</v>
      </c>
      <c r="D38" s="118">
        <f>+C38+'26'!D38</f>
        <v>860</v>
      </c>
      <c r="E38" s="143">
        <f t="shared" ref="E38:E51" si="0">D38/60</f>
        <v>14.333333333333334</v>
      </c>
      <c r="F38" s="322"/>
      <c r="G38" s="322"/>
      <c r="H38" s="187" t="s">
        <v>64</v>
      </c>
      <c r="I38" s="245"/>
      <c r="J38" s="127">
        <f>+I38+'26'!J38</f>
        <v>440.91260000000005</v>
      </c>
      <c r="K38" s="128" t="s">
        <v>63</v>
      </c>
    </row>
    <row r="39" spans="1:13" ht="17.45" customHeight="1">
      <c r="A39" s="759" t="s">
        <v>13</v>
      </c>
      <c r="B39" s="760"/>
      <c r="C39" s="164">
        <f>SUMIF($G$7:$G$31,"Cleaning",$F$7:$F$31)</f>
        <v>0</v>
      </c>
      <c r="D39" s="118">
        <f>+C39+'26'!D39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+C40+'26'!D40</f>
        <v>0</v>
      </c>
      <c r="E40" s="143">
        <f t="shared" si="0"/>
        <v>0</v>
      </c>
      <c r="F40" s="322"/>
      <c r="G40" s="322"/>
      <c r="H40" s="187" t="s">
        <v>67</v>
      </c>
      <c r="I40" s="118">
        <f>(K34+L34)/1000</f>
        <v>0</v>
      </c>
      <c r="J40" s="131">
        <f>+I40+'26'!J40</f>
        <v>413.67199999999991</v>
      </c>
      <c r="K40" s="130" t="s">
        <v>63</v>
      </c>
    </row>
    <row r="41" spans="1:13" ht="17.45" customHeight="1">
      <c r="A41" s="759" t="s">
        <v>68</v>
      </c>
      <c r="B41" s="760"/>
      <c r="C41" s="164">
        <f>SUMIF($G$7:$G$31,"Electrical",$F$7:$F$31)</f>
        <v>0</v>
      </c>
      <c r="D41" s="118">
        <f>+C41+'26'!D41</f>
        <v>550</v>
      </c>
      <c r="E41" s="143">
        <f t="shared" si="0"/>
        <v>9.1666666666666661</v>
      </c>
      <c r="F41" s="322"/>
      <c r="G41" s="322"/>
      <c r="H41" s="187" t="s">
        <v>69</v>
      </c>
      <c r="I41" s="142"/>
      <c r="J41" s="129">
        <f>J40/G4</f>
        <v>15.321185185185183</v>
      </c>
      <c r="K41" s="130" t="s">
        <v>63</v>
      </c>
    </row>
    <row r="42" spans="1:13" ht="17.45" customHeight="1">
      <c r="A42" s="759" t="s">
        <v>16</v>
      </c>
      <c r="B42" s="760"/>
      <c r="C42" s="164">
        <f>SUMIF($G$7:$G$31,"Instrument",$F$7:$F$31)</f>
        <v>0</v>
      </c>
      <c r="D42" s="118">
        <f>+C42+'26'!D42</f>
        <v>0</v>
      </c>
      <c r="E42" s="143">
        <f t="shared" si="0"/>
        <v>0</v>
      </c>
      <c r="F42" s="322"/>
      <c r="G42" s="322">
        <f>+(480*G38+480*G39+480*G40)/1440</f>
        <v>0</v>
      </c>
      <c r="H42" s="187" t="s">
        <v>70</v>
      </c>
      <c r="I42" s="246"/>
      <c r="J42" s="132"/>
      <c r="K42" s="130" t="s">
        <v>71</v>
      </c>
    </row>
    <row r="43" spans="1:13" ht="17.45" customHeight="1">
      <c r="A43" s="759" t="s">
        <v>72</v>
      </c>
      <c r="B43" s="760"/>
      <c r="C43" s="164">
        <f>SUMIF($G$7:$G$31,"Water",$F$7:$F$31)</f>
        <v>0</v>
      </c>
      <c r="D43" s="118">
        <f>+C43+'26'!D43</f>
        <v>0</v>
      </c>
      <c r="E43" s="143">
        <f t="shared" si="0"/>
        <v>0</v>
      </c>
      <c r="F43" s="322"/>
      <c r="G43" s="323"/>
      <c r="H43" s="188" t="s">
        <v>73</v>
      </c>
      <c r="I43" s="118">
        <f>+Report1!Z35</f>
        <v>3.6</v>
      </c>
      <c r="J43" s="133">
        <f>+I43+'26'!J43</f>
        <v>769.30000000000018</v>
      </c>
      <c r="K43" s="130" t="s">
        <v>63</v>
      </c>
      <c r="L43" s="189"/>
    </row>
    <row r="44" spans="1:13" ht="17.45" customHeight="1">
      <c r="A44" s="759" t="s">
        <v>17</v>
      </c>
      <c r="B44" s="760"/>
      <c r="C44" s="164">
        <f>SUMIF($G$7:$G$31,"PLN",$F$7:$F$31)</f>
        <v>0</v>
      </c>
      <c r="D44" s="118">
        <f>+C44+'26'!D44</f>
        <v>0</v>
      </c>
      <c r="E44" s="143">
        <f t="shared" si="0"/>
        <v>0</v>
      </c>
      <c r="F44" s="322"/>
      <c r="G44" s="323"/>
      <c r="H44" s="188" t="s">
        <v>74</v>
      </c>
      <c r="I44" s="118" t="e">
        <f>I43/I38</f>
        <v>#DIV/0!</v>
      </c>
      <c r="J44" s="134">
        <f>J43/J38</f>
        <v>1.7447902373395545</v>
      </c>
      <c r="K44" s="130" t="s">
        <v>63</v>
      </c>
    </row>
    <row r="45" spans="1:13" ht="17.45" customHeight="1">
      <c r="A45" s="759" t="s">
        <v>18</v>
      </c>
      <c r="B45" s="760"/>
      <c r="C45" s="164">
        <f>SUMIF($G$7:$G$31,"Boiler",$F$7:$F$31)</f>
        <v>0</v>
      </c>
      <c r="D45" s="118">
        <f>+C45+'26'!D45</f>
        <v>0</v>
      </c>
      <c r="E45" s="143">
        <f t="shared" si="0"/>
        <v>0</v>
      </c>
      <c r="F45" s="322"/>
      <c r="G45" s="325"/>
      <c r="H45" s="188" t="s">
        <v>75</v>
      </c>
      <c r="I45" s="118" t="e">
        <f>I43/I40</f>
        <v>#DIV/0!</v>
      </c>
      <c r="J45" s="134">
        <f>J43/J40</f>
        <v>1.8596859347502377</v>
      </c>
      <c r="K45" s="130" t="s">
        <v>63</v>
      </c>
    </row>
    <row r="46" spans="1:13" ht="17.45" customHeight="1">
      <c r="A46" s="759" t="s">
        <v>76</v>
      </c>
      <c r="B46" s="760"/>
      <c r="C46" s="164">
        <f>SUMIF($G$7:$G$31,"Gas",$F$7:$F$31)</f>
        <v>0</v>
      </c>
      <c r="D46" s="118">
        <f>+C46+'26'!D46</f>
        <v>0</v>
      </c>
      <c r="E46" s="143">
        <f t="shared" si="0"/>
        <v>0</v>
      </c>
      <c r="F46" s="322"/>
      <c r="G46" s="323"/>
      <c r="H46" s="188" t="s">
        <v>77</v>
      </c>
      <c r="I46" s="140">
        <f>+SUMIF(Listrik!P34,"&gt;0")</f>
        <v>6030.3000000014545</v>
      </c>
      <c r="J46" s="135">
        <f>+I46+'26'!J46</f>
        <v>506455.26000000146</v>
      </c>
      <c r="K46" s="130" t="s">
        <v>78</v>
      </c>
    </row>
    <row r="47" spans="1:13" ht="17.45" customHeight="1">
      <c r="A47" s="759" t="s">
        <v>79</v>
      </c>
      <c r="B47" s="760"/>
      <c r="C47" s="164">
        <f>SUMIF($G$7:$G$31,"Gas",$F$7:$F$31)</f>
        <v>0</v>
      </c>
      <c r="D47" s="118">
        <f>+C47+'26'!D47</f>
        <v>0</v>
      </c>
      <c r="E47" s="143">
        <f t="shared" si="0"/>
        <v>0</v>
      </c>
      <c r="F47" s="322"/>
      <c r="G47" s="323"/>
      <c r="H47" s="188" t="s">
        <v>80</v>
      </c>
      <c r="I47" s="118" t="e">
        <f>I46/I38</f>
        <v>#DIV/0!</v>
      </c>
      <c r="J47" s="135">
        <f>J46/J38</f>
        <v>1148.6522725819163</v>
      </c>
      <c r="K47" s="130" t="s">
        <v>24</v>
      </c>
    </row>
    <row r="48" spans="1:13" ht="17.45" customHeight="1">
      <c r="A48" s="759" t="s">
        <v>14</v>
      </c>
      <c r="B48" s="760"/>
      <c r="C48" s="164">
        <f>SUMIF($G$7:$G$31,"Start Up",$F$7:$F$31)</f>
        <v>0</v>
      </c>
      <c r="D48" s="118">
        <f>+C48+'26'!D48</f>
        <v>0</v>
      </c>
      <c r="E48" s="143">
        <f t="shared" si="0"/>
        <v>0</v>
      </c>
      <c r="F48" s="322"/>
      <c r="G48" s="323"/>
      <c r="H48" s="188" t="s">
        <v>81</v>
      </c>
      <c r="I48" s="118" t="e">
        <f>I46/I40</f>
        <v>#DIV/0!</v>
      </c>
      <c r="J48" s="135">
        <f>J46/J40</f>
        <v>1224.291854416063</v>
      </c>
      <c r="K48" s="130" t="s">
        <v>24</v>
      </c>
    </row>
    <row r="49" spans="1:11" ht="17.45" customHeight="1">
      <c r="A49" s="759" t="s">
        <v>20</v>
      </c>
      <c r="B49" s="760"/>
      <c r="C49" s="164">
        <f>SUMIF($G$7:$G$31,"Others",$F$7:$F$31)</f>
        <v>1440</v>
      </c>
      <c r="D49" s="118">
        <f>+C49+'26'!D49</f>
        <v>21150</v>
      </c>
      <c r="E49" s="143">
        <f t="shared" si="0"/>
        <v>352.5</v>
      </c>
      <c r="F49" s="185"/>
      <c r="H49" s="188" t="s">
        <v>272</v>
      </c>
      <c r="I49" s="118">
        <f>+Report1!T35</f>
        <v>0</v>
      </c>
      <c r="J49" s="135">
        <f>+I49+'26'!J49</f>
        <v>41069.474159648547</v>
      </c>
      <c r="K49" s="130" t="s">
        <v>82</v>
      </c>
    </row>
    <row r="50" spans="1:11" ht="17.45" customHeight="1">
      <c r="A50" s="759" t="s">
        <v>19</v>
      </c>
      <c r="B50" s="760"/>
      <c r="C50" s="164">
        <f>SUMIF($G$7:$G$31,"Steam",$F$7:$F$31)</f>
        <v>0</v>
      </c>
      <c r="D50" s="118">
        <f>+C50+'26'!D50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+C51+'26'!D51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24115</v>
      </c>
      <c r="E52" s="145">
        <f>SUM(E38:E51)</f>
        <v>401.91666666666669</v>
      </c>
      <c r="F52" s="185"/>
      <c r="H52" s="191"/>
      <c r="I52" s="192"/>
      <c r="J52" s="138"/>
      <c r="K52" s="139"/>
    </row>
    <row r="53" spans="1:11" ht="13.5" thickBot="1">
      <c r="A53" s="757"/>
      <c r="B53" s="758"/>
      <c r="C53" s="146">
        <f>C52/(24*60)</f>
        <v>1</v>
      </c>
      <c r="D53" s="146">
        <f>D52/(24*60*G4)</f>
        <v>0.62024176954732513</v>
      </c>
      <c r="E53" s="147">
        <f>E52/(G4*24)</f>
        <v>0.62024176954732513</v>
      </c>
      <c r="F53" s="185"/>
    </row>
    <row r="54" spans="1:11">
      <c r="E54" s="193"/>
      <c r="F54" s="185"/>
    </row>
    <row r="55" spans="1:11">
      <c r="E55" s="193"/>
    </row>
    <row r="56" spans="1:11">
      <c r="A56" s="194" t="s">
        <v>86</v>
      </c>
      <c r="B56" s="195"/>
      <c r="C56" s="196"/>
      <c r="D56" s="196"/>
      <c r="E56" s="196"/>
      <c r="F56" s="197"/>
      <c r="G56" s="196"/>
      <c r="H56" s="198"/>
      <c r="I56" s="199" t="s">
        <v>87</v>
      </c>
      <c r="J56" s="200">
        <f>+D34+'26'!J56</f>
        <v>10652</v>
      </c>
      <c r="K56" s="201">
        <f>J56/(J40+J56/1000)/1000</f>
        <v>2.5103458677802816E-2</v>
      </c>
    </row>
    <row r="57" spans="1:11">
      <c r="A57" s="176"/>
      <c r="I57" s="199" t="s">
        <v>88</v>
      </c>
      <c r="J57" s="200">
        <f>+E34+'26'!J57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A37:B37"/>
    <mergeCell ref="A38:B38"/>
    <mergeCell ref="A24:A32"/>
    <mergeCell ref="I24:I31"/>
    <mergeCell ref="I7:I13"/>
    <mergeCell ref="A15:A23"/>
    <mergeCell ref="I15:I22"/>
    <mergeCell ref="A34:B34"/>
    <mergeCell ref="A7:A14"/>
  </mergeCells>
  <phoneticPr fontId="32" type="noConversion"/>
  <printOptions horizontalCentered="1"/>
  <pageMargins left="0.74791666666666667" right="0.74791666666666667" top="0.39027777777777778" bottom="0.39027777777777778" header="0" footer="0"/>
  <pageSetup paperSize="9" scale="63" firstPageNumber="4294963191" orientation="landscape"/>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zoomScale="80" zoomScaleNormal="80" workbookViewId="0">
      <selection activeCell="F7" sqref="F7:F30"/>
    </sheetView>
  </sheetViews>
  <sheetFormatPr defaultColWidth="9.140625" defaultRowHeight="12.75"/>
  <cols>
    <col min="1" max="1" width="8" style="149" customWidth="1"/>
    <col min="2" max="2" width="7" style="149" bestFit="1" customWidth="1"/>
    <col min="3" max="3" width="1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7.140625" style="149" customWidth="1"/>
    <col min="14" max="16384" width="9.140625" style="149"/>
  </cols>
  <sheetData>
    <row r="1" spans="1:18" ht="15.75">
      <c r="A1" s="148"/>
    </row>
    <row r="2" spans="1:18" ht="15.75">
      <c r="A2" s="148" t="s">
        <v>185</v>
      </c>
    </row>
    <row r="3" spans="1:18" ht="15">
      <c r="A3" s="150"/>
    </row>
    <row r="4" spans="1:18" ht="20.25">
      <c r="A4" s="151" t="s">
        <v>3</v>
      </c>
      <c r="B4" s="152"/>
      <c r="F4" s="153" t="s">
        <v>29</v>
      </c>
      <c r="G4" s="154">
        <v>26</v>
      </c>
      <c r="H4" s="154" t="str">
        <f>+'1'!H4</f>
        <v>.9.25</v>
      </c>
    </row>
    <row r="5" spans="1:18" ht="13.5" thickBot="1">
      <c r="C5" s="155"/>
      <c r="D5" s="155"/>
    </row>
    <row r="6" spans="1:18"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8" ht="13.5" customHeight="1" thickBot="1">
      <c r="A7" s="765"/>
      <c r="B7" s="215"/>
      <c r="C7" s="216"/>
      <c r="D7" s="217"/>
      <c r="E7" s="218"/>
      <c r="F7" s="228"/>
      <c r="G7" s="229" t="s">
        <v>12</v>
      </c>
      <c r="H7" s="230" t="s">
        <v>466</v>
      </c>
      <c r="I7" s="768"/>
      <c r="J7" s="214" t="str">
        <f>+'25'!J7</f>
        <v>F 12 VP OW</v>
      </c>
      <c r="K7" s="238">
        <f>+C26</f>
        <v>0</v>
      </c>
      <c r="L7" s="242"/>
      <c r="M7" s="117">
        <f>+K7+'25'!M7+L7</f>
        <v>172842</v>
      </c>
    </row>
    <row r="8" spans="1:18" ht="13.5" thickBot="1">
      <c r="A8" s="766"/>
      <c r="B8" s="215"/>
      <c r="C8" s="216"/>
      <c r="D8" s="217"/>
      <c r="E8" s="219"/>
      <c r="F8" s="231"/>
      <c r="G8" s="560" t="s">
        <v>12</v>
      </c>
      <c r="H8" s="230" t="s">
        <v>432</v>
      </c>
      <c r="I8" s="769"/>
      <c r="J8" s="214" t="str">
        <f>+'25'!J8</f>
        <v>F 13 VP OW</v>
      </c>
      <c r="K8" s="239">
        <f>+C34-K7</f>
        <v>0</v>
      </c>
      <c r="L8" s="239"/>
      <c r="M8" s="117">
        <f>+K8+'25'!M8+L8</f>
        <v>66206</v>
      </c>
    </row>
    <row r="9" spans="1:18" ht="13.5" thickBot="1">
      <c r="A9" s="766"/>
      <c r="B9" s="215"/>
      <c r="C9" s="216"/>
      <c r="D9" s="217"/>
      <c r="E9" s="220"/>
      <c r="F9" s="228"/>
      <c r="G9" s="560" t="s">
        <v>12</v>
      </c>
      <c r="H9" s="233" t="s">
        <v>507</v>
      </c>
      <c r="I9" s="769"/>
      <c r="J9" s="214" t="str">
        <f>+'25'!J9</f>
        <v>F 14 VP OW</v>
      </c>
      <c r="K9" s="239"/>
      <c r="L9" s="239"/>
      <c r="M9" s="117">
        <f>+K9+'25'!M9+L9</f>
        <v>100560</v>
      </c>
      <c r="Q9" s="149">
        <f>+N9*P9</f>
        <v>0</v>
      </c>
      <c r="R9" s="149">
        <f>+O9*P9</f>
        <v>0</v>
      </c>
    </row>
    <row r="10" spans="1:18" ht="13.5" thickBot="1">
      <c r="A10" s="766"/>
      <c r="B10" s="215"/>
      <c r="C10" s="216"/>
      <c r="D10" s="217"/>
      <c r="E10" s="219"/>
      <c r="F10" s="228">
        <v>480</v>
      </c>
      <c r="G10" s="237" t="s">
        <v>20</v>
      </c>
      <c r="H10" s="233" t="s">
        <v>604</v>
      </c>
      <c r="I10" s="769"/>
      <c r="J10" s="214" t="str">
        <f>+'25'!J10</f>
        <v>T 12,5 VP OW</v>
      </c>
      <c r="K10" s="239"/>
      <c r="L10" s="239"/>
      <c r="M10" s="117">
        <f>+K10+'25'!M10+L10</f>
        <v>19885</v>
      </c>
      <c r="Q10" s="149">
        <f>+N10*P10</f>
        <v>0</v>
      </c>
      <c r="R10" s="149">
        <f>+O10*P10</f>
        <v>0</v>
      </c>
    </row>
    <row r="11" spans="1:18" ht="51.75" thickBot="1">
      <c r="A11" s="766"/>
      <c r="B11" s="215"/>
      <c r="C11" s="216"/>
      <c r="D11" s="217"/>
      <c r="E11" s="219"/>
      <c r="F11" s="228"/>
      <c r="G11" s="232"/>
      <c r="H11" s="233" t="s">
        <v>623</v>
      </c>
      <c r="I11" s="769"/>
      <c r="J11" s="214" t="str">
        <f>+'25'!J11</f>
        <v>F 12,5 VP OW</v>
      </c>
      <c r="K11" s="239"/>
      <c r="L11" s="239"/>
      <c r="M11" s="117">
        <f>+K11+'25'!M11+L11</f>
        <v>42554</v>
      </c>
      <c r="Q11" s="149">
        <f>+N11*P11</f>
        <v>0</v>
      </c>
      <c r="R11" s="149">
        <f>+O11*P11</f>
        <v>0</v>
      </c>
    </row>
    <row r="12" spans="1:18" ht="13.5" thickBot="1">
      <c r="A12" s="766"/>
      <c r="B12" s="215"/>
      <c r="C12" s="216"/>
      <c r="D12" s="217"/>
      <c r="E12" s="219"/>
      <c r="F12" s="228"/>
      <c r="G12" s="232"/>
      <c r="H12" s="233"/>
      <c r="I12" s="769"/>
      <c r="J12" s="214" t="str">
        <f>+'25'!J12</f>
        <v>F 13,5 VP OW</v>
      </c>
      <c r="K12" s="239"/>
      <c r="L12" s="239"/>
      <c r="M12" s="117">
        <f>+K12+'25'!M12+L12</f>
        <v>11625</v>
      </c>
      <c r="Q12" s="149">
        <f>+N12*P12</f>
        <v>0</v>
      </c>
      <c r="R12" s="149">
        <f>+O12*P12</f>
        <v>0</v>
      </c>
    </row>
    <row r="13" spans="1:18" ht="13.5" thickBot="1">
      <c r="A13" s="766"/>
      <c r="B13" s="215"/>
      <c r="C13" s="216"/>
      <c r="D13" s="216"/>
      <c r="E13" s="219"/>
      <c r="F13" s="228"/>
      <c r="G13" s="232"/>
      <c r="H13" s="233"/>
      <c r="I13" s="770"/>
      <c r="J13" s="214">
        <f>+'25'!J13</f>
        <v>0</v>
      </c>
      <c r="K13" s="239"/>
      <c r="L13" s="239"/>
      <c r="M13" s="117">
        <f>+K13+'25'!M13+L13</f>
        <v>0</v>
      </c>
      <c r="P13" s="176"/>
      <c r="Q13" s="176">
        <f>SUM(Q9:Q12)</f>
        <v>0</v>
      </c>
      <c r="R13" s="176">
        <f>SUM(R9:R12)</f>
        <v>0</v>
      </c>
    </row>
    <row r="14" spans="1:18" ht="13.5" thickBot="1">
      <c r="A14" s="767"/>
      <c r="B14" s="165" t="s">
        <v>2</v>
      </c>
      <c r="C14" s="99">
        <f>SUM(C7:C13)</f>
        <v>0</v>
      </c>
      <c r="D14" s="111">
        <f>SUM(D7:D13)</f>
        <v>0</v>
      </c>
      <c r="E14" s="112">
        <f>SUM(E5:E13)</f>
        <v>0</v>
      </c>
      <c r="F14" s="116">
        <f>SUM(F7:F13)</f>
        <v>480</v>
      </c>
      <c r="G14" s="159"/>
      <c r="H14" s="166"/>
      <c r="I14" s="167"/>
      <c r="J14" s="214">
        <f>+'25'!J14</f>
        <v>0</v>
      </c>
      <c r="K14" s="239"/>
      <c r="L14" s="239"/>
      <c r="M14" s="117">
        <f>+K14+'25'!M14+L14</f>
        <v>0</v>
      </c>
      <c r="Q14" s="176" t="e">
        <f>+Q13/P13</f>
        <v>#DIV/0!</v>
      </c>
      <c r="R14" s="176" t="e">
        <f>+R13/P13</f>
        <v>#DIV/0!</v>
      </c>
    </row>
    <row r="15" spans="1:18" ht="13.5" customHeight="1" thickBot="1">
      <c r="A15" s="765"/>
      <c r="B15" s="165"/>
      <c r="C15" s="113" t="e">
        <f>C14/($C$23+$D$23+$E$23)</f>
        <v>#DIV/0!</v>
      </c>
      <c r="D15" s="114" t="e">
        <f>D14/($C$23+$D$23+$E$23)</f>
        <v>#DIV/0!</v>
      </c>
      <c r="E15" s="115" t="e">
        <f>E14/($C$23+$D$23+$E$23)</f>
        <v>#DIV/0!</v>
      </c>
      <c r="F15" s="228"/>
      <c r="G15" s="229" t="s">
        <v>12</v>
      </c>
      <c r="H15" s="230" t="s">
        <v>466</v>
      </c>
      <c r="I15" s="768"/>
      <c r="J15" s="214">
        <f>+'25'!J15</f>
        <v>0</v>
      </c>
      <c r="K15" s="239"/>
      <c r="L15" s="239"/>
      <c r="M15" s="117">
        <f>+K15+'25'!M15+L15</f>
        <v>0</v>
      </c>
    </row>
    <row r="16" spans="1:18" ht="13.5" thickBot="1">
      <c r="A16" s="771"/>
      <c r="B16" s="215"/>
      <c r="C16" s="222"/>
      <c r="D16" s="223"/>
      <c r="E16" s="224"/>
      <c r="F16" s="231"/>
      <c r="G16" s="560" t="s">
        <v>12</v>
      </c>
      <c r="H16" s="230" t="s">
        <v>432</v>
      </c>
      <c r="I16" s="769"/>
      <c r="J16" s="214">
        <f>+'25'!J16</f>
        <v>0</v>
      </c>
      <c r="K16" s="229"/>
      <c r="L16" s="229"/>
      <c r="M16" s="117">
        <f>+K16+'25'!M16+L16</f>
        <v>0</v>
      </c>
    </row>
    <row r="17" spans="1:18" ht="13.5" thickBot="1">
      <c r="A17" s="771"/>
      <c r="B17" s="215"/>
      <c r="C17" s="216"/>
      <c r="D17" s="217"/>
      <c r="E17" s="225"/>
      <c r="F17" s="228"/>
      <c r="G17" s="560" t="s">
        <v>12</v>
      </c>
      <c r="H17" s="233" t="s">
        <v>507</v>
      </c>
      <c r="I17" s="769"/>
      <c r="J17" s="214">
        <f>+'25'!J17</f>
        <v>0</v>
      </c>
      <c r="K17" s="229"/>
      <c r="L17" s="229"/>
      <c r="M17" s="117">
        <f>+K17+'25'!M17+L17</f>
        <v>0</v>
      </c>
    </row>
    <row r="18" spans="1:18" ht="13.5" thickBot="1">
      <c r="A18" s="771"/>
      <c r="B18" s="215"/>
      <c r="C18" s="216"/>
      <c r="D18" s="217"/>
      <c r="E18" s="225"/>
      <c r="F18" s="228">
        <v>480</v>
      </c>
      <c r="G18" s="237" t="s">
        <v>20</v>
      </c>
      <c r="H18" s="233" t="s">
        <v>604</v>
      </c>
      <c r="I18" s="769"/>
      <c r="J18" s="214">
        <f>+'25'!J18</f>
        <v>0</v>
      </c>
      <c r="K18" s="239"/>
      <c r="L18" s="239"/>
      <c r="M18" s="117">
        <f>+K18+'25'!M18+L18</f>
        <v>0</v>
      </c>
    </row>
    <row r="19" spans="1:18" ht="77.25" thickBot="1">
      <c r="A19" s="771"/>
      <c r="B19" s="215"/>
      <c r="C19" s="216"/>
      <c r="D19" s="217"/>
      <c r="E19" s="225"/>
      <c r="F19" s="235"/>
      <c r="G19" s="232"/>
      <c r="H19" s="233" t="s">
        <v>622</v>
      </c>
      <c r="I19" s="769"/>
      <c r="J19" s="214">
        <f>+'25'!J19</f>
        <v>0</v>
      </c>
      <c r="K19" s="239"/>
      <c r="L19" s="239"/>
      <c r="M19" s="117">
        <f>+K19+'25'!M19+L19</f>
        <v>0</v>
      </c>
      <c r="P19" s="149">
        <f>480-44</f>
        <v>436</v>
      </c>
      <c r="R19" s="149">
        <f>304+132</f>
        <v>436</v>
      </c>
    </row>
    <row r="20" spans="1:18" ht="13.5" thickBot="1">
      <c r="A20" s="771"/>
      <c r="B20" s="215"/>
      <c r="C20" s="216"/>
      <c r="D20" s="217"/>
      <c r="E20" s="225"/>
      <c r="F20" s="228"/>
      <c r="G20" s="232"/>
      <c r="H20" s="233"/>
      <c r="I20" s="769"/>
      <c r="J20" s="214">
        <f>+'25'!J20</f>
        <v>0</v>
      </c>
      <c r="K20" s="240"/>
      <c r="L20" s="240"/>
      <c r="M20" s="117">
        <f>+K20+'25'!M20+L20</f>
        <v>0</v>
      </c>
    </row>
    <row r="21" spans="1:18" ht="13.5" thickBot="1">
      <c r="A21" s="771"/>
      <c r="B21" s="215"/>
      <c r="C21" s="216"/>
      <c r="D21" s="217"/>
      <c r="E21" s="225"/>
      <c r="F21" s="231"/>
      <c r="G21" s="232"/>
      <c r="H21" s="233"/>
      <c r="I21" s="769"/>
      <c r="J21" s="214">
        <f>+'25'!J21</f>
        <v>0</v>
      </c>
      <c r="K21" s="239"/>
      <c r="L21" s="239"/>
      <c r="M21" s="117">
        <f>+K21+'25'!M21+L21</f>
        <v>0</v>
      </c>
    </row>
    <row r="22" spans="1:18" ht="13.5" thickBot="1">
      <c r="A22" s="771"/>
      <c r="B22" s="215"/>
      <c r="C22" s="216"/>
      <c r="D22" s="217"/>
      <c r="E22" s="225"/>
      <c r="F22" s="236"/>
      <c r="G22" s="232"/>
      <c r="H22" s="233"/>
      <c r="I22" s="770"/>
      <c r="J22" s="214">
        <f>+'25'!J22</f>
        <v>0</v>
      </c>
      <c r="K22" s="239"/>
      <c r="L22" s="239"/>
      <c r="M22" s="117">
        <f>+K22+'25'!M22+L22</f>
        <v>0</v>
      </c>
    </row>
    <row r="23" spans="1:18" ht="13.5" thickBot="1">
      <c r="A23" s="772"/>
      <c r="B23" s="168" t="s">
        <v>2</v>
      </c>
      <c r="C23" s="100">
        <f>SUM(C16:C22)</f>
        <v>0</v>
      </c>
      <c r="D23" s="111">
        <f>SUM(D16:D22)</f>
        <v>0</v>
      </c>
      <c r="E23" s="112">
        <f>SUM(E18:E22)</f>
        <v>0</v>
      </c>
      <c r="F23" s="116">
        <f>SUM(F15:F22)</f>
        <v>480</v>
      </c>
      <c r="G23" s="159"/>
      <c r="H23" s="166"/>
      <c r="I23" s="169"/>
      <c r="J23" s="214">
        <f>+'25'!J23</f>
        <v>0</v>
      </c>
      <c r="K23" s="239"/>
      <c r="L23" s="239"/>
      <c r="M23" s="117">
        <f>+K23+'25'!M23+L23</f>
        <v>0</v>
      </c>
    </row>
    <row r="24" spans="1:18" ht="13.5" customHeight="1" thickBot="1">
      <c r="A24" s="765"/>
      <c r="B24" s="170"/>
      <c r="C24" s="113" t="e">
        <f>C23/($C$23+$D$23+$E$23)</f>
        <v>#DIV/0!</v>
      </c>
      <c r="D24" s="114" t="e">
        <f>D23/($C$23+$D$23+$E$23)</f>
        <v>#DIV/0!</v>
      </c>
      <c r="E24" s="115" t="e">
        <f>E23/($C$23+$D$23+$E$23)</f>
        <v>#DIV/0!</v>
      </c>
      <c r="F24" s="228"/>
      <c r="G24" s="229" t="s">
        <v>12</v>
      </c>
      <c r="H24" s="230" t="s">
        <v>466</v>
      </c>
      <c r="I24" s="768"/>
      <c r="J24" s="214">
        <f>+'25'!J24</f>
        <v>0</v>
      </c>
      <c r="K24" s="239"/>
      <c r="L24" s="239"/>
      <c r="M24" s="117">
        <f>+K24+'25'!M24+L24</f>
        <v>0</v>
      </c>
    </row>
    <row r="25" spans="1:18" ht="13.5" thickBot="1">
      <c r="A25" s="771"/>
      <c r="B25" s="215"/>
      <c r="C25" s="226"/>
      <c r="D25" s="217"/>
      <c r="E25" s="225"/>
      <c r="F25" s="231"/>
      <c r="G25" s="560" t="s">
        <v>12</v>
      </c>
      <c r="H25" s="230" t="s">
        <v>432</v>
      </c>
      <c r="I25" s="769"/>
      <c r="J25" s="214">
        <f>+'25'!J25</f>
        <v>0</v>
      </c>
      <c r="K25" s="239"/>
      <c r="L25" s="239"/>
      <c r="M25" s="117">
        <f>+K25+'25'!M25+L25</f>
        <v>0</v>
      </c>
    </row>
    <row r="26" spans="1:18" ht="13.5" thickBot="1">
      <c r="A26" s="771"/>
      <c r="B26" s="215"/>
      <c r="C26" s="226"/>
      <c r="D26" s="217"/>
      <c r="E26" s="227"/>
      <c r="F26" s="228"/>
      <c r="G26" s="560" t="s">
        <v>12</v>
      </c>
      <c r="H26" s="233" t="s">
        <v>507</v>
      </c>
      <c r="I26" s="769"/>
      <c r="J26" s="214">
        <f>+'25'!J26</f>
        <v>0</v>
      </c>
      <c r="K26" s="239"/>
      <c r="L26" s="239"/>
      <c r="M26" s="117">
        <f>+K26+'25'!M26+L26</f>
        <v>0</v>
      </c>
    </row>
    <row r="27" spans="1:18" ht="13.5" thickBot="1">
      <c r="A27" s="771"/>
      <c r="B27" s="215"/>
      <c r="C27" s="216"/>
      <c r="D27" s="217"/>
      <c r="E27" s="225"/>
      <c r="F27" s="228">
        <v>480</v>
      </c>
      <c r="G27" s="237" t="s">
        <v>20</v>
      </c>
      <c r="H27" s="233" t="s">
        <v>604</v>
      </c>
      <c r="I27" s="769"/>
      <c r="J27" s="214">
        <f>+'25'!J27</f>
        <v>0</v>
      </c>
      <c r="K27" s="239"/>
      <c r="L27" s="239"/>
      <c r="M27" s="117">
        <f>+K27+'25'!M27+L27</f>
        <v>0</v>
      </c>
    </row>
    <row r="28" spans="1:18" ht="13.5" customHeight="1" thickBot="1">
      <c r="A28" s="771"/>
      <c r="B28" s="215"/>
      <c r="C28" s="216"/>
      <c r="D28" s="217"/>
      <c r="E28" s="225"/>
      <c r="F28" s="235"/>
      <c r="G28" s="232"/>
      <c r="H28" s="233" t="s">
        <v>621</v>
      </c>
      <c r="I28" s="769"/>
      <c r="J28" s="214">
        <f>+'25'!J28</f>
        <v>0</v>
      </c>
      <c r="K28" s="239"/>
      <c r="L28" s="239"/>
      <c r="M28" s="117">
        <f>+K28+'25'!M28+L28</f>
        <v>0</v>
      </c>
    </row>
    <row r="29" spans="1:18" ht="13.5" thickBot="1">
      <c r="A29" s="771"/>
      <c r="B29" s="215"/>
      <c r="C29" s="216"/>
      <c r="D29" s="217"/>
      <c r="E29" s="225"/>
      <c r="F29" s="236"/>
      <c r="G29" s="232"/>
      <c r="H29" s="233"/>
      <c r="I29" s="769"/>
      <c r="J29" s="214">
        <f>+'25'!J29</f>
        <v>0</v>
      </c>
      <c r="K29" s="239"/>
      <c r="L29" s="239"/>
      <c r="M29" s="117">
        <f>+K29+'25'!M29+L29</f>
        <v>0</v>
      </c>
    </row>
    <row r="30" spans="1:18" ht="13.5" thickBot="1">
      <c r="A30" s="771"/>
      <c r="B30" s="215"/>
      <c r="C30" s="226"/>
      <c r="D30" s="217"/>
      <c r="E30" s="225"/>
      <c r="F30" s="236"/>
      <c r="G30" s="232"/>
      <c r="H30" s="233"/>
      <c r="I30" s="769"/>
      <c r="J30" s="214">
        <f>+'25'!J30</f>
        <v>0</v>
      </c>
      <c r="K30" s="239"/>
      <c r="L30" s="239"/>
      <c r="M30" s="117">
        <f>+K30+'25'!M30+L30</f>
        <v>0</v>
      </c>
    </row>
    <row r="31" spans="1:18" ht="13.5" thickBot="1">
      <c r="A31" s="771"/>
      <c r="B31" s="215"/>
      <c r="C31" s="226"/>
      <c r="D31" s="217"/>
      <c r="E31" s="225"/>
      <c r="F31" s="236"/>
      <c r="G31" s="237"/>
      <c r="H31" s="445"/>
      <c r="I31" s="770"/>
      <c r="J31" s="214">
        <f>+'25'!J31</f>
        <v>0</v>
      </c>
      <c r="K31" s="239"/>
      <c r="L31" s="239"/>
      <c r="M31" s="117">
        <f>+K31+'25'!M31+L31</f>
        <v>0</v>
      </c>
    </row>
    <row r="32" spans="1:18" ht="13.5" thickBot="1">
      <c r="A32" s="772"/>
      <c r="B32" s="165" t="s">
        <v>2</v>
      </c>
      <c r="C32" s="99">
        <f>SUM(C25:C31)</f>
        <v>0</v>
      </c>
      <c r="D32" s="100">
        <f>SUM(D25:D31)</f>
        <v>0</v>
      </c>
      <c r="E32" s="101">
        <f>SUM(E25:E31)</f>
        <v>0</v>
      </c>
      <c r="F32" s="102">
        <f>SUM(F24:F31)</f>
        <v>480</v>
      </c>
      <c r="G32" s="171"/>
      <c r="H32" s="172"/>
      <c r="I32" s="169"/>
      <c r="J32" s="214">
        <f>+'25'!J32</f>
        <v>0</v>
      </c>
      <c r="K32" s="241"/>
      <c r="L32" s="243"/>
      <c r="M32" s="117">
        <f>+K32+'25'!M32+L32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244">
        <f>(12*1256+10.3*140)/1396*G42*2.74*1396/1000000</f>
        <v>0</v>
      </c>
      <c r="J37" s="125" t="e">
        <f>+I37+'25'!J37</f>
        <v>#DIV/0!</v>
      </c>
      <c r="K37" s="126" t="s">
        <v>63</v>
      </c>
    </row>
    <row r="38" spans="1:13" ht="17.45" customHeight="1">
      <c r="A38" s="755" t="s">
        <v>12</v>
      </c>
      <c r="B38" s="756"/>
      <c r="C38" s="164">
        <f>SUMIF($G$7:$G$31,"Process",$F$7:$F$31)</f>
        <v>0</v>
      </c>
      <c r="D38" s="118">
        <f>+C38+'25'!D38</f>
        <v>860</v>
      </c>
      <c r="E38" s="143">
        <f t="shared" ref="E38:E51" si="0">D38/60</f>
        <v>14.333333333333334</v>
      </c>
      <c r="F38" s="322"/>
      <c r="G38" s="322"/>
      <c r="H38" s="187" t="s">
        <v>64</v>
      </c>
      <c r="I38" s="245"/>
      <c r="J38" s="127">
        <f>+I38+'25'!J38</f>
        <v>440.91260000000005</v>
      </c>
      <c r="K38" s="128" t="s">
        <v>63</v>
      </c>
    </row>
    <row r="39" spans="1:13" ht="17.45" customHeight="1">
      <c r="A39" s="759" t="s">
        <v>13</v>
      </c>
      <c r="B39" s="760"/>
      <c r="C39" s="164">
        <f>SUMIF($G$7:$G$31,"Cleaning",$F$7:$F$31)</f>
        <v>0</v>
      </c>
      <c r="D39" s="118">
        <f>+C39+'25'!D39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+C40+'25'!D40</f>
        <v>0</v>
      </c>
      <c r="E40" s="143">
        <f t="shared" si="0"/>
        <v>0</v>
      </c>
      <c r="F40" s="322"/>
      <c r="G40" s="322"/>
      <c r="H40" s="187" t="s">
        <v>67</v>
      </c>
      <c r="I40" s="118">
        <f>(K34+L34)/1000</f>
        <v>0</v>
      </c>
      <c r="J40" s="131">
        <f>+I40+'25'!J40</f>
        <v>413.67199999999991</v>
      </c>
      <c r="K40" s="130" t="s">
        <v>63</v>
      </c>
    </row>
    <row r="41" spans="1:13" ht="17.45" customHeight="1">
      <c r="A41" s="759" t="s">
        <v>68</v>
      </c>
      <c r="B41" s="760"/>
      <c r="C41" s="164">
        <f>SUMIF($G$7:$G$31,"Electrical",$F$7:$F$31)</f>
        <v>0</v>
      </c>
      <c r="D41" s="118">
        <f>+C41+'25'!D41</f>
        <v>550</v>
      </c>
      <c r="E41" s="143">
        <f t="shared" si="0"/>
        <v>9.1666666666666661</v>
      </c>
      <c r="F41" s="322"/>
      <c r="G41" s="322"/>
      <c r="H41" s="187" t="s">
        <v>69</v>
      </c>
      <c r="I41" s="142"/>
      <c r="J41" s="129">
        <f>J40/G4</f>
        <v>15.910461538461535</v>
      </c>
      <c r="K41" s="130" t="s">
        <v>63</v>
      </c>
    </row>
    <row r="42" spans="1:13" ht="17.45" customHeight="1">
      <c r="A42" s="759" t="s">
        <v>16</v>
      </c>
      <c r="B42" s="760"/>
      <c r="C42" s="164">
        <f>SUMIF($G$7:$G$31,"Instrument",$F$7:$F$31)</f>
        <v>0</v>
      </c>
      <c r="D42" s="118">
        <f>+C42+'25'!D42</f>
        <v>0</v>
      </c>
      <c r="E42" s="143">
        <f t="shared" si="0"/>
        <v>0</v>
      </c>
      <c r="F42" s="322">
        <f>+(436*F38+480*F39+480*F40)/1396</f>
        <v>0</v>
      </c>
      <c r="G42" s="322">
        <f>+(436*G38+480*G39+480*G40)/1396</f>
        <v>0</v>
      </c>
      <c r="H42" s="187" t="s">
        <v>70</v>
      </c>
      <c r="I42" s="246"/>
      <c r="J42" s="132"/>
      <c r="K42" s="130" t="s">
        <v>71</v>
      </c>
    </row>
    <row r="43" spans="1:13" ht="17.45" customHeight="1">
      <c r="A43" s="759" t="s">
        <v>72</v>
      </c>
      <c r="B43" s="760"/>
      <c r="C43" s="164">
        <f>SUMIF($G$7:$G$31,"Water",$F$7:$F$31)</f>
        <v>0</v>
      </c>
      <c r="D43" s="118">
        <f>+C43+'25'!D43</f>
        <v>0</v>
      </c>
      <c r="E43" s="143">
        <f t="shared" si="0"/>
        <v>0</v>
      </c>
      <c r="F43" s="322"/>
      <c r="G43" s="323"/>
      <c r="H43" s="188" t="s">
        <v>73</v>
      </c>
      <c r="I43" s="118">
        <f>+Report1!Z34</f>
        <v>4</v>
      </c>
      <c r="J43" s="133">
        <f>+I43+'25'!J43</f>
        <v>765.70000000000016</v>
      </c>
      <c r="K43" s="130" t="s">
        <v>63</v>
      </c>
      <c r="L43" s="189"/>
    </row>
    <row r="44" spans="1:13" ht="17.45" customHeight="1">
      <c r="A44" s="759" t="s">
        <v>17</v>
      </c>
      <c r="B44" s="760"/>
      <c r="C44" s="164">
        <f>SUMIF($G$7:$G$31,"PLN",$F$7:$F$31)</f>
        <v>0</v>
      </c>
      <c r="D44" s="118">
        <f>+C44+'25'!D44</f>
        <v>0</v>
      </c>
      <c r="E44" s="143">
        <f t="shared" si="0"/>
        <v>0</v>
      </c>
      <c r="F44" s="322"/>
      <c r="G44" s="323"/>
      <c r="H44" s="188" t="s">
        <v>74</v>
      </c>
      <c r="I44" s="118" t="e">
        <f>I43/I38</f>
        <v>#DIV/0!</v>
      </c>
      <c r="J44" s="134">
        <f>J43/J38</f>
        <v>1.7366253538683178</v>
      </c>
      <c r="K44" s="130" t="s">
        <v>63</v>
      </c>
    </row>
    <row r="45" spans="1:13" ht="17.45" customHeight="1">
      <c r="A45" s="759" t="s">
        <v>18</v>
      </c>
      <c r="B45" s="760"/>
      <c r="C45" s="164">
        <f>SUMIF($G$7:$G$31,"Boiler",$F$7:$F$31)</f>
        <v>0</v>
      </c>
      <c r="D45" s="118">
        <f>+C45+'25'!D45</f>
        <v>0</v>
      </c>
      <c r="E45" s="143">
        <f t="shared" si="0"/>
        <v>0</v>
      </c>
      <c r="F45" s="322"/>
      <c r="G45" s="325"/>
      <c r="H45" s="188" t="s">
        <v>75</v>
      </c>
      <c r="I45" s="118" t="e">
        <f>I43/I40</f>
        <v>#DIV/0!</v>
      </c>
      <c r="J45" s="134">
        <f>J43/J40</f>
        <v>1.8509833878048316</v>
      </c>
      <c r="K45" s="130" t="s">
        <v>63</v>
      </c>
    </row>
    <row r="46" spans="1:13" ht="17.45" customHeight="1">
      <c r="A46" s="759" t="s">
        <v>76</v>
      </c>
      <c r="B46" s="760"/>
      <c r="C46" s="164">
        <f>SUMIF($G$7:$G$31,"Gas",$F$7:$F$31)</f>
        <v>0</v>
      </c>
      <c r="D46" s="118">
        <f>+C46+'25'!D46</f>
        <v>0</v>
      </c>
      <c r="E46" s="143">
        <f t="shared" si="0"/>
        <v>0</v>
      </c>
      <c r="F46" s="322"/>
      <c r="G46" s="323"/>
      <c r="H46" s="188" t="s">
        <v>77</v>
      </c>
      <c r="I46" s="140">
        <f>+SUMIF(Listrik!P33,"&gt;0")</f>
        <v>5555.8199999996359</v>
      </c>
      <c r="J46" s="135">
        <f>+I46+'25'!J46</f>
        <v>500424.96000000002</v>
      </c>
      <c r="K46" s="130" t="s">
        <v>78</v>
      </c>
    </row>
    <row r="47" spans="1:13" ht="17.45" customHeight="1">
      <c r="A47" s="759" t="s">
        <v>79</v>
      </c>
      <c r="B47" s="760"/>
      <c r="C47" s="164">
        <f>SUMIF($G$7:$G$31,"Gas",$F$7:$F$31)</f>
        <v>0</v>
      </c>
      <c r="D47" s="118">
        <f>+C47+'25'!D47</f>
        <v>0</v>
      </c>
      <c r="E47" s="143">
        <f t="shared" si="0"/>
        <v>0</v>
      </c>
      <c r="F47" s="322"/>
      <c r="G47" s="323"/>
      <c r="H47" s="188" t="s">
        <v>80</v>
      </c>
      <c r="I47" s="118" t="e">
        <f>I46/I38</f>
        <v>#DIV/0!</v>
      </c>
      <c r="J47" s="135">
        <f>J46/J38</f>
        <v>1134.9754123606356</v>
      </c>
      <c r="K47" s="130" t="s">
        <v>24</v>
      </c>
    </row>
    <row r="48" spans="1:13" ht="17.45" customHeight="1">
      <c r="A48" s="759" t="s">
        <v>14</v>
      </c>
      <c r="B48" s="760"/>
      <c r="C48" s="164">
        <f>SUMIF($G$7:$G$31,"Start Up",$F$7:$F$31)</f>
        <v>0</v>
      </c>
      <c r="D48" s="118">
        <f>+C48+'25'!D48</f>
        <v>0</v>
      </c>
      <c r="E48" s="143">
        <f t="shared" si="0"/>
        <v>0</v>
      </c>
      <c r="F48" s="322"/>
      <c r="G48" s="323"/>
      <c r="H48" s="188" t="s">
        <v>81</v>
      </c>
      <c r="I48" s="118" t="e">
        <f>I46/I40</f>
        <v>#DIV/0!</v>
      </c>
      <c r="J48" s="135">
        <f>J46/J40</f>
        <v>1209.714363070259</v>
      </c>
      <c r="K48" s="130" t="s">
        <v>24</v>
      </c>
    </row>
    <row r="49" spans="1:11" ht="17.45" customHeight="1">
      <c r="A49" s="759" t="s">
        <v>20</v>
      </c>
      <c r="B49" s="760"/>
      <c r="C49" s="164">
        <f>SUMIF($G$7:$G$31,"Others",$F$7:$F$31)</f>
        <v>1440</v>
      </c>
      <c r="D49" s="118">
        <f>+C49+'25'!D49</f>
        <v>19710</v>
      </c>
      <c r="E49" s="143">
        <f t="shared" si="0"/>
        <v>328.5</v>
      </c>
      <c r="F49" s="185"/>
      <c r="H49" s="188" t="s">
        <v>272</v>
      </c>
      <c r="I49" s="118">
        <f>+Report1!T34</f>
        <v>0</v>
      </c>
      <c r="J49" s="135">
        <f>+I49+'25'!J49</f>
        <v>41069.474159648547</v>
      </c>
      <c r="K49" s="130" t="s">
        <v>82</v>
      </c>
    </row>
    <row r="50" spans="1:11" ht="17.45" customHeight="1">
      <c r="A50" s="759" t="s">
        <v>19</v>
      </c>
      <c r="B50" s="760"/>
      <c r="C50" s="164">
        <f>SUMIF($G$7:$G$31,"Steam",$F$7:$F$31)</f>
        <v>0</v>
      </c>
      <c r="D50" s="118">
        <f>+C50+'25'!D50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+C51+'25'!D51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22675</v>
      </c>
      <c r="E52" s="145">
        <f>SUM(E38:E51)</f>
        <v>377.91666666666669</v>
      </c>
      <c r="F52" s="185"/>
      <c r="H52" s="191"/>
      <c r="I52" s="192"/>
      <c r="J52" s="138"/>
      <c r="K52" s="139"/>
    </row>
    <row r="53" spans="1:11" ht="13.5" thickBot="1">
      <c r="A53" s="757"/>
      <c r="B53" s="758"/>
      <c r="C53" s="146">
        <f>C52/(24*60)</f>
        <v>1</v>
      </c>
      <c r="D53" s="146">
        <f>D52/(24*60*G4)</f>
        <v>0.60563568376068377</v>
      </c>
      <c r="E53" s="147">
        <f>E52/(G4*24)</f>
        <v>0.60563568376068377</v>
      </c>
      <c r="F53" s="185"/>
    </row>
    <row r="54" spans="1:11">
      <c r="E54" s="193"/>
      <c r="F54" s="185"/>
    </row>
    <row r="55" spans="1:11">
      <c r="E55" s="193"/>
    </row>
    <row r="56" spans="1:11">
      <c r="A56" s="194" t="s">
        <v>86</v>
      </c>
      <c r="B56" s="195"/>
      <c r="C56" s="196"/>
      <c r="D56" s="196"/>
      <c r="E56" s="196"/>
      <c r="F56" s="197"/>
      <c r="G56" s="196"/>
      <c r="H56" s="198"/>
      <c r="I56" s="199" t="s">
        <v>87</v>
      </c>
      <c r="J56" s="200">
        <f>+D34+'25'!J56</f>
        <v>10652</v>
      </c>
      <c r="K56" s="201">
        <f>J56/(J40+J56/1000)/1000</f>
        <v>2.5103458677802816E-2</v>
      </c>
    </row>
    <row r="57" spans="1:11">
      <c r="A57" s="176"/>
      <c r="I57" s="199" t="s">
        <v>88</v>
      </c>
      <c r="J57" s="200">
        <f>+E34+'25'!J57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I24:I31"/>
    <mergeCell ref="A7:A14"/>
    <mergeCell ref="A41:B41"/>
    <mergeCell ref="I7:I13"/>
    <mergeCell ref="A15:A23"/>
    <mergeCell ref="I15:I22"/>
    <mergeCell ref="A43:B43"/>
    <mergeCell ref="A44:B44"/>
    <mergeCell ref="A45:B45"/>
    <mergeCell ref="A24:A32"/>
    <mergeCell ref="A42:B42"/>
    <mergeCell ref="A34:B34"/>
    <mergeCell ref="A37:B37"/>
    <mergeCell ref="A38:B38"/>
    <mergeCell ref="A39:B39"/>
    <mergeCell ref="A40:B40"/>
    <mergeCell ref="A46:B46"/>
    <mergeCell ref="A52:B52"/>
    <mergeCell ref="A53:B53"/>
    <mergeCell ref="A47:B47"/>
    <mergeCell ref="A48:B48"/>
    <mergeCell ref="A49:B49"/>
    <mergeCell ref="A50:B50"/>
    <mergeCell ref="A51:B51"/>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zoomScale="80" zoomScaleNormal="80" workbookViewId="0">
      <selection activeCell="H28" sqref="H2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42578125" style="149" bestFit="1" customWidth="1"/>
    <col min="14" max="16384" width="9.140625" style="149"/>
  </cols>
  <sheetData>
    <row r="1" spans="1:13" ht="15.75">
      <c r="A1" s="148"/>
    </row>
    <row r="2" spans="1:13" ht="15.75">
      <c r="A2" s="148" t="s">
        <v>185</v>
      </c>
    </row>
    <row r="3" spans="1:13" ht="15">
      <c r="A3" s="150"/>
    </row>
    <row r="4" spans="1:13" ht="20.25">
      <c r="A4" s="151" t="s">
        <v>3</v>
      </c>
      <c r="B4" s="152"/>
      <c r="F4" s="153" t="s">
        <v>29</v>
      </c>
      <c r="G4" s="154">
        <v>25</v>
      </c>
      <c r="H4" s="154" t="str">
        <f>+'1'!H4</f>
        <v>.9.25</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c r="E7" s="218"/>
      <c r="F7" s="228"/>
      <c r="G7" s="229" t="s">
        <v>12</v>
      </c>
      <c r="H7" s="230" t="s">
        <v>466</v>
      </c>
      <c r="I7" s="768"/>
      <c r="J7" s="214" t="str">
        <f>+'24'!J7</f>
        <v>F 12 VP OW</v>
      </c>
      <c r="K7" s="238"/>
      <c r="L7" s="242"/>
      <c r="M7" s="117">
        <f>+K7+'24'!M7+L7</f>
        <v>172842</v>
      </c>
    </row>
    <row r="8" spans="1:13" ht="13.5" thickBot="1">
      <c r="A8" s="766"/>
      <c r="B8" s="215"/>
      <c r="C8" s="216"/>
      <c r="D8" s="217"/>
      <c r="E8" s="219"/>
      <c r="F8" s="231"/>
      <c r="G8" s="560" t="s">
        <v>12</v>
      </c>
      <c r="H8" s="230" t="s">
        <v>432</v>
      </c>
      <c r="I8" s="769"/>
      <c r="J8" s="214" t="str">
        <f>+'24'!J8</f>
        <v>F 13 VP OW</v>
      </c>
      <c r="K8" s="239"/>
      <c r="L8" s="239"/>
      <c r="M8" s="117">
        <f>+K8+'24'!M8+L8</f>
        <v>66206</v>
      </c>
    </row>
    <row r="9" spans="1:13" ht="13.5" thickBot="1">
      <c r="A9" s="766"/>
      <c r="B9" s="215"/>
      <c r="C9" s="216"/>
      <c r="D9" s="217"/>
      <c r="E9" s="220"/>
      <c r="F9" s="228"/>
      <c r="G9" s="560" t="s">
        <v>12</v>
      </c>
      <c r="H9" s="233" t="s">
        <v>507</v>
      </c>
      <c r="I9" s="769"/>
      <c r="J9" s="214" t="str">
        <f>+'24'!J9</f>
        <v>F 14 VP OW</v>
      </c>
      <c r="K9" s="239"/>
      <c r="L9" s="239"/>
      <c r="M9" s="117">
        <f>+K9+'24'!M9+L9</f>
        <v>100560</v>
      </c>
    </row>
    <row r="10" spans="1:13" ht="13.5" thickBot="1">
      <c r="A10" s="766"/>
      <c r="B10" s="215"/>
      <c r="C10" s="216"/>
      <c r="D10" s="217"/>
      <c r="E10" s="219"/>
      <c r="F10" s="228">
        <v>480</v>
      </c>
      <c r="G10" s="237" t="s">
        <v>20</v>
      </c>
      <c r="H10" s="233" t="s">
        <v>604</v>
      </c>
      <c r="I10" s="769"/>
      <c r="J10" s="214" t="str">
        <f>+'24'!J10</f>
        <v>T 12,5 VP OW</v>
      </c>
      <c r="K10" s="239"/>
      <c r="L10" s="239"/>
      <c r="M10" s="117">
        <f>+K10+'24'!M10+L10</f>
        <v>19885</v>
      </c>
    </row>
    <row r="11" spans="1:13" ht="90" thickBot="1">
      <c r="A11" s="766"/>
      <c r="B11" s="215"/>
      <c r="C11" s="216"/>
      <c r="D11" s="217"/>
      <c r="E11" s="219"/>
      <c r="F11" s="228"/>
      <c r="G11" s="232"/>
      <c r="H11" s="233" t="s">
        <v>620</v>
      </c>
      <c r="I11" s="769"/>
      <c r="J11" s="214" t="str">
        <f>+'24'!J11</f>
        <v>F 12,5 VP OW</v>
      </c>
      <c r="K11" s="239"/>
      <c r="L11" s="239"/>
      <c r="M11" s="117">
        <f>+K11+'24'!M11+L11</f>
        <v>42554</v>
      </c>
    </row>
    <row r="12" spans="1:13" ht="13.5" thickBot="1">
      <c r="A12" s="766"/>
      <c r="B12" s="215"/>
      <c r="C12" s="216"/>
      <c r="D12" s="217"/>
      <c r="E12" s="219"/>
      <c r="F12" s="228"/>
      <c r="G12" s="232"/>
      <c r="H12" s="233"/>
      <c r="I12" s="769"/>
      <c r="J12" s="214" t="str">
        <f>+'24'!J12</f>
        <v>F 13,5 VP OW</v>
      </c>
      <c r="K12" s="239"/>
      <c r="L12" s="239"/>
      <c r="M12" s="117">
        <f>+K12+'24'!M12+L12</f>
        <v>11625</v>
      </c>
    </row>
    <row r="13" spans="1:13" ht="13.5" thickBot="1">
      <c r="A13" s="766"/>
      <c r="B13" s="215"/>
      <c r="C13" s="216"/>
      <c r="D13" s="216"/>
      <c r="E13" s="219"/>
      <c r="F13" s="228"/>
      <c r="G13" s="232"/>
      <c r="H13" s="233"/>
      <c r="I13" s="770"/>
      <c r="J13" s="214">
        <f>+'24'!J13</f>
        <v>0</v>
      </c>
      <c r="K13" s="239"/>
      <c r="L13" s="239"/>
      <c r="M13" s="117">
        <f>+K13+'24'!M13+L13</f>
        <v>0</v>
      </c>
    </row>
    <row r="14" spans="1:13" ht="13.5" thickBot="1">
      <c r="A14" s="767"/>
      <c r="B14" s="165" t="s">
        <v>2</v>
      </c>
      <c r="C14" s="99">
        <f>SUM(C7:C13)</f>
        <v>0</v>
      </c>
      <c r="D14" s="111">
        <f>SUM(D7:D13)</f>
        <v>0</v>
      </c>
      <c r="E14" s="112">
        <f>SUM(E5:E13)</f>
        <v>0</v>
      </c>
      <c r="F14" s="116">
        <f>SUM(F7:F13)</f>
        <v>480</v>
      </c>
      <c r="G14" s="159"/>
      <c r="H14" s="166"/>
      <c r="I14" s="167"/>
      <c r="J14" s="214">
        <f>+'24'!J14</f>
        <v>0</v>
      </c>
      <c r="K14" s="239"/>
      <c r="L14" s="239"/>
      <c r="M14" s="117">
        <f>+K14+'24'!M14+L14</f>
        <v>0</v>
      </c>
    </row>
    <row r="15" spans="1:13" ht="13.5" customHeight="1" thickBot="1">
      <c r="A15" s="765"/>
      <c r="B15" s="165"/>
      <c r="C15" s="113" t="e">
        <f>C14/($C$23+$D$23+$E$23)</f>
        <v>#DIV/0!</v>
      </c>
      <c r="D15" s="114" t="e">
        <f>D14/($C$23+$D$23+$E$23)</f>
        <v>#DIV/0!</v>
      </c>
      <c r="E15" s="115" t="e">
        <f>E14/($C$23+$D$23+$E$23)</f>
        <v>#DIV/0!</v>
      </c>
      <c r="F15" s="228"/>
      <c r="G15" s="229" t="s">
        <v>12</v>
      </c>
      <c r="H15" s="230" t="s">
        <v>466</v>
      </c>
      <c r="I15" s="768"/>
      <c r="J15" s="214">
        <f>+'24'!J15</f>
        <v>0</v>
      </c>
      <c r="K15" s="239"/>
      <c r="L15" s="239"/>
      <c r="M15" s="117">
        <f>+K15+'24'!M15+L15</f>
        <v>0</v>
      </c>
    </row>
    <row r="16" spans="1:13" ht="13.5" thickBot="1">
      <c r="A16" s="771"/>
      <c r="B16" s="215"/>
      <c r="C16" s="222"/>
      <c r="D16" s="223"/>
      <c r="E16" s="224"/>
      <c r="F16" s="231"/>
      <c r="G16" s="560" t="s">
        <v>12</v>
      </c>
      <c r="H16" s="230" t="s">
        <v>432</v>
      </c>
      <c r="I16" s="769"/>
      <c r="J16" s="214">
        <f>+'24'!J16</f>
        <v>0</v>
      </c>
      <c r="K16" s="229"/>
      <c r="L16" s="229"/>
      <c r="M16" s="117">
        <f>+K16+'24'!M16+L16</f>
        <v>0</v>
      </c>
    </row>
    <row r="17" spans="1:13" ht="13.5" thickBot="1">
      <c r="A17" s="771"/>
      <c r="B17" s="215"/>
      <c r="C17" s="216"/>
      <c r="D17" s="217"/>
      <c r="E17" s="225"/>
      <c r="F17" s="228"/>
      <c r="G17" s="560" t="s">
        <v>12</v>
      </c>
      <c r="H17" s="233" t="s">
        <v>507</v>
      </c>
      <c r="I17" s="769"/>
      <c r="J17" s="214">
        <f>+'24'!J17</f>
        <v>0</v>
      </c>
      <c r="K17" s="229"/>
      <c r="L17" s="229"/>
      <c r="M17" s="117">
        <f>+K17+'24'!M17+L17</f>
        <v>0</v>
      </c>
    </row>
    <row r="18" spans="1:13" ht="13.5" thickBot="1">
      <c r="A18" s="771"/>
      <c r="B18" s="215"/>
      <c r="C18" s="216"/>
      <c r="D18" s="217"/>
      <c r="E18" s="225"/>
      <c r="F18" s="228">
        <v>480</v>
      </c>
      <c r="G18" s="237" t="s">
        <v>20</v>
      </c>
      <c r="H18" s="233" t="s">
        <v>604</v>
      </c>
      <c r="I18" s="769"/>
      <c r="J18" s="214">
        <f>+'24'!J18</f>
        <v>0</v>
      </c>
      <c r="K18" s="239"/>
      <c r="L18" s="239"/>
      <c r="M18" s="117">
        <f>+K18+'24'!M18+L18</f>
        <v>0</v>
      </c>
    </row>
    <row r="19" spans="1:13" ht="13.5" thickBot="1">
      <c r="A19" s="771"/>
      <c r="B19" s="215"/>
      <c r="C19" s="216"/>
      <c r="D19" s="217"/>
      <c r="E19" s="225"/>
      <c r="F19" s="235"/>
      <c r="G19" s="232"/>
      <c r="H19" s="233"/>
      <c r="I19" s="769"/>
      <c r="J19" s="214">
        <f>+'24'!J19</f>
        <v>0</v>
      </c>
      <c r="K19" s="239"/>
      <c r="L19" s="239"/>
      <c r="M19" s="117">
        <f>+K19+'24'!M19+L19</f>
        <v>0</v>
      </c>
    </row>
    <row r="20" spans="1:13" ht="13.5" thickBot="1">
      <c r="A20" s="771"/>
      <c r="B20" s="215"/>
      <c r="C20" s="216"/>
      <c r="D20" s="217"/>
      <c r="E20" s="225"/>
      <c r="F20" s="228"/>
      <c r="G20" s="232"/>
      <c r="H20" s="233"/>
      <c r="I20" s="769"/>
      <c r="J20" s="214">
        <f>+'24'!J20</f>
        <v>0</v>
      </c>
      <c r="K20" s="240"/>
      <c r="L20" s="240"/>
      <c r="M20" s="117">
        <f>+K20+'24'!M20+L20</f>
        <v>0</v>
      </c>
    </row>
    <row r="21" spans="1:13" ht="13.5" thickBot="1">
      <c r="A21" s="771"/>
      <c r="B21" s="215"/>
      <c r="C21" s="216"/>
      <c r="D21" s="217"/>
      <c r="E21" s="225"/>
      <c r="F21" s="231"/>
      <c r="G21" s="232"/>
      <c r="H21" s="233"/>
      <c r="I21" s="769"/>
      <c r="J21" s="214">
        <f>+'24'!J21</f>
        <v>0</v>
      </c>
      <c r="K21" s="239"/>
      <c r="L21" s="239"/>
      <c r="M21" s="117">
        <f>+K21+'24'!M21+L21</f>
        <v>0</v>
      </c>
    </row>
    <row r="22" spans="1:13" ht="13.5" thickBot="1">
      <c r="A22" s="771"/>
      <c r="B22" s="215"/>
      <c r="C22" s="216"/>
      <c r="D22" s="217"/>
      <c r="E22" s="225"/>
      <c r="F22" s="236"/>
      <c r="G22" s="232"/>
      <c r="H22" s="233"/>
      <c r="I22" s="770"/>
      <c r="J22" s="214">
        <f>+'24'!J22</f>
        <v>0</v>
      </c>
      <c r="K22" s="239"/>
      <c r="L22" s="239"/>
      <c r="M22" s="117">
        <f>+K22+'24'!M22+L22</f>
        <v>0</v>
      </c>
    </row>
    <row r="23" spans="1:13" ht="13.5" thickBot="1">
      <c r="A23" s="772"/>
      <c r="B23" s="168" t="s">
        <v>2</v>
      </c>
      <c r="C23" s="100">
        <f>SUM(C16:C22)</f>
        <v>0</v>
      </c>
      <c r="D23" s="111">
        <f>SUM(D16:D22)</f>
        <v>0</v>
      </c>
      <c r="E23" s="112">
        <f>SUM(E18:E22)</f>
        <v>0</v>
      </c>
      <c r="F23" s="116">
        <f>SUM(F15:F22)</f>
        <v>480</v>
      </c>
      <c r="G23" s="159"/>
      <c r="H23" s="166"/>
      <c r="I23" s="169"/>
      <c r="J23" s="214">
        <f>+'24'!J23</f>
        <v>0</v>
      </c>
      <c r="K23" s="239"/>
      <c r="L23" s="239"/>
      <c r="M23" s="117">
        <f>+K23+'24'!M23+L23</f>
        <v>0</v>
      </c>
    </row>
    <row r="24" spans="1:13" ht="13.5" customHeight="1" thickBot="1">
      <c r="A24" s="765"/>
      <c r="B24" s="170"/>
      <c r="C24" s="113" t="e">
        <f>C23/($C$23+$D$23+$E$23)</f>
        <v>#DIV/0!</v>
      </c>
      <c r="D24" s="114" t="e">
        <f>D23/($C$23+$D$23+$E$23)</f>
        <v>#DIV/0!</v>
      </c>
      <c r="E24" s="115" t="e">
        <f>E23/($C$23+$D$23+$E$23)</f>
        <v>#DIV/0!</v>
      </c>
      <c r="F24" s="228"/>
      <c r="G24" s="229" t="s">
        <v>12</v>
      </c>
      <c r="H24" s="230" t="s">
        <v>466</v>
      </c>
      <c r="I24" s="768"/>
      <c r="J24" s="214">
        <f>+'24'!J24</f>
        <v>0</v>
      </c>
      <c r="K24" s="239"/>
      <c r="L24" s="239"/>
      <c r="M24" s="117">
        <f>+K24+'24'!M24+L24</f>
        <v>0</v>
      </c>
    </row>
    <row r="25" spans="1:13" ht="13.5" thickBot="1">
      <c r="A25" s="771"/>
      <c r="B25" s="215"/>
      <c r="C25" s="226"/>
      <c r="D25" s="217"/>
      <c r="E25" s="225"/>
      <c r="F25" s="231"/>
      <c r="G25" s="560" t="s">
        <v>12</v>
      </c>
      <c r="H25" s="230" t="s">
        <v>432</v>
      </c>
      <c r="I25" s="769"/>
      <c r="J25" s="214">
        <f>+'24'!J25</f>
        <v>0</v>
      </c>
      <c r="K25" s="239"/>
      <c r="L25" s="239"/>
      <c r="M25" s="117">
        <f>+K25+'24'!M25+L25</f>
        <v>0</v>
      </c>
    </row>
    <row r="26" spans="1:13" ht="13.5" thickBot="1">
      <c r="A26" s="771"/>
      <c r="B26" s="215"/>
      <c r="C26" s="226"/>
      <c r="D26" s="217"/>
      <c r="E26" s="227"/>
      <c r="F26" s="228"/>
      <c r="G26" s="560" t="s">
        <v>12</v>
      </c>
      <c r="H26" s="233" t="s">
        <v>507</v>
      </c>
      <c r="I26" s="769"/>
      <c r="J26" s="214">
        <f>+'24'!J26</f>
        <v>0</v>
      </c>
      <c r="K26" s="239"/>
      <c r="L26" s="239"/>
      <c r="M26" s="117">
        <f>+K26+'24'!M26+L26</f>
        <v>0</v>
      </c>
    </row>
    <row r="27" spans="1:13" ht="13.5" thickBot="1">
      <c r="A27" s="771"/>
      <c r="B27" s="215"/>
      <c r="C27" s="216"/>
      <c r="D27" s="217"/>
      <c r="E27" s="225"/>
      <c r="F27" s="228">
        <v>480</v>
      </c>
      <c r="G27" s="237" t="s">
        <v>20</v>
      </c>
      <c r="H27" s="233" t="s">
        <v>604</v>
      </c>
      <c r="I27" s="769"/>
      <c r="J27" s="214">
        <f>+'24'!J27</f>
        <v>0</v>
      </c>
      <c r="K27" s="239"/>
      <c r="L27" s="239"/>
      <c r="M27" s="117">
        <f>+K27+'24'!M27+L27</f>
        <v>0</v>
      </c>
    </row>
    <row r="28" spans="1:13" ht="64.5" thickBot="1">
      <c r="A28" s="771"/>
      <c r="B28" s="215"/>
      <c r="C28" s="216"/>
      <c r="D28" s="217"/>
      <c r="E28" s="225"/>
      <c r="F28" s="235"/>
      <c r="G28" s="232"/>
      <c r="H28" s="233" t="s">
        <v>619</v>
      </c>
      <c r="I28" s="769"/>
      <c r="J28" s="214">
        <f>+'24'!J28</f>
        <v>0</v>
      </c>
      <c r="K28" s="239"/>
      <c r="L28" s="239"/>
      <c r="M28" s="117">
        <f>+K28+'24'!M28+L28</f>
        <v>0</v>
      </c>
    </row>
    <row r="29" spans="1:13" ht="13.5" thickBot="1">
      <c r="A29" s="771"/>
      <c r="B29" s="215"/>
      <c r="C29" s="216"/>
      <c r="D29" s="217"/>
      <c r="E29" s="225"/>
      <c r="F29" s="236"/>
      <c r="G29" s="232"/>
      <c r="H29" s="233"/>
      <c r="I29" s="769"/>
      <c r="J29" s="214">
        <f>+'24'!J29</f>
        <v>0</v>
      </c>
      <c r="K29" s="239"/>
      <c r="L29" s="239"/>
      <c r="M29" s="117">
        <f>+K29+'24'!M29+L29</f>
        <v>0</v>
      </c>
    </row>
    <row r="30" spans="1:13" ht="13.5" thickBot="1">
      <c r="A30" s="771"/>
      <c r="B30" s="215"/>
      <c r="C30" s="226"/>
      <c r="D30" s="217"/>
      <c r="E30" s="225"/>
      <c r="F30" s="236"/>
      <c r="G30" s="232"/>
      <c r="H30" s="233"/>
      <c r="I30" s="769"/>
      <c r="J30" s="214">
        <f>+'24'!J30</f>
        <v>0</v>
      </c>
      <c r="K30" s="239"/>
      <c r="L30" s="239"/>
      <c r="M30" s="117">
        <f>+K30+'24'!M30+L30</f>
        <v>0</v>
      </c>
    </row>
    <row r="31" spans="1:13" ht="13.5" thickBot="1">
      <c r="A31" s="771"/>
      <c r="B31" s="215"/>
      <c r="C31" s="226"/>
      <c r="D31" s="217"/>
      <c r="E31" s="225"/>
      <c r="F31" s="236"/>
      <c r="G31" s="237"/>
      <c r="H31" s="445"/>
      <c r="I31" s="770"/>
      <c r="J31" s="214">
        <f>+'24'!J31</f>
        <v>0</v>
      </c>
      <c r="K31" s="239"/>
      <c r="L31" s="239"/>
      <c r="M31" s="117">
        <f>+K31+'24'!M31+L31</f>
        <v>0</v>
      </c>
    </row>
    <row r="32" spans="1:13" ht="13.5" thickBot="1">
      <c r="A32" s="772"/>
      <c r="B32" s="165" t="s">
        <v>2</v>
      </c>
      <c r="C32" s="99">
        <f>SUM(C25:C31)</f>
        <v>0</v>
      </c>
      <c r="D32" s="100">
        <f>SUM(D25:D31)</f>
        <v>0</v>
      </c>
      <c r="E32" s="101">
        <f>SUM(E25:E31)</f>
        <v>0</v>
      </c>
      <c r="F32" s="102">
        <f>SUM(F24:F31)</f>
        <v>480</v>
      </c>
      <c r="G32" s="171"/>
      <c r="H32" s="172"/>
      <c r="I32" s="169"/>
      <c r="J32" s="214">
        <f>+'24'!J32</f>
        <v>0</v>
      </c>
      <c r="K32" s="241"/>
      <c r="L32" s="243"/>
      <c r="M32" s="117">
        <f>+K32+'24'!M32+L32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244">
        <f>(12*1440)/1440*G42*2.74*1440/1000000</f>
        <v>0</v>
      </c>
      <c r="J37" s="125" t="e">
        <f>+I37+'24'!J37</f>
        <v>#DIV/0!</v>
      </c>
      <c r="K37" s="126" t="s">
        <v>63</v>
      </c>
    </row>
    <row r="38" spans="1:13" ht="17.45" customHeight="1">
      <c r="A38" s="755" t="s">
        <v>12</v>
      </c>
      <c r="B38" s="756"/>
      <c r="C38" s="164">
        <f>SUMIF($G$7:$G$31,"Process",$F$7:$F$31)</f>
        <v>0</v>
      </c>
      <c r="D38" s="118">
        <f>+C38+'24'!D38</f>
        <v>860</v>
      </c>
      <c r="E38" s="143">
        <f t="shared" ref="E38:E51" si="0">D38/60</f>
        <v>14.333333333333334</v>
      </c>
      <c r="F38" s="322"/>
      <c r="G38" s="322"/>
      <c r="H38" s="187" t="s">
        <v>64</v>
      </c>
      <c r="I38" s="245"/>
      <c r="J38" s="127">
        <f>+I38+'24'!J38</f>
        <v>440.91260000000005</v>
      </c>
      <c r="K38" s="128" t="s">
        <v>63</v>
      </c>
    </row>
    <row r="39" spans="1:13" ht="17.45" customHeight="1">
      <c r="A39" s="759" t="s">
        <v>13</v>
      </c>
      <c r="B39" s="760"/>
      <c r="C39" s="164">
        <f>SUMIF($G$7:$G$31,"Cleaning",$F$7:$F$31)</f>
        <v>0</v>
      </c>
      <c r="D39" s="118">
        <f>+C39+'24'!D39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+C40+'24'!D40</f>
        <v>0</v>
      </c>
      <c r="E40" s="143">
        <f t="shared" si="0"/>
        <v>0</v>
      </c>
      <c r="F40" s="322"/>
      <c r="G40" s="322"/>
      <c r="H40" s="187" t="s">
        <v>67</v>
      </c>
      <c r="I40" s="118">
        <f>(K34+L34)/1000</f>
        <v>0</v>
      </c>
      <c r="J40" s="131">
        <f>+I40+'24'!J40</f>
        <v>413.67199999999991</v>
      </c>
      <c r="K40" s="130" t="s">
        <v>63</v>
      </c>
    </row>
    <row r="41" spans="1:13" ht="17.45" customHeight="1">
      <c r="A41" s="759" t="s">
        <v>68</v>
      </c>
      <c r="B41" s="760"/>
      <c r="C41" s="164">
        <f>SUMIF($G$7:$G$31,"Electrical",$F$7:$F$31)</f>
        <v>0</v>
      </c>
      <c r="D41" s="118">
        <f>+C41+'24'!D41</f>
        <v>550</v>
      </c>
      <c r="E41" s="143">
        <f t="shared" si="0"/>
        <v>9.1666666666666661</v>
      </c>
      <c r="F41" s="322"/>
      <c r="G41" s="322"/>
      <c r="H41" s="187" t="s">
        <v>69</v>
      </c>
      <c r="I41" s="142"/>
      <c r="J41" s="129">
        <f>J40/G4</f>
        <v>16.546879999999998</v>
      </c>
      <c r="K41" s="130" t="s">
        <v>63</v>
      </c>
    </row>
    <row r="42" spans="1:13" ht="17.45" customHeight="1">
      <c r="A42" s="759" t="s">
        <v>16</v>
      </c>
      <c r="B42" s="760"/>
      <c r="C42" s="164">
        <f>SUMIF($G$7:$G$31,"Instrument",$F$7:$F$31)</f>
        <v>0</v>
      </c>
      <c r="D42" s="118">
        <f>+C42+'24'!D42</f>
        <v>0</v>
      </c>
      <c r="E42" s="143">
        <f t="shared" si="0"/>
        <v>0</v>
      </c>
      <c r="F42" s="322"/>
      <c r="G42" s="322"/>
      <c r="H42" s="187" t="s">
        <v>70</v>
      </c>
      <c r="I42" s="246"/>
      <c r="J42" s="132"/>
      <c r="K42" s="130" t="s">
        <v>71</v>
      </c>
    </row>
    <row r="43" spans="1:13" ht="17.45" customHeight="1">
      <c r="A43" s="759" t="s">
        <v>72</v>
      </c>
      <c r="B43" s="760"/>
      <c r="C43" s="164">
        <f>SUMIF($G$7:$G$31,"Water",$F$7:$F$31)</f>
        <v>0</v>
      </c>
      <c r="D43" s="118">
        <f>+C43+'24'!D43</f>
        <v>0</v>
      </c>
      <c r="E43" s="143">
        <f t="shared" si="0"/>
        <v>0</v>
      </c>
      <c r="F43" s="322"/>
      <c r="G43" s="323"/>
      <c r="H43" s="188" t="s">
        <v>73</v>
      </c>
      <c r="I43" s="118">
        <f>+Report1!Z33</f>
        <v>4.5999999999999996</v>
      </c>
      <c r="J43" s="133">
        <f>+I43+'24'!J43</f>
        <v>761.70000000000016</v>
      </c>
      <c r="K43" s="130" t="s">
        <v>63</v>
      </c>
      <c r="L43" s="189"/>
    </row>
    <row r="44" spans="1:13" ht="17.45" customHeight="1">
      <c r="A44" s="759" t="s">
        <v>17</v>
      </c>
      <c r="B44" s="760"/>
      <c r="C44" s="164">
        <f>SUMIF($G$7:$G$31,"PLN",$F$7:$F$31)</f>
        <v>0</v>
      </c>
      <c r="D44" s="118">
        <f>+C44+'24'!D44</f>
        <v>0</v>
      </c>
      <c r="E44" s="143">
        <f t="shared" si="0"/>
        <v>0</v>
      </c>
      <c r="F44" s="322"/>
      <c r="G44" s="323"/>
      <c r="H44" s="188" t="s">
        <v>74</v>
      </c>
      <c r="I44" s="118" t="e">
        <f>I43/I38</f>
        <v>#DIV/0!</v>
      </c>
      <c r="J44" s="134">
        <f>J43/J38</f>
        <v>1.7275532611224993</v>
      </c>
      <c r="K44" s="130" t="s">
        <v>63</v>
      </c>
    </row>
    <row r="45" spans="1:13" ht="17.45" customHeight="1">
      <c r="A45" s="759" t="s">
        <v>18</v>
      </c>
      <c r="B45" s="760"/>
      <c r="C45" s="164">
        <f>SUMIF($G$7:$G$31,"Boiler",$F$7:$F$31)</f>
        <v>0</v>
      </c>
      <c r="D45" s="118">
        <f>+C45+'24'!D45</f>
        <v>0</v>
      </c>
      <c r="E45" s="143">
        <f t="shared" si="0"/>
        <v>0</v>
      </c>
      <c r="F45" s="322"/>
      <c r="G45" s="325"/>
      <c r="H45" s="188" t="s">
        <v>75</v>
      </c>
      <c r="I45" s="118" t="e">
        <f>I43/I40</f>
        <v>#DIV/0!</v>
      </c>
      <c r="J45" s="134">
        <f>J43/J40</f>
        <v>1.8413138911988249</v>
      </c>
      <c r="K45" s="130" t="s">
        <v>63</v>
      </c>
    </row>
    <row r="46" spans="1:13" ht="17.45" customHeight="1">
      <c r="A46" s="759" t="s">
        <v>76</v>
      </c>
      <c r="B46" s="760"/>
      <c r="C46" s="164">
        <f>SUMIF($G$7:$G$31,"Gas",$F$7:$F$31)</f>
        <v>0</v>
      </c>
      <c r="D46" s="118">
        <f>+C46+'24'!D46</f>
        <v>0</v>
      </c>
      <c r="E46" s="143">
        <f t="shared" si="0"/>
        <v>0</v>
      </c>
      <c r="F46" s="322"/>
      <c r="G46" s="323"/>
      <c r="H46" s="188" t="s">
        <v>77</v>
      </c>
      <c r="I46" s="140">
        <f>+SUMIF(Listrik!P32,"&gt;0")</f>
        <v>7965.8199999992721</v>
      </c>
      <c r="J46" s="135">
        <f>+I46+'24'!J46</f>
        <v>494869.14000000036</v>
      </c>
      <c r="K46" s="130" t="s">
        <v>78</v>
      </c>
    </row>
    <row r="47" spans="1:13" ht="17.45" customHeight="1">
      <c r="A47" s="759" t="s">
        <v>79</v>
      </c>
      <c r="B47" s="760"/>
      <c r="C47" s="164">
        <f>SUMIF($G$7:$G$31,"Gas",$F$7:$F$31)</f>
        <v>0</v>
      </c>
      <c r="D47" s="118">
        <f>+C47+'24'!D47</f>
        <v>0</v>
      </c>
      <c r="E47" s="143">
        <f t="shared" si="0"/>
        <v>0</v>
      </c>
      <c r="F47" s="322"/>
      <c r="G47" s="323"/>
      <c r="H47" s="188" t="s">
        <v>80</v>
      </c>
      <c r="I47" s="118" t="e">
        <f>I46/I38</f>
        <v>#DIV/0!</v>
      </c>
      <c r="J47" s="135">
        <f>J46/J38</f>
        <v>1122.3746837808678</v>
      </c>
      <c r="K47" s="130" t="s">
        <v>24</v>
      </c>
    </row>
    <row r="48" spans="1:13" ht="17.45" customHeight="1">
      <c r="A48" s="759" t="s">
        <v>14</v>
      </c>
      <c r="B48" s="760"/>
      <c r="C48" s="164">
        <f>SUMIF($G$7:$G$31,"Start Up",$F$7:$F$31)</f>
        <v>0</v>
      </c>
      <c r="D48" s="118">
        <f>+C48+'24'!D48</f>
        <v>0</v>
      </c>
      <c r="E48" s="143">
        <f t="shared" si="0"/>
        <v>0</v>
      </c>
      <c r="F48" s="322"/>
      <c r="G48" s="323"/>
      <c r="H48" s="188" t="s">
        <v>81</v>
      </c>
      <c r="I48" s="118" t="e">
        <f>I46/I40</f>
        <v>#DIV/0!</v>
      </c>
      <c r="J48" s="135">
        <f>J46/J40</f>
        <v>1196.2838674118636</v>
      </c>
      <c r="K48" s="130" t="s">
        <v>24</v>
      </c>
    </row>
    <row r="49" spans="1:11" ht="17.45" customHeight="1">
      <c r="A49" s="759" t="s">
        <v>20</v>
      </c>
      <c r="B49" s="760"/>
      <c r="C49" s="164">
        <f>SUMIF($G$7:$G$31,"Others",$F$7:$F$31)</f>
        <v>1440</v>
      </c>
      <c r="D49" s="118">
        <f>+C49+'24'!D49</f>
        <v>18270</v>
      </c>
      <c r="E49" s="143">
        <f t="shared" si="0"/>
        <v>304.5</v>
      </c>
      <c r="F49" s="185"/>
      <c r="H49" s="188" t="s">
        <v>272</v>
      </c>
      <c r="I49" s="118">
        <f>+Report1!T33</f>
        <v>0</v>
      </c>
      <c r="J49" s="135">
        <f>+I49+'24'!J49</f>
        <v>41069.474159648547</v>
      </c>
      <c r="K49" s="130" t="s">
        <v>82</v>
      </c>
    </row>
    <row r="50" spans="1:11" ht="17.45" customHeight="1">
      <c r="A50" s="759" t="s">
        <v>19</v>
      </c>
      <c r="B50" s="760"/>
      <c r="C50" s="164">
        <f>SUMIF($G$7:$G$31,"Steam",$F$7:$F$31)</f>
        <v>0</v>
      </c>
      <c r="D50" s="118">
        <f>+C50+'24'!D50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+C51+'24'!D51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21235</v>
      </c>
      <c r="E52" s="145">
        <f>SUM(E38:E51)</f>
        <v>353.91666666666669</v>
      </c>
      <c r="F52" s="185"/>
      <c r="H52" s="191"/>
      <c r="I52" s="192"/>
      <c r="J52" s="138"/>
      <c r="K52" s="139"/>
    </row>
    <row r="53" spans="1:11" ht="13.5" thickBot="1">
      <c r="A53" s="757"/>
      <c r="B53" s="758"/>
      <c r="C53" s="146">
        <f>C52/(24*60)</f>
        <v>1</v>
      </c>
      <c r="D53" s="146">
        <f>D52/(24*60*G4)</f>
        <v>0.58986111111111106</v>
      </c>
      <c r="E53" s="147">
        <f>E52/(G4*24)</f>
        <v>0.58986111111111117</v>
      </c>
      <c r="F53" s="185"/>
    </row>
    <row r="54" spans="1:11">
      <c r="E54" s="193"/>
      <c r="F54" s="185"/>
    </row>
    <row r="55" spans="1:11">
      <c r="E55" s="193"/>
    </row>
    <row r="56" spans="1:11">
      <c r="A56" s="194" t="s">
        <v>86</v>
      </c>
      <c r="B56" s="195"/>
      <c r="C56" s="196"/>
      <c r="D56" s="196"/>
      <c r="E56" s="196"/>
      <c r="F56" s="197"/>
      <c r="G56" s="196"/>
      <c r="H56" s="198"/>
      <c r="I56" s="199" t="s">
        <v>87</v>
      </c>
      <c r="J56" s="200">
        <f>+D34+'24'!J56</f>
        <v>10652</v>
      </c>
      <c r="K56" s="201">
        <f>J56/(J40+J56/1000)/1000</f>
        <v>2.5103458677802816E-2</v>
      </c>
    </row>
    <row r="57" spans="1:11">
      <c r="A57" s="176"/>
      <c r="I57" s="199" t="s">
        <v>88</v>
      </c>
      <c r="J57" s="200">
        <f>+E34+'24'!J57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A37:B37"/>
    <mergeCell ref="A38:B38"/>
    <mergeCell ref="A24:A32"/>
    <mergeCell ref="I24:I31"/>
    <mergeCell ref="I7:I13"/>
    <mergeCell ref="A15:A23"/>
    <mergeCell ref="I15:I22"/>
    <mergeCell ref="A34:B34"/>
    <mergeCell ref="A7:A14"/>
  </mergeCells>
  <phoneticPr fontId="32"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topLeftCell="A7" zoomScale="80" zoomScaleNormal="80" workbookViewId="0">
      <selection activeCell="H19" sqref="H19:H2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3.5703125" style="149" customWidth="1"/>
    <col min="14" max="16384" width="9.140625" style="149"/>
  </cols>
  <sheetData>
    <row r="1" spans="1:13" ht="15.75">
      <c r="A1" s="148"/>
    </row>
    <row r="2" spans="1:13" ht="15.75">
      <c r="A2" s="148" t="s">
        <v>185</v>
      </c>
    </row>
    <row r="3" spans="1:13" ht="15">
      <c r="A3" s="150"/>
    </row>
    <row r="4" spans="1:13" ht="20.25">
      <c r="A4" s="151" t="s">
        <v>3</v>
      </c>
      <c r="B4" s="152"/>
      <c r="F4" s="153" t="s">
        <v>29</v>
      </c>
      <c r="G4" s="154">
        <v>24</v>
      </c>
      <c r="H4" s="154" t="str">
        <f>+'1'!H4</f>
        <v>.9.25</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c r="E7" s="218"/>
      <c r="F7" s="228"/>
      <c r="G7" s="229" t="s">
        <v>12</v>
      </c>
      <c r="H7" s="230" t="s">
        <v>466</v>
      </c>
      <c r="I7" s="768"/>
      <c r="J7" s="214" t="str">
        <f>+'23'!J7</f>
        <v>F 12 VP OW</v>
      </c>
      <c r="K7" s="238"/>
      <c r="L7" s="242"/>
      <c r="M7" s="117">
        <f>+K7+'23'!M7+L7</f>
        <v>172842</v>
      </c>
    </row>
    <row r="8" spans="1:13" ht="13.5" thickBot="1">
      <c r="A8" s="766"/>
      <c r="B8" s="215"/>
      <c r="C8" s="216"/>
      <c r="D8" s="217"/>
      <c r="E8" s="219"/>
      <c r="F8" s="231"/>
      <c r="G8" s="560" t="s">
        <v>12</v>
      </c>
      <c r="H8" s="230" t="s">
        <v>432</v>
      </c>
      <c r="I8" s="769"/>
      <c r="J8" s="214" t="str">
        <f>+'23'!J8</f>
        <v>F 13 VP OW</v>
      </c>
      <c r="K8" s="239"/>
      <c r="L8" s="239"/>
      <c r="M8" s="117">
        <f>+K8+'23'!M8+L8</f>
        <v>66206</v>
      </c>
    </row>
    <row r="9" spans="1:13" ht="13.5" thickBot="1">
      <c r="A9" s="766"/>
      <c r="B9" s="215"/>
      <c r="C9" s="216"/>
      <c r="D9" s="217"/>
      <c r="E9" s="220"/>
      <c r="F9" s="228"/>
      <c r="G9" s="560" t="s">
        <v>12</v>
      </c>
      <c r="H9" s="233" t="s">
        <v>507</v>
      </c>
      <c r="I9" s="769"/>
      <c r="J9" s="214" t="str">
        <f>+'23'!J9</f>
        <v>F 14 VP OW</v>
      </c>
      <c r="K9" s="239"/>
      <c r="L9" s="239"/>
      <c r="M9" s="117">
        <f>+K9+'23'!M9+L9</f>
        <v>100560</v>
      </c>
    </row>
    <row r="10" spans="1:13" ht="13.5" thickBot="1">
      <c r="A10" s="766"/>
      <c r="B10" s="215"/>
      <c r="C10" s="216"/>
      <c r="D10" s="217"/>
      <c r="E10" s="219"/>
      <c r="F10" s="228">
        <v>480</v>
      </c>
      <c r="G10" s="237" t="s">
        <v>20</v>
      </c>
      <c r="H10" s="233" t="s">
        <v>604</v>
      </c>
      <c r="I10" s="769"/>
      <c r="J10" s="214" t="str">
        <f>+'23'!J10</f>
        <v>T 12,5 VP OW</v>
      </c>
      <c r="K10" s="239"/>
      <c r="L10" s="239"/>
      <c r="M10" s="117">
        <f>+K10+'23'!M10+L10</f>
        <v>19885</v>
      </c>
    </row>
    <row r="11" spans="1:13" ht="39" thickBot="1">
      <c r="A11" s="766"/>
      <c r="B11" s="215"/>
      <c r="C11" s="216"/>
      <c r="D11" s="217"/>
      <c r="E11" s="219"/>
      <c r="F11" s="228"/>
      <c r="G11" s="232"/>
      <c r="H11" s="233" t="s">
        <v>612</v>
      </c>
      <c r="I11" s="769"/>
      <c r="J11" s="214" t="str">
        <f>+'23'!J11</f>
        <v>F 12,5 VP OW</v>
      </c>
      <c r="K11" s="239"/>
      <c r="L11" s="239"/>
      <c r="M11" s="117">
        <f>+K11+'23'!M11+L11</f>
        <v>42554</v>
      </c>
    </row>
    <row r="12" spans="1:13" ht="26.25" thickBot="1">
      <c r="A12" s="766"/>
      <c r="B12" s="215"/>
      <c r="C12" s="216"/>
      <c r="D12" s="217"/>
      <c r="E12" s="219"/>
      <c r="F12" s="228"/>
      <c r="G12" s="232"/>
      <c r="H12" s="233" t="s">
        <v>613</v>
      </c>
      <c r="I12" s="769"/>
      <c r="J12" s="214" t="str">
        <f>+'23'!J12</f>
        <v>F 13,5 VP OW</v>
      </c>
      <c r="K12" s="239"/>
      <c r="L12" s="239"/>
      <c r="M12" s="117">
        <f>+K12+'23'!M12+L12</f>
        <v>11625</v>
      </c>
    </row>
    <row r="13" spans="1:13" ht="26.25" thickBot="1">
      <c r="A13" s="766"/>
      <c r="B13" s="215"/>
      <c r="C13" s="216"/>
      <c r="D13" s="216"/>
      <c r="E13" s="219"/>
      <c r="F13" s="228"/>
      <c r="G13" s="232"/>
      <c r="H13" s="233" t="s">
        <v>614</v>
      </c>
      <c r="I13" s="770"/>
      <c r="J13" s="214">
        <f>+'23'!J13</f>
        <v>0</v>
      </c>
      <c r="K13" s="239"/>
      <c r="L13" s="239"/>
      <c r="M13" s="117">
        <f>+K13+'23'!M13+L13</f>
        <v>0</v>
      </c>
    </row>
    <row r="14" spans="1:13" ht="13.5" thickBot="1">
      <c r="A14" s="767"/>
      <c r="B14" s="165" t="s">
        <v>2</v>
      </c>
      <c r="C14" s="99">
        <f>SUM(C7:C13)</f>
        <v>0</v>
      </c>
      <c r="D14" s="111">
        <f>SUM(D7:D13)</f>
        <v>0</v>
      </c>
      <c r="E14" s="112">
        <f>SUM(E5:E13)</f>
        <v>0</v>
      </c>
      <c r="F14" s="116">
        <f>SUM(F7:F13)</f>
        <v>480</v>
      </c>
      <c r="G14" s="159"/>
      <c r="H14" s="166"/>
      <c r="I14" s="167"/>
      <c r="J14" s="214">
        <f>+'23'!J14</f>
        <v>0</v>
      </c>
      <c r="K14" s="239"/>
      <c r="L14" s="239"/>
      <c r="M14" s="117">
        <f>+K14+'23'!M14+L14</f>
        <v>0</v>
      </c>
    </row>
    <row r="15" spans="1:13" ht="13.5" customHeight="1" thickBot="1">
      <c r="A15" s="765"/>
      <c r="B15" s="165"/>
      <c r="C15" s="113" t="e">
        <f>C14/($C$23+$D$23+$E$23)</f>
        <v>#DIV/0!</v>
      </c>
      <c r="D15" s="114" t="e">
        <f>D14/($C$23+$D$23+$E$23)</f>
        <v>#DIV/0!</v>
      </c>
      <c r="E15" s="115" t="e">
        <f>E14/($C$23+$D$23+$E$23)</f>
        <v>#DIV/0!</v>
      </c>
      <c r="F15" s="228"/>
      <c r="G15" s="229" t="s">
        <v>12</v>
      </c>
      <c r="H15" s="230" t="s">
        <v>466</v>
      </c>
      <c r="I15" s="768"/>
      <c r="J15" s="214">
        <f>+'23'!J15</f>
        <v>0</v>
      </c>
      <c r="K15" s="239"/>
      <c r="L15" s="239"/>
      <c r="M15" s="117">
        <f>+K15+'23'!M15+L15</f>
        <v>0</v>
      </c>
    </row>
    <row r="16" spans="1:13" ht="13.5" thickBot="1">
      <c r="A16" s="771"/>
      <c r="B16" s="215"/>
      <c r="C16" s="222"/>
      <c r="D16" s="223"/>
      <c r="E16" s="224"/>
      <c r="F16" s="231"/>
      <c r="G16" s="560" t="s">
        <v>12</v>
      </c>
      <c r="H16" s="230" t="s">
        <v>432</v>
      </c>
      <c r="I16" s="769"/>
      <c r="J16" s="214">
        <f>+'23'!J16</f>
        <v>0</v>
      </c>
      <c r="K16" s="229"/>
      <c r="L16" s="229"/>
      <c r="M16" s="117">
        <f>+K16+'23'!M16+L16</f>
        <v>0</v>
      </c>
    </row>
    <row r="17" spans="1:13" ht="13.5" thickBot="1">
      <c r="A17" s="771"/>
      <c r="B17" s="215"/>
      <c r="C17" s="216"/>
      <c r="D17" s="217"/>
      <c r="E17" s="225"/>
      <c r="F17" s="228"/>
      <c r="G17" s="560" t="s">
        <v>12</v>
      </c>
      <c r="H17" s="233" t="s">
        <v>507</v>
      </c>
      <c r="I17" s="769"/>
      <c r="J17" s="214">
        <f>+'23'!J17</f>
        <v>0</v>
      </c>
      <c r="K17" s="229"/>
      <c r="L17" s="229"/>
      <c r="M17" s="117">
        <f>+K17+'23'!M17+L17</f>
        <v>0</v>
      </c>
    </row>
    <row r="18" spans="1:13" ht="13.5" thickBot="1">
      <c r="A18" s="771"/>
      <c r="B18" s="215"/>
      <c r="C18" s="216"/>
      <c r="D18" s="217"/>
      <c r="E18" s="225"/>
      <c r="F18" s="228">
        <v>480</v>
      </c>
      <c r="G18" s="237" t="s">
        <v>20</v>
      </c>
      <c r="H18" s="233" t="s">
        <v>604</v>
      </c>
      <c r="I18" s="769"/>
      <c r="J18" s="214">
        <f>+'23'!J18</f>
        <v>0</v>
      </c>
      <c r="K18" s="239"/>
      <c r="L18" s="239"/>
      <c r="M18" s="117">
        <f>+K18+'23'!M18+L18</f>
        <v>0</v>
      </c>
    </row>
    <row r="19" spans="1:13" ht="13.5" thickBot="1">
      <c r="A19" s="771"/>
      <c r="B19" s="215"/>
      <c r="C19" s="216"/>
      <c r="D19" s="217"/>
      <c r="E19" s="225"/>
      <c r="F19" s="235"/>
      <c r="G19" s="232"/>
      <c r="H19" s="233"/>
      <c r="I19" s="769"/>
      <c r="J19" s="214">
        <f>+'23'!J19</f>
        <v>0</v>
      </c>
      <c r="K19" s="239"/>
      <c r="L19" s="239">
        <v>0</v>
      </c>
      <c r="M19" s="117">
        <f>+K19+'23'!M19+L19</f>
        <v>0</v>
      </c>
    </row>
    <row r="20" spans="1:13" ht="13.5" thickBot="1">
      <c r="A20" s="771"/>
      <c r="B20" s="215"/>
      <c r="C20" s="216"/>
      <c r="D20" s="217"/>
      <c r="E20" s="225"/>
      <c r="F20" s="228"/>
      <c r="G20" s="232"/>
      <c r="H20" s="233"/>
      <c r="I20" s="769"/>
      <c r="J20" s="214">
        <f>+'23'!J20</f>
        <v>0</v>
      </c>
      <c r="K20" s="240"/>
      <c r="L20" s="240">
        <v>0</v>
      </c>
      <c r="M20" s="117">
        <f>+K20+'23'!M20+L20</f>
        <v>0</v>
      </c>
    </row>
    <row r="21" spans="1:13" ht="13.5" thickBot="1">
      <c r="A21" s="771"/>
      <c r="B21" s="215"/>
      <c r="C21" s="216"/>
      <c r="D21" s="217"/>
      <c r="E21" s="225"/>
      <c r="F21" s="231"/>
      <c r="G21" s="232"/>
      <c r="H21" s="233"/>
      <c r="I21" s="769"/>
      <c r="J21" s="214">
        <f>+'23'!J21</f>
        <v>0</v>
      </c>
      <c r="K21" s="239"/>
      <c r="L21" s="239">
        <v>0</v>
      </c>
      <c r="M21" s="117">
        <f>+K21+'23'!M21+L21</f>
        <v>0</v>
      </c>
    </row>
    <row r="22" spans="1:13" ht="13.5" thickBot="1">
      <c r="A22" s="771"/>
      <c r="B22" s="215"/>
      <c r="C22" s="216"/>
      <c r="D22" s="217"/>
      <c r="E22" s="225"/>
      <c r="F22" s="236"/>
      <c r="G22" s="232"/>
      <c r="H22" s="233"/>
      <c r="I22" s="770"/>
      <c r="J22" s="214">
        <f>+'23'!J22</f>
        <v>0</v>
      </c>
      <c r="K22" s="239"/>
      <c r="L22" s="239">
        <v>0</v>
      </c>
      <c r="M22" s="117">
        <f>+K22+'23'!M22+L22</f>
        <v>0</v>
      </c>
    </row>
    <row r="23" spans="1:13" ht="13.5" thickBot="1">
      <c r="A23" s="772"/>
      <c r="B23" s="168" t="s">
        <v>2</v>
      </c>
      <c r="C23" s="100">
        <f>SUM(C16:C22)</f>
        <v>0</v>
      </c>
      <c r="D23" s="111">
        <f>SUM(D16:D22)</f>
        <v>0</v>
      </c>
      <c r="E23" s="112">
        <f>SUM(E18:E22)</f>
        <v>0</v>
      </c>
      <c r="F23" s="116">
        <f>SUM(F15:F22)</f>
        <v>480</v>
      </c>
      <c r="G23" s="159"/>
      <c r="H23" s="166"/>
      <c r="I23" s="169"/>
      <c r="J23" s="214">
        <f>+'23'!J23</f>
        <v>0</v>
      </c>
      <c r="K23" s="239"/>
      <c r="L23" s="239"/>
      <c r="M23" s="117">
        <f>+K23+'23'!M23+L23</f>
        <v>0</v>
      </c>
    </row>
    <row r="24" spans="1:13" ht="13.5" customHeight="1" thickBot="1">
      <c r="A24" s="765"/>
      <c r="B24" s="170"/>
      <c r="C24" s="113" t="e">
        <f>C23/($C$23+$D$23+$E$23)</f>
        <v>#DIV/0!</v>
      </c>
      <c r="D24" s="114" t="e">
        <f>D23/($C$23+$D$23+$E$23)</f>
        <v>#DIV/0!</v>
      </c>
      <c r="E24" s="115" t="e">
        <f>E23/($C$23+$D$23+$E$23)</f>
        <v>#DIV/0!</v>
      </c>
      <c r="F24" s="228"/>
      <c r="G24" s="229" t="s">
        <v>12</v>
      </c>
      <c r="H24" s="230" t="s">
        <v>466</v>
      </c>
      <c r="I24" s="768"/>
      <c r="J24" s="214">
        <f>+'23'!J24</f>
        <v>0</v>
      </c>
      <c r="K24" s="239"/>
      <c r="L24" s="239"/>
      <c r="M24" s="117">
        <f>+K24+'23'!M24+L24</f>
        <v>0</v>
      </c>
    </row>
    <row r="25" spans="1:13" ht="13.5" thickBot="1">
      <c r="A25" s="771"/>
      <c r="B25" s="215"/>
      <c r="C25" s="226"/>
      <c r="D25" s="217"/>
      <c r="E25" s="225"/>
      <c r="F25" s="231"/>
      <c r="G25" s="560" t="s">
        <v>12</v>
      </c>
      <c r="H25" s="230" t="s">
        <v>432</v>
      </c>
      <c r="I25" s="769"/>
      <c r="J25" s="214">
        <f>+'23'!J25</f>
        <v>0</v>
      </c>
      <c r="K25" s="239"/>
      <c r="L25" s="239"/>
      <c r="M25" s="117">
        <f>+K25+'23'!M25+L25</f>
        <v>0</v>
      </c>
    </row>
    <row r="26" spans="1:13" ht="13.5" thickBot="1">
      <c r="A26" s="771"/>
      <c r="B26" s="215"/>
      <c r="C26" s="226"/>
      <c r="D26" s="217"/>
      <c r="E26" s="227"/>
      <c r="F26" s="228"/>
      <c r="G26" s="560" t="s">
        <v>12</v>
      </c>
      <c r="H26" s="233" t="s">
        <v>507</v>
      </c>
      <c r="I26" s="769"/>
      <c r="J26" s="214">
        <f>+'23'!J26</f>
        <v>0</v>
      </c>
      <c r="K26" s="239"/>
      <c r="L26" s="239"/>
      <c r="M26" s="117">
        <f>+K26+'23'!M26+L26</f>
        <v>0</v>
      </c>
    </row>
    <row r="27" spans="1:13" ht="13.5" thickBot="1">
      <c r="A27" s="771"/>
      <c r="B27" s="215"/>
      <c r="C27" s="216"/>
      <c r="D27" s="217"/>
      <c r="E27" s="225"/>
      <c r="F27" s="228">
        <v>480</v>
      </c>
      <c r="G27" s="237" t="s">
        <v>20</v>
      </c>
      <c r="H27" s="233" t="s">
        <v>604</v>
      </c>
      <c r="I27" s="769"/>
      <c r="J27" s="214">
        <f>+'23'!J27</f>
        <v>0</v>
      </c>
      <c r="K27" s="239"/>
      <c r="L27" s="239"/>
      <c r="M27" s="117">
        <f>+K27+'23'!M27+L27</f>
        <v>0</v>
      </c>
    </row>
    <row r="28" spans="1:13" ht="26.25" thickBot="1">
      <c r="A28" s="771"/>
      <c r="B28" s="215"/>
      <c r="C28" s="216"/>
      <c r="D28" s="217"/>
      <c r="E28" s="225"/>
      <c r="F28" s="235"/>
      <c r="G28" s="232"/>
      <c r="H28" s="233" t="s">
        <v>616</v>
      </c>
      <c r="I28" s="769"/>
      <c r="J28" s="214">
        <f>+'23'!J28</f>
        <v>0</v>
      </c>
      <c r="K28" s="239"/>
      <c r="L28" s="239"/>
      <c r="M28" s="117">
        <f>+K28+'23'!M28+L28</f>
        <v>0</v>
      </c>
    </row>
    <row r="29" spans="1:13" ht="13.5" thickBot="1">
      <c r="A29" s="771"/>
      <c r="B29" s="215"/>
      <c r="C29" s="216"/>
      <c r="D29" s="217"/>
      <c r="E29" s="225"/>
      <c r="F29" s="236"/>
      <c r="G29" s="232"/>
      <c r="H29" s="233" t="s">
        <v>617</v>
      </c>
      <c r="I29" s="769"/>
      <c r="J29" s="214">
        <f>+'23'!J29</f>
        <v>0</v>
      </c>
      <c r="K29" s="239"/>
      <c r="L29" s="239"/>
      <c r="M29" s="117">
        <f>+K29+'23'!M29+L29</f>
        <v>0</v>
      </c>
    </row>
    <row r="30" spans="1:13" ht="13.5" thickBot="1">
      <c r="A30" s="771"/>
      <c r="B30" s="215"/>
      <c r="C30" s="226"/>
      <c r="D30" s="217"/>
      <c r="E30" s="225"/>
      <c r="F30" s="236"/>
      <c r="G30" s="232"/>
      <c r="H30" s="233" t="s">
        <v>615</v>
      </c>
      <c r="I30" s="769"/>
      <c r="J30" s="214">
        <f>+'23'!J30</f>
        <v>0</v>
      </c>
      <c r="K30" s="239"/>
      <c r="L30" s="239"/>
      <c r="M30" s="117">
        <f>+K30+'23'!M30+L30</f>
        <v>0</v>
      </c>
    </row>
    <row r="31" spans="1:13" ht="13.5" thickBot="1">
      <c r="A31" s="771"/>
      <c r="B31" s="215"/>
      <c r="C31" s="226"/>
      <c r="D31" s="217"/>
      <c r="E31" s="225"/>
      <c r="F31" s="236"/>
      <c r="G31" s="237"/>
      <c r="H31" s="233" t="s">
        <v>618</v>
      </c>
      <c r="I31" s="770"/>
      <c r="J31" s="214">
        <f>+'23'!J31</f>
        <v>0</v>
      </c>
      <c r="K31" s="239"/>
      <c r="L31" s="239"/>
      <c r="M31" s="117">
        <f>+K31+'23'!M31+L31</f>
        <v>0</v>
      </c>
    </row>
    <row r="32" spans="1:13" ht="13.5" thickBot="1">
      <c r="A32" s="772"/>
      <c r="B32" s="165" t="s">
        <v>2</v>
      </c>
      <c r="C32" s="99">
        <f>SUM(C25:C31)</f>
        <v>0</v>
      </c>
      <c r="D32" s="100">
        <f>SUM(D25:D31)</f>
        <v>0</v>
      </c>
      <c r="E32" s="101">
        <f>SUM(E25:E31)</f>
        <v>0</v>
      </c>
      <c r="F32" s="102">
        <f>SUM(F24:F31)</f>
        <v>480</v>
      </c>
      <c r="G32" s="171"/>
      <c r="H32" s="172"/>
      <c r="I32" s="169"/>
      <c r="J32" s="214">
        <f>+'23'!J32</f>
        <v>0</v>
      </c>
      <c r="K32" s="241"/>
      <c r="L32" s="243"/>
      <c r="M32" s="117">
        <f>+K32+'23'!M32+L32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244">
        <f>(10.3*430+1010*12)/1440*G42*2.74*1440/1000000</f>
        <v>0</v>
      </c>
      <c r="J37" s="125" t="e">
        <f>+I37+'23'!J37</f>
        <v>#DIV/0!</v>
      </c>
      <c r="K37" s="126" t="s">
        <v>63</v>
      </c>
    </row>
    <row r="38" spans="1:13" ht="17.45" customHeight="1">
      <c r="A38" s="755" t="s">
        <v>12</v>
      </c>
      <c r="B38" s="756"/>
      <c r="C38" s="164">
        <f>SUMIF($G$7:$G$31,"Process",$F$7:$F$31)</f>
        <v>0</v>
      </c>
      <c r="D38" s="118">
        <f>+C38+'23'!D38</f>
        <v>860</v>
      </c>
      <c r="E38" s="143">
        <f t="shared" ref="E38:E51" si="0">D38/60</f>
        <v>14.333333333333334</v>
      </c>
      <c r="F38" s="322"/>
      <c r="G38" s="322"/>
      <c r="H38" s="187" t="s">
        <v>64</v>
      </c>
      <c r="I38" s="245"/>
      <c r="J38" s="127">
        <f>+I38+'23'!J38</f>
        <v>440.91260000000005</v>
      </c>
      <c r="K38" s="128" t="s">
        <v>63</v>
      </c>
    </row>
    <row r="39" spans="1:13" ht="17.45" customHeight="1">
      <c r="A39" s="759" t="s">
        <v>13</v>
      </c>
      <c r="B39" s="760"/>
      <c r="C39" s="164">
        <f>SUMIF($G$7:$G$31,"Cleaning",$F$7:$F$31)</f>
        <v>0</v>
      </c>
      <c r="D39" s="118">
        <f>+C39+'23'!D39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+C40+'23'!D40</f>
        <v>0</v>
      </c>
      <c r="E40" s="143">
        <f t="shared" si="0"/>
        <v>0</v>
      </c>
      <c r="F40" s="322"/>
      <c r="G40" s="322"/>
      <c r="H40" s="187" t="s">
        <v>67</v>
      </c>
      <c r="I40" s="118">
        <f>(K34+L34)/1000</f>
        <v>0</v>
      </c>
      <c r="J40" s="131">
        <f>+I40+'23'!J40</f>
        <v>413.67199999999991</v>
      </c>
      <c r="K40" s="130" t="s">
        <v>63</v>
      </c>
    </row>
    <row r="41" spans="1:13" ht="17.45" customHeight="1">
      <c r="A41" s="759" t="s">
        <v>68</v>
      </c>
      <c r="B41" s="760"/>
      <c r="C41" s="164">
        <f>SUMIF($G$7:$G$31,"Electrical",$F$7:$F$31)</f>
        <v>0</v>
      </c>
      <c r="D41" s="118">
        <f>+C41+'23'!D41</f>
        <v>550</v>
      </c>
      <c r="E41" s="143">
        <f t="shared" si="0"/>
        <v>9.1666666666666661</v>
      </c>
      <c r="F41" s="322"/>
      <c r="G41" s="322"/>
      <c r="H41" s="187" t="s">
        <v>69</v>
      </c>
      <c r="I41" s="142"/>
      <c r="J41" s="129">
        <f>J40/G4</f>
        <v>17.236333333333331</v>
      </c>
      <c r="K41" s="130" t="s">
        <v>63</v>
      </c>
    </row>
    <row r="42" spans="1:13" ht="17.45" customHeight="1">
      <c r="A42" s="759" t="s">
        <v>16</v>
      </c>
      <c r="B42" s="760"/>
      <c r="C42" s="164">
        <f>SUMIF($G$7:$G$31,"Instrument",$F$7:$F$31)</f>
        <v>0</v>
      </c>
      <c r="D42" s="118">
        <f>+C42+'23'!D42</f>
        <v>0</v>
      </c>
      <c r="E42" s="143">
        <f t="shared" si="0"/>
        <v>0</v>
      </c>
      <c r="F42" s="322">
        <f>+(480*F38+480*F39+480*F40)/1440</f>
        <v>0</v>
      </c>
      <c r="G42" s="322">
        <f>+(480*G38+480*G39+480*G40)/1440</f>
        <v>0</v>
      </c>
      <c r="H42" s="187" t="s">
        <v>70</v>
      </c>
      <c r="I42" s="246"/>
      <c r="J42" s="132"/>
      <c r="K42" s="130" t="s">
        <v>71</v>
      </c>
    </row>
    <row r="43" spans="1:13" ht="17.45" customHeight="1">
      <c r="A43" s="759" t="s">
        <v>72</v>
      </c>
      <c r="B43" s="760"/>
      <c r="C43" s="164">
        <f>SUMIF($G$7:$G$31,"Water",$F$7:$F$31)</f>
        <v>0</v>
      </c>
      <c r="D43" s="118">
        <f>+C43+'23'!D43</f>
        <v>0</v>
      </c>
      <c r="E43" s="143">
        <f t="shared" si="0"/>
        <v>0</v>
      </c>
      <c r="F43" s="322"/>
      <c r="G43" s="323"/>
      <c r="H43" s="188" t="s">
        <v>73</v>
      </c>
      <c r="I43" s="118">
        <f>+Report1!Z32</f>
        <v>3.7</v>
      </c>
      <c r="J43" s="133">
        <f>+I43+'23'!J43</f>
        <v>757.10000000000014</v>
      </c>
      <c r="K43" s="130" t="s">
        <v>63</v>
      </c>
      <c r="L43" s="189"/>
    </row>
    <row r="44" spans="1:13" ht="17.45" customHeight="1">
      <c r="A44" s="759" t="s">
        <v>17</v>
      </c>
      <c r="B44" s="760"/>
      <c r="C44" s="164">
        <f>SUMIF($G$7:$G$31,"PLN",$F$7:$F$31)</f>
        <v>0</v>
      </c>
      <c r="D44" s="118">
        <f>+C44+'23'!D44</f>
        <v>0</v>
      </c>
      <c r="E44" s="143">
        <f t="shared" si="0"/>
        <v>0</v>
      </c>
      <c r="F44" s="322"/>
      <c r="G44" s="323"/>
      <c r="H44" s="188" t="s">
        <v>74</v>
      </c>
      <c r="I44" s="118" t="e">
        <f>I43/I38</f>
        <v>#DIV/0!</v>
      </c>
      <c r="J44" s="134">
        <f>J43/J38</f>
        <v>1.7171203544648079</v>
      </c>
      <c r="K44" s="130" t="s">
        <v>63</v>
      </c>
    </row>
    <row r="45" spans="1:13" ht="17.45" customHeight="1">
      <c r="A45" s="759" t="s">
        <v>18</v>
      </c>
      <c r="B45" s="760"/>
      <c r="C45" s="164">
        <f>SUMIF($G$7:$G$31,"Boiler",$F$7:$F$31)</f>
        <v>0</v>
      </c>
      <c r="D45" s="118">
        <f>+C45+'23'!D45</f>
        <v>0</v>
      </c>
      <c r="E45" s="143">
        <f t="shared" si="0"/>
        <v>0</v>
      </c>
      <c r="F45" s="322"/>
      <c r="G45" s="325"/>
      <c r="H45" s="188" t="s">
        <v>75</v>
      </c>
      <c r="I45" s="118" t="e">
        <f>I43/I40</f>
        <v>#DIV/0!</v>
      </c>
      <c r="J45" s="134">
        <f>J43/J40</f>
        <v>1.8301939701019172</v>
      </c>
      <c r="K45" s="130" t="s">
        <v>63</v>
      </c>
    </row>
    <row r="46" spans="1:13" ht="17.45" customHeight="1">
      <c r="A46" s="759" t="s">
        <v>76</v>
      </c>
      <c r="B46" s="760"/>
      <c r="C46" s="164">
        <f>SUMIF($G$7:$G$31,"Gas",$F$7:$F$31)</f>
        <v>0</v>
      </c>
      <c r="D46" s="118">
        <f>+C46+'23'!D46</f>
        <v>0</v>
      </c>
      <c r="E46" s="143">
        <f t="shared" si="0"/>
        <v>0</v>
      </c>
      <c r="F46" s="322"/>
      <c r="G46" s="323"/>
      <c r="H46" s="188" t="s">
        <v>77</v>
      </c>
      <c r="I46" s="140">
        <f>+SUMIF(Listrik!P31,"&gt;0")</f>
        <v>7098.8999999996358</v>
      </c>
      <c r="J46" s="135">
        <f>+I46+'23'!J46</f>
        <v>486903.32000000111</v>
      </c>
      <c r="K46" s="130" t="s">
        <v>78</v>
      </c>
    </row>
    <row r="47" spans="1:13" ht="17.45" customHeight="1">
      <c r="A47" s="759" t="s">
        <v>79</v>
      </c>
      <c r="B47" s="760"/>
      <c r="C47" s="164">
        <f>SUMIF($G$7:$G$31,"Gas",$F$7:$F$31)</f>
        <v>0</v>
      </c>
      <c r="D47" s="118">
        <f>+C47+'23'!D47</f>
        <v>0</v>
      </c>
      <c r="E47" s="143">
        <f t="shared" si="0"/>
        <v>0</v>
      </c>
      <c r="F47" s="322"/>
      <c r="G47" s="323"/>
      <c r="H47" s="188" t="s">
        <v>80</v>
      </c>
      <c r="I47" s="118" t="e">
        <f>I46/I38</f>
        <v>#DIV/0!</v>
      </c>
      <c r="J47" s="135">
        <f>J46/J38</f>
        <v>1104.3080193217454</v>
      </c>
      <c r="K47" s="130" t="s">
        <v>24</v>
      </c>
    </row>
    <row r="48" spans="1:13" ht="17.45" customHeight="1">
      <c r="A48" s="759" t="s">
        <v>14</v>
      </c>
      <c r="B48" s="760"/>
      <c r="C48" s="164">
        <f>SUMIF($G$7:$G$31,"Start Up",$F$7:$F$31)</f>
        <v>0</v>
      </c>
      <c r="D48" s="118">
        <f>+C48+'23'!D48</f>
        <v>0</v>
      </c>
      <c r="E48" s="143">
        <f t="shared" si="0"/>
        <v>0</v>
      </c>
      <c r="F48" s="322"/>
      <c r="G48" s="323"/>
      <c r="H48" s="188" t="s">
        <v>81</v>
      </c>
      <c r="I48" s="118" t="e">
        <f>I46/I40</f>
        <v>#DIV/0!</v>
      </c>
      <c r="J48" s="135">
        <f>J46/J40</f>
        <v>1177.0275000483505</v>
      </c>
      <c r="K48" s="130" t="s">
        <v>24</v>
      </c>
    </row>
    <row r="49" spans="1:11" ht="17.45" customHeight="1">
      <c r="A49" s="759" t="s">
        <v>20</v>
      </c>
      <c r="B49" s="760"/>
      <c r="C49" s="164">
        <f>SUMIF($G$7:$G$31,"Others",$F$7:$F$31)</f>
        <v>1440</v>
      </c>
      <c r="D49" s="118">
        <f>+C49+'23'!D49</f>
        <v>16830</v>
      </c>
      <c r="E49" s="143">
        <f t="shared" si="0"/>
        <v>280.5</v>
      </c>
      <c r="F49" s="185"/>
      <c r="H49" s="188" t="s">
        <v>272</v>
      </c>
      <c r="I49" s="118">
        <f>+Report1!T32</f>
        <v>0</v>
      </c>
      <c r="J49" s="135">
        <f>+I49+'23'!J49</f>
        <v>41069.474159648547</v>
      </c>
      <c r="K49" s="130" t="s">
        <v>82</v>
      </c>
    </row>
    <row r="50" spans="1:11" ht="17.45" customHeight="1">
      <c r="A50" s="759" t="s">
        <v>19</v>
      </c>
      <c r="B50" s="760"/>
      <c r="C50" s="164">
        <f>SUMIF($G$7:$G$31,"Steam",$F$7:$F$31)</f>
        <v>0</v>
      </c>
      <c r="D50" s="118">
        <f>+C50+'23'!D50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+C51+'23'!D51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19795</v>
      </c>
      <c r="E52" s="145">
        <f>SUM(E38:E51)</f>
        <v>329.91666666666669</v>
      </c>
      <c r="F52" s="185"/>
      <c r="H52" s="191"/>
      <c r="I52" s="192"/>
      <c r="J52" s="138"/>
      <c r="K52" s="139"/>
    </row>
    <row r="53" spans="1:11" ht="13.5" thickBot="1">
      <c r="A53" s="757"/>
      <c r="B53" s="758"/>
      <c r="C53" s="146">
        <f>C52/(24*60)</f>
        <v>1</v>
      </c>
      <c r="D53" s="146">
        <f>D52/(24*60*G4)</f>
        <v>0.5727719907407407</v>
      </c>
      <c r="E53" s="147">
        <f>E52/(G4*24)</f>
        <v>0.57277199074074081</v>
      </c>
      <c r="F53" s="185"/>
    </row>
    <row r="54" spans="1:11">
      <c r="E54" s="193"/>
      <c r="F54" s="185"/>
    </row>
    <row r="55" spans="1:11">
      <c r="E55" s="193"/>
    </row>
    <row r="56" spans="1:11">
      <c r="A56" s="194" t="s">
        <v>86</v>
      </c>
      <c r="B56" s="195"/>
      <c r="C56" s="196"/>
      <c r="D56" s="196"/>
      <c r="E56" s="196"/>
      <c r="F56" s="197"/>
      <c r="G56" s="196"/>
      <c r="H56" s="198"/>
      <c r="I56" s="199" t="s">
        <v>87</v>
      </c>
      <c r="J56" s="200">
        <f>+D34+'23'!J56</f>
        <v>10652</v>
      </c>
      <c r="K56" s="201">
        <f>J56/(J40+J56/1000)/1000</f>
        <v>2.5103458677802816E-2</v>
      </c>
    </row>
    <row r="57" spans="1:11">
      <c r="A57" s="176"/>
      <c r="I57" s="199" t="s">
        <v>88</v>
      </c>
      <c r="J57" s="200">
        <f>+E34+'23'!J57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A37:B37"/>
    <mergeCell ref="A38:B38"/>
    <mergeCell ref="A24:A32"/>
    <mergeCell ref="I24:I31"/>
    <mergeCell ref="I7:I13"/>
    <mergeCell ref="A15:A23"/>
    <mergeCell ref="I15:I22"/>
    <mergeCell ref="A34:B34"/>
    <mergeCell ref="A7:A14"/>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zoomScale="80" zoomScaleNormal="80" workbookViewId="0">
      <selection activeCell="F7" sqref="F7:F3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3.7109375" style="149" customWidth="1"/>
    <col min="14" max="16384" width="9.140625" style="149"/>
  </cols>
  <sheetData>
    <row r="1" spans="1:13" ht="15.75">
      <c r="A1" s="148"/>
    </row>
    <row r="2" spans="1:13" ht="15.75">
      <c r="A2" s="148" t="s">
        <v>185</v>
      </c>
    </row>
    <row r="3" spans="1:13" ht="15">
      <c r="A3" s="150"/>
    </row>
    <row r="4" spans="1:13" ht="20.25">
      <c r="A4" s="151" t="s">
        <v>3</v>
      </c>
      <c r="B4" s="152"/>
      <c r="F4" s="153" t="s">
        <v>29</v>
      </c>
      <c r="G4" s="154">
        <v>23</v>
      </c>
      <c r="H4" s="154" t="str">
        <f>+'1'!H4</f>
        <v>.9.25</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c r="E7" s="218"/>
      <c r="F7" s="228"/>
      <c r="G7" s="229" t="s">
        <v>12</v>
      </c>
      <c r="H7" s="230" t="s">
        <v>466</v>
      </c>
      <c r="I7" s="768"/>
      <c r="J7" s="214" t="str">
        <f>+'22'!J7</f>
        <v>F 12 VP OW</v>
      </c>
      <c r="K7" s="238"/>
      <c r="L7" s="242"/>
      <c r="M7" s="117">
        <f>+K7+'22'!M7+L7</f>
        <v>172842</v>
      </c>
    </row>
    <row r="8" spans="1:13" ht="13.5" thickBot="1">
      <c r="A8" s="766"/>
      <c r="B8" s="215"/>
      <c r="C8" s="216"/>
      <c r="D8" s="217"/>
      <c r="E8" s="219"/>
      <c r="F8" s="231"/>
      <c r="G8" s="560" t="s">
        <v>12</v>
      </c>
      <c r="H8" s="230" t="s">
        <v>432</v>
      </c>
      <c r="I8" s="769"/>
      <c r="J8" s="214" t="str">
        <f>+'22'!J8</f>
        <v>F 13 VP OW</v>
      </c>
      <c r="K8" s="239"/>
      <c r="L8" s="239"/>
      <c r="M8" s="117">
        <f>+K8+'22'!M8+L8</f>
        <v>66206</v>
      </c>
    </row>
    <row r="9" spans="1:13" ht="13.5" thickBot="1">
      <c r="A9" s="766"/>
      <c r="B9" s="215"/>
      <c r="C9" s="216"/>
      <c r="D9" s="217"/>
      <c r="E9" s="220"/>
      <c r="F9" s="228"/>
      <c r="G9" s="560" t="s">
        <v>12</v>
      </c>
      <c r="H9" s="233" t="s">
        <v>507</v>
      </c>
      <c r="I9" s="769"/>
      <c r="J9" s="214" t="str">
        <f>+'22'!J9</f>
        <v>F 14 VP OW</v>
      </c>
      <c r="K9" s="239"/>
      <c r="L9" s="239"/>
      <c r="M9" s="117">
        <f>+K9+'22'!M9+L9</f>
        <v>100560</v>
      </c>
    </row>
    <row r="10" spans="1:13" ht="13.5" thickBot="1">
      <c r="A10" s="766"/>
      <c r="B10" s="215"/>
      <c r="C10" s="216"/>
      <c r="D10" s="217"/>
      <c r="E10" s="219"/>
      <c r="F10" s="228">
        <v>480</v>
      </c>
      <c r="G10" s="237" t="s">
        <v>20</v>
      </c>
      <c r="H10" s="233" t="s">
        <v>604</v>
      </c>
      <c r="I10" s="769"/>
      <c r="J10" s="214" t="str">
        <f>+'22'!J10</f>
        <v>T 12,5 VP OW</v>
      </c>
      <c r="K10" s="239"/>
      <c r="L10" s="239"/>
      <c r="M10" s="117">
        <f>+K10+'22'!M10+L10</f>
        <v>19885</v>
      </c>
    </row>
    <row r="11" spans="1:13" ht="77.25" thickBot="1">
      <c r="A11" s="766"/>
      <c r="B11" s="215"/>
      <c r="C11" s="216"/>
      <c r="D11" s="217"/>
      <c r="E11" s="219"/>
      <c r="F11" s="228"/>
      <c r="G11" s="232"/>
      <c r="H11" s="233" t="s">
        <v>611</v>
      </c>
      <c r="I11" s="769"/>
      <c r="J11" s="214" t="str">
        <f>+'22'!J11</f>
        <v>F 12,5 VP OW</v>
      </c>
      <c r="K11" s="239"/>
      <c r="L11" s="239"/>
      <c r="M11" s="117">
        <f>+K11+'22'!M11+L11</f>
        <v>42554</v>
      </c>
    </row>
    <row r="12" spans="1:13" ht="13.5" thickBot="1">
      <c r="A12" s="766"/>
      <c r="B12" s="215"/>
      <c r="C12" s="216"/>
      <c r="D12" s="217"/>
      <c r="E12" s="219"/>
      <c r="F12" s="228"/>
      <c r="G12" s="232"/>
      <c r="H12" s="233"/>
      <c r="I12" s="769"/>
      <c r="J12" s="214" t="str">
        <f>+'22'!J12</f>
        <v>F 13,5 VP OW</v>
      </c>
      <c r="K12" s="239"/>
      <c r="L12" s="239"/>
      <c r="M12" s="117">
        <f>+K12+'22'!M12+L12</f>
        <v>11625</v>
      </c>
    </row>
    <row r="13" spans="1:13" ht="13.5" thickBot="1">
      <c r="A13" s="766"/>
      <c r="B13" s="215"/>
      <c r="C13" s="216"/>
      <c r="D13" s="216"/>
      <c r="E13" s="219"/>
      <c r="F13" s="228"/>
      <c r="G13" s="232"/>
      <c r="H13" s="233"/>
      <c r="I13" s="770"/>
      <c r="J13" s="214">
        <f>+'22'!J13</f>
        <v>0</v>
      </c>
      <c r="K13" s="239"/>
      <c r="L13" s="239"/>
      <c r="M13" s="117">
        <f>+K13+'22'!M13+L13</f>
        <v>0</v>
      </c>
    </row>
    <row r="14" spans="1:13" ht="13.5" thickBot="1">
      <c r="A14" s="767"/>
      <c r="B14" s="165" t="s">
        <v>2</v>
      </c>
      <c r="C14" s="99">
        <f>SUM(C7:C13)</f>
        <v>0</v>
      </c>
      <c r="D14" s="111">
        <f>SUM(D7:D13)</f>
        <v>0</v>
      </c>
      <c r="E14" s="112">
        <f>SUM(E5:E13)</f>
        <v>0</v>
      </c>
      <c r="F14" s="116">
        <f>SUM(F7:F13)</f>
        <v>480</v>
      </c>
      <c r="G14" s="159"/>
      <c r="H14" s="166"/>
      <c r="I14" s="167"/>
      <c r="J14" s="214">
        <f>+'22'!J14</f>
        <v>0</v>
      </c>
      <c r="K14" s="239"/>
      <c r="L14" s="239"/>
      <c r="M14" s="117">
        <f>+K14+'22'!M14+L14</f>
        <v>0</v>
      </c>
    </row>
    <row r="15" spans="1:13" ht="13.5" customHeight="1" thickBot="1">
      <c r="A15" s="765"/>
      <c r="B15" s="165"/>
      <c r="C15" s="113" t="e">
        <f>C14/($C$23+$D$23+$E$23)</f>
        <v>#DIV/0!</v>
      </c>
      <c r="D15" s="114" t="e">
        <f>D14/($C$23+$D$23+$E$23)</f>
        <v>#DIV/0!</v>
      </c>
      <c r="E15" s="115" t="e">
        <f>E14/($C$23+$D$23+$E$23)</f>
        <v>#DIV/0!</v>
      </c>
      <c r="F15" s="228"/>
      <c r="G15" s="229" t="s">
        <v>12</v>
      </c>
      <c r="H15" s="230" t="s">
        <v>466</v>
      </c>
      <c r="I15" s="768"/>
      <c r="J15" s="214">
        <f>+'22'!J15</f>
        <v>0</v>
      </c>
      <c r="K15" s="239"/>
      <c r="L15" s="239"/>
      <c r="M15" s="117">
        <f>+K15+'22'!M15+L15</f>
        <v>0</v>
      </c>
    </row>
    <row r="16" spans="1:13" ht="13.5" thickBot="1">
      <c r="A16" s="771"/>
      <c r="B16" s="215"/>
      <c r="C16" s="222"/>
      <c r="D16" s="223"/>
      <c r="E16" s="224"/>
      <c r="F16" s="231"/>
      <c r="G16" s="560" t="s">
        <v>12</v>
      </c>
      <c r="H16" s="230" t="s">
        <v>432</v>
      </c>
      <c r="I16" s="769"/>
      <c r="J16" s="214">
        <f>+'22'!J16</f>
        <v>0</v>
      </c>
      <c r="K16" s="239"/>
      <c r="L16" s="229"/>
      <c r="M16" s="117">
        <f>+K16+'22'!M16+L16</f>
        <v>0</v>
      </c>
    </row>
    <row r="17" spans="1:13" ht="13.5" thickBot="1">
      <c r="A17" s="771"/>
      <c r="B17" s="215"/>
      <c r="C17" s="216"/>
      <c r="D17" s="217"/>
      <c r="E17" s="225"/>
      <c r="F17" s="228"/>
      <c r="G17" s="560" t="s">
        <v>12</v>
      </c>
      <c r="H17" s="233" t="s">
        <v>507</v>
      </c>
      <c r="I17" s="769"/>
      <c r="J17" s="214">
        <f>+'22'!J17</f>
        <v>0</v>
      </c>
      <c r="K17" s="239"/>
      <c r="L17" s="229"/>
      <c r="M17" s="117">
        <f>+K17+'22'!M17+L17</f>
        <v>0</v>
      </c>
    </row>
    <row r="18" spans="1:13" ht="13.5" thickBot="1">
      <c r="A18" s="771"/>
      <c r="B18" s="215"/>
      <c r="C18" s="216"/>
      <c r="D18" s="217"/>
      <c r="E18" s="225"/>
      <c r="F18" s="228">
        <v>480</v>
      </c>
      <c r="G18" s="237" t="s">
        <v>20</v>
      </c>
      <c r="H18" s="233" t="s">
        <v>604</v>
      </c>
      <c r="I18" s="769"/>
      <c r="J18" s="214">
        <f>+'22'!J18</f>
        <v>0</v>
      </c>
      <c r="K18" s="239"/>
      <c r="L18" s="239"/>
      <c r="M18" s="117">
        <f>+K18+'22'!M18+L18</f>
        <v>0</v>
      </c>
    </row>
    <row r="19" spans="1:13" ht="13.5" thickBot="1">
      <c r="A19" s="771"/>
      <c r="B19" s="215"/>
      <c r="C19" s="216"/>
      <c r="D19" s="217"/>
      <c r="E19" s="225"/>
      <c r="F19" s="235"/>
      <c r="G19" s="232"/>
      <c r="H19" s="233"/>
      <c r="I19" s="769"/>
      <c r="J19" s="214">
        <f>+'22'!J19</f>
        <v>0</v>
      </c>
      <c r="K19" s="239"/>
      <c r="L19" s="239"/>
      <c r="M19" s="117">
        <f>+K19+'22'!M19+L19</f>
        <v>0</v>
      </c>
    </row>
    <row r="20" spans="1:13" ht="13.5" thickBot="1">
      <c r="A20" s="771"/>
      <c r="B20" s="215"/>
      <c r="C20" s="216"/>
      <c r="D20" s="217"/>
      <c r="E20" s="225"/>
      <c r="F20" s="228"/>
      <c r="G20" s="232"/>
      <c r="H20" s="233"/>
      <c r="I20" s="769"/>
      <c r="J20" s="214">
        <f>+'22'!J20</f>
        <v>0</v>
      </c>
      <c r="K20" s="240"/>
      <c r="L20" s="240"/>
      <c r="M20" s="117">
        <f>+K20+'22'!M20+L20</f>
        <v>0</v>
      </c>
    </row>
    <row r="21" spans="1:13" ht="13.5" thickBot="1">
      <c r="A21" s="771"/>
      <c r="B21" s="215"/>
      <c r="C21" s="216"/>
      <c r="D21" s="217"/>
      <c r="E21" s="225"/>
      <c r="F21" s="231"/>
      <c r="G21" s="232"/>
      <c r="H21" s="233"/>
      <c r="I21" s="769"/>
      <c r="J21" s="214">
        <f>+'22'!J21</f>
        <v>0</v>
      </c>
      <c r="K21" s="239"/>
      <c r="L21" s="239"/>
      <c r="M21" s="117">
        <f>+K21+'22'!M21+L21</f>
        <v>0</v>
      </c>
    </row>
    <row r="22" spans="1:13" ht="13.5" thickBot="1">
      <c r="A22" s="771"/>
      <c r="B22" s="215"/>
      <c r="C22" s="216"/>
      <c r="D22" s="217"/>
      <c r="E22" s="225"/>
      <c r="F22" s="236"/>
      <c r="G22" s="232"/>
      <c r="H22" s="233"/>
      <c r="I22" s="770"/>
      <c r="J22" s="214">
        <f>+'22'!J22</f>
        <v>0</v>
      </c>
      <c r="K22" s="239"/>
      <c r="L22" s="239"/>
      <c r="M22" s="117">
        <f>+K22+'22'!M22+L22</f>
        <v>0</v>
      </c>
    </row>
    <row r="23" spans="1:13" ht="13.5" thickBot="1">
      <c r="A23" s="772"/>
      <c r="B23" s="168" t="s">
        <v>2</v>
      </c>
      <c r="C23" s="100">
        <f>SUM(C16:C22)</f>
        <v>0</v>
      </c>
      <c r="D23" s="111">
        <f>SUM(D16:D22)</f>
        <v>0</v>
      </c>
      <c r="E23" s="112">
        <f>SUM(E18:E22)</f>
        <v>0</v>
      </c>
      <c r="F23" s="116">
        <f>SUM(F15:F22)</f>
        <v>480</v>
      </c>
      <c r="G23" s="159"/>
      <c r="H23" s="166"/>
      <c r="I23" s="169"/>
      <c r="J23" s="214">
        <f>+'22'!J23</f>
        <v>0</v>
      </c>
      <c r="K23" s="239"/>
      <c r="L23" s="239"/>
      <c r="M23" s="117">
        <f>+K23+'22'!M23+L23</f>
        <v>0</v>
      </c>
    </row>
    <row r="24" spans="1:13" ht="13.5" customHeight="1" thickBot="1">
      <c r="A24" s="765"/>
      <c r="B24" s="170"/>
      <c r="C24" s="113" t="e">
        <f>C23/($C$23+$D$23+$E$23)</f>
        <v>#DIV/0!</v>
      </c>
      <c r="D24" s="114" t="e">
        <f>D23/($C$23+$D$23+$E$23)</f>
        <v>#DIV/0!</v>
      </c>
      <c r="E24" s="115" t="e">
        <f>E23/($C$23+$D$23+$E$23)</f>
        <v>#DIV/0!</v>
      </c>
      <c r="F24" s="228"/>
      <c r="G24" s="229" t="s">
        <v>12</v>
      </c>
      <c r="H24" s="230" t="s">
        <v>466</v>
      </c>
      <c r="I24" s="768"/>
      <c r="J24" s="214">
        <f>+'22'!J24</f>
        <v>0</v>
      </c>
      <c r="K24" s="239"/>
      <c r="L24" s="239"/>
      <c r="M24" s="117">
        <f>+K24+'22'!M24+L24</f>
        <v>0</v>
      </c>
    </row>
    <row r="25" spans="1:13" ht="13.5" thickBot="1">
      <c r="A25" s="771"/>
      <c r="B25" s="215"/>
      <c r="C25" s="226"/>
      <c r="D25" s="217"/>
      <c r="E25" s="225"/>
      <c r="F25" s="231"/>
      <c r="G25" s="560" t="s">
        <v>12</v>
      </c>
      <c r="H25" s="230" t="s">
        <v>432</v>
      </c>
      <c r="I25" s="769"/>
      <c r="J25" s="214">
        <f>+'22'!J25</f>
        <v>0</v>
      </c>
      <c r="K25" s="239"/>
      <c r="L25" s="239"/>
      <c r="M25" s="117">
        <f>+K25+'22'!M25+L25</f>
        <v>0</v>
      </c>
    </row>
    <row r="26" spans="1:13" ht="13.5" thickBot="1">
      <c r="A26" s="771"/>
      <c r="B26" s="215"/>
      <c r="C26" s="226"/>
      <c r="D26" s="217"/>
      <c r="E26" s="227"/>
      <c r="F26" s="228"/>
      <c r="G26" s="560" t="s">
        <v>12</v>
      </c>
      <c r="H26" s="233" t="s">
        <v>507</v>
      </c>
      <c r="I26" s="769"/>
      <c r="J26" s="214">
        <f>+'22'!J26</f>
        <v>0</v>
      </c>
      <c r="K26" s="239"/>
      <c r="L26" s="239"/>
      <c r="M26" s="117">
        <f>+K26+'22'!M26+L26</f>
        <v>0</v>
      </c>
    </row>
    <row r="27" spans="1:13" ht="13.5" thickBot="1">
      <c r="A27" s="771"/>
      <c r="B27" s="215"/>
      <c r="C27" s="216"/>
      <c r="D27" s="217"/>
      <c r="E27" s="225"/>
      <c r="F27" s="228">
        <v>480</v>
      </c>
      <c r="G27" s="237" t="s">
        <v>20</v>
      </c>
      <c r="H27" s="233" t="s">
        <v>604</v>
      </c>
      <c r="I27" s="769"/>
      <c r="J27" s="214">
        <f>+'22'!J27</f>
        <v>0</v>
      </c>
      <c r="K27" s="239"/>
      <c r="L27" s="239"/>
      <c r="M27" s="117">
        <f>+K27+'22'!M27+L27</f>
        <v>0</v>
      </c>
    </row>
    <row r="28" spans="1:13" ht="51.75" thickBot="1">
      <c r="A28" s="771"/>
      <c r="B28" s="215"/>
      <c r="C28" s="216"/>
      <c r="D28" s="217"/>
      <c r="E28" s="225"/>
      <c r="F28" s="235"/>
      <c r="G28" s="232"/>
      <c r="H28" s="233" t="s">
        <v>610</v>
      </c>
      <c r="I28" s="769"/>
      <c r="J28" s="214">
        <f>+'22'!J28</f>
        <v>0</v>
      </c>
      <c r="K28" s="239"/>
      <c r="L28" s="239"/>
      <c r="M28" s="117">
        <f>+K28+'22'!M28+L28</f>
        <v>0</v>
      </c>
    </row>
    <row r="29" spans="1:13" ht="13.5" thickBot="1">
      <c r="A29" s="771"/>
      <c r="B29" s="215"/>
      <c r="C29" s="216"/>
      <c r="D29" s="217"/>
      <c r="E29" s="225"/>
      <c r="F29" s="236"/>
      <c r="G29" s="232"/>
      <c r="H29" s="233"/>
      <c r="I29" s="769"/>
      <c r="J29" s="214">
        <f>+'22'!J29</f>
        <v>0</v>
      </c>
      <c r="K29" s="239"/>
      <c r="L29" s="239"/>
      <c r="M29" s="117">
        <f>+K29+'22'!M29+L29</f>
        <v>0</v>
      </c>
    </row>
    <row r="30" spans="1:13" ht="13.5" thickBot="1">
      <c r="A30" s="771"/>
      <c r="B30" s="215"/>
      <c r="C30" s="226"/>
      <c r="D30" s="217"/>
      <c r="E30" s="225"/>
      <c r="F30" s="236"/>
      <c r="G30" s="232"/>
      <c r="H30" s="233"/>
      <c r="I30" s="769"/>
      <c r="J30" s="214">
        <f>+'22'!J30</f>
        <v>0</v>
      </c>
      <c r="K30" s="239"/>
      <c r="L30" s="239"/>
      <c r="M30" s="117">
        <f>+K30+'22'!M30+L30</f>
        <v>0</v>
      </c>
    </row>
    <row r="31" spans="1:13" ht="13.5" thickBot="1">
      <c r="A31" s="771"/>
      <c r="B31" s="215"/>
      <c r="C31" s="226"/>
      <c r="D31" s="217"/>
      <c r="E31" s="225"/>
      <c r="F31" s="236"/>
      <c r="G31" s="237"/>
      <c r="H31" s="445"/>
      <c r="I31" s="770"/>
      <c r="J31" s="214">
        <f>+'22'!J31</f>
        <v>0</v>
      </c>
      <c r="K31" s="239"/>
      <c r="L31" s="239"/>
      <c r="M31" s="117">
        <f>+K31+'22'!M31+L31</f>
        <v>0</v>
      </c>
    </row>
    <row r="32" spans="1:13" ht="13.5" thickBot="1">
      <c r="A32" s="772"/>
      <c r="B32" s="165" t="s">
        <v>2</v>
      </c>
      <c r="C32" s="99">
        <f>SUM(C25:C31)</f>
        <v>0</v>
      </c>
      <c r="D32" s="100">
        <f>SUM(D25:D31)</f>
        <v>0</v>
      </c>
      <c r="E32" s="101">
        <f>SUM(E25:E31)</f>
        <v>0</v>
      </c>
      <c r="F32" s="102">
        <f>SUM(F24:F31)</f>
        <v>480</v>
      </c>
      <c r="G32" s="171"/>
      <c r="H32" s="172"/>
      <c r="I32" s="169"/>
      <c r="J32" s="214">
        <f>+'22'!J32</f>
        <v>0</v>
      </c>
      <c r="K32" s="241"/>
      <c r="L32" s="243"/>
      <c r="M32" s="117">
        <f>+K32+'22'!M32+L32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244">
        <f>(10.3*1440)/1440*G42*2.74*1440/1000000</f>
        <v>0</v>
      </c>
      <c r="J37" s="125" t="e">
        <f>+I37+'22'!J37</f>
        <v>#DIV/0!</v>
      </c>
      <c r="K37" s="126" t="s">
        <v>63</v>
      </c>
    </row>
    <row r="38" spans="1:13" ht="17.45" customHeight="1">
      <c r="A38" s="755" t="s">
        <v>12</v>
      </c>
      <c r="B38" s="756"/>
      <c r="C38" s="164">
        <f>SUMIF($G$7:$G$31,"Process",$F$7:$F$31)</f>
        <v>0</v>
      </c>
      <c r="D38" s="118">
        <f>+C38+'22'!D38</f>
        <v>860</v>
      </c>
      <c r="E38" s="143">
        <f t="shared" ref="E38:E51" si="0">D38/60</f>
        <v>14.333333333333334</v>
      </c>
      <c r="F38" s="322"/>
      <c r="G38" s="322"/>
      <c r="H38" s="187" t="s">
        <v>64</v>
      </c>
      <c r="I38" s="245"/>
      <c r="J38" s="127">
        <f>+I38+'22'!J38</f>
        <v>440.91260000000005</v>
      </c>
      <c r="K38" s="128" t="s">
        <v>63</v>
      </c>
    </row>
    <row r="39" spans="1:13" ht="17.45" customHeight="1">
      <c r="A39" s="759" t="s">
        <v>13</v>
      </c>
      <c r="B39" s="760"/>
      <c r="C39" s="164">
        <f>SUMIF($G$7:$G$31,"Cleaning",$F$7:$F$31)</f>
        <v>0</v>
      </c>
      <c r="D39" s="118">
        <f>+C39+'22'!D39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+C40+'22'!D40</f>
        <v>0</v>
      </c>
      <c r="E40" s="143">
        <f t="shared" si="0"/>
        <v>0</v>
      </c>
      <c r="F40" s="322"/>
      <c r="G40" s="322"/>
      <c r="H40" s="187" t="s">
        <v>67</v>
      </c>
      <c r="I40" s="118">
        <f>(K34+L34)/1000</f>
        <v>0</v>
      </c>
      <c r="J40" s="131">
        <f>+I40+'22'!J40</f>
        <v>413.67199999999991</v>
      </c>
      <c r="K40" s="130" t="s">
        <v>63</v>
      </c>
    </row>
    <row r="41" spans="1:13" ht="17.45" customHeight="1">
      <c r="A41" s="759" t="s">
        <v>68</v>
      </c>
      <c r="B41" s="760"/>
      <c r="C41" s="164">
        <f>SUMIF($G$7:$G$31,"Electrical",$F$7:$F$31)</f>
        <v>0</v>
      </c>
      <c r="D41" s="118">
        <f>+C41+'22'!D41</f>
        <v>550</v>
      </c>
      <c r="E41" s="143">
        <f t="shared" si="0"/>
        <v>9.1666666666666661</v>
      </c>
      <c r="F41" s="322"/>
      <c r="G41" s="322"/>
      <c r="H41" s="187" t="s">
        <v>69</v>
      </c>
      <c r="I41" s="142"/>
      <c r="J41" s="129">
        <f>J40/G4</f>
        <v>17.98573913043478</v>
      </c>
      <c r="K41" s="130" t="s">
        <v>63</v>
      </c>
    </row>
    <row r="42" spans="1:13" ht="17.45" customHeight="1">
      <c r="A42" s="759" t="s">
        <v>16</v>
      </c>
      <c r="B42" s="760"/>
      <c r="C42" s="164">
        <f>SUMIF($G$7:$G$31,"Instrument",$F$7:$F$31)</f>
        <v>0</v>
      </c>
      <c r="D42" s="118">
        <f>+C42+'22'!D42</f>
        <v>0</v>
      </c>
      <c r="E42" s="143">
        <f t="shared" si="0"/>
        <v>0</v>
      </c>
      <c r="F42" s="322"/>
      <c r="G42" s="322"/>
      <c r="H42" s="187" t="s">
        <v>70</v>
      </c>
      <c r="I42" s="246"/>
      <c r="J42" s="132"/>
      <c r="K42" s="130" t="s">
        <v>71</v>
      </c>
    </row>
    <row r="43" spans="1:13" ht="17.45" customHeight="1">
      <c r="A43" s="759" t="s">
        <v>72</v>
      </c>
      <c r="B43" s="760"/>
      <c r="C43" s="164">
        <f>SUMIF($G$7:$G$31,"Water",$F$7:$F$31)</f>
        <v>0</v>
      </c>
      <c r="D43" s="118">
        <f>+C43+'22'!D43</f>
        <v>0</v>
      </c>
      <c r="E43" s="143">
        <f t="shared" si="0"/>
        <v>0</v>
      </c>
      <c r="F43" s="322"/>
      <c r="G43" s="323"/>
      <c r="H43" s="188" t="s">
        <v>73</v>
      </c>
      <c r="I43" s="118">
        <f>+Report1!Z31</f>
        <v>21.1</v>
      </c>
      <c r="J43" s="133">
        <f>+I43+'22'!J43</f>
        <v>753.40000000000009</v>
      </c>
      <c r="K43" s="130" t="s">
        <v>63</v>
      </c>
      <c r="L43" s="189"/>
    </row>
    <row r="44" spans="1:13" ht="17.45" customHeight="1">
      <c r="A44" s="759" t="s">
        <v>17</v>
      </c>
      <c r="B44" s="760"/>
      <c r="C44" s="164">
        <f>SUMIF($G$7:$G$31,"PLN",$F$7:$F$31)</f>
        <v>0</v>
      </c>
      <c r="D44" s="118">
        <f>+C44+'22'!D44</f>
        <v>0</v>
      </c>
      <c r="E44" s="143">
        <f t="shared" si="0"/>
        <v>0</v>
      </c>
      <c r="F44" s="322"/>
      <c r="G44" s="323"/>
      <c r="H44" s="188" t="s">
        <v>74</v>
      </c>
      <c r="I44" s="118" t="e">
        <f>I43/I38</f>
        <v>#DIV/0!</v>
      </c>
      <c r="J44" s="134">
        <f>J43/J38</f>
        <v>1.7087286686749257</v>
      </c>
      <c r="K44" s="130" t="s">
        <v>63</v>
      </c>
    </row>
    <row r="45" spans="1:13" ht="17.45" customHeight="1">
      <c r="A45" s="759" t="s">
        <v>18</v>
      </c>
      <c r="B45" s="760"/>
      <c r="C45" s="164">
        <f>SUMIF($G$7:$G$31,"Boiler",$F$7:$F$31)</f>
        <v>0</v>
      </c>
      <c r="D45" s="118">
        <f>+C45+'22'!D45</f>
        <v>0</v>
      </c>
      <c r="E45" s="143">
        <f t="shared" si="0"/>
        <v>0</v>
      </c>
      <c r="F45" s="322"/>
      <c r="G45" s="325"/>
      <c r="H45" s="188" t="s">
        <v>75</v>
      </c>
      <c r="I45" s="118" t="e">
        <f>I43/I40</f>
        <v>#DIV/0!</v>
      </c>
      <c r="J45" s="134">
        <f>J43/J40</f>
        <v>1.8212496857413609</v>
      </c>
      <c r="K45" s="130" t="s">
        <v>63</v>
      </c>
    </row>
    <row r="46" spans="1:13" ht="17.45" customHeight="1">
      <c r="A46" s="759" t="s">
        <v>76</v>
      </c>
      <c r="B46" s="760"/>
      <c r="C46" s="164">
        <f>SUMIF($G$7:$G$31,"Gas",$F$7:$F$31)</f>
        <v>0</v>
      </c>
      <c r="D46" s="118">
        <f>+C46+'22'!D46</f>
        <v>0</v>
      </c>
      <c r="E46" s="143">
        <f t="shared" si="0"/>
        <v>0</v>
      </c>
      <c r="F46" s="322"/>
      <c r="G46" s="323"/>
      <c r="H46" s="188" t="s">
        <v>77</v>
      </c>
      <c r="I46" s="140">
        <f>+SUMIF(Listrik!P30,"&gt;0")</f>
        <v>7439.9000000014548</v>
      </c>
      <c r="J46" s="135">
        <f>+I46+'22'!J46</f>
        <v>479804.4200000015</v>
      </c>
      <c r="K46" s="130" t="s">
        <v>78</v>
      </c>
    </row>
    <row r="47" spans="1:13" ht="17.45" customHeight="1">
      <c r="A47" s="759" t="s">
        <v>79</v>
      </c>
      <c r="B47" s="760"/>
      <c r="C47" s="164">
        <f>SUMIF($G$7:$G$31,"Gas",$F$7:$F$31)</f>
        <v>0</v>
      </c>
      <c r="D47" s="118">
        <f>+C47+'22'!D47</f>
        <v>0</v>
      </c>
      <c r="E47" s="143">
        <f t="shared" si="0"/>
        <v>0</v>
      </c>
      <c r="F47" s="322"/>
      <c r="G47" s="323"/>
      <c r="H47" s="188" t="s">
        <v>80</v>
      </c>
      <c r="I47" s="118" t="e">
        <f>I46/I38</f>
        <v>#DIV/0!</v>
      </c>
      <c r="J47" s="135">
        <f>J46/J38</f>
        <v>1088.2075495234235</v>
      </c>
      <c r="K47" s="130" t="s">
        <v>24</v>
      </c>
    </row>
    <row r="48" spans="1:13" ht="17.45" customHeight="1">
      <c r="A48" s="759" t="s">
        <v>14</v>
      </c>
      <c r="B48" s="760"/>
      <c r="C48" s="164">
        <f>SUMIF($G$7:$G$31,"Start Up",$F$7:$F$31)</f>
        <v>0</v>
      </c>
      <c r="D48" s="118">
        <f>+C48+'22'!D48</f>
        <v>0</v>
      </c>
      <c r="E48" s="143">
        <f t="shared" si="0"/>
        <v>0</v>
      </c>
      <c r="F48" s="322"/>
      <c r="G48" s="323"/>
      <c r="H48" s="188" t="s">
        <v>81</v>
      </c>
      <c r="I48" s="118" t="e">
        <f>I46/I40</f>
        <v>#DIV/0!</v>
      </c>
      <c r="J48" s="135">
        <f>J46/J40</f>
        <v>1159.8668026842561</v>
      </c>
      <c r="K48" s="130" t="s">
        <v>24</v>
      </c>
    </row>
    <row r="49" spans="1:11" ht="17.45" customHeight="1">
      <c r="A49" s="759" t="s">
        <v>20</v>
      </c>
      <c r="B49" s="760"/>
      <c r="C49" s="164">
        <f>SUMIF($G$7:$G$31,"Others",$F$7:$F$31)</f>
        <v>1440</v>
      </c>
      <c r="D49" s="118">
        <f>+C49+'22'!D49</f>
        <v>15390</v>
      </c>
      <c r="E49" s="143">
        <f t="shared" si="0"/>
        <v>256.5</v>
      </c>
      <c r="F49" s="185"/>
      <c r="H49" s="188" t="s">
        <v>272</v>
      </c>
      <c r="I49" s="118">
        <f>+Report1!T31</f>
        <v>0</v>
      </c>
      <c r="J49" s="135">
        <f>+I49+'22'!J49</f>
        <v>41069.474159648547</v>
      </c>
      <c r="K49" s="130" t="s">
        <v>82</v>
      </c>
    </row>
    <row r="50" spans="1:11" ht="17.45" customHeight="1">
      <c r="A50" s="759" t="s">
        <v>19</v>
      </c>
      <c r="B50" s="760"/>
      <c r="C50" s="164">
        <f>SUMIF($G$7:$G$31,"Steam",$F$7:$F$31)</f>
        <v>0</v>
      </c>
      <c r="D50" s="118">
        <f>+C50+'22'!D50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+C51+'22'!D51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18355</v>
      </c>
      <c r="E52" s="145">
        <f>SUM(E38:E51)</f>
        <v>305.91666666666669</v>
      </c>
      <c r="F52" s="185"/>
      <c r="H52" s="191"/>
      <c r="I52" s="192"/>
      <c r="J52" s="138"/>
      <c r="K52" s="139"/>
    </row>
    <row r="53" spans="1:11" ht="13.5" thickBot="1">
      <c r="A53" s="757"/>
      <c r="B53" s="758"/>
      <c r="C53" s="146">
        <f>C52/(24*60)</f>
        <v>1</v>
      </c>
      <c r="D53" s="146">
        <f>D52/(24*60*G4)</f>
        <v>0.55419685990338163</v>
      </c>
      <c r="E53" s="147">
        <f>E52/(G4*24)</f>
        <v>0.55419685990338163</v>
      </c>
      <c r="F53" s="185"/>
    </row>
    <row r="54" spans="1:11">
      <c r="E54" s="193"/>
      <c r="F54" s="185"/>
    </row>
    <row r="55" spans="1:11">
      <c r="E55" s="193"/>
    </row>
    <row r="56" spans="1:11">
      <c r="A56" s="194" t="s">
        <v>86</v>
      </c>
      <c r="B56" s="195"/>
      <c r="C56" s="196"/>
      <c r="D56" s="196"/>
      <c r="E56" s="196"/>
      <c r="F56" s="197"/>
      <c r="G56" s="196"/>
      <c r="H56" s="198"/>
      <c r="I56" s="199" t="s">
        <v>87</v>
      </c>
      <c r="J56" s="200">
        <f>+D34+'22'!J56</f>
        <v>10652</v>
      </c>
      <c r="K56" s="201">
        <f>J56/(J40+J56/1000)/1000</f>
        <v>2.5103458677802816E-2</v>
      </c>
    </row>
    <row r="57" spans="1:11">
      <c r="A57" s="176"/>
      <c r="I57" s="199" t="s">
        <v>88</v>
      </c>
      <c r="J57" s="200">
        <f>+E34+'22'!J57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7:A14"/>
    <mergeCell ref="I7:I13"/>
    <mergeCell ref="A15:A23"/>
    <mergeCell ref="I15:I22"/>
    <mergeCell ref="A38:B38"/>
    <mergeCell ref="A39:B39"/>
    <mergeCell ref="A24:A32"/>
    <mergeCell ref="I24:I31"/>
    <mergeCell ref="A34:B34"/>
    <mergeCell ref="A37:B37"/>
    <mergeCell ref="A46:B46"/>
    <mergeCell ref="A51:B51"/>
    <mergeCell ref="A40:B40"/>
    <mergeCell ref="A41:B41"/>
    <mergeCell ref="A42:B42"/>
    <mergeCell ref="A43:B43"/>
    <mergeCell ref="A44:B44"/>
    <mergeCell ref="A45:B45"/>
    <mergeCell ref="A52:B52"/>
    <mergeCell ref="A53:B53"/>
    <mergeCell ref="A47:B47"/>
    <mergeCell ref="A48:B48"/>
    <mergeCell ref="A49:B49"/>
    <mergeCell ref="A50:B50"/>
  </mergeCells>
  <phoneticPr fontId="32" type="noConversion"/>
  <printOptions horizontalCentered="1"/>
  <pageMargins left="0.19513888888888889" right="0.19513888888888889" top="0.19513888888888889" bottom="0.19513888888888889" header="0" footer="0"/>
  <pageSetup paperSize="9" scale="65" firstPageNumber="4294963191" orientation="landscape"/>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zoomScale="80" zoomScaleNormal="80" workbookViewId="0">
      <selection activeCell="F7" sqref="F7:F3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7109375" style="149" bestFit="1" customWidth="1"/>
    <col min="12" max="12" width="8.28515625" style="149" customWidth="1"/>
    <col min="13" max="13" width="15.28515625" style="149" customWidth="1"/>
    <col min="14" max="16384" width="9.140625" style="149"/>
  </cols>
  <sheetData>
    <row r="1" spans="1:13" ht="15.75">
      <c r="A1" s="148"/>
    </row>
    <row r="2" spans="1:13" ht="15.75">
      <c r="A2" s="148" t="s">
        <v>185</v>
      </c>
    </row>
    <row r="3" spans="1:13" ht="15">
      <c r="A3" s="150"/>
    </row>
    <row r="4" spans="1:13" ht="20.25">
      <c r="A4" s="151" t="s">
        <v>3</v>
      </c>
      <c r="B4" s="152"/>
      <c r="F4" s="153" t="s">
        <v>29</v>
      </c>
      <c r="G4" s="154">
        <v>22</v>
      </c>
      <c r="H4" s="154" t="str">
        <f>+'1'!H4</f>
        <v>.9.25</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c r="E7" s="218"/>
      <c r="F7" s="228"/>
      <c r="G7" s="229" t="s">
        <v>12</v>
      </c>
      <c r="H7" s="230" t="s">
        <v>466</v>
      </c>
      <c r="I7" s="768"/>
      <c r="J7" s="214" t="str">
        <f>+'21'!J7</f>
        <v>F 12 VP OW</v>
      </c>
      <c r="K7" s="238"/>
      <c r="L7" s="242"/>
      <c r="M7" s="117">
        <f>+K7+'21'!M7+L7</f>
        <v>172842</v>
      </c>
    </row>
    <row r="8" spans="1:13" ht="13.5" thickBot="1">
      <c r="A8" s="766"/>
      <c r="B8" s="215"/>
      <c r="C8" s="216"/>
      <c r="D8" s="217"/>
      <c r="E8" s="219"/>
      <c r="F8" s="231"/>
      <c r="G8" s="560" t="s">
        <v>12</v>
      </c>
      <c r="H8" s="230" t="s">
        <v>432</v>
      </c>
      <c r="I8" s="769"/>
      <c r="J8" s="214" t="str">
        <f>+'21'!J8</f>
        <v>F 13 VP OW</v>
      </c>
      <c r="K8" s="239"/>
      <c r="L8" s="239"/>
      <c r="M8" s="117">
        <f>+K8+'21'!M8+L8</f>
        <v>66206</v>
      </c>
    </row>
    <row r="9" spans="1:13" ht="13.5" thickBot="1">
      <c r="A9" s="766"/>
      <c r="B9" s="215"/>
      <c r="C9" s="216"/>
      <c r="D9" s="217"/>
      <c r="E9" s="220"/>
      <c r="F9" s="228"/>
      <c r="G9" s="560" t="s">
        <v>12</v>
      </c>
      <c r="H9" s="233" t="s">
        <v>507</v>
      </c>
      <c r="I9" s="769"/>
      <c r="J9" s="214" t="str">
        <f>+'21'!J9</f>
        <v>F 14 VP OW</v>
      </c>
      <c r="K9" s="239"/>
      <c r="L9" s="239"/>
      <c r="M9" s="117">
        <f>+K9+'21'!M9+L9</f>
        <v>100560</v>
      </c>
    </row>
    <row r="10" spans="1:13" ht="13.5" thickBot="1">
      <c r="A10" s="766"/>
      <c r="B10" s="215"/>
      <c r="C10" s="216"/>
      <c r="D10" s="217"/>
      <c r="E10" s="219"/>
      <c r="F10" s="228">
        <v>480</v>
      </c>
      <c r="G10" s="237" t="s">
        <v>20</v>
      </c>
      <c r="H10" s="233" t="s">
        <v>604</v>
      </c>
      <c r="I10" s="769"/>
      <c r="J10" s="214" t="str">
        <f>+'21'!J10</f>
        <v>T 12,5 VP OW</v>
      </c>
      <c r="K10" s="239"/>
      <c r="L10" s="239"/>
      <c r="M10" s="117">
        <f>+K10+'21'!M10+L10</f>
        <v>19885</v>
      </c>
    </row>
    <row r="11" spans="1:13" ht="141" thickBot="1">
      <c r="A11" s="766"/>
      <c r="B11" s="215"/>
      <c r="C11" s="216"/>
      <c r="D11" s="217"/>
      <c r="E11" s="219"/>
      <c r="F11" s="228"/>
      <c r="G11" s="232"/>
      <c r="H11" s="233" t="s">
        <v>609</v>
      </c>
      <c r="I11" s="769"/>
      <c r="J11" s="214" t="str">
        <f>+'21'!J11</f>
        <v>F 12,5 VP OW</v>
      </c>
      <c r="K11" s="239"/>
      <c r="L11" s="239"/>
      <c r="M11" s="117">
        <f>+K11+'21'!M11+L11</f>
        <v>42554</v>
      </c>
    </row>
    <row r="12" spans="1:13" ht="13.5" thickBot="1">
      <c r="A12" s="766"/>
      <c r="B12" s="215"/>
      <c r="C12" s="216"/>
      <c r="D12" s="217"/>
      <c r="E12" s="219"/>
      <c r="F12" s="228"/>
      <c r="G12" s="232"/>
      <c r="H12" s="233"/>
      <c r="I12" s="769"/>
      <c r="J12" s="214" t="str">
        <f>+'21'!J12</f>
        <v>F 13,5 VP OW</v>
      </c>
      <c r="K12" s="239"/>
      <c r="L12" s="239"/>
      <c r="M12" s="117">
        <f>+K12+'21'!M12+L12</f>
        <v>11625</v>
      </c>
    </row>
    <row r="13" spans="1:13" ht="13.5" thickBot="1">
      <c r="A13" s="766"/>
      <c r="B13" s="215"/>
      <c r="C13" s="216"/>
      <c r="D13" s="216"/>
      <c r="E13" s="219"/>
      <c r="F13" s="228"/>
      <c r="G13" s="232"/>
      <c r="H13" s="233"/>
      <c r="I13" s="770"/>
      <c r="J13" s="214">
        <f>+'21'!J13</f>
        <v>0</v>
      </c>
      <c r="K13" s="239"/>
      <c r="L13" s="239"/>
      <c r="M13" s="117">
        <f>+K13+'21'!M13+L13</f>
        <v>0</v>
      </c>
    </row>
    <row r="14" spans="1:13" ht="13.5" thickBot="1">
      <c r="A14" s="767"/>
      <c r="B14" s="165" t="s">
        <v>2</v>
      </c>
      <c r="C14" s="99">
        <f>SUM(C7:C13)</f>
        <v>0</v>
      </c>
      <c r="D14" s="111">
        <f>SUM(D7:D13)</f>
        <v>0</v>
      </c>
      <c r="E14" s="112">
        <f>SUM(E5:E13)</f>
        <v>0</v>
      </c>
      <c r="F14" s="116">
        <f>SUM(F7:F13)</f>
        <v>480</v>
      </c>
      <c r="G14" s="159"/>
      <c r="H14" s="166"/>
      <c r="I14" s="167"/>
      <c r="J14" s="214">
        <f>+'21'!J14</f>
        <v>0</v>
      </c>
      <c r="K14" s="239"/>
      <c r="L14" s="239"/>
      <c r="M14" s="117">
        <f>+K14+'21'!M14+L14</f>
        <v>0</v>
      </c>
    </row>
    <row r="15" spans="1:13" ht="13.5" customHeight="1" thickBot="1">
      <c r="A15" s="765"/>
      <c r="B15" s="165"/>
      <c r="C15" s="113" t="e">
        <f>C14/($C$23+$D$23+$E$23)</f>
        <v>#DIV/0!</v>
      </c>
      <c r="D15" s="114" t="e">
        <f>D14/($C$23+$D$23+$E$23)</f>
        <v>#DIV/0!</v>
      </c>
      <c r="E15" s="115" t="e">
        <f>E14/($C$23+$D$23+$E$23)</f>
        <v>#DIV/0!</v>
      </c>
      <c r="F15" s="228"/>
      <c r="G15" s="229" t="s">
        <v>12</v>
      </c>
      <c r="H15" s="230" t="s">
        <v>466</v>
      </c>
      <c r="I15" s="768"/>
      <c r="J15" s="214">
        <f>+'21'!J15</f>
        <v>0</v>
      </c>
      <c r="K15" s="239"/>
      <c r="L15" s="239"/>
      <c r="M15" s="117">
        <f>+K15+'21'!M15+L15</f>
        <v>0</v>
      </c>
    </row>
    <row r="16" spans="1:13" ht="13.5" thickBot="1">
      <c r="A16" s="771"/>
      <c r="B16" s="215"/>
      <c r="C16" s="222"/>
      <c r="D16" s="223"/>
      <c r="E16" s="224"/>
      <c r="F16" s="231"/>
      <c r="G16" s="560" t="s">
        <v>12</v>
      </c>
      <c r="H16" s="230" t="s">
        <v>432</v>
      </c>
      <c r="I16" s="769"/>
      <c r="J16" s="214">
        <f>+'21'!J16</f>
        <v>0</v>
      </c>
      <c r="K16" s="229"/>
      <c r="L16" s="229"/>
      <c r="M16" s="117">
        <f>+K16+'21'!M16+L16</f>
        <v>0</v>
      </c>
    </row>
    <row r="17" spans="1:13" ht="13.5" thickBot="1">
      <c r="A17" s="771"/>
      <c r="B17" s="215"/>
      <c r="C17" s="216"/>
      <c r="D17" s="217"/>
      <c r="E17" s="225"/>
      <c r="F17" s="228"/>
      <c r="G17" s="560" t="s">
        <v>12</v>
      </c>
      <c r="H17" s="233" t="s">
        <v>507</v>
      </c>
      <c r="I17" s="769"/>
      <c r="J17" s="214">
        <f>+'21'!J17</f>
        <v>0</v>
      </c>
      <c r="K17" s="229"/>
      <c r="L17" s="229"/>
      <c r="M17" s="117">
        <f>+K17+'21'!M17+L17</f>
        <v>0</v>
      </c>
    </row>
    <row r="18" spans="1:13" ht="13.5" thickBot="1">
      <c r="A18" s="771"/>
      <c r="B18" s="215"/>
      <c r="C18" s="216"/>
      <c r="D18" s="217"/>
      <c r="E18" s="225"/>
      <c r="F18" s="228">
        <v>480</v>
      </c>
      <c r="G18" s="237" t="s">
        <v>20</v>
      </c>
      <c r="H18" s="233" t="s">
        <v>604</v>
      </c>
      <c r="I18" s="769"/>
      <c r="J18" s="214">
        <f>+'21'!J18</f>
        <v>0</v>
      </c>
      <c r="K18" s="239"/>
      <c r="L18" s="239"/>
      <c r="M18" s="117">
        <f>+K18+'21'!M18+L18</f>
        <v>0</v>
      </c>
    </row>
    <row r="19" spans="1:13" ht="13.5" thickBot="1">
      <c r="A19" s="771"/>
      <c r="B19" s="215"/>
      <c r="C19" s="216"/>
      <c r="D19" s="217"/>
      <c r="E19" s="225"/>
      <c r="F19" s="235"/>
      <c r="G19" s="232"/>
      <c r="H19" s="233"/>
      <c r="I19" s="769"/>
      <c r="J19" s="214">
        <f>+'21'!J19</f>
        <v>0</v>
      </c>
      <c r="K19" s="239"/>
      <c r="L19" s="239"/>
      <c r="M19" s="117">
        <f>+K19+'21'!M19+L19</f>
        <v>0</v>
      </c>
    </row>
    <row r="20" spans="1:13" ht="13.5" thickBot="1">
      <c r="A20" s="771"/>
      <c r="B20" s="215"/>
      <c r="C20" s="216"/>
      <c r="D20" s="217"/>
      <c r="E20" s="225"/>
      <c r="F20" s="228"/>
      <c r="G20" s="232"/>
      <c r="H20" s="233"/>
      <c r="I20" s="769"/>
      <c r="J20" s="214">
        <f>+'21'!J20</f>
        <v>0</v>
      </c>
      <c r="K20" s="240"/>
      <c r="L20" s="240"/>
      <c r="M20" s="117">
        <f>+K20+'21'!M20+L20</f>
        <v>0</v>
      </c>
    </row>
    <row r="21" spans="1:13" ht="13.5" thickBot="1">
      <c r="A21" s="771"/>
      <c r="B21" s="215"/>
      <c r="C21" s="216"/>
      <c r="D21" s="217"/>
      <c r="E21" s="225"/>
      <c r="F21" s="231"/>
      <c r="G21" s="232"/>
      <c r="H21" s="233"/>
      <c r="I21" s="769"/>
      <c r="J21" s="214">
        <f>+'21'!J21</f>
        <v>0</v>
      </c>
      <c r="K21" s="239"/>
      <c r="L21" s="239"/>
      <c r="M21" s="117">
        <f>+K21+'21'!M21+L21</f>
        <v>0</v>
      </c>
    </row>
    <row r="22" spans="1:13" ht="13.5" thickBot="1">
      <c r="A22" s="771"/>
      <c r="B22" s="215"/>
      <c r="C22" s="216"/>
      <c r="D22" s="217"/>
      <c r="E22" s="225"/>
      <c r="F22" s="236"/>
      <c r="G22" s="232"/>
      <c r="H22" s="233"/>
      <c r="I22" s="770"/>
      <c r="J22" s="214">
        <f>+'21'!J22</f>
        <v>0</v>
      </c>
      <c r="K22" s="239"/>
      <c r="L22" s="239"/>
      <c r="M22" s="117">
        <f>+K22+'21'!M22+L22</f>
        <v>0</v>
      </c>
    </row>
    <row r="23" spans="1:13" ht="13.5" thickBot="1">
      <c r="A23" s="772"/>
      <c r="B23" s="168" t="s">
        <v>2</v>
      </c>
      <c r="C23" s="100">
        <f>SUM(C16:C22)</f>
        <v>0</v>
      </c>
      <c r="D23" s="111">
        <f>SUM(D16:D22)</f>
        <v>0</v>
      </c>
      <c r="E23" s="112">
        <f>SUM(E18:E22)</f>
        <v>0</v>
      </c>
      <c r="F23" s="116">
        <f>SUM(F15:F22)</f>
        <v>480</v>
      </c>
      <c r="G23" s="159"/>
      <c r="H23" s="166"/>
      <c r="I23" s="169"/>
      <c r="J23" s="214">
        <f>+'21'!J23</f>
        <v>0</v>
      </c>
      <c r="K23" s="239"/>
      <c r="L23" s="239"/>
      <c r="M23" s="117">
        <f>+K23+'21'!M23+L23</f>
        <v>0</v>
      </c>
    </row>
    <row r="24" spans="1:13" ht="13.5" customHeight="1" thickBot="1">
      <c r="A24" s="765"/>
      <c r="B24" s="170"/>
      <c r="C24" s="113" t="e">
        <f>C23/($C$23+$D$23+$E$23)</f>
        <v>#DIV/0!</v>
      </c>
      <c r="D24" s="114" t="e">
        <f>D23/($C$23+$D$23+$E$23)</f>
        <v>#DIV/0!</v>
      </c>
      <c r="E24" s="115" t="e">
        <f>E23/($C$23+$D$23+$E$23)</f>
        <v>#DIV/0!</v>
      </c>
      <c r="F24" s="228"/>
      <c r="G24" s="229" t="s">
        <v>12</v>
      </c>
      <c r="H24" s="230" t="s">
        <v>466</v>
      </c>
      <c r="I24" s="768"/>
      <c r="J24" s="214">
        <f>+'21'!J24</f>
        <v>0</v>
      </c>
      <c r="K24" s="239"/>
      <c r="L24" s="239"/>
      <c r="M24" s="117">
        <f>+K24+'21'!M24+L24</f>
        <v>0</v>
      </c>
    </row>
    <row r="25" spans="1:13" ht="13.5" thickBot="1">
      <c r="A25" s="771"/>
      <c r="B25" s="215"/>
      <c r="C25" s="226"/>
      <c r="D25" s="217"/>
      <c r="E25" s="225"/>
      <c r="F25" s="231"/>
      <c r="G25" s="560" t="s">
        <v>12</v>
      </c>
      <c r="H25" s="230" t="s">
        <v>432</v>
      </c>
      <c r="I25" s="769"/>
      <c r="J25" s="214">
        <f>+'21'!J25</f>
        <v>0</v>
      </c>
      <c r="K25" s="239"/>
      <c r="L25" s="239"/>
      <c r="M25" s="117">
        <f>+K25+'21'!M25+L25</f>
        <v>0</v>
      </c>
    </row>
    <row r="26" spans="1:13" ht="13.5" thickBot="1">
      <c r="A26" s="771"/>
      <c r="B26" s="215"/>
      <c r="C26" s="226"/>
      <c r="D26" s="217"/>
      <c r="E26" s="227"/>
      <c r="F26" s="228"/>
      <c r="G26" s="560" t="s">
        <v>12</v>
      </c>
      <c r="H26" s="233" t="s">
        <v>507</v>
      </c>
      <c r="I26" s="769"/>
      <c r="J26" s="214">
        <f>+'21'!J26</f>
        <v>0</v>
      </c>
      <c r="K26" s="239"/>
      <c r="L26" s="239"/>
      <c r="M26" s="117">
        <f>+K26+'21'!M26+L26</f>
        <v>0</v>
      </c>
    </row>
    <row r="27" spans="1:13" ht="13.5" thickBot="1">
      <c r="A27" s="771"/>
      <c r="B27" s="215"/>
      <c r="C27" s="216"/>
      <c r="D27" s="217"/>
      <c r="E27" s="225"/>
      <c r="F27" s="228">
        <v>480</v>
      </c>
      <c r="G27" s="237" t="s">
        <v>20</v>
      </c>
      <c r="H27" s="233" t="s">
        <v>604</v>
      </c>
      <c r="I27" s="769"/>
      <c r="J27" s="214">
        <f>+'21'!J27</f>
        <v>0</v>
      </c>
      <c r="K27" s="239"/>
      <c r="L27" s="239"/>
      <c r="M27" s="117">
        <f>+K27+'21'!M27+L27</f>
        <v>0</v>
      </c>
    </row>
    <row r="28" spans="1:13" ht="51.75" thickBot="1">
      <c r="A28" s="771"/>
      <c r="B28" s="215"/>
      <c r="C28" s="216"/>
      <c r="D28" s="217"/>
      <c r="E28" s="225"/>
      <c r="F28" s="235"/>
      <c r="G28" s="232"/>
      <c r="H28" s="233" t="s">
        <v>608</v>
      </c>
      <c r="I28" s="769"/>
      <c r="J28" s="214">
        <f>+'21'!J28</f>
        <v>0</v>
      </c>
      <c r="K28" s="239"/>
      <c r="L28" s="239"/>
      <c r="M28" s="117">
        <f>+K28+'21'!M28+L28</f>
        <v>0</v>
      </c>
    </row>
    <row r="29" spans="1:13" ht="13.5" thickBot="1">
      <c r="A29" s="771"/>
      <c r="B29" s="215"/>
      <c r="C29" s="216"/>
      <c r="D29" s="217"/>
      <c r="E29" s="225"/>
      <c r="F29" s="236"/>
      <c r="G29" s="232"/>
      <c r="H29" s="233"/>
      <c r="I29" s="769"/>
      <c r="J29" s="214">
        <f>+'21'!J29</f>
        <v>0</v>
      </c>
      <c r="K29" s="239"/>
      <c r="L29" s="239"/>
      <c r="M29" s="117">
        <f>+K29+'21'!M29+L29</f>
        <v>0</v>
      </c>
    </row>
    <row r="30" spans="1:13" ht="13.5" thickBot="1">
      <c r="A30" s="771"/>
      <c r="B30" s="215"/>
      <c r="C30" s="226"/>
      <c r="D30" s="217"/>
      <c r="E30" s="225"/>
      <c r="F30" s="236"/>
      <c r="G30" s="232"/>
      <c r="H30" s="233"/>
      <c r="I30" s="769"/>
      <c r="J30" s="214">
        <f>+'21'!J30</f>
        <v>0</v>
      </c>
      <c r="K30" s="239"/>
      <c r="L30" s="239"/>
      <c r="M30" s="117">
        <f>+K30+'21'!M30+L30</f>
        <v>0</v>
      </c>
    </row>
    <row r="31" spans="1:13" ht="13.5" thickBot="1">
      <c r="A31" s="771"/>
      <c r="B31" s="215"/>
      <c r="C31" s="226"/>
      <c r="D31" s="217"/>
      <c r="E31" s="225"/>
      <c r="F31" s="236"/>
      <c r="G31" s="237"/>
      <c r="H31" s="445"/>
      <c r="I31" s="770"/>
      <c r="J31" s="214">
        <f>+'21'!J31</f>
        <v>0</v>
      </c>
      <c r="K31" s="239"/>
      <c r="L31" s="239"/>
      <c r="M31" s="117">
        <f>+K31+'21'!M31+L31</f>
        <v>0</v>
      </c>
    </row>
    <row r="32" spans="1:13" ht="13.5" thickBot="1">
      <c r="A32" s="772"/>
      <c r="B32" s="165" t="s">
        <v>2</v>
      </c>
      <c r="C32" s="99">
        <f>SUM(C25:C31)</f>
        <v>0</v>
      </c>
      <c r="D32" s="100">
        <f>SUM(D25:D31)</f>
        <v>0</v>
      </c>
      <c r="E32" s="101">
        <f>SUM(E25:E31)</f>
        <v>0</v>
      </c>
      <c r="F32" s="102">
        <f>SUM(F24:F31)</f>
        <v>480</v>
      </c>
      <c r="G32" s="171"/>
      <c r="H32" s="172"/>
      <c r="I32" s="169"/>
      <c r="J32" s="214">
        <f>+'21'!J32</f>
        <v>0</v>
      </c>
      <c r="K32" s="241"/>
      <c r="L32" s="243"/>
      <c r="M32" s="117">
        <f>+K32+'21'!M32+L32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244">
        <f>(10.3*1440)/1440*G42*2.74*1440/1000000</f>
        <v>0</v>
      </c>
      <c r="J37" s="125" t="e">
        <f>+I37+'21'!J37</f>
        <v>#DIV/0!</v>
      </c>
      <c r="K37" s="126" t="s">
        <v>63</v>
      </c>
    </row>
    <row r="38" spans="1:13" ht="17.45" customHeight="1">
      <c r="A38" s="755" t="s">
        <v>12</v>
      </c>
      <c r="B38" s="756"/>
      <c r="C38" s="164">
        <f>SUMIF($G$7:$G$31,"Process",$F$7:$F$31)</f>
        <v>0</v>
      </c>
      <c r="D38" s="118">
        <f>+C38+'21'!D38</f>
        <v>860</v>
      </c>
      <c r="E38" s="143">
        <f t="shared" ref="E38:E51" si="0">D38/60</f>
        <v>14.333333333333334</v>
      </c>
      <c r="F38" s="322"/>
      <c r="G38" s="322"/>
      <c r="H38" s="187" t="s">
        <v>64</v>
      </c>
      <c r="I38" s="245"/>
      <c r="J38" s="127">
        <f>+I38+'21'!J38</f>
        <v>440.91260000000005</v>
      </c>
      <c r="K38" s="128" t="s">
        <v>63</v>
      </c>
    </row>
    <row r="39" spans="1:13" ht="17.45" customHeight="1">
      <c r="A39" s="759" t="s">
        <v>13</v>
      </c>
      <c r="B39" s="760"/>
      <c r="C39" s="164">
        <f>SUMIF($G$7:$G$31,"Cleaning",$F$7:$F$31)</f>
        <v>0</v>
      </c>
      <c r="D39" s="118">
        <f>+C39+'21'!D39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+C40+'21'!D40</f>
        <v>0</v>
      </c>
      <c r="E40" s="143">
        <f t="shared" si="0"/>
        <v>0</v>
      </c>
      <c r="F40" s="322"/>
      <c r="G40" s="322"/>
      <c r="H40" s="187" t="s">
        <v>67</v>
      </c>
      <c r="I40" s="118">
        <f>(K34+L34)/1000</f>
        <v>0</v>
      </c>
      <c r="J40" s="131">
        <f>+I40+'21'!J40</f>
        <v>413.67199999999991</v>
      </c>
      <c r="K40" s="130" t="s">
        <v>63</v>
      </c>
    </row>
    <row r="41" spans="1:13" ht="17.45" customHeight="1">
      <c r="A41" s="759" t="s">
        <v>68</v>
      </c>
      <c r="B41" s="760"/>
      <c r="C41" s="164">
        <f>SUMIF($G$7:$G$31,"Electrical",$F$7:$F$31)</f>
        <v>0</v>
      </c>
      <c r="D41" s="118">
        <f>+C41+'21'!D41</f>
        <v>550</v>
      </c>
      <c r="E41" s="143">
        <f t="shared" si="0"/>
        <v>9.1666666666666661</v>
      </c>
      <c r="F41" s="322"/>
      <c r="G41" s="322"/>
      <c r="H41" s="187" t="s">
        <v>69</v>
      </c>
      <c r="I41" s="142"/>
      <c r="J41" s="129">
        <f>J40/G4</f>
        <v>18.803272727272724</v>
      </c>
      <c r="K41" s="130" t="s">
        <v>63</v>
      </c>
    </row>
    <row r="42" spans="1:13" ht="17.45" customHeight="1">
      <c r="A42" s="759" t="s">
        <v>16</v>
      </c>
      <c r="B42" s="760"/>
      <c r="C42" s="164">
        <f>SUMIF($G$7:$G$31,"Instrument",$F$7:$F$31)</f>
        <v>0</v>
      </c>
      <c r="D42" s="118">
        <f>+C42+'21'!D42</f>
        <v>0</v>
      </c>
      <c r="E42" s="143">
        <f t="shared" si="0"/>
        <v>0</v>
      </c>
      <c r="F42" s="322"/>
      <c r="G42" s="322"/>
      <c r="H42" s="187" t="s">
        <v>70</v>
      </c>
      <c r="I42" s="246"/>
      <c r="J42" s="132"/>
      <c r="K42" s="130" t="s">
        <v>71</v>
      </c>
    </row>
    <row r="43" spans="1:13" ht="17.45" customHeight="1">
      <c r="A43" s="759" t="s">
        <v>72</v>
      </c>
      <c r="B43" s="760"/>
      <c r="C43" s="164">
        <f>SUMIF($G$7:$G$31,"Water",$F$7:$F$31)</f>
        <v>0</v>
      </c>
      <c r="D43" s="118">
        <f>+C43+'21'!D43</f>
        <v>0</v>
      </c>
      <c r="E43" s="143">
        <f t="shared" si="0"/>
        <v>0</v>
      </c>
      <c r="F43" s="322"/>
      <c r="G43" s="323"/>
      <c r="H43" s="188" t="s">
        <v>73</v>
      </c>
      <c r="I43" s="118">
        <f>+Report1!Z30</f>
        <v>18.2</v>
      </c>
      <c r="J43" s="133">
        <f>+I43+'21'!J43</f>
        <v>732.30000000000007</v>
      </c>
      <c r="K43" s="130" t="s">
        <v>63</v>
      </c>
      <c r="L43" s="189"/>
    </row>
    <row r="44" spans="1:13" ht="17.45" customHeight="1">
      <c r="A44" s="759" t="s">
        <v>17</v>
      </c>
      <c r="B44" s="760"/>
      <c r="C44" s="164">
        <f>SUMIF($G$7:$G$31,"PLN",$F$7:$F$31)</f>
        <v>0</v>
      </c>
      <c r="D44" s="118">
        <f>+C44+'21'!D44</f>
        <v>0</v>
      </c>
      <c r="E44" s="143">
        <f t="shared" si="0"/>
        <v>0</v>
      </c>
      <c r="F44" s="322"/>
      <c r="G44" s="323"/>
      <c r="H44" s="188" t="s">
        <v>74</v>
      </c>
      <c r="I44" s="118" t="e">
        <f>I43/I38</f>
        <v>#DIV/0!</v>
      </c>
      <c r="J44" s="134">
        <f>J43/J38</f>
        <v>1.6608733794407327</v>
      </c>
      <c r="K44" s="130" t="s">
        <v>63</v>
      </c>
    </row>
    <row r="45" spans="1:13" ht="17.45" customHeight="1">
      <c r="A45" s="759" t="s">
        <v>18</v>
      </c>
      <c r="B45" s="760"/>
      <c r="C45" s="164">
        <f>SUMIF($G$7:$G$31,"Boiler",$F$7:$F$31)</f>
        <v>0</v>
      </c>
      <c r="D45" s="118">
        <f>+C45+'21'!D45</f>
        <v>0</v>
      </c>
      <c r="E45" s="143">
        <f t="shared" si="0"/>
        <v>0</v>
      </c>
      <c r="F45" s="322"/>
      <c r="G45" s="325"/>
      <c r="H45" s="188" t="s">
        <v>75</v>
      </c>
      <c r="I45" s="118" t="e">
        <f>I43/I40</f>
        <v>#DIV/0!</v>
      </c>
      <c r="J45" s="134">
        <f>J43/J40</f>
        <v>1.7702430911446756</v>
      </c>
      <c r="K45" s="130" t="s">
        <v>63</v>
      </c>
    </row>
    <row r="46" spans="1:13" ht="17.45" customHeight="1">
      <c r="A46" s="759" t="s">
        <v>76</v>
      </c>
      <c r="B46" s="760"/>
      <c r="C46" s="164">
        <f>SUMIF($G$7:$G$31,"Gas",$F$7:$F$31)</f>
        <v>0</v>
      </c>
      <c r="D46" s="118">
        <f>+C46+'21'!D46</f>
        <v>0</v>
      </c>
      <c r="E46" s="143">
        <f t="shared" si="0"/>
        <v>0</v>
      </c>
      <c r="F46" s="322"/>
      <c r="G46" s="323"/>
      <c r="H46" s="188" t="s">
        <v>77</v>
      </c>
      <c r="I46" s="140">
        <f>+SUMIF(Listrik!P29,"&gt;0")</f>
        <v>5417.6199999996352</v>
      </c>
      <c r="J46" s="135">
        <f>+I46+'21'!J46</f>
        <v>472364.52</v>
      </c>
      <c r="K46" s="130" t="s">
        <v>78</v>
      </c>
    </row>
    <row r="47" spans="1:13" ht="17.45" customHeight="1">
      <c r="A47" s="759" t="s">
        <v>79</v>
      </c>
      <c r="B47" s="760"/>
      <c r="C47" s="164">
        <f>SUMIF($G$7:$G$31,"Gas",$F$7:$F$31)</f>
        <v>0</v>
      </c>
      <c r="D47" s="118">
        <f>+C47+'21'!D47</f>
        <v>0</v>
      </c>
      <c r="E47" s="143">
        <f t="shared" si="0"/>
        <v>0</v>
      </c>
      <c r="F47" s="322"/>
      <c r="G47" s="323"/>
      <c r="H47" s="188" t="s">
        <v>80</v>
      </c>
      <c r="I47" s="118" t="e">
        <f>I46/I38</f>
        <v>#DIV/0!</v>
      </c>
      <c r="J47" s="135">
        <f>J46/J38</f>
        <v>1071.3336838185164</v>
      </c>
      <c r="K47" s="130" t="s">
        <v>24</v>
      </c>
    </row>
    <row r="48" spans="1:13" ht="17.45" customHeight="1">
      <c r="A48" s="759" t="s">
        <v>14</v>
      </c>
      <c r="B48" s="760"/>
      <c r="C48" s="164">
        <f>SUMIF($G$7:$G$31,"Start Up",$F$7:$F$31)</f>
        <v>0</v>
      </c>
      <c r="D48" s="118">
        <f>+C48+'21'!D48</f>
        <v>0</v>
      </c>
      <c r="E48" s="143">
        <f t="shared" si="0"/>
        <v>0</v>
      </c>
      <c r="F48" s="322"/>
      <c r="G48" s="323"/>
      <c r="H48" s="188" t="s">
        <v>81</v>
      </c>
      <c r="I48" s="118" t="e">
        <f>I46/I40</f>
        <v>#DIV/0!</v>
      </c>
      <c r="J48" s="135">
        <f>J46/J40</f>
        <v>1141.8817807344954</v>
      </c>
      <c r="K48" s="130" t="s">
        <v>24</v>
      </c>
    </row>
    <row r="49" spans="1:11" ht="17.45" customHeight="1">
      <c r="A49" s="759" t="s">
        <v>20</v>
      </c>
      <c r="B49" s="760"/>
      <c r="C49" s="164">
        <f>SUMIF($G$7:$G$31,"Others",$F$7:$F$31)</f>
        <v>1440</v>
      </c>
      <c r="D49" s="118">
        <f>+C49+'21'!D49</f>
        <v>13950</v>
      </c>
      <c r="E49" s="143">
        <f t="shared" si="0"/>
        <v>232.5</v>
      </c>
      <c r="F49" s="185"/>
      <c r="H49" s="188" t="s">
        <v>272</v>
      </c>
      <c r="I49" s="118">
        <f>+Report1!T30</f>
        <v>0</v>
      </c>
      <c r="J49" s="135">
        <f>+I49+'21'!J49</f>
        <v>41069.474159648547</v>
      </c>
      <c r="K49" s="130" t="s">
        <v>82</v>
      </c>
    </row>
    <row r="50" spans="1:11" ht="17.45" customHeight="1">
      <c r="A50" s="759" t="s">
        <v>19</v>
      </c>
      <c r="B50" s="760"/>
      <c r="C50" s="164">
        <f>SUMIF($G$7:$G$31,"Steam",$F$7:$F$31)</f>
        <v>0</v>
      </c>
      <c r="D50" s="118">
        <f>+C50+'21'!D50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+C51+'21'!D51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16915</v>
      </c>
      <c r="E52" s="145">
        <f>SUM(E38:E51)</f>
        <v>281.91666666666669</v>
      </c>
      <c r="F52" s="185"/>
      <c r="H52" s="191"/>
      <c r="I52" s="192"/>
      <c r="J52" s="138"/>
      <c r="K52" s="139"/>
    </row>
    <row r="53" spans="1:11" ht="13.5" thickBot="1">
      <c r="A53" s="757"/>
      <c r="B53" s="758"/>
      <c r="C53" s="146">
        <f>C52/(24*60)</f>
        <v>1</v>
      </c>
      <c r="D53" s="146">
        <f>D52/(24*60*G4)</f>
        <v>0.53393308080808077</v>
      </c>
      <c r="E53" s="147">
        <f>E52/(G4*24)</f>
        <v>0.53393308080808088</v>
      </c>
      <c r="F53" s="185"/>
    </row>
    <row r="54" spans="1:11">
      <c r="E54" s="193"/>
      <c r="F54" s="185"/>
    </row>
    <row r="55" spans="1:11">
      <c r="E55" s="193"/>
    </row>
    <row r="56" spans="1:11">
      <c r="A56" s="194" t="s">
        <v>86</v>
      </c>
      <c r="B56" s="195"/>
      <c r="C56" s="196"/>
      <c r="D56" s="196"/>
      <c r="E56" s="196"/>
      <c r="F56" s="197"/>
      <c r="G56" s="196"/>
      <c r="H56" s="198"/>
      <c r="I56" s="199" t="s">
        <v>87</v>
      </c>
      <c r="J56" s="200">
        <f>+D34+'21'!J56</f>
        <v>10652</v>
      </c>
      <c r="K56" s="201">
        <f>J56/(J40+J56/1000)/1000</f>
        <v>2.5103458677802816E-2</v>
      </c>
    </row>
    <row r="57" spans="1:11">
      <c r="A57" s="176"/>
      <c r="I57" s="199" t="s">
        <v>88</v>
      </c>
      <c r="J57" s="200">
        <f>+E34+'21'!J57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A37:B37"/>
    <mergeCell ref="A38:B38"/>
    <mergeCell ref="A24:A32"/>
    <mergeCell ref="I24:I31"/>
    <mergeCell ref="I7:I13"/>
    <mergeCell ref="A15:A23"/>
    <mergeCell ref="I15:I22"/>
    <mergeCell ref="A34:B34"/>
    <mergeCell ref="A7:A14"/>
  </mergeCells>
  <phoneticPr fontId="32"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zoomScale="80" zoomScaleNormal="80" workbookViewId="0">
      <selection activeCell="F8" sqref="F8:F29"/>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710937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7109375" style="149" customWidth="1"/>
    <col min="14" max="15" width="9.140625" style="149"/>
    <col min="16" max="16" width="10.28515625" style="149" bestFit="1" customWidth="1"/>
    <col min="17" max="17" width="9.28515625" style="149" bestFit="1" customWidth="1"/>
    <col min="18" max="16384" width="9.140625" style="149"/>
  </cols>
  <sheetData>
    <row r="1" spans="1:23" ht="15.75">
      <c r="A1" s="148"/>
    </row>
    <row r="2" spans="1:23" ht="15.75">
      <c r="A2" s="148" t="s">
        <v>185</v>
      </c>
    </row>
    <row r="3" spans="1:23" ht="15">
      <c r="A3" s="150"/>
    </row>
    <row r="4" spans="1:23" ht="20.25">
      <c r="A4" s="151" t="s">
        <v>3</v>
      </c>
      <c r="B4" s="152"/>
      <c r="F4" s="153" t="s">
        <v>29</v>
      </c>
      <c r="G4" s="154">
        <v>21</v>
      </c>
      <c r="H4" s="154" t="str">
        <f>+'1'!H4</f>
        <v>.9.25</v>
      </c>
    </row>
    <row r="5" spans="1:23" ht="13.5" thickBot="1">
      <c r="C5" s="155"/>
      <c r="D5" s="155"/>
    </row>
    <row r="6" spans="1:2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81" t="s">
        <v>92</v>
      </c>
      <c r="O6" s="423" t="s">
        <v>192</v>
      </c>
      <c r="P6" s="423" t="s">
        <v>192</v>
      </c>
      <c r="Q6" s="423" t="s">
        <v>193</v>
      </c>
      <c r="R6" s="423" t="s">
        <v>194</v>
      </c>
      <c r="S6" s="423" t="s">
        <v>195</v>
      </c>
      <c r="T6" s="423" t="s">
        <v>190</v>
      </c>
      <c r="U6" s="424" t="s">
        <v>196</v>
      </c>
      <c r="V6" s="423" t="s">
        <v>197</v>
      </c>
      <c r="W6" s="423" t="s">
        <v>191</v>
      </c>
    </row>
    <row r="7" spans="1:23" ht="13.5" customHeight="1" thickBot="1">
      <c r="A7" s="765"/>
      <c r="B7" s="215"/>
      <c r="C7" s="216"/>
      <c r="D7" s="217"/>
      <c r="E7" s="218"/>
      <c r="F7" s="228"/>
      <c r="G7" s="229" t="s">
        <v>12</v>
      </c>
      <c r="H7" s="230" t="s">
        <v>466</v>
      </c>
      <c r="I7" s="768"/>
      <c r="J7" s="327" t="str">
        <f>+'20'!J7</f>
        <v>F 12 VP OW</v>
      </c>
      <c r="K7" s="238">
        <f>+C34</f>
        <v>0</v>
      </c>
      <c r="L7" s="242"/>
      <c r="M7" s="117">
        <f>+K7+'20'!M7+L7</f>
        <v>172842</v>
      </c>
      <c r="N7" s="425">
        <v>14.5</v>
      </c>
      <c r="O7" s="199">
        <v>1200</v>
      </c>
      <c r="P7" s="199">
        <v>1120</v>
      </c>
      <c r="Q7" s="199">
        <v>896</v>
      </c>
      <c r="R7" s="426">
        <f>1-(Q7/P7)</f>
        <v>0.19999999999999996</v>
      </c>
      <c r="S7" s="427">
        <v>45</v>
      </c>
      <c r="T7" s="428">
        <v>256.5</v>
      </c>
      <c r="U7" s="429">
        <f>(O7*(1-R7)*N7*T7*S7)/100000000</f>
        <v>1.606716</v>
      </c>
      <c r="V7" s="430">
        <f>+C14/1000</f>
        <v>0</v>
      </c>
      <c r="W7" s="431">
        <f>SUM(V7:V9)/SUM(U7:U9)</f>
        <v>0</v>
      </c>
    </row>
    <row r="8" spans="1:23" ht="13.5" thickBot="1">
      <c r="A8" s="766"/>
      <c r="B8" s="215"/>
      <c r="C8" s="216"/>
      <c r="D8" s="217"/>
      <c r="E8" s="219"/>
      <c r="F8" s="231"/>
      <c r="G8" s="560" t="s">
        <v>12</v>
      </c>
      <c r="H8" s="230" t="s">
        <v>432</v>
      </c>
      <c r="I8" s="769"/>
      <c r="J8" s="214" t="str">
        <f>+'20'!J8</f>
        <v>F 13 VP OW</v>
      </c>
      <c r="K8" s="239"/>
      <c r="L8" s="239"/>
      <c r="M8" s="117">
        <f>+K8+'20'!M8+L8</f>
        <v>66206</v>
      </c>
      <c r="N8" s="425">
        <v>18</v>
      </c>
      <c r="O8" s="199">
        <v>1200</v>
      </c>
      <c r="P8" s="199">
        <v>930</v>
      </c>
      <c r="Q8" s="199">
        <v>744</v>
      </c>
      <c r="R8" s="426">
        <f>1-(Q8/P8)</f>
        <v>0.19999999999999996</v>
      </c>
      <c r="S8" s="427">
        <f>480-S7</f>
        <v>435</v>
      </c>
      <c r="T8" s="428">
        <v>256.5</v>
      </c>
      <c r="U8" s="429">
        <f>(O8*(1-R8)*N8*T8*S8)/100000000</f>
        <v>19.280591999999999</v>
      </c>
      <c r="V8" s="430"/>
      <c r="W8" s="432"/>
    </row>
    <row r="9" spans="1:23" ht="13.5" thickBot="1">
      <c r="A9" s="766"/>
      <c r="B9" s="215"/>
      <c r="C9" s="216"/>
      <c r="D9" s="217"/>
      <c r="E9" s="220"/>
      <c r="F9" s="228"/>
      <c r="G9" s="560" t="s">
        <v>12</v>
      </c>
      <c r="H9" s="233" t="s">
        <v>507</v>
      </c>
      <c r="I9" s="769"/>
      <c r="J9" s="214" t="str">
        <f>+'20'!J9</f>
        <v>F 14 VP OW</v>
      </c>
      <c r="K9" s="239"/>
      <c r="L9" s="239"/>
      <c r="M9" s="117">
        <f>+K9+'20'!M9+L9</f>
        <v>100560</v>
      </c>
      <c r="N9" s="433"/>
    </row>
    <row r="10" spans="1:23" ht="13.5" thickBot="1">
      <c r="A10" s="766"/>
      <c r="B10" s="215"/>
      <c r="C10" s="216"/>
      <c r="D10" s="217"/>
      <c r="E10" s="219"/>
      <c r="F10" s="228">
        <v>480</v>
      </c>
      <c r="G10" s="237" t="s">
        <v>20</v>
      </c>
      <c r="H10" s="233" t="s">
        <v>594</v>
      </c>
      <c r="I10" s="769"/>
      <c r="J10" s="214" t="str">
        <f>+'20'!J10</f>
        <v>T 12,5 VP OW</v>
      </c>
      <c r="K10" s="239"/>
      <c r="L10" s="239"/>
      <c r="M10" s="117">
        <f>+K10+'20'!M10+L10</f>
        <v>19885</v>
      </c>
      <c r="N10" s="433"/>
    </row>
    <row r="11" spans="1:23" ht="77.25" thickBot="1">
      <c r="A11" s="766"/>
      <c r="B11" s="215"/>
      <c r="C11" s="216"/>
      <c r="D11" s="217"/>
      <c r="E11" s="219"/>
      <c r="F11" s="228"/>
      <c r="G11" s="232"/>
      <c r="H11" s="233" t="s">
        <v>603</v>
      </c>
      <c r="I11" s="769"/>
      <c r="J11" s="214" t="str">
        <f>+'20'!J11</f>
        <v>F 12,5 VP OW</v>
      </c>
      <c r="K11" s="239"/>
      <c r="L11" s="239"/>
      <c r="M11" s="117">
        <f>+K11+'20'!M11+L11</f>
        <v>42554</v>
      </c>
      <c r="N11" s="433"/>
    </row>
    <row r="12" spans="1:23" ht="13.5" thickBot="1">
      <c r="A12" s="766"/>
      <c r="B12" s="215"/>
      <c r="C12" s="216"/>
      <c r="D12" s="217"/>
      <c r="E12" s="219"/>
      <c r="F12" s="228"/>
      <c r="G12" s="232"/>
      <c r="H12" s="233"/>
      <c r="I12" s="769"/>
      <c r="J12" s="214" t="str">
        <f>+'20'!J12</f>
        <v>F 13,5 VP OW</v>
      </c>
      <c r="K12" s="239"/>
      <c r="L12" s="239"/>
      <c r="M12" s="117">
        <f>+K12+'20'!M12+L12</f>
        <v>11625</v>
      </c>
      <c r="N12" s="433"/>
    </row>
    <row r="13" spans="1:23" ht="13.5" thickBot="1">
      <c r="A13" s="766"/>
      <c r="B13" s="215"/>
      <c r="C13" s="216"/>
      <c r="D13" s="216"/>
      <c r="E13" s="219"/>
      <c r="F13" s="228"/>
      <c r="G13" s="232"/>
      <c r="H13" s="233"/>
      <c r="I13" s="770"/>
      <c r="J13" s="214">
        <f>+'20'!J13</f>
        <v>0</v>
      </c>
      <c r="K13" s="239"/>
      <c r="L13" s="239"/>
      <c r="M13" s="117">
        <f>+K13+'20'!M13+L13</f>
        <v>0</v>
      </c>
      <c r="N13" s="434"/>
      <c r="O13" s="435"/>
      <c r="P13" s="435"/>
      <c r="Q13" s="435"/>
      <c r="R13" s="435"/>
      <c r="S13" s="435"/>
      <c r="T13" s="435"/>
      <c r="U13" s="435"/>
      <c r="V13" s="435"/>
      <c r="W13" s="435"/>
    </row>
    <row r="14" spans="1:23" ht="13.5" thickBot="1">
      <c r="A14" s="767"/>
      <c r="B14" s="165" t="s">
        <v>2</v>
      </c>
      <c r="C14" s="99">
        <f>SUM(C7:C13)</f>
        <v>0</v>
      </c>
      <c r="D14" s="111">
        <f>SUM(D7:D13)</f>
        <v>0</v>
      </c>
      <c r="E14" s="112">
        <f>SUM(E5:E13)</f>
        <v>0</v>
      </c>
      <c r="F14" s="116">
        <f>SUM(F7:F13)</f>
        <v>480</v>
      </c>
      <c r="G14" s="159"/>
      <c r="H14" s="166"/>
      <c r="I14" s="167"/>
      <c r="J14" s="214">
        <f>+'20'!J14</f>
        <v>0</v>
      </c>
      <c r="K14" s="239"/>
      <c r="L14" s="239"/>
      <c r="M14" s="117">
        <f>+K14+'20'!M14+L14</f>
        <v>0</v>
      </c>
    </row>
    <row r="15" spans="1:23" ht="13.5" customHeight="1" thickBot="1">
      <c r="A15" s="765"/>
      <c r="B15" s="165"/>
      <c r="C15" s="113" t="e">
        <f>C14/($C$23+$D$23+$E$23)</f>
        <v>#DIV/0!</v>
      </c>
      <c r="D15" s="114" t="e">
        <f>D14/($C$23+$D$23+$E$23)</f>
        <v>#DIV/0!</v>
      </c>
      <c r="E15" s="115" t="e">
        <f>E14/($C$23+$D$23+$E$23)</f>
        <v>#DIV/0!</v>
      </c>
      <c r="F15" s="228"/>
      <c r="G15" s="229" t="s">
        <v>12</v>
      </c>
      <c r="H15" s="230" t="s">
        <v>466</v>
      </c>
      <c r="I15" s="768"/>
      <c r="J15" s="214">
        <f>+'20'!J15</f>
        <v>0</v>
      </c>
      <c r="K15" s="239"/>
      <c r="L15" s="239"/>
      <c r="M15" s="117">
        <f>+K15+'20'!M15+L15</f>
        <v>0</v>
      </c>
      <c r="N15" s="425">
        <v>18</v>
      </c>
      <c r="O15" s="199">
        <v>1200</v>
      </c>
      <c r="P15" s="199">
        <v>850</v>
      </c>
      <c r="Q15" s="199">
        <v>680</v>
      </c>
      <c r="R15" s="426">
        <f>1-(Q15/P15)</f>
        <v>0.19999999999999996</v>
      </c>
      <c r="S15" s="427">
        <v>480</v>
      </c>
      <c r="T15" s="428">
        <v>256.5</v>
      </c>
      <c r="U15" s="429">
        <f>(O15*(1-R15)*N15*T15*S15)/100000000</f>
        <v>21.275136</v>
      </c>
      <c r="V15" s="430">
        <f>+C23/1000</f>
        <v>0</v>
      </c>
      <c r="W15" s="431">
        <f>SUM(V15:V17)/SUM(U15:U17)</f>
        <v>0</v>
      </c>
    </row>
    <row r="16" spans="1:23" ht="13.5" thickBot="1">
      <c r="A16" s="771"/>
      <c r="B16" s="215"/>
      <c r="C16" s="222"/>
      <c r="D16" s="223"/>
      <c r="E16" s="224"/>
      <c r="F16" s="231"/>
      <c r="G16" s="560" t="s">
        <v>12</v>
      </c>
      <c r="H16" s="230" t="s">
        <v>432</v>
      </c>
      <c r="I16" s="769"/>
      <c r="J16" s="214">
        <f>+'20'!J16</f>
        <v>0</v>
      </c>
      <c r="K16" s="229"/>
      <c r="L16" s="229"/>
      <c r="M16" s="117">
        <f>+K16+'20'!M16+L16</f>
        <v>0</v>
      </c>
      <c r="N16" s="436"/>
      <c r="O16" s="199"/>
      <c r="P16" s="199"/>
      <c r="Q16" s="437"/>
      <c r="R16" s="426"/>
      <c r="S16" s="199"/>
      <c r="T16" s="428"/>
      <c r="U16" s="429"/>
      <c r="V16" s="430"/>
      <c r="W16" s="432"/>
    </row>
    <row r="17" spans="1:23" ht="13.5" thickBot="1">
      <c r="A17" s="771"/>
      <c r="B17" s="215"/>
      <c r="C17" s="216"/>
      <c r="D17" s="217"/>
      <c r="E17" s="225"/>
      <c r="F17" s="228"/>
      <c r="G17" s="560" t="s">
        <v>12</v>
      </c>
      <c r="H17" s="233" t="s">
        <v>507</v>
      </c>
      <c r="I17" s="769"/>
      <c r="J17" s="214">
        <f>+'20'!J17</f>
        <v>0</v>
      </c>
      <c r="K17" s="229"/>
      <c r="L17" s="229"/>
      <c r="M17" s="117">
        <f>+K17+'20'!M17+L17</f>
        <v>0</v>
      </c>
      <c r="N17" s="433"/>
      <c r="O17" s="199"/>
      <c r="R17" s="426"/>
      <c r="T17" s="428"/>
      <c r="U17" s="429"/>
    </row>
    <row r="18" spans="1:23" ht="13.5" thickBot="1">
      <c r="A18" s="771"/>
      <c r="B18" s="215"/>
      <c r="C18" s="216"/>
      <c r="D18" s="217"/>
      <c r="E18" s="225"/>
      <c r="F18" s="228">
        <v>480</v>
      </c>
      <c r="G18" s="237" t="s">
        <v>20</v>
      </c>
      <c r="H18" s="233" t="s">
        <v>594</v>
      </c>
      <c r="I18" s="769"/>
      <c r="J18" s="214">
        <f>+'20'!J18</f>
        <v>0</v>
      </c>
      <c r="K18" s="239"/>
      <c r="L18" s="239"/>
      <c r="M18" s="117">
        <f>+K18+'20'!M18+L18</f>
        <v>0</v>
      </c>
      <c r="N18" s="433"/>
    </row>
    <row r="19" spans="1:23" ht="39" thickBot="1">
      <c r="A19" s="771"/>
      <c r="B19" s="215"/>
      <c r="C19" s="216"/>
      <c r="D19" s="217"/>
      <c r="E19" s="225"/>
      <c r="F19" s="235"/>
      <c r="G19" s="232"/>
      <c r="H19" s="233" t="s">
        <v>602</v>
      </c>
      <c r="I19" s="769"/>
      <c r="J19" s="214">
        <f>+'20'!J19</f>
        <v>0</v>
      </c>
      <c r="K19" s="239"/>
      <c r="L19" s="239"/>
      <c r="M19" s="117">
        <f>+K19+'20'!M19+L19</f>
        <v>0</v>
      </c>
      <c r="N19" s="433"/>
    </row>
    <row r="20" spans="1:23" ht="13.5" thickBot="1">
      <c r="A20" s="771"/>
      <c r="B20" s="215"/>
      <c r="C20" s="216"/>
      <c r="D20" s="217"/>
      <c r="E20" s="225"/>
      <c r="F20" s="228"/>
      <c r="G20" s="232"/>
      <c r="H20" s="233"/>
      <c r="I20" s="769"/>
      <c r="J20" s="214">
        <f>+'20'!J20</f>
        <v>0</v>
      </c>
      <c r="K20" s="240"/>
      <c r="L20" s="240"/>
      <c r="M20" s="117">
        <f>+K20+'20'!M20+L20</f>
        <v>0</v>
      </c>
      <c r="N20" s="433"/>
    </row>
    <row r="21" spans="1:23" ht="13.5" thickBot="1">
      <c r="A21" s="771"/>
      <c r="B21" s="215"/>
      <c r="C21" s="216"/>
      <c r="D21" s="217"/>
      <c r="E21" s="225"/>
      <c r="F21" s="231"/>
      <c r="G21" s="232"/>
      <c r="H21" s="233"/>
      <c r="I21" s="769"/>
      <c r="J21" s="214">
        <f>+'20'!J21</f>
        <v>0</v>
      </c>
      <c r="K21" s="239"/>
      <c r="L21" s="239"/>
      <c r="M21" s="117">
        <f>+K21+'20'!M21+L21</f>
        <v>0</v>
      </c>
      <c r="N21" s="434"/>
      <c r="O21" s="435"/>
      <c r="P21" s="435"/>
      <c r="Q21" s="435"/>
      <c r="R21" s="435"/>
      <c r="S21" s="435"/>
      <c r="T21" s="435"/>
      <c r="U21" s="435"/>
      <c r="V21" s="435"/>
      <c r="W21" s="435"/>
    </row>
    <row r="22" spans="1:23" ht="13.5" thickBot="1">
      <c r="A22" s="771"/>
      <c r="B22" s="215"/>
      <c r="C22" s="216"/>
      <c r="D22" s="217"/>
      <c r="E22" s="225"/>
      <c r="F22" s="236"/>
      <c r="G22" s="232"/>
      <c r="H22" s="233"/>
      <c r="I22" s="770"/>
      <c r="J22" s="214">
        <f>+'20'!J22</f>
        <v>0</v>
      </c>
      <c r="K22" s="239"/>
      <c r="L22" s="239"/>
      <c r="M22" s="117">
        <f>+K22+'20'!M22+L22</f>
        <v>0</v>
      </c>
    </row>
    <row r="23" spans="1:23" ht="13.5" thickBot="1">
      <c r="A23" s="772"/>
      <c r="B23" s="168" t="s">
        <v>2</v>
      </c>
      <c r="C23" s="100">
        <f>SUM(C16:C22)</f>
        <v>0</v>
      </c>
      <c r="D23" s="111">
        <f>SUM(D16:D22)</f>
        <v>0</v>
      </c>
      <c r="E23" s="112">
        <f>SUM(E18:E22)</f>
        <v>0</v>
      </c>
      <c r="F23" s="116">
        <f>SUM(F15:F22)</f>
        <v>480</v>
      </c>
      <c r="G23" s="159"/>
      <c r="H23" s="166"/>
      <c r="I23" s="169"/>
      <c r="J23" s="214">
        <f>+'20'!J23</f>
        <v>0</v>
      </c>
      <c r="K23" s="239"/>
      <c r="L23" s="239"/>
      <c r="M23" s="117">
        <f>+K23+'20'!M23+L23</f>
        <v>0</v>
      </c>
      <c r="N23" s="438"/>
      <c r="O23" s="439"/>
      <c r="P23" s="439"/>
      <c r="Q23" s="439"/>
      <c r="R23" s="439"/>
      <c r="S23" s="439"/>
      <c r="T23" s="439"/>
      <c r="U23" s="439"/>
      <c r="V23" s="439"/>
      <c r="W23" s="439"/>
    </row>
    <row r="24" spans="1:23" ht="13.5" customHeight="1" thickBot="1">
      <c r="A24" s="765"/>
      <c r="B24" s="170"/>
      <c r="C24" s="113" t="e">
        <f>C23/($C$23+$D$23+$E$23)</f>
        <v>#DIV/0!</v>
      </c>
      <c r="D24" s="114" t="e">
        <f>D23/($C$23+$D$23+$E$23)</f>
        <v>#DIV/0!</v>
      </c>
      <c r="E24" s="115" t="e">
        <f>E23/($C$23+$D$23+$E$23)</f>
        <v>#DIV/0!</v>
      </c>
      <c r="F24" s="228"/>
      <c r="G24" s="229" t="s">
        <v>12</v>
      </c>
      <c r="H24" s="230" t="s">
        <v>466</v>
      </c>
      <c r="I24" s="768"/>
      <c r="J24" s="214">
        <f>+'20'!J24</f>
        <v>0</v>
      </c>
      <c r="K24" s="239"/>
      <c r="L24" s="239"/>
      <c r="M24" s="117">
        <f>+K24+'20'!M24+L24</f>
        <v>0</v>
      </c>
      <c r="N24" s="425">
        <v>14.5</v>
      </c>
      <c r="O24" s="199">
        <v>1130</v>
      </c>
      <c r="P24" s="199">
        <v>1130</v>
      </c>
      <c r="Q24" s="199">
        <v>915</v>
      </c>
      <c r="R24" s="426">
        <f>1-(Q24/P24)</f>
        <v>0.19026548672566368</v>
      </c>
      <c r="S24" s="427">
        <v>9</v>
      </c>
      <c r="T24" s="428">
        <v>266</v>
      </c>
      <c r="U24" s="429">
        <f>(O24*(1-R24)*N24*T24*S24)/100000000</f>
        <v>0.31762394999999999</v>
      </c>
      <c r="V24" s="430">
        <f>+C32/1000</f>
        <v>0</v>
      </c>
      <c r="W24" s="431">
        <f>SUM(V24:V25)/SUM(U24:U25)</f>
        <v>0</v>
      </c>
    </row>
    <row r="25" spans="1:23" ht="13.5" thickBot="1">
      <c r="A25" s="771"/>
      <c r="B25" s="215"/>
      <c r="C25" s="226"/>
      <c r="D25" s="217"/>
      <c r="E25" s="225"/>
      <c r="F25" s="231"/>
      <c r="G25" s="560" t="s">
        <v>12</v>
      </c>
      <c r="H25" s="230" t="s">
        <v>432</v>
      </c>
      <c r="I25" s="769"/>
      <c r="J25" s="214">
        <f>+'20'!J25</f>
        <v>0</v>
      </c>
      <c r="K25" s="239"/>
      <c r="L25" s="239"/>
      <c r="M25" s="117">
        <f>+K25+'20'!M25+L25</f>
        <v>0</v>
      </c>
      <c r="N25" s="425"/>
      <c r="O25" s="199"/>
      <c r="P25" s="199"/>
      <c r="Q25" s="199"/>
      <c r="R25" s="426"/>
      <c r="S25" s="427"/>
      <c r="T25" s="428"/>
      <c r="U25" s="429"/>
      <c r="V25" s="430"/>
      <c r="W25" s="431"/>
    </row>
    <row r="26" spans="1:23" ht="13.5" thickBot="1">
      <c r="A26" s="771"/>
      <c r="B26" s="215"/>
      <c r="C26" s="226"/>
      <c r="D26" s="217"/>
      <c r="E26" s="227"/>
      <c r="F26" s="228"/>
      <c r="G26" s="560" t="s">
        <v>12</v>
      </c>
      <c r="H26" s="233" t="s">
        <v>507</v>
      </c>
      <c r="I26" s="769"/>
      <c r="J26" s="214">
        <f>+'20'!J26</f>
        <v>0</v>
      </c>
      <c r="K26" s="239"/>
      <c r="L26" s="239"/>
      <c r="M26" s="117">
        <f>+K26+'20'!M26+L26</f>
        <v>0</v>
      </c>
    </row>
    <row r="27" spans="1:23" ht="13.5" thickBot="1">
      <c r="A27" s="771"/>
      <c r="B27" s="215"/>
      <c r="C27" s="216"/>
      <c r="D27" s="217"/>
      <c r="E27" s="225"/>
      <c r="F27" s="228">
        <v>480</v>
      </c>
      <c r="G27" s="237" t="s">
        <v>20</v>
      </c>
      <c r="H27" s="233" t="s">
        <v>604</v>
      </c>
      <c r="I27" s="769"/>
      <c r="J27" s="214">
        <f>+'20'!J27</f>
        <v>0</v>
      </c>
      <c r="K27" s="239"/>
      <c r="L27" s="239"/>
      <c r="M27" s="117">
        <f>+K27+'20'!M27+L27</f>
        <v>0</v>
      </c>
    </row>
    <row r="28" spans="1:23" ht="13.5" thickBot="1">
      <c r="A28" s="771"/>
      <c r="B28" s="215"/>
      <c r="C28" s="216"/>
      <c r="D28" s="217"/>
      <c r="E28" s="225"/>
      <c r="F28" s="235"/>
      <c r="G28" s="232"/>
      <c r="H28" s="233"/>
      <c r="I28" s="769"/>
      <c r="J28" s="214">
        <f>+'20'!J28</f>
        <v>0</v>
      </c>
      <c r="K28" s="239"/>
      <c r="L28" s="239"/>
      <c r="M28" s="117">
        <f>+K28+'20'!M28+L28</f>
        <v>0</v>
      </c>
    </row>
    <row r="29" spans="1:23" ht="13.5" thickBot="1">
      <c r="A29" s="771"/>
      <c r="B29" s="215"/>
      <c r="C29" s="216"/>
      <c r="D29" s="217"/>
      <c r="E29" s="225"/>
      <c r="F29" s="236"/>
      <c r="G29" s="232"/>
      <c r="H29" s="233"/>
      <c r="I29" s="769"/>
      <c r="J29" s="214">
        <f>+'20'!J29</f>
        <v>0</v>
      </c>
      <c r="K29" s="239"/>
      <c r="L29" s="239"/>
      <c r="M29" s="117">
        <f>+K29+'20'!M29+L29</f>
        <v>0</v>
      </c>
    </row>
    <row r="30" spans="1:23" ht="13.5" thickBot="1">
      <c r="A30" s="771"/>
      <c r="B30" s="215"/>
      <c r="C30" s="226"/>
      <c r="D30" s="217"/>
      <c r="E30" s="225"/>
      <c r="F30" s="236"/>
      <c r="G30" s="232"/>
      <c r="H30" s="233"/>
      <c r="I30" s="769"/>
      <c r="J30" s="214">
        <f>+'20'!J30</f>
        <v>0</v>
      </c>
      <c r="K30" s="239"/>
      <c r="L30" s="239"/>
      <c r="M30" s="117">
        <f>+K30+'20'!M30+L30</f>
        <v>0</v>
      </c>
      <c r="N30" s="155"/>
    </row>
    <row r="31" spans="1:23" ht="13.5" thickBot="1">
      <c r="A31" s="771"/>
      <c r="B31" s="215"/>
      <c r="C31" s="226"/>
      <c r="D31" s="217"/>
      <c r="E31" s="225"/>
      <c r="F31" s="236"/>
      <c r="G31" s="237"/>
      <c r="H31" s="445"/>
      <c r="I31" s="770"/>
      <c r="J31" s="214">
        <f>+'20'!J31</f>
        <v>0</v>
      </c>
      <c r="K31" s="239"/>
      <c r="L31" s="239"/>
      <c r="M31" s="117">
        <f>+K31+'20'!M31+L31</f>
        <v>0</v>
      </c>
    </row>
    <row r="32" spans="1:23" ht="13.5" thickBot="1">
      <c r="A32" s="772"/>
      <c r="B32" s="165" t="s">
        <v>2</v>
      </c>
      <c r="C32" s="99">
        <f>SUM(C25:C31)</f>
        <v>0</v>
      </c>
      <c r="D32" s="100">
        <f>SUM(D25:D31)</f>
        <v>0</v>
      </c>
      <c r="E32" s="101">
        <f>SUM(E25:E31)</f>
        <v>0</v>
      </c>
      <c r="F32" s="102">
        <f>SUM(F24:F31)</f>
        <v>480</v>
      </c>
      <c r="G32" s="171"/>
      <c r="H32" s="172"/>
      <c r="I32" s="169"/>
      <c r="J32" s="214">
        <f>+'20'!J32</f>
        <v>0</v>
      </c>
      <c r="K32" s="241"/>
      <c r="L32" s="243"/>
      <c r="M32" s="117">
        <f>+K32+'20'!M32+L32</f>
        <v>0</v>
      </c>
    </row>
    <row r="33" spans="1:14" ht="13.5" thickBot="1">
      <c r="A33" s="173"/>
      <c r="B33" s="174"/>
      <c r="C33" s="103" t="e">
        <f>C32/($C$32+$D$32+$E$32)</f>
        <v>#DIV/0!</v>
      </c>
      <c r="D33" s="104" t="e">
        <f>D32/($C$32+$D$32+$E$32)</f>
        <v>#DIV/0!</v>
      </c>
      <c r="E33" s="105" t="e">
        <f>E32/($C$32+$D$32+$E$32)</f>
        <v>#DIV/0!</v>
      </c>
      <c r="F33" s="106"/>
      <c r="G33" s="175"/>
      <c r="H33" s="176"/>
      <c r="I33" s="177"/>
      <c r="J33" s="121"/>
      <c r="K33" s="122"/>
      <c r="L33" s="213"/>
      <c r="M33" s="119"/>
    </row>
    <row r="34" spans="1:14"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c r="N34" s="155"/>
    </row>
    <row r="35" spans="1:14" ht="13.5" thickBot="1">
      <c r="A35" s="179"/>
      <c r="B35" s="180"/>
      <c r="C35" s="104" t="e">
        <f>C34/($C$34+$D$34+$E$34)</f>
        <v>#DIV/0!</v>
      </c>
      <c r="D35" s="104" t="e">
        <f>D34/($C$34+$D$34+$E$34)</f>
        <v>#DIV/0!</v>
      </c>
      <c r="E35" s="109" t="e">
        <f>E34/($C$34+$D$34+$E$34)</f>
        <v>#DIV/0!</v>
      </c>
      <c r="K35" s="155"/>
    </row>
    <row r="36" spans="1:14" ht="13.5" thickBot="1">
      <c r="A36" s="178"/>
      <c r="B36" s="178"/>
      <c r="C36" s="155"/>
      <c r="D36" s="155"/>
      <c r="E36" s="155"/>
      <c r="G36" s="155"/>
      <c r="H36" s="181"/>
      <c r="I36" s="162" t="s">
        <v>37</v>
      </c>
      <c r="J36" s="162" t="s">
        <v>38</v>
      </c>
      <c r="K36" s="182"/>
    </row>
    <row r="37" spans="1:14" ht="17.45" customHeight="1" thickBot="1">
      <c r="A37" s="763" t="s">
        <v>58</v>
      </c>
      <c r="B37" s="764"/>
      <c r="C37" s="162" t="s">
        <v>59</v>
      </c>
      <c r="D37" s="183" t="s">
        <v>60</v>
      </c>
      <c r="E37" s="184" t="s">
        <v>61</v>
      </c>
      <c r="F37" s="322"/>
      <c r="G37" s="324"/>
      <c r="H37" s="186" t="s">
        <v>62</v>
      </c>
      <c r="I37" s="244">
        <f>(10.3*1440)/1440*G42*2.74*1440/1000000</f>
        <v>0</v>
      </c>
      <c r="J37" s="125" t="e">
        <f>+I37+'20'!J37</f>
        <v>#DIV/0!</v>
      </c>
      <c r="K37" s="126" t="s">
        <v>63</v>
      </c>
    </row>
    <row r="38" spans="1:14" ht="17.45" customHeight="1">
      <c r="A38" s="755" t="s">
        <v>12</v>
      </c>
      <c r="B38" s="756"/>
      <c r="C38" s="164">
        <f>SUMIF($G$7:$G$31,"Process",$F$7:$F$31)</f>
        <v>0</v>
      </c>
      <c r="D38" s="118">
        <f>+C38+'20'!D38</f>
        <v>860</v>
      </c>
      <c r="E38" s="143">
        <f t="shared" ref="E38:E51" si="0">D38/60</f>
        <v>14.333333333333334</v>
      </c>
      <c r="F38" s="322"/>
      <c r="G38" s="322"/>
      <c r="H38" s="187" t="s">
        <v>64</v>
      </c>
      <c r="I38" s="245"/>
      <c r="J38" s="127">
        <f>+I38+'20'!J38</f>
        <v>440.91260000000005</v>
      </c>
      <c r="K38" s="128" t="s">
        <v>63</v>
      </c>
    </row>
    <row r="39" spans="1:14" ht="17.45" customHeight="1">
      <c r="A39" s="759" t="s">
        <v>13</v>
      </c>
      <c r="B39" s="760"/>
      <c r="C39" s="164">
        <f>SUMIF($G$7:$G$31,"Cleaning",$F$7:$F$31)</f>
        <v>0</v>
      </c>
      <c r="D39" s="118">
        <f>+C39+'20'!D39</f>
        <v>0</v>
      </c>
      <c r="E39" s="143">
        <f t="shared" si="0"/>
        <v>0</v>
      </c>
      <c r="F39" s="322"/>
      <c r="G39" s="322"/>
      <c r="H39" s="187" t="s">
        <v>65</v>
      </c>
      <c r="I39" s="142"/>
      <c r="J39" s="129" t="e">
        <f>J37/G4</f>
        <v>#DIV/0!</v>
      </c>
      <c r="K39" s="130" t="s">
        <v>63</v>
      </c>
    </row>
    <row r="40" spans="1:14" ht="17.45" customHeight="1">
      <c r="A40" s="759" t="s">
        <v>66</v>
      </c>
      <c r="B40" s="760"/>
      <c r="C40" s="164">
        <f>SUMIF($G$7:$G$31,"Mechanical",$F$7:$F$31)</f>
        <v>0</v>
      </c>
      <c r="D40" s="118">
        <f>+C40+'20'!D40</f>
        <v>0</v>
      </c>
      <c r="E40" s="143">
        <f t="shared" si="0"/>
        <v>0</v>
      </c>
      <c r="F40" s="322"/>
      <c r="G40" s="322"/>
      <c r="H40" s="187" t="s">
        <v>67</v>
      </c>
      <c r="I40" s="118">
        <f>(K34+L34)/1000</f>
        <v>0</v>
      </c>
      <c r="J40" s="131">
        <f>+I40+'20'!J40</f>
        <v>413.67199999999991</v>
      </c>
      <c r="K40" s="130" t="s">
        <v>63</v>
      </c>
    </row>
    <row r="41" spans="1:14" ht="17.45" customHeight="1">
      <c r="A41" s="759" t="s">
        <v>68</v>
      </c>
      <c r="B41" s="760"/>
      <c r="C41" s="164">
        <f>SUMIF($G$7:$G$31,"Electrical",$F$7:$F$31)</f>
        <v>0</v>
      </c>
      <c r="D41" s="118">
        <f>+C41+'20'!D41</f>
        <v>550</v>
      </c>
      <c r="E41" s="143">
        <f t="shared" si="0"/>
        <v>9.1666666666666661</v>
      </c>
      <c r="F41" s="322"/>
      <c r="G41" s="322"/>
      <c r="H41" s="187" t="s">
        <v>69</v>
      </c>
      <c r="I41" s="142"/>
      <c r="J41" s="129">
        <f>J40/G4</f>
        <v>19.698666666666661</v>
      </c>
      <c r="K41" s="130" t="s">
        <v>63</v>
      </c>
    </row>
    <row r="42" spans="1:14" ht="17.45" customHeight="1">
      <c r="A42" s="759" t="s">
        <v>16</v>
      </c>
      <c r="B42" s="760"/>
      <c r="C42" s="164">
        <f>SUMIF($G$7:$G$31,"Instrument",$F$7:$F$31)</f>
        <v>0</v>
      </c>
      <c r="D42" s="118">
        <f>+C42+'20'!D42</f>
        <v>0</v>
      </c>
      <c r="E42" s="143">
        <f t="shared" si="0"/>
        <v>0</v>
      </c>
      <c r="F42" s="322"/>
      <c r="G42" s="322"/>
      <c r="H42" s="187" t="s">
        <v>70</v>
      </c>
      <c r="I42" s="246"/>
      <c r="J42" s="132"/>
      <c r="K42" s="130" t="s">
        <v>71</v>
      </c>
    </row>
    <row r="43" spans="1:14" ht="17.45" customHeight="1">
      <c r="A43" s="759" t="s">
        <v>72</v>
      </c>
      <c r="B43" s="760"/>
      <c r="C43" s="164">
        <f>SUMIF($G$7:$G$31,"Water",$F$7:$F$31)</f>
        <v>0</v>
      </c>
      <c r="D43" s="118">
        <f>+C43+'20'!D43</f>
        <v>0</v>
      </c>
      <c r="E43" s="143">
        <f t="shared" si="0"/>
        <v>0</v>
      </c>
      <c r="F43" s="322"/>
      <c r="G43" s="323"/>
      <c r="H43" s="188" t="s">
        <v>73</v>
      </c>
      <c r="I43" s="118">
        <f>+Report1!Z29</f>
        <v>7.3</v>
      </c>
      <c r="J43" s="133">
        <f>+I43+'20'!J43</f>
        <v>714.1</v>
      </c>
      <c r="K43" s="130" t="s">
        <v>63</v>
      </c>
      <c r="L43" s="189"/>
    </row>
    <row r="44" spans="1:14" ht="17.45" customHeight="1">
      <c r="A44" s="759" t="s">
        <v>17</v>
      </c>
      <c r="B44" s="760"/>
      <c r="C44" s="164">
        <f>SUMIF($G$7:$G$31,"PLN",$F$7:$F$31)</f>
        <v>0</v>
      </c>
      <c r="D44" s="118">
        <f>+C44+'20'!D44</f>
        <v>0</v>
      </c>
      <c r="E44" s="143">
        <f t="shared" si="0"/>
        <v>0</v>
      </c>
      <c r="F44" s="322"/>
      <c r="G44" s="323"/>
      <c r="H44" s="188" t="s">
        <v>74</v>
      </c>
      <c r="I44" s="118" t="e">
        <f>I43/I38</f>
        <v>#DIV/0!</v>
      </c>
      <c r="J44" s="134">
        <f>J43/J38</f>
        <v>1.6195953574472581</v>
      </c>
      <c r="K44" s="130" t="s">
        <v>63</v>
      </c>
    </row>
    <row r="45" spans="1:14" ht="17.45" customHeight="1">
      <c r="A45" s="759" t="s">
        <v>18</v>
      </c>
      <c r="B45" s="760"/>
      <c r="C45" s="164">
        <f>SUMIF($G$7:$G$31,"Boiler",$F$7:$F$31)</f>
        <v>0</v>
      </c>
      <c r="D45" s="118">
        <f>+C45+'20'!D45</f>
        <v>0</v>
      </c>
      <c r="E45" s="143">
        <f t="shared" si="0"/>
        <v>0</v>
      </c>
      <c r="F45" s="322"/>
      <c r="G45" s="325"/>
      <c r="H45" s="188" t="s">
        <v>75</v>
      </c>
      <c r="I45" s="118" t="e">
        <f>I43/I40</f>
        <v>#DIV/0!</v>
      </c>
      <c r="J45" s="134">
        <f>J43/J40</f>
        <v>1.7262468815873451</v>
      </c>
      <c r="K45" s="130" t="s">
        <v>63</v>
      </c>
    </row>
    <row r="46" spans="1:14" ht="17.45" customHeight="1">
      <c r="A46" s="759" t="s">
        <v>76</v>
      </c>
      <c r="B46" s="760"/>
      <c r="C46" s="164">
        <f>SUMIF($G$7:$G$31,"Gas",$F$7:$F$31)</f>
        <v>0</v>
      </c>
      <c r="D46" s="118">
        <f>+C46+'20'!D46</f>
        <v>0</v>
      </c>
      <c r="E46" s="143">
        <f t="shared" si="0"/>
        <v>0</v>
      </c>
      <c r="F46" s="322"/>
      <c r="G46" s="323"/>
      <c r="H46" s="188" t="s">
        <v>77</v>
      </c>
      <c r="I46" s="140">
        <f>+SUMIF(Listrik!P28,"&gt;0")</f>
        <v>9165.4799999996358</v>
      </c>
      <c r="J46" s="135">
        <f>+I46+'20'!J46</f>
        <v>466946.90000000037</v>
      </c>
      <c r="K46" s="130" t="s">
        <v>78</v>
      </c>
    </row>
    <row r="47" spans="1:14" ht="17.45" customHeight="1">
      <c r="A47" s="759" t="s">
        <v>79</v>
      </c>
      <c r="B47" s="760"/>
      <c r="C47" s="164">
        <f>SUMIF($G$7:$G$31,"Gas",$F$7:$F$31)</f>
        <v>0</v>
      </c>
      <c r="D47" s="118">
        <f>+C47+'20'!D47</f>
        <v>0</v>
      </c>
      <c r="E47" s="143">
        <f t="shared" si="0"/>
        <v>0</v>
      </c>
      <c r="F47" s="322"/>
      <c r="G47" s="323"/>
      <c r="H47" s="188" t="s">
        <v>80</v>
      </c>
      <c r="I47" s="118" t="e">
        <f>I46/I38</f>
        <v>#DIV/0!</v>
      </c>
      <c r="J47" s="135">
        <f>J46/J38</f>
        <v>1059.0463960431168</v>
      </c>
      <c r="K47" s="130" t="s">
        <v>24</v>
      </c>
    </row>
    <row r="48" spans="1:14" ht="17.45" customHeight="1">
      <c r="A48" s="759" t="s">
        <v>14</v>
      </c>
      <c r="B48" s="760"/>
      <c r="C48" s="164">
        <f>SUMIF($G$7:$G$31,"Start Up",$F$7:$F$31)</f>
        <v>0</v>
      </c>
      <c r="D48" s="118">
        <f>+C48+'20'!D48</f>
        <v>0</v>
      </c>
      <c r="E48" s="143">
        <f t="shared" si="0"/>
        <v>0</v>
      </c>
      <c r="F48" s="322"/>
      <c r="G48" s="323"/>
      <c r="H48" s="188" t="s">
        <v>81</v>
      </c>
      <c r="I48" s="118" t="e">
        <f>I46/I40</f>
        <v>#DIV/0!</v>
      </c>
      <c r="J48" s="135">
        <f>J46/J40</f>
        <v>1128.7853661838376</v>
      </c>
      <c r="K48" s="130" t="s">
        <v>24</v>
      </c>
    </row>
    <row r="49" spans="1:23" ht="17.45" customHeight="1">
      <c r="A49" s="773" t="s">
        <v>20</v>
      </c>
      <c r="B49" s="760"/>
      <c r="C49" s="164">
        <f>SUMIF($G$7:$G$31,"Others",$F$7:$F$31)</f>
        <v>1440</v>
      </c>
      <c r="D49" s="118">
        <f>+C49+'20'!D49</f>
        <v>12510</v>
      </c>
      <c r="E49" s="143">
        <f t="shared" si="0"/>
        <v>208.5</v>
      </c>
      <c r="F49" s="185"/>
      <c r="H49" s="188" t="s">
        <v>272</v>
      </c>
      <c r="I49" s="118">
        <f>+Report1!T29</f>
        <v>0</v>
      </c>
      <c r="J49" s="135">
        <f>+I49+'20'!J49</f>
        <v>41069.474159648547</v>
      </c>
      <c r="K49" s="130" t="s">
        <v>82</v>
      </c>
    </row>
    <row r="50" spans="1:23" ht="17.45" customHeight="1">
      <c r="A50" s="759" t="s">
        <v>19</v>
      </c>
      <c r="B50" s="760"/>
      <c r="C50" s="164">
        <f>SUMIF($G$7:$G$31,"Steam",$F$7:$F$31)</f>
        <v>0</v>
      </c>
      <c r="D50" s="118">
        <f>+C50+'20'!D50</f>
        <v>0</v>
      </c>
      <c r="E50" s="143">
        <f t="shared" si="0"/>
        <v>0</v>
      </c>
      <c r="F50" s="185"/>
      <c r="H50" s="188" t="s">
        <v>83</v>
      </c>
      <c r="I50" s="140" t="e">
        <f>I49/I38</f>
        <v>#DIV/0!</v>
      </c>
      <c r="J50" s="133">
        <f>J49/J38</f>
        <v>93.146519649582572</v>
      </c>
      <c r="K50" s="130" t="s">
        <v>82</v>
      </c>
    </row>
    <row r="51" spans="1:23" ht="17.45" customHeight="1" thickBot="1">
      <c r="A51" s="753" t="s">
        <v>84</v>
      </c>
      <c r="B51" s="754"/>
      <c r="C51" s="164">
        <f>SUMIF($G$7:$G$31,"Planned shut",$F$7:$F$31)</f>
        <v>0</v>
      </c>
      <c r="D51" s="118">
        <f>+C51+'20'!D51</f>
        <v>1555</v>
      </c>
      <c r="E51" s="143">
        <f t="shared" si="0"/>
        <v>25.916666666666668</v>
      </c>
      <c r="F51" s="185"/>
      <c r="H51" s="190" t="s">
        <v>85</v>
      </c>
      <c r="I51" s="141" t="e">
        <f>I49/I40</f>
        <v>#DIV/0!</v>
      </c>
      <c r="J51" s="136">
        <f>J49/J40</f>
        <v>99.280285249300306</v>
      </c>
      <c r="K51" s="137" t="s">
        <v>82</v>
      </c>
    </row>
    <row r="52" spans="1:23" ht="13.5" thickBot="1">
      <c r="A52" s="755" t="s">
        <v>28</v>
      </c>
      <c r="B52" s="756"/>
      <c r="C52" s="144">
        <f>SUM(C38:C51)</f>
        <v>1440</v>
      </c>
      <c r="D52" s="144">
        <f>SUM(D38:D51)</f>
        <v>15475</v>
      </c>
      <c r="E52" s="145">
        <f>SUM(E38:E51)</f>
        <v>257.91666666666669</v>
      </c>
      <c r="F52" s="185"/>
      <c r="H52" s="191"/>
      <c r="I52" s="192"/>
      <c r="J52" s="138"/>
      <c r="K52" s="139"/>
    </row>
    <row r="53" spans="1:23" ht="13.5" thickBot="1">
      <c r="A53" s="757"/>
      <c r="B53" s="758"/>
      <c r="C53" s="146">
        <f>C52/(24*60)</f>
        <v>1</v>
      </c>
      <c r="D53" s="146">
        <f>D52/(24*60*G4)</f>
        <v>0.51173941798941802</v>
      </c>
      <c r="E53" s="147">
        <f>E52/(G4*24)</f>
        <v>0.51173941798941802</v>
      </c>
      <c r="F53" s="185"/>
    </row>
    <row r="54" spans="1:23">
      <c r="E54" s="193"/>
      <c r="F54" s="185"/>
    </row>
    <row r="55" spans="1:23">
      <c r="E55" s="193"/>
    </row>
    <row r="56" spans="1:23">
      <c r="A56" s="194" t="s">
        <v>86</v>
      </c>
      <c r="B56" s="195"/>
      <c r="C56" s="196"/>
      <c r="D56" s="196"/>
      <c r="E56" s="196"/>
      <c r="F56" s="197"/>
      <c r="G56" s="196"/>
      <c r="H56" s="198"/>
      <c r="I56" s="199" t="s">
        <v>87</v>
      </c>
      <c r="J56" s="200">
        <f>+D34+'20'!J56</f>
        <v>10652</v>
      </c>
      <c r="K56" s="201">
        <f>J56/(J40+J56/1000)/1000</f>
        <v>2.5103458677802816E-2</v>
      </c>
    </row>
    <row r="57" spans="1:23">
      <c r="A57" s="176"/>
      <c r="I57" s="199" t="s">
        <v>88</v>
      </c>
      <c r="J57" s="200">
        <f>+E34+'20'!J57</f>
        <v>0</v>
      </c>
      <c r="K57" s="201">
        <f>J57/(J40+J57/1000)/1000</f>
        <v>0</v>
      </c>
    </row>
    <row r="58" spans="1:23">
      <c r="A58" s="202"/>
      <c r="B58" s="203"/>
      <c r="F58" s="185"/>
      <c r="H58" s="204"/>
    </row>
    <row r="59" spans="1:23">
      <c r="A59" s="205"/>
      <c r="B59" s="176"/>
      <c r="C59" s="176"/>
      <c r="D59" s="176"/>
      <c r="E59" s="176"/>
      <c r="F59" s="189"/>
      <c r="G59" s="176"/>
      <c r="H59" s="204"/>
    </row>
    <row r="60" spans="1:23">
      <c r="H60" s="204"/>
    </row>
    <row r="61" spans="1:23">
      <c r="A61" s="206"/>
      <c r="B61" s="207"/>
      <c r="C61" s="207"/>
      <c r="D61" s="207"/>
      <c r="E61" s="207"/>
      <c r="F61" s="208"/>
      <c r="G61" s="207"/>
      <c r="H61" s="209"/>
      <c r="W61" s="149" t="s">
        <v>0</v>
      </c>
    </row>
  </sheetData>
  <mergeCells count="24">
    <mergeCell ref="A7:A14"/>
    <mergeCell ref="I7:I13"/>
    <mergeCell ref="A15:A23"/>
    <mergeCell ref="I15:I22"/>
    <mergeCell ref="A38:B38"/>
    <mergeCell ref="A39:B39"/>
    <mergeCell ref="A24:A32"/>
    <mergeCell ref="I24:I31"/>
    <mergeCell ref="A34:B34"/>
    <mergeCell ref="A37:B37"/>
    <mergeCell ref="A46:B46"/>
    <mergeCell ref="A51:B51"/>
    <mergeCell ref="A40:B40"/>
    <mergeCell ref="A41:B41"/>
    <mergeCell ref="A42:B42"/>
    <mergeCell ref="A43:B43"/>
    <mergeCell ref="A44:B44"/>
    <mergeCell ref="A45:B45"/>
    <mergeCell ref="A52:B52"/>
    <mergeCell ref="A53:B53"/>
    <mergeCell ref="A47:B47"/>
    <mergeCell ref="A48:B48"/>
    <mergeCell ref="A49:B49"/>
    <mergeCell ref="A50:B50"/>
  </mergeCells>
  <phoneticPr fontId="32"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1"/>
  <sheetViews>
    <sheetView zoomScale="80" zoomScaleNormal="80" workbookViewId="0">
      <selection activeCell="H17" sqref="H17"/>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5.42578125" style="149" customWidth="1"/>
    <col min="14" max="16384" width="9.140625" style="149"/>
  </cols>
  <sheetData>
    <row r="1" spans="1:13" ht="15.75">
      <c r="A1" s="148"/>
    </row>
    <row r="2" spans="1:13" ht="15.75">
      <c r="A2" s="148" t="s">
        <v>185</v>
      </c>
    </row>
    <row r="3" spans="1:13" ht="15">
      <c r="A3" s="150"/>
    </row>
    <row r="4" spans="1:13" ht="20.25">
      <c r="A4" s="151" t="s">
        <v>3</v>
      </c>
      <c r="B4" s="152"/>
      <c r="F4" s="153" t="s">
        <v>29</v>
      </c>
      <c r="G4" s="154">
        <v>20</v>
      </c>
      <c r="H4" s="154" t="str">
        <f>+'1'!H4</f>
        <v>.9.25</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c r="E7" s="218"/>
      <c r="F7" s="228"/>
      <c r="G7" s="229" t="s">
        <v>12</v>
      </c>
      <c r="H7" s="230" t="s">
        <v>466</v>
      </c>
      <c r="I7" s="768"/>
      <c r="J7" s="214" t="str">
        <f>+'19'!J7</f>
        <v>F 12 VP OW</v>
      </c>
      <c r="K7" s="238"/>
      <c r="L7" s="242"/>
      <c r="M7" s="117">
        <f>+K7+'19'!M7+L7</f>
        <v>172842</v>
      </c>
    </row>
    <row r="8" spans="1:13" ht="13.5" thickBot="1">
      <c r="A8" s="766"/>
      <c r="B8" s="215"/>
      <c r="C8" s="216"/>
      <c r="D8" s="217"/>
      <c r="E8" s="219"/>
      <c r="F8" s="231"/>
      <c r="G8" s="560" t="s">
        <v>12</v>
      </c>
      <c r="H8" s="230" t="s">
        <v>432</v>
      </c>
      <c r="I8" s="769"/>
      <c r="J8" s="214" t="str">
        <f>+'19'!J8</f>
        <v>F 13 VP OW</v>
      </c>
      <c r="K8" s="239"/>
      <c r="L8" s="239"/>
      <c r="M8" s="117">
        <f>+K8+'19'!M8+L8</f>
        <v>66206</v>
      </c>
    </row>
    <row r="9" spans="1:13" ht="13.5" thickBot="1">
      <c r="A9" s="766"/>
      <c r="B9" s="215"/>
      <c r="C9" s="216"/>
      <c r="D9" s="217"/>
      <c r="E9" s="220"/>
      <c r="F9" s="228"/>
      <c r="G9" s="560" t="s">
        <v>12</v>
      </c>
      <c r="H9" s="233" t="s">
        <v>507</v>
      </c>
      <c r="I9" s="769"/>
      <c r="J9" s="214" t="str">
        <f>+'19'!J9</f>
        <v>F 14 VP OW</v>
      </c>
      <c r="K9" s="239"/>
      <c r="L9" s="239"/>
      <c r="M9" s="117">
        <f>+K9+'19'!M9+L9</f>
        <v>100560</v>
      </c>
    </row>
    <row r="10" spans="1:13" ht="13.5" thickBot="1">
      <c r="A10" s="766"/>
      <c r="B10" s="215"/>
      <c r="C10" s="216"/>
      <c r="D10" s="217"/>
      <c r="E10" s="219"/>
      <c r="F10" s="228">
        <v>480</v>
      </c>
      <c r="G10" s="237" t="s">
        <v>20</v>
      </c>
      <c r="H10" s="233" t="s">
        <v>594</v>
      </c>
      <c r="I10" s="769"/>
      <c r="J10" s="214" t="str">
        <f>+'19'!J10</f>
        <v>T 12,5 VP OW</v>
      </c>
      <c r="K10" s="239"/>
      <c r="L10" s="239"/>
      <c r="M10" s="117">
        <f>+K10+'19'!M10+L10</f>
        <v>19885</v>
      </c>
    </row>
    <row r="11" spans="1:13" ht="102.75" thickBot="1">
      <c r="A11" s="766"/>
      <c r="B11" s="215"/>
      <c r="C11" s="216"/>
      <c r="D11" s="217"/>
      <c r="E11" s="219"/>
      <c r="F11" s="228"/>
      <c r="G11" s="232"/>
      <c r="H11" s="233" t="s">
        <v>607</v>
      </c>
      <c r="I11" s="769"/>
      <c r="J11" s="214" t="str">
        <f>+'19'!J11</f>
        <v>F 12,5 VP OW</v>
      </c>
      <c r="K11" s="239"/>
      <c r="L11" s="239"/>
      <c r="M11" s="117">
        <f>+K11+'19'!M11+L11</f>
        <v>42554</v>
      </c>
    </row>
    <row r="12" spans="1:13" ht="13.5" thickBot="1">
      <c r="A12" s="766"/>
      <c r="B12" s="215"/>
      <c r="C12" s="216"/>
      <c r="D12" s="217"/>
      <c r="E12" s="219"/>
      <c r="F12" s="228"/>
      <c r="G12" s="232"/>
      <c r="H12" s="233"/>
      <c r="I12" s="769"/>
      <c r="J12" s="214" t="str">
        <f>+'19'!J12</f>
        <v>F 13,5 VP OW</v>
      </c>
      <c r="K12" s="239"/>
      <c r="L12" s="239"/>
      <c r="M12" s="117">
        <f>+K12+'19'!M12+L12</f>
        <v>11625</v>
      </c>
    </row>
    <row r="13" spans="1:13" ht="13.5" thickBot="1">
      <c r="A13" s="766"/>
      <c r="B13" s="215"/>
      <c r="C13" s="216"/>
      <c r="D13" s="216"/>
      <c r="E13" s="219"/>
      <c r="F13" s="228"/>
      <c r="G13" s="232"/>
      <c r="H13" s="233"/>
      <c r="I13" s="770"/>
      <c r="J13" s="214">
        <f>+'19'!J13</f>
        <v>0</v>
      </c>
      <c r="K13" s="239"/>
      <c r="L13" s="239"/>
      <c r="M13" s="117">
        <f>+K13+'19'!M13+L13</f>
        <v>0</v>
      </c>
    </row>
    <row r="14" spans="1:13" ht="13.5" thickBot="1">
      <c r="A14" s="767"/>
      <c r="B14" s="165" t="s">
        <v>2</v>
      </c>
      <c r="C14" s="99">
        <f>SUM(C7:C13)</f>
        <v>0</v>
      </c>
      <c r="D14" s="111">
        <f>SUM(D7:D13)</f>
        <v>0</v>
      </c>
      <c r="E14" s="112">
        <f>SUM(E5:E13)</f>
        <v>0</v>
      </c>
      <c r="F14" s="116">
        <f>SUM(F7:F13)</f>
        <v>480</v>
      </c>
      <c r="G14" s="159"/>
      <c r="H14" s="166"/>
      <c r="I14" s="167"/>
      <c r="J14" s="214">
        <f>+'19'!J14</f>
        <v>0</v>
      </c>
      <c r="K14" s="239"/>
      <c r="L14" s="239"/>
      <c r="M14" s="117">
        <f>+K14+'19'!M14+L14</f>
        <v>0</v>
      </c>
    </row>
    <row r="15" spans="1:13" ht="13.5" customHeight="1" thickBot="1">
      <c r="A15" s="765"/>
      <c r="B15" s="165"/>
      <c r="C15" s="113" t="e">
        <f>C14/($C$23+$D$23+$E$23)</f>
        <v>#DIV/0!</v>
      </c>
      <c r="D15" s="114" t="e">
        <f>D14/($C$23+$D$23+$E$23)</f>
        <v>#DIV/0!</v>
      </c>
      <c r="E15" s="115" t="e">
        <f>E14/($C$23+$D$23+$E$23)</f>
        <v>#DIV/0!</v>
      </c>
      <c r="F15" s="228"/>
      <c r="G15" s="229" t="s">
        <v>12</v>
      </c>
      <c r="H15" s="230" t="s">
        <v>466</v>
      </c>
      <c r="I15" s="768"/>
      <c r="J15" s="214">
        <f>+'19'!J15</f>
        <v>0</v>
      </c>
      <c r="K15" s="239"/>
      <c r="L15" s="239"/>
      <c r="M15" s="117">
        <f>+K15+'19'!M15+L15</f>
        <v>0</v>
      </c>
    </row>
    <row r="16" spans="1:13" ht="13.5" thickBot="1">
      <c r="A16" s="771"/>
      <c r="B16" s="215"/>
      <c r="C16" s="222"/>
      <c r="D16" s="223"/>
      <c r="E16" s="224"/>
      <c r="F16" s="231"/>
      <c r="G16" s="560" t="s">
        <v>12</v>
      </c>
      <c r="H16" s="230" t="s">
        <v>432</v>
      </c>
      <c r="I16" s="769"/>
      <c r="J16" s="214">
        <f>+'19'!J16</f>
        <v>0</v>
      </c>
      <c r="K16" s="229"/>
      <c r="L16" s="229"/>
      <c r="M16" s="117">
        <f>+K16+'19'!M16+L16</f>
        <v>0</v>
      </c>
    </row>
    <row r="17" spans="1:13" ht="13.5" thickBot="1">
      <c r="A17" s="771"/>
      <c r="B17" s="215"/>
      <c r="C17" s="216"/>
      <c r="D17" s="217"/>
      <c r="E17" s="225"/>
      <c r="F17" s="228"/>
      <c r="G17" s="560" t="s">
        <v>12</v>
      </c>
      <c r="H17" s="233" t="s">
        <v>507</v>
      </c>
      <c r="I17" s="769"/>
      <c r="J17" s="214">
        <f>+'19'!J17</f>
        <v>0</v>
      </c>
      <c r="K17" s="229"/>
      <c r="L17" s="229"/>
      <c r="M17" s="117">
        <f>+K17+'19'!M17+L17</f>
        <v>0</v>
      </c>
    </row>
    <row r="18" spans="1:13" ht="13.5" thickBot="1">
      <c r="A18" s="771"/>
      <c r="B18" s="215"/>
      <c r="C18" s="216"/>
      <c r="D18" s="217"/>
      <c r="E18" s="225"/>
      <c r="F18" s="228">
        <v>480</v>
      </c>
      <c r="G18" s="237" t="s">
        <v>20</v>
      </c>
      <c r="H18" s="233" t="s">
        <v>594</v>
      </c>
      <c r="I18" s="769"/>
      <c r="J18" s="214">
        <f>+'19'!J18</f>
        <v>0</v>
      </c>
      <c r="K18" s="239"/>
      <c r="L18" s="239"/>
      <c r="M18" s="117">
        <f>+K18+'19'!M18+L18</f>
        <v>0</v>
      </c>
    </row>
    <row r="19" spans="1:13" ht="39" thickBot="1">
      <c r="A19" s="771"/>
      <c r="B19" s="215"/>
      <c r="C19" s="216"/>
      <c r="D19" s="217"/>
      <c r="E19" s="225"/>
      <c r="F19" s="235"/>
      <c r="G19" s="232"/>
      <c r="H19" s="233" t="s">
        <v>606</v>
      </c>
      <c r="I19" s="769"/>
      <c r="J19" s="214">
        <f>+'19'!J19</f>
        <v>0</v>
      </c>
      <c r="K19" s="239"/>
      <c r="L19" s="239"/>
      <c r="M19" s="117">
        <f>+K19+'19'!M19+L19</f>
        <v>0</v>
      </c>
    </row>
    <row r="20" spans="1:13" ht="13.5" thickBot="1">
      <c r="A20" s="771"/>
      <c r="B20" s="215"/>
      <c r="C20" s="216"/>
      <c r="D20" s="217"/>
      <c r="E20" s="225"/>
      <c r="F20" s="228"/>
      <c r="G20" s="232"/>
      <c r="H20" s="233"/>
      <c r="I20" s="769"/>
      <c r="J20" s="214">
        <f>+'19'!J20</f>
        <v>0</v>
      </c>
      <c r="K20" s="240"/>
      <c r="L20" s="240"/>
      <c r="M20" s="117">
        <f>+K20+'19'!M20+L20</f>
        <v>0</v>
      </c>
    </row>
    <row r="21" spans="1:13" ht="13.5" thickBot="1">
      <c r="A21" s="771"/>
      <c r="B21" s="215"/>
      <c r="C21" s="216"/>
      <c r="D21" s="217"/>
      <c r="E21" s="225"/>
      <c r="F21" s="231"/>
      <c r="G21" s="232"/>
      <c r="H21" s="233"/>
      <c r="I21" s="769"/>
      <c r="J21" s="214">
        <f>+'19'!J21</f>
        <v>0</v>
      </c>
      <c r="K21" s="239"/>
      <c r="L21" s="239"/>
      <c r="M21" s="117">
        <f>+K21+'19'!M21+L21</f>
        <v>0</v>
      </c>
    </row>
    <row r="22" spans="1:13" ht="13.5" thickBot="1">
      <c r="A22" s="771"/>
      <c r="B22" s="215"/>
      <c r="C22" s="216"/>
      <c r="D22" s="217"/>
      <c r="E22" s="225"/>
      <c r="F22" s="236"/>
      <c r="G22" s="232"/>
      <c r="H22" s="233"/>
      <c r="I22" s="770"/>
      <c r="J22" s="214">
        <f>+'19'!J22</f>
        <v>0</v>
      </c>
      <c r="K22" s="239"/>
      <c r="L22" s="239"/>
      <c r="M22" s="117">
        <f>+K22+'19'!M22+L22</f>
        <v>0</v>
      </c>
    </row>
    <row r="23" spans="1:13" ht="13.5" thickBot="1">
      <c r="A23" s="772"/>
      <c r="B23" s="168" t="s">
        <v>2</v>
      </c>
      <c r="C23" s="100">
        <f>SUM(C16:C22)</f>
        <v>0</v>
      </c>
      <c r="D23" s="111">
        <f>SUM(D16:D22)</f>
        <v>0</v>
      </c>
      <c r="E23" s="112">
        <f>SUM(E18:E22)</f>
        <v>0</v>
      </c>
      <c r="F23" s="116">
        <f>SUM(F15:F22)</f>
        <v>480</v>
      </c>
      <c r="G23" s="159"/>
      <c r="H23" s="166"/>
      <c r="I23" s="169"/>
      <c r="J23" s="214">
        <f>+'19'!J23</f>
        <v>0</v>
      </c>
      <c r="K23" s="239"/>
      <c r="L23" s="239"/>
      <c r="M23" s="117">
        <f>+K23+'19'!M23+L23</f>
        <v>0</v>
      </c>
    </row>
    <row r="24" spans="1:13" ht="13.5" customHeight="1" thickBot="1">
      <c r="A24" s="765"/>
      <c r="B24" s="170"/>
      <c r="C24" s="113" t="e">
        <f>C23/($C$23+$D$23+$E$23)</f>
        <v>#DIV/0!</v>
      </c>
      <c r="D24" s="114" t="e">
        <f>D23/($C$23+$D$23+$E$23)</f>
        <v>#DIV/0!</v>
      </c>
      <c r="E24" s="115" t="e">
        <f>E23/($C$23+$D$23+$E$23)</f>
        <v>#DIV/0!</v>
      </c>
      <c r="F24" s="228"/>
      <c r="G24" s="229" t="s">
        <v>12</v>
      </c>
      <c r="H24" s="230" t="s">
        <v>466</v>
      </c>
      <c r="I24" s="768"/>
      <c r="J24" s="214">
        <f>+'19'!J24</f>
        <v>0</v>
      </c>
      <c r="K24" s="239"/>
      <c r="L24" s="239"/>
      <c r="M24" s="117">
        <f>+K24+'19'!M24+L24</f>
        <v>0</v>
      </c>
    </row>
    <row r="25" spans="1:13" ht="13.5" thickBot="1">
      <c r="A25" s="771"/>
      <c r="B25" s="215"/>
      <c r="C25" s="226"/>
      <c r="D25" s="217"/>
      <c r="E25" s="225"/>
      <c r="F25" s="231"/>
      <c r="G25" s="560" t="s">
        <v>12</v>
      </c>
      <c r="H25" s="230" t="s">
        <v>432</v>
      </c>
      <c r="I25" s="769"/>
      <c r="J25" s="214">
        <f>+'19'!J25</f>
        <v>0</v>
      </c>
      <c r="K25" s="239"/>
      <c r="L25" s="239"/>
      <c r="M25" s="117">
        <f>+K25+'19'!M25+L25</f>
        <v>0</v>
      </c>
    </row>
    <row r="26" spans="1:13" ht="13.5" thickBot="1">
      <c r="A26" s="771"/>
      <c r="B26" s="215"/>
      <c r="C26" s="226"/>
      <c r="D26" s="217"/>
      <c r="E26" s="227"/>
      <c r="F26" s="228"/>
      <c r="G26" s="560" t="s">
        <v>12</v>
      </c>
      <c r="H26" s="233" t="s">
        <v>507</v>
      </c>
      <c r="I26" s="769"/>
      <c r="J26" s="214">
        <f>+'19'!J26</f>
        <v>0</v>
      </c>
      <c r="K26" s="239"/>
      <c r="L26" s="239"/>
      <c r="M26" s="117">
        <f>+K26+'19'!M26+L26</f>
        <v>0</v>
      </c>
    </row>
    <row r="27" spans="1:13" ht="77.25" thickBot="1">
      <c r="A27" s="771"/>
      <c r="B27" s="215"/>
      <c r="C27" s="216"/>
      <c r="D27" s="217"/>
      <c r="E27" s="225"/>
      <c r="F27" s="228">
        <v>480</v>
      </c>
      <c r="G27" s="237" t="s">
        <v>20</v>
      </c>
      <c r="H27" s="233" t="s">
        <v>605</v>
      </c>
      <c r="I27" s="769"/>
      <c r="J27" s="214">
        <f>+'19'!J27</f>
        <v>0</v>
      </c>
      <c r="K27" s="239"/>
      <c r="L27" s="239"/>
      <c r="M27" s="117">
        <f>+K27+'19'!M27+L27</f>
        <v>0</v>
      </c>
    </row>
    <row r="28" spans="1:13" ht="13.5" thickBot="1">
      <c r="A28" s="771"/>
      <c r="B28" s="215"/>
      <c r="C28" s="216"/>
      <c r="D28" s="217"/>
      <c r="E28" s="225"/>
      <c r="F28" s="235"/>
      <c r="G28" s="232"/>
      <c r="H28" s="233"/>
      <c r="I28" s="769"/>
      <c r="J28" s="214">
        <f>+'19'!J28</f>
        <v>0</v>
      </c>
      <c r="K28" s="239"/>
      <c r="L28" s="239"/>
      <c r="M28" s="117">
        <f>+K28+'19'!M28+L28</f>
        <v>0</v>
      </c>
    </row>
    <row r="29" spans="1:13" ht="13.5" thickBot="1">
      <c r="A29" s="771"/>
      <c r="B29" s="215"/>
      <c r="C29" s="216"/>
      <c r="D29" s="217"/>
      <c r="E29" s="225"/>
      <c r="F29" s="236"/>
      <c r="G29" s="232"/>
      <c r="H29" s="233"/>
      <c r="I29" s="769"/>
      <c r="J29" s="214">
        <f>+'19'!J29</f>
        <v>0</v>
      </c>
      <c r="K29" s="239"/>
      <c r="L29" s="239"/>
      <c r="M29" s="117">
        <f>+K29+'19'!M29+L29</f>
        <v>0</v>
      </c>
    </row>
    <row r="30" spans="1:13" ht="13.5" thickBot="1">
      <c r="A30" s="771"/>
      <c r="B30" s="215"/>
      <c r="C30" s="226"/>
      <c r="D30" s="217"/>
      <c r="E30" s="225"/>
      <c r="F30" s="236"/>
      <c r="G30" s="232"/>
      <c r="H30" s="233"/>
      <c r="I30" s="769"/>
      <c r="J30" s="214">
        <f>+'19'!J30</f>
        <v>0</v>
      </c>
      <c r="K30" s="239"/>
      <c r="L30" s="239"/>
      <c r="M30" s="117">
        <f>+K30+'19'!M30+L30</f>
        <v>0</v>
      </c>
    </row>
    <row r="31" spans="1:13" ht="13.5" thickBot="1">
      <c r="A31" s="771"/>
      <c r="B31" s="215"/>
      <c r="C31" s="226"/>
      <c r="D31" s="217"/>
      <c r="E31" s="225"/>
      <c r="F31" s="236"/>
      <c r="G31" s="237"/>
      <c r="H31" s="445"/>
      <c r="I31" s="770"/>
      <c r="J31" s="214">
        <f>+'19'!J31</f>
        <v>0</v>
      </c>
      <c r="K31" s="239"/>
      <c r="L31" s="239"/>
      <c r="M31" s="117">
        <f>+K31+'19'!M31+L31</f>
        <v>0</v>
      </c>
    </row>
    <row r="32" spans="1:13" ht="13.5" thickBot="1">
      <c r="A32" s="772"/>
      <c r="B32" s="165" t="s">
        <v>2</v>
      </c>
      <c r="C32" s="99">
        <f>SUM(C25:C31)</f>
        <v>0</v>
      </c>
      <c r="D32" s="100">
        <f>SUM(D25:D31)</f>
        <v>0</v>
      </c>
      <c r="E32" s="101">
        <f>SUM(E25:E31)</f>
        <v>0</v>
      </c>
      <c r="F32" s="102">
        <f>SUM(F24:F31)</f>
        <v>480</v>
      </c>
      <c r="G32" s="171"/>
      <c r="H32" s="172"/>
      <c r="I32" s="169"/>
      <c r="J32" s="214">
        <f>+'19'!J32</f>
        <v>0</v>
      </c>
      <c r="K32" s="241"/>
      <c r="L32" s="243"/>
      <c r="M32" s="117">
        <f>+K32+'19'!M32+L32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244">
        <f>(10.3*1440)/1440*G42*2.74*1440/1000000</f>
        <v>0</v>
      </c>
      <c r="J37" s="125" t="e">
        <f>+I37+'19'!J37</f>
        <v>#DIV/0!</v>
      </c>
      <c r="K37" s="126" t="s">
        <v>63</v>
      </c>
    </row>
    <row r="38" spans="1:13" ht="17.45" customHeight="1">
      <c r="A38" s="755" t="s">
        <v>12</v>
      </c>
      <c r="B38" s="756"/>
      <c r="C38" s="164">
        <f>SUMIF($G$7:$G$31,"Process",$F$7:$F$31)</f>
        <v>0</v>
      </c>
      <c r="D38" s="118">
        <f>+C38+'19'!D38</f>
        <v>860</v>
      </c>
      <c r="E38" s="143">
        <f t="shared" ref="E38:E51" si="0">D38/60</f>
        <v>14.333333333333334</v>
      </c>
      <c r="F38" s="322"/>
      <c r="G38" s="322"/>
      <c r="H38" s="187" t="s">
        <v>64</v>
      </c>
      <c r="I38" s="245"/>
      <c r="J38" s="127">
        <f>+I38+'19'!J38</f>
        <v>440.91260000000005</v>
      </c>
      <c r="K38" s="128" t="s">
        <v>63</v>
      </c>
    </row>
    <row r="39" spans="1:13" ht="17.45" customHeight="1">
      <c r="A39" s="759" t="s">
        <v>13</v>
      </c>
      <c r="B39" s="760"/>
      <c r="C39" s="164">
        <f>SUMIF($G$7:$G$31,"Cleaning",$F$7:$F$31)</f>
        <v>0</v>
      </c>
      <c r="D39" s="118">
        <f>+C39+'19'!D39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+C40+'19'!D40</f>
        <v>0</v>
      </c>
      <c r="E40" s="143">
        <f t="shared" si="0"/>
        <v>0</v>
      </c>
      <c r="F40" s="322"/>
      <c r="G40" s="322"/>
      <c r="H40" s="187" t="s">
        <v>67</v>
      </c>
      <c r="I40" s="118">
        <f>(K34+L34)/1000</f>
        <v>0</v>
      </c>
      <c r="J40" s="131">
        <f>+I40+'19'!J40</f>
        <v>413.67199999999991</v>
      </c>
      <c r="K40" s="130" t="s">
        <v>63</v>
      </c>
    </row>
    <row r="41" spans="1:13" ht="17.45" customHeight="1">
      <c r="A41" s="759" t="s">
        <v>68</v>
      </c>
      <c r="B41" s="760"/>
      <c r="C41" s="164">
        <f>SUMIF($G$7:$G$31,"Electrical",$F$7:$F$31)</f>
        <v>0</v>
      </c>
      <c r="D41" s="118">
        <f>+C41+'19'!D41</f>
        <v>550</v>
      </c>
      <c r="E41" s="143">
        <f t="shared" si="0"/>
        <v>9.1666666666666661</v>
      </c>
      <c r="F41" s="322"/>
      <c r="G41" s="322"/>
      <c r="H41" s="187" t="s">
        <v>69</v>
      </c>
      <c r="I41" s="142"/>
      <c r="J41" s="129">
        <f>J40/G4</f>
        <v>20.683599999999995</v>
      </c>
      <c r="K41" s="130" t="s">
        <v>63</v>
      </c>
    </row>
    <row r="42" spans="1:13" ht="17.45" customHeight="1">
      <c r="A42" s="759" t="s">
        <v>16</v>
      </c>
      <c r="B42" s="760"/>
      <c r="C42" s="164">
        <f>SUMIF($G$7:$G$31,"Instrument",$F$7:$F$31)</f>
        <v>0</v>
      </c>
      <c r="D42" s="118">
        <f>+C42+'19'!D42</f>
        <v>0</v>
      </c>
      <c r="E42" s="143">
        <f t="shared" si="0"/>
        <v>0</v>
      </c>
      <c r="F42" s="322"/>
      <c r="G42" s="322"/>
      <c r="H42" s="187" t="s">
        <v>70</v>
      </c>
      <c r="I42" s="246"/>
      <c r="J42" s="132"/>
      <c r="K42" s="130" t="s">
        <v>71</v>
      </c>
    </row>
    <row r="43" spans="1:13" ht="17.45" customHeight="1">
      <c r="A43" s="759" t="s">
        <v>72</v>
      </c>
      <c r="B43" s="760"/>
      <c r="C43" s="164">
        <f>SUMIF($G$7:$G$31,"Water",$F$7:$F$31)</f>
        <v>0</v>
      </c>
      <c r="D43" s="118">
        <f>+C43+'19'!D43</f>
        <v>0</v>
      </c>
      <c r="E43" s="143">
        <f t="shared" si="0"/>
        <v>0</v>
      </c>
      <c r="F43" s="322"/>
      <c r="G43" s="323"/>
      <c r="H43" s="188" t="s">
        <v>73</v>
      </c>
      <c r="I43" s="118">
        <f>+Report1!Z28</f>
        <v>1.6</v>
      </c>
      <c r="J43" s="133">
        <f>+I43+'19'!J43</f>
        <v>706.80000000000007</v>
      </c>
      <c r="K43" s="130" t="s">
        <v>63</v>
      </c>
      <c r="L43" s="189"/>
    </row>
    <row r="44" spans="1:13" ht="17.45" customHeight="1">
      <c r="A44" s="759" t="s">
        <v>17</v>
      </c>
      <c r="B44" s="760"/>
      <c r="C44" s="164">
        <f>SUMIF($G$7:$G$31,"PLN",$F$7:$F$31)</f>
        <v>0</v>
      </c>
      <c r="D44" s="118">
        <f>+C44+'19'!D44</f>
        <v>0</v>
      </c>
      <c r="E44" s="143">
        <f t="shared" si="0"/>
        <v>0</v>
      </c>
      <c r="F44" s="322"/>
      <c r="G44" s="323"/>
      <c r="H44" s="188" t="s">
        <v>74</v>
      </c>
      <c r="I44" s="118" t="e">
        <f>I43/I38</f>
        <v>#DIV/0!</v>
      </c>
      <c r="J44" s="134">
        <f>J43/J38</f>
        <v>1.6030387881861394</v>
      </c>
      <c r="K44" s="130" t="s">
        <v>63</v>
      </c>
    </row>
    <row r="45" spans="1:13" ht="17.45" customHeight="1">
      <c r="A45" s="759" t="s">
        <v>18</v>
      </c>
      <c r="B45" s="760"/>
      <c r="C45" s="164">
        <f>SUMIF($G$7:$G$31,"Boiler",$F$7:$F$31)</f>
        <v>0</v>
      </c>
      <c r="D45" s="118">
        <f>+C45+'19'!D45</f>
        <v>0</v>
      </c>
      <c r="E45" s="143">
        <f t="shared" si="0"/>
        <v>0</v>
      </c>
      <c r="F45" s="322"/>
      <c r="G45" s="325"/>
      <c r="H45" s="188" t="s">
        <v>75</v>
      </c>
      <c r="I45" s="118" t="e">
        <f>I43/I40</f>
        <v>#DIV/0!</v>
      </c>
      <c r="J45" s="134">
        <f>J43/J40</f>
        <v>1.708600050281383</v>
      </c>
      <c r="K45" s="130" t="s">
        <v>63</v>
      </c>
    </row>
    <row r="46" spans="1:13" ht="17.45" customHeight="1">
      <c r="A46" s="759" t="s">
        <v>76</v>
      </c>
      <c r="B46" s="760"/>
      <c r="C46" s="164">
        <f>SUMIF($G$7:$G$31,"Gas",$F$7:$F$31)</f>
        <v>0</v>
      </c>
      <c r="D46" s="118">
        <f>+C46+'19'!D46</f>
        <v>0</v>
      </c>
      <c r="E46" s="143">
        <f t="shared" si="0"/>
        <v>0</v>
      </c>
      <c r="F46" s="322"/>
      <c r="G46" s="323"/>
      <c r="H46" s="188" t="s">
        <v>77</v>
      </c>
      <c r="I46" s="140">
        <f>+SUMIF(Listrik!P27,"&gt;0")</f>
        <v>6389.0799999992723</v>
      </c>
      <c r="J46" s="135">
        <f>+I46+'19'!J46</f>
        <v>457781.42000000074</v>
      </c>
      <c r="K46" s="130" t="s">
        <v>78</v>
      </c>
    </row>
    <row r="47" spans="1:13" ht="17.45" customHeight="1">
      <c r="A47" s="759" t="s">
        <v>79</v>
      </c>
      <c r="B47" s="760"/>
      <c r="C47" s="164">
        <f>SUMIF($G$7:$G$31,"Gas",$F$7:$F$31)</f>
        <v>0</v>
      </c>
      <c r="D47" s="118">
        <f>+C47+'19'!D47</f>
        <v>0</v>
      </c>
      <c r="E47" s="143">
        <f t="shared" si="0"/>
        <v>0</v>
      </c>
      <c r="F47" s="322"/>
      <c r="G47" s="323"/>
      <c r="H47" s="188" t="s">
        <v>80</v>
      </c>
      <c r="I47" s="118" t="e">
        <f>I46/I38</f>
        <v>#DIV/0!</v>
      </c>
      <c r="J47" s="135">
        <f>J46/J38</f>
        <v>1038.2588748881312</v>
      </c>
      <c r="K47" s="130" t="s">
        <v>24</v>
      </c>
    </row>
    <row r="48" spans="1:13" ht="17.45" customHeight="1">
      <c r="A48" s="759" t="s">
        <v>14</v>
      </c>
      <c r="B48" s="760"/>
      <c r="C48" s="164">
        <f>SUMIF($G$7:$G$31,"Start Up",$F$7:$F$31)</f>
        <v>0</v>
      </c>
      <c r="D48" s="118">
        <f>+C48+'19'!D48</f>
        <v>0</v>
      </c>
      <c r="E48" s="143">
        <f t="shared" si="0"/>
        <v>0</v>
      </c>
      <c r="F48" s="322"/>
      <c r="G48" s="323"/>
      <c r="H48" s="188" t="s">
        <v>81</v>
      </c>
      <c r="I48" s="118" t="e">
        <f>I46/I40</f>
        <v>#DIV/0!</v>
      </c>
      <c r="J48" s="135">
        <f>J46/J40</f>
        <v>1106.628971745733</v>
      </c>
      <c r="K48" s="130" t="s">
        <v>24</v>
      </c>
    </row>
    <row r="49" spans="1:11" ht="17.45" customHeight="1">
      <c r="A49" s="759" t="s">
        <v>20</v>
      </c>
      <c r="B49" s="760"/>
      <c r="C49" s="164">
        <f>SUMIF($G$7:$G$31,"Others",$F$7:$F$31)</f>
        <v>1440</v>
      </c>
      <c r="D49" s="118">
        <f>+C49+'19'!D49</f>
        <v>11070</v>
      </c>
      <c r="E49" s="143">
        <f t="shared" si="0"/>
        <v>184.5</v>
      </c>
      <c r="F49" s="185"/>
      <c r="H49" s="188" t="s">
        <v>272</v>
      </c>
      <c r="I49" s="118">
        <f>+Report1!T28</f>
        <v>0</v>
      </c>
      <c r="J49" s="135">
        <f>+I49+'19'!J49</f>
        <v>41069.474159648547</v>
      </c>
      <c r="K49" s="130" t="s">
        <v>82</v>
      </c>
    </row>
    <row r="50" spans="1:11" ht="17.45" customHeight="1">
      <c r="A50" s="759" t="s">
        <v>19</v>
      </c>
      <c r="B50" s="760"/>
      <c r="C50" s="164">
        <f>SUMIF($G$7:$G$31,"Steam",$F$7:$F$31)</f>
        <v>0</v>
      </c>
      <c r="D50" s="118">
        <f>+C50+'19'!D50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+C51+'19'!D51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14035</v>
      </c>
      <c r="E52" s="145">
        <f>SUM(E38:E51)</f>
        <v>233.91666666666666</v>
      </c>
      <c r="F52" s="185"/>
      <c r="H52" s="191"/>
      <c r="I52" s="192"/>
      <c r="J52" s="138"/>
      <c r="K52" s="139"/>
    </row>
    <row r="53" spans="1:11" ht="13.5" thickBot="1">
      <c r="A53" s="757"/>
      <c r="B53" s="758"/>
      <c r="C53" s="146">
        <f>C52/(24*60)</f>
        <v>1</v>
      </c>
      <c r="D53" s="146">
        <f>D52/(24*60*G4)</f>
        <v>0.48732638888888891</v>
      </c>
      <c r="E53" s="147">
        <f>E52/(G4*24)</f>
        <v>0.48732638888888885</v>
      </c>
      <c r="F53" s="185"/>
    </row>
    <row r="54" spans="1:11">
      <c r="E54" s="193"/>
      <c r="F54" s="185"/>
    </row>
    <row r="55" spans="1:11">
      <c r="E55" s="193"/>
    </row>
    <row r="56" spans="1:11">
      <c r="A56" s="194" t="s">
        <v>86</v>
      </c>
      <c r="B56" s="195"/>
      <c r="C56" s="196"/>
      <c r="D56" s="196"/>
      <c r="E56" s="196"/>
      <c r="F56" s="197"/>
      <c r="G56" s="196"/>
      <c r="H56" s="198"/>
      <c r="I56" s="199" t="s">
        <v>87</v>
      </c>
      <c r="J56" s="200">
        <f>+D34+'19'!J56</f>
        <v>10652</v>
      </c>
      <c r="K56" s="201">
        <f>J56/(J40+J56/1000)/1000</f>
        <v>2.5103458677802816E-2</v>
      </c>
    </row>
    <row r="57" spans="1:11">
      <c r="A57" s="176"/>
      <c r="I57" s="199" t="s">
        <v>88</v>
      </c>
      <c r="J57" s="200">
        <f>+E34+'19'!J57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A37:B37"/>
    <mergeCell ref="A38:B38"/>
    <mergeCell ref="A24:A32"/>
    <mergeCell ref="I24:I31"/>
    <mergeCell ref="I7:I13"/>
    <mergeCell ref="A15:A23"/>
    <mergeCell ref="I15:I22"/>
    <mergeCell ref="A34:B34"/>
    <mergeCell ref="A7:A14"/>
  </mergeCells>
  <phoneticPr fontId="32" type="noConversion"/>
  <printOptions horizontalCentered="1"/>
  <pageMargins left="0.74791666666666667" right="0.74791666666666667" top="0.39027777777777778" bottom="0.59027777777777779" header="0" footer="0"/>
  <pageSetup paperSize="9" scale="61" firstPageNumber="4294963191" orientation="landscape"/>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zoomScale="80" zoomScaleNormal="80" workbookViewId="0">
      <selection activeCell="F7" sqref="F7:H3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140625" style="149" customWidth="1"/>
    <col min="14" max="14" width="10.140625" style="149" bestFit="1" customWidth="1"/>
    <col min="15" max="16384" width="9.140625" style="149"/>
  </cols>
  <sheetData>
    <row r="1" spans="1:13" ht="15.75">
      <c r="A1" s="148"/>
    </row>
    <row r="2" spans="1:13" ht="15.75">
      <c r="A2" s="148" t="s">
        <v>185</v>
      </c>
    </row>
    <row r="3" spans="1:13" ht="15">
      <c r="A3" s="150"/>
    </row>
    <row r="4" spans="1:13" ht="20.25">
      <c r="A4" s="151" t="s">
        <v>3</v>
      </c>
      <c r="B4" s="152"/>
      <c r="F4" s="153" t="s">
        <v>29</v>
      </c>
      <c r="G4" s="154">
        <v>19</v>
      </c>
      <c r="H4" s="154" t="str">
        <f>+'1'!H4</f>
        <v>.9.25</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c r="E7" s="218"/>
      <c r="F7" s="228"/>
      <c r="G7" s="229" t="s">
        <v>12</v>
      </c>
      <c r="H7" s="230" t="s">
        <v>466</v>
      </c>
      <c r="I7" s="768"/>
      <c r="J7" s="214" t="str">
        <f>+'18'!J7</f>
        <v>F 12 VP OW</v>
      </c>
      <c r="K7" s="238"/>
      <c r="L7" s="242"/>
      <c r="M7" s="117">
        <f>+K7+'18'!M7+L7</f>
        <v>172842</v>
      </c>
    </row>
    <row r="8" spans="1:13" ht="13.5" thickBot="1">
      <c r="A8" s="766"/>
      <c r="B8" s="215"/>
      <c r="C8" s="216"/>
      <c r="D8" s="217"/>
      <c r="E8" s="219"/>
      <c r="F8" s="231"/>
      <c r="G8" s="560" t="s">
        <v>12</v>
      </c>
      <c r="H8" s="230" t="s">
        <v>432</v>
      </c>
      <c r="I8" s="769"/>
      <c r="J8" s="214" t="str">
        <f>+'18'!J8</f>
        <v>F 13 VP OW</v>
      </c>
      <c r="K8" s="239"/>
      <c r="L8" s="239"/>
      <c r="M8" s="117">
        <f>+K8+'18'!M8+L8</f>
        <v>66206</v>
      </c>
    </row>
    <row r="9" spans="1:13" ht="13.5" thickBot="1">
      <c r="A9" s="766"/>
      <c r="B9" s="215"/>
      <c r="C9" s="216"/>
      <c r="D9" s="217"/>
      <c r="E9" s="220"/>
      <c r="F9" s="228"/>
      <c r="G9" s="560" t="s">
        <v>12</v>
      </c>
      <c r="H9" s="233" t="s">
        <v>507</v>
      </c>
      <c r="I9" s="769"/>
      <c r="J9" s="214" t="str">
        <f>+'18'!J9</f>
        <v>F 14 VP OW</v>
      </c>
      <c r="K9" s="239"/>
      <c r="L9" s="239"/>
      <c r="M9" s="117">
        <f>+K9+'18'!M9+L9</f>
        <v>100560</v>
      </c>
    </row>
    <row r="10" spans="1:13" ht="13.5" thickBot="1">
      <c r="A10" s="766"/>
      <c r="B10" s="215"/>
      <c r="C10" s="216"/>
      <c r="D10" s="217"/>
      <c r="E10" s="219"/>
      <c r="F10" s="228">
        <v>480</v>
      </c>
      <c r="G10" s="237" t="s">
        <v>20</v>
      </c>
      <c r="H10" s="233" t="s">
        <v>594</v>
      </c>
      <c r="I10" s="769"/>
      <c r="J10" s="214" t="str">
        <f>+'18'!J10</f>
        <v>T 12,5 VP OW</v>
      </c>
      <c r="K10" s="239"/>
      <c r="L10" s="239"/>
      <c r="M10" s="117">
        <f>+K10+'18'!M10+L10</f>
        <v>19885</v>
      </c>
    </row>
    <row r="11" spans="1:13" ht="64.5" thickBot="1">
      <c r="A11" s="766"/>
      <c r="B11" s="215"/>
      <c r="C11" s="216"/>
      <c r="D11" s="217"/>
      <c r="E11" s="219"/>
      <c r="F11" s="228"/>
      <c r="G11" s="232"/>
      <c r="H11" s="233" t="s">
        <v>601</v>
      </c>
      <c r="I11" s="769"/>
      <c r="J11" s="214" t="str">
        <f>+'18'!J11</f>
        <v>F 12,5 VP OW</v>
      </c>
      <c r="K11" s="239"/>
      <c r="L11" s="239"/>
      <c r="M11" s="117">
        <f>+K11+'18'!M11+L11</f>
        <v>42554</v>
      </c>
    </row>
    <row r="12" spans="1:13" ht="13.5" thickBot="1">
      <c r="A12" s="766"/>
      <c r="B12" s="215"/>
      <c r="C12" s="216"/>
      <c r="D12" s="217"/>
      <c r="E12" s="219"/>
      <c r="F12" s="228"/>
      <c r="G12" s="232"/>
      <c r="H12" s="233"/>
      <c r="I12" s="769"/>
      <c r="J12" s="214" t="str">
        <f>+'18'!J12</f>
        <v>F 13,5 VP OW</v>
      </c>
      <c r="K12" s="239"/>
      <c r="L12" s="239"/>
      <c r="M12" s="117">
        <f>+K12+'18'!M12+L12</f>
        <v>11625</v>
      </c>
    </row>
    <row r="13" spans="1:13" ht="13.5" thickBot="1">
      <c r="A13" s="766"/>
      <c r="B13" s="215"/>
      <c r="C13" s="216"/>
      <c r="D13" s="216"/>
      <c r="E13" s="219"/>
      <c r="F13" s="228"/>
      <c r="G13" s="232"/>
      <c r="H13" s="233"/>
      <c r="I13" s="770"/>
      <c r="J13" s="214">
        <f>+'18'!J13</f>
        <v>0</v>
      </c>
      <c r="K13" s="239"/>
      <c r="L13" s="239"/>
      <c r="M13" s="117">
        <f>+K13+'18'!M13+L13</f>
        <v>0</v>
      </c>
    </row>
    <row r="14" spans="1:13" ht="13.5" thickBot="1">
      <c r="A14" s="767"/>
      <c r="B14" s="165" t="s">
        <v>2</v>
      </c>
      <c r="C14" s="99">
        <f>SUM(C7:C13)</f>
        <v>0</v>
      </c>
      <c r="D14" s="111">
        <f>SUM(D7:D13)</f>
        <v>0</v>
      </c>
      <c r="E14" s="112">
        <f>SUM(E5:E13)</f>
        <v>0</v>
      </c>
      <c r="F14" s="116">
        <f>SUM(F7:F13)</f>
        <v>480</v>
      </c>
      <c r="G14" s="159"/>
      <c r="H14" s="166"/>
      <c r="I14" s="167"/>
      <c r="J14" s="214">
        <f>+'18'!J14</f>
        <v>0</v>
      </c>
      <c r="K14" s="239"/>
      <c r="L14" s="239"/>
      <c r="M14" s="117">
        <f>+K14+'18'!M14+L14</f>
        <v>0</v>
      </c>
    </row>
    <row r="15" spans="1:13" ht="13.5" customHeight="1" thickBot="1">
      <c r="A15" s="765"/>
      <c r="B15" s="165"/>
      <c r="C15" s="113" t="e">
        <f>C14/($C$23+$D$23+$E$23)</f>
        <v>#DIV/0!</v>
      </c>
      <c r="D15" s="114" t="e">
        <f>D14/($C$23+$D$23+$E$23)</f>
        <v>#DIV/0!</v>
      </c>
      <c r="E15" s="115" t="e">
        <f>E14/($C$23+$D$23+$E$23)</f>
        <v>#DIV/0!</v>
      </c>
      <c r="F15" s="228"/>
      <c r="G15" s="229" t="s">
        <v>12</v>
      </c>
      <c r="H15" s="230" t="s">
        <v>466</v>
      </c>
      <c r="I15" s="768"/>
      <c r="J15" s="214">
        <f>+'18'!J15</f>
        <v>0</v>
      </c>
      <c r="K15" s="239"/>
      <c r="L15" s="239"/>
      <c r="M15" s="117">
        <f>+K15+'18'!M15+L15</f>
        <v>0</v>
      </c>
    </row>
    <row r="16" spans="1:13" ht="13.5" thickBot="1">
      <c r="A16" s="771"/>
      <c r="B16" s="215"/>
      <c r="C16" s="222"/>
      <c r="D16" s="223"/>
      <c r="E16" s="224"/>
      <c r="F16" s="231"/>
      <c r="G16" s="560" t="s">
        <v>12</v>
      </c>
      <c r="H16" s="230" t="s">
        <v>432</v>
      </c>
      <c r="I16" s="769"/>
      <c r="J16" s="214">
        <f>+'18'!J16</f>
        <v>0</v>
      </c>
      <c r="K16" s="229"/>
      <c r="L16" s="229"/>
      <c r="M16" s="117">
        <f>+K16+'18'!M16+L16</f>
        <v>0</v>
      </c>
    </row>
    <row r="17" spans="1:13" ht="13.5" thickBot="1">
      <c r="A17" s="771"/>
      <c r="B17" s="215"/>
      <c r="C17" s="216"/>
      <c r="D17" s="217"/>
      <c r="E17" s="225"/>
      <c r="F17" s="228"/>
      <c r="G17" s="560" t="s">
        <v>12</v>
      </c>
      <c r="H17" s="233" t="s">
        <v>507</v>
      </c>
      <c r="I17" s="769"/>
      <c r="J17" s="214">
        <f>+'18'!J17</f>
        <v>0</v>
      </c>
      <c r="K17" s="229"/>
      <c r="L17" s="229"/>
      <c r="M17" s="117">
        <f>+K17+'18'!M17+L17</f>
        <v>0</v>
      </c>
    </row>
    <row r="18" spans="1:13" ht="13.5" thickBot="1">
      <c r="A18" s="771"/>
      <c r="B18" s="215"/>
      <c r="C18" s="216"/>
      <c r="D18" s="217"/>
      <c r="E18" s="225"/>
      <c r="F18" s="228">
        <v>480</v>
      </c>
      <c r="G18" s="237" t="s">
        <v>20</v>
      </c>
      <c r="H18" s="233" t="s">
        <v>594</v>
      </c>
      <c r="I18" s="769"/>
      <c r="J18" s="214">
        <f>+'18'!J18</f>
        <v>0</v>
      </c>
      <c r="K18" s="239"/>
      <c r="L18" s="239"/>
      <c r="M18" s="117">
        <f>+K18+'18'!M18+L18</f>
        <v>0</v>
      </c>
    </row>
    <row r="19" spans="1:13" ht="13.5" thickBot="1">
      <c r="A19" s="771"/>
      <c r="B19" s="215"/>
      <c r="C19" s="216"/>
      <c r="D19" s="217"/>
      <c r="E19" s="225"/>
      <c r="F19" s="235"/>
      <c r="G19" s="232"/>
      <c r="H19" s="233"/>
      <c r="I19" s="769"/>
      <c r="J19" s="214">
        <f>+'18'!J19</f>
        <v>0</v>
      </c>
      <c r="K19" s="239"/>
      <c r="L19" s="239"/>
      <c r="M19" s="117">
        <f>+K19+'18'!M19+L19</f>
        <v>0</v>
      </c>
    </row>
    <row r="20" spans="1:13" ht="13.5" thickBot="1">
      <c r="A20" s="771"/>
      <c r="B20" s="215"/>
      <c r="C20" s="216"/>
      <c r="D20" s="217"/>
      <c r="E20" s="225"/>
      <c r="F20" s="228"/>
      <c r="G20" s="232"/>
      <c r="H20" s="233"/>
      <c r="I20" s="769"/>
      <c r="J20" s="214">
        <f>+'18'!J20</f>
        <v>0</v>
      </c>
      <c r="K20" s="240"/>
      <c r="L20" s="240"/>
      <c r="M20" s="117">
        <f>+K20+'18'!M20+L20</f>
        <v>0</v>
      </c>
    </row>
    <row r="21" spans="1:13" ht="13.5" thickBot="1">
      <c r="A21" s="771"/>
      <c r="B21" s="215"/>
      <c r="C21" s="216"/>
      <c r="D21" s="217"/>
      <c r="E21" s="225"/>
      <c r="F21" s="231"/>
      <c r="G21" s="232"/>
      <c r="H21" s="233"/>
      <c r="I21" s="769"/>
      <c r="J21" s="214">
        <f>+'18'!J21</f>
        <v>0</v>
      </c>
      <c r="K21" s="239"/>
      <c r="L21" s="239"/>
      <c r="M21" s="117">
        <f>+K21+'18'!M21+L21</f>
        <v>0</v>
      </c>
    </row>
    <row r="22" spans="1:13" ht="13.5" thickBot="1">
      <c r="A22" s="771"/>
      <c r="B22" s="215"/>
      <c r="C22" s="216"/>
      <c r="D22" s="217"/>
      <c r="E22" s="225"/>
      <c r="F22" s="236"/>
      <c r="G22" s="232"/>
      <c r="H22" s="233"/>
      <c r="I22" s="770"/>
      <c r="J22" s="214">
        <f>+'18'!J22</f>
        <v>0</v>
      </c>
      <c r="K22" s="239"/>
      <c r="L22" s="239"/>
      <c r="M22" s="117">
        <f>+K22+'18'!M22+L22</f>
        <v>0</v>
      </c>
    </row>
    <row r="23" spans="1:13" ht="13.5" thickBot="1">
      <c r="A23" s="772"/>
      <c r="B23" s="168" t="s">
        <v>2</v>
      </c>
      <c r="C23" s="100">
        <f>SUM(C16:C22)</f>
        <v>0</v>
      </c>
      <c r="D23" s="111">
        <f>SUM(D16:D22)</f>
        <v>0</v>
      </c>
      <c r="E23" s="112">
        <f>SUM(E18:E22)</f>
        <v>0</v>
      </c>
      <c r="F23" s="116">
        <f>SUM(F15:F22)</f>
        <v>480</v>
      </c>
      <c r="G23" s="159"/>
      <c r="H23" s="166"/>
      <c r="I23" s="169"/>
      <c r="J23" s="214">
        <f>+'18'!J23</f>
        <v>0</v>
      </c>
      <c r="K23" s="239"/>
      <c r="L23" s="239"/>
      <c r="M23" s="117">
        <f>+K23+'18'!M23+L23</f>
        <v>0</v>
      </c>
    </row>
    <row r="24" spans="1:13" ht="13.5" customHeight="1" thickBot="1">
      <c r="A24" s="765"/>
      <c r="B24" s="170"/>
      <c r="C24" s="113" t="e">
        <f>C23/($C$23+$D$23+$E$23)</f>
        <v>#DIV/0!</v>
      </c>
      <c r="D24" s="114" t="e">
        <f>D23/($C$23+$D$23+$E$23)</f>
        <v>#DIV/0!</v>
      </c>
      <c r="E24" s="115" t="e">
        <f>E23/($C$23+$D$23+$E$23)</f>
        <v>#DIV/0!</v>
      </c>
      <c r="F24" s="228"/>
      <c r="G24" s="229" t="s">
        <v>12</v>
      </c>
      <c r="H24" s="230" t="s">
        <v>466</v>
      </c>
      <c r="I24" s="768"/>
      <c r="J24" s="214">
        <f>+'18'!J24</f>
        <v>0</v>
      </c>
      <c r="K24" s="239"/>
      <c r="L24" s="239"/>
      <c r="M24" s="117">
        <f>+K24+'18'!M24+L24</f>
        <v>0</v>
      </c>
    </row>
    <row r="25" spans="1:13" ht="13.5" thickBot="1">
      <c r="A25" s="771"/>
      <c r="B25" s="215"/>
      <c r="C25" s="226"/>
      <c r="D25" s="217"/>
      <c r="E25" s="225"/>
      <c r="F25" s="231"/>
      <c r="G25" s="560" t="s">
        <v>12</v>
      </c>
      <c r="H25" s="230" t="s">
        <v>432</v>
      </c>
      <c r="I25" s="769"/>
      <c r="J25" s="214">
        <f>+'18'!J25</f>
        <v>0</v>
      </c>
      <c r="K25" s="239"/>
      <c r="L25" s="239"/>
      <c r="M25" s="117">
        <f>+K25+'18'!M25+L25</f>
        <v>0</v>
      </c>
    </row>
    <row r="26" spans="1:13" ht="13.5" thickBot="1">
      <c r="A26" s="771"/>
      <c r="B26" s="215"/>
      <c r="C26" s="226"/>
      <c r="D26" s="217"/>
      <c r="E26" s="227"/>
      <c r="F26" s="228"/>
      <c r="G26" s="560" t="s">
        <v>12</v>
      </c>
      <c r="H26" s="233" t="s">
        <v>507</v>
      </c>
      <c r="I26" s="769"/>
      <c r="J26" s="214">
        <f>+'18'!J26</f>
        <v>0</v>
      </c>
      <c r="K26" s="239"/>
      <c r="L26" s="239"/>
      <c r="M26" s="117">
        <f>+K26+'18'!M26+L26</f>
        <v>0</v>
      </c>
    </row>
    <row r="27" spans="1:13" ht="64.5" thickBot="1">
      <c r="A27" s="771"/>
      <c r="B27" s="215"/>
      <c r="C27" s="216"/>
      <c r="D27" s="217"/>
      <c r="E27" s="225"/>
      <c r="F27" s="228">
        <v>480</v>
      </c>
      <c r="G27" s="237" t="s">
        <v>20</v>
      </c>
      <c r="H27" s="233" t="s">
        <v>600</v>
      </c>
      <c r="I27" s="769"/>
      <c r="J27" s="214">
        <f>+'18'!J27</f>
        <v>0</v>
      </c>
      <c r="K27" s="239"/>
      <c r="L27" s="239"/>
      <c r="M27" s="117">
        <f>+K27+'18'!M27+L27</f>
        <v>0</v>
      </c>
    </row>
    <row r="28" spans="1:13" ht="13.5" thickBot="1">
      <c r="A28" s="771"/>
      <c r="B28" s="215"/>
      <c r="C28" s="216"/>
      <c r="D28" s="217"/>
      <c r="E28" s="225"/>
      <c r="F28" s="235"/>
      <c r="G28" s="232"/>
      <c r="H28" s="233"/>
      <c r="I28" s="769"/>
      <c r="J28" s="214">
        <f>+'18'!J28</f>
        <v>0</v>
      </c>
      <c r="K28" s="239"/>
      <c r="L28" s="239"/>
      <c r="M28" s="117">
        <f>+K28+'18'!M28+L28</f>
        <v>0</v>
      </c>
    </row>
    <row r="29" spans="1:13" ht="13.5" thickBot="1">
      <c r="A29" s="771"/>
      <c r="B29" s="215"/>
      <c r="C29" s="216"/>
      <c r="D29" s="217"/>
      <c r="E29" s="225"/>
      <c r="F29" s="236"/>
      <c r="G29" s="232"/>
      <c r="H29" s="233"/>
      <c r="I29" s="769"/>
      <c r="J29" s="214">
        <f>+'18'!J29</f>
        <v>0</v>
      </c>
      <c r="K29" s="239"/>
      <c r="L29" s="239"/>
      <c r="M29" s="117">
        <f>+K29+'18'!M29+L29</f>
        <v>0</v>
      </c>
    </row>
    <row r="30" spans="1:13" ht="13.5" thickBot="1">
      <c r="A30" s="771"/>
      <c r="B30" s="215"/>
      <c r="C30" s="226"/>
      <c r="D30" s="217"/>
      <c r="E30" s="225"/>
      <c r="F30" s="236"/>
      <c r="G30" s="232"/>
      <c r="H30" s="233"/>
      <c r="I30" s="769"/>
      <c r="J30" s="214">
        <f>+'18'!J30</f>
        <v>0</v>
      </c>
      <c r="K30" s="239"/>
      <c r="L30" s="239"/>
      <c r="M30" s="117">
        <f>+K30+'18'!M30+L30</f>
        <v>0</v>
      </c>
    </row>
    <row r="31" spans="1:13" ht="13.5" thickBot="1">
      <c r="A31" s="771"/>
      <c r="B31" s="215"/>
      <c r="C31" s="226"/>
      <c r="D31" s="217"/>
      <c r="E31" s="225"/>
      <c r="F31" s="236"/>
      <c r="G31" s="237"/>
      <c r="H31" s="445"/>
      <c r="I31" s="770"/>
      <c r="J31" s="214">
        <f>+'18'!J31</f>
        <v>0</v>
      </c>
      <c r="K31" s="239"/>
      <c r="L31" s="239"/>
      <c r="M31" s="117">
        <f>+K31+'18'!M31+L31</f>
        <v>0</v>
      </c>
    </row>
    <row r="32" spans="1:13" ht="13.5" thickBot="1">
      <c r="A32" s="772"/>
      <c r="B32" s="165" t="s">
        <v>2</v>
      </c>
      <c r="C32" s="99">
        <f>SUM(C25:C31)</f>
        <v>0</v>
      </c>
      <c r="D32" s="100">
        <f>SUM(D25:D31)</f>
        <v>0</v>
      </c>
      <c r="E32" s="101">
        <f>SUM(E25:E31)</f>
        <v>0</v>
      </c>
      <c r="F32" s="102">
        <f>SUM(F24:F31)</f>
        <v>480</v>
      </c>
      <c r="G32" s="171"/>
      <c r="H32" s="172"/>
      <c r="I32" s="169"/>
      <c r="J32" s="214">
        <f>+'18'!J32</f>
        <v>0</v>
      </c>
      <c r="K32" s="241"/>
      <c r="L32" s="243"/>
      <c r="M32" s="117">
        <f>+K32+'18'!M32+L32</f>
        <v>0</v>
      </c>
    </row>
    <row r="33" spans="1:14" ht="13.5" thickBot="1">
      <c r="A33" s="173"/>
      <c r="B33" s="174"/>
      <c r="C33" s="103" t="e">
        <f>C32/($C$32+$D$32+$E$32)</f>
        <v>#DIV/0!</v>
      </c>
      <c r="D33" s="104" t="e">
        <f>D32/($C$32+$D$32+$E$32)</f>
        <v>#DIV/0!</v>
      </c>
      <c r="E33" s="105" t="e">
        <f>E32/($C$32+$D$32+$E$32)</f>
        <v>#DIV/0!</v>
      </c>
      <c r="F33" s="106"/>
      <c r="G33" s="175"/>
      <c r="H33" s="176"/>
      <c r="I33" s="177"/>
      <c r="J33" s="121"/>
      <c r="K33" s="122"/>
      <c r="L33" s="213"/>
      <c r="M33" s="119"/>
    </row>
    <row r="34" spans="1:14"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c r="N34" s="155"/>
    </row>
    <row r="35" spans="1:14" ht="13.5" thickBot="1">
      <c r="A35" s="179"/>
      <c r="B35" s="180"/>
      <c r="C35" s="104" t="e">
        <f>C34/($C$34+$D$34+$E$34)</f>
        <v>#DIV/0!</v>
      </c>
      <c r="D35" s="104" t="e">
        <f>D34/($C$34+$D$34+$E$34)</f>
        <v>#DIV/0!</v>
      </c>
      <c r="E35" s="109" t="e">
        <f>E34/($C$34+$D$34+$E$34)</f>
        <v>#DIV/0!</v>
      </c>
      <c r="K35" s="155"/>
    </row>
    <row r="36" spans="1:14" ht="13.5" thickBot="1">
      <c r="A36" s="178"/>
      <c r="B36" s="178"/>
      <c r="C36" s="155"/>
      <c r="D36" s="155"/>
      <c r="E36" s="155"/>
      <c r="G36" s="155"/>
      <c r="H36" s="181" t="s">
        <v>230</v>
      </c>
      <c r="I36" s="162" t="s">
        <v>37</v>
      </c>
      <c r="J36" s="162" t="s">
        <v>38</v>
      </c>
      <c r="K36" s="182"/>
    </row>
    <row r="37" spans="1:14" ht="17.45" customHeight="1" thickBot="1">
      <c r="A37" s="763" t="s">
        <v>58</v>
      </c>
      <c r="B37" s="764"/>
      <c r="C37" s="162" t="s">
        <v>59</v>
      </c>
      <c r="D37" s="183" t="s">
        <v>60</v>
      </c>
      <c r="E37" s="184" t="s">
        <v>61</v>
      </c>
      <c r="F37" s="322"/>
      <c r="G37" s="324"/>
      <c r="H37" s="186" t="s">
        <v>62</v>
      </c>
      <c r="I37" s="244">
        <f>(10.3*1440)/1440*G42*2.74*1440/1000000</f>
        <v>0</v>
      </c>
      <c r="J37" s="125" t="e">
        <f>+I37+'18'!J37</f>
        <v>#DIV/0!</v>
      </c>
      <c r="K37" s="126" t="s">
        <v>63</v>
      </c>
    </row>
    <row r="38" spans="1:14" ht="17.45" customHeight="1">
      <c r="A38" s="755" t="s">
        <v>12</v>
      </c>
      <c r="B38" s="756"/>
      <c r="C38" s="164">
        <f>SUMIF($G$7:$G$31,"Process",$F$7:$F$31)</f>
        <v>0</v>
      </c>
      <c r="D38" s="118">
        <f>+C38+'18'!D38</f>
        <v>860</v>
      </c>
      <c r="E38" s="143">
        <f t="shared" ref="E38:E51" si="0">D38/60</f>
        <v>14.333333333333334</v>
      </c>
      <c r="F38" s="322"/>
      <c r="G38" s="322"/>
      <c r="H38" s="187" t="s">
        <v>64</v>
      </c>
      <c r="I38" s="245"/>
      <c r="J38" s="127">
        <f>+I38+'18'!J38</f>
        <v>440.91260000000005</v>
      </c>
      <c r="K38" s="128" t="s">
        <v>63</v>
      </c>
    </row>
    <row r="39" spans="1:14" ht="17.45" customHeight="1">
      <c r="A39" s="759" t="s">
        <v>13</v>
      </c>
      <c r="B39" s="760"/>
      <c r="C39" s="164">
        <f>SUMIF($G$7:$G$31,"Cleaning",$F$7:$F$31)</f>
        <v>0</v>
      </c>
      <c r="D39" s="118">
        <f>+C39+'18'!D39</f>
        <v>0</v>
      </c>
      <c r="E39" s="143">
        <f t="shared" si="0"/>
        <v>0</v>
      </c>
      <c r="F39" s="322"/>
      <c r="G39" s="322"/>
      <c r="H39" s="187" t="s">
        <v>65</v>
      </c>
      <c r="I39" s="142"/>
      <c r="J39" s="129" t="e">
        <f>J37/G4</f>
        <v>#DIV/0!</v>
      </c>
      <c r="K39" s="130" t="s">
        <v>63</v>
      </c>
    </row>
    <row r="40" spans="1:14" ht="17.45" customHeight="1">
      <c r="A40" s="759" t="s">
        <v>66</v>
      </c>
      <c r="B40" s="760"/>
      <c r="C40" s="164">
        <f>SUMIF($G$7:$G$31,"Mechanical",$F$7:$F$31)</f>
        <v>0</v>
      </c>
      <c r="D40" s="118">
        <f>+C40+'18'!D40</f>
        <v>0</v>
      </c>
      <c r="E40" s="143">
        <f t="shared" si="0"/>
        <v>0</v>
      </c>
      <c r="F40" s="322"/>
      <c r="G40" s="322"/>
      <c r="H40" s="187" t="s">
        <v>67</v>
      </c>
      <c r="I40" s="118">
        <f>(K34+L34)/1000</f>
        <v>0</v>
      </c>
      <c r="J40" s="131">
        <f>+I40+'18'!J40</f>
        <v>413.67199999999991</v>
      </c>
      <c r="K40" s="130" t="s">
        <v>63</v>
      </c>
    </row>
    <row r="41" spans="1:14" ht="17.45" customHeight="1">
      <c r="A41" s="759" t="s">
        <v>68</v>
      </c>
      <c r="B41" s="760"/>
      <c r="C41" s="164">
        <f>SUMIF($G$7:$G$31,"Electrical",$F$7:$F$31)</f>
        <v>0</v>
      </c>
      <c r="D41" s="118">
        <f>+C41+'18'!D41</f>
        <v>550</v>
      </c>
      <c r="E41" s="143">
        <f t="shared" si="0"/>
        <v>9.1666666666666661</v>
      </c>
      <c r="F41" s="322"/>
      <c r="G41" s="322"/>
      <c r="H41" s="187" t="s">
        <v>69</v>
      </c>
      <c r="I41" s="142"/>
      <c r="J41" s="129">
        <f>J40/G4</f>
        <v>21.772210526315785</v>
      </c>
      <c r="K41" s="130" t="s">
        <v>63</v>
      </c>
    </row>
    <row r="42" spans="1:14" ht="17.45" customHeight="1">
      <c r="A42" s="759" t="s">
        <v>16</v>
      </c>
      <c r="B42" s="760"/>
      <c r="C42" s="164">
        <f>SUMIF($G$7:$G$31,"Instrument",$F$7:$F$31)</f>
        <v>0</v>
      </c>
      <c r="D42" s="118">
        <f>+C42+'18'!D42</f>
        <v>0</v>
      </c>
      <c r="E42" s="143">
        <f t="shared" si="0"/>
        <v>0</v>
      </c>
      <c r="F42" s="322"/>
      <c r="G42" s="322"/>
      <c r="H42" s="187" t="s">
        <v>70</v>
      </c>
      <c r="I42" s="246"/>
      <c r="J42" s="132"/>
      <c r="K42" s="130" t="s">
        <v>71</v>
      </c>
    </row>
    <row r="43" spans="1:14" ht="17.45" customHeight="1">
      <c r="A43" s="759" t="s">
        <v>72</v>
      </c>
      <c r="B43" s="760"/>
      <c r="C43" s="164">
        <f>SUMIF($G$7:$G$31,"Water",$F$7:$F$31)</f>
        <v>0</v>
      </c>
      <c r="D43" s="118">
        <f>+C43+'18'!D43</f>
        <v>0</v>
      </c>
      <c r="E43" s="143">
        <f t="shared" si="0"/>
        <v>0</v>
      </c>
      <c r="F43" s="322"/>
      <c r="G43" s="323"/>
      <c r="H43" s="188" t="s">
        <v>73</v>
      </c>
      <c r="I43" s="118">
        <f>+Report1!Z27</f>
        <v>3.9</v>
      </c>
      <c r="J43" s="133">
        <f>+I43+'18'!J43</f>
        <v>705.2</v>
      </c>
      <c r="K43" s="130" t="s">
        <v>63</v>
      </c>
      <c r="L43" s="189"/>
    </row>
    <row r="44" spans="1:14" ht="17.45" customHeight="1">
      <c r="A44" s="759" t="s">
        <v>17</v>
      </c>
      <c r="B44" s="760"/>
      <c r="C44" s="164">
        <f>SUMIF($G$7:$G$31,"PLN",$F$7:$F$31)</f>
        <v>0</v>
      </c>
      <c r="D44" s="118">
        <f>+C44+'18'!D44</f>
        <v>0</v>
      </c>
      <c r="E44" s="143">
        <f t="shared" si="0"/>
        <v>0</v>
      </c>
      <c r="F44" s="322"/>
      <c r="G44" s="323"/>
      <c r="H44" s="188" t="s">
        <v>74</v>
      </c>
      <c r="I44" s="118" t="e">
        <f>I43/I38</f>
        <v>#DIV/0!</v>
      </c>
      <c r="J44" s="134">
        <f>J43/J38</f>
        <v>1.5994099510878119</v>
      </c>
      <c r="K44" s="130" t="s">
        <v>63</v>
      </c>
    </row>
    <row r="45" spans="1:14" ht="17.45" customHeight="1">
      <c r="A45" s="759" t="s">
        <v>18</v>
      </c>
      <c r="B45" s="760"/>
      <c r="C45" s="164">
        <f>SUMIF($G$7:$G$31,"Boiler",$F$7:$F$31)</f>
        <v>0</v>
      </c>
      <c r="D45" s="118">
        <f>+C45+'18'!D45</f>
        <v>0</v>
      </c>
      <c r="E45" s="143">
        <f t="shared" si="0"/>
        <v>0</v>
      </c>
      <c r="F45" s="322"/>
      <c r="G45" s="325"/>
      <c r="H45" s="188" t="s">
        <v>75</v>
      </c>
      <c r="I45" s="118" t="e">
        <f>I43/I40</f>
        <v>#DIV/0!</v>
      </c>
      <c r="J45" s="134">
        <f>J43/J40</f>
        <v>1.7047322516389802</v>
      </c>
      <c r="K45" s="130" t="s">
        <v>63</v>
      </c>
    </row>
    <row r="46" spans="1:14" ht="17.45" customHeight="1">
      <c r="A46" s="759" t="s">
        <v>76</v>
      </c>
      <c r="B46" s="760"/>
      <c r="C46" s="164">
        <f>SUMIF($G$7:$G$31,"Gas",$F$7:$F$31)</f>
        <v>0</v>
      </c>
      <c r="D46" s="118">
        <f>+C46+'18'!D46</f>
        <v>0</v>
      </c>
      <c r="E46" s="143">
        <f t="shared" si="0"/>
        <v>0</v>
      </c>
      <c r="F46" s="322"/>
      <c r="G46" s="323"/>
      <c r="H46" s="188" t="s">
        <v>77</v>
      </c>
      <c r="I46" s="140">
        <f>+SUMIF(Listrik!P26,"&gt;0")</f>
        <v>7147.1000000014556</v>
      </c>
      <c r="J46" s="135">
        <f>+I46+'18'!J46</f>
        <v>451392.34000000148</v>
      </c>
      <c r="K46" s="130" t="s">
        <v>78</v>
      </c>
    </row>
    <row r="47" spans="1:14" ht="17.45" customHeight="1">
      <c r="A47" s="759" t="s">
        <v>79</v>
      </c>
      <c r="B47" s="760"/>
      <c r="C47" s="164">
        <f>SUMIF($G$7:$G$31,"Gas",$F$7:$F$31)</f>
        <v>0</v>
      </c>
      <c r="D47" s="118">
        <f>+C47+'18'!D47</f>
        <v>0</v>
      </c>
      <c r="E47" s="143">
        <f t="shared" si="0"/>
        <v>0</v>
      </c>
      <c r="F47" s="322"/>
      <c r="G47" s="323"/>
      <c r="H47" s="188" t="s">
        <v>80</v>
      </c>
      <c r="I47" s="118" t="e">
        <f>I46/I38</f>
        <v>#DIV/0!</v>
      </c>
      <c r="J47" s="135">
        <f>J46/J38</f>
        <v>1023.7682933080193</v>
      </c>
      <c r="K47" s="130" t="s">
        <v>24</v>
      </c>
    </row>
    <row r="48" spans="1:14" ht="17.45" customHeight="1">
      <c r="A48" s="759" t="s">
        <v>14</v>
      </c>
      <c r="B48" s="760"/>
      <c r="C48" s="164">
        <f>SUMIF($G$7:$G$31,"Start Up",$F$7:$F$31)</f>
        <v>0</v>
      </c>
      <c r="D48" s="118">
        <f>+C48+'18'!D48</f>
        <v>0</v>
      </c>
      <c r="E48" s="143">
        <f t="shared" si="0"/>
        <v>0</v>
      </c>
      <c r="F48" s="322"/>
      <c r="G48" s="323"/>
      <c r="H48" s="188" t="s">
        <v>81</v>
      </c>
      <c r="I48" s="118" t="e">
        <f>I46/I40</f>
        <v>#DIV/0!</v>
      </c>
      <c r="J48" s="135">
        <f>J46/J40</f>
        <v>1091.1841749018583</v>
      </c>
      <c r="K48" s="130" t="s">
        <v>24</v>
      </c>
    </row>
    <row r="49" spans="1:11" ht="17.45" customHeight="1">
      <c r="A49" s="759" t="s">
        <v>20</v>
      </c>
      <c r="B49" s="760"/>
      <c r="C49" s="164">
        <f>SUMIF($G$7:$G$31,"Others",$F$7:$F$31)</f>
        <v>1440</v>
      </c>
      <c r="D49" s="118">
        <f>+C49+'18'!D49</f>
        <v>9630</v>
      </c>
      <c r="E49" s="143">
        <f t="shared" si="0"/>
        <v>160.5</v>
      </c>
      <c r="F49" s="185"/>
      <c r="H49" s="188" t="s">
        <v>272</v>
      </c>
      <c r="I49" s="118">
        <f>+Report1!T27</f>
        <v>0</v>
      </c>
      <c r="J49" s="135">
        <f>+I49+'18'!J49</f>
        <v>41069.474159648547</v>
      </c>
      <c r="K49" s="130" t="s">
        <v>82</v>
      </c>
    </row>
    <row r="50" spans="1:11" ht="17.45" customHeight="1">
      <c r="A50" s="759" t="s">
        <v>19</v>
      </c>
      <c r="B50" s="760"/>
      <c r="C50" s="164">
        <f>SUMIF($G$7:$G$31,"Steam",$F$7:$F$31)</f>
        <v>0</v>
      </c>
      <c r="D50" s="118">
        <f>+C50+'18'!D50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+C51+'18'!D51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12595</v>
      </c>
      <c r="E52" s="145">
        <f>SUM(E38:E51)</f>
        <v>209.91666666666666</v>
      </c>
      <c r="F52" s="185"/>
      <c r="H52" s="191"/>
      <c r="I52" s="192"/>
      <c r="J52" s="138"/>
      <c r="K52" s="139"/>
    </row>
    <row r="53" spans="1:11" ht="13.5" thickBot="1">
      <c r="A53" s="757"/>
      <c r="B53" s="758"/>
      <c r="C53" s="146">
        <f>C52/(24*60)</f>
        <v>1</v>
      </c>
      <c r="D53" s="146">
        <f>D52/(24*60*G4)</f>
        <v>0.46034356725146197</v>
      </c>
      <c r="E53" s="147">
        <f>E52/(G4*24)</f>
        <v>0.46034356725146197</v>
      </c>
      <c r="F53" s="185"/>
    </row>
    <row r="54" spans="1:11">
      <c r="E54" s="193"/>
      <c r="F54" s="185"/>
    </row>
    <row r="55" spans="1:11">
      <c r="E55" s="193"/>
    </row>
    <row r="56" spans="1:11">
      <c r="A56" s="194" t="s">
        <v>86</v>
      </c>
      <c r="B56" s="195"/>
      <c r="C56" s="196"/>
      <c r="D56" s="196"/>
      <c r="E56" s="196"/>
      <c r="F56" s="197"/>
      <c r="G56" s="196"/>
      <c r="H56" s="198"/>
      <c r="I56" s="199" t="s">
        <v>87</v>
      </c>
      <c r="J56" s="200">
        <f>+D34+'18'!J56</f>
        <v>10652</v>
      </c>
      <c r="K56" s="201">
        <f>J56/(J40+J56/1000)/1000</f>
        <v>2.5103458677802816E-2</v>
      </c>
    </row>
    <row r="57" spans="1:11">
      <c r="A57" s="176"/>
      <c r="I57" s="199" t="s">
        <v>88</v>
      </c>
      <c r="J57" s="200">
        <f>+E34+'18'!J57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I24:I31"/>
    <mergeCell ref="A7:A14"/>
    <mergeCell ref="A41:B41"/>
    <mergeCell ref="I7:I13"/>
    <mergeCell ref="A15:A23"/>
    <mergeCell ref="I15:I22"/>
    <mergeCell ref="A43:B43"/>
    <mergeCell ref="A44:B44"/>
    <mergeCell ref="A45:B45"/>
    <mergeCell ref="A24:A32"/>
    <mergeCell ref="A42:B42"/>
    <mergeCell ref="A34:B34"/>
    <mergeCell ref="A37:B37"/>
    <mergeCell ref="A38:B38"/>
    <mergeCell ref="A39:B39"/>
    <mergeCell ref="A40:B40"/>
    <mergeCell ref="A46:B46"/>
    <mergeCell ref="A52:B52"/>
    <mergeCell ref="A53:B53"/>
    <mergeCell ref="A47:B47"/>
    <mergeCell ref="A48:B48"/>
    <mergeCell ref="A49:B49"/>
    <mergeCell ref="A50:B50"/>
    <mergeCell ref="A51:B51"/>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zoomScale="80" zoomScaleNormal="80" workbookViewId="0">
      <selection activeCell="D8" sqref="D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2.28515625" style="149"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5.140625" style="149" customWidth="1"/>
    <col min="14" max="16384" width="9.140625" style="149"/>
  </cols>
  <sheetData>
    <row r="1" spans="1:13" ht="15.75">
      <c r="A1" s="148"/>
    </row>
    <row r="2" spans="1:13" ht="15.75">
      <c r="A2" s="148" t="s">
        <v>185</v>
      </c>
    </row>
    <row r="3" spans="1:13" ht="15">
      <c r="A3" s="150"/>
    </row>
    <row r="4" spans="1:13" ht="20.25">
      <c r="A4" s="151" t="s">
        <v>3</v>
      </c>
      <c r="B4" s="152"/>
      <c r="F4" s="153" t="s">
        <v>29</v>
      </c>
      <c r="G4" s="154">
        <v>18</v>
      </c>
      <c r="H4" s="154" t="str">
        <f>+'1'!H4</f>
        <v>.9.25</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v>200</v>
      </c>
      <c r="E7" s="218"/>
      <c r="F7" s="228"/>
      <c r="G7" s="229" t="s">
        <v>12</v>
      </c>
      <c r="H7" s="230" t="s">
        <v>466</v>
      </c>
      <c r="I7" s="768"/>
      <c r="J7" s="214" t="str">
        <f>+'17'!J7</f>
        <v>F 12 VP OW</v>
      </c>
      <c r="K7" s="238"/>
      <c r="L7" s="242"/>
      <c r="M7" s="117">
        <f>+K7+'17'!M7+L7</f>
        <v>172842</v>
      </c>
    </row>
    <row r="8" spans="1:13" ht="13.5" thickBot="1">
      <c r="A8" s="766"/>
      <c r="B8" s="215"/>
      <c r="C8" s="216"/>
      <c r="D8" s="217"/>
      <c r="E8" s="219"/>
      <c r="F8" s="231"/>
      <c r="G8" s="560" t="s">
        <v>12</v>
      </c>
      <c r="H8" s="230" t="s">
        <v>432</v>
      </c>
      <c r="I8" s="769"/>
      <c r="J8" s="214" t="str">
        <f>+'17'!J8</f>
        <v>F 13 VP OW</v>
      </c>
      <c r="K8" s="239"/>
      <c r="L8" s="239"/>
      <c r="M8" s="117">
        <f>+K8+'17'!M8+L8</f>
        <v>66206</v>
      </c>
    </row>
    <row r="9" spans="1:13" ht="13.5" thickBot="1">
      <c r="A9" s="766"/>
      <c r="B9" s="215"/>
      <c r="C9" s="216"/>
      <c r="D9" s="217"/>
      <c r="E9" s="220"/>
      <c r="F9" s="228"/>
      <c r="G9" s="560" t="s">
        <v>12</v>
      </c>
      <c r="H9" s="233" t="s">
        <v>507</v>
      </c>
      <c r="I9" s="769"/>
      <c r="J9" s="214" t="str">
        <f>+'17'!J9</f>
        <v>F 14 VP OW</v>
      </c>
      <c r="K9" s="239"/>
      <c r="L9" s="239"/>
      <c r="M9" s="117">
        <f>+K9+'17'!M9+L9</f>
        <v>100560</v>
      </c>
    </row>
    <row r="10" spans="1:13" ht="13.5" thickBot="1">
      <c r="A10" s="766"/>
      <c r="B10" s="215"/>
      <c r="C10" s="216"/>
      <c r="D10" s="217"/>
      <c r="E10" s="219"/>
      <c r="F10" s="228">
        <v>480</v>
      </c>
      <c r="G10" s="237" t="s">
        <v>20</v>
      </c>
      <c r="H10" s="233" t="s">
        <v>594</v>
      </c>
      <c r="I10" s="769"/>
      <c r="J10" s="214" t="str">
        <f>+'17'!J10</f>
        <v>T 12,5 VP OW</v>
      </c>
      <c r="K10" s="239"/>
      <c r="L10" s="239"/>
      <c r="M10" s="117">
        <f>+K10+'17'!M10+L10</f>
        <v>19885</v>
      </c>
    </row>
    <row r="11" spans="1:13" ht="13.5" thickBot="1">
      <c r="A11" s="766"/>
      <c r="B11" s="215"/>
      <c r="C11" s="216"/>
      <c r="D11" s="217"/>
      <c r="E11" s="219"/>
      <c r="F11" s="228"/>
      <c r="G11" s="232"/>
      <c r="H11" s="233"/>
      <c r="I11" s="769"/>
      <c r="J11" s="214" t="str">
        <f>+'17'!J11</f>
        <v>F 12,5 VP OW</v>
      </c>
      <c r="K11" s="239"/>
      <c r="L11" s="239"/>
      <c r="M11" s="117">
        <f>+K11+'17'!M11+L11</f>
        <v>42554</v>
      </c>
    </row>
    <row r="12" spans="1:13" ht="13.5" thickBot="1">
      <c r="A12" s="766"/>
      <c r="B12" s="215"/>
      <c r="C12" s="216"/>
      <c r="D12" s="217"/>
      <c r="E12" s="219"/>
      <c r="F12" s="228"/>
      <c r="G12" s="232"/>
      <c r="H12" s="233"/>
      <c r="I12" s="769"/>
      <c r="J12" s="214" t="str">
        <f>+'17'!J12</f>
        <v>F 13,5 VP OW</v>
      </c>
      <c r="K12" s="239"/>
      <c r="L12" s="239"/>
      <c r="M12" s="117">
        <f>+K12+'17'!M12+L12</f>
        <v>11625</v>
      </c>
    </row>
    <row r="13" spans="1:13" ht="13.5" thickBot="1">
      <c r="A13" s="766"/>
      <c r="B13" s="215"/>
      <c r="C13" s="216"/>
      <c r="D13" s="216"/>
      <c r="E13" s="219"/>
      <c r="F13" s="228"/>
      <c r="G13" s="232"/>
      <c r="H13" s="233"/>
      <c r="I13" s="770"/>
      <c r="J13" s="214">
        <f>+'17'!J13</f>
        <v>0</v>
      </c>
      <c r="K13" s="239"/>
      <c r="L13" s="239"/>
      <c r="M13" s="117">
        <f>+K13+'17'!M13+L13</f>
        <v>0</v>
      </c>
    </row>
    <row r="14" spans="1:13" ht="13.5" thickBot="1">
      <c r="A14" s="767"/>
      <c r="B14" s="165" t="s">
        <v>2</v>
      </c>
      <c r="C14" s="99">
        <f>SUM(C7:C13)</f>
        <v>0</v>
      </c>
      <c r="D14" s="111">
        <f>SUM(D7:D13)</f>
        <v>200</v>
      </c>
      <c r="E14" s="112">
        <f>SUM(E5:E13)</f>
        <v>0</v>
      </c>
      <c r="F14" s="116">
        <f>SUM(F7:F13)</f>
        <v>480</v>
      </c>
      <c r="G14" s="159"/>
      <c r="H14" s="166"/>
      <c r="I14" s="167"/>
      <c r="J14" s="214">
        <f>+'17'!J14</f>
        <v>0</v>
      </c>
      <c r="K14" s="239"/>
      <c r="L14" s="239"/>
      <c r="M14" s="117">
        <f>+K14+'17'!M14+L14</f>
        <v>0</v>
      </c>
    </row>
    <row r="15" spans="1:13" ht="13.5" customHeight="1" thickBot="1">
      <c r="A15" s="765"/>
      <c r="B15" s="165"/>
      <c r="C15" s="113" t="e">
        <f>C14/($C$23+$D$23+$E$23)</f>
        <v>#DIV/0!</v>
      </c>
      <c r="D15" s="114" t="e">
        <f>D14/($C$23+$D$23+$E$23)</f>
        <v>#DIV/0!</v>
      </c>
      <c r="E15" s="115" t="e">
        <f>E14/($C$23+$D$23+$E$23)</f>
        <v>#DIV/0!</v>
      </c>
      <c r="F15" s="228"/>
      <c r="G15" s="229" t="s">
        <v>12</v>
      </c>
      <c r="H15" s="230" t="s">
        <v>466</v>
      </c>
      <c r="I15" s="768"/>
      <c r="J15" s="214">
        <f>+'17'!J15</f>
        <v>0</v>
      </c>
      <c r="K15" s="239"/>
      <c r="L15" s="239"/>
      <c r="M15" s="117">
        <f>+K15+'17'!M15+L15</f>
        <v>0</v>
      </c>
    </row>
    <row r="16" spans="1:13" ht="13.5" thickBot="1">
      <c r="A16" s="771"/>
      <c r="B16" s="215"/>
      <c r="C16" s="222"/>
      <c r="D16" s="223"/>
      <c r="E16" s="224"/>
      <c r="F16" s="231"/>
      <c r="G16" s="560" t="s">
        <v>12</v>
      </c>
      <c r="H16" s="230" t="s">
        <v>432</v>
      </c>
      <c r="I16" s="769"/>
      <c r="J16" s="214">
        <f>+'17'!J16</f>
        <v>0</v>
      </c>
      <c r="K16" s="229"/>
      <c r="L16" s="229"/>
      <c r="M16" s="117">
        <f>+K16+'17'!M16+L16</f>
        <v>0</v>
      </c>
    </row>
    <row r="17" spans="1:13" ht="13.5" thickBot="1">
      <c r="A17" s="771"/>
      <c r="B17" s="215"/>
      <c r="C17" s="216"/>
      <c r="D17" s="217"/>
      <c r="E17" s="225"/>
      <c r="F17" s="228"/>
      <c r="G17" s="560" t="s">
        <v>12</v>
      </c>
      <c r="H17" s="233" t="s">
        <v>507</v>
      </c>
      <c r="I17" s="769"/>
      <c r="J17" s="214">
        <f>+'17'!J17</f>
        <v>0</v>
      </c>
      <c r="K17" s="229"/>
      <c r="L17" s="229"/>
      <c r="M17" s="117">
        <f>+K17+'17'!M17+L17</f>
        <v>0</v>
      </c>
    </row>
    <row r="18" spans="1:13" ht="13.5" thickBot="1">
      <c r="A18" s="771"/>
      <c r="B18" s="215"/>
      <c r="C18" s="216"/>
      <c r="D18" s="217"/>
      <c r="E18" s="225"/>
      <c r="F18" s="228">
        <v>480</v>
      </c>
      <c r="G18" s="237" t="s">
        <v>20</v>
      </c>
      <c r="H18" s="233" t="s">
        <v>594</v>
      </c>
      <c r="I18" s="769"/>
      <c r="J18" s="214">
        <f>+'17'!J18</f>
        <v>0</v>
      </c>
      <c r="K18" s="239"/>
      <c r="L18" s="239"/>
      <c r="M18" s="117">
        <f>+K18+'17'!M18+L18</f>
        <v>0</v>
      </c>
    </row>
    <row r="19" spans="1:13" ht="13.5" thickBot="1">
      <c r="A19" s="771"/>
      <c r="B19" s="215"/>
      <c r="C19" s="216"/>
      <c r="D19" s="217"/>
      <c r="E19" s="225"/>
      <c r="F19" s="235"/>
      <c r="G19" s="232"/>
      <c r="H19" s="233"/>
      <c r="I19" s="769"/>
      <c r="J19" s="214">
        <f>+'17'!J19</f>
        <v>0</v>
      </c>
      <c r="K19" s="239"/>
      <c r="L19" s="239"/>
      <c r="M19" s="117">
        <f>+K19+'17'!M19+L19</f>
        <v>0</v>
      </c>
    </row>
    <row r="20" spans="1:13" ht="13.5" thickBot="1">
      <c r="A20" s="771"/>
      <c r="B20" s="215"/>
      <c r="C20" s="216"/>
      <c r="D20" s="217"/>
      <c r="E20" s="225"/>
      <c r="F20" s="228"/>
      <c r="G20" s="232"/>
      <c r="H20" s="233"/>
      <c r="I20" s="769"/>
      <c r="J20" s="214">
        <f>+'17'!J20</f>
        <v>0</v>
      </c>
      <c r="K20" s="240"/>
      <c r="L20" s="240"/>
      <c r="M20" s="117">
        <f>+K20+'17'!M20+L20</f>
        <v>0</v>
      </c>
    </row>
    <row r="21" spans="1:13" ht="13.5" thickBot="1">
      <c r="A21" s="771"/>
      <c r="B21" s="215"/>
      <c r="C21" s="216"/>
      <c r="D21" s="217"/>
      <c r="E21" s="225"/>
      <c r="F21" s="231"/>
      <c r="G21" s="232"/>
      <c r="H21" s="233"/>
      <c r="I21" s="769"/>
      <c r="J21" s="214">
        <f>+'17'!J21</f>
        <v>0</v>
      </c>
      <c r="K21" s="239"/>
      <c r="L21" s="239"/>
      <c r="M21" s="117">
        <f>+K21+'17'!M21+L21</f>
        <v>0</v>
      </c>
    </row>
    <row r="22" spans="1:13" ht="13.5" thickBot="1">
      <c r="A22" s="771"/>
      <c r="B22" s="215"/>
      <c r="C22" s="216"/>
      <c r="D22" s="217"/>
      <c r="E22" s="225"/>
      <c r="F22" s="236"/>
      <c r="G22" s="232"/>
      <c r="H22" s="233"/>
      <c r="I22" s="770"/>
      <c r="J22" s="214">
        <f>+'17'!J22</f>
        <v>0</v>
      </c>
      <c r="K22" s="239"/>
      <c r="L22" s="239"/>
      <c r="M22" s="117">
        <f>+K22+'17'!M22+L22</f>
        <v>0</v>
      </c>
    </row>
    <row r="23" spans="1:13" ht="13.5" thickBot="1">
      <c r="A23" s="772"/>
      <c r="B23" s="168" t="s">
        <v>2</v>
      </c>
      <c r="C23" s="100">
        <f>SUM(C16:C22)</f>
        <v>0</v>
      </c>
      <c r="D23" s="111">
        <f>SUM(D16:D22)</f>
        <v>0</v>
      </c>
      <c r="E23" s="112">
        <f>SUM(E18:E22)</f>
        <v>0</v>
      </c>
      <c r="F23" s="116">
        <f>SUM(F15:F22)</f>
        <v>480</v>
      </c>
      <c r="G23" s="159"/>
      <c r="H23" s="166"/>
      <c r="I23" s="169"/>
      <c r="J23" s="214">
        <f>+'17'!J23</f>
        <v>0</v>
      </c>
      <c r="K23" s="239"/>
      <c r="L23" s="239"/>
      <c r="M23" s="117">
        <f>+K23+'17'!M23+L23</f>
        <v>0</v>
      </c>
    </row>
    <row r="24" spans="1:13" ht="13.5" customHeight="1" thickBot="1">
      <c r="A24" s="765"/>
      <c r="B24" s="170"/>
      <c r="C24" s="113" t="e">
        <f>C23/($C$23+$D$23+$E$23)</f>
        <v>#DIV/0!</v>
      </c>
      <c r="D24" s="114" t="e">
        <f>D23/($C$23+$D$23+$E$23)</f>
        <v>#DIV/0!</v>
      </c>
      <c r="E24" s="115" t="e">
        <f>E23/($C$23+$D$23+$E$23)</f>
        <v>#DIV/0!</v>
      </c>
      <c r="F24" s="228"/>
      <c r="G24" s="229" t="s">
        <v>12</v>
      </c>
      <c r="H24" s="230" t="s">
        <v>466</v>
      </c>
      <c r="I24" s="768"/>
      <c r="J24" s="214">
        <f>+'17'!J24</f>
        <v>0</v>
      </c>
      <c r="K24" s="239"/>
      <c r="L24" s="239"/>
      <c r="M24" s="117">
        <f>+K24+'17'!M24+L24</f>
        <v>0</v>
      </c>
    </row>
    <row r="25" spans="1:13" ht="13.5" thickBot="1">
      <c r="A25" s="771"/>
      <c r="B25" s="215"/>
      <c r="C25" s="226"/>
      <c r="D25" s="217"/>
      <c r="E25" s="225"/>
      <c r="F25" s="231"/>
      <c r="G25" s="560" t="s">
        <v>12</v>
      </c>
      <c r="H25" s="230" t="s">
        <v>432</v>
      </c>
      <c r="I25" s="769"/>
      <c r="J25" s="214">
        <f>+'17'!J25</f>
        <v>0</v>
      </c>
      <c r="K25" s="239"/>
      <c r="L25" s="239"/>
      <c r="M25" s="117">
        <f>+K25+'17'!M25+L25</f>
        <v>0</v>
      </c>
    </row>
    <row r="26" spans="1:13" ht="13.5" thickBot="1">
      <c r="A26" s="771"/>
      <c r="B26" s="215"/>
      <c r="C26" s="226"/>
      <c r="D26" s="217"/>
      <c r="E26" s="227"/>
      <c r="F26" s="228"/>
      <c r="G26" s="560" t="s">
        <v>12</v>
      </c>
      <c r="H26" s="233" t="s">
        <v>507</v>
      </c>
      <c r="I26" s="769"/>
      <c r="J26" s="214">
        <f>+'17'!J26</f>
        <v>0</v>
      </c>
      <c r="K26" s="239"/>
      <c r="L26" s="239"/>
      <c r="M26" s="117">
        <f>+K26+'17'!M26+L26</f>
        <v>0</v>
      </c>
    </row>
    <row r="27" spans="1:13" ht="13.5" thickBot="1">
      <c r="A27" s="771"/>
      <c r="B27" s="215"/>
      <c r="C27" s="216"/>
      <c r="D27" s="217"/>
      <c r="E27" s="225"/>
      <c r="F27" s="228">
        <v>480</v>
      </c>
      <c r="G27" s="237" t="s">
        <v>20</v>
      </c>
      <c r="H27" s="233" t="s">
        <v>594</v>
      </c>
      <c r="I27" s="769"/>
      <c r="J27" s="214">
        <f>+'17'!J27</f>
        <v>0</v>
      </c>
      <c r="K27" s="239"/>
      <c r="L27" s="239"/>
      <c r="M27" s="117">
        <f>+K27+'17'!M27+L27</f>
        <v>0</v>
      </c>
    </row>
    <row r="28" spans="1:13" ht="189" customHeight="1" thickBot="1">
      <c r="A28" s="771"/>
      <c r="B28" s="215"/>
      <c r="C28" s="216"/>
      <c r="D28" s="217"/>
      <c r="E28" s="225"/>
      <c r="F28" s="235"/>
      <c r="G28" s="232"/>
      <c r="H28" s="233" t="s">
        <v>599</v>
      </c>
      <c r="I28" s="769"/>
      <c r="J28" s="214">
        <f>+'17'!J28</f>
        <v>0</v>
      </c>
      <c r="K28" s="239"/>
      <c r="L28" s="239"/>
      <c r="M28" s="117">
        <f>+K28+'17'!M28+L28</f>
        <v>0</v>
      </c>
    </row>
    <row r="29" spans="1:13" ht="13.5" thickBot="1">
      <c r="A29" s="771"/>
      <c r="B29" s="215"/>
      <c r="C29" s="216"/>
      <c r="D29" s="217"/>
      <c r="E29" s="225"/>
      <c r="F29" s="228"/>
      <c r="G29" s="232"/>
      <c r="H29" s="233"/>
      <c r="I29" s="769"/>
      <c r="J29" s="214">
        <f>+'17'!J29</f>
        <v>0</v>
      </c>
      <c r="K29" s="239"/>
      <c r="L29" s="239"/>
      <c r="M29" s="117">
        <f>+K29+'17'!M29+L29</f>
        <v>0</v>
      </c>
    </row>
    <row r="30" spans="1:13" ht="13.5" thickBot="1">
      <c r="A30" s="771"/>
      <c r="B30" s="215"/>
      <c r="C30" s="226"/>
      <c r="D30" s="217"/>
      <c r="E30" s="225"/>
      <c r="F30" s="236"/>
      <c r="G30" s="232"/>
      <c r="H30" s="233"/>
      <c r="I30" s="769"/>
      <c r="J30" s="214">
        <f>+'17'!J30</f>
        <v>0</v>
      </c>
      <c r="K30" s="239"/>
      <c r="L30" s="239"/>
      <c r="M30" s="117">
        <f>+K30+'17'!M30+L30</f>
        <v>0</v>
      </c>
    </row>
    <row r="31" spans="1:13" ht="13.5" thickBot="1">
      <c r="A31" s="771"/>
      <c r="B31" s="215"/>
      <c r="C31" s="226"/>
      <c r="D31" s="217"/>
      <c r="E31" s="225"/>
      <c r="F31" s="236"/>
      <c r="G31" s="237"/>
      <c r="H31" s="445"/>
      <c r="I31" s="770"/>
      <c r="J31" s="214">
        <f>+'17'!J31</f>
        <v>0</v>
      </c>
      <c r="K31" s="239"/>
      <c r="L31" s="239"/>
      <c r="M31" s="117">
        <f>+K31+'17'!M31+L31</f>
        <v>0</v>
      </c>
    </row>
    <row r="32" spans="1:13" ht="13.5" thickBot="1">
      <c r="A32" s="772"/>
      <c r="B32" s="165" t="s">
        <v>2</v>
      </c>
      <c r="C32" s="99">
        <f>SUM(C25:C31)</f>
        <v>0</v>
      </c>
      <c r="D32" s="100">
        <f>SUM(D25:D31)</f>
        <v>0</v>
      </c>
      <c r="E32" s="101">
        <f>SUM(E25:E31)</f>
        <v>0</v>
      </c>
      <c r="F32" s="102">
        <f>SUM(F24:F31)</f>
        <v>480</v>
      </c>
      <c r="G32" s="171"/>
      <c r="H32" s="172"/>
      <c r="I32" s="169"/>
      <c r="J32" s="214">
        <f>+'17'!J32</f>
        <v>0</v>
      </c>
      <c r="K32" s="241"/>
      <c r="L32" s="243"/>
      <c r="M32" s="117">
        <f>+K32+'17'!M32+L32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61" t="s">
        <v>57</v>
      </c>
      <c r="B34" s="762"/>
      <c r="C34" s="107">
        <f>C14+C23+C32</f>
        <v>0</v>
      </c>
      <c r="D34" s="107">
        <f>D14+D23+D32</f>
        <v>200</v>
      </c>
      <c r="E34" s="107">
        <f>E14+E23+E32</f>
        <v>0</v>
      </c>
      <c r="F34" s="108">
        <f>F14+F23+F32</f>
        <v>1440</v>
      </c>
      <c r="H34" s="178"/>
      <c r="I34" s="178"/>
      <c r="J34" s="123" t="s">
        <v>28</v>
      </c>
      <c r="K34" s="124">
        <f>SUM(K7:K32)</f>
        <v>0</v>
      </c>
      <c r="L34" s="212">
        <f>SUM(L7:L32)</f>
        <v>0</v>
      </c>
      <c r="M34" s="120">
        <f>SUM(M7:M32)</f>
        <v>413672</v>
      </c>
    </row>
    <row r="35" spans="1:13" ht="13.5" thickBot="1">
      <c r="A35" s="179"/>
      <c r="B35" s="180"/>
      <c r="C35" s="104">
        <f>C34/($C$34+$D$34+$E$34)</f>
        <v>0</v>
      </c>
      <c r="D35" s="104">
        <f>D34/($C$34+$D$34+$E$34)</f>
        <v>1</v>
      </c>
      <c r="E35" s="109">
        <f>E34/($C$34+$D$34+$E$34)</f>
        <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244">
        <f>(10.3*1440)/1440*G42*2.74*1440/1000000</f>
        <v>0</v>
      </c>
      <c r="J37" s="125" t="e">
        <f>+I37+'17'!J37</f>
        <v>#DIV/0!</v>
      </c>
      <c r="K37" s="126" t="s">
        <v>63</v>
      </c>
    </row>
    <row r="38" spans="1:13" ht="17.45" customHeight="1">
      <c r="A38" s="755" t="s">
        <v>12</v>
      </c>
      <c r="B38" s="756"/>
      <c r="C38" s="164">
        <f>SUMIF($G$7:$G$31,"Process",$F$7:$F$31)</f>
        <v>0</v>
      </c>
      <c r="D38" s="118">
        <f>+C38+'17'!D38</f>
        <v>860</v>
      </c>
      <c r="E38" s="143">
        <f t="shared" ref="E38:E51" si="0">D38/60</f>
        <v>14.333333333333334</v>
      </c>
      <c r="F38" s="322"/>
      <c r="G38" s="322"/>
      <c r="H38" s="187" t="s">
        <v>64</v>
      </c>
      <c r="I38" s="245"/>
      <c r="J38" s="127">
        <f>+I38+'17'!J38</f>
        <v>440.91260000000005</v>
      </c>
      <c r="K38" s="128" t="s">
        <v>63</v>
      </c>
    </row>
    <row r="39" spans="1:13" ht="17.45" customHeight="1">
      <c r="A39" s="759" t="s">
        <v>13</v>
      </c>
      <c r="B39" s="760"/>
      <c r="C39" s="164">
        <f>SUMIF($G$7:$G$31,"Cleaning",$F$7:$F$31)</f>
        <v>0</v>
      </c>
      <c r="D39" s="118">
        <f>+C39+'17'!D39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+C40+'17'!D40</f>
        <v>0</v>
      </c>
      <c r="E40" s="143">
        <f t="shared" si="0"/>
        <v>0</v>
      </c>
      <c r="F40" s="322"/>
      <c r="G40" s="322"/>
      <c r="H40" s="187" t="s">
        <v>67</v>
      </c>
      <c r="I40" s="118">
        <f>(K34+L34)/1000</f>
        <v>0</v>
      </c>
      <c r="J40" s="131">
        <f>+I40+'17'!J40</f>
        <v>413.67199999999991</v>
      </c>
      <c r="K40" s="130" t="s">
        <v>63</v>
      </c>
    </row>
    <row r="41" spans="1:13" ht="17.45" customHeight="1">
      <c r="A41" s="759" t="s">
        <v>68</v>
      </c>
      <c r="B41" s="760"/>
      <c r="C41" s="164">
        <f>SUMIF($G$7:$G$31,"Electrical",$F$7:$F$31)</f>
        <v>0</v>
      </c>
      <c r="D41" s="118">
        <f>+C41+'17'!D41</f>
        <v>550</v>
      </c>
      <c r="E41" s="143">
        <f t="shared" si="0"/>
        <v>9.1666666666666661</v>
      </c>
      <c r="F41" s="322"/>
      <c r="G41" s="322"/>
      <c r="H41" s="187" t="s">
        <v>69</v>
      </c>
      <c r="I41" s="142"/>
      <c r="J41" s="129">
        <f>J40/G4</f>
        <v>22.981777777777772</v>
      </c>
      <c r="K41" s="130" t="s">
        <v>63</v>
      </c>
    </row>
    <row r="42" spans="1:13" ht="17.45" customHeight="1">
      <c r="A42" s="759" t="s">
        <v>16</v>
      </c>
      <c r="B42" s="760"/>
      <c r="C42" s="164">
        <f>SUMIF($G$7:$G$31,"Instrument",$F$7:$F$31)</f>
        <v>0</v>
      </c>
      <c r="D42" s="118">
        <f>+C42+'17'!D42</f>
        <v>0</v>
      </c>
      <c r="E42" s="143">
        <f t="shared" si="0"/>
        <v>0</v>
      </c>
      <c r="F42" s="322">
        <f>+(F38*480+F39*480+F40*480)/1440</f>
        <v>0</v>
      </c>
      <c r="G42" s="322">
        <f>+(G38*480+G39*480+G40*480)/1440</f>
        <v>0</v>
      </c>
      <c r="H42" s="187" t="s">
        <v>70</v>
      </c>
      <c r="I42" s="246"/>
      <c r="J42" s="132"/>
      <c r="K42" s="130" t="s">
        <v>71</v>
      </c>
    </row>
    <row r="43" spans="1:13" ht="17.45" customHeight="1">
      <c r="A43" s="759" t="s">
        <v>223</v>
      </c>
      <c r="B43" s="760"/>
      <c r="C43" s="164">
        <f>SUMIF($G$7:$G$31,"Change Grade",$F$7:$F$31)</f>
        <v>0</v>
      </c>
      <c r="D43" s="118">
        <f>+C43+'17'!D43</f>
        <v>0</v>
      </c>
      <c r="E43" s="143">
        <f t="shared" si="0"/>
        <v>0</v>
      </c>
      <c r="F43" s="322"/>
      <c r="G43" s="323"/>
      <c r="H43" s="188" t="s">
        <v>73</v>
      </c>
      <c r="I43" s="118">
        <f>+Report1!Z26</f>
        <v>2.7</v>
      </c>
      <c r="J43" s="133">
        <f>+I43+'17'!J43</f>
        <v>701.30000000000007</v>
      </c>
      <c r="K43" s="130" t="s">
        <v>63</v>
      </c>
      <c r="L43" s="189"/>
    </row>
    <row r="44" spans="1:13" ht="17.45" customHeight="1">
      <c r="A44" s="759" t="s">
        <v>17</v>
      </c>
      <c r="B44" s="760"/>
      <c r="C44" s="164">
        <f>SUMIF($G$7:$G$31,"PLN",$F$7:$F$31)</f>
        <v>0</v>
      </c>
      <c r="D44" s="118">
        <f>+C44+'17'!D44</f>
        <v>0</v>
      </c>
      <c r="E44" s="143">
        <f t="shared" si="0"/>
        <v>0</v>
      </c>
      <c r="F44" s="322"/>
      <c r="G44" s="323"/>
      <c r="H44" s="188" t="s">
        <v>74</v>
      </c>
      <c r="I44" s="118" t="e">
        <f>I43/I38</f>
        <v>#DIV/0!</v>
      </c>
      <c r="J44" s="134">
        <f>J43/J38</f>
        <v>1.5905646606606387</v>
      </c>
      <c r="K44" s="130" t="s">
        <v>63</v>
      </c>
    </row>
    <row r="45" spans="1:13" ht="17.45" customHeight="1">
      <c r="A45" s="759" t="s">
        <v>18</v>
      </c>
      <c r="B45" s="760"/>
      <c r="C45" s="164">
        <f>SUMIF($G$7:$G$31,"Boiler",$F$7:$F$31)</f>
        <v>0</v>
      </c>
      <c r="D45" s="118">
        <f>+C45+'17'!D45</f>
        <v>0</v>
      </c>
      <c r="E45" s="143">
        <f t="shared" si="0"/>
        <v>0</v>
      </c>
      <c r="F45" s="322"/>
      <c r="G45" s="325"/>
      <c r="H45" s="188" t="s">
        <v>75</v>
      </c>
      <c r="I45" s="118" t="e">
        <f>I43/I40</f>
        <v>#DIV/0!</v>
      </c>
      <c r="J45" s="134">
        <f>J43/J40</f>
        <v>1.6953044924481238</v>
      </c>
      <c r="K45" s="130" t="s">
        <v>63</v>
      </c>
    </row>
    <row r="46" spans="1:13" ht="17.45" customHeight="1">
      <c r="A46" s="759" t="s">
        <v>76</v>
      </c>
      <c r="B46" s="760"/>
      <c r="C46" s="164">
        <f>SUMIF($G$7:$G$31,"Gas",$F$7:$F$31)</f>
        <v>0</v>
      </c>
      <c r="D46" s="118">
        <f>+C46+'17'!D46</f>
        <v>0</v>
      </c>
      <c r="E46" s="143">
        <f t="shared" si="0"/>
        <v>0</v>
      </c>
      <c r="F46" s="322"/>
      <c r="G46" s="323"/>
      <c r="H46" s="188" t="s">
        <v>77</v>
      </c>
      <c r="I46" s="140">
        <f>+SUMIF(Listrik!P25,"&gt;0")</f>
        <v>5151.8599999996368</v>
      </c>
      <c r="J46" s="135">
        <f>+I46+'17'!J46</f>
        <v>444245.24000000005</v>
      </c>
      <c r="K46" s="130" t="s">
        <v>78</v>
      </c>
    </row>
    <row r="47" spans="1:13" ht="17.45" customHeight="1">
      <c r="A47" s="759" t="s">
        <v>79</v>
      </c>
      <c r="B47" s="760"/>
      <c r="C47" s="164">
        <f>SUMIF($G$7:$G$31,"Gas",$F$7:$F$31)</f>
        <v>0</v>
      </c>
      <c r="D47" s="118">
        <f>+C47+'17'!D47</f>
        <v>0</v>
      </c>
      <c r="E47" s="143">
        <f t="shared" si="0"/>
        <v>0</v>
      </c>
      <c r="F47" s="322"/>
      <c r="G47" s="323"/>
      <c r="H47" s="188" t="s">
        <v>80</v>
      </c>
      <c r="I47" s="118" t="e">
        <f>I46/I38</f>
        <v>#DIV/0!</v>
      </c>
      <c r="J47" s="135">
        <f>J46/J38</f>
        <v>1007.5585047921062</v>
      </c>
      <c r="K47" s="130" t="s">
        <v>24</v>
      </c>
    </row>
    <row r="48" spans="1:13" ht="17.45" customHeight="1">
      <c r="A48" s="759" t="s">
        <v>14</v>
      </c>
      <c r="B48" s="760"/>
      <c r="C48" s="164">
        <f>SUMIF($G$7:$G$31,"Start Up",$F$7:$F$31)</f>
        <v>0</v>
      </c>
      <c r="D48" s="118">
        <f>+C48+'17'!D48</f>
        <v>0</v>
      </c>
      <c r="E48" s="143">
        <f t="shared" si="0"/>
        <v>0</v>
      </c>
      <c r="F48" s="322"/>
      <c r="G48" s="323"/>
      <c r="H48" s="188" t="s">
        <v>81</v>
      </c>
      <c r="I48" s="118" t="e">
        <f>I46/I40</f>
        <v>#DIV/0!</v>
      </c>
      <c r="J48" s="135">
        <f>J46/J40</f>
        <v>1073.9069601036574</v>
      </c>
      <c r="K48" s="130" t="s">
        <v>24</v>
      </c>
    </row>
    <row r="49" spans="1:11" ht="17.45" customHeight="1">
      <c r="A49" s="759" t="s">
        <v>20</v>
      </c>
      <c r="B49" s="760"/>
      <c r="C49" s="164">
        <f>SUMIF($G$7:$G$31,"Others",$F$7:$F$31)</f>
        <v>1440</v>
      </c>
      <c r="D49" s="118">
        <f>+C49+'17'!D49</f>
        <v>8190</v>
      </c>
      <c r="E49" s="143">
        <f t="shared" si="0"/>
        <v>136.5</v>
      </c>
      <c r="F49" s="185"/>
      <c r="H49" s="188" t="s">
        <v>272</v>
      </c>
      <c r="I49" s="118">
        <f>+Report1!T26</f>
        <v>0</v>
      </c>
      <c r="J49" s="135">
        <f>+I49+'17'!J49</f>
        <v>41069.474159648547</v>
      </c>
      <c r="K49" s="130" t="s">
        <v>82</v>
      </c>
    </row>
    <row r="50" spans="1:11" ht="17.45" customHeight="1">
      <c r="A50" s="759" t="s">
        <v>19</v>
      </c>
      <c r="B50" s="760"/>
      <c r="C50" s="164">
        <f>SUMIF($G$7:$G$31,"Steam",$F$7:$F$31)</f>
        <v>0</v>
      </c>
      <c r="D50" s="118">
        <f>+C50+'17'!D50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+C51+'17'!D51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11155</v>
      </c>
      <c r="E52" s="145">
        <f>SUM(E38:E51)</f>
        <v>185.91666666666666</v>
      </c>
      <c r="F52" s="185"/>
      <c r="H52" s="191"/>
      <c r="I52" s="192"/>
      <c r="J52" s="138"/>
      <c r="K52" s="139"/>
    </row>
    <row r="53" spans="1:11" ht="13.5" thickBot="1">
      <c r="A53" s="757"/>
      <c r="B53" s="758"/>
      <c r="C53" s="146">
        <f>C52/(24*60)</f>
        <v>1</v>
      </c>
      <c r="D53" s="146">
        <f>D52/(24*60*G4)</f>
        <v>0.43036265432098764</v>
      </c>
      <c r="E53" s="147">
        <f>E52/(G4*24)</f>
        <v>0.43036265432098764</v>
      </c>
      <c r="F53" s="185"/>
    </row>
    <row r="54" spans="1:11">
      <c r="E54" s="193"/>
      <c r="F54" s="185"/>
    </row>
    <row r="55" spans="1:11">
      <c r="E55" s="193"/>
    </row>
    <row r="56" spans="1:11">
      <c r="A56" s="194" t="s">
        <v>86</v>
      </c>
      <c r="B56" s="195"/>
      <c r="C56" s="196"/>
      <c r="D56" s="196"/>
      <c r="E56" s="196"/>
      <c r="F56" s="197"/>
      <c r="G56" s="196"/>
      <c r="H56" s="198"/>
      <c r="I56" s="199" t="s">
        <v>87</v>
      </c>
      <c r="J56" s="200">
        <f>+D34+'17'!J56</f>
        <v>10652</v>
      </c>
      <c r="K56" s="201">
        <f>J56/(J40+J56/1000)/1000</f>
        <v>2.5103458677802816E-2</v>
      </c>
    </row>
    <row r="57" spans="1:11">
      <c r="A57" s="176"/>
      <c r="I57" s="199" t="s">
        <v>88</v>
      </c>
      <c r="J57" s="200">
        <f>+E34+'17'!J57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7:A14"/>
    <mergeCell ref="I7:I13"/>
    <mergeCell ref="A15:A23"/>
    <mergeCell ref="I15:I22"/>
    <mergeCell ref="A38:B38"/>
    <mergeCell ref="A39:B39"/>
    <mergeCell ref="A24:A32"/>
    <mergeCell ref="I24:I31"/>
    <mergeCell ref="A34:B34"/>
    <mergeCell ref="A37:B37"/>
    <mergeCell ref="A46:B46"/>
    <mergeCell ref="A51:B51"/>
    <mergeCell ref="A40:B40"/>
    <mergeCell ref="A41:B41"/>
    <mergeCell ref="A42:B42"/>
    <mergeCell ref="A43:B43"/>
    <mergeCell ref="A44:B44"/>
    <mergeCell ref="A45:B45"/>
    <mergeCell ref="A52:B52"/>
    <mergeCell ref="A53:B53"/>
    <mergeCell ref="A47:B47"/>
    <mergeCell ref="A48:B48"/>
    <mergeCell ref="A49:B49"/>
    <mergeCell ref="A50:B50"/>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zoomScale="80" zoomScaleNormal="80" workbookViewId="0">
      <selection activeCell="D26" sqref="D26"/>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3" ht="15.75">
      <c r="A1" s="148"/>
    </row>
    <row r="2" spans="1:13" ht="15.75">
      <c r="A2" s="148" t="s">
        <v>185</v>
      </c>
    </row>
    <row r="3" spans="1:13" ht="15">
      <c r="A3" s="150"/>
    </row>
    <row r="4" spans="1:13" ht="20.25">
      <c r="A4" s="151" t="s">
        <v>3</v>
      </c>
      <c r="B4" s="152"/>
      <c r="F4" s="153" t="s">
        <v>29</v>
      </c>
      <c r="G4" s="154">
        <v>17</v>
      </c>
      <c r="H4" s="154" t="str">
        <f>+'1'!H4</f>
        <v>.9.25</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v>260</v>
      </c>
      <c r="E7" s="218"/>
      <c r="F7" s="228"/>
      <c r="G7" s="229" t="s">
        <v>12</v>
      </c>
      <c r="H7" s="230" t="s">
        <v>466</v>
      </c>
      <c r="I7" s="768"/>
      <c r="J7" s="214" t="str">
        <f>+'16'!J7</f>
        <v>F 12 VP OW</v>
      </c>
      <c r="K7" s="238"/>
      <c r="L7" s="242"/>
      <c r="M7" s="117">
        <f>+K7+'16'!M7+L7</f>
        <v>172842</v>
      </c>
    </row>
    <row r="8" spans="1:13" ht="13.5" thickBot="1">
      <c r="A8" s="766"/>
      <c r="B8" s="215"/>
      <c r="C8" s="216"/>
      <c r="D8" s="217"/>
      <c r="E8" s="219"/>
      <c r="F8" s="231"/>
      <c r="G8" s="560" t="s">
        <v>12</v>
      </c>
      <c r="H8" s="230" t="s">
        <v>432</v>
      </c>
      <c r="I8" s="769"/>
      <c r="J8" s="214" t="str">
        <f>+'16'!J8</f>
        <v>F 13 VP OW</v>
      </c>
      <c r="K8" s="239"/>
      <c r="L8" s="239"/>
      <c r="M8" s="117">
        <f>+K8+'16'!M8+L8</f>
        <v>66206</v>
      </c>
    </row>
    <row r="9" spans="1:13" ht="13.5" thickBot="1">
      <c r="A9" s="766"/>
      <c r="B9" s="215"/>
      <c r="C9" s="216"/>
      <c r="D9" s="217"/>
      <c r="E9" s="220"/>
      <c r="F9" s="228"/>
      <c r="G9" s="560" t="s">
        <v>12</v>
      </c>
      <c r="H9" s="233" t="s">
        <v>507</v>
      </c>
      <c r="I9" s="769"/>
      <c r="J9" s="214" t="str">
        <f>+'16'!J9</f>
        <v>F 14 VP OW</v>
      </c>
      <c r="K9" s="239"/>
      <c r="L9" s="239"/>
      <c r="M9" s="117">
        <f>+K9+'16'!M9+L9</f>
        <v>100560</v>
      </c>
    </row>
    <row r="10" spans="1:13" ht="13.5" thickBot="1">
      <c r="A10" s="766"/>
      <c r="B10" s="215"/>
      <c r="C10" s="216"/>
      <c r="D10" s="217"/>
      <c r="E10" s="219"/>
      <c r="F10" s="228">
        <v>480</v>
      </c>
      <c r="G10" s="237" t="s">
        <v>20</v>
      </c>
      <c r="H10" s="233" t="s">
        <v>594</v>
      </c>
      <c r="I10" s="769"/>
      <c r="J10" s="214" t="str">
        <f>+'16'!J10</f>
        <v>T 12,5 VP OW</v>
      </c>
      <c r="K10" s="239"/>
      <c r="L10" s="239"/>
      <c r="M10" s="117">
        <f>+K10+'16'!M10+L10</f>
        <v>19885</v>
      </c>
    </row>
    <row r="11" spans="1:13" ht="51.75" thickBot="1">
      <c r="A11" s="766"/>
      <c r="B11" s="215"/>
      <c r="C11" s="216"/>
      <c r="D11" s="217"/>
      <c r="E11" s="219"/>
      <c r="F11" s="228"/>
      <c r="G11" s="232"/>
      <c r="H11" s="233" t="s">
        <v>598</v>
      </c>
      <c r="I11" s="769"/>
      <c r="J11" s="214" t="str">
        <f>+'16'!J11</f>
        <v>F 12,5 VP OW</v>
      </c>
      <c r="K11" s="239"/>
      <c r="L11" s="239"/>
      <c r="M11" s="117">
        <f>+K11+'16'!M11+L11</f>
        <v>42554</v>
      </c>
    </row>
    <row r="12" spans="1:13" ht="13.5" thickBot="1">
      <c r="A12" s="766"/>
      <c r="B12" s="215"/>
      <c r="C12" s="216"/>
      <c r="D12" s="217"/>
      <c r="E12" s="219"/>
      <c r="F12" s="228"/>
      <c r="G12" s="232"/>
      <c r="H12" s="233"/>
      <c r="I12" s="769"/>
      <c r="J12" s="214" t="str">
        <f>+'16'!J12</f>
        <v>F 13,5 VP OW</v>
      </c>
      <c r="K12" s="239"/>
      <c r="L12" s="239"/>
      <c r="M12" s="117">
        <f>+K12+'16'!M12+L12</f>
        <v>11625</v>
      </c>
    </row>
    <row r="13" spans="1:13" ht="13.5" thickBot="1">
      <c r="A13" s="766"/>
      <c r="B13" s="215"/>
      <c r="C13" s="216"/>
      <c r="D13" s="216"/>
      <c r="E13" s="219"/>
      <c r="F13" s="228"/>
      <c r="G13" s="232"/>
      <c r="H13" s="233"/>
      <c r="I13" s="770"/>
      <c r="J13" s="214">
        <f>+'16'!J13</f>
        <v>0</v>
      </c>
      <c r="K13" s="239"/>
      <c r="L13" s="239"/>
      <c r="M13" s="117">
        <f>+K13+'16'!M13+L13</f>
        <v>0</v>
      </c>
    </row>
    <row r="14" spans="1:13" ht="13.5" thickBot="1">
      <c r="A14" s="767"/>
      <c r="B14" s="165" t="s">
        <v>2</v>
      </c>
      <c r="C14" s="99">
        <f>SUM(C7:C13)</f>
        <v>0</v>
      </c>
      <c r="D14" s="111">
        <f>SUM(D7:D13)</f>
        <v>260</v>
      </c>
      <c r="E14" s="112">
        <f>SUM(E5:E13)</f>
        <v>0</v>
      </c>
      <c r="F14" s="116">
        <f>SUM(F7:F13)</f>
        <v>480</v>
      </c>
      <c r="G14" s="159"/>
      <c r="H14" s="166"/>
      <c r="I14" s="167"/>
      <c r="J14" s="214">
        <f>+'16'!J14</f>
        <v>0</v>
      </c>
      <c r="K14" s="239"/>
      <c r="L14" s="239"/>
      <c r="M14" s="117">
        <f>+K14+'16'!M14+L14</f>
        <v>0</v>
      </c>
    </row>
    <row r="15" spans="1:13" ht="13.5" customHeight="1" thickBot="1">
      <c r="A15" s="765"/>
      <c r="B15" s="165"/>
      <c r="C15" s="113">
        <f>C14/($C$23+$D$23+$E$23)</f>
        <v>0</v>
      </c>
      <c r="D15" s="114">
        <f>D14/($C$23+$D$23+$E$23)</f>
        <v>0.56892778993435444</v>
      </c>
      <c r="E15" s="115">
        <f>E14/($C$23+$D$23+$E$23)</f>
        <v>0</v>
      </c>
      <c r="F15" s="228"/>
      <c r="G15" s="229" t="s">
        <v>12</v>
      </c>
      <c r="H15" s="230" t="s">
        <v>466</v>
      </c>
      <c r="I15" s="768"/>
      <c r="J15" s="214">
        <f>+'16'!J15</f>
        <v>0</v>
      </c>
      <c r="K15" s="239"/>
      <c r="L15" s="239"/>
      <c r="M15" s="117">
        <f>+K15+'16'!M15+L15</f>
        <v>0</v>
      </c>
    </row>
    <row r="16" spans="1:13" ht="13.5" thickBot="1">
      <c r="A16" s="771"/>
      <c r="B16" s="215"/>
      <c r="C16" s="222"/>
      <c r="D16" s="223">
        <v>457</v>
      </c>
      <c r="E16" s="224"/>
      <c r="F16" s="231"/>
      <c r="G16" s="560" t="s">
        <v>12</v>
      </c>
      <c r="H16" s="230" t="s">
        <v>432</v>
      </c>
      <c r="I16" s="769"/>
      <c r="J16" s="214">
        <f>+'16'!J16</f>
        <v>0</v>
      </c>
      <c r="K16" s="229"/>
      <c r="L16" s="229"/>
      <c r="M16" s="117">
        <f>+K16+'16'!M16+L16</f>
        <v>0</v>
      </c>
    </row>
    <row r="17" spans="1:13" ht="13.5" thickBot="1">
      <c r="A17" s="771"/>
      <c r="B17" s="215"/>
      <c r="C17" s="216"/>
      <c r="D17" s="217"/>
      <c r="E17" s="225"/>
      <c r="F17" s="228"/>
      <c r="G17" s="560" t="s">
        <v>12</v>
      </c>
      <c r="H17" s="233" t="s">
        <v>507</v>
      </c>
      <c r="I17" s="769"/>
      <c r="J17" s="214">
        <f>+'16'!J17</f>
        <v>0</v>
      </c>
      <c r="K17" s="229"/>
      <c r="L17" s="229"/>
      <c r="M17" s="117">
        <f>+K17+'16'!M17+L17</f>
        <v>0</v>
      </c>
    </row>
    <row r="18" spans="1:13" ht="13.5" thickBot="1">
      <c r="A18" s="771"/>
      <c r="B18" s="215"/>
      <c r="C18" s="216"/>
      <c r="D18" s="217"/>
      <c r="E18" s="225"/>
      <c r="F18" s="228">
        <v>480</v>
      </c>
      <c r="G18" s="237" t="s">
        <v>20</v>
      </c>
      <c r="H18" s="233" t="s">
        <v>594</v>
      </c>
      <c r="I18" s="769"/>
      <c r="J18" s="214">
        <f>+'16'!J18</f>
        <v>0</v>
      </c>
      <c r="K18" s="239"/>
      <c r="L18" s="239"/>
      <c r="M18" s="117">
        <f>+K18+'16'!M18+L18</f>
        <v>0</v>
      </c>
    </row>
    <row r="19" spans="1:13" ht="13.5" thickBot="1">
      <c r="A19" s="771"/>
      <c r="B19" s="215"/>
      <c r="C19" s="216"/>
      <c r="D19" s="217"/>
      <c r="E19" s="225"/>
      <c r="F19" s="235"/>
      <c r="G19" s="232"/>
      <c r="H19" s="233"/>
      <c r="I19" s="769"/>
      <c r="J19" s="214">
        <f>+'16'!J19</f>
        <v>0</v>
      </c>
      <c r="K19" s="239"/>
      <c r="L19" s="239"/>
      <c r="M19" s="117">
        <f>+K19+'16'!M19+L19</f>
        <v>0</v>
      </c>
    </row>
    <row r="20" spans="1:13" ht="13.5" thickBot="1">
      <c r="A20" s="771"/>
      <c r="B20" s="215"/>
      <c r="C20" s="216"/>
      <c r="D20" s="217"/>
      <c r="E20" s="225"/>
      <c r="F20" s="228"/>
      <c r="G20" s="232"/>
      <c r="H20" s="233"/>
      <c r="I20" s="769"/>
      <c r="J20" s="214">
        <f>+'16'!J20</f>
        <v>0</v>
      </c>
      <c r="K20" s="240"/>
      <c r="L20" s="240"/>
      <c r="M20" s="117">
        <f>+K20+'16'!M20+L20</f>
        <v>0</v>
      </c>
    </row>
    <row r="21" spans="1:13" ht="13.5" thickBot="1">
      <c r="A21" s="771"/>
      <c r="B21" s="215"/>
      <c r="C21" s="216"/>
      <c r="D21" s="217"/>
      <c r="E21" s="225"/>
      <c r="F21" s="231"/>
      <c r="G21" s="232"/>
      <c r="H21" s="233"/>
      <c r="I21" s="769"/>
      <c r="J21" s="214">
        <f>+'16'!J21</f>
        <v>0</v>
      </c>
      <c r="K21" s="239"/>
      <c r="L21" s="239"/>
      <c r="M21" s="117">
        <f>+K21+'16'!M21+L21</f>
        <v>0</v>
      </c>
    </row>
    <row r="22" spans="1:13" ht="13.5" thickBot="1">
      <c r="A22" s="771"/>
      <c r="B22" s="215"/>
      <c r="C22" s="216"/>
      <c r="D22" s="217"/>
      <c r="E22" s="225"/>
      <c r="F22" s="236"/>
      <c r="G22" s="232"/>
      <c r="H22" s="233"/>
      <c r="I22" s="770"/>
      <c r="J22" s="214">
        <f>+'16'!J22</f>
        <v>0</v>
      </c>
      <c r="K22" s="239"/>
      <c r="L22" s="239"/>
      <c r="M22" s="117">
        <f>+K22+'16'!M22+L22</f>
        <v>0</v>
      </c>
    </row>
    <row r="23" spans="1:13" ht="13.5" thickBot="1">
      <c r="A23" s="772"/>
      <c r="B23" s="168" t="s">
        <v>2</v>
      </c>
      <c r="C23" s="100">
        <f>SUM(C16:C22)</f>
        <v>0</v>
      </c>
      <c r="D23" s="111">
        <f>SUM(D16:D22)</f>
        <v>457</v>
      </c>
      <c r="E23" s="112">
        <f>SUM(E18:E22)</f>
        <v>0</v>
      </c>
      <c r="F23" s="116">
        <f>SUM(F15:F22)</f>
        <v>480</v>
      </c>
      <c r="G23" s="159"/>
      <c r="H23" s="166"/>
      <c r="I23" s="169"/>
      <c r="J23" s="214">
        <f>+'16'!J23</f>
        <v>0</v>
      </c>
      <c r="K23" s="239"/>
      <c r="L23" s="239"/>
      <c r="M23" s="117">
        <f>+K23+'16'!M23+L23</f>
        <v>0</v>
      </c>
    </row>
    <row r="24" spans="1:13" ht="13.5" customHeight="1" thickBot="1">
      <c r="A24" s="765"/>
      <c r="B24" s="170"/>
      <c r="C24" s="113">
        <f>C23/($C$23+$D$23+$E$23)</f>
        <v>0</v>
      </c>
      <c r="D24" s="114">
        <f>D23/($C$23+$D$23+$E$23)</f>
        <v>1</v>
      </c>
      <c r="E24" s="115">
        <f>E23/($C$23+$D$23+$E$23)</f>
        <v>0</v>
      </c>
      <c r="F24" s="228"/>
      <c r="G24" s="229" t="s">
        <v>12</v>
      </c>
      <c r="H24" s="230" t="s">
        <v>466</v>
      </c>
      <c r="I24" s="768"/>
      <c r="J24" s="214">
        <f>+'16'!J24</f>
        <v>0</v>
      </c>
      <c r="K24" s="239"/>
      <c r="L24" s="239"/>
      <c r="M24" s="117">
        <f>+K24+'16'!M24+L24</f>
        <v>0</v>
      </c>
    </row>
    <row r="25" spans="1:13" ht="13.5" thickBot="1">
      <c r="A25" s="771"/>
      <c r="B25" s="215"/>
      <c r="C25" s="226"/>
      <c r="D25" s="217">
        <v>263</v>
      </c>
      <c r="E25" s="225"/>
      <c r="F25" s="231"/>
      <c r="G25" s="560" t="s">
        <v>12</v>
      </c>
      <c r="H25" s="230" t="s">
        <v>432</v>
      </c>
      <c r="I25" s="769"/>
      <c r="J25" s="214">
        <f>+'16'!J25</f>
        <v>0</v>
      </c>
      <c r="K25" s="239"/>
      <c r="L25" s="239"/>
      <c r="M25" s="117">
        <f>+K25+'16'!M25+L25</f>
        <v>0</v>
      </c>
    </row>
    <row r="26" spans="1:13" ht="13.5" thickBot="1">
      <c r="A26" s="771"/>
      <c r="B26" s="215"/>
      <c r="C26" s="226"/>
      <c r="D26" s="217"/>
      <c r="E26" s="227"/>
      <c r="F26" s="228"/>
      <c r="G26" s="560" t="s">
        <v>12</v>
      </c>
      <c r="H26" s="233" t="s">
        <v>507</v>
      </c>
      <c r="I26" s="769"/>
      <c r="J26" s="214">
        <f>+'16'!J26</f>
        <v>0</v>
      </c>
      <c r="K26" s="239"/>
      <c r="L26" s="239"/>
      <c r="M26" s="117">
        <f>+K26+'16'!M26+L26</f>
        <v>0</v>
      </c>
    </row>
    <row r="27" spans="1:13" ht="13.5" thickBot="1">
      <c r="A27" s="771"/>
      <c r="B27" s="215"/>
      <c r="C27" s="216"/>
      <c r="D27" s="217"/>
      <c r="E27" s="225"/>
      <c r="F27" s="228">
        <v>480</v>
      </c>
      <c r="G27" s="237" t="s">
        <v>20</v>
      </c>
      <c r="H27" s="233" t="s">
        <v>594</v>
      </c>
      <c r="I27" s="769"/>
      <c r="J27" s="214">
        <f>+'16'!J27</f>
        <v>0</v>
      </c>
      <c r="K27" s="239"/>
      <c r="L27" s="239"/>
      <c r="M27" s="117">
        <f>+K27+'16'!M27+L27</f>
        <v>0</v>
      </c>
    </row>
    <row r="28" spans="1:13" ht="13.5" thickBot="1">
      <c r="A28" s="771"/>
      <c r="B28" s="215"/>
      <c r="C28" s="216"/>
      <c r="D28" s="217"/>
      <c r="E28" s="225"/>
      <c r="F28" s="235"/>
      <c r="G28" s="232"/>
      <c r="H28" s="233"/>
      <c r="I28" s="769"/>
      <c r="J28" s="214">
        <f>+'16'!J28</f>
        <v>0</v>
      </c>
      <c r="K28" s="239"/>
      <c r="L28" s="239"/>
      <c r="M28" s="117">
        <f>+K28+'16'!M28+L28</f>
        <v>0</v>
      </c>
    </row>
    <row r="29" spans="1:13" ht="13.5" thickBot="1">
      <c r="A29" s="771"/>
      <c r="B29" s="215"/>
      <c r="C29" s="216"/>
      <c r="D29" s="217"/>
      <c r="E29" s="225"/>
      <c r="F29" s="228"/>
      <c r="G29" s="232"/>
      <c r="H29" s="233"/>
      <c r="I29" s="769"/>
      <c r="J29" s="214">
        <f>+'16'!J29</f>
        <v>0</v>
      </c>
      <c r="K29" s="239"/>
      <c r="L29" s="239"/>
      <c r="M29" s="117">
        <f>+K29+'16'!M29+L29</f>
        <v>0</v>
      </c>
    </row>
    <row r="30" spans="1:13" ht="13.5" thickBot="1">
      <c r="A30" s="771"/>
      <c r="B30" s="215"/>
      <c r="C30" s="226"/>
      <c r="D30" s="217"/>
      <c r="E30" s="225"/>
      <c r="F30" s="236"/>
      <c r="G30" s="232"/>
      <c r="H30" s="233"/>
      <c r="I30" s="769"/>
      <c r="J30" s="214">
        <f>+'16'!J30</f>
        <v>0</v>
      </c>
      <c r="K30" s="239"/>
      <c r="L30" s="239"/>
      <c r="M30" s="117">
        <f>+K30+'16'!M30+L30</f>
        <v>0</v>
      </c>
    </row>
    <row r="31" spans="1:13" ht="13.5" thickBot="1">
      <c r="A31" s="771"/>
      <c r="B31" s="215"/>
      <c r="C31" s="226"/>
      <c r="D31" s="217"/>
      <c r="E31" s="225"/>
      <c r="F31" s="236"/>
      <c r="G31" s="237"/>
      <c r="H31" s="445"/>
      <c r="I31" s="770"/>
      <c r="J31" s="214">
        <f>+'16'!J31</f>
        <v>0</v>
      </c>
      <c r="K31" s="239"/>
      <c r="L31" s="239"/>
      <c r="M31" s="117">
        <f>+K31+'16'!M31+L31</f>
        <v>0</v>
      </c>
    </row>
    <row r="32" spans="1:13" ht="13.5" thickBot="1">
      <c r="A32" s="772"/>
      <c r="B32" s="165" t="s">
        <v>2</v>
      </c>
      <c r="C32" s="99">
        <f>SUM(C25:C31)</f>
        <v>0</v>
      </c>
      <c r="D32" s="100">
        <f>SUM(D25:D31)</f>
        <v>263</v>
      </c>
      <c r="E32" s="101">
        <f>SUM(E25:E31)</f>
        <v>0</v>
      </c>
      <c r="F32" s="102">
        <f>SUM(F24:F31)</f>
        <v>480</v>
      </c>
      <c r="G32" s="171"/>
      <c r="H32" s="172"/>
      <c r="I32" s="169"/>
      <c r="J32" s="214">
        <f>+'16'!J32</f>
        <v>0</v>
      </c>
      <c r="K32" s="241"/>
      <c r="L32" s="243"/>
      <c r="M32" s="117">
        <f>+K32+'16'!M32+L32</f>
        <v>0</v>
      </c>
    </row>
    <row r="33" spans="1:13" ht="13.5" thickBot="1">
      <c r="A33" s="173"/>
      <c r="B33" s="174"/>
      <c r="C33" s="103">
        <f>C32/($C$32+$D$32+$E$32)</f>
        <v>0</v>
      </c>
      <c r="D33" s="104">
        <f>D32/($C$32+$D$32+$E$32)</f>
        <v>1</v>
      </c>
      <c r="E33" s="105">
        <f>E32/($C$32+$D$32+$E$32)</f>
        <v>0</v>
      </c>
      <c r="F33" s="106"/>
      <c r="G33" s="175"/>
      <c r="H33" s="176"/>
      <c r="I33" s="177"/>
      <c r="J33" s="121"/>
      <c r="K33" s="122"/>
      <c r="L33" s="213"/>
      <c r="M33" s="119"/>
    </row>
    <row r="34" spans="1:13" ht="13.5" thickBot="1">
      <c r="A34" s="761" t="s">
        <v>57</v>
      </c>
      <c r="B34" s="762"/>
      <c r="C34" s="107">
        <f>C14+C23+C32</f>
        <v>0</v>
      </c>
      <c r="D34" s="107">
        <f>D14+D23+D32</f>
        <v>980</v>
      </c>
      <c r="E34" s="107">
        <f>E14+E23+E32</f>
        <v>0</v>
      </c>
      <c r="F34" s="108">
        <f>F14+F23+F32</f>
        <v>1440</v>
      </c>
      <c r="H34" s="178"/>
      <c r="I34" s="178"/>
      <c r="J34" s="123" t="s">
        <v>28</v>
      </c>
      <c r="K34" s="124">
        <f>SUM(K7:K32)</f>
        <v>0</v>
      </c>
      <c r="L34" s="212">
        <f>SUM(L7:L32)</f>
        <v>0</v>
      </c>
      <c r="M34" s="120">
        <f>SUM(M7:M32)</f>
        <v>413672</v>
      </c>
    </row>
    <row r="35" spans="1:13" ht="13.5" thickBot="1">
      <c r="A35" s="179"/>
      <c r="B35" s="180"/>
      <c r="C35" s="104">
        <f>C34/($C$34+$D$34+$E$34)</f>
        <v>0</v>
      </c>
      <c r="D35" s="104">
        <f>D34/($C$34+$D$34+$E$34)</f>
        <v>1</v>
      </c>
      <c r="E35" s="109">
        <f>E34/($C$34+$D$34+$E$34)</f>
        <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244">
        <f>(10.3*1440)/1440*G42*2.74*1440/1000000</f>
        <v>0</v>
      </c>
      <c r="J37" s="125" t="e">
        <f>+I37+'16'!J37</f>
        <v>#DIV/0!</v>
      </c>
      <c r="K37" s="126" t="s">
        <v>63</v>
      </c>
    </row>
    <row r="38" spans="1:13" ht="17.45" customHeight="1">
      <c r="A38" s="755" t="s">
        <v>12</v>
      </c>
      <c r="B38" s="756"/>
      <c r="C38" s="164">
        <f>SUMIF($G$7:$G$31,"Process",$F$7:$F$31)</f>
        <v>0</v>
      </c>
      <c r="D38" s="118">
        <f>+C38+'16'!D38</f>
        <v>860</v>
      </c>
      <c r="E38" s="143">
        <f t="shared" ref="E38:E51" si="0">D38/60</f>
        <v>14.333333333333334</v>
      </c>
      <c r="F38" s="322"/>
      <c r="G38" s="322"/>
      <c r="H38" s="187" t="s">
        <v>64</v>
      </c>
      <c r="I38" s="245"/>
      <c r="J38" s="127">
        <f>+I38+'16'!J38</f>
        <v>440.91260000000005</v>
      </c>
      <c r="K38" s="128" t="s">
        <v>63</v>
      </c>
    </row>
    <row r="39" spans="1:13" ht="17.45" customHeight="1">
      <c r="A39" s="759" t="s">
        <v>13</v>
      </c>
      <c r="B39" s="760"/>
      <c r="C39" s="164">
        <f>SUMIF($G$7:$G$31,"Cleaning",$F$7:$F$31)</f>
        <v>0</v>
      </c>
      <c r="D39" s="118">
        <f>+C39+'16'!D39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+C40+'16'!D40</f>
        <v>0</v>
      </c>
      <c r="E40" s="143">
        <f t="shared" si="0"/>
        <v>0</v>
      </c>
      <c r="F40" s="322"/>
      <c r="G40" s="322"/>
      <c r="H40" s="187" t="s">
        <v>67</v>
      </c>
      <c r="I40" s="118">
        <f>(K34+L34)/1000</f>
        <v>0</v>
      </c>
      <c r="J40" s="131">
        <f>+I40+'16'!J40</f>
        <v>413.67199999999991</v>
      </c>
      <c r="K40" s="130" t="s">
        <v>63</v>
      </c>
    </row>
    <row r="41" spans="1:13" ht="17.45" customHeight="1">
      <c r="A41" s="759" t="s">
        <v>68</v>
      </c>
      <c r="B41" s="760"/>
      <c r="C41" s="164">
        <f>SUMIF($G$7:$G$31,"Electrical",$F$7:$F$31)</f>
        <v>0</v>
      </c>
      <c r="D41" s="118">
        <f>+C41+'16'!D41</f>
        <v>550</v>
      </c>
      <c r="E41" s="143">
        <f t="shared" si="0"/>
        <v>9.1666666666666661</v>
      </c>
      <c r="F41" s="322"/>
      <c r="G41" s="322"/>
      <c r="H41" s="187" t="s">
        <v>69</v>
      </c>
      <c r="I41" s="142"/>
      <c r="J41" s="129">
        <f>J40/G4</f>
        <v>24.333647058823523</v>
      </c>
      <c r="K41" s="130" t="s">
        <v>63</v>
      </c>
    </row>
    <row r="42" spans="1:13" ht="17.45" customHeight="1">
      <c r="A42" s="759" t="s">
        <v>16</v>
      </c>
      <c r="B42" s="760"/>
      <c r="C42" s="164">
        <f>SUMIF($G$7:$G$31,"Instrument",$F$7:$F$31)</f>
        <v>0</v>
      </c>
      <c r="D42" s="118">
        <f>+C42+'16'!D42</f>
        <v>0</v>
      </c>
      <c r="E42" s="143">
        <f t="shared" si="0"/>
        <v>0</v>
      </c>
      <c r="F42" s="322">
        <f>+(F38*480+F39*480+F40*480)/1440</f>
        <v>0</v>
      </c>
      <c r="G42" s="322">
        <f>+(G38*480+G39*480+G40*480)/1440</f>
        <v>0</v>
      </c>
      <c r="H42" s="187" t="s">
        <v>70</v>
      </c>
      <c r="I42" s="246"/>
      <c r="J42" s="132"/>
      <c r="K42" s="130" t="s">
        <v>71</v>
      </c>
    </row>
    <row r="43" spans="1:13" ht="17.45" customHeight="1">
      <c r="A43" s="759" t="s">
        <v>72</v>
      </c>
      <c r="B43" s="760"/>
      <c r="C43" s="164">
        <f>SUMIF($G$7:$G$31,"Water",$F$7:$F$31)</f>
        <v>0</v>
      </c>
      <c r="D43" s="118">
        <f>+C43+'16'!D43</f>
        <v>0</v>
      </c>
      <c r="E43" s="143">
        <f t="shared" si="0"/>
        <v>0</v>
      </c>
      <c r="F43" s="322"/>
      <c r="G43" s="323"/>
      <c r="H43" s="188" t="s">
        <v>73</v>
      </c>
      <c r="I43" s="118">
        <f>+Report1!Z25</f>
        <v>5.5</v>
      </c>
      <c r="J43" s="133">
        <f>+I43+'16'!J43</f>
        <v>698.6</v>
      </c>
      <c r="K43" s="130" t="s">
        <v>63</v>
      </c>
      <c r="L43" s="189"/>
    </row>
    <row r="44" spans="1:13" ht="17.45" customHeight="1">
      <c r="A44" s="759" t="s">
        <v>17</v>
      </c>
      <c r="B44" s="760"/>
      <c r="C44" s="164">
        <f>SUMIF($G$7:$G$31,"PLN",$F$7:$F$31)</f>
        <v>0</v>
      </c>
      <c r="D44" s="118">
        <f>+C44+'16'!D44</f>
        <v>0</v>
      </c>
      <c r="E44" s="143">
        <f t="shared" si="0"/>
        <v>0</v>
      </c>
      <c r="F44" s="322"/>
      <c r="G44" s="323"/>
      <c r="H44" s="188" t="s">
        <v>74</v>
      </c>
      <c r="I44" s="118" t="e">
        <f>I43/I38</f>
        <v>#DIV/0!</v>
      </c>
      <c r="J44" s="134">
        <f>J43/J38</f>
        <v>1.5844409980572112</v>
      </c>
      <c r="K44" s="130" t="s">
        <v>63</v>
      </c>
    </row>
    <row r="45" spans="1:13" ht="17.45" customHeight="1">
      <c r="A45" s="759" t="s">
        <v>18</v>
      </c>
      <c r="B45" s="760"/>
      <c r="C45" s="164">
        <f>SUMIF($G$7:$G$31,"Boiler",$F$7:$F$31)</f>
        <v>0</v>
      </c>
      <c r="D45" s="118">
        <f>+C45+'16'!D45</f>
        <v>0</v>
      </c>
      <c r="E45" s="143">
        <f t="shared" si="0"/>
        <v>0</v>
      </c>
      <c r="F45" s="322"/>
      <c r="G45" s="325"/>
      <c r="H45" s="188" t="s">
        <v>75</v>
      </c>
      <c r="I45" s="118" t="e">
        <f>I43/I40</f>
        <v>#DIV/0!</v>
      </c>
      <c r="J45" s="134">
        <f>J43/J40</f>
        <v>1.6887775822390692</v>
      </c>
      <c r="K45" s="130" t="s">
        <v>63</v>
      </c>
    </row>
    <row r="46" spans="1:13" ht="17.45" customHeight="1">
      <c r="A46" s="759" t="s">
        <v>76</v>
      </c>
      <c r="B46" s="760"/>
      <c r="C46" s="164">
        <f>SUMIF($G$7:$G$31,"Gas",$F$7:$F$31)</f>
        <v>0</v>
      </c>
      <c r="D46" s="118">
        <f>+C46+'16'!D46</f>
        <v>0</v>
      </c>
      <c r="E46" s="143">
        <f t="shared" si="0"/>
        <v>0</v>
      </c>
      <c r="F46" s="322"/>
      <c r="G46" s="323"/>
      <c r="H46" s="188" t="s">
        <v>77</v>
      </c>
      <c r="I46" s="140">
        <f>+SUMIF(Listrik!P24,"&gt;0")</f>
        <v>7350.7199999996374</v>
      </c>
      <c r="J46" s="135">
        <f>+I46+'16'!J46</f>
        <v>439093.38000000041</v>
      </c>
      <c r="K46" s="130" t="s">
        <v>78</v>
      </c>
    </row>
    <row r="47" spans="1:13" ht="17.45" customHeight="1">
      <c r="A47" s="759" t="s">
        <v>79</v>
      </c>
      <c r="B47" s="760"/>
      <c r="C47" s="164">
        <f>SUMIF($G$7:$G$31,"Gas",$F$7:$F$31)</f>
        <v>0</v>
      </c>
      <c r="D47" s="118">
        <f>+C47+'16'!D47</f>
        <v>0</v>
      </c>
      <c r="E47" s="143">
        <f t="shared" si="0"/>
        <v>0</v>
      </c>
      <c r="F47" s="322"/>
      <c r="G47" s="323"/>
      <c r="H47" s="188" t="s">
        <v>80</v>
      </c>
      <c r="I47" s="118" t="e">
        <f>I46/I38</f>
        <v>#DIV/0!</v>
      </c>
      <c r="J47" s="135">
        <f>J46/J38</f>
        <v>995.87396685873875</v>
      </c>
      <c r="K47" s="130" t="s">
        <v>24</v>
      </c>
    </row>
    <row r="48" spans="1:13" ht="17.45" customHeight="1">
      <c r="A48" s="759" t="s">
        <v>14</v>
      </c>
      <c r="B48" s="760"/>
      <c r="C48" s="164">
        <f>SUMIF($G$7:$G$31,"Start Up",$F$7:$F$31)</f>
        <v>0</v>
      </c>
      <c r="D48" s="118">
        <f>+C48+'16'!D48</f>
        <v>0</v>
      </c>
      <c r="E48" s="143">
        <f t="shared" si="0"/>
        <v>0</v>
      </c>
      <c r="F48" s="322"/>
      <c r="G48" s="323"/>
      <c r="H48" s="188" t="s">
        <v>81</v>
      </c>
      <c r="I48" s="118" t="e">
        <f>I46/I40</f>
        <v>#DIV/0!</v>
      </c>
      <c r="J48" s="135">
        <f>J46/J40</f>
        <v>1061.4529869075029</v>
      </c>
      <c r="K48" s="130" t="s">
        <v>24</v>
      </c>
    </row>
    <row r="49" spans="1:11" ht="17.45" customHeight="1">
      <c r="A49" s="759" t="s">
        <v>20</v>
      </c>
      <c r="B49" s="760"/>
      <c r="C49" s="164">
        <f>SUMIF($G$7:$G$31,"Others",$F$7:$F$31)</f>
        <v>1440</v>
      </c>
      <c r="D49" s="118">
        <f>+C49+'16'!D49</f>
        <v>6750</v>
      </c>
      <c r="E49" s="143">
        <f t="shared" si="0"/>
        <v>112.5</v>
      </c>
      <c r="F49" s="185"/>
      <c r="H49" s="188" t="s">
        <v>272</v>
      </c>
      <c r="I49" s="118">
        <f>+Report1!T25</f>
        <v>0</v>
      </c>
      <c r="J49" s="135">
        <f>+I49+'16'!J49</f>
        <v>41069.474159648547</v>
      </c>
      <c r="K49" s="130" t="s">
        <v>82</v>
      </c>
    </row>
    <row r="50" spans="1:11" ht="17.45" customHeight="1">
      <c r="A50" s="759" t="s">
        <v>19</v>
      </c>
      <c r="B50" s="760"/>
      <c r="C50" s="164">
        <f>SUMIF($G$7:$G$31,"Steam",$F$7:$F$31)</f>
        <v>0</v>
      </c>
      <c r="D50" s="118">
        <f>+C50+'16'!D50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+C51+'16'!D51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9715</v>
      </c>
      <c r="E52" s="145">
        <f>SUM(E38:E51)</f>
        <v>161.91666666666666</v>
      </c>
      <c r="F52" s="185"/>
      <c r="H52" s="191"/>
      <c r="I52" s="192"/>
      <c r="J52" s="138"/>
      <c r="K52" s="139"/>
    </row>
    <row r="53" spans="1:11" ht="13.5" thickBot="1">
      <c r="A53" s="757"/>
      <c r="B53" s="758"/>
      <c r="C53" s="146">
        <f>C52/(24*60)</f>
        <v>1</v>
      </c>
      <c r="D53" s="146">
        <f>D52/(24*60*G4)</f>
        <v>0.39685457516339867</v>
      </c>
      <c r="E53" s="147">
        <f>E52/(G4*24)</f>
        <v>0.39685457516339867</v>
      </c>
      <c r="F53" s="185"/>
    </row>
    <row r="54" spans="1:11">
      <c r="E54" s="193"/>
      <c r="F54" s="185"/>
    </row>
    <row r="55" spans="1:11">
      <c r="E55" s="193"/>
    </row>
    <row r="56" spans="1:11">
      <c r="A56" s="194" t="s">
        <v>86</v>
      </c>
      <c r="B56" s="195"/>
      <c r="C56" s="196"/>
      <c r="D56" s="196"/>
      <c r="E56" s="196"/>
      <c r="F56" s="197"/>
      <c r="G56" s="196"/>
      <c r="H56" s="198"/>
      <c r="I56" s="199" t="s">
        <v>87</v>
      </c>
      <c r="J56" s="200">
        <f>+D34+'16'!J56</f>
        <v>10452</v>
      </c>
      <c r="K56" s="201">
        <f>J56/(J40+J56/1000)/1000</f>
        <v>2.4643736265809062E-2</v>
      </c>
    </row>
    <row r="57" spans="1:11">
      <c r="A57" s="176"/>
      <c r="I57" s="199" t="s">
        <v>88</v>
      </c>
      <c r="J57" s="200">
        <f>+E34+'16'!J57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7:A14"/>
    <mergeCell ref="I7:I13"/>
    <mergeCell ref="A15:A23"/>
    <mergeCell ref="I15:I22"/>
    <mergeCell ref="A34:B34"/>
    <mergeCell ref="A37:B37"/>
    <mergeCell ref="A38:B38"/>
    <mergeCell ref="I24:I31"/>
    <mergeCell ref="A24:A32"/>
    <mergeCell ref="A39:B39"/>
    <mergeCell ref="A40:B40"/>
    <mergeCell ref="A41:B41"/>
    <mergeCell ref="A42:B42"/>
    <mergeCell ref="A43:B43"/>
    <mergeCell ref="A44:B44"/>
    <mergeCell ref="A45:B45"/>
    <mergeCell ref="A46:B46"/>
    <mergeCell ref="A51:B51"/>
    <mergeCell ref="A52:B52"/>
    <mergeCell ref="A53:B53"/>
    <mergeCell ref="A47:B47"/>
    <mergeCell ref="A48:B48"/>
    <mergeCell ref="A49:B49"/>
    <mergeCell ref="A50:B50"/>
  </mergeCells>
  <phoneticPr fontId="32"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zoomScale="80" zoomScaleNormal="80" workbookViewId="0">
      <selection activeCell="D8" sqref="D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3" ht="15.75">
      <c r="A1" s="148"/>
    </row>
    <row r="2" spans="1:13" ht="15.75">
      <c r="A2" s="148" t="s">
        <v>185</v>
      </c>
    </row>
    <row r="3" spans="1:13" ht="15">
      <c r="A3" s="150"/>
    </row>
    <row r="4" spans="1:13" ht="20.25">
      <c r="A4" s="151" t="s">
        <v>3</v>
      </c>
      <c r="B4" s="152"/>
      <c r="F4" s="153" t="s">
        <v>29</v>
      </c>
      <c r="G4" s="154">
        <v>16</v>
      </c>
      <c r="H4" s="154" t="str">
        <f>+'1'!H4</f>
        <v>.9.25</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v>690</v>
      </c>
      <c r="E7" s="218"/>
      <c r="F7" s="228"/>
      <c r="G7" s="229" t="s">
        <v>12</v>
      </c>
      <c r="H7" s="230" t="s">
        <v>466</v>
      </c>
      <c r="I7" s="768"/>
      <c r="J7" s="214" t="str">
        <f>+'15'!J7</f>
        <v>F 12 VP OW</v>
      </c>
      <c r="K7" s="238"/>
      <c r="L7" s="242"/>
      <c r="M7" s="117">
        <f>+K7+'15'!M7+L7</f>
        <v>172842</v>
      </c>
    </row>
    <row r="8" spans="1:13" ht="13.5" thickBot="1">
      <c r="A8" s="766"/>
      <c r="B8" s="215"/>
      <c r="C8" s="216"/>
      <c r="D8" s="217"/>
      <c r="E8" s="219"/>
      <c r="F8" s="231"/>
      <c r="G8" s="560" t="s">
        <v>12</v>
      </c>
      <c r="H8" s="230" t="s">
        <v>432</v>
      </c>
      <c r="I8" s="769"/>
      <c r="J8" s="214" t="str">
        <f>+'15'!J8</f>
        <v>F 13 VP OW</v>
      </c>
      <c r="K8" s="239"/>
      <c r="L8" s="239"/>
      <c r="M8" s="117">
        <f>+K8+'15'!M8+L8</f>
        <v>66206</v>
      </c>
    </row>
    <row r="9" spans="1:13" ht="13.5" thickBot="1">
      <c r="A9" s="766"/>
      <c r="B9" s="215"/>
      <c r="C9" s="216"/>
      <c r="D9" s="217"/>
      <c r="E9" s="220"/>
      <c r="F9" s="228"/>
      <c r="G9" s="560" t="s">
        <v>12</v>
      </c>
      <c r="H9" s="233" t="s">
        <v>507</v>
      </c>
      <c r="I9" s="769"/>
      <c r="J9" s="214" t="str">
        <f>+'15'!J9</f>
        <v>F 14 VP OW</v>
      </c>
      <c r="K9" s="239"/>
      <c r="L9" s="239"/>
      <c r="M9" s="117">
        <f>+K9+'15'!M9+L9</f>
        <v>100560</v>
      </c>
    </row>
    <row r="10" spans="1:13" ht="13.5" thickBot="1">
      <c r="A10" s="766"/>
      <c r="B10" s="215"/>
      <c r="C10" s="216"/>
      <c r="D10" s="217"/>
      <c r="E10" s="219"/>
      <c r="F10" s="228">
        <v>480</v>
      </c>
      <c r="G10" s="237" t="s">
        <v>20</v>
      </c>
      <c r="H10" s="233" t="s">
        <v>592</v>
      </c>
      <c r="I10" s="769"/>
      <c r="J10" s="214" t="str">
        <f>+'15'!J10</f>
        <v>T 12,5 VP OW</v>
      </c>
      <c r="K10" s="239"/>
      <c r="L10" s="239"/>
      <c r="M10" s="117">
        <f>+K10+'15'!M10+L10</f>
        <v>19885</v>
      </c>
    </row>
    <row r="11" spans="1:13" ht="51.75" thickBot="1">
      <c r="A11" s="766"/>
      <c r="B11" s="215"/>
      <c r="C11" s="216"/>
      <c r="D11" s="217"/>
      <c r="E11" s="219"/>
      <c r="F11" s="228"/>
      <c r="G11" s="232"/>
      <c r="H11" s="233" t="s">
        <v>593</v>
      </c>
      <c r="I11" s="769"/>
      <c r="J11" s="214" t="str">
        <f>+'15'!J11</f>
        <v>F 12,5 VP OW</v>
      </c>
      <c r="K11" s="239"/>
      <c r="L11" s="239"/>
      <c r="M11" s="117">
        <f>+K11+'15'!M11+L11</f>
        <v>42554</v>
      </c>
    </row>
    <row r="12" spans="1:13" ht="13.5" thickBot="1">
      <c r="A12" s="766"/>
      <c r="B12" s="215"/>
      <c r="C12" s="216"/>
      <c r="D12" s="217"/>
      <c r="E12" s="219"/>
      <c r="F12" s="228"/>
      <c r="G12" s="232"/>
      <c r="H12" s="233" t="s">
        <v>590</v>
      </c>
      <c r="I12" s="769"/>
      <c r="J12" s="214" t="str">
        <f>+'15'!J12</f>
        <v>F 13,5 VP OW</v>
      </c>
      <c r="K12" s="239"/>
      <c r="L12" s="239"/>
      <c r="M12" s="117">
        <f>+K12+'15'!M12+L12</f>
        <v>11625</v>
      </c>
    </row>
    <row r="13" spans="1:13" ht="13.5" thickBot="1">
      <c r="A13" s="766"/>
      <c r="B13" s="215"/>
      <c r="C13" s="216"/>
      <c r="D13" s="216"/>
      <c r="E13" s="219"/>
      <c r="F13" s="228"/>
      <c r="G13" s="232"/>
      <c r="H13" s="233" t="s">
        <v>591</v>
      </c>
      <c r="I13" s="770"/>
      <c r="J13" s="214">
        <f>+'15'!J13</f>
        <v>0</v>
      </c>
      <c r="K13" s="239"/>
      <c r="L13" s="239"/>
      <c r="M13" s="117">
        <f>+K13+'15'!M13+L13</f>
        <v>0</v>
      </c>
    </row>
    <row r="14" spans="1:13" ht="13.5" thickBot="1">
      <c r="A14" s="767"/>
      <c r="B14" s="165" t="s">
        <v>2</v>
      </c>
      <c r="C14" s="99">
        <f>SUM(C7:C13)</f>
        <v>0</v>
      </c>
      <c r="D14" s="111">
        <f>SUM(D7:D13)</f>
        <v>690</v>
      </c>
      <c r="E14" s="112">
        <f>SUM(E5:E13)</f>
        <v>0</v>
      </c>
      <c r="F14" s="116">
        <f>SUM(F7:F13)</f>
        <v>480</v>
      </c>
      <c r="G14" s="159"/>
      <c r="H14" s="166"/>
      <c r="I14" s="167"/>
      <c r="J14" s="214">
        <f>+'15'!J14</f>
        <v>0</v>
      </c>
      <c r="K14" s="239"/>
      <c r="L14" s="239"/>
      <c r="M14" s="117">
        <f>+K14+'15'!M14+L14</f>
        <v>0</v>
      </c>
    </row>
    <row r="15" spans="1:13" ht="13.5" customHeight="1" thickBot="1">
      <c r="A15" s="765"/>
      <c r="B15" s="165"/>
      <c r="C15" s="113" t="e">
        <f>C14/($C$23+$D$23+$E$23)</f>
        <v>#DIV/0!</v>
      </c>
      <c r="D15" s="114" t="e">
        <f>D14/($C$23+$D$23+$E$23)</f>
        <v>#DIV/0!</v>
      </c>
      <c r="E15" s="115" t="e">
        <f>E14/($C$23+$D$23+$E$23)</f>
        <v>#DIV/0!</v>
      </c>
      <c r="F15" s="228"/>
      <c r="G15" s="229" t="s">
        <v>12</v>
      </c>
      <c r="H15" s="230" t="s">
        <v>466</v>
      </c>
      <c r="I15" s="768"/>
      <c r="J15" s="214">
        <f>+'15'!J15</f>
        <v>0</v>
      </c>
      <c r="K15" s="239"/>
      <c r="L15" s="239"/>
      <c r="M15" s="117">
        <f>+K15+'15'!M15+L15</f>
        <v>0</v>
      </c>
    </row>
    <row r="16" spans="1:13" ht="13.5" thickBot="1">
      <c r="A16" s="771"/>
      <c r="B16" s="215"/>
      <c r="C16" s="222"/>
      <c r="D16" s="223"/>
      <c r="E16" s="224"/>
      <c r="F16" s="231"/>
      <c r="G16" s="560" t="s">
        <v>12</v>
      </c>
      <c r="H16" s="230" t="s">
        <v>432</v>
      </c>
      <c r="I16" s="769"/>
      <c r="J16" s="214">
        <f>+'15'!J16</f>
        <v>0</v>
      </c>
      <c r="K16" s="229"/>
      <c r="L16" s="229"/>
      <c r="M16" s="117">
        <f>+K16+'15'!M16+L16</f>
        <v>0</v>
      </c>
    </row>
    <row r="17" spans="1:13" ht="13.5" thickBot="1">
      <c r="A17" s="771"/>
      <c r="B17" s="215"/>
      <c r="C17" s="216"/>
      <c r="D17" s="217"/>
      <c r="E17" s="225"/>
      <c r="F17" s="228"/>
      <c r="G17" s="560" t="s">
        <v>12</v>
      </c>
      <c r="H17" s="233" t="s">
        <v>507</v>
      </c>
      <c r="I17" s="769"/>
      <c r="J17" s="214">
        <f>+'15'!J17</f>
        <v>0</v>
      </c>
      <c r="K17" s="229"/>
      <c r="L17" s="229"/>
      <c r="M17" s="117">
        <f>+K17+'15'!M17+L17</f>
        <v>0</v>
      </c>
    </row>
    <row r="18" spans="1:13" ht="13.5" thickBot="1">
      <c r="A18" s="771"/>
      <c r="B18" s="215"/>
      <c r="C18" s="216"/>
      <c r="D18" s="217"/>
      <c r="E18" s="225"/>
      <c r="F18" s="228">
        <v>480</v>
      </c>
      <c r="G18" s="237" t="s">
        <v>20</v>
      </c>
      <c r="H18" s="233" t="s">
        <v>594</v>
      </c>
      <c r="I18" s="769"/>
      <c r="J18" s="214">
        <f>+'15'!J18</f>
        <v>0</v>
      </c>
      <c r="K18" s="239"/>
      <c r="L18" s="239"/>
      <c r="M18" s="117">
        <f>+K18+'15'!M18+L18</f>
        <v>0</v>
      </c>
    </row>
    <row r="19" spans="1:13" ht="13.5" thickBot="1">
      <c r="A19" s="771"/>
      <c r="B19" s="215"/>
      <c r="C19" s="216"/>
      <c r="D19" s="217"/>
      <c r="E19" s="225"/>
      <c r="F19" s="235"/>
      <c r="G19" s="232"/>
      <c r="H19" s="233" t="s">
        <v>596</v>
      </c>
      <c r="I19" s="769"/>
      <c r="J19" s="214">
        <f>+'15'!J19</f>
        <v>0</v>
      </c>
      <c r="K19" s="239"/>
      <c r="L19" s="239"/>
      <c r="M19" s="117">
        <f>+K19+'15'!M19+L19</f>
        <v>0</v>
      </c>
    </row>
    <row r="20" spans="1:13" ht="13.5" thickBot="1">
      <c r="A20" s="771"/>
      <c r="B20" s="215"/>
      <c r="C20" s="216"/>
      <c r="D20" s="217"/>
      <c r="E20" s="225"/>
      <c r="F20" s="228"/>
      <c r="G20" s="232"/>
      <c r="H20" s="233" t="s">
        <v>597</v>
      </c>
      <c r="I20" s="769"/>
      <c r="J20" s="214">
        <f>+'15'!J20</f>
        <v>0</v>
      </c>
      <c r="K20" s="240"/>
      <c r="L20" s="240"/>
      <c r="M20" s="117">
        <f>+K20+'15'!M20+L20</f>
        <v>0</v>
      </c>
    </row>
    <row r="21" spans="1:13" ht="13.5" thickBot="1">
      <c r="A21" s="771"/>
      <c r="B21" s="215"/>
      <c r="C21" s="216"/>
      <c r="D21" s="217"/>
      <c r="E21" s="225"/>
      <c r="F21" s="231"/>
      <c r="G21" s="232"/>
      <c r="H21" s="233" t="s">
        <v>583</v>
      </c>
      <c r="I21" s="769"/>
      <c r="J21" s="214">
        <f>+'15'!J21</f>
        <v>0</v>
      </c>
      <c r="K21" s="239"/>
      <c r="L21" s="239"/>
      <c r="M21" s="117">
        <f>+K21+'15'!M21+L21</f>
        <v>0</v>
      </c>
    </row>
    <row r="22" spans="1:13" ht="26.25" thickBot="1">
      <c r="A22" s="771"/>
      <c r="B22" s="215"/>
      <c r="C22" s="216"/>
      <c r="D22" s="217"/>
      <c r="E22" s="225"/>
      <c r="F22" s="236"/>
      <c r="G22" s="232"/>
      <c r="H22" s="233" t="s">
        <v>595</v>
      </c>
      <c r="I22" s="770"/>
      <c r="J22" s="214">
        <f>+'15'!J22</f>
        <v>0</v>
      </c>
      <c r="K22" s="239"/>
      <c r="L22" s="239"/>
      <c r="M22" s="117">
        <f>+K22+'15'!M22+L22</f>
        <v>0</v>
      </c>
    </row>
    <row r="23" spans="1:13" ht="13.5" thickBot="1">
      <c r="A23" s="772"/>
      <c r="B23" s="168" t="s">
        <v>2</v>
      </c>
      <c r="C23" s="100">
        <f>SUM(C16:C22)</f>
        <v>0</v>
      </c>
      <c r="D23" s="111">
        <f>SUM(D16:D22)</f>
        <v>0</v>
      </c>
      <c r="E23" s="112">
        <f>SUM(E18:E22)</f>
        <v>0</v>
      </c>
      <c r="F23" s="116">
        <f>SUM(F15:F22)</f>
        <v>480</v>
      </c>
      <c r="G23" s="159"/>
      <c r="H23" s="166"/>
      <c r="I23" s="169"/>
      <c r="J23" s="214">
        <f>+'15'!J23</f>
        <v>0</v>
      </c>
      <c r="K23" s="239"/>
      <c r="L23" s="239"/>
      <c r="M23" s="117">
        <f>+K23+'15'!M23+L23</f>
        <v>0</v>
      </c>
    </row>
    <row r="24" spans="1:13" ht="13.5" customHeight="1" thickBot="1">
      <c r="A24" s="765"/>
      <c r="B24" s="170"/>
      <c r="C24" s="113" t="e">
        <f>C23/($C$23+$D$23+$E$23)</f>
        <v>#DIV/0!</v>
      </c>
      <c r="D24" s="114" t="e">
        <f>D23/($C$23+$D$23+$E$23)</f>
        <v>#DIV/0!</v>
      </c>
      <c r="E24" s="115" t="e">
        <f>E23/($C$23+$D$23+$E$23)</f>
        <v>#DIV/0!</v>
      </c>
      <c r="F24" s="228"/>
      <c r="G24" s="229" t="s">
        <v>12</v>
      </c>
      <c r="H24" s="230" t="s">
        <v>466</v>
      </c>
      <c r="I24" s="768"/>
      <c r="J24" s="214">
        <f>+'15'!J24</f>
        <v>0</v>
      </c>
      <c r="K24" s="239"/>
      <c r="L24" s="239"/>
      <c r="M24" s="117">
        <f>+K24+'15'!M24+L24</f>
        <v>0</v>
      </c>
    </row>
    <row r="25" spans="1:13" ht="13.5" thickBot="1">
      <c r="A25" s="771"/>
      <c r="B25" s="215"/>
      <c r="C25" s="226"/>
      <c r="D25" s="217"/>
      <c r="E25" s="225"/>
      <c r="F25" s="231"/>
      <c r="G25" s="560" t="s">
        <v>12</v>
      </c>
      <c r="H25" s="230" t="s">
        <v>432</v>
      </c>
      <c r="I25" s="769"/>
      <c r="J25" s="214">
        <f>+'15'!J25</f>
        <v>0</v>
      </c>
      <c r="K25" s="239"/>
      <c r="L25" s="239"/>
      <c r="M25" s="117">
        <f>+K25+'15'!M25+L25</f>
        <v>0</v>
      </c>
    </row>
    <row r="26" spans="1:13" ht="13.5" thickBot="1">
      <c r="A26" s="771"/>
      <c r="B26" s="215"/>
      <c r="C26" s="226"/>
      <c r="D26" s="217"/>
      <c r="E26" s="227"/>
      <c r="F26" s="228"/>
      <c r="G26" s="560" t="s">
        <v>12</v>
      </c>
      <c r="H26" s="233" t="s">
        <v>507</v>
      </c>
      <c r="I26" s="769"/>
      <c r="J26" s="214">
        <f>+'15'!J26</f>
        <v>0</v>
      </c>
      <c r="K26" s="239"/>
      <c r="L26" s="239"/>
      <c r="M26" s="117">
        <f>+K26+'15'!M26+L26</f>
        <v>0</v>
      </c>
    </row>
    <row r="27" spans="1:13" ht="13.5" thickBot="1">
      <c r="A27" s="771"/>
      <c r="B27" s="215"/>
      <c r="C27" s="216"/>
      <c r="D27" s="217"/>
      <c r="E27" s="225"/>
      <c r="F27" s="228">
        <v>480</v>
      </c>
      <c r="G27" s="237" t="s">
        <v>20</v>
      </c>
      <c r="H27" s="233" t="s">
        <v>594</v>
      </c>
      <c r="I27" s="769"/>
      <c r="J27" s="214">
        <f>+'15'!J27</f>
        <v>0</v>
      </c>
      <c r="K27" s="239"/>
      <c r="L27" s="239"/>
      <c r="M27" s="117">
        <f>+K27+'15'!M27+L27</f>
        <v>0</v>
      </c>
    </row>
    <row r="28" spans="1:13" ht="13.5" thickBot="1">
      <c r="A28" s="771"/>
      <c r="B28" s="215"/>
      <c r="C28" s="216"/>
      <c r="D28" s="217"/>
      <c r="E28" s="225"/>
      <c r="F28" s="235"/>
      <c r="G28" s="232"/>
      <c r="H28" s="233" t="s">
        <v>596</v>
      </c>
      <c r="I28" s="769"/>
      <c r="J28" s="214">
        <f>+'15'!J28</f>
        <v>0</v>
      </c>
      <c r="K28" s="239"/>
      <c r="L28" s="239"/>
      <c r="M28" s="117">
        <f>+K28+'15'!M28+L28</f>
        <v>0</v>
      </c>
    </row>
    <row r="29" spans="1:13" ht="13.5" thickBot="1">
      <c r="A29" s="771"/>
      <c r="B29" s="215"/>
      <c r="C29" s="216"/>
      <c r="D29" s="217"/>
      <c r="E29" s="225"/>
      <c r="F29" s="228"/>
      <c r="G29" s="232"/>
      <c r="H29" s="233" t="s">
        <v>597</v>
      </c>
      <c r="I29" s="769"/>
      <c r="J29" s="214">
        <f>+'15'!J29</f>
        <v>0</v>
      </c>
      <c r="K29" s="239"/>
      <c r="L29" s="239"/>
      <c r="M29" s="117">
        <f>+K29+'15'!M29+L29</f>
        <v>0</v>
      </c>
    </row>
    <row r="30" spans="1:13" ht="13.5" thickBot="1">
      <c r="A30" s="771"/>
      <c r="B30" s="215"/>
      <c r="C30" s="226"/>
      <c r="D30" s="217"/>
      <c r="E30" s="225"/>
      <c r="F30" s="231"/>
      <c r="G30" s="232"/>
      <c r="H30" s="233" t="s">
        <v>583</v>
      </c>
      <c r="I30" s="769"/>
      <c r="J30" s="214">
        <f>+'15'!J30</f>
        <v>0</v>
      </c>
      <c r="K30" s="239"/>
      <c r="L30" s="239"/>
      <c r="M30" s="117">
        <f>+K30+'15'!M30+L30</f>
        <v>0</v>
      </c>
    </row>
    <row r="31" spans="1:13" ht="26.25" thickBot="1">
      <c r="A31" s="771"/>
      <c r="B31" s="215"/>
      <c r="C31" s="226"/>
      <c r="D31" s="217"/>
      <c r="E31" s="225"/>
      <c r="F31" s="236"/>
      <c r="G31" s="232"/>
      <c r="H31" s="233" t="s">
        <v>595</v>
      </c>
      <c r="I31" s="770"/>
      <c r="J31" s="214">
        <f>+'15'!J31</f>
        <v>0</v>
      </c>
      <c r="K31" s="239"/>
      <c r="L31" s="239"/>
      <c r="M31" s="117">
        <f>+K31+'15'!M31+L31</f>
        <v>0</v>
      </c>
    </row>
    <row r="32" spans="1:13" ht="13.5" thickBot="1">
      <c r="A32" s="772"/>
      <c r="B32" s="165" t="s">
        <v>2</v>
      </c>
      <c r="C32" s="99">
        <f>SUM(C25:C31)</f>
        <v>0</v>
      </c>
      <c r="D32" s="100">
        <f>SUM(D25:D31)</f>
        <v>0</v>
      </c>
      <c r="E32" s="101">
        <f>SUM(E25:E31)</f>
        <v>0</v>
      </c>
      <c r="F32" s="102">
        <f>SUM(F24:F31)</f>
        <v>480</v>
      </c>
      <c r="G32" s="171"/>
      <c r="H32" s="172"/>
      <c r="I32" s="169"/>
      <c r="J32" s="214">
        <f>+'15'!J32</f>
        <v>0</v>
      </c>
      <c r="K32" s="241"/>
      <c r="L32" s="243"/>
      <c r="M32" s="117">
        <f>+K32+'15'!M32+L32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61" t="s">
        <v>57</v>
      </c>
      <c r="B34" s="762"/>
      <c r="C34" s="107">
        <f>C14+C23+C32</f>
        <v>0</v>
      </c>
      <c r="D34" s="107">
        <f>D14+D23+D32</f>
        <v>690</v>
      </c>
      <c r="E34" s="107">
        <f>E14+E23+E32</f>
        <v>0</v>
      </c>
      <c r="F34" s="108">
        <f>F14+F23+F32</f>
        <v>1440</v>
      </c>
      <c r="H34" s="178"/>
      <c r="I34" s="178"/>
      <c r="J34" s="123" t="s">
        <v>28</v>
      </c>
      <c r="K34" s="124">
        <f>SUM(K7:K32)</f>
        <v>0</v>
      </c>
      <c r="L34" s="212">
        <f>SUM(L7:L32)</f>
        <v>0</v>
      </c>
      <c r="M34" s="120">
        <f>SUM(M7:M32)</f>
        <v>413672</v>
      </c>
    </row>
    <row r="35" spans="1:13" ht="13.5" thickBot="1">
      <c r="A35" s="179"/>
      <c r="B35" s="180"/>
      <c r="C35" s="104">
        <f>C34/($C$34+$D$34+$E$34)</f>
        <v>0</v>
      </c>
      <c r="D35" s="104">
        <f>D34/($C$34+$D$34+$E$34)</f>
        <v>1</v>
      </c>
      <c r="E35" s="109">
        <f>E34/($C$34+$D$34+$E$34)</f>
        <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244">
        <f>(12*659+781*10.3)/1440*G42*2.74*1440/1000000</f>
        <v>0</v>
      </c>
      <c r="J37" s="125" t="e">
        <f>+I37+'15'!J37</f>
        <v>#DIV/0!</v>
      </c>
      <c r="K37" s="126" t="s">
        <v>63</v>
      </c>
    </row>
    <row r="38" spans="1:13" ht="17.45" customHeight="1">
      <c r="A38" s="755" t="s">
        <v>12</v>
      </c>
      <c r="B38" s="756"/>
      <c r="C38" s="164">
        <f>SUMIF($G$7:$G$31,"Process",$F$7:$F$31)</f>
        <v>0</v>
      </c>
      <c r="D38" s="118">
        <f>+C38+'15'!D38</f>
        <v>860</v>
      </c>
      <c r="E38" s="143">
        <f t="shared" ref="E38:E51" si="0">D38/60</f>
        <v>14.333333333333334</v>
      </c>
      <c r="F38" s="322"/>
      <c r="G38" s="322"/>
      <c r="H38" s="187" t="s">
        <v>64</v>
      </c>
      <c r="I38" s="245"/>
      <c r="J38" s="127">
        <f>+I38+'15'!J38</f>
        <v>440.91260000000005</v>
      </c>
      <c r="K38" s="128" t="s">
        <v>63</v>
      </c>
    </row>
    <row r="39" spans="1:13" ht="17.45" customHeight="1">
      <c r="A39" s="759" t="s">
        <v>13</v>
      </c>
      <c r="B39" s="760"/>
      <c r="C39" s="164">
        <f>SUMIF($G$7:$G$31,"Cleaning",$F$7:$F$31)</f>
        <v>0</v>
      </c>
      <c r="D39" s="118">
        <f>+C39+'15'!D39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+C40+'15'!D40</f>
        <v>0</v>
      </c>
      <c r="E40" s="143">
        <f t="shared" si="0"/>
        <v>0</v>
      </c>
      <c r="F40" s="322"/>
      <c r="G40" s="322"/>
      <c r="H40" s="187" t="s">
        <v>67</v>
      </c>
      <c r="I40" s="118">
        <f>(K34+L34)/1000</f>
        <v>0</v>
      </c>
      <c r="J40" s="131">
        <f>+I40+'15'!J40</f>
        <v>413.67199999999991</v>
      </c>
      <c r="K40" s="130" t="s">
        <v>63</v>
      </c>
    </row>
    <row r="41" spans="1:13" ht="17.45" customHeight="1">
      <c r="A41" s="759" t="s">
        <v>68</v>
      </c>
      <c r="B41" s="760"/>
      <c r="C41" s="164">
        <f>SUMIF($G$7:$G$31,"Electrical",$F$7:$F$31)</f>
        <v>0</v>
      </c>
      <c r="D41" s="118">
        <f>+C41+'15'!D41</f>
        <v>550</v>
      </c>
      <c r="E41" s="143">
        <f t="shared" si="0"/>
        <v>9.1666666666666661</v>
      </c>
      <c r="F41" s="322"/>
      <c r="G41" s="322"/>
      <c r="H41" s="187" t="s">
        <v>69</v>
      </c>
      <c r="I41" s="142"/>
      <c r="J41" s="129">
        <f>J40/G4</f>
        <v>25.854499999999994</v>
      </c>
      <c r="K41" s="130" t="s">
        <v>63</v>
      </c>
    </row>
    <row r="42" spans="1:13" ht="17.45" customHeight="1">
      <c r="A42" s="759" t="s">
        <v>16</v>
      </c>
      <c r="B42" s="760"/>
      <c r="C42" s="164">
        <f>SUMIF($G$7:$G$31,"Instrument",$F$7:$F$31)</f>
        <v>0</v>
      </c>
      <c r="D42" s="118">
        <f>+C42+'15'!D42</f>
        <v>0</v>
      </c>
      <c r="E42" s="143">
        <f t="shared" si="0"/>
        <v>0</v>
      </c>
      <c r="F42" s="322">
        <f>+(F38*480+F40*480+F39*480)/1440</f>
        <v>0</v>
      </c>
      <c r="G42" s="322">
        <f>+(G38*480+G40*480+G39*480)/1440</f>
        <v>0</v>
      </c>
      <c r="H42" s="187" t="s">
        <v>70</v>
      </c>
      <c r="I42" s="246"/>
      <c r="J42" s="132"/>
      <c r="K42" s="130" t="s">
        <v>71</v>
      </c>
    </row>
    <row r="43" spans="1:13" ht="17.45" customHeight="1">
      <c r="A43" s="759" t="s">
        <v>223</v>
      </c>
      <c r="B43" s="760"/>
      <c r="C43" s="164">
        <f>SUMIF($G$7:$G$31,"Change Grade",$F$7:$F$31)</f>
        <v>0</v>
      </c>
      <c r="D43" s="118">
        <f>+C43+'15'!D43</f>
        <v>0</v>
      </c>
      <c r="E43" s="143">
        <f t="shared" si="0"/>
        <v>0</v>
      </c>
      <c r="F43" s="322"/>
      <c r="G43" s="323"/>
      <c r="H43" s="188" t="s">
        <v>73</v>
      </c>
      <c r="I43" s="118">
        <f>+Report1!Z24</f>
        <v>15.3</v>
      </c>
      <c r="J43" s="133">
        <f>+I43+'15'!J43</f>
        <v>693.1</v>
      </c>
      <c r="K43" s="130" t="s">
        <v>63</v>
      </c>
      <c r="L43" s="189"/>
    </row>
    <row r="44" spans="1:13" ht="17.45" customHeight="1">
      <c r="A44" s="759" t="s">
        <v>17</v>
      </c>
      <c r="B44" s="760"/>
      <c r="C44" s="164">
        <f>SUMIF($G$7:$G$31,"PLN",$F$7:$F$31)</f>
        <v>0</v>
      </c>
      <c r="D44" s="118">
        <f>+C44+'15'!D44</f>
        <v>0</v>
      </c>
      <c r="E44" s="143">
        <f t="shared" si="0"/>
        <v>0</v>
      </c>
      <c r="F44" s="322"/>
      <c r="G44" s="323"/>
      <c r="H44" s="188" t="s">
        <v>74</v>
      </c>
      <c r="I44" s="118" t="e">
        <f>I43/I38</f>
        <v>#DIV/0!</v>
      </c>
      <c r="J44" s="134">
        <f>J43/J38</f>
        <v>1.5719668705317107</v>
      </c>
      <c r="K44" s="130" t="s">
        <v>63</v>
      </c>
    </row>
    <row r="45" spans="1:13" ht="17.45" customHeight="1">
      <c r="A45" s="759" t="s">
        <v>18</v>
      </c>
      <c r="B45" s="760"/>
      <c r="C45" s="164">
        <f>SUMIF($G$7:$G$31,"Boiler",$F$7:$F$31)</f>
        <v>0</v>
      </c>
      <c r="D45" s="118">
        <f>+C45+'15'!D45</f>
        <v>0</v>
      </c>
      <c r="E45" s="143">
        <f t="shared" si="0"/>
        <v>0</v>
      </c>
      <c r="F45" s="322"/>
      <c r="G45" s="325"/>
      <c r="H45" s="188" t="s">
        <v>75</v>
      </c>
      <c r="I45" s="118" t="e">
        <f>I43/I40</f>
        <v>#DIV/0!</v>
      </c>
      <c r="J45" s="134">
        <f>J43/J40</f>
        <v>1.67548202440581</v>
      </c>
      <c r="K45" s="130" t="s">
        <v>63</v>
      </c>
    </row>
    <row r="46" spans="1:13" ht="17.45" customHeight="1">
      <c r="A46" s="759" t="s">
        <v>76</v>
      </c>
      <c r="B46" s="760"/>
      <c r="C46" s="164">
        <f>SUMIF($G$7:$G$31,"Gas",$F$7:$F$31)</f>
        <v>0</v>
      </c>
      <c r="D46" s="118">
        <f>+C46+'15'!D46</f>
        <v>0</v>
      </c>
      <c r="E46" s="143">
        <f t="shared" si="0"/>
        <v>0</v>
      </c>
      <c r="F46" s="322"/>
      <c r="G46" s="323"/>
      <c r="H46" s="188" t="s">
        <v>77</v>
      </c>
      <c r="I46" s="140">
        <f>+SUMIF(Listrik!P23,"&gt;0")</f>
        <v>8464.4200000003639</v>
      </c>
      <c r="J46" s="135">
        <f>+I46+'15'!J46</f>
        <v>431742.66000000079</v>
      </c>
      <c r="K46" s="130" t="s">
        <v>78</v>
      </c>
    </row>
    <row r="47" spans="1:13" ht="17.45" customHeight="1">
      <c r="A47" s="759" t="s">
        <v>79</v>
      </c>
      <c r="B47" s="760"/>
      <c r="C47" s="164">
        <f>SUMIF($G$7:$G$31,"Gas",$F$7:$F$31)</f>
        <v>0</v>
      </c>
      <c r="D47" s="118">
        <f>+C47+'15'!D47</f>
        <v>0</v>
      </c>
      <c r="E47" s="143">
        <f t="shared" si="0"/>
        <v>0</v>
      </c>
      <c r="F47" s="322"/>
      <c r="G47" s="323"/>
      <c r="H47" s="188" t="s">
        <v>80</v>
      </c>
      <c r="I47" s="118" t="e">
        <f>I46/I38</f>
        <v>#DIV/0!</v>
      </c>
      <c r="J47" s="135">
        <f>J46/J38</f>
        <v>979.2023634616038</v>
      </c>
      <c r="K47" s="130" t="s">
        <v>24</v>
      </c>
    </row>
    <row r="48" spans="1:13" ht="17.45" customHeight="1">
      <c r="A48" s="759" t="s">
        <v>14</v>
      </c>
      <c r="B48" s="760"/>
      <c r="C48" s="164">
        <f>SUMIF($G$7:$G$31,"Start Up",$F$7:$F$31)</f>
        <v>0</v>
      </c>
      <c r="D48" s="118">
        <f>+C48+'15'!D48</f>
        <v>0</v>
      </c>
      <c r="E48" s="143">
        <f t="shared" si="0"/>
        <v>0</v>
      </c>
      <c r="F48" s="322"/>
      <c r="G48" s="323"/>
      <c r="H48" s="188" t="s">
        <v>81</v>
      </c>
      <c r="I48" s="118" t="e">
        <f>I46/I40</f>
        <v>#DIV/0!</v>
      </c>
      <c r="J48" s="135">
        <f>J46/J40</f>
        <v>1043.6835463845773</v>
      </c>
      <c r="K48" s="130" t="s">
        <v>24</v>
      </c>
    </row>
    <row r="49" spans="1:11" ht="17.45" customHeight="1">
      <c r="A49" s="759" t="s">
        <v>20</v>
      </c>
      <c r="B49" s="760"/>
      <c r="C49" s="164">
        <f>SUMIF($G$7:$G$31,"Others",$F$7:$F$31)</f>
        <v>1440</v>
      </c>
      <c r="D49" s="118">
        <f>+C49+'15'!D49</f>
        <v>5310</v>
      </c>
      <c r="E49" s="143">
        <f t="shared" si="0"/>
        <v>88.5</v>
      </c>
      <c r="F49" s="185"/>
      <c r="H49" s="188" t="s">
        <v>272</v>
      </c>
      <c r="I49" s="118">
        <f>+Report1!T24</f>
        <v>0</v>
      </c>
      <c r="J49" s="135">
        <f>+I49+'15'!J49</f>
        <v>41069.474159648547</v>
      </c>
      <c r="K49" s="130" t="s">
        <v>82</v>
      </c>
    </row>
    <row r="50" spans="1:11" ht="17.45" customHeight="1">
      <c r="A50" s="759" t="s">
        <v>19</v>
      </c>
      <c r="B50" s="760"/>
      <c r="C50" s="164">
        <f>SUMIF($G$7:$G$31,"Steam",$F$7:$F$31)</f>
        <v>0</v>
      </c>
      <c r="D50" s="118">
        <f>+C50+'15'!D50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+C51+'15'!D51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8275</v>
      </c>
      <c r="E52" s="145">
        <f>SUM(E38:E51)</f>
        <v>137.91666666666666</v>
      </c>
      <c r="F52" s="185"/>
      <c r="H52" s="191"/>
      <c r="I52" s="192"/>
      <c r="J52" s="138"/>
      <c r="K52" s="139"/>
    </row>
    <row r="53" spans="1:11" ht="13.5" thickBot="1">
      <c r="A53" s="757"/>
      <c r="B53" s="758"/>
      <c r="C53" s="146">
        <f>C52/(24*60)</f>
        <v>1</v>
      </c>
      <c r="D53" s="146">
        <f>D52/(24*60*G4)</f>
        <v>0.3591579861111111</v>
      </c>
      <c r="E53" s="147">
        <f>E52/(G4*24)</f>
        <v>0.3591579861111111</v>
      </c>
      <c r="F53" s="185"/>
    </row>
    <row r="54" spans="1:11">
      <c r="E54" s="193"/>
      <c r="F54" s="185"/>
    </row>
    <row r="55" spans="1:11">
      <c r="E55" s="193"/>
    </row>
    <row r="56" spans="1:11">
      <c r="A56" s="194" t="s">
        <v>86</v>
      </c>
      <c r="B56" s="195"/>
      <c r="C56" s="196"/>
      <c r="D56" s="196"/>
      <c r="E56" s="196"/>
      <c r="F56" s="197"/>
      <c r="G56" s="196"/>
      <c r="H56" s="198"/>
      <c r="I56" s="199" t="s">
        <v>87</v>
      </c>
      <c r="J56" s="200">
        <f>+D34+'15'!J56</f>
        <v>9472</v>
      </c>
      <c r="K56" s="201">
        <f>J56/(J40+J56/1000)/1000</f>
        <v>2.2384814625753886E-2</v>
      </c>
    </row>
    <row r="57" spans="1:11">
      <c r="A57" s="176"/>
      <c r="I57" s="199" t="s">
        <v>88</v>
      </c>
      <c r="J57" s="200">
        <f>+E34+'15'!J57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I7:I13"/>
    <mergeCell ref="A15:A23"/>
    <mergeCell ref="I15:I22"/>
    <mergeCell ref="A46:B46"/>
    <mergeCell ref="A47:B47"/>
    <mergeCell ref="A44:B44"/>
    <mergeCell ref="A45:B45"/>
    <mergeCell ref="A7:A14"/>
    <mergeCell ref="A40:B40"/>
    <mergeCell ref="I24:I31"/>
    <mergeCell ref="A43:B43"/>
    <mergeCell ref="A24:A32"/>
    <mergeCell ref="A34:B34"/>
    <mergeCell ref="A37:B37"/>
    <mergeCell ref="A38:B38"/>
    <mergeCell ref="A41:B41"/>
    <mergeCell ref="A42:B42"/>
    <mergeCell ref="A39:B39"/>
    <mergeCell ref="A53:B53"/>
    <mergeCell ref="A48:B48"/>
    <mergeCell ref="A49:B49"/>
    <mergeCell ref="A50:B50"/>
    <mergeCell ref="A51:B51"/>
    <mergeCell ref="A52:B52"/>
  </mergeCells>
  <phoneticPr fontId="32" type="noConversion"/>
  <printOptions horizontalCentered="1"/>
  <pageMargins left="0.39027777777777778" right="0.39027777777777778" top="0.39027777777777778" bottom="0.39027777777777778" header="0" footer="0"/>
  <pageSetup paperSize="9" scale="62" firstPageNumber="4294963191" orientation="landscape"/>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view="pageBreakPreview" topLeftCell="A11" zoomScale="80" zoomScaleNormal="75" zoomScaleSheetLayoutView="80" workbookViewId="0">
      <selection activeCell="G24" sqref="G24:H27"/>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3" ht="15.75">
      <c r="A1" s="148"/>
    </row>
    <row r="2" spans="1:13" ht="15.75">
      <c r="A2" s="148" t="s">
        <v>185</v>
      </c>
    </row>
    <row r="3" spans="1:13" ht="15">
      <c r="A3" s="150"/>
    </row>
    <row r="4" spans="1:13" ht="20.25">
      <c r="A4" s="151" t="s">
        <v>3</v>
      </c>
      <c r="B4" s="152"/>
      <c r="F4" s="153" t="s">
        <v>29</v>
      </c>
      <c r="G4" s="154">
        <v>15</v>
      </c>
      <c r="H4" s="154" t="str">
        <f>+'1'!H4</f>
        <v>.9.25</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c r="E7" s="218"/>
      <c r="F7" s="228"/>
      <c r="G7" s="229" t="s">
        <v>12</v>
      </c>
      <c r="H7" s="230" t="s">
        <v>466</v>
      </c>
      <c r="I7" s="768" t="s">
        <v>424</v>
      </c>
      <c r="J7" s="214" t="str">
        <f>+'14'!J7</f>
        <v>F 12 VP OW</v>
      </c>
      <c r="K7" s="238"/>
      <c r="L7" s="242"/>
      <c r="M7" s="117">
        <f>+K7+'14'!M7+L7</f>
        <v>172842</v>
      </c>
    </row>
    <row r="8" spans="1:13" ht="13.5" thickBot="1">
      <c r="A8" s="766"/>
      <c r="B8" s="215"/>
      <c r="C8" s="216"/>
      <c r="D8" s="217"/>
      <c r="E8" s="219"/>
      <c r="F8" s="231"/>
      <c r="G8" s="560" t="s">
        <v>12</v>
      </c>
      <c r="H8" s="230" t="s">
        <v>432</v>
      </c>
      <c r="I8" s="769"/>
      <c r="J8" s="214" t="str">
        <f>+'14'!J8</f>
        <v>F 13 VP OW</v>
      </c>
      <c r="K8" s="239"/>
      <c r="L8" s="239"/>
      <c r="M8" s="117">
        <f>+K8+'14'!M8+L8</f>
        <v>66206</v>
      </c>
    </row>
    <row r="9" spans="1:13" ht="13.5" thickBot="1">
      <c r="A9" s="766"/>
      <c r="B9" s="215"/>
      <c r="C9" s="216"/>
      <c r="D9" s="217"/>
      <c r="E9" s="220"/>
      <c r="F9" s="228"/>
      <c r="G9" s="560" t="s">
        <v>12</v>
      </c>
      <c r="H9" s="233" t="s">
        <v>507</v>
      </c>
      <c r="I9" s="769"/>
      <c r="J9" s="214" t="str">
        <f>+'14'!J9</f>
        <v>F 14 VP OW</v>
      </c>
      <c r="K9" s="239"/>
      <c r="L9" s="239"/>
      <c r="M9" s="117">
        <f>+K9+'14'!M9+L9</f>
        <v>100560</v>
      </c>
    </row>
    <row r="10" spans="1:13" ht="13.5" thickBot="1">
      <c r="A10" s="766"/>
      <c r="B10" s="215"/>
      <c r="C10" s="216"/>
      <c r="D10" s="217"/>
      <c r="E10" s="219"/>
      <c r="F10" s="228">
        <v>480</v>
      </c>
      <c r="G10" s="237" t="s">
        <v>20</v>
      </c>
      <c r="H10" s="233" t="s">
        <v>575</v>
      </c>
      <c r="I10" s="769"/>
      <c r="J10" s="214" t="str">
        <f>+'14'!J10</f>
        <v>T 12,5 VP OW</v>
      </c>
      <c r="K10" s="239"/>
      <c r="L10" s="239"/>
      <c r="M10" s="117">
        <f>+K10+'14'!M10+L10</f>
        <v>19885</v>
      </c>
    </row>
    <row r="11" spans="1:13" ht="26.25" thickBot="1">
      <c r="A11" s="766"/>
      <c r="B11" s="215"/>
      <c r="C11" s="216"/>
      <c r="D11" s="217"/>
      <c r="E11" s="219"/>
      <c r="F11" s="228"/>
      <c r="G11" s="232"/>
      <c r="H11" s="233" t="s">
        <v>572</v>
      </c>
      <c r="I11" s="769"/>
      <c r="J11" s="214" t="str">
        <f>+'14'!J11</f>
        <v>F 12,5 VP OW</v>
      </c>
      <c r="K11" s="239"/>
      <c r="L11" s="239"/>
      <c r="M11" s="117">
        <f>+K11+'14'!M11+L11</f>
        <v>42554</v>
      </c>
    </row>
    <row r="12" spans="1:13" ht="13.5" thickBot="1">
      <c r="A12" s="766"/>
      <c r="B12" s="215"/>
      <c r="C12" s="216"/>
      <c r="D12" s="217"/>
      <c r="E12" s="219"/>
      <c r="F12" s="228"/>
      <c r="G12" s="232"/>
      <c r="H12" s="233" t="s">
        <v>573</v>
      </c>
      <c r="I12" s="769"/>
      <c r="J12" s="214" t="str">
        <f>+'14'!J12</f>
        <v>F 13,5 VP OW</v>
      </c>
      <c r="K12" s="239"/>
      <c r="L12" s="239"/>
      <c r="M12" s="117">
        <f>+K12+'14'!M12+L12</f>
        <v>11625</v>
      </c>
    </row>
    <row r="13" spans="1:13" ht="13.5" thickBot="1">
      <c r="A13" s="766"/>
      <c r="B13" s="215"/>
      <c r="C13" s="216"/>
      <c r="D13" s="216"/>
      <c r="E13" s="219"/>
      <c r="F13" s="228"/>
      <c r="G13" s="232"/>
      <c r="H13" s="233" t="s">
        <v>574</v>
      </c>
      <c r="I13" s="770"/>
      <c r="J13" s="214">
        <f>+'14'!J13</f>
        <v>0</v>
      </c>
      <c r="K13" s="239"/>
      <c r="L13" s="239"/>
      <c r="M13" s="117">
        <f>+K13+'14'!M13+L13</f>
        <v>0</v>
      </c>
    </row>
    <row r="14" spans="1:13" ht="13.5" thickBot="1">
      <c r="A14" s="767"/>
      <c r="B14" s="165" t="s">
        <v>2</v>
      </c>
      <c r="C14" s="99">
        <f>SUM(C7:C13)</f>
        <v>0</v>
      </c>
      <c r="D14" s="111">
        <f>SUM(D7:D13)</f>
        <v>0</v>
      </c>
      <c r="E14" s="112">
        <f>SUM(E5:E13)</f>
        <v>0</v>
      </c>
      <c r="F14" s="116">
        <f>SUM(F7:F13)</f>
        <v>480</v>
      </c>
      <c r="G14" s="159"/>
      <c r="H14" s="166"/>
      <c r="I14" s="167"/>
      <c r="J14" s="214">
        <f>+'14'!J14</f>
        <v>0</v>
      </c>
      <c r="K14" s="239"/>
      <c r="L14" s="239"/>
      <c r="M14" s="117">
        <f>+K14+'14'!M14+L14</f>
        <v>0</v>
      </c>
    </row>
    <row r="15" spans="1:13" ht="13.5" customHeight="1" thickBot="1">
      <c r="A15" s="765"/>
      <c r="B15" s="165"/>
      <c r="C15" s="113" t="e">
        <f>C14/($C$23+$D$23+$E$23)</f>
        <v>#DIV/0!</v>
      </c>
      <c r="D15" s="114" t="e">
        <f>D14/($C$23+$D$23+$E$23)</f>
        <v>#DIV/0!</v>
      </c>
      <c r="E15" s="115" t="e">
        <f>E14/($C$23+$D$23+$E$23)</f>
        <v>#DIV/0!</v>
      </c>
      <c r="F15" s="228"/>
      <c r="G15" s="229" t="s">
        <v>12</v>
      </c>
      <c r="H15" s="230" t="s">
        <v>466</v>
      </c>
      <c r="I15" s="768" t="s">
        <v>424</v>
      </c>
      <c r="J15" s="214">
        <f>+'14'!J15</f>
        <v>0</v>
      </c>
      <c r="K15" s="239"/>
      <c r="L15" s="239"/>
      <c r="M15" s="117">
        <f>+K15+'14'!M15+L15</f>
        <v>0</v>
      </c>
    </row>
    <row r="16" spans="1:13" ht="13.5" thickBot="1">
      <c r="A16" s="771"/>
      <c r="B16" s="215"/>
      <c r="C16" s="222"/>
      <c r="D16" s="223"/>
      <c r="E16" s="224"/>
      <c r="F16" s="231"/>
      <c r="G16" s="560" t="s">
        <v>12</v>
      </c>
      <c r="H16" s="230" t="s">
        <v>432</v>
      </c>
      <c r="I16" s="769"/>
      <c r="J16" s="214">
        <f>+'14'!J16</f>
        <v>0</v>
      </c>
      <c r="K16" s="229"/>
      <c r="L16" s="229"/>
      <c r="M16" s="117">
        <f>+K16+'14'!M16+L16</f>
        <v>0</v>
      </c>
    </row>
    <row r="17" spans="1:13" ht="13.5" thickBot="1">
      <c r="A17" s="771"/>
      <c r="B17" s="215"/>
      <c r="C17" s="216"/>
      <c r="D17" s="217"/>
      <c r="E17" s="225"/>
      <c r="F17" s="228"/>
      <c r="G17" s="560" t="s">
        <v>12</v>
      </c>
      <c r="H17" s="233" t="s">
        <v>507</v>
      </c>
      <c r="I17" s="769"/>
      <c r="J17" s="214">
        <f>+'14'!J17</f>
        <v>0</v>
      </c>
      <c r="K17" s="229"/>
      <c r="L17" s="229"/>
      <c r="M17" s="117">
        <f>+K17+'14'!M17+L17</f>
        <v>0</v>
      </c>
    </row>
    <row r="18" spans="1:13" ht="13.5" thickBot="1">
      <c r="A18" s="771"/>
      <c r="B18" s="215"/>
      <c r="C18" s="216"/>
      <c r="D18" s="217"/>
      <c r="E18" s="225"/>
      <c r="F18" s="228">
        <v>480</v>
      </c>
      <c r="G18" s="237" t="s">
        <v>20</v>
      </c>
      <c r="H18" s="233" t="s">
        <v>577</v>
      </c>
      <c r="I18" s="769"/>
      <c r="J18" s="214">
        <f>+'14'!J18</f>
        <v>0</v>
      </c>
      <c r="K18" s="239"/>
      <c r="L18" s="239"/>
      <c r="M18" s="117">
        <f>+K18+'14'!M18+L18</f>
        <v>0</v>
      </c>
    </row>
    <row r="19" spans="1:13" ht="13.5" thickBot="1">
      <c r="A19" s="771"/>
      <c r="B19" s="215"/>
      <c r="C19" s="216"/>
      <c r="D19" s="217"/>
      <c r="E19" s="225"/>
      <c r="F19" s="235"/>
      <c r="G19" s="232"/>
      <c r="H19" s="233" t="s">
        <v>576</v>
      </c>
      <c r="I19" s="769"/>
      <c r="J19" s="214">
        <f>+'14'!J19</f>
        <v>0</v>
      </c>
      <c r="K19" s="239"/>
      <c r="L19" s="239"/>
      <c r="M19" s="117">
        <f>+K19+'14'!M19+L19</f>
        <v>0</v>
      </c>
    </row>
    <row r="20" spans="1:13" ht="13.5" thickBot="1">
      <c r="A20" s="771"/>
      <c r="B20" s="215"/>
      <c r="C20" s="216"/>
      <c r="D20" s="217"/>
      <c r="E20" s="225"/>
      <c r="F20" s="228"/>
      <c r="G20" s="232"/>
      <c r="H20" s="233" t="s">
        <v>578</v>
      </c>
      <c r="I20" s="769"/>
      <c r="J20" s="214">
        <f>+'14'!J20</f>
        <v>0</v>
      </c>
      <c r="K20" s="240"/>
      <c r="L20" s="240"/>
      <c r="M20" s="117">
        <f>+K20+'14'!M20+L20</f>
        <v>0</v>
      </c>
    </row>
    <row r="21" spans="1:13" ht="13.5" thickBot="1">
      <c r="A21" s="771"/>
      <c r="B21" s="215"/>
      <c r="C21" s="216"/>
      <c r="D21" s="217"/>
      <c r="E21" s="225"/>
      <c r="F21" s="231"/>
      <c r="G21" s="232"/>
      <c r="H21" s="233" t="s">
        <v>579</v>
      </c>
      <c r="I21" s="769"/>
      <c r="J21" s="214">
        <f>+'14'!J21</f>
        <v>0</v>
      </c>
      <c r="K21" s="239"/>
      <c r="L21" s="239"/>
      <c r="M21" s="117">
        <f>+K21+'14'!M21+L21</f>
        <v>0</v>
      </c>
    </row>
    <row r="22" spans="1:13" ht="13.5" thickBot="1">
      <c r="A22" s="771"/>
      <c r="B22" s="215"/>
      <c r="C22" s="216"/>
      <c r="D22" s="217"/>
      <c r="E22" s="225"/>
      <c r="F22" s="236"/>
      <c r="G22" s="232"/>
      <c r="H22" s="233" t="s">
        <v>580</v>
      </c>
      <c r="I22" s="770"/>
      <c r="J22" s="214">
        <f>+'14'!J22</f>
        <v>0</v>
      </c>
      <c r="K22" s="239"/>
      <c r="L22" s="239"/>
      <c r="M22" s="117">
        <f>+K22+'14'!M22+L22</f>
        <v>0</v>
      </c>
    </row>
    <row r="23" spans="1:13" ht="13.5" thickBot="1">
      <c r="A23" s="772"/>
      <c r="B23" s="168" t="s">
        <v>2</v>
      </c>
      <c r="C23" s="100">
        <f>SUM(C16:C22)</f>
        <v>0</v>
      </c>
      <c r="D23" s="111">
        <f>SUM(D16:D22)</f>
        <v>0</v>
      </c>
      <c r="E23" s="112">
        <f>SUM(E18:E22)</f>
        <v>0</v>
      </c>
      <c r="F23" s="116">
        <f>SUM(F15:F22)</f>
        <v>480</v>
      </c>
      <c r="G23" s="159"/>
      <c r="H23" s="166"/>
      <c r="I23" s="169"/>
      <c r="J23" s="214">
        <f>+'14'!J23</f>
        <v>0</v>
      </c>
      <c r="K23" s="239"/>
      <c r="L23" s="239"/>
      <c r="M23" s="117">
        <f>+K23+'14'!M23+L23</f>
        <v>0</v>
      </c>
    </row>
    <row r="24" spans="1:13" ht="13.5" customHeight="1" thickBot="1">
      <c r="A24" s="765"/>
      <c r="B24" s="170"/>
      <c r="C24" s="113" t="e">
        <f>C23/($C$23+$D$23+$E$23)</f>
        <v>#DIV/0!</v>
      </c>
      <c r="D24" s="114" t="e">
        <f>D23/($C$23+$D$23+$E$23)</f>
        <v>#DIV/0!</v>
      </c>
      <c r="E24" s="115" t="e">
        <f>E23/($C$23+$D$23+$E$23)</f>
        <v>#DIV/0!</v>
      </c>
      <c r="F24" s="228"/>
      <c r="G24" s="229" t="s">
        <v>12</v>
      </c>
      <c r="H24" s="230" t="s">
        <v>466</v>
      </c>
      <c r="I24" s="768" t="s">
        <v>424</v>
      </c>
      <c r="J24" s="214">
        <f>+'14'!J24</f>
        <v>0</v>
      </c>
      <c r="K24" s="239"/>
      <c r="L24" s="239"/>
      <c r="M24" s="117">
        <f>+K24+'14'!M24+L24</f>
        <v>0</v>
      </c>
    </row>
    <row r="25" spans="1:13" ht="13.5" thickBot="1">
      <c r="A25" s="771"/>
      <c r="B25" s="215"/>
      <c r="C25" s="226"/>
      <c r="D25" s="217"/>
      <c r="E25" s="225"/>
      <c r="F25" s="231"/>
      <c r="G25" s="560" t="s">
        <v>12</v>
      </c>
      <c r="H25" s="230" t="s">
        <v>432</v>
      </c>
      <c r="I25" s="769"/>
      <c r="J25" s="214">
        <f>+'14'!J25</f>
        <v>0</v>
      </c>
      <c r="K25" s="239"/>
      <c r="L25" s="239"/>
      <c r="M25" s="117">
        <f>+K25+'14'!M25+L25</f>
        <v>0</v>
      </c>
    </row>
    <row r="26" spans="1:13" ht="13.5" thickBot="1">
      <c r="A26" s="771"/>
      <c r="B26" s="215"/>
      <c r="C26" s="226"/>
      <c r="D26" s="217"/>
      <c r="E26" s="227"/>
      <c r="F26" s="228"/>
      <c r="G26" s="560" t="s">
        <v>12</v>
      </c>
      <c r="H26" s="233" t="s">
        <v>507</v>
      </c>
      <c r="I26" s="769"/>
      <c r="J26" s="214">
        <f>+'14'!J26</f>
        <v>0</v>
      </c>
      <c r="K26" s="239"/>
      <c r="L26" s="239"/>
      <c r="M26" s="117">
        <f>+K26+'14'!M26+L26</f>
        <v>0</v>
      </c>
    </row>
    <row r="27" spans="1:13" ht="13.5" thickBot="1">
      <c r="A27" s="771"/>
      <c r="B27" s="215"/>
      <c r="C27" s="216"/>
      <c r="D27" s="217"/>
      <c r="E27" s="225"/>
      <c r="F27" s="228">
        <v>480</v>
      </c>
      <c r="G27" s="237" t="s">
        <v>20</v>
      </c>
      <c r="H27" s="233" t="s">
        <v>581</v>
      </c>
      <c r="I27" s="769"/>
      <c r="J27" s="214">
        <f>+'14'!J27</f>
        <v>0</v>
      </c>
      <c r="K27" s="239"/>
      <c r="L27" s="239"/>
      <c r="M27" s="117">
        <f>+K27+'14'!M27+L27</f>
        <v>0</v>
      </c>
    </row>
    <row r="28" spans="1:13" ht="13.5" thickBot="1">
      <c r="A28" s="771"/>
      <c r="B28" s="215"/>
      <c r="C28" s="216"/>
      <c r="D28" s="217"/>
      <c r="E28" s="225"/>
      <c r="F28" s="231"/>
      <c r="G28" s="232"/>
      <c r="H28" s="233" t="s">
        <v>583</v>
      </c>
      <c r="I28" s="769"/>
      <c r="J28" s="214">
        <f>+'14'!J28</f>
        <v>0</v>
      </c>
      <c r="K28" s="239"/>
      <c r="L28" s="239"/>
      <c r="M28" s="117">
        <f>+K28+'14'!M28+L28</f>
        <v>0</v>
      </c>
    </row>
    <row r="29" spans="1:13" ht="13.5" thickBot="1">
      <c r="A29" s="771"/>
      <c r="B29" s="215"/>
      <c r="C29" s="216"/>
      <c r="D29" s="217"/>
      <c r="E29" s="225"/>
      <c r="F29" s="236"/>
      <c r="G29" s="232"/>
      <c r="H29" s="233" t="s">
        <v>584</v>
      </c>
      <c r="I29" s="769"/>
      <c r="J29" s="214">
        <f>+'14'!J29</f>
        <v>0</v>
      </c>
      <c r="K29" s="239"/>
      <c r="L29" s="239"/>
      <c r="M29" s="117">
        <f>+K29+'14'!M29+L29</f>
        <v>0</v>
      </c>
    </row>
    <row r="30" spans="1:13" ht="13.5" thickBot="1">
      <c r="A30" s="771"/>
      <c r="B30" s="215"/>
      <c r="C30" s="226"/>
      <c r="D30" s="217"/>
      <c r="E30" s="225"/>
      <c r="F30" s="236"/>
      <c r="G30" s="232"/>
      <c r="H30" s="233" t="s">
        <v>585</v>
      </c>
      <c r="I30" s="769"/>
      <c r="J30" s="214">
        <f>+'14'!J30</f>
        <v>0</v>
      </c>
      <c r="K30" s="239"/>
      <c r="L30" s="239"/>
      <c r="M30" s="117">
        <f>+K30+'14'!M30+L30</f>
        <v>0</v>
      </c>
    </row>
    <row r="31" spans="1:13" ht="26.25" thickBot="1">
      <c r="A31" s="771"/>
      <c r="B31" s="215"/>
      <c r="C31" s="226"/>
      <c r="D31" s="217"/>
      <c r="E31" s="225"/>
      <c r="F31" s="236"/>
      <c r="G31" s="237"/>
      <c r="H31" s="445" t="s">
        <v>582</v>
      </c>
      <c r="I31" s="770"/>
      <c r="J31" s="214">
        <f>+'14'!J31</f>
        <v>0</v>
      </c>
      <c r="K31" s="239"/>
      <c r="L31" s="239"/>
      <c r="M31" s="117">
        <f>+K31+'14'!M31+L31</f>
        <v>0</v>
      </c>
    </row>
    <row r="32" spans="1:13" ht="13.5" thickBot="1">
      <c r="A32" s="772"/>
      <c r="B32" s="165" t="s">
        <v>2</v>
      </c>
      <c r="C32" s="99">
        <f>SUM(C25:C31)</f>
        <v>0</v>
      </c>
      <c r="D32" s="100">
        <f>SUM(D25:D31)</f>
        <v>0</v>
      </c>
      <c r="E32" s="101">
        <f>SUM(E25:E31)</f>
        <v>0</v>
      </c>
      <c r="F32" s="102">
        <f>SUM(F24:F31)</f>
        <v>480</v>
      </c>
      <c r="G32" s="171"/>
      <c r="H32" s="172"/>
      <c r="I32" s="169"/>
      <c r="J32" s="214">
        <f>+'14'!J32</f>
        <v>0</v>
      </c>
      <c r="K32" s="241"/>
      <c r="L32" s="243"/>
      <c r="M32" s="117">
        <f>+K32+'14'!M32+L32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244">
        <f>(12*1121+319*10.3)/1440*G42*2.74*1440/1000000</f>
        <v>0</v>
      </c>
      <c r="J37" s="125" t="e">
        <f>+I37+'14'!J37</f>
        <v>#DIV/0!</v>
      </c>
      <c r="K37" s="126" t="s">
        <v>63</v>
      </c>
    </row>
    <row r="38" spans="1:13" ht="17.45" customHeight="1">
      <c r="A38" s="755" t="s">
        <v>12</v>
      </c>
      <c r="B38" s="756"/>
      <c r="C38" s="164">
        <f>SUMIF($G$7:$G$31,"Process",$F$7:$F$31)</f>
        <v>0</v>
      </c>
      <c r="D38" s="118">
        <f>+C38+'14'!D38</f>
        <v>860</v>
      </c>
      <c r="E38" s="143">
        <f t="shared" ref="E38:E51" si="0">D38/60</f>
        <v>14.333333333333334</v>
      </c>
      <c r="F38" s="322"/>
      <c r="G38" s="322"/>
      <c r="H38" s="187" t="s">
        <v>64</v>
      </c>
      <c r="I38" s="245"/>
      <c r="J38" s="127">
        <f>+I38+'14'!J38</f>
        <v>440.91260000000005</v>
      </c>
      <c r="K38" s="128" t="s">
        <v>63</v>
      </c>
    </row>
    <row r="39" spans="1:13" ht="17.45" customHeight="1">
      <c r="A39" s="759" t="s">
        <v>13</v>
      </c>
      <c r="B39" s="760"/>
      <c r="C39" s="164">
        <f>SUMIF($G$7:$G$31,"Cleaning",$F$7:$F$31)</f>
        <v>0</v>
      </c>
      <c r="D39" s="118">
        <f>+C39+'14'!D39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+C40+'14'!D40</f>
        <v>0</v>
      </c>
      <c r="E40" s="143">
        <f t="shared" si="0"/>
        <v>0</v>
      </c>
      <c r="F40" s="322"/>
      <c r="G40" s="322"/>
      <c r="H40" s="187" t="s">
        <v>67</v>
      </c>
      <c r="I40" s="118">
        <f>(K34+L34)/1000</f>
        <v>0</v>
      </c>
      <c r="J40" s="131">
        <f>+I40+'14'!J40</f>
        <v>413.67199999999991</v>
      </c>
      <c r="K40" s="130" t="s">
        <v>63</v>
      </c>
    </row>
    <row r="41" spans="1:13" ht="17.45" customHeight="1">
      <c r="A41" s="759" t="s">
        <v>68</v>
      </c>
      <c r="B41" s="760"/>
      <c r="C41" s="164">
        <f>SUMIF($G$7:$G$31,"Electrical",$F$7:$F$31)</f>
        <v>0</v>
      </c>
      <c r="D41" s="118">
        <f>+C41+'14'!D41</f>
        <v>550</v>
      </c>
      <c r="E41" s="143">
        <f t="shared" si="0"/>
        <v>9.1666666666666661</v>
      </c>
      <c r="F41" s="322"/>
      <c r="G41" s="322"/>
      <c r="H41" s="187" t="s">
        <v>69</v>
      </c>
      <c r="I41" s="142"/>
      <c r="J41" s="129">
        <f>J40/G4</f>
        <v>27.578133333333327</v>
      </c>
      <c r="K41" s="130" t="s">
        <v>63</v>
      </c>
    </row>
    <row r="42" spans="1:13" ht="17.45" customHeight="1">
      <c r="A42" s="759" t="s">
        <v>16</v>
      </c>
      <c r="B42" s="760"/>
      <c r="C42" s="164">
        <f>SUMIF($G$7:$G$31,"Instrument",$F$7:$F$31)</f>
        <v>0</v>
      </c>
      <c r="D42" s="118">
        <f>+C42+'14'!D42</f>
        <v>0</v>
      </c>
      <c r="E42" s="143">
        <f t="shared" si="0"/>
        <v>0</v>
      </c>
      <c r="F42" s="322">
        <f>+(F38*480+F39*480+F40*480)/1440</f>
        <v>0</v>
      </c>
      <c r="G42" s="322">
        <f>+(G38*480+G39*480+G40*480)/1440</f>
        <v>0</v>
      </c>
      <c r="H42" s="187" t="s">
        <v>70</v>
      </c>
      <c r="I42" s="246"/>
      <c r="J42" s="132"/>
      <c r="K42" s="130" t="s">
        <v>71</v>
      </c>
    </row>
    <row r="43" spans="1:13" ht="17.45" customHeight="1">
      <c r="A43" s="759" t="s">
        <v>223</v>
      </c>
      <c r="B43" s="760"/>
      <c r="C43" s="164">
        <f>SUMIF($G$7:$G$31,"Change Grade",$F$7:$F$31)</f>
        <v>0</v>
      </c>
      <c r="D43" s="118">
        <f>+C43+'14'!D43</f>
        <v>0</v>
      </c>
      <c r="E43" s="143">
        <f t="shared" si="0"/>
        <v>0</v>
      </c>
      <c r="F43" s="322"/>
      <c r="G43" s="323"/>
      <c r="H43" s="188" t="s">
        <v>73</v>
      </c>
      <c r="I43" s="118">
        <f>+Report1!Z23</f>
        <v>2.6</v>
      </c>
      <c r="J43" s="133">
        <f>+I43+'14'!J43</f>
        <v>677.80000000000007</v>
      </c>
      <c r="K43" s="130" t="s">
        <v>63</v>
      </c>
      <c r="L43" s="189"/>
    </row>
    <row r="44" spans="1:13" ht="17.45" customHeight="1">
      <c r="A44" s="759" t="s">
        <v>17</v>
      </c>
      <c r="B44" s="760"/>
      <c r="C44" s="164">
        <f>SUMIF($G$7:$G$31,"PLN",$F$7:$F$31)</f>
        <v>0</v>
      </c>
      <c r="D44" s="118">
        <f>+C44+'14'!D44</f>
        <v>0</v>
      </c>
      <c r="E44" s="143">
        <f t="shared" si="0"/>
        <v>0</v>
      </c>
      <c r="F44" s="322"/>
      <c r="G44" s="323"/>
      <c r="H44" s="188" t="s">
        <v>74</v>
      </c>
      <c r="I44" s="118" t="e">
        <f>I43/I38</f>
        <v>#DIV/0!</v>
      </c>
      <c r="J44" s="134">
        <f>J43/J38</f>
        <v>1.5372661157789549</v>
      </c>
      <c r="K44" s="130" t="s">
        <v>63</v>
      </c>
    </row>
    <row r="45" spans="1:13" ht="17.45" customHeight="1">
      <c r="A45" s="759" t="s">
        <v>18</v>
      </c>
      <c r="B45" s="760"/>
      <c r="C45" s="164">
        <f>SUMIF($G$7:$G$31,"Boiler",$F$7:$F$31)</f>
        <v>0</v>
      </c>
      <c r="D45" s="118">
        <f>+C45+'14'!D45</f>
        <v>0</v>
      </c>
      <c r="E45" s="143">
        <f t="shared" si="0"/>
        <v>0</v>
      </c>
      <c r="F45" s="322"/>
      <c r="G45" s="325"/>
      <c r="H45" s="188" t="s">
        <v>75</v>
      </c>
      <c r="I45" s="118" t="e">
        <f>I43/I40</f>
        <v>#DIV/0!</v>
      </c>
      <c r="J45" s="134">
        <f>J43/J40</f>
        <v>1.6384961998878345</v>
      </c>
      <c r="K45" s="130" t="s">
        <v>63</v>
      </c>
    </row>
    <row r="46" spans="1:13" ht="17.45" customHeight="1">
      <c r="A46" s="759" t="s">
        <v>76</v>
      </c>
      <c r="B46" s="760"/>
      <c r="C46" s="164">
        <f>SUMIF($G$7:$G$31,"Gas",$F$7:$F$31)</f>
        <v>0</v>
      </c>
      <c r="D46" s="118">
        <f>+C46+'14'!D46</f>
        <v>0</v>
      </c>
      <c r="E46" s="143">
        <f t="shared" si="0"/>
        <v>0</v>
      </c>
      <c r="F46" s="322"/>
      <c r="G46" s="323"/>
      <c r="H46" s="188" t="s">
        <v>77</v>
      </c>
      <c r="I46" s="140">
        <f>+SUMIF(Listrik!P22,"&gt;0")</f>
        <v>6015.0599999992719</v>
      </c>
      <c r="J46" s="135">
        <f>+I46+'14'!J46</f>
        <v>423278.2400000004</v>
      </c>
      <c r="K46" s="130" t="s">
        <v>78</v>
      </c>
    </row>
    <row r="47" spans="1:13" ht="17.45" customHeight="1">
      <c r="A47" s="759" t="s">
        <v>79</v>
      </c>
      <c r="B47" s="760"/>
      <c r="C47" s="164">
        <f>SUMIF($G$7:$G$31,"Gas",$F$7:$F$31)</f>
        <v>0</v>
      </c>
      <c r="D47" s="118">
        <f>+C47+'14'!D47</f>
        <v>0</v>
      </c>
      <c r="E47" s="143">
        <f t="shared" si="0"/>
        <v>0</v>
      </c>
      <c r="F47" s="322"/>
      <c r="G47" s="323"/>
      <c r="H47" s="188" t="s">
        <v>80</v>
      </c>
      <c r="I47" s="118" t="e">
        <f>I46/I38</f>
        <v>#DIV/0!</v>
      </c>
      <c r="J47" s="135">
        <f>J46/J38</f>
        <v>960.00486264171252</v>
      </c>
      <c r="K47" s="130" t="s">
        <v>24</v>
      </c>
    </row>
    <row r="48" spans="1:13" ht="17.45" customHeight="1">
      <c r="A48" s="759" t="s">
        <v>14</v>
      </c>
      <c r="B48" s="760"/>
      <c r="C48" s="164">
        <f>SUMIF($G$7:$G$31,"Start Up",$F$7:$F$31)</f>
        <v>0</v>
      </c>
      <c r="D48" s="118">
        <f>+C48+'14'!D48</f>
        <v>0</v>
      </c>
      <c r="E48" s="143">
        <f t="shared" si="0"/>
        <v>0</v>
      </c>
      <c r="F48" s="322"/>
      <c r="G48" s="323"/>
      <c r="H48" s="188" t="s">
        <v>81</v>
      </c>
      <c r="I48" s="118" t="e">
        <f>I46/I40</f>
        <v>#DIV/0!</v>
      </c>
      <c r="J48" s="135">
        <f>J46/J40</f>
        <v>1023.2218762691226</v>
      </c>
      <c r="K48" s="130" t="s">
        <v>24</v>
      </c>
    </row>
    <row r="49" spans="1:11" ht="17.45" customHeight="1">
      <c r="A49" s="759" t="s">
        <v>20</v>
      </c>
      <c r="B49" s="760"/>
      <c r="C49" s="164">
        <f>SUMIF($G$7:$G$31,"Others",$F$7:$F$31)</f>
        <v>1440</v>
      </c>
      <c r="D49" s="118">
        <f>+C49+'14'!D49</f>
        <v>3870</v>
      </c>
      <c r="E49" s="143">
        <f t="shared" si="0"/>
        <v>64.5</v>
      </c>
      <c r="F49" s="185"/>
      <c r="H49" s="188" t="s">
        <v>272</v>
      </c>
      <c r="I49" s="118">
        <f>+Report1!T23</f>
        <v>0</v>
      </c>
      <c r="J49" s="135">
        <f>+I49+'14'!J49</f>
        <v>41069.474159648547</v>
      </c>
      <c r="K49" s="130" t="s">
        <v>82</v>
      </c>
    </row>
    <row r="50" spans="1:11" ht="17.45" customHeight="1">
      <c r="A50" s="759" t="s">
        <v>19</v>
      </c>
      <c r="B50" s="760"/>
      <c r="C50" s="164">
        <f>SUMIF($G$7:$G$31,"Steam",$F$7:$F$31)</f>
        <v>0</v>
      </c>
      <c r="D50" s="118">
        <f>+C50+'14'!D50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+C51+'14'!D51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6835</v>
      </c>
      <c r="E52" s="145">
        <f>SUM(E38:E51)</f>
        <v>113.91666666666667</v>
      </c>
      <c r="F52" s="185"/>
      <c r="H52" s="191"/>
      <c r="I52" s="192"/>
      <c r="J52" s="138"/>
      <c r="K52" s="139"/>
    </row>
    <row r="53" spans="1:11" ht="13.5" thickBot="1">
      <c r="A53" s="757"/>
      <c r="B53" s="758"/>
      <c r="C53" s="146">
        <f>C52/(24*60)</f>
        <v>1</v>
      </c>
      <c r="D53" s="146">
        <f>D52/(24*60*G4)</f>
        <v>0.31643518518518521</v>
      </c>
      <c r="E53" s="147">
        <f>E52/(G4*24)</f>
        <v>0.31643518518518521</v>
      </c>
      <c r="F53" s="185"/>
    </row>
    <row r="54" spans="1:11">
      <c r="E54" s="193"/>
      <c r="F54" s="185"/>
    </row>
    <row r="55" spans="1:11">
      <c r="E55" s="193"/>
    </row>
    <row r="56" spans="1:11">
      <c r="A56" s="194" t="s">
        <v>86</v>
      </c>
      <c r="B56" s="195"/>
      <c r="C56" s="196"/>
      <c r="D56" s="196"/>
      <c r="E56" s="196"/>
      <c r="F56" s="197"/>
      <c r="G56" s="196"/>
      <c r="H56" s="198"/>
      <c r="I56" s="199" t="s">
        <v>87</v>
      </c>
      <c r="J56" s="200">
        <f>+D34+'14'!J56</f>
        <v>8782</v>
      </c>
      <c r="K56" s="201">
        <f>J56/(J40+J56/1000)/1000</f>
        <v>2.078806213220848E-2</v>
      </c>
    </row>
    <row r="57" spans="1:11">
      <c r="A57" s="176"/>
      <c r="I57" s="199" t="s">
        <v>88</v>
      </c>
      <c r="J57" s="200">
        <f>+E34+'14'!J57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I7:I13"/>
    <mergeCell ref="A15:A23"/>
    <mergeCell ref="I15:I22"/>
    <mergeCell ref="A44:B44"/>
    <mergeCell ref="A45:B45"/>
    <mergeCell ref="A42:B42"/>
    <mergeCell ref="I24:I31"/>
    <mergeCell ref="A24:A32"/>
    <mergeCell ref="A47:B47"/>
    <mergeCell ref="A7:A14"/>
    <mergeCell ref="A34:B34"/>
    <mergeCell ref="A37:B37"/>
    <mergeCell ref="A38:B38"/>
    <mergeCell ref="A39:B39"/>
    <mergeCell ref="A46:B46"/>
    <mergeCell ref="A40:B40"/>
    <mergeCell ref="A41:B41"/>
    <mergeCell ref="A43:B43"/>
    <mergeCell ref="A53:B53"/>
    <mergeCell ref="A48:B48"/>
    <mergeCell ref="A49:B49"/>
    <mergeCell ref="A50:B50"/>
    <mergeCell ref="A51:B51"/>
    <mergeCell ref="A52:B52"/>
  </mergeCells>
  <phoneticPr fontId="32" type="noConversion"/>
  <printOptions horizontalCentered="1"/>
  <pageMargins left="0.17" right="0.16" top="0.17" bottom="0.16"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8"/>
  <sheetViews>
    <sheetView view="pageBreakPreview" topLeftCell="A10" zoomScale="80" zoomScaleNormal="75" zoomScaleSheetLayoutView="80" workbookViewId="0">
      <selection activeCell="F7" sqref="F7:F3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3" ht="15.75">
      <c r="A1" s="148"/>
    </row>
    <row r="2" spans="1:13" ht="15.75">
      <c r="A2" s="148" t="s">
        <v>185</v>
      </c>
    </row>
    <row r="3" spans="1:13" ht="15">
      <c r="A3" s="150"/>
    </row>
    <row r="4" spans="1:13" ht="20.25">
      <c r="A4" s="151" t="s">
        <v>3</v>
      </c>
      <c r="B4" s="152"/>
      <c r="F4" s="153" t="s">
        <v>29</v>
      </c>
      <c r="G4" s="154">
        <v>14</v>
      </c>
      <c r="H4" s="154" t="str">
        <f>+'1'!H4</f>
        <v>.9.25</v>
      </c>
      <c r="J4" s="149">
        <v>891.6</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c r="E7" s="218"/>
      <c r="F7" s="228"/>
      <c r="G7" s="229" t="s">
        <v>12</v>
      </c>
      <c r="H7" s="230" t="s">
        <v>466</v>
      </c>
      <c r="I7" s="768" t="s">
        <v>424</v>
      </c>
      <c r="J7" s="214" t="str">
        <f>+'13'!J7</f>
        <v>F 12 VP OW</v>
      </c>
      <c r="K7" s="238"/>
      <c r="L7" s="242"/>
      <c r="M7" s="117">
        <f>+K7+'13'!M7+L7</f>
        <v>172842</v>
      </c>
    </row>
    <row r="8" spans="1:13" ht="13.5" thickBot="1">
      <c r="A8" s="766"/>
      <c r="B8" s="215"/>
      <c r="C8" s="216"/>
      <c r="D8" s="217"/>
      <c r="E8" s="219"/>
      <c r="F8" s="231"/>
      <c r="G8" s="560" t="s">
        <v>12</v>
      </c>
      <c r="H8" s="230" t="s">
        <v>432</v>
      </c>
      <c r="I8" s="769"/>
      <c r="J8" s="214" t="str">
        <f>+'13'!J8</f>
        <v>F 13 VP OW</v>
      </c>
      <c r="K8" s="239"/>
      <c r="L8" s="239"/>
      <c r="M8" s="117">
        <f>+K8+'13'!M8+L8</f>
        <v>66206</v>
      </c>
    </row>
    <row r="9" spans="1:13" ht="13.5" thickBot="1">
      <c r="A9" s="766"/>
      <c r="B9" s="215"/>
      <c r="C9" s="216"/>
      <c r="D9" s="217"/>
      <c r="E9" s="220"/>
      <c r="F9" s="228"/>
      <c r="G9" s="560" t="s">
        <v>12</v>
      </c>
      <c r="H9" s="233" t="s">
        <v>507</v>
      </c>
      <c r="I9" s="769"/>
      <c r="J9" s="214" t="str">
        <f>+'13'!J9</f>
        <v>F 14 VP OW</v>
      </c>
      <c r="K9" s="239"/>
      <c r="L9" s="239"/>
      <c r="M9" s="117">
        <f>+K9+'13'!M9+L9</f>
        <v>100560</v>
      </c>
    </row>
    <row r="10" spans="1:13" ht="102.75" thickBot="1">
      <c r="A10" s="766"/>
      <c r="B10" s="215"/>
      <c r="C10" s="216"/>
      <c r="D10" s="217"/>
      <c r="E10" s="219"/>
      <c r="F10" s="228">
        <v>480</v>
      </c>
      <c r="G10" s="237" t="s">
        <v>20</v>
      </c>
      <c r="H10" s="233" t="s">
        <v>566</v>
      </c>
      <c r="I10" s="769"/>
      <c r="J10" s="214" t="str">
        <f>+'13'!J10</f>
        <v>T 12,5 VP OW</v>
      </c>
      <c r="K10" s="239"/>
      <c r="L10" s="239"/>
      <c r="M10" s="117">
        <f>+K10+'13'!M10+L10</f>
        <v>19885</v>
      </c>
    </row>
    <row r="11" spans="1:13" ht="13.5" thickBot="1">
      <c r="A11" s="766"/>
      <c r="B11" s="215"/>
      <c r="C11" s="216"/>
      <c r="D11" s="217"/>
      <c r="E11" s="219"/>
      <c r="F11" s="228"/>
      <c r="G11" s="232"/>
      <c r="H11" s="233"/>
      <c r="I11" s="769"/>
      <c r="J11" s="214" t="str">
        <f>+'13'!J11</f>
        <v>F 12,5 VP OW</v>
      </c>
      <c r="K11" s="239"/>
      <c r="L11" s="239"/>
      <c r="M11" s="117">
        <f>+K11+'13'!M11+L11</f>
        <v>42554</v>
      </c>
    </row>
    <row r="12" spans="1:13" ht="13.5" thickBot="1">
      <c r="A12" s="766"/>
      <c r="B12" s="215"/>
      <c r="C12" s="216"/>
      <c r="D12" s="217"/>
      <c r="E12" s="219"/>
      <c r="F12" s="228"/>
      <c r="G12" s="232"/>
      <c r="H12" s="233"/>
      <c r="I12" s="769"/>
      <c r="J12" s="214" t="str">
        <f>+'13'!J12</f>
        <v>F 13,5 VP OW</v>
      </c>
      <c r="K12" s="239"/>
      <c r="L12" s="239"/>
      <c r="M12" s="117">
        <f>+K12+'13'!M12+L12</f>
        <v>11625</v>
      </c>
    </row>
    <row r="13" spans="1:13" ht="13.5" thickBot="1">
      <c r="A13" s="766"/>
      <c r="B13" s="215"/>
      <c r="C13" s="216"/>
      <c r="D13" s="216"/>
      <c r="E13" s="219"/>
      <c r="F13" s="228"/>
      <c r="G13" s="232"/>
      <c r="H13" s="233"/>
      <c r="I13" s="770"/>
      <c r="J13" s="214">
        <f>+'13'!J13</f>
        <v>0</v>
      </c>
      <c r="K13" s="239"/>
      <c r="L13" s="239"/>
      <c r="M13" s="117">
        <f>+K13+'13'!M13+L13</f>
        <v>0</v>
      </c>
    </row>
    <row r="14" spans="1:13" ht="13.5" thickBot="1">
      <c r="A14" s="767"/>
      <c r="B14" s="165" t="s">
        <v>2</v>
      </c>
      <c r="C14" s="99">
        <f>SUM(C7:C13)</f>
        <v>0</v>
      </c>
      <c r="D14" s="111">
        <f>SUM(D7:D13)</f>
        <v>0</v>
      </c>
      <c r="E14" s="112">
        <f>SUM(E5:E13)</f>
        <v>0</v>
      </c>
      <c r="F14" s="116">
        <f>SUM(F7:F13)</f>
        <v>480</v>
      </c>
      <c r="G14" s="159"/>
      <c r="H14" s="166"/>
      <c r="I14" s="167"/>
      <c r="J14" s="214">
        <f>+'13'!J14</f>
        <v>0</v>
      </c>
      <c r="K14" s="239"/>
      <c r="L14" s="239"/>
      <c r="M14" s="117">
        <f>+K14+'13'!M14+L14</f>
        <v>0</v>
      </c>
    </row>
    <row r="15" spans="1:13" ht="13.5" customHeight="1" thickBot="1">
      <c r="A15" s="765"/>
      <c r="B15" s="165"/>
      <c r="C15" s="113" t="e">
        <f>C14/($C$23+$D$23+$E$23)</f>
        <v>#DIV/0!</v>
      </c>
      <c r="D15" s="114" t="e">
        <f>D14/($C$23+$D$23+$E$23)</f>
        <v>#DIV/0!</v>
      </c>
      <c r="E15" s="115" t="e">
        <f>E14/($C$23+$D$23+$E$23)</f>
        <v>#DIV/0!</v>
      </c>
      <c r="F15" s="228"/>
      <c r="G15" s="229" t="s">
        <v>12</v>
      </c>
      <c r="H15" s="230" t="s">
        <v>466</v>
      </c>
      <c r="I15" s="768" t="s">
        <v>424</v>
      </c>
      <c r="J15" s="214">
        <f>+'13'!J15</f>
        <v>0</v>
      </c>
      <c r="K15" s="239"/>
      <c r="L15" s="239"/>
      <c r="M15" s="117">
        <f>+K15+'13'!M15+L15</f>
        <v>0</v>
      </c>
    </row>
    <row r="16" spans="1:13" ht="13.5" thickBot="1">
      <c r="A16" s="771"/>
      <c r="B16" s="215"/>
      <c r="C16" s="222"/>
      <c r="D16" s="223"/>
      <c r="E16" s="224"/>
      <c r="F16" s="231"/>
      <c r="G16" s="560" t="s">
        <v>12</v>
      </c>
      <c r="H16" s="230" t="s">
        <v>432</v>
      </c>
      <c r="I16" s="769"/>
      <c r="J16" s="214">
        <f>+'13'!J16</f>
        <v>0</v>
      </c>
      <c r="K16" s="229"/>
      <c r="L16" s="229"/>
      <c r="M16" s="117">
        <f>+K16+'13'!M16+L16</f>
        <v>0</v>
      </c>
    </row>
    <row r="17" spans="1:13" ht="13.5" thickBot="1">
      <c r="A17" s="771"/>
      <c r="B17" s="215"/>
      <c r="C17" s="216"/>
      <c r="D17" s="217"/>
      <c r="E17" s="225"/>
      <c r="F17" s="228"/>
      <c r="G17" s="560" t="s">
        <v>12</v>
      </c>
      <c r="H17" s="233" t="s">
        <v>507</v>
      </c>
      <c r="I17" s="769"/>
      <c r="J17" s="214">
        <f>+'13'!J17</f>
        <v>0</v>
      </c>
      <c r="K17" s="229"/>
      <c r="L17" s="229"/>
      <c r="M17" s="117">
        <f>+K17+'13'!M17+L17</f>
        <v>0</v>
      </c>
    </row>
    <row r="18" spans="1:13" ht="51.75" thickBot="1">
      <c r="A18" s="771"/>
      <c r="B18" s="215"/>
      <c r="C18" s="216"/>
      <c r="D18" s="217"/>
      <c r="E18" s="225"/>
      <c r="F18" s="228">
        <v>480</v>
      </c>
      <c r="G18" s="237" t="s">
        <v>20</v>
      </c>
      <c r="H18" s="233" t="s">
        <v>565</v>
      </c>
      <c r="I18" s="769"/>
      <c r="J18" s="214">
        <f>+'13'!J18</f>
        <v>0</v>
      </c>
      <c r="K18" s="239"/>
      <c r="L18" s="239"/>
      <c r="M18" s="117">
        <f>+K18+'13'!M18+L18</f>
        <v>0</v>
      </c>
    </row>
    <row r="19" spans="1:13" ht="13.5" thickBot="1">
      <c r="A19" s="771"/>
      <c r="B19" s="215"/>
      <c r="C19" s="216"/>
      <c r="D19" s="217"/>
      <c r="E19" s="225"/>
      <c r="F19" s="235"/>
      <c r="G19" s="232"/>
      <c r="H19" s="233"/>
      <c r="I19" s="769"/>
      <c r="J19" s="214">
        <f>+'13'!J19</f>
        <v>0</v>
      </c>
      <c r="K19" s="239"/>
      <c r="L19" s="239"/>
      <c r="M19" s="117">
        <f>+K19+'13'!M19+L19</f>
        <v>0</v>
      </c>
    </row>
    <row r="20" spans="1:13" ht="13.5" thickBot="1">
      <c r="A20" s="771"/>
      <c r="B20" s="215"/>
      <c r="C20" s="216"/>
      <c r="D20" s="217"/>
      <c r="E20" s="225"/>
      <c r="F20" s="228"/>
      <c r="G20" s="232"/>
      <c r="H20" s="233"/>
      <c r="I20" s="769"/>
      <c r="J20" s="214">
        <f>+'13'!J20</f>
        <v>0</v>
      </c>
      <c r="K20" s="240"/>
      <c r="L20" s="240"/>
      <c r="M20" s="117">
        <f>+K20+'13'!M20+L20</f>
        <v>0</v>
      </c>
    </row>
    <row r="21" spans="1:13" ht="13.5" thickBot="1">
      <c r="A21" s="771"/>
      <c r="B21" s="215"/>
      <c r="C21" s="216"/>
      <c r="D21" s="217"/>
      <c r="E21" s="225"/>
      <c r="F21" s="231"/>
      <c r="G21" s="232"/>
      <c r="H21" s="233"/>
      <c r="I21" s="769"/>
      <c r="J21" s="214">
        <f>+'13'!J21</f>
        <v>0</v>
      </c>
      <c r="K21" s="239"/>
      <c r="L21" s="239"/>
      <c r="M21" s="117">
        <f>+K21+'13'!M21+L21</f>
        <v>0</v>
      </c>
    </row>
    <row r="22" spans="1:13" ht="13.5" thickBot="1">
      <c r="A22" s="771"/>
      <c r="B22" s="215"/>
      <c r="C22" s="216"/>
      <c r="D22" s="217"/>
      <c r="E22" s="225"/>
      <c r="F22" s="236"/>
      <c r="G22" s="232"/>
      <c r="H22" s="233"/>
      <c r="I22" s="770"/>
      <c r="J22" s="214">
        <f>+'13'!J22</f>
        <v>0</v>
      </c>
      <c r="K22" s="239"/>
      <c r="L22" s="239"/>
      <c r="M22" s="117">
        <f>+K22+'13'!M22+L22</f>
        <v>0</v>
      </c>
    </row>
    <row r="23" spans="1:13" ht="13.5" thickBot="1">
      <c r="A23" s="772"/>
      <c r="B23" s="168" t="s">
        <v>2</v>
      </c>
      <c r="C23" s="100">
        <f>SUM(C16:C22)</f>
        <v>0</v>
      </c>
      <c r="D23" s="111">
        <f>SUM(D16:D22)</f>
        <v>0</v>
      </c>
      <c r="E23" s="112">
        <f>SUM(E18:E22)</f>
        <v>0</v>
      </c>
      <c r="F23" s="116">
        <f>SUM(F15:F22)</f>
        <v>480</v>
      </c>
      <c r="G23" s="159"/>
      <c r="H23" s="166"/>
      <c r="I23" s="169"/>
      <c r="J23" s="214">
        <f>+'13'!J23</f>
        <v>0</v>
      </c>
      <c r="K23" s="239"/>
      <c r="L23" s="239"/>
      <c r="M23" s="117">
        <f>+K23+'13'!M23+L23</f>
        <v>0</v>
      </c>
    </row>
    <row r="24" spans="1:13" ht="13.5" customHeight="1" thickBot="1">
      <c r="A24" s="765"/>
      <c r="B24" s="170"/>
      <c r="C24" s="113" t="e">
        <f>C23/($C$23+$D$23+$E$23)</f>
        <v>#DIV/0!</v>
      </c>
      <c r="D24" s="114" t="e">
        <f>D23/($C$23+$D$23+$E$23)</f>
        <v>#DIV/0!</v>
      </c>
      <c r="E24" s="115" t="e">
        <f>E23/($C$23+$D$23+$E$23)</f>
        <v>#DIV/0!</v>
      </c>
      <c r="F24" s="228"/>
      <c r="G24" s="229" t="s">
        <v>12</v>
      </c>
      <c r="H24" s="230" t="s">
        <v>466</v>
      </c>
      <c r="I24" s="768" t="s">
        <v>424</v>
      </c>
      <c r="J24" s="214">
        <f>+'13'!J24</f>
        <v>0</v>
      </c>
      <c r="K24" s="239"/>
      <c r="L24" s="239"/>
      <c r="M24" s="117">
        <f>+K24+'13'!M24+L24</f>
        <v>0</v>
      </c>
    </row>
    <row r="25" spans="1:13" ht="13.5" thickBot="1">
      <c r="A25" s="771"/>
      <c r="B25" s="215"/>
      <c r="C25" s="226"/>
      <c r="D25" s="217"/>
      <c r="E25" s="225"/>
      <c r="F25" s="231"/>
      <c r="G25" s="560" t="s">
        <v>12</v>
      </c>
      <c r="H25" s="230" t="s">
        <v>432</v>
      </c>
      <c r="I25" s="769"/>
      <c r="J25" s="214">
        <f>+'13'!J25</f>
        <v>0</v>
      </c>
      <c r="K25" s="239"/>
      <c r="L25" s="239"/>
      <c r="M25" s="117">
        <f>+K25+'13'!M25+L25</f>
        <v>0</v>
      </c>
    </row>
    <row r="26" spans="1:13" ht="13.5" thickBot="1">
      <c r="A26" s="771"/>
      <c r="B26" s="215"/>
      <c r="C26" s="226"/>
      <c r="D26" s="217"/>
      <c r="E26" s="227"/>
      <c r="F26" s="228"/>
      <c r="G26" s="560" t="s">
        <v>12</v>
      </c>
      <c r="H26" s="233" t="s">
        <v>507</v>
      </c>
      <c r="I26" s="769"/>
      <c r="J26" s="214">
        <f>+'13'!J26</f>
        <v>0</v>
      </c>
      <c r="K26" s="239"/>
      <c r="L26" s="239"/>
      <c r="M26" s="117">
        <f>+K26+'13'!M26+L26</f>
        <v>0</v>
      </c>
    </row>
    <row r="27" spans="1:13" ht="102.75" thickBot="1">
      <c r="A27" s="771"/>
      <c r="B27" s="215"/>
      <c r="C27" s="216"/>
      <c r="D27" s="217"/>
      <c r="E27" s="225"/>
      <c r="F27" s="228">
        <v>480</v>
      </c>
      <c r="G27" s="237" t="s">
        <v>20</v>
      </c>
      <c r="H27" s="233" t="s">
        <v>564</v>
      </c>
      <c r="I27" s="769"/>
      <c r="J27" s="214">
        <f>+'13'!J27</f>
        <v>0</v>
      </c>
      <c r="K27" s="239"/>
      <c r="L27" s="239"/>
      <c r="M27" s="117">
        <f>+K27+'13'!M27+L27</f>
        <v>0</v>
      </c>
    </row>
    <row r="28" spans="1:13" ht="13.5" thickBot="1">
      <c r="A28" s="771"/>
      <c r="B28" s="215"/>
      <c r="C28" s="216"/>
      <c r="D28" s="217"/>
      <c r="E28" s="225"/>
      <c r="F28" s="231"/>
      <c r="G28" s="232"/>
      <c r="H28" s="233"/>
      <c r="I28" s="769"/>
      <c r="J28" s="214">
        <f>+'13'!J28</f>
        <v>0</v>
      </c>
      <c r="K28" s="239"/>
      <c r="L28" s="239"/>
      <c r="M28" s="117">
        <f>+K28+'13'!M28+L28</f>
        <v>0</v>
      </c>
    </row>
    <row r="29" spans="1:13" ht="13.5" thickBot="1">
      <c r="A29" s="771"/>
      <c r="B29" s="215"/>
      <c r="C29" s="216"/>
      <c r="D29" s="217"/>
      <c r="E29" s="225"/>
      <c r="F29" s="236"/>
      <c r="G29" s="232"/>
      <c r="H29" s="233"/>
      <c r="I29" s="769"/>
      <c r="J29" s="214">
        <f>+'13'!J29</f>
        <v>0</v>
      </c>
      <c r="K29" s="239"/>
      <c r="L29" s="239"/>
      <c r="M29" s="117">
        <f>+K29+'13'!M29+L29</f>
        <v>0</v>
      </c>
    </row>
    <row r="30" spans="1:13" ht="13.5" thickBot="1">
      <c r="A30" s="771"/>
      <c r="B30" s="215"/>
      <c r="C30" s="226"/>
      <c r="D30" s="217"/>
      <c r="E30" s="225"/>
      <c r="F30" s="236"/>
      <c r="G30" s="232"/>
      <c r="H30" s="233"/>
      <c r="I30" s="769"/>
      <c r="J30" s="214">
        <f>+'13'!J30</f>
        <v>0</v>
      </c>
      <c r="K30" s="239"/>
      <c r="L30" s="239"/>
      <c r="M30" s="117">
        <f>+K30+'13'!M30+L30</f>
        <v>0</v>
      </c>
    </row>
    <row r="31" spans="1:13" ht="13.5" thickBot="1">
      <c r="A31" s="771"/>
      <c r="B31" s="215"/>
      <c r="C31" s="226"/>
      <c r="D31" s="217"/>
      <c r="E31" s="225"/>
      <c r="F31" s="236"/>
      <c r="G31" s="237"/>
      <c r="H31" s="445"/>
      <c r="I31" s="770"/>
      <c r="J31" s="214">
        <f>+'13'!J31</f>
        <v>0</v>
      </c>
      <c r="K31" s="239"/>
      <c r="L31" s="239"/>
      <c r="M31" s="117">
        <f>+K31+'13'!M31+L31</f>
        <v>0</v>
      </c>
    </row>
    <row r="32" spans="1:13" ht="13.5" thickBot="1">
      <c r="A32" s="772"/>
      <c r="B32" s="165" t="s">
        <v>2</v>
      </c>
      <c r="C32" s="99">
        <f>SUM(C25:C31)</f>
        <v>0</v>
      </c>
      <c r="D32" s="100">
        <f>SUM(D25:D31)</f>
        <v>0</v>
      </c>
      <c r="E32" s="101">
        <f>SUM(E25:E31)</f>
        <v>0</v>
      </c>
      <c r="F32" s="102">
        <f>SUM(F24:F31)</f>
        <v>480</v>
      </c>
      <c r="G32" s="171"/>
      <c r="H32" s="172"/>
      <c r="I32" s="169"/>
      <c r="J32" s="214">
        <f>+'13'!J32</f>
        <v>0</v>
      </c>
      <c r="K32" s="241"/>
      <c r="L32" s="243"/>
      <c r="M32" s="117">
        <f>+K32+'13'!M32+L32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413672</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244">
        <f>(13.5*352+1088*12)/1440*G42*2.74*1440/1000000</f>
        <v>0</v>
      </c>
      <c r="J37" s="125" t="e">
        <f>+I37+'13'!J37</f>
        <v>#DIV/0!</v>
      </c>
      <c r="K37" s="126" t="s">
        <v>63</v>
      </c>
    </row>
    <row r="38" spans="1:13" ht="17.45" customHeight="1">
      <c r="A38" s="755" t="s">
        <v>12</v>
      </c>
      <c r="B38" s="756"/>
      <c r="C38" s="164">
        <f>SUMIF($G$7:$G$31,"Process",$F$7:$F$31)</f>
        <v>0</v>
      </c>
      <c r="D38" s="118">
        <f>+C38+'13'!D38</f>
        <v>860</v>
      </c>
      <c r="E38" s="143">
        <f t="shared" ref="E38:E51" si="0">D38/60</f>
        <v>14.333333333333334</v>
      </c>
      <c r="F38" s="322"/>
      <c r="G38" s="322"/>
      <c r="H38" s="187" t="s">
        <v>64</v>
      </c>
      <c r="I38" s="245">
        <v>0</v>
      </c>
      <c r="J38" s="127">
        <f>+I38+'13'!J38</f>
        <v>440.91260000000005</v>
      </c>
      <c r="K38" s="128" t="s">
        <v>63</v>
      </c>
    </row>
    <row r="39" spans="1:13" ht="17.45" customHeight="1">
      <c r="A39" s="759" t="s">
        <v>13</v>
      </c>
      <c r="B39" s="760"/>
      <c r="C39" s="164">
        <f>SUMIF($G$7:$G$31,"Cleaning",$F$7:$F$31)</f>
        <v>0</v>
      </c>
      <c r="D39" s="118">
        <f>+C39+'13'!D39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+C40+'13'!D40</f>
        <v>0</v>
      </c>
      <c r="E40" s="143">
        <f t="shared" si="0"/>
        <v>0</v>
      </c>
      <c r="F40" s="322"/>
      <c r="G40" s="322"/>
      <c r="H40" s="187" t="s">
        <v>67</v>
      </c>
      <c r="I40" s="118">
        <f>(K34+L34)/1000</f>
        <v>0</v>
      </c>
      <c r="J40" s="131">
        <f>+I40+'13'!J40</f>
        <v>413.67199999999991</v>
      </c>
      <c r="K40" s="130" t="s">
        <v>63</v>
      </c>
    </row>
    <row r="41" spans="1:13" ht="17.45" customHeight="1">
      <c r="A41" s="759" t="s">
        <v>68</v>
      </c>
      <c r="B41" s="760"/>
      <c r="C41" s="164">
        <f>SUMIF($G$7:$G$31,"Electrical",$F$7:$F$31)</f>
        <v>0</v>
      </c>
      <c r="D41" s="118">
        <f>+C41+'13'!D41</f>
        <v>550</v>
      </c>
      <c r="E41" s="143">
        <f t="shared" si="0"/>
        <v>9.1666666666666661</v>
      </c>
      <c r="F41" s="322"/>
      <c r="G41" s="322"/>
      <c r="H41" s="187" t="s">
        <v>69</v>
      </c>
      <c r="I41" s="142"/>
      <c r="J41" s="129">
        <f>J40/G4</f>
        <v>29.547999999999995</v>
      </c>
      <c r="K41" s="130" t="s">
        <v>63</v>
      </c>
    </row>
    <row r="42" spans="1:13" ht="17.45" customHeight="1">
      <c r="A42" s="759" t="s">
        <v>16</v>
      </c>
      <c r="B42" s="760"/>
      <c r="C42" s="164">
        <f>SUMIF($G$7:$G$31,"Instrument",$F$7:$F$31)</f>
        <v>0</v>
      </c>
      <c r="D42" s="118">
        <f>+C42+'13'!D42</f>
        <v>0</v>
      </c>
      <c r="E42" s="143">
        <f t="shared" si="0"/>
        <v>0</v>
      </c>
      <c r="F42" s="322"/>
      <c r="G42" s="322"/>
      <c r="H42" s="187" t="s">
        <v>70</v>
      </c>
      <c r="I42" s="246"/>
      <c r="J42" s="132"/>
      <c r="K42" s="130" t="s">
        <v>71</v>
      </c>
    </row>
    <row r="43" spans="1:13" ht="17.45" customHeight="1">
      <c r="A43" s="759" t="s">
        <v>72</v>
      </c>
      <c r="B43" s="760"/>
      <c r="C43" s="164">
        <f>SUMIF($G$7:$G$31,"Water",$F$7:$F$31)</f>
        <v>0</v>
      </c>
      <c r="D43" s="118">
        <f>+C43+'13'!D43</f>
        <v>0</v>
      </c>
      <c r="E43" s="143">
        <f t="shared" si="0"/>
        <v>0</v>
      </c>
      <c r="F43" s="322"/>
      <c r="G43" s="323"/>
      <c r="H43" s="188" t="s">
        <v>73</v>
      </c>
      <c r="I43" s="118">
        <f>+Report1!Z22</f>
        <v>2</v>
      </c>
      <c r="J43" s="133">
        <f>+I43+'13'!J43</f>
        <v>675.2</v>
      </c>
      <c r="K43" s="130" t="s">
        <v>63</v>
      </c>
      <c r="L43" s="189"/>
    </row>
    <row r="44" spans="1:13" ht="17.45" customHeight="1">
      <c r="A44" s="759" t="s">
        <v>17</v>
      </c>
      <c r="B44" s="760"/>
      <c r="C44" s="164">
        <f>SUMIF($G$7:$G$31,"PLN",$F$7:$F$31)</f>
        <v>0</v>
      </c>
      <c r="D44" s="118">
        <f>+C44+'13'!D44</f>
        <v>0</v>
      </c>
      <c r="E44" s="143">
        <f t="shared" si="0"/>
        <v>0</v>
      </c>
      <c r="F44" s="322"/>
      <c r="G44" s="323"/>
      <c r="H44" s="188" t="s">
        <v>74</v>
      </c>
      <c r="I44" s="118" t="e">
        <f>I43/I38</f>
        <v>#DIV/0!</v>
      </c>
      <c r="J44" s="134">
        <f>J43/J38</f>
        <v>1.5313692554941727</v>
      </c>
      <c r="K44" s="130" t="s">
        <v>63</v>
      </c>
    </row>
    <row r="45" spans="1:13" ht="17.45" customHeight="1">
      <c r="A45" s="759" t="s">
        <v>18</v>
      </c>
      <c r="B45" s="760"/>
      <c r="C45" s="164">
        <f>SUMIF($G$7:$G$31,"Boiler",$F$7:$F$31)</f>
        <v>0</v>
      </c>
      <c r="D45" s="118">
        <f>+C45+'13'!D45</f>
        <v>0</v>
      </c>
      <c r="E45" s="143">
        <f t="shared" si="0"/>
        <v>0</v>
      </c>
      <c r="F45" s="322"/>
      <c r="G45" s="325"/>
      <c r="H45" s="188" t="s">
        <v>75</v>
      </c>
      <c r="I45" s="118" t="e">
        <f>I43/I40</f>
        <v>#DIV/0!</v>
      </c>
      <c r="J45" s="134">
        <f>J43/J40</f>
        <v>1.6322110270939298</v>
      </c>
      <c r="K45" s="130" t="s">
        <v>63</v>
      </c>
    </row>
    <row r="46" spans="1:13" ht="17.45" customHeight="1">
      <c r="A46" s="759" t="s">
        <v>76</v>
      </c>
      <c r="B46" s="760"/>
      <c r="C46" s="164">
        <f>SUMIF($G$7:$G$31,"Gas",$F$7:$F$31)</f>
        <v>0</v>
      </c>
      <c r="D46" s="118">
        <f>+C46+'13'!D46</f>
        <v>0</v>
      </c>
      <c r="E46" s="143">
        <f t="shared" si="0"/>
        <v>0</v>
      </c>
      <c r="F46" s="322"/>
      <c r="G46" s="323"/>
      <c r="H46" s="188" t="s">
        <v>77</v>
      </c>
      <c r="I46" s="140">
        <f>+SUMIF(Listrik!P21,"&gt;0")</f>
        <v>6791.74</v>
      </c>
      <c r="J46" s="135">
        <f>+I46+'13'!J46</f>
        <v>417263.1800000011</v>
      </c>
      <c r="K46" s="130" t="s">
        <v>78</v>
      </c>
    </row>
    <row r="47" spans="1:13" ht="17.45" customHeight="1">
      <c r="A47" s="759" t="s">
        <v>79</v>
      </c>
      <c r="B47" s="760"/>
      <c r="C47" s="164">
        <f>SUMIF($G$7:$G$31,"Gas",$F$7:$F$31)</f>
        <v>0</v>
      </c>
      <c r="D47" s="118">
        <f>+C47+'13'!D47</f>
        <v>0</v>
      </c>
      <c r="E47" s="143">
        <f t="shared" si="0"/>
        <v>0</v>
      </c>
      <c r="F47" s="322"/>
      <c r="G47" s="323"/>
      <c r="H47" s="188" t="s">
        <v>80</v>
      </c>
      <c r="I47" s="118" t="e">
        <f>I46/I38</f>
        <v>#DIV/0!</v>
      </c>
      <c r="J47" s="135">
        <f>J46/J38</f>
        <v>946.36256709379825</v>
      </c>
      <c r="K47" s="130" t="s">
        <v>24</v>
      </c>
    </row>
    <row r="48" spans="1:13" ht="17.45" customHeight="1">
      <c r="A48" s="759" t="s">
        <v>14</v>
      </c>
      <c r="B48" s="760"/>
      <c r="C48" s="164">
        <f>SUMIF($G$7:$G$31,"Start Up",$F$7:$F$31)</f>
        <v>0</v>
      </c>
      <c r="D48" s="118">
        <f>+C48+'13'!D48</f>
        <v>0</v>
      </c>
      <c r="E48" s="143">
        <f t="shared" si="0"/>
        <v>0</v>
      </c>
      <c r="F48" s="322"/>
      <c r="G48" s="323"/>
      <c r="H48" s="188" t="s">
        <v>81</v>
      </c>
      <c r="I48" s="118" t="e">
        <f>I46/I40</f>
        <v>#DIV/0!</v>
      </c>
      <c r="J48" s="135">
        <f>J46/J40</f>
        <v>1008.6812257053926</v>
      </c>
      <c r="K48" s="130" t="s">
        <v>24</v>
      </c>
    </row>
    <row r="49" spans="1:11" ht="17.45" customHeight="1">
      <c r="A49" s="759" t="s">
        <v>20</v>
      </c>
      <c r="B49" s="760"/>
      <c r="C49" s="164">
        <f>SUMIF($G$7:$G$31,"Others",$F$7:$F$31)</f>
        <v>1440</v>
      </c>
      <c r="D49" s="118">
        <f>+C49+'13'!D49</f>
        <v>2430</v>
      </c>
      <c r="E49" s="143">
        <f t="shared" si="0"/>
        <v>40.5</v>
      </c>
      <c r="F49" s="185"/>
      <c r="H49" s="188" t="s">
        <v>272</v>
      </c>
      <c r="I49" s="118">
        <f>+Report1!T22</f>
        <v>0</v>
      </c>
      <c r="J49" s="135">
        <f>+I49+'13'!J49</f>
        <v>41069.474159648547</v>
      </c>
      <c r="K49" s="130" t="s">
        <v>82</v>
      </c>
    </row>
    <row r="50" spans="1:11" ht="17.45" customHeight="1">
      <c r="A50" s="759" t="s">
        <v>19</v>
      </c>
      <c r="B50" s="760"/>
      <c r="C50" s="164">
        <f>SUMIF($G$7:$G$31,"Steam",$F$7:$F$31)</f>
        <v>0</v>
      </c>
      <c r="D50" s="118">
        <f>+C50+'13'!D50</f>
        <v>0</v>
      </c>
      <c r="E50" s="143">
        <f t="shared" si="0"/>
        <v>0</v>
      </c>
      <c r="F50" s="185"/>
      <c r="H50" s="188" t="s">
        <v>83</v>
      </c>
      <c r="I50" s="140" t="e">
        <f>I49/I38</f>
        <v>#DIV/0!</v>
      </c>
      <c r="J50" s="133">
        <f>J49/J38</f>
        <v>93.146519649582572</v>
      </c>
      <c r="K50" s="130" t="s">
        <v>82</v>
      </c>
    </row>
    <row r="51" spans="1:11" ht="17.45" customHeight="1" thickBot="1">
      <c r="A51" s="753" t="s">
        <v>84</v>
      </c>
      <c r="B51" s="754"/>
      <c r="C51" s="164">
        <f>SUMIF($G$7:$G$31,"Planned shut",$F$7:$F$31)</f>
        <v>0</v>
      </c>
      <c r="D51" s="118">
        <f>+C51+'13'!D51</f>
        <v>1555</v>
      </c>
      <c r="E51" s="143">
        <f t="shared" si="0"/>
        <v>25.916666666666668</v>
      </c>
      <c r="F51" s="185"/>
      <c r="H51" s="190" t="s">
        <v>85</v>
      </c>
      <c r="I51" s="141" t="e">
        <f>I49/I40</f>
        <v>#DIV/0!</v>
      </c>
      <c r="J51" s="136">
        <f>J49/J40</f>
        <v>99.280285249300306</v>
      </c>
      <c r="K51" s="137" t="s">
        <v>82</v>
      </c>
    </row>
    <row r="52" spans="1:11" ht="13.5" thickBot="1">
      <c r="A52" s="755" t="s">
        <v>28</v>
      </c>
      <c r="B52" s="756"/>
      <c r="C52" s="144">
        <f>SUM(C38:C51)</f>
        <v>1440</v>
      </c>
      <c r="D52" s="144">
        <f>SUM(D38:D51)</f>
        <v>5395</v>
      </c>
      <c r="E52" s="145">
        <f>SUM(E38:E51)</f>
        <v>89.916666666666671</v>
      </c>
      <c r="F52" s="185"/>
      <c r="H52" s="191"/>
      <c r="I52" s="192"/>
      <c r="J52" s="138"/>
      <c r="K52" s="139"/>
    </row>
    <row r="53" spans="1:11" ht="13.5" thickBot="1">
      <c r="A53" s="757"/>
      <c r="B53" s="758"/>
      <c r="C53" s="146">
        <f>C52/(24*60)</f>
        <v>1</v>
      </c>
      <c r="D53" s="146">
        <f>D52/(24*60*G4)</f>
        <v>0.26760912698412698</v>
      </c>
      <c r="E53" s="147">
        <f>E52/(G4*24)</f>
        <v>0.26760912698412698</v>
      </c>
      <c r="F53" s="185"/>
    </row>
    <row r="54" spans="1:11">
      <c r="E54" s="193"/>
      <c r="F54" s="185"/>
    </row>
    <row r="55" spans="1:11">
      <c r="E55" s="193"/>
    </row>
    <row r="56" spans="1:11">
      <c r="A56" s="194" t="s">
        <v>86</v>
      </c>
      <c r="B56" s="195"/>
      <c r="C56" s="196"/>
      <c r="D56" s="196"/>
      <c r="E56" s="196"/>
      <c r="F56" s="197"/>
      <c r="G56" s="196"/>
      <c r="H56" s="198"/>
      <c r="I56" s="199" t="s">
        <v>87</v>
      </c>
      <c r="J56" s="200">
        <f>+D34+'13'!J56</f>
        <v>8782</v>
      </c>
      <c r="K56" s="201">
        <f>J56/(J40+J56/1000)/1000</f>
        <v>2.078806213220848E-2</v>
      </c>
    </row>
    <row r="57" spans="1:11">
      <c r="A57" s="176"/>
      <c r="I57" s="199" t="s">
        <v>88</v>
      </c>
      <c r="J57" s="200">
        <f>+E34+'13'!J57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row r="78" spans="23:23">
      <c r="W78" s="149">
        <f>+'14'!K8/1000</f>
        <v>0</v>
      </c>
    </row>
  </sheetData>
  <mergeCells count="24">
    <mergeCell ref="A46:B46"/>
    <mergeCell ref="A47:B47"/>
    <mergeCell ref="A52:B52"/>
    <mergeCell ref="A53:B53"/>
    <mergeCell ref="A48:B48"/>
    <mergeCell ref="A49:B49"/>
    <mergeCell ref="A50:B50"/>
    <mergeCell ref="A51:B51"/>
    <mergeCell ref="A45:B45"/>
    <mergeCell ref="A42:B42"/>
    <mergeCell ref="A43:B43"/>
    <mergeCell ref="A7:A14"/>
    <mergeCell ref="I7:I13"/>
    <mergeCell ref="A15:A23"/>
    <mergeCell ref="I15:I22"/>
    <mergeCell ref="A34:B34"/>
    <mergeCell ref="A37:B37"/>
    <mergeCell ref="I24:I31"/>
    <mergeCell ref="A24:A32"/>
    <mergeCell ref="A38:B38"/>
    <mergeCell ref="A39:B39"/>
    <mergeCell ref="A40:B40"/>
    <mergeCell ref="A41:B41"/>
    <mergeCell ref="A44:B44"/>
  </mergeCells>
  <phoneticPr fontId="32"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5" zoomScaleNormal="70" zoomScaleSheetLayoutView="85" workbookViewId="0">
      <selection activeCell="D8" sqref="D8"/>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9" ht="15.75">
      <c r="A1" s="148"/>
    </row>
    <row r="2" spans="1:19" ht="15.75">
      <c r="A2" s="148" t="s">
        <v>185</v>
      </c>
    </row>
    <row r="3" spans="1:19" ht="15">
      <c r="A3" s="150"/>
    </row>
    <row r="4" spans="1:19" ht="20.25">
      <c r="A4" s="151" t="s">
        <v>3</v>
      </c>
      <c r="B4" s="152"/>
      <c r="F4" s="153" t="s">
        <v>29</v>
      </c>
      <c r="G4" s="154">
        <v>13</v>
      </c>
      <c r="H4" s="154" t="str">
        <f>+'1'!H4</f>
        <v>.9.25</v>
      </c>
      <c r="J4" s="149">
        <v>1220.7</v>
      </c>
    </row>
    <row r="5" spans="1:19" ht="13.5" thickBot="1">
      <c r="C5" s="155"/>
      <c r="D5" s="155"/>
    </row>
    <row r="6" spans="1:19"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49" t="s">
        <v>417</v>
      </c>
      <c r="O6" s="149">
        <v>1230</v>
      </c>
      <c r="P6" s="149">
        <f>+O6-(O6*0.23)</f>
        <v>947.09999999999991</v>
      </c>
      <c r="Q6" s="149">
        <f>60*4+50</f>
        <v>290</v>
      </c>
      <c r="R6" s="149">
        <f t="shared" ref="R6:R11" si="0">+O6*Q6</f>
        <v>356700</v>
      </c>
      <c r="S6" s="149">
        <f t="shared" ref="S6:S11" si="1">+P6*Q6</f>
        <v>274659</v>
      </c>
    </row>
    <row r="7" spans="1:19" ht="13.5" customHeight="1" thickBot="1">
      <c r="A7" s="765"/>
      <c r="B7" s="215" t="s">
        <v>415</v>
      </c>
      <c r="C7" s="216">
        <f>5372+5847</f>
        <v>11219</v>
      </c>
      <c r="D7" s="217">
        <v>185</v>
      </c>
      <c r="E7" s="218"/>
      <c r="F7" s="228">
        <v>12</v>
      </c>
      <c r="G7" s="229" t="s">
        <v>12</v>
      </c>
      <c r="H7" s="230" t="s">
        <v>402</v>
      </c>
      <c r="I7" s="768" t="s">
        <v>428</v>
      </c>
      <c r="J7" s="214" t="str">
        <f>+'12'!J7</f>
        <v>F 12 VP OW</v>
      </c>
      <c r="K7" s="238">
        <f>+C8+C17</f>
        <v>4188</v>
      </c>
      <c r="L7" s="242"/>
      <c r="M7" s="117">
        <f>+K7+'12'!M7+L7</f>
        <v>172842</v>
      </c>
      <c r="N7" s="149" t="s">
        <v>389</v>
      </c>
      <c r="O7" s="149">
        <v>1230</v>
      </c>
      <c r="P7" s="149">
        <f>+O7-(O7*0.23)</f>
        <v>947.09999999999991</v>
      </c>
      <c r="Q7" s="149">
        <f>480-Q6-30</f>
        <v>160</v>
      </c>
      <c r="R7" s="149">
        <f t="shared" si="0"/>
        <v>196800</v>
      </c>
      <c r="S7" s="149">
        <f t="shared" si="1"/>
        <v>151536</v>
      </c>
    </row>
    <row r="8" spans="1:19" ht="13.5" thickBot="1">
      <c r="A8" s="766"/>
      <c r="B8" s="215" t="s">
        <v>391</v>
      </c>
      <c r="C8" s="216">
        <v>2118</v>
      </c>
      <c r="D8" s="217"/>
      <c r="E8" s="219"/>
      <c r="F8" s="231"/>
      <c r="G8" s="560" t="s">
        <v>12</v>
      </c>
      <c r="H8" s="230" t="s">
        <v>432</v>
      </c>
      <c r="I8" s="769"/>
      <c r="J8" s="214" t="str">
        <f>+'12'!J8</f>
        <v>F 13 VP OW</v>
      </c>
      <c r="K8" s="239">
        <f>+C7+C16</f>
        <v>14431</v>
      </c>
      <c r="L8" s="239"/>
      <c r="M8" s="117">
        <f>+K8+'12'!M8+L8</f>
        <v>66206</v>
      </c>
      <c r="P8" s="149">
        <f>+O8-(O8*0.23)</f>
        <v>0</v>
      </c>
      <c r="R8" s="149">
        <f t="shared" si="0"/>
        <v>0</v>
      </c>
      <c r="S8" s="149">
        <f t="shared" si="1"/>
        <v>0</v>
      </c>
    </row>
    <row r="9" spans="1:19" ht="13.5" thickBot="1">
      <c r="A9" s="766"/>
      <c r="B9" s="215"/>
      <c r="C9" s="216"/>
      <c r="D9" s="217"/>
      <c r="E9" s="220"/>
      <c r="F9" s="228">
        <v>15</v>
      </c>
      <c r="G9" s="560" t="s">
        <v>12</v>
      </c>
      <c r="H9" s="233" t="s">
        <v>386</v>
      </c>
      <c r="I9" s="769"/>
      <c r="J9" s="214" t="str">
        <f>+'12'!J9</f>
        <v>F 14 VP OW</v>
      </c>
      <c r="K9" s="239"/>
      <c r="L9" s="239"/>
      <c r="M9" s="117">
        <f>+K9+'12'!M9+L9</f>
        <v>100560</v>
      </c>
      <c r="P9" s="149">
        <f>+O9-(O9*0.2)</f>
        <v>0</v>
      </c>
      <c r="R9" s="149">
        <f t="shared" si="0"/>
        <v>0</v>
      </c>
      <c r="S9" s="149">
        <f t="shared" si="1"/>
        <v>0</v>
      </c>
    </row>
    <row r="10" spans="1:19" ht="26.25" thickBot="1">
      <c r="A10" s="766"/>
      <c r="B10" s="215"/>
      <c r="C10" s="216"/>
      <c r="D10" s="217"/>
      <c r="E10" s="219"/>
      <c r="F10" s="228"/>
      <c r="G10" s="237"/>
      <c r="H10" s="233" t="s">
        <v>569</v>
      </c>
      <c r="I10" s="769"/>
      <c r="J10" s="214" t="str">
        <f>+'12'!J10</f>
        <v>T 12,5 VP OW</v>
      </c>
      <c r="K10" s="239"/>
      <c r="L10" s="239"/>
      <c r="M10" s="117">
        <f>+K10+'12'!M10+L10</f>
        <v>19885</v>
      </c>
      <c r="P10" s="149">
        <f>+O10-(O10*0.23)</f>
        <v>0</v>
      </c>
      <c r="R10" s="149">
        <f t="shared" si="0"/>
        <v>0</v>
      </c>
      <c r="S10" s="149">
        <f t="shared" si="1"/>
        <v>0</v>
      </c>
    </row>
    <row r="11" spans="1:19" ht="26.25" thickBot="1">
      <c r="A11" s="766"/>
      <c r="B11" s="215"/>
      <c r="C11" s="216"/>
      <c r="D11" s="217"/>
      <c r="E11" s="219"/>
      <c r="F11" s="228">
        <v>30</v>
      </c>
      <c r="G11" s="232" t="s">
        <v>20</v>
      </c>
      <c r="H11" s="233" t="s">
        <v>570</v>
      </c>
      <c r="I11" s="769"/>
      <c r="J11" s="214" t="str">
        <f>+'12'!J11</f>
        <v>F 12,5 VP OW</v>
      </c>
      <c r="K11" s="239"/>
      <c r="L11" s="239"/>
      <c r="M11" s="117">
        <f>+K11+'12'!M11+L11</f>
        <v>42554</v>
      </c>
      <c r="P11" s="149">
        <f>+O11-(O11*0.23)</f>
        <v>0</v>
      </c>
      <c r="R11" s="149">
        <f t="shared" si="0"/>
        <v>0</v>
      </c>
      <c r="S11" s="149">
        <f t="shared" si="1"/>
        <v>0</v>
      </c>
    </row>
    <row r="12" spans="1:19" ht="13.5" thickBot="1">
      <c r="A12" s="766"/>
      <c r="B12" s="215"/>
      <c r="C12" s="216"/>
      <c r="D12" s="217"/>
      <c r="E12" s="219"/>
      <c r="F12" s="228"/>
      <c r="G12" s="232"/>
      <c r="H12" s="233"/>
      <c r="I12" s="769"/>
      <c r="J12" s="214" t="str">
        <f>+'12'!J12</f>
        <v>F 13,5 VP OW</v>
      </c>
      <c r="K12" s="239"/>
      <c r="L12" s="239"/>
      <c r="M12" s="117">
        <f>+K12+'12'!M12+L12</f>
        <v>11625</v>
      </c>
    </row>
    <row r="13" spans="1:19" ht="13.5" thickBot="1">
      <c r="A13" s="766"/>
      <c r="B13" s="215"/>
      <c r="C13" s="216"/>
      <c r="D13" s="216"/>
      <c r="E13" s="219"/>
      <c r="F13" s="228"/>
      <c r="G13" s="232"/>
      <c r="H13" s="233"/>
      <c r="I13" s="770"/>
      <c r="J13" s="214">
        <f>+'12'!J13</f>
        <v>0</v>
      </c>
      <c r="K13" s="239"/>
      <c r="L13" s="239"/>
      <c r="M13" s="117">
        <f>+K13+'12'!M13+L13</f>
        <v>0</v>
      </c>
    </row>
    <row r="14" spans="1:19" ht="13.5" thickBot="1">
      <c r="A14" s="767"/>
      <c r="B14" s="165" t="s">
        <v>2</v>
      </c>
      <c r="C14" s="99">
        <f>SUM(C7:C13)</f>
        <v>13337</v>
      </c>
      <c r="D14" s="111">
        <f>SUM(D7:D13)</f>
        <v>185</v>
      </c>
      <c r="E14" s="112">
        <f>SUM(E5:E13)</f>
        <v>0</v>
      </c>
      <c r="F14" s="116">
        <f>SUM(F7:F13)</f>
        <v>57</v>
      </c>
      <c r="G14" s="159"/>
      <c r="H14" s="166"/>
      <c r="I14" s="167"/>
      <c r="J14" s="214">
        <f>+'12'!J14</f>
        <v>0</v>
      </c>
      <c r="K14" s="239"/>
      <c r="L14" s="239"/>
      <c r="M14" s="117">
        <f>+K14+'12'!M14+L14</f>
        <v>0</v>
      </c>
      <c r="Q14" s="176">
        <f>SUM(Q6:Q11)</f>
        <v>450</v>
      </c>
      <c r="R14" s="176">
        <f>SUM(R6:R11)</f>
        <v>553500</v>
      </c>
      <c r="S14" s="176">
        <f>SUM(S6:S11)</f>
        <v>426195</v>
      </c>
    </row>
    <row r="15" spans="1:19" ht="13.5" customHeight="1" thickBot="1">
      <c r="A15" s="765"/>
      <c r="B15" s="165"/>
      <c r="C15" s="113">
        <f>C14/($C$23+$D$23+$E$23)</f>
        <v>2.5249905338886784</v>
      </c>
      <c r="D15" s="114">
        <f>D14/($C$23+$D$23+$E$23)</f>
        <v>3.5024611889435821E-2</v>
      </c>
      <c r="E15" s="115">
        <f>E14/($C$23+$D$23+$E$23)</f>
        <v>0</v>
      </c>
      <c r="F15" s="228"/>
      <c r="G15" s="229" t="s">
        <v>12</v>
      </c>
      <c r="H15" s="230" t="s">
        <v>466</v>
      </c>
      <c r="I15" s="768" t="s">
        <v>424</v>
      </c>
      <c r="J15" s="214">
        <f>+'12'!J15</f>
        <v>0</v>
      </c>
      <c r="K15" s="239"/>
      <c r="L15" s="239"/>
      <c r="M15" s="117">
        <f>+K15+'12'!M15+L15</f>
        <v>0</v>
      </c>
      <c r="P15" s="149" t="s">
        <v>424</v>
      </c>
      <c r="Q15" s="149">
        <f>480-Q14</f>
        <v>30</v>
      </c>
      <c r="R15" s="176">
        <f>+R14/Q14</f>
        <v>1230</v>
      </c>
      <c r="S15" s="176">
        <f>+S14/Q14</f>
        <v>947.1</v>
      </c>
    </row>
    <row r="16" spans="1:19" ht="13.5" thickBot="1">
      <c r="A16" s="771"/>
      <c r="B16" s="215" t="s">
        <v>415</v>
      </c>
      <c r="C16" s="222">
        <f>1512+1700</f>
        <v>3212</v>
      </c>
      <c r="D16" s="223"/>
      <c r="E16" s="224"/>
      <c r="F16" s="231"/>
      <c r="G16" s="560" t="s">
        <v>12</v>
      </c>
      <c r="H16" s="230" t="s">
        <v>432</v>
      </c>
      <c r="I16" s="769"/>
      <c r="J16" s="214">
        <f>+'12'!J16</f>
        <v>0</v>
      </c>
      <c r="K16" s="229"/>
      <c r="L16" s="229"/>
      <c r="M16" s="117">
        <f>+K16+'12'!M16+L16</f>
        <v>0</v>
      </c>
    </row>
    <row r="17" spans="1:13" ht="13.5" thickBot="1">
      <c r="A17" s="771"/>
      <c r="B17" s="215" t="s">
        <v>391</v>
      </c>
      <c r="C17" s="216">
        <v>2070</v>
      </c>
      <c r="D17" s="217"/>
      <c r="E17" s="225"/>
      <c r="F17" s="228"/>
      <c r="G17" s="560" t="s">
        <v>12</v>
      </c>
      <c r="H17" s="233" t="s">
        <v>507</v>
      </c>
      <c r="I17" s="769"/>
      <c r="J17" s="214">
        <f>+'12'!J17</f>
        <v>0</v>
      </c>
      <c r="K17" s="229"/>
      <c r="L17" s="229"/>
      <c r="M17" s="117">
        <f>+K17+'12'!M17+L17</f>
        <v>0</v>
      </c>
    </row>
    <row r="18" spans="1:13" ht="179.25" thickBot="1">
      <c r="A18" s="771"/>
      <c r="B18" s="215"/>
      <c r="C18" s="216"/>
      <c r="D18" s="217"/>
      <c r="E18" s="225"/>
      <c r="F18" s="228">
        <v>480</v>
      </c>
      <c r="G18" s="237" t="s">
        <v>20</v>
      </c>
      <c r="H18" s="233" t="s">
        <v>568</v>
      </c>
      <c r="I18" s="769"/>
      <c r="J18" s="214">
        <f>+'12'!J18</f>
        <v>0</v>
      </c>
      <c r="K18" s="239"/>
      <c r="L18" s="239"/>
      <c r="M18" s="117">
        <f>+K18+'12'!M18+L18</f>
        <v>0</v>
      </c>
    </row>
    <row r="19" spans="1:13" ht="13.5" thickBot="1">
      <c r="A19" s="771"/>
      <c r="B19" s="215"/>
      <c r="C19" s="216"/>
      <c r="D19" s="217"/>
      <c r="E19" s="225"/>
      <c r="F19" s="235"/>
      <c r="G19" s="232"/>
      <c r="H19" s="233"/>
      <c r="I19" s="769"/>
      <c r="J19" s="214">
        <f>+'12'!J19</f>
        <v>0</v>
      </c>
      <c r="K19" s="239"/>
      <c r="L19" s="239"/>
      <c r="M19" s="117">
        <f>+K19+'12'!M19+L19</f>
        <v>0</v>
      </c>
    </row>
    <row r="20" spans="1:13" ht="13.5" thickBot="1">
      <c r="A20" s="771"/>
      <c r="B20" s="215"/>
      <c r="C20" s="216"/>
      <c r="D20" s="217"/>
      <c r="E20" s="225"/>
      <c r="F20" s="228"/>
      <c r="G20" s="232"/>
      <c r="H20" s="233"/>
      <c r="I20" s="769"/>
      <c r="J20" s="214">
        <f>+'12'!J20</f>
        <v>0</v>
      </c>
      <c r="K20" s="240"/>
      <c r="L20" s="240"/>
      <c r="M20" s="117">
        <f>+K20+'12'!M20+L20</f>
        <v>0</v>
      </c>
    </row>
    <row r="21" spans="1:13" ht="13.5" thickBot="1">
      <c r="A21" s="771"/>
      <c r="B21" s="215"/>
      <c r="C21" s="216"/>
      <c r="D21" s="217"/>
      <c r="E21" s="225"/>
      <c r="F21" s="231"/>
      <c r="G21" s="232"/>
      <c r="H21" s="233"/>
      <c r="I21" s="769"/>
      <c r="J21" s="214">
        <f>+'12'!J21</f>
        <v>0</v>
      </c>
      <c r="K21" s="239"/>
      <c r="L21" s="239"/>
      <c r="M21" s="117">
        <f>+K21+'12'!M21+L21</f>
        <v>0</v>
      </c>
    </row>
    <row r="22" spans="1:13" ht="13.5" thickBot="1">
      <c r="A22" s="771"/>
      <c r="B22" s="215"/>
      <c r="C22" s="216"/>
      <c r="D22" s="217"/>
      <c r="E22" s="225"/>
      <c r="F22" s="236"/>
      <c r="G22" s="232"/>
      <c r="H22" s="233"/>
      <c r="I22" s="770"/>
      <c r="J22" s="214">
        <f>+'12'!J22</f>
        <v>0</v>
      </c>
      <c r="K22" s="239"/>
      <c r="L22" s="239"/>
      <c r="M22" s="117">
        <f>+K22+'12'!M22+L22</f>
        <v>0</v>
      </c>
    </row>
    <row r="23" spans="1:13" ht="13.5" thickBot="1">
      <c r="A23" s="772"/>
      <c r="B23" s="168" t="s">
        <v>2</v>
      </c>
      <c r="C23" s="100">
        <f>SUM(C16:C22)</f>
        <v>5282</v>
      </c>
      <c r="D23" s="111">
        <f>SUM(D16:D22)</f>
        <v>0</v>
      </c>
      <c r="E23" s="112">
        <f>SUM(E18:E22)</f>
        <v>0</v>
      </c>
      <c r="F23" s="116">
        <f>SUM(F15:F22)</f>
        <v>480</v>
      </c>
      <c r="G23" s="159"/>
      <c r="H23" s="166"/>
      <c r="I23" s="169"/>
      <c r="J23" s="214">
        <f>+'12'!J23</f>
        <v>0</v>
      </c>
      <c r="K23" s="239"/>
      <c r="L23" s="239"/>
      <c r="M23" s="117">
        <f>+K23+'12'!M23+L23</f>
        <v>0</v>
      </c>
    </row>
    <row r="24" spans="1:13" ht="13.5" customHeight="1" thickBot="1">
      <c r="A24" s="765"/>
      <c r="B24" s="170"/>
      <c r="C24" s="113">
        <f>C23/($C$23+$D$23+$E$23)</f>
        <v>1</v>
      </c>
      <c r="D24" s="114">
        <f>D23/($C$23+$D$23+$E$23)</f>
        <v>0</v>
      </c>
      <c r="E24" s="115">
        <f>E23/($C$23+$D$23+$E$23)</f>
        <v>0</v>
      </c>
      <c r="F24" s="228"/>
      <c r="G24" s="229" t="s">
        <v>12</v>
      </c>
      <c r="H24" s="230" t="s">
        <v>466</v>
      </c>
      <c r="I24" s="768" t="s">
        <v>424</v>
      </c>
      <c r="J24" s="214">
        <f>+'12'!J24</f>
        <v>0</v>
      </c>
      <c r="K24" s="239"/>
      <c r="L24" s="239"/>
      <c r="M24" s="117">
        <f>+K24+'12'!M24+L24</f>
        <v>0</v>
      </c>
    </row>
    <row r="25" spans="1:13" ht="13.5" thickBot="1">
      <c r="A25" s="771"/>
      <c r="B25" s="215"/>
      <c r="C25" s="226"/>
      <c r="D25" s="217"/>
      <c r="E25" s="225"/>
      <c r="F25" s="231"/>
      <c r="G25" s="560" t="s">
        <v>12</v>
      </c>
      <c r="H25" s="230" t="s">
        <v>432</v>
      </c>
      <c r="I25" s="769"/>
      <c r="J25" s="214">
        <f>+'12'!J25</f>
        <v>0</v>
      </c>
      <c r="K25" s="239"/>
      <c r="L25" s="239"/>
      <c r="M25" s="117">
        <f>+K25+'12'!M25+L25</f>
        <v>0</v>
      </c>
    </row>
    <row r="26" spans="1:13" ht="13.5" thickBot="1">
      <c r="A26" s="771"/>
      <c r="B26" s="215"/>
      <c r="C26" s="226"/>
      <c r="D26" s="217"/>
      <c r="E26" s="227"/>
      <c r="F26" s="228"/>
      <c r="G26" s="560" t="s">
        <v>12</v>
      </c>
      <c r="H26" s="233" t="s">
        <v>507</v>
      </c>
      <c r="I26" s="769"/>
      <c r="J26" s="214">
        <f>+'12'!J26</f>
        <v>0</v>
      </c>
      <c r="K26" s="239"/>
      <c r="L26" s="239"/>
      <c r="M26" s="117">
        <f>+K26+'12'!M26+L26</f>
        <v>0</v>
      </c>
    </row>
    <row r="27" spans="1:13" ht="64.5" thickBot="1">
      <c r="A27" s="771"/>
      <c r="B27" s="215"/>
      <c r="C27" s="216"/>
      <c r="D27" s="217"/>
      <c r="E27" s="225"/>
      <c r="F27" s="228">
        <v>480</v>
      </c>
      <c r="G27" s="237" t="s">
        <v>20</v>
      </c>
      <c r="H27" s="233" t="s">
        <v>567</v>
      </c>
      <c r="I27" s="769"/>
      <c r="J27" s="214">
        <f>+'12'!J27</f>
        <v>0</v>
      </c>
      <c r="K27" s="239"/>
      <c r="L27" s="239"/>
      <c r="M27" s="117">
        <f>+K27+'12'!M27+L27</f>
        <v>0</v>
      </c>
    </row>
    <row r="28" spans="1:13" ht="13.5" thickBot="1">
      <c r="A28" s="771"/>
      <c r="B28" s="215"/>
      <c r="C28" s="216"/>
      <c r="D28" s="217"/>
      <c r="E28" s="225"/>
      <c r="F28" s="231"/>
      <c r="G28" s="232"/>
      <c r="H28" s="233"/>
      <c r="I28" s="769"/>
      <c r="J28" s="214">
        <f>+'12'!J28</f>
        <v>0</v>
      </c>
      <c r="K28" s="239"/>
      <c r="L28" s="239"/>
      <c r="M28" s="117">
        <f>+K28+'12'!M28+L28</f>
        <v>0</v>
      </c>
    </row>
    <row r="29" spans="1:13" ht="13.5" thickBot="1">
      <c r="A29" s="771"/>
      <c r="B29" s="215"/>
      <c r="C29" s="216"/>
      <c r="D29" s="217"/>
      <c r="E29" s="225"/>
      <c r="F29" s="236"/>
      <c r="G29" s="232"/>
      <c r="H29" s="233"/>
      <c r="I29" s="769"/>
      <c r="J29" s="214">
        <f>+'12'!J29</f>
        <v>0</v>
      </c>
      <c r="K29" s="239"/>
      <c r="L29" s="239"/>
      <c r="M29" s="117">
        <f>+K29+'12'!M29+L29</f>
        <v>0</v>
      </c>
    </row>
    <row r="30" spans="1:13" ht="13.5" thickBot="1">
      <c r="A30" s="771"/>
      <c r="B30" s="215"/>
      <c r="C30" s="226"/>
      <c r="D30" s="217"/>
      <c r="E30" s="225"/>
      <c r="F30" s="236"/>
      <c r="G30" s="232"/>
      <c r="H30" s="233"/>
      <c r="I30" s="769"/>
      <c r="J30" s="214">
        <f>+'12'!J30</f>
        <v>0</v>
      </c>
      <c r="K30" s="239"/>
      <c r="L30" s="239"/>
      <c r="M30" s="117">
        <f>+K30+'12'!M30+L30</f>
        <v>0</v>
      </c>
    </row>
    <row r="31" spans="1:13" ht="13.5" thickBot="1">
      <c r="A31" s="771"/>
      <c r="B31" s="215"/>
      <c r="C31" s="226"/>
      <c r="D31" s="217"/>
      <c r="E31" s="225"/>
      <c r="F31" s="236"/>
      <c r="G31" s="237"/>
      <c r="H31" s="445"/>
      <c r="I31" s="770"/>
      <c r="J31" s="214">
        <f>+'12'!J31</f>
        <v>0</v>
      </c>
      <c r="K31" s="239"/>
      <c r="L31" s="239"/>
      <c r="M31" s="117">
        <f>+K31+'12'!M31+L31</f>
        <v>0</v>
      </c>
    </row>
    <row r="32" spans="1:13" ht="13.5" thickBot="1">
      <c r="A32" s="772"/>
      <c r="B32" s="165" t="s">
        <v>2</v>
      </c>
      <c r="C32" s="99">
        <f>SUM(C25:C31)</f>
        <v>0</v>
      </c>
      <c r="D32" s="100">
        <f>SUM(D25:D31)</f>
        <v>0</v>
      </c>
      <c r="E32" s="101">
        <f>SUM(E25:E31)</f>
        <v>0</v>
      </c>
      <c r="F32" s="102">
        <f>SUM(F24:F31)</f>
        <v>480</v>
      </c>
      <c r="G32" s="171"/>
      <c r="H32" s="172"/>
      <c r="I32" s="169"/>
      <c r="J32" s="214">
        <f>+'12'!J32</f>
        <v>0</v>
      </c>
      <c r="K32" s="241"/>
      <c r="L32" s="243"/>
      <c r="M32" s="117">
        <f>+K32+'12'!M32+L32</f>
        <v>0</v>
      </c>
    </row>
    <row r="33" spans="1:17" ht="13.5" thickBot="1">
      <c r="A33" s="173"/>
      <c r="B33" s="174"/>
      <c r="C33" s="103" t="e">
        <f>C32/($C$32+$D$32+$E$32)</f>
        <v>#DIV/0!</v>
      </c>
      <c r="D33" s="104" t="e">
        <f>D32/($C$32+$D$32+$E$32)</f>
        <v>#DIV/0!</v>
      </c>
      <c r="E33" s="105" t="e">
        <f>E32/($C$32+$D$32+$E$32)</f>
        <v>#DIV/0!</v>
      </c>
      <c r="F33" s="106"/>
      <c r="G33" s="175"/>
      <c r="H33" s="176"/>
      <c r="I33" s="177"/>
      <c r="J33" s="121"/>
      <c r="K33" s="122"/>
      <c r="L33" s="213"/>
      <c r="M33" s="119"/>
    </row>
    <row r="34" spans="1:17" ht="13.5" thickBot="1">
      <c r="A34" s="761" t="s">
        <v>57</v>
      </c>
      <c r="B34" s="762"/>
      <c r="C34" s="107">
        <f>C14+C23+C32</f>
        <v>18619</v>
      </c>
      <c r="D34" s="107">
        <f>D14+D23+D32</f>
        <v>185</v>
      </c>
      <c r="E34" s="107">
        <f>E14+E23+E32</f>
        <v>0</v>
      </c>
      <c r="F34" s="108">
        <f>F14+F23+F32</f>
        <v>1017</v>
      </c>
      <c r="H34" s="178"/>
      <c r="I34" s="178"/>
      <c r="J34" s="123" t="s">
        <v>28</v>
      </c>
      <c r="K34" s="124">
        <f>SUM(K7:K32)</f>
        <v>18619</v>
      </c>
      <c r="L34" s="212">
        <f>SUM(L7:L32)</f>
        <v>0</v>
      </c>
      <c r="M34" s="120">
        <f>SUM(M7:M32)</f>
        <v>413672</v>
      </c>
    </row>
    <row r="35" spans="1:17" ht="13.5" thickBot="1">
      <c r="A35" s="179"/>
      <c r="B35" s="180"/>
      <c r="C35" s="104">
        <f>C34/($C$34+$D$34+$E$34)</f>
        <v>0.99016166773027015</v>
      </c>
      <c r="D35" s="104">
        <f>D34/($C$34+$D$34+$E$34)</f>
        <v>9.8383322697298443E-3</v>
      </c>
      <c r="E35" s="109">
        <f>E34/($C$34+$D$34+$E$34)</f>
        <v>0</v>
      </c>
      <c r="K35" s="155"/>
    </row>
    <row r="36" spans="1:17" ht="13.5" thickBot="1">
      <c r="A36" s="178"/>
      <c r="B36" s="178"/>
      <c r="C36" s="155"/>
      <c r="D36" s="155"/>
      <c r="E36" s="155"/>
      <c r="G36" s="155"/>
      <c r="H36" s="181"/>
      <c r="I36" s="162" t="s">
        <v>37</v>
      </c>
      <c r="J36" s="162" t="s">
        <v>38</v>
      </c>
      <c r="K36" s="182"/>
    </row>
    <row r="37" spans="1:17" ht="17.45" customHeight="1" thickBot="1">
      <c r="A37" s="763" t="s">
        <v>58</v>
      </c>
      <c r="B37" s="764"/>
      <c r="C37" s="162" t="s">
        <v>59</v>
      </c>
      <c r="D37" s="183" t="s">
        <v>60</v>
      </c>
      <c r="E37" s="184" t="s">
        <v>61</v>
      </c>
      <c r="F37" s="322"/>
      <c r="G37" s="324"/>
      <c r="H37" s="186" t="s">
        <v>62</v>
      </c>
      <c r="I37" s="244">
        <f>(13*290+12*160)/450*G42*2.74*450/1000000</f>
        <v>14.765857260000002</v>
      </c>
      <c r="J37" s="125" t="e">
        <f>+I37+'12'!J37</f>
        <v>#DIV/0!</v>
      </c>
      <c r="K37" s="126" t="s">
        <v>63</v>
      </c>
      <c r="N37" s="149" t="s">
        <v>417</v>
      </c>
      <c r="O37" s="149">
        <v>1230</v>
      </c>
      <c r="P37" s="149">
        <v>947.09999999999991</v>
      </c>
      <c r="Q37" s="149">
        <v>290</v>
      </c>
    </row>
    <row r="38" spans="1:17" ht="17.45" customHeight="1">
      <c r="A38" s="755" t="s">
        <v>12</v>
      </c>
      <c r="B38" s="756"/>
      <c r="C38" s="164">
        <f>SUMIF($G$7:$G$31,"Process",$F$7:$F$31)</f>
        <v>27</v>
      </c>
      <c r="D38" s="118">
        <f>+C38+'12'!D38</f>
        <v>860</v>
      </c>
      <c r="E38" s="143">
        <f t="shared" ref="E38:E51" si="2">D38/60</f>
        <v>14.333333333333334</v>
      </c>
      <c r="F38" s="322">
        <v>1230</v>
      </c>
      <c r="G38" s="322">
        <v>947.1</v>
      </c>
      <c r="H38" s="187" t="s">
        <v>64</v>
      </c>
      <c r="I38" s="245">
        <f>9.105+4.53</f>
        <v>13.635000000000002</v>
      </c>
      <c r="J38" s="127">
        <f>+I38+'12'!J38</f>
        <v>440.91260000000005</v>
      </c>
      <c r="K38" s="128" t="s">
        <v>63</v>
      </c>
      <c r="N38" s="149" t="s">
        <v>389</v>
      </c>
      <c r="O38" s="149">
        <v>1230</v>
      </c>
      <c r="P38" s="149">
        <v>947.09999999999991</v>
      </c>
      <c r="Q38" s="149">
        <v>160</v>
      </c>
    </row>
    <row r="39" spans="1:17" ht="17.45" customHeight="1">
      <c r="A39" s="759" t="s">
        <v>13</v>
      </c>
      <c r="B39" s="760"/>
      <c r="C39" s="164">
        <f>SUMIF($G$7:$G$31,"Cleaning",$F$7:$F$31)</f>
        <v>0</v>
      </c>
      <c r="D39" s="118">
        <f>+C39+'12'!D39</f>
        <v>0</v>
      </c>
      <c r="E39" s="143">
        <f t="shared" si="2"/>
        <v>0</v>
      </c>
      <c r="F39" s="322"/>
      <c r="G39" s="322"/>
      <c r="H39" s="187" t="s">
        <v>65</v>
      </c>
      <c r="I39" s="142"/>
      <c r="J39" s="129" t="e">
        <f>J37/G4</f>
        <v>#DIV/0!</v>
      </c>
      <c r="K39" s="130" t="s">
        <v>63</v>
      </c>
    </row>
    <row r="40" spans="1:17" ht="17.45" customHeight="1">
      <c r="A40" s="759" t="s">
        <v>66</v>
      </c>
      <c r="B40" s="760"/>
      <c r="C40" s="164">
        <f>SUMIF($G$7:$G$31,"Mechanical",$F$7:$F$31)</f>
        <v>0</v>
      </c>
      <c r="D40" s="118">
        <f>+C40+'12'!D40</f>
        <v>0</v>
      </c>
      <c r="E40" s="143">
        <f t="shared" si="2"/>
        <v>0</v>
      </c>
      <c r="F40" s="322"/>
      <c r="G40" s="322"/>
      <c r="H40" s="187" t="s">
        <v>67</v>
      </c>
      <c r="I40" s="118">
        <f>(K34+L34)/1000</f>
        <v>18.619</v>
      </c>
      <c r="J40" s="131">
        <f>+I40+'12'!J40</f>
        <v>413.67199999999991</v>
      </c>
      <c r="K40" s="130" t="s">
        <v>63</v>
      </c>
    </row>
    <row r="41" spans="1:17" ht="17.45" customHeight="1">
      <c r="A41" s="759" t="s">
        <v>68</v>
      </c>
      <c r="B41" s="760"/>
      <c r="C41" s="164">
        <f>SUMIF($G$7:$G$31,"Electrical",$F$7:$F$31)</f>
        <v>0</v>
      </c>
      <c r="D41" s="118">
        <f>+C41+'12'!D41</f>
        <v>550</v>
      </c>
      <c r="E41" s="143">
        <f t="shared" si="2"/>
        <v>9.1666666666666661</v>
      </c>
      <c r="F41" s="322"/>
      <c r="G41" s="322"/>
      <c r="H41" s="187" t="s">
        <v>69</v>
      </c>
      <c r="I41" s="142"/>
      <c r="J41" s="129">
        <f>J40/G4</f>
        <v>31.820923076923069</v>
      </c>
      <c r="K41" s="130" t="s">
        <v>63</v>
      </c>
    </row>
    <row r="42" spans="1:17" ht="17.45" customHeight="1">
      <c r="A42" s="759" t="s">
        <v>16</v>
      </c>
      <c r="B42" s="760"/>
      <c r="C42" s="164">
        <f>SUMIF($G$7:$G$31,"Instrument",$F$7:$F$31)</f>
        <v>0</v>
      </c>
      <c r="D42" s="118">
        <f>+C42+'12'!D42</f>
        <v>0</v>
      </c>
      <c r="E42" s="143">
        <f t="shared" si="2"/>
        <v>0</v>
      </c>
      <c r="F42" s="322">
        <v>1230</v>
      </c>
      <c r="G42" s="322">
        <v>947.1</v>
      </c>
      <c r="H42" s="187" t="s">
        <v>70</v>
      </c>
      <c r="I42" s="246" t="s">
        <v>428</v>
      </c>
      <c r="J42" s="132"/>
      <c r="K42" s="130" t="s">
        <v>71</v>
      </c>
    </row>
    <row r="43" spans="1:17" ht="17.45" customHeight="1">
      <c r="A43" s="759" t="s">
        <v>72</v>
      </c>
      <c r="B43" s="760"/>
      <c r="C43" s="164">
        <f>SUMIF($G$7:$G$31,"Water",$F$7:$F$31)</f>
        <v>0</v>
      </c>
      <c r="D43" s="118">
        <f>+C43+'12'!D43</f>
        <v>0</v>
      </c>
      <c r="E43" s="143">
        <f t="shared" si="2"/>
        <v>0</v>
      </c>
      <c r="F43" s="322"/>
      <c r="G43" s="323"/>
      <c r="H43" s="188" t="s">
        <v>73</v>
      </c>
      <c r="I43" s="118">
        <f>+Report1!Z21</f>
        <v>19.2</v>
      </c>
      <c r="J43" s="133">
        <f>+I43+'12'!J43</f>
        <v>673.2</v>
      </c>
      <c r="K43" s="130" t="s">
        <v>63</v>
      </c>
      <c r="L43" s="189"/>
    </row>
    <row r="44" spans="1:17" ht="17.45" customHeight="1">
      <c r="A44" s="759" t="s">
        <v>17</v>
      </c>
      <c r="B44" s="760"/>
      <c r="C44" s="164">
        <f>SUMIF($G$7:$G$31,"PLN",$F$7:$F$31)</f>
        <v>0</v>
      </c>
      <c r="D44" s="118">
        <f>+C44+'12'!D44</f>
        <v>0</v>
      </c>
      <c r="E44" s="143">
        <f t="shared" si="2"/>
        <v>0</v>
      </c>
      <c r="F44" s="322"/>
      <c r="G44" s="323"/>
      <c r="H44" s="188" t="s">
        <v>74</v>
      </c>
      <c r="I44" s="118">
        <f>I43/I38</f>
        <v>1.408140814081408</v>
      </c>
      <c r="J44" s="134">
        <f>J43/J38</f>
        <v>1.5268332091212633</v>
      </c>
      <c r="K44" s="130" t="s">
        <v>63</v>
      </c>
    </row>
    <row r="45" spans="1:17" ht="17.45" customHeight="1">
      <c r="A45" s="759" t="s">
        <v>18</v>
      </c>
      <c r="B45" s="760"/>
      <c r="C45" s="164">
        <f>SUMIF($G$7:$G$31,"Boiler",$F$7:$F$31)</f>
        <v>0</v>
      </c>
      <c r="D45" s="118">
        <f>+C45+'12'!D45</f>
        <v>0</v>
      </c>
      <c r="E45" s="143">
        <f t="shared" si="2"/>
        <v>0</v>
      </c>
      <c r="F45" s="322"/>
      <c r="G45" s="325"/>
      <c r="H45" s="188" t="s">
        <v>75</v>
      </c>
      <c r="I45" s="118">
        <f>I43/I40</f>
        <v>1.0312046833879371</v>
      </c>
      <c r="J45" s="134">
        <f>J43/J40</f>
        <v>1.6273762787909265</v>
      </c>
      <c r="K45" s="130" t="s">
        <v>63</v>
      </c>
    </row>
    <row r="46" spans="1:17" ht="17.45" customHeight="1">
      <c r="A46" s="759" t="s">
        <v>76</v>
      </c>
      <c r="B46" s="760"/>
      <c r="C46" s="164">
        <f>SUMIF($G$7:$G$31,"Gas",$F$7:$F$31)</f>
        <v>0</v>
      </c>
      <c r="D46" s="118">
        <f>+C46+'12'!D46</f>
        <v>0</v>
      </c>
      <c r="E46" s="143">
        <f t="shared" si="2"/>
        <v>0</v>
      </c>
      <c r="F46" s="322"/>
      <c r="G46" s="323"/>
      <c r="H46" s="188" t="s">
        <v>77</v>
      </c>
      <c r="I46" s="140">
        <f>+SUMIF(Listrik!P20,"&gt;0")</f>
        <v>21110.860000000728</v>
      </c>
      <c r="J46" s="135">
        <f>+I46+'12'!J46</f>
        <v>410471.44000000111</v>
      </c>
      <c r="K46" s="130" t="s">
        <v>78</v>
      </c>
    </row>
    <row r="47" spans="1:17" ht="17.45" customHeight="1">
      <c r="A47" s="759" t="s">
        <v>79</v>
      </c>
      <c r="B47" s="760"/>
      <c r="C47" s="164">
        <f>SUMIF($G$7:$G$31,"Gas",$F$7:$F$31)</f>
        <v>0</v>
      </c>
      <c r="D47" s="118">
        <f>+C47+'12'!D47</f>
        <v>0</v>
      </c>
      <c r="E47" s="143">
        <f t="shared" si="2"/>
        <v>0</v>
      </c>
      <c r="F47" s="322"/>
      <c r="G47" s="323"/>
      <c r="H47" s="188" t="s">
        <v>80</v>
      </c>
      <c r="I47" s="118">
        <f>I46/I38</f>
        <v>1548.2845617895655</v>
      </c>
      <c r="J47" s="135">
        <f>J46/J38</f>
        <v>930.95874329742685</v>
      </c>
      <c r="K47" s="130" t="s">
        <v>24</v>
      </c>
    </row>
    <row r="48" spans="1:17" ht="17.45" customHeight="1">
      <c r="A48" s="759" t="s">
        <v>14</v>
      </c>
      <c r="B48" s="760"/>
      <c r="C48" s="164">
        <f>SUMIF($G$7:$G$31,"Start Up",$F$7:$F$31)</f>
        <v>0</v>
      </c>
      <c r="D48" s="118">
        <f>+C48+'12'!D48</f>
        <v>0</v>
      </c>
      <c r="E48" s="143">
        <f t="shared" si="2"/>
        <v>0</v>
      </c>
      <c r="F48" s="322"/>
      <c r="G48" s="323"/>
      <c r="H48" s="188" t="s">
        <v>81</v>
      </c>
      <c r="I48" s="118">
        <f>I46/I40</f>
        <v>1133.8342553306154</v>
      </c>
      <c r="J48" s="135">
        <f>J46/J40</f>
        <v>992.26304898567275</v>
      </c>
      <c r="K48" s="130" t="s">
        <v>24</v>
      </c>
    </row>
    <row r="49" spans="1:11" ht="17.45" customHeight="1">
      <c r="A49" s="759" t="s">
        <v>20</v>
      </c>
      <c r="B49" s="760"/>
      <c r="C49" s="164">
        <f>SUMIF($G$7:$G$31,"Others",$F$7:$F$31)</f>
        <v>990</v>
      </c>
      <c r="D49" s="118">
        <f>+C49+'12'!D49</f>
        <v>990</v>
      </c>
      <c r="E49" s="143">
        <f t="shared" si="2"/>
        <v>16.5</v>
      </c>
      <c r="F49" s="185"/>
      <c r="H49" s="188" t="s">
        <v>272</v>
      </c>
      <c r="I49" s="118">
        <f>+Report1!T21</f>
        <v>1108.2831257846699</v>
      </c>
      <c r="J49" s="135">
        <f>+I49+'12'!J49</f>
        <v>41069.474159648547</v>
      </c>
      <c r="K49" s="130" t="s">
        <v>82</v>
      </c>
    </row>
    <row r="50" spans="1:11" ht="17.45" customHeight="1">
      <c r="A50" s="759" t="s">
        <v>19</v>
      </c>
      <c r="B50" s="760"/>
      <c r="C50" s="164">
        <f>SUMIF($G$7:$G$31,"Steam",$F$7:$F$31)</f>
        <v>0</v>
      </c>
      <c r="D50" s="118">
        <f>+C50+'12'!D50</f>
        <v>0</v>
      </c>
      <c r="E50" s="143">
        <f t="shared" si="2"/>
        <v>0</v>
      </c>
      <c r="F50" s="185"/>
      <c r="H50" s="188" t="s">
        <v>83</v>
      </c>
      <c r="I50" s="140">
        <f>I49/I38</f>
        <v>81.282224113287114</v>
      </c>
      <c r="J50" s="133">
        <f>J49/J38</f>
        <v>93.146519649582572</v>
      </c>
      <c r="K50" s="130" t="s">
        <v>82</v>
      </c>
    </row>
    <row r="51" spans="1:11" ht="17.45" customHeight="1" thickBot="1">
      <c r="A51" s="753" t="s">
        <v>84</v>
      </c>
      <c r="B51" s="754"/>
      <c r="C51" s="164">
        <f>SUMIF($G$7:$G$31,"Planned shut",$F$7:$F$31)</f>
        <v>0</v>
      </c>
      <c r="D51" s="118">
        <f>+C51+'12'!D51</f>
        <v>1555</v>
      </c>
      <c r="E51" s="143">
        <f t="shared" si="2"/>
        <v>25.916666666666668</v>
      </c>
      <c r="F51" s="185"/>
      <c r="H51" s="190" t="s">
        <v>85</v>
      </c>
      <c r="I51" s="141">
        <f>I49/I40</f>
        <v>59.524309886925714</v>
      </c>
      <c r="J51" s="136">
        <f>J49/J40</f>
        <v>99.280285249300306</v>
      </c>
      <c r="K51" s="137" t="s">
        <v>82</v>
      </c>
    </row>
    <row r="52" spans="1:11" ht="13.5" thickBot="1">
      <c r="A52" s="755" t="s">
        <v>28</v>
      </c>
      <c r="B52" s="756"/>
      <c r="C52" s="144">
        <f>SUM(C38:C51)</f>
        <v>1017</v>
      </c>
      <c r="D52" s="144">
        <f>SUM(D38:D51)</f>
        <v>3955</v>
      </c>
      <c r="E52" s="145">
        <f>SUM(E38:E51)</f>
        <v>65.916666666666671</v>
      </c>
      <c r="F52" s="185"/>
      <c r="H52" s="191"/>
      <c r="I52" s="192"/>
      <c r="J52" s="138"/>
      <c r="K52" s="139"/>
    </row>
    <row r="53" spans="1:11" ht="13.5" thickBot="1">
      <c r="A53" s="757"/>
      <c r="B53" s="758"/>
      <c r="C53" s="146">
        <f>C52/(24*60)</f>
        <v>0.70625000000000004</v>
      </c>
      <c r="D53" s="146">
        <f>D52/(24*60*G4)</f>
        <v>0.21127136752136752</v>
      </c>
      <c r="E53" s="147">
        <f>E52/(G4*24)</f>
        <v>0.21127136752136755</v>
      </c>
      <c r="F53" s="185"/>
    </row>
    <row r="54" spans="1:11">
      <c r="E54" s="193"/>
      <c r="F54" s="185"/>
    </row>
    <row r="55" spans="1:11">
      <c r="E55" s="193"/>
    </row>
    <row r="56" spans="1:11">
      <c r="A56" s="194" t="s">
        <v>86</v>
      </c>
      <c r="B56" s="195"/>
      <c r="C56" s="196"/>
      <c r="D56" s="196"/>
      <c r="E56" s="196"/>
      <c r="F56" s="197"/>
      <c r="G56" s="196"/>
      <c r="H56" s="198"/>
      <c r="I56" s="199" t="s">
        <v>87</v>
      </c>
      <c r="J56" s="200">
        <f>+D34+'12'!J56</f>
        <v>8782</v>
      </c>
      <c r="K56" s="201">
        <f>J56/(J40+J56/1000)/1000</f>
        <v>2.078806213220848E-2</v>
      </c>
    </row>
    <row r="57" spans="1:11">
      <c r="A57" s="176"/>
      <c r="I57" s="199" t="s">
        <v>88</v>
      </c>
      <c r="J57" s="200">
        <f>+E34+'12'!J57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I7:I13"/>
    <mergeCell ref="A15:A23"/>
    <mergeCell ref="I15:I22"/>
    <mergeCell ref="A46:B46"/>
    <mergeCell ref="A47:B47"/>
    <mergeCell ref="A44:B44"/>
    <mergeCell ref="A45:B45"/>
    <mergeCell ref="A7:A14"/>
    <mergeCell ref="A40:B40"/>
    <mergeCell ref="I24:I31"/>
    <mergeCell ref="A43:B43"/>
    <mergeCell ref="A24:A32"/>
    <mergeCell ref="A34:B34"/>
    <mergeCell ref="A37:B37"/>
    <mergeCell ref="A38:B38"/>
    <mergeCell ref="A41:B41"/>
    <mergeCell ref="A42:B42"/>
    <mergeCell ref="A39:B39"/>
    <mergeCell ref="A53:B53"/>
    <mergeCell ref="A48:B48"/>
    <mergeCell ref="A49:B49"/>
    <mergeCell ref="A50:B50"/>
    <mergeCell ref="A51:B51"/>
    <mergeCell ref="A52:B52"/>
  </mergeCells>
  <phoneticPr fontId="32"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1"/>
  <sheetViews>
    <sheetView zoomScale="80" zoomScaleNormal="80" workbookViewId="0">
      <selection activeCell="D27" sqref="D27"/>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5" style="149" bestFit="1" customWidth="1"/>
    <col min="14" max="16384" width="9.140625" style="149"/>
  </cols>
  <sheetData>
    <row r="1" spans="1:26" ht="15.75">
      <c r="A1" s="148"/>
    </row>
    <row r="2" spans="1:26" ht="15.75">
      <c r="A2" s="148" t="s">
        <v>185</v>
      </c>
    </row>
    <row r="3" spans="1:26" ht="15">
      <c r="A3" s="150"/>
    </row>
    <row r="4" spans="1:26" ht="20.25">
      <c r="A4" s="151" t="s">
        <v>3</v>
      </c>
      <c r="B4" s="152"/>
      <c r="F4" s="153" t="s">
        <v>29</v>
      </c>
      <c r="G4" s="154">
        <v>12</v>
      </c>
      <c r="H4" s="154" t="str">
        <f>+'1'!H4</f>
        <v>.9.25</v>
      </c>
      <c r="J4" s="149">
        <f>556+561+664</f>
        <v>1781</v>
      </c>
    </row>
    <row r="5" spans="1:26" ht="13.5" thickBot="1">
      <c r="C5" s="155"/>
      <c r="D5" s="155"/>
    </row>
    <row r="6" spans="1:26"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49" t="s">
        <v>389</v>
      </c>
      <c r="O6" s="149">
        <v>1200</v>
      </c>
      <c r="P6" s="149">
        <f>+O6-(O6*0.23)</f>
        <v>924</v>
      </c>
      <c r="Q6" s="149">
        <f>60+25</f>
        <v>85</v>
      </c>
      <c r="R6" s="149">
        <f t="shared" ref="R6:R11" si="0">+O6*Q6</f>
        <v>102000</v>
      </c>
      <c r="S6" s="149">
        <f t="shared" ref="S6:S11" si="1">+P6*Q6</f>
        <v>78540</v>
      </c>
      <c r="U6" s="149" t="s">
        <v>389</v>
      </c>
      <c r="V6" s="149">
        <v>1200</v>
      </c>
      <c r="W6" s="149">
        <f>+V6-(V6*0.23)</f>
        <v>924</v>
      </c>
      <c r="X6" s="149">
        <f>60+25</f>
        <v>85</v>
      </c>
      <c r="Y6" s="149">
        <f t="shared" ref="Y6:Y11" si="2">+V6*X6</f>
        <v>102000</v>
      </c>
      <c r="Z6" s="149">
        <f t="shared" ref="Z6:Z11" si="3">+W6*X6</f>
        <v>78540</v>
      </c>
    </row>
    <row r="7" spans="1:26" ht="13.5" customHeight="1" thickBot="1">
      <c r="A7" s="765"/>
      <c r="B7" s="215" t="s">
        <v>391</v>
      </c>
      <c r="C7" s="216">
        <v>11950</v>
      </c>
      <c r="D7" s="217"/>
      <c r="E7" s="218"/>
      <c r="F7" s="228">
        <v>9</v>
      </c>
      <c r="G7" s="229" t="s">
        <v>12</v>
      </c>
      <c r="H7" s="230" t="s">
        <v>402</v>
      </c>
      <c r="I7" s="768" t="s">
        <v>558</v>
      </c>
      <c r="J7" s="214" t="str">
        <f>+'11'!J7</f>
        <v>F 12 VP OW</v>
      </c>
      <c r="K7" s="238">
        <f>+C7+C16</f>
        <v>22850</v>
      </c>
      <c r="L7" s="242"/>
      <c r="M7" s="117">
        <f>+K7+'11'!M7+L7</f>
        <v>168654</v>
      </c>
      <c r="O7" s="149">
        <v>1230</v>
      </c>
      <c r="P7" s="149">
        <f>+O7-(O7*0.23)</f>
        <v>947.09999999999991</v>
      </c>
      <c r="Q7" s="149">
        <f>480-Q6</f>
        <v>395</v>
      </c>
      <c r="R7" s="149">
        <f t="shared" si="0"/>
        <v>485850</v>
      </c>
      <c r="S7" s="149">
        <f t="shared" si="1"/>
        <v>374104.49999999994</v>
      </c>
      <c r="V7" s="149">
        <v>1230</v>
      </c>
      <c r="W7" s="149">
        <f>+V7-(V7*0.23)</f>
        <v>947.09999999999991</v>
      </c>
      <c r="X7" s="149">
        <f>480-X6</f>
        <v>395</v>
      </c>
      <c r="Y7" s="149">
        <f t="shared" si="2"/>
        <v>485850</v>
      </c>
      <c r="Z7" s="149">
        <f t="shared" si="3"/>
        <v>374104.49999999994</v>
      </c>
    </row>
    <row r="8" spans="1:26" ht="13.5" thickBot="1">
      <c r="A8" s="766"/>
      <c r="B8" s="215"/>
      <c r="C8" s="216"/>
      <c r="D8" s="217"/>
      <c r="E8" s="219"/>
      <c r="F8" s="231"/>
      <c r="G8" s="560" t="s">
        <v>12</v>
      </c>
      <c r="H8" s="230" t="s">
        <v>432</v>
      </c>
      <c r="I8" s="769"/>
      <c r="J8" s="214" t="str">
        <f>+'11'!J8</f>
        <v>F 13 VP OW</v>
      </c>
      <c r="K8" s="239">
        <f>+C26</f>
        <v>5509</v>
      </c>
      <c r="L8" s="239"/>
      <c r="M8" s="117">
        <f>+K8+'11'!M8+L8</f>
        <v>51775</v>
      </c>
      <c r="P8" s="149">
        <f>+O8-(O8*0.23)</f>
        <v>0</v>
      </c>
      <c r="R8" s="149">
        <f t="shared" si="0"/>
        <v>0</v>
      </c>
      <c r="S8" s="149">
        <f t="shared" si="1"/>
        <v>0</v>
      </c>
      <c r="U8" s="149" t="s">
        <v>389</v>
      </c>
      <c r="V8" s="149">
        <v>1230</v>
      </c>
      <c r="W8" s="149">
        <v>947.09999999999991</v>
      </c>
      <c r="X8" s="149">
        <v>205</v>
      </c>
      <c r="Y8" s="149">
        <f t="shared" si="2"/>
        <v>252150</v>
      </c>
      <c r="Z8" s="149">
        <f t="shared" si="3"/>
        <v>194155.49999999997</v>
      </c>
    </row>
    <row r="9" spans="1:26" ht="13.5" thickBot="1">
      <c r="A9" s="766"/>
      <c r="B9" s="215"/>
      <c r="C9" s="216"/>
      <c r="D9" s="217"/>
      <c r="E9" s="220"/>
      <c r="F9" s="228">
        <f>25-9</f>
        <v>16</v>
      </c>
      <c r="G9" s="560" t="s">
        <v>12</v>
      </c>
      <c r="H9" s="233" t="s">
        <v>405</v>
      </c>
      <c r="I9" s="769"/>
      <c r="J9" s="214" t="str">
        <f>+'11'!J9</f>
        <v>F 14 VP OW</v>
      </c>
      <c r="K9" s="239"/>
      <c r="L9" s="239"/>
      <c r="M9" s="117">
        <f>+K9+'11'!M9+L9</f>
        <v>100560</v>
      </c>
      <c r="P9" s="149">
        <f>+O9-(O9*0.2)</f>
        <v>0</v>
      </c>
      <c r="R9" s="149">
        <f t="shared" si="0"/>
        <v>0</v>
      </c>
      <c r="S9" s="149">
        <f t="shared" si="1"/>
        <v>0</v>
      </c>
      <c r="W9" s="149">
        <f>+V9-(V9*0.2)</f>
        <v>0</v>
      </c>
      <c r="Y9" s="149">
        <f t="shared" si="2"/>
        <v>0</v>
      </c>
      <c r="Z9" s="149">
        <f t="shared" si="3"/>
        <v>0</v>
      </c>
    </row>
    <row r="10" spans="1:26" ht="26.25" thickBot="1">
      <c r="A10" s="766"/>
      <c r="B10" s="215"/>
      <c r="C10" s="216"/>
      <c r="D10" s="217"/>
      <c r="E10" s="219"/>
      <c r="F10" s="228"/>
      <c r="G10" s="237"/>
      <c r="H10" s="233" t="s">
        <v>555</v>
      </c>
      <c r="I10" s="769"/>
      <c r="J10" s="214" t="str">
        <f>+'11'!J10</f>
        <v>T 12,5 VP OW</v>
      </c>
      <c r="K10" s="239"/>
      <c r="L10" s="239"/>
      <c r="M10" s="117">
        <f>+K10+'11'!M10+L10</f>
        <v>19885</v>
      </c>
      <c r="P10" s="149">
        <f>+O10-(O10*0.23)</f>
        <v>0</v>
      </c>
      <c r="R10" s="149">
        <f t="shared" si="0"/>
        <v>0</v>
      </c>
      <c r="S10" s="149">
        <f t="shared" si="1"/>
        <v>0</v>
      </c>
      <c r="W10" s="149">
        <f>+V10-(V10*0.23)</f>
        <v>0</v>
      </c>
      <c r="Y10" s="149">
        <f t="shared" si="2"/>
        <v>0</v>
      </c>
      <c r="Z10" s="149">
        <f t="shared" si="3"/>
        <v>0</v>
      </c>
    </row>
    <row r="11" spans="1:26" ht="26.25" thickBot="1">
      <c r="A11" s="766"/>
      <c r="B11" s="215"/>
      <c r="C11" s="216"/>
      <c r="D11" s="217"/>
      <c r="E11" s="219"/>
      <c r="F11" s="228"/>
      <c r="G11" s="232"/>
      <c r="H11" s="233" t="s">
        <v>556</v>
      </c>
      <c r="I11" s="769"/>
      <c r="J11" s="214" t="str">
        <f>+'11'!J11</f>
        <v>F 12,5 VP OW</v>
      </c>
      <c r="K11" s="239"/>
      <c r="L11" s="239"/>
      <c r="M11" s="117">
        <f>+K11+'11'!M11+L11</f>
        <v>42554</v>
      </c>
      <c r="P11" s="149">
        <f>+O11-(O11*0.23)</f>
        <v>0</v>
      </c>
      <c r="R11" s="149">
        <f t="shared" si="0"/>
        <v>0</v>
      </c>
      <c r="S11" s="149">
        <f t="shared" si="1"/>
        <v>0</v>
      </c>
      <c r="W11" s="149">
        <f>+V11-(V11*0.23)</f>
        <v>0</v>
      </c>
      <c r="Y11" s="149">
        <f t="shared" si="2"/>
        <v>0</v>
      </c>
      <c r="Z11" s="149">
        <f t="shared" si="3"/>
        <v>0</v>
      </c>
    </row>
    <row r="12" spans="1:26" ht="13.5" thickBot="1">
      <c r="A12" s="766"/>
      <c r="B12" s="215"/>
      <c r="C12" s="216"/>
      <c r="D12" s="217"/>
      <c r="E12" s="219"/>
      <c r="F12" s="228"/>
      <c r="G12" s="232"/>
      <c r="H12" s="233"/>
      <c r="I12" s="769"/>
      <c r="J12" s="214" t="s">
        <v>562</v>
      </c>
      <c r="K12" s="239">
        <f>+C17+C25</f>
        <v>11625</v>
      </c>
      <c r="L12" s="239"/>
      <c r="M12" s="117">
        <f>+K12+'11'!M12+L12</f>
        <v>11625</v>
      </c>
    </row>
    <row r="13" spans="1:26" ht="13.5" thickBot="1">
      <c r="A13" s="766"/>
      <c r="B13" s="215"/>
      <c r="C13" s="216"/>
      <c r="D13" s="216"/>
      <c r="E13" s="219"/>
      <c r="F13" s="228"/>
      <c r="G13" s="232"/>
      <c r="H13" s="233"/>
      <c r="I13" s="770"/>
      <c r="J13" s="214">
        <f>+'11'!J13</f>
        <v>0</v>
      </c>
      <c r="K13" s="239"/>
      <c r="L13" s="239"/>
      <c r="M13" s="117">
        <f>+K13+'11'!M13+L13</f>
        <v>0</v>
      </c>
    </row>
    <row r="14" spans="1:26" ht="13.5" thickBot="1">
      <c r="A14" s="767"/>
      <c r="B14" s="165" t="s">
        <v>2</v>
      </c>
      <c r="C14" s="99">
        <f>SUM(C7:C13)</f>
        <v>11950</v>
      </c>
      <c r="D14" s="111">
        <f>SUM(D7:D13)</f>
        <v>0</v>
      </c>
      <c r="E14" s="112">
        <f>SUM(E5:E13)</f>
        <v>0</v>
      </c>
      <c r="F14" s="116">
        <f>SUM(F7:F13)</f>
        <v>25</v>
      </c>
      <c r="G14" s="159"/>
      <c r="H14" s="166"/>
      <c r="I14" s="167"/>
      <c r="J14" s="214">
        <f>+'11'!J14</f>
        <v>0</v>
      </c>
      <c r="K14" s="239"/>
      <c r="L14" s="239"/>
      <c r="M14" s="117">
        <f>+K14+'11'!M14+L14</f>
        <v>0</v>
      </c>
      <c r="Q14" s="176">
        <f>SUM(Q6:Q11)</f>
        <v>480</v>
      </c>
      <c r="R14" s="176">
        <f>SUM(R6:R11)</f>
        <v>587850</v>
      </c>
      <c r="S14" s="176">
        <f>SUM(S6:S11)</f>
        <v>452644.49999999994</v>
      </c>
      <c r="X14" s="176">
        <f>SUM(X6:X11)</f>
        <v>685</v>
      </c>
      <c r="Y14" s="176">
        <f>SUM(Y6:Y11)</f>
        <v>840000</v>
      </c>
      <c r="Z14" s="176">
        <f>SUM(Z6:Z11)</f>
        <v>646799.99999999988</v>
      </c>
    </row>
    <row r="15" spans="1:26" ht="13.5" customHeight="1" thickBot="1">
      <c r="A15" s="765"/>
      <c r="B15" s="165"/>
      <c r="C15" s="113">
        <f>C14/($C$23+$D$23+$E$23)</f>
        <v>0.81810091052235234</v>
      </c>
      <c r="D15" s="114">
        <f>D14/($C$23+$D$23+$E$23)</f>
        <v>0</v>
      </c>
      <c r="E15" s="115">
        <f>E14/($C$23+$D$23+$E$23)</f>
        <v>0</v>
      </c>
      <c r="F15" s="228">
        <v>12</v>
      </c>
      <c r="G15" s="229" t="s">
        <v>12</v>
      </c>
      <c r="H15" s="230" t="s">
        <v>453</v>
      </c>
      <c r="I15" s="768" t="s">
        <v>428</v>
      </c>
      <c r="J15" s="214">
        <f>+'11'!J15</f>
        <v>0</v>
      </c>
      <c r="K15" s="239"/>
      <c r="L15" s="239"/>
      <c r="M15" s="117">
        <f>+K15+'11'!M15+L15</f>
        <v>0</v>
      </c>
      <c r="P15" s="149" t="s">
        <v>424</v>
      </c>
      <c r="Q15" s="149">
        <f>480-Q14</f>
        <v>0</v>
      </c>
      <c r="R15" s="176">
        <f>+R14/Q14</f>
        <v>1224.6875</v>
      </c>
      <c r="S15" s="176">
        <f>+S14/Q14</f>
        <v>943.00937499999986</v>
      </c>
      <c r="W15" s="149" t="s">
        <v>424</v>
      </c>
      <c r="X15" s="149">
        <f>480-X14</f>
        <v>-205</v>
      </c>
      <c r="Y15" s="176">
        <f>+Y14/X14</f>
        <v>1226.2773722627737</v>
      </c>
      <c r="Z15" s="176">
        <f>+Z14/X14</f>
        <v>944.23357664233561</v>
      </c>
    </row>
    <row r="16" spans="1:26" ht="13.5" thickBot="1">
      <c r="A16" s="771"/>
      <c r="B16" s="215" t="s">
        <v>391</v>
      </c>
      <c r="C16" s="222">
        <v>10900</v>
      </c>
      <c r="D16" s="223"/>
      <c r="E16" s="224"/>
      <c r="F16" s="231"/>
      <c r="G16" s="560" t="s">
        <v>12</v>
      </c>
      <c r="H16" s="230" t="s">
        <v>432</v>
      </c>
      <c r="I16" s="769"/>
      <c r="J16" s="214">
        <f>+'11'!J16</f>
        <v>0</v>
      </c>
      <c r="K16" s="229"/>
      <c r="L16" s="229"/>
      <c r="M16" s="117">
        <f>+K16+'11'!M16+L16</f>
        <v>0</v>
      </c>
    </row>
    <row r="17" spans="1:19" ht="13.5" thickBot="1">
      <c r="A17" s="771"/>
      <c r="B17" s="215" t="s">
        <v>562</v>
      </c>
      <c r="C17" s="216">
        <f>1708+1999</f>
        <v>3707</v>
      </c>
      <c r="D17" s="217"/>
      <c r="E17" s="225"/>
      <c r="F17" s="228">
        <f>31-12</f>
        <v>19</v>
      </c>
      <c r="G17" s="560" t="s">
        <v>12</v>
      </c>
      <c r="H17" s="233" t="s">
        <v>386</v>
      </c>
      <c r="I17" s="769"/>
      <c r="J17" s="214">
        <f>+'11'!J17</f>
        <v>0</v>
      </c>
      <c r="K17" s="229"/>
      <c r="L17" s="229"/>
      <c r="M17" s="117">
        <f>+K17+'11'!M17+L17</f>
        <v>0</v>
      </c>
      <c r="N17" s="149" t="s">
        <v>389</v>
      </c>
      <c r="O17" s="149">
        <v>1230</v>
      </c>
      <c r="P17" s="149">
        <f>+O17-(O17*0.23)</f>
        <v>947.09999999999991</v>
      </c>
      <c r="Q17" s="149">
        <f>60*3+25</f>
        <v>205</v>
      </c>
      <c r="R17" s="149">
        <f t="shared" ref="R17:R22" si="4">+O17*Q17</f>
        <v>252150</v>
      </c>
      <c r="S17" s="149">
        <f t="shared" ref="S17:S22" si="5">+P17*Q17</f>
        <v>194155.49999999997</v>
      </c>
    </row>
    <row r="18" spans="1:19" ht="26.25" thickBot="1">
      <c r="A18" s="771"/>
      <c r="B18" s="215"/>
      <c r="C18" s="216"/>
      <c r="D18" s="217"/>
      <c r="E18" s="225"/>
      <c r="F18" s="228"/>
      <c r="G18" s="237"/>
      <c r="H18" s="233" t="s">
        <v>553</v>
      </c>
      <c r="I18" s="769"/>
      <c r="J18" s="214">
        <f>+'11'!J18</f>
        <v>0</v>
      </c>
      <c r="K18" s="239"/>
      <c r="L18" s="239"/>
      <c r="M18" s="117">
        <f>+K18+'11'!M18+L18</f>
        <v>0</v>
      </c>
      <c r="N18" s="149" t="s">
        <v>557</v>
      </c>
      <c r="O18" s="149">
        <v>1230</v>
      </c>
      <c r="P18" s="149">
        <f>+O18-(O18*0.23)</f>
        <v>947.09999999999991</v>
      </c>
      <c r="Q18" s="149">
        <f>480-Q17</f>
        <v>275</v>
      </c>
      <c r="R18" s="149">
        <f t="shared" si="4"/>
        <v>338250</v>
      </c>
      <c r="S18" s="149">
        <f t="shared" si="5"/>
        <v>260452.49999999997</v>
      </c>
    </row>
    <row r="19" spans="1:19" ht="26.25" thickBot="1">
      <c r="A19" s="771"/>
      <c r="B19" s="215"/>
      <c r="C19" s="216"/>
      <c r="D19" s="217"/>
      <c r="E19" s="225"/>
      <c r="F19" s="235"/>
      <c r="G19" s="232"/>
      <c r="H19" s="233" t="s">
        <v>554</v>
      </c>
      <c r="I19" s="769"/>
      <c r="J19" s="214">
        <f>+'11'!J19</f>
        <v>0</v>
      </c>
      <c r="K19" s="239"/>
      <c r="L19" s="239"/>
      <c r="M19" s="117">
        <f>+K19+'11'!M19+L19</f>
        <v>0</v>
      </c>
      <c r="P19" s="149">
        <f>+O19-(O19*0.23)</f>
        <v>0</v>
      </c>
      <c r="R19" s="149">
        <f t="shared" si="4"/>
        <v>0</v>
      </c>
      <c r="S19" s="149">
        <f t="shared" si="5"/>
        <v>0</v>
      </c>
    </row>
    <row r="20" spans="1:19" ht="13.5" thickBot="1">
      <c r="A20" s="771"/>
      <c r="B20" s="215"/>
      <c r="C20" s="216"/>
      <c r="D20" s="217"/>
      <c r="E20" s="225"/>
      <c r="F20" s="228"/>
      <c r="G20" s="232"/>
      <c r="H20" s="233"/>
      <c r="I20" s="769"/>
      <c r="J20" s="214">
        <f>+'11'!J20</f>
        <v>0</v>
      </c>
      <c r="K20" s="240"/>
      <c r="L20" s="240"/>
      <c r="M20" s="117">
        <f>+K20+'11'!M20+L20</f>
        <v>0</v>
      </c>
      <c r="P20" s="149">
        <f>+O20-(O20*0.2)</f>
        <v>0</v>
      </c>
      <c r="R20" s="149">
        <f t="shared" si="4"/>
        <v>0</v>
      </c>
      <c r="S20" s="149">
        <f t="shared" si="5"/>
        <v>0</v>
      </c>
    </row>
    <row r="21" spans="1:19" ht="13.5" thickBot="1">
      <c r="A21" s="771"/>
      <c r="B21" s="215"/>
      <c r="C21" s="216"/>
      <c r="D21" s="217"/>
      <c r="E21" s="225"/>
      <c r="F21" s="231"/>
      <c r="G21" s="232"/>
      <c r="H21" s="233"/>
      <c r="I21" s="769"/>
      <c r="J21" s="214">
        <f>+'11'!J21</f>
        <v>0</v>
      </c>
      <c r="K21" s="239"/>
      <c r="L21" s="239"/>
      <c r="M21" s="117">
        <f>+K21+'11'!M21+L21</f>
        <v>0</v>
      </c>
      <c r="P21" s="149">
        <f>+O21-(O21*0.23)</f>
        <v>0</v>
      </c>
      <c r="R21" s="149">
        <f t="shared" si="4"/>
        <v>0</v>
      </c>
      <c r="S21" s="149">
        <f t="shared" si="5"/>
        <v>0</v>
      </c>
    </row>
    <row r="22" spans="1:19" ht="13.5" thickBot="1">
      <c r="A22" s="771"/>
      <c r="B22" s="215"/>
      <c r="C22" s="216"/>
      <c r="D22" s="217"/>
      <c r="E22" s="225"/>
      <c r="F22" s="236"/>
      <c r="G22" s="232"/>
      <c r="H22" s="233"/>
      <c r="I22" s="770"/>
      <c r="J22" s="214">
        <f>+'11'!J22</f>
        <v>0</v>
      </c>
      <c r="K22" s="239"/>
      <c r="L22" s="239"/>
      <c r="M22" s="117">
        <f>+K22+'11'!M22+L22</f>
        <v>0</v>
      </c>
      <c r="P22" s="149">
        <f>+O22-(O22*0.23)</f>
        <v>0</v>
      </c>
      <c r="R22" s="149">
        <f t="shared" si="4"/>
        <v>0</v>
      </c>
      <c r="S22" s="149">
        <f t="shared" si="5"/>
        <v>0</v>
      </c>
    </row>
    <row r="23" spans="1:19" ht="13.5" thickBot="1">
      <c r="A23" s="772"/>
      <c r="B23" s="168" t="s">
        <v>2</v>
      </c>
      <c r="C23" s="100">
        <f>SUM(C16:C22)</f>
        <v>14607</v>
      </c>
      <c r="D23" s="111">
        <f>SUM(D16:D22)</f>
        <v>0</v>
      </c>
      <c r="E23" s="112">
        <f>SUM(E18:E22)</f>
        <v>0</v>
      </c>
      <c r="F23" s="116">
        <f>SUM(F15:F22)</f>
        <v>31</v>
      </c>
      <c r="G23" s="159"/>
      <c r="H23" s="166"/>
      <c r="I23" s="169"/>
      <c r="J23" s="214">
        <f>+'11'!J23</f>
        <v>0</v>
      </c>
      <c r="K23" s="239"/>
      <c r="L23" s="239"/>
      <c r="M23" s="117">
        <f>+K23+'11'!M23+L23</f>
        <v>0</v>
      </c>
    </row>
    <row r="24" spans="1:19" ht="13.5" customHeight="1" thickBot="1">
      <c r="A24" s="765"/>
      <c r="B24" s="170"/>
      <c r="C24" s="113">
        <f>C23/($C$23+$D$23+$E$23)</f>
        <v>1</v>
      </c>
      <c r="D24" s="114">
        <f>D23/($C$23+$D$23+$E$23)</f>
        <v>0</v>
      </c>
      <c r="E24" s="115">
        <f>E23/($C$23+$D$23+$E$23)</f>
        <v>0</v>
      </c>
      <c r="F24" s="228">
        <v>12</v>
      </c>
      <c r="G24" s="229" t="s">
        <v>12</v>
      </c>
      <c r="H24" s="230" t="s">
        <v>453</v>
      </c>
      <c r="I24" s="768" t="s">
        <v>428</v>
      </c>
      <c r="J24" s="214">
        <f>+'11'!J24</f>
        <v>0</v>
      </c>
      <c r="K24" s="239"/>
      <c r="L24" s="239"/>
      <c r="M24" s="117">
        <f>+K24+'11'!M24+L24</f>
        <v>0</v>
      </c>
    </row>
    <row r="25" spans="1:19" ht="13.5" customHeight="1" thickBot="1">
      <c r="A25" s="771"/>
      <c r="B25" s="215" t="s">
        <v>562</v>
      </c>
      <c r="C25" s="226">
        <f>3650+4268</f>
        <v>7918</v>
      </c>
      <c r="D25" s="217"/>
      <c r="E25" s="225"/>
      <c r="F25" s="231"/>
      <c r="G25" s="560" t="s">
        <v>12</v>
      </c>
      <c r="H25" s="230" t="s">
        <v>432</v>
      </c>
      <c r="I25" s="769"/>
      <c r="J25" s="214">
        <f>+'11'!J25</f>
        <v>0</v>
      </c>
      <c r="K25" s="239"/>
      <c r="L25" s="239"/>
      <c r="M25" s="117">
        <f>+K25+'11'!M25+L25</f>
        <v>0</v>
      </c>
      <c r="Q25" s="176">
        <f>SUM(Q17:Q22)</f>
        <v>480</v>
      </c>
      <c r="R25" s="176">
        <f>SUM(R17:R22)</f>
        <v>590400</v>
      </c>
      <c r="S25" s="176">
        <f>SUM(S17:S22)</f>
        <v>454607.99999999994</v>
      </c>
    </row>
    <row r="26" spans="1:19" ht="13.5" customHeight="1" thickBot="1">
      <c r="A26" s="771"/>
      <c r="B26" s="215" t="s">
        <v>415</v>
      </c>
      <c r="C26" s="226">
        <f>2728+2781</f>
        <v>5509</v>
      </c>
      <c r="D26" s="217">
        <v>274</v>
      </c>
      <c r="E26" s="227"/>
      <c r="F26" s="228">
        <f>28-12</f>
        <v>16</v>
      </c>
      <c r="G26" s="560" t="s">
        <v>12</v>
      </c>
      <c r="H26" s="233" t="s">
        <v>405</v>
      </c>
      <c r="I26" s="769"/>
      <c r="J26" s="214">
        <f>+'11'!J26</f>
        <v>0</v>
      </c>
      <c r="K26" s="239"/>
      <c r="L26" s="239"/>
      <c r="M26" s="117">
        <f>+K26+'11'!M26+L26</f>
        <v>0</v>
      </c>
      <c r="P26" s="149" t="s">
        <v>424</v>
      </c>
      <c r="Q26" s="149">
        <f>480-Q25</f>
        <v>0</v>
      </c>
      <c r="R26" s="176">
        <f>+R25/Q25</f>
        <v>1230</v>
      </c>
      <c r="S26" s="176">
        <f>+S25/Q25</f>
        <v>947.09999999999991</v>
      </c>
    </row>
    <row r="27" spans="1:19" ht="28.5" customHeight="1" thickBot="1">
      <c r="A27" s="771"/>
      <c r="B27" s="215"/>
      <c r="C27" s="216"/>
      <c r="D27" s="217"/>
      <c r="E27" s="225"/>
      <c r="F27" s="228"/>
      <c r="G27" s="237"/>
      <c r="H27" s="233" t="s">
        <v>551</v>
      </c>
      <c r="I27" s="769"/>
      <c r="J27" s="214">
        <f>+'11'!J27</f>
        <v>0</v>
      </c>
      <c r="K27" s="239"/>
      <c r="L27" s="239"/>
      <c r="M27" s="117">
        <f>+K27+'11'!M27+L27</f>
        <v>0</v>
      </c>
      <c r="N27" s="149" t="s">
        <v>557</v>
      </c>
      <c r="O27" s="149">
        <v>1230</v>
      </c>
      <c r="P27" s="149">
        <f>+O27-(O27*0.23)</f>
        <v>947.09999999999991</v>
      </c>
      <c r="Q27" s="149">
        <f>60+39</f>
        <v>99</v>
      </c>
      <c r="R27" s="149">
        <f t="shared" ref="R27:R32" si="6">+O27*Q27</f>
        <v>121770</v>
      </c>
      <c r="S27" s="149">
        <f t="shared" ref="S27:S32" si="7">+P27*Q27</f>
        <v>93762.9</v>
      </c>
    </row>
    <row r="28" spans="1:19" ht="26.25" thickBot="1">
      <c r="A28" s="771"/>
      <c r="B28" s="215"/>
      <c r="C28" s="216"/>
      <c r="D28" s="217"/>
      <c r="E28" s="225"/>
      <c r="F28" s="231"/>
      <c r="G28" s="232"/>
      <c r="H28" s="233" t="s">
        <v>552</v>
      </c>
      <c r="I28" s="769"/>
      <c r="J28" s="214">
        <f>+'11'!J28</f>
        <v>0</v>
      </c>
      <c r="K28" s="239"/>
      <c r="L28" s="239"/>
      <c r="M28" s="117">
        <f>+K28+'11'!M28+L28</f>
        <v>0</v>
      </c>
      <c r="N28" s="149" t="s">
        <v>417</v>
      </c>
      <c r="O28" s="149">
        <v>1230</v>
      </c>
      <c r="P28" s="149">
        <f>+O28-(O28*0.23)</f>
        <v>947.09999999999991</v>
      </c>
      <c r="Q28" s="149">
        <f>480-Q27</f>
        <v>381</v>
      </c>
      <c r="R28" s="149">
        <f t="shared" si="6"/>
        <v>468630</v>
      </c>
      <c r="S28" s="149">
        <f t="shared" si="7"/>
        <v>360845.1</v>
      </c>
    </row>
    <row r="29" spans="1:19" ht="13.5" customHeight="1" thickBot="1">
      <c r="A29" s="771"/>
      <c r="B29" s="215"/>
      <c r="C29" s="216"/>
      <c r="D29" s="217"/>
      <c r="E29" s="225"/>
      <c r="F29" s="236"/>
      <c r="G29" s="232"/>
      <c r="H29" s="233"/>
      <c r="I29" s="769"/>
      <c r="J29" s="214">
        <f>+'11'!J29</f>
        <v>0</v>
      </c>
      <c r="K29" s="239"/>
      <c r="L29" s="239"/>
      <c r="M29" s="117">
        <f>+K29+'11'!M29+L29</f>
        <v>0</v>
      </c>
      <c r="P29" s="149">
        <f>+O29-(O29*0.23)</f>
        <v>0</v>
      </c>
      <c r="R29" s="149">
        <f t="shared" si="6"/>
        <v>0</v>
      </c>
      <c r="S29" s="149">
        <f t="shared" si="7"/>
        <v>0</v>
      </c>
    </row>
    <row r="30" spans="1:19" ht="13.5" customHeight="1" thickBot="1">
      <c r="A30" s="771"/>
      <c r="B30" s="215"/>
      <c r="C30" s="226"/>
      <c r="D30" s="217"/>
      <c r="E30" s="225"/>
      <c r="F30" s="236"/>
      <c r="G30" s="232"/>
      <c r="H30" s="233"/>
      <c r="I30" s="769"/>
      <c r="J30" s="214">
        <f>+'11'!J30</f>
        <v>0</v>
      </c>
      <c r="K30" s="239"/>
      <c r="L30" s="239"/>
      <c r="M30" s="117">
        <f>+K30+'11'!M30+L30</f>
        <v>0</v>
      </c>
      <c r="P30" s="149">
        <f>+O30-(O30*0.2)</f>
        <v>0</v>
      </c>
      <c r="R30" s="149">
        <f t="shared" si="6"/>
        <v>0</v>
      </c>
      <c r="S30" s="149">
        <f t="shared" si="7"/>
        <v>0</v>
      </c>
    </row>
    <row r="31" spans="1:19" ht="13.5" customHeight="1" thickBot="1">
      <c r="A31" s="771"/>
      <c r="B31" s="215"/>
      <c r="C31" s="226"/>
      <c r="D31" s="217"/>
      <c r="E31" s="225"/>
      <c r="F31" s="236"/>
      <c r="G31" s="237"/>
      <c r="H31" s="445"/>
      <c r="I31" s="770"/>
      <c r="J31" s="214">
        <f>+'11'!J31</f>
        <v>0</v>
      </c>
      <c r="K31" s="239"/>
      <c r="L31" s="239"/>
      <c r="M31" s="117">
        <f>+K31+'11'!M31+L31</f>
        <v>0</v>
      </c>
      <c r="P31" s="149">
        <f>+O31-(O31*0.23)</f>
        <v>0</v>
      </c>
      <c r="R31" s="149">
        <f t="shared" si="6"/>
        <v>0</v>
      </c>
      <c r="S31" s="149">
        <f t="shared" si="7"/>
        <v>0</v>
      </c>
    </row>
    <row r="32" spans="1:19" ht="13.5" customHeight="1" thickBot="1">
      <c r="A32" s="772"/>
      <c r="B32" s="165" t="s">
        <v>2</v>
      </c>
      <c r="C32" s="99">
        <f>SUM(C25:C31)</f>
        <v>13427</v>
      </c>
      <c r="D32" s="100">
        <f>SUM(D25:D31)</f>
        <v>274</v>
      </c>
      <c r="E32" s="101">
        <f>SUM(E25:E31)</f>
        <v>0</v>
      </c>
      <c r="F32" s="102">
        <f>SUM(F24:F31)</f>
        <v>28</v>
      </c>
      <c r="G32" s="171"/>
      <c r="H32" s="172"/>
      <c r="I32" s="169"/>
      <c r="J32" s="214">
        <f>+'1'!J32</f>
        <v>0</v>
      </c>
      <c r="K32" s="241"/>
      <c r="L32" s="243"/>
      <c r="M32" s="117">
        <f>+K32+'11'!M32+L32</f>
        <v>0</v>
      </c>
      <c r="P32" s="149">
        <f>+O32-(O32*0.23)</f>
        <v>0</v>
      </c>
      <c r="R32" s="149">
        <f t="shared" si="6"/>
        <v>0</v>
      </c>
      <c r="S32" s="149">
        <f t="shared" si="7"/>
        <v>0</v>
      </c>
    </row>
    <row r="33" spans="1:19" ht="13.5" thickBot="1">
      <c r="A33" s="173"/>
      <c r="B33" s="174"/>
      <c r="C33" s="103">
        <f>C32/($C$32+$D$32+$E$32)</f>
        <v>0.98000145974746367</v>
      </c>
      <c r="D33" s="104">
        <f>D32/($C$32+$D$32+$E$32)</f>
        <v>1.999854025253631E-2</v>
      </c>
      <c r="E33" s="105">
        <f>E32/($C$32+$D$32+$E$32)</f>
        <v>0</v>
      </c>
      <c r="F33" s="106"/>
      <c r="G33" s="175"/>
      <c r="H33" s="176"/>
      <c r="I33" s="177"/>
      <c r="J33" s="121"/>
      <c r="K33" s="122"/>
      <c r="L33" s="213"/>
      <c r="M33" s="119"/>
    </row>
    <row r="34" spans="1:19" ht="13.5" thickBot="1">
      <c r="A34" s="761" t="s">
        <v>57</v>
      </c>
      <c r="B34" s="762"/>
      <c r="C34" s="107">
        <f>C14+C23+C32</f>
        <v>39984</v>
      </c>
      <c r="D34" s="107">
        <f>D14+D23+D32</f>
        <v>274</v>
      </c>
      <c r="E34" s="107">
        <f>E14+E23+E32</f>
        <v>0</v>
      </c>
      <c r="F34" s="108">
        <f>F14+F23+F32</f>
        <v>84</v>
      </c>
      <c r="H34" s="178"/>
      <c r="I34" s="178"/>
      <c r="J34" s="123" t="s">
        <v>28</v>
      </c>
      <c r="K34" s="124">
        <f>SUM(K7:K32)</f>
        <v>39984</v>
      </c>
      <c r="L34" s="212">
        <f>SUM(L7:L32)</f>
        <v>0</v>
      </c>
      <c r="M34" s="120">
        <f>SUM(M7:M32)</f>
        <v>395053</v>
      </c>
    </row>
    <row r="35" spans="1:19" ht="13.5" thickBot="1">
      <c r="A35" s="179"/>
      <c r="B35" s="180"/>
      <c r="C35" s="104">
        <f>C34/($C$34+$D$34+$E$34)</f>
        <v>0.99319389934919766</v>
      </c>
      <c r="D35" s="104">
        <f>D34/($C$34+$D$34+$E$34)</f>
        <v>6.806100650802325E-3</v>
      </c>
      <c r="E35" s="109">
        <f>E34/($C$34+$D$34+$E$34)</f>
        <v>0</v>
      </c>
      <c r="K35" s="155"/>
      <c r="Q35" s="176">
        <f>SUM(Q27:Q32)</f>
        <v>480</v>
      </c>
      <c r="R35" s="176">
        <f>SUM(R27:R32)</f>
        <v>590400</v>
      </c>
      <c r="S35" s="176">
        <f>SUM(S27:S32)</f>
        <v>454608</v>
      </c>
    </row>
    <row r="36" spans="1:19" ht="13.5" thickBot="1">
      <c r="A36" s="178"/>
      <c r="B36" s="178"/>
      <c r="C36" s="155"/>
      <c r="D36" s="155"/>
      <c r="E36" s="155"/>
      <c r="G36" s="155"/>
      <c r="H36" s="181"/>
      <c r="I36" s="162" t="s">
        <v>37</v>
      </c>
      <c r="J36" s="162" t="s">
        <v>38</v>
      </c>
      <c r="K36" s="182"/>
      <c r="P36" s="149" t="s">
        <v>424</v>
      </c>
      <c r="Q36" s="149">
        <f>480-Q35</f>
        <v>0</v>
      </c>
      <c r="R36" s="176">
        <f>+R35/Q35</f>
        <v>1230</v>
      </c>
      <c r="S36" s="176">
        <f>+S35/Q35</f>
        <v>947.1</v>
      </c>
    </row>
    <row r="37" spans="1:19" ht="17.45" customHeight="1" thickBot="1">
      <c r="A37" s="763" t="s">
        <v>58</v>
      </c>
      <c r="B37" s="764"/>
      <c r="C37" s="162" t="s">
        <v>59</v>
      </c>
      <c r="D37" s="183" t="s">
        <v>60</v>
      </c>
      <c r="E37" s="184" t="s">
        <v>61</v>
      </c>
      <c r="F37" s="322"/>
      <c r="G37" s="324"/>
      <c r="H37" s="186" t="s">
        <v>62</v>
      </c>
      <c r="I37" s="244">
        <f>(12*685+13.5*374+381*13)/1440*G42*2.74*1440/1000000</f>
        <v>47.218994697874997</v>
      </c>
      <c r="J37" s="125" t="e">
        <f>+I37+'11'!J37</f>
        <v>#DIV/0!</v>
      </c>
      <c r="K37" s="126" t="s">
        <v>63</v>
      </c>
    </row>
    <row r="38" spans="1:19" ht="17.45" customHeight="1">
      <c r="A38" s="755" t="s">
        <v>12</v>
      </c>
      <c r="B38" s="756"/>
      <c r="C38" s="164">
        <f>SUMIF($G$7:$G$31,"Process",$F$7:$F$31)</f>
        <v>84</v>
      </c>
      <c r="D38" s="118">
        <f>+C38+'11'!D38</f>
        <v>833</v>
      </c>
      <c r="E38" s="143">
        <f t="shared" ref="E38:E51" si="8">D38/60</f>
        <v>13.883333333333333</v>
      </c>
      <c r="F38" s="322">
        <v>1224.6875</v>
      </c>
      <c r="G38" s="322">
        <v>943.00937499999986</v>
      </c>
      <c r="H38" s="187" t="s">
        <v>64</v>
      </c>
      <c r="I38" s="245">
        <f>13.808+15.074+15.529</f>
        <v>44.411000000000001</v>
      </c>
      <c r="J38" s="127">
        <f>+I38+'11'!J38</f>
        <v>427.27760000000006</v>
      </c>
      <c r="K38" s="128" t="s">
        <v>63</v>
      </c>
    </row>
    <row r="39" spans="1:19" ht="17.45" customHeight="1">
      <c r="A39" s="759" t="s">
        <v>13</v>
      </c>
      <c r="B39" s="760"/>
      <c r="C39" s="164">
        <f>SUMIF($G$7:$G$31,"Cleaning",$F$7:$F$31)</f>
        <v>0</v>
      </c>
      <c r="D39" s="118">
        <f>+C39+'11'!D39</f>
        <v>0</v>
      </c>
      <c r="E39" s="143">
        <f t="shared" si="8"/>
        <v>0</v>
      </c>
      <c r="F39" s="322">
        <v>1230</v>
      </c>
      <c r="G39" s="322">
        <v>947.09999999999991</v>
      </c>
      <c r="H39" s="187" t="s">
        <v>65</v>
      </c>
      <c r="I39" s="142"/>
      <c r="J39" s="129" t="e">
        <f>J37/G4</f>
        <v>#DIV/0!</v>
      </c>
      <c r="K39" s="130" t="s">
        <v>63</v>
      </c>
      <c r="N39" s="149" t="s">
        <v>389</v>
      </c>
      <c r="O39" s="149">
        <v>685</v>
      </c>
      <c r="P39" s="149">
        <v>1226.2773722627737</v>
      </c>
      <c r="Q39" s="149">
        <v>944.23357664233561</v>
      </c>
    </row>
    <row r="40" spans="1:19" ht="17.45" customHeight="1">
      <c r="A40" s="759" t="s">
        <v>66</v>
      </c>
      <c r="B40" s="760"/>
      <c r="C40" s="164">
        <f>SUMIF($G$7:$G$31,"Mechanical",$F$7:$F$31)</f>
        <v>0</v>
      </c>
      <c r="D40" s="118">
        <f>+C40+'11'!D40</f>
        <v>0</v>
      </c>
      <c r="E40" s="143">
        <f t="shared" si="8"/>
        <v>0</v>
      </c>
      <c r="F40" s="322">
        <v>1230</v>
      </c>
      <c r="G40" s="322">
        <v>947.1</v>
      </c>
      <c r="H40" s="187" t="s">
        <v>67</v>
      </c>
      <c r="I40" s="118">
        <f>(K34+L34)/1000</f>
        <v>39.984000000000002</v>
      </c>
      <c r="J40" s="131">
        <f>+I40+'11'!J40</f>
        <v>395.05299999999994</v>
      </c>
      <c r="K40" s="130" t="s">
        <v>63</v>
      </c>
      <c r="N40" s="149" t="s">
        <v>557</v>
      </c>
      <c r="O40" s="149">
        <v>374</v>
      </c>
      <c r="P40" s="149">
        <v>1230</v>
      </c>
      <c r="Q40" s="149">
        <v>947.09999999999991</v>
      </c>
    </row>
    <row r="41" spans="1:19" ht="17.45" customHeight="1">
      <c r="A41" s="759" t="s">
        <v>68</v>
      </c>
      <c r="B41" s="760"/>
      <c r="C41" s="164">
        <f>SUMIF($G$7:$G$31,"Electrical",$F$7:$F$31)</f>
        <v>0</v>
      </c>
      <c r="D41" s="118">
        <f>+C41+'11'!D41</f>
        <v>550</v>
      </c>
      <c r="E41" s="143">
        <f t="shared" si="8"/>
        <v>9.1666666666666661</v>
      </c>
      <c r="F41" s="322"/>
      <c r="G41" s="322"/>
      <c r="H41" s="187" t="s">
        <v>69</v>
      </c>
      <c r="I41" s="142"/>
      <c r="J41" s="129">
        <f>J40/G4</f>
        <v>32.921083333333328</v>
      </c>
      <c r="K41" s="130" t="s">
        <v>63</v>
      </c>
      <c r="N41" s="149" t="s">
        <v>417</v>
      </c>
      <c r="O41" s="149">
        <v>381</v>
      </c>
      <c r="P41" s="149">
        <v>1230</v>
      </c>
      <c r="Q41" s="149">
        <v>947.09999999999991</v>
      </c>
    </row>
    <row r="42" spans="1:19" ht="17.45" customHeight="1">
      <c r="A42" s="759" t="s">
        <v>16</v>
      </c>
      <c r="B42" s="760"/>
      <c r="C42" s="164">
        <f>SUMIF($G$7:$G$31,"Instrument",$F$7:$F$31)</f>
        <v>0</v>
      </c>
      <c r="D42" s="118">
        <f>+C42+'11'!D42</f>
        <v>0</v>
      </c>
      <c r="E42" s="143">
        <f t="shared" si="8"/>
        <v>0</v>
      </c>
      <c r="F42" s="322">
        <f>+(480*F38+480*F39+480*F40)/1440</f>
        <v>1228.2291666666667</v>
      </c>
      <c r="G42" s="322">
        <f>+(480*G38+480*G39+480*G40)/1440</f>
        <v>945.7364583333333</v>
      </c>
      <c r="H42" s="187" t="s">
        <v>70</v>
      </c>
      <c r="I42" s="246" t="s">
        <v>559</v>
      </c>
      <c r="J42" s="132"/>
      <c r="K42" s="130" t="s">
        <v>71</v>
      </c>
      <c r="O42" s="149">
        <f>+O39+O40+O41</f>
        <v>1440</v>
      </c>
    </row>
    <row r="43" spans="1:19" ht="17.45" customHeight="1">
      <c r="A43" s="759" t="s">
        <v>72</v>
      </c>
      <c r="B43" s="760"/>
      <c r="C43" s="164">
        <f>SUMIF($G$7:$G$31,"Water",$F$7:$F$31)</f>
        <v>0</v>
      </c>
      <c r="D43" s="118">
        <f>+C43+'11'!D43</f>
        <v>0</v>
      </c>
      <c r="E43" s="143">
        <f t="shared" si="8"/>
        <v>0</v>
      </c>
      <c r="F43" s="322"/>
      <c r="G43" s="323"/>
      <c r="H43" s="188" t="s">
        <v>73</v>
      </c>
      <c r="I43" s="118">
        <f>+Report1!Z20</f>
        <v>60.8</v>
      </c>
      <c r="J43" s="133">
        <f>+I43+'11'!J43</f>
        <v>654</v>
      </c>
      <c r="K43" s="130" t="s">
        <v>63</v>
      </c>
      <c r="L43" s="189"/>
    </row>
    <row r="44" spans="1:19" ht="17.45" customHeight="1">
      <c r="A44" s="759" t="s">
        <v>17</v>
      </c>
      <c r="B44" s="760"/>
      <c r="C44" s="164">
        <f>SUMIF($G$7:$G$31,"PLN",$F$7:$F$31)</f>
        <v>0</v>
      </c>
      <c r="D44" s="118">
        <f>+C44+'11'!D44</f>
        <v>0</v>
      </c>
      <c r="E44" s="143">
        <f t="shared" si="8"/>
        <v>0</v>
      </c>
      <c r="F44" s="322"/>
      <c r="G44" s="323"/>
      <c r="H44" s="188" t="s">
        <v>74</v>
      </c>
      <c r="I44" s="118">
        <f>I43/I38</f>
        <v>1.3690301952219044</v>
      </c>
      <c r="J44" s="134">
        <f>J43/J38</f>
        <v>1.530620842281458</v>
      </c>
      <c r="K44" s="130" t="s">
        <v>63</v>
      </c>
    </row>
    <row r="45" spans="1:19" ht="17.45" customHeight="1">
      <c r="A45" s="759" t="s">
        <v>18</v>
      </c>
      <c r="B45" s="760"/>
      <c r="C45" s="164">
        <f>SUMIF($G$7:$G$31,"Boiler",$F$7:$F$31)</f>
        <v>0</v>
      </c>
      <c r="D45" s="118">
        <f>+C45+'11'!D45</f>
        <v>0</v>
      </c>
      <c r="E45" s="143">
        <f t="shared" si="8"/>
        <v>0</v>
      </c>
      <c r="F45" s="322"/>
      <c r="G45" s="325"/>
      <c r="H45" s="188" t="s">
        <v>75</v>
      </c>
      <c r="I45" s="118">
        <f>I43/I40</f>
        <v>1.5206082432973187</v>
      </c>
      <c r="J45" s="134">
        <f>J43/J40</f>
        <v>1.6554740756303588</v>
      </c>
      <c r="K45" s="130" t="s">
        <v>63</v>
      </c>
    </row>
    <row r="46" spans="1:19" ht="17.45" customHeight="1">
      <c r="A46" s="759" t="s">
        <v>76</v>
      </c>
      <c r="B46" s="760"/>
      <c r="C46" s="164">
        <f>SUMIF($G$7:$G$31,"Gas",$F$7:$F$31)</f>
        <v>0</v>
      </c>
      <c r="D46" s="118">
        <f>+C46+'11'!D46</f>
        <v>0</v>
      </c>
      <c r="E46" s="143">
        <f t="shared" si="8"/>
        <v>0</v>
      </c>
      <c r="F46" s="322"/>
      <c r="G46" s="323"/>
      <c r="H46" s="188" t="s">
        <v>77</v>
      </c>
      <c r="I46" s="140">
        <f>+SUMIF(Listrik!P19,"&gt;0")</f>
        <v>39870.600000000362</v>
      </c>
      <c r="J46" s="135">
        <f>+I46+'11'!J46</f>
        <v>389360.58000000037</v>
      </c>
      <c r="K46" s="130" t="s">
        <v>78</v>
      </c>
    </row>
    <row r="47" spans="1:19" ht="17.45" customHeight="1">
      <c r="A47" s="759" t="s">
        <v>79</v>
      </c>
      <c r="B47" s="760"/>
      <c r="C47" s="164">
        <f>SUMIF($G$7:$G$31,"Gas",$F$7:$F$31)</f>
        <v>0</v>
      </c>
      <c r="D47" s="118">
        <f>+C47+'11'!D47</f>
        <v>0</v>
      </c>
      <c r="E47" s="143">
        <f t="shared" si="8"/>
        <v>0</v>
      </c>
      <c r="F47" s="322"/>
      <c r="G47" s="323"/>
      <c r="H47" s="188" t="s">
        <v>80</v>
      </c>
      <c r="I47" s="118">
        <f>I46/I38</f>
        <v>897.76406746077237</v>
      </c>
      <c r="J47" s="135">
        <f>J46/J38</f>
        <v>911.25905032232049</v>
      </c>
      <c r="K47" s="130" t="s">
        <v>24</v>
      </c>
    </row>
    <row r="48" spans="1:19" ht="17.45" customHeight="1">
      <c r="A48" s="759" t="s">
        <v>14</v>
      </c>
      <c r="B48" s="760"/>
      <c r="C48" s="164">
        <f>SUMIF($G$7:$G$31,"Start Up",$F$7:$F$31)</f>
        <v>0</v>
      </c>
      <c r="D48" s="118">
        <f>+C48+'11'!D48</f>
        <v>0</v>
      </c>
      <c r="E48" s="143">
        <f t="shared" si="8"/>
        <v>0</v>
      </c>
      <c r="F48" s="322"/>
      <c r="G48" s="323"/>
      <c r="H48" s="188" t="s">
        <v>81</v>
      </c>
      <c r="I48" s="118">
        <f>I46/I40</f>
        <v>997.1638655462275</v>
      </c>
      <c r="J48" s="135">
        <f>J46/J40</f>
        <v>985.59074352049072</v>
      </c>
      <c r="K48" s="130" t="s">
        <v>24</v>
      </c>
    </row>
    <row r="49" spans="1:11" ht="17.45" customHeight="1">
      <c r="A49" s="759" t="s">
        <v>20</v>
      </c>
      <c r="B49" s="760"/>
      <c r="C49" s="164">
        <f>SUMIF($G$7:$G$31,"Others",$F$7:$F$31)</f>
        <v>0</v>
      </c>
      <c r="D49" s="118">
        <f>+C49+'11'!D49</f>
        <v>0</v>
      </c>
      <c r="E49" s="143">
        <f t="shared" si="8"/>
        <v>0</v>
      </c>
      <c r="F49" s="185"/>
      <c r="H49" s="188" t="s">
        <v>272</v>
      </c>
      <c r="I49" s="118">
        <f>+Report1!T20</f>
        <v>4051.9973679196687</v>
      </c>
      <c r="J49" s="135">
        <f>+I49+'11'!J49</f>
        <v>39961.191033863877</v>
      </c>
      <c r="K49" s="130" t="s">
        <v>82</v>
      </c>
    </row>
    <row r="50" spans="1:11" ht="17.45" customHeight="1">
      <c r="A50" s="759" t="s">
        <v>19</v>
      </c>
      <c r="B50" s="760"/>
      <c r="C50" s="164">
        <f>SUMIF($G$7:$G$31,"Steam",$F$7:$F$31)</f>
        <v>0</v>
      </c>
      <c r="D50" s="118">
        <f>+C50+'11'!D50</f>
        <v>0</v>
      </c>
      <c r="E50" s="143">
        <f t="shared" si="8"/>
        <v>0</v>
      </c>
      <c r="F50" s="185"/>
      <c r="H50" s="188" t="s">
        <v>83</v>
      </c>
      <c r="I50" s="140">
        <f>I49/I38</f>
        <v>91.238597823054391</v>
      </c>
      <c r="J50" s="133">
        <f>J49/J38</f>
        <v>93.525125196977029</v>
      </c>
      <c r="K50" s="130" t="s">
        <v>82</v>
      </c>
    </row>
    <row r="51" spans="1:11" ht="17.45" customHeight="1" thickBot="1">
      <c r="A51" s="753" t="s">
        <v>84</v>
      </c>
      <c r="B51" s="754"/>
      <c r="C51" s="164">
        <f>SUMIF($G$7:$G$31,"Planned shut",$F$7:$F$31)</f>
        <v>0</v>
      </c>
      <c r="D51" s="118">
        <f>+C51+'11'!D51</f>
        <v>1555</v>
      </c>
      <c r="E51" s="143">
        <f t="shared" si="8"/>
        <v>25.916666666666668</v>
      </c>
      <c r="F51" s="185"/>
      <c r="H51" s="190" t="s">
        <v>85</v>
      </c>
      <c r="I51" s="141">
        <f>I49/I40</f>
        <v>101.34047038614617</v>
      </c>
      <c r="J51" s="136">
        <f>J49/J40</f>
        <v>101.15399967564829</v>
      </c>
      <c r="K51" s="137" t="s">
        <v>82</v>
      </c>
    </row>
    <row r="52" spans="1:11" ht="13.5" thickBot="1">
      <c r="A52" s="755" t="s">
        <v>28</v>
      </c>
      <c r="B52" s="756"/>
      <c r="C52" s="144">
        <f>SUM(C38:C51)</f>
        <v>84</v>
      </c>
      <c r="D52" s="144">
        <f>SUM(D38:D51)</f>
        <v>2938</v>
      </c>
      <c r="E52" s="145">
        <f>SUM(E38:E51)</f>
        <v>48.966666666666669</v>
      </c>
      <c r="F52" s="185"/>
      <c r="H52" s="191"/>
      <c r="I52" s="192"/>
      <c r="J52" s="138"/>
      <c r="K52" s="139"/>
    </row>
    <row r="53" spans="1:11" ht="13.5" thickBot="1">
      <c r="A53" s="757"/>
      <c r="B53" s="758"/>
      <c r="C53" s="146">
        <f>C52/(24*60)</f>
        <v>5.8333333333333334E-2</v>
      </c>
      <c r="D53" s="146">
        <f>D52/(24*60*G4)</f>
        <v>0.17002314814814815</v>
      </c>
      <c r="E53" s="147">
        <f>E52/(G4*24)</f>
        <v>0.17002314814814815</v>
      </c>
      <c r="F53" s="185"/>
    </row>
    <row r="54" spans="1:11">
      <c r="E54" s="193"/>
      <c r="F54" s="185"/>
    </row>
    <row r="55" spans="1:11">
      <c r="E55" s="193"/>
    </row>
    <row r="56" spans="1:11">
      <c r="A56" s="194" t="s">
        <v>86</v>
      </c>
      <c r="B56" s="195"/>
      <c r="C56" s="196"/>
      <c r="D56" s="196"/>
      <c r="E56" s="196"/>
      <c r="F56" s="197"/>
      <c r="G56" s="196"/>
      <c r="H56" s="198"/>
      <c r="I56" s="199" t="s">
        <v>87</v>
      </c>
      <c r="J56" s="200">
        <f>+D34+'11'!J56</f>
        <v>8597</v>
      </c>
      <c r="K56" s="201">
        <f>J56/(J40+J56/1000)/1000</f>
        <v>2.1298154341632607E-2</v>
      </c>
    </row>
    <row r="57" spans="1:11">
      <c r="A57" s="176"/>
      <c r="I57" s="199" t="s">
        <v>88</v>
      </c>
      <c r="J57" s="200">
        <f>+E34+'11'!J57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7:A14"/>
    <mergeCell ref="I7:I13"/>
    <mergeCell ref="A15:A23"/>
    <mergeCell ref="I15:I22"/>
    <mergeCell ref="A24:A32"/>
    <mergeCell ref="A46:B46"/>
    <mergeCell ref="A47:B47"/>
    <mergeCell ref="A39:B39"/>
    <mergeCell ref="I24:I31"/>
    <mergeCell ref="A37:B37"/>
    <mergeCell ref="A38:B38"/>
    <mergeCell ref="A45:B45"/>
    <mergeCell ref="A40:B40"/>
    <mergeCell ref="A41:B41"/>
    <mergeCell ref="A34:B34"/>
    <mergeCell ref="A42:B42"/>
    <mergeCell ref="A43:B43"/>
    <mergeCell ref="A44:B44"/>
    <mergeCell ref="A52:B52"/>
    <mergeCell ref="A53:B53"/>
    <mergeCell ref="A48:B48"/>
    <mergeCell ref="A49:B49"/>
    <mergeCell ref="A50:B50"/>
    <mergeCell ref="A51:B51"/>
  </mergeCells>
  <phoneticPr fontId="32" type="noConversion"/>
  <printOptions horizontalCentered="1"/>
  <pageMargins left="0.15625" right="0.15625" top="0.39027777777777778" bottom="0.39027777777777778" header="0" footer="0"/>
  <pageSetup paperSize="9" scale="64"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1"/>
  <sheetViews>
    <sheetView view="pageBreakPreview" topLeftCell="A10" zoomScale="80" zoomScaleNormal="70" zoomScaleSheetLayoutView="80" workbookViewId="0">
      <selection activeCell="H22" sqref="H22"/>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5.5703125" style="149" bestFit="1" customWidth="1"/>
    <col min="14" max="16384" width="9.140625" style="149"/>
  </cols>
  <sheetData>
    <row r="1" spans="1:25" ht="15.75">
      <c r="A1" s="148"/>
    </row>
    <row r="2" spans="1:25" ht="15.75">
      <c r="A2" s="148" t="s">
        <v>185</v>
      </c>
    </row>
    <row r="3" spans="1:25" ht="15">
      <c r="A3" s="150"/>
    </row>
    <row r="4" spans="1:25" ht="20.25">
      <c r="A4" s="151" t="s">
        <v>3</v>
      </c>
      <c r="B4" s="152"/>
      <c r="F4" s="153" t="s">
        <v>29</v>
      </c>
      <c r="G4" s="154">
        <v>11</v>
      </c>
      <c r="H4" s="154" t="str">
        <f>+'1'!H4</f>
        <v>.9.25</v>
      </c>
      <c r="J4" s="149">
        <f>490+468+659</f>
        <v>1617</v>
      </c>
    </row>
    <row r="5" spans="1:25" ht="13.5" thickBot="1">
      <c r="C5" s="155"/>
      <c r="D5" s="155"/>
    </row>
    <row r="6" spans="1:25"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49" t="s">
        <v>456</v>
      </c>
      <c r="O6" s="149">
        <v>1230</v>
      </c>
      <c r="P6" s="149">
        <f>+O6-(O6*0.23)</f>
        <v>947.09999999999991</v>
      </c>
      <c r="Q6" s="149">
        <f>60+25</f>
        <v>85</v>
      </c>
      <c r="R6" s="149">
        <f t="shared" ref="R6:R11" si="0">+O6*Q6</f>
        <v>104550</v>
      </c>
      <c r="S6" s="149">
        <f t="shared" ref="S6:S11" si="1">+P6*Q6</f>
        <v>80503.499999999985</v>
      </c>
      <c r="T6" s="149" t="s">
        <v>456</v>
      </c>
      <c r="U6" s="149">
        <v>1230</v>
      </c>
      <c r="V6" s="149">
        <f>+U6-(U6*0.23)</f>
        <v>947.09999999999991</v>
      </c>
      <c r="W6" s="149">
        <f>60+25</f>
        <v>85</v>
      </c>
      <c r="X6" s="149">
        <f t="shared" ref="X6:X11" si="2">+U6*W6</f>
        <v>104550</v>
      </c>
      <c r="Y6" s="149">
        <f t="shared" ref="Y6:Y11" si="3">+V6*W6</f>
        <v>80503.499999999985</v>
      </c>
    </row>
    <row r="7" spans="1:25" ht="13.5" customHeight="1" thickBot="1">
      <c r="A7" s="765"/>
      <c r="B7" s="215" t="s">
        <v>458</v>
      </c>
      <c r="C7" s="216">
        <v>10303</v>
      </c>
      <c r="D7" s="217"/>
      <c r="E7" s="218"/>
      <c r="F7" s="228"/>
      <c r="G7" s="229" t="s">
        <v>12</v>
      </c>
      <c r="H7" s="230" t="s">
        <v>466</v>
      </c>
      <c r="I7" s="768" t="s">
        <v>545</v>
      </c>
      <c r="J7" s="214" t="str">
        <f>+'10'!J7</f>
        <v>F 12 VP OW</v>
      </c>
      <c r="K7" s="238">
        <f>+C26</f>
        <v>10149</v>
      </c>
      <c r="L7" s="242"/>
      <c r="M7" s="117">
        <f>+K7+'10'!M7+L7</f>
        <v>145804</v>
      </c>
      <c r="O7" s="149">
        <v>1120</v>
      </c>
      <c r="P7" s="149">
        <f>+O7-(O7*0.23)</f>
        <v>862.4</v>
      </c>
      <c r="Q7" s="149">
        <f>480-85-100</f>
        <v>295</v>
      </c>
      <c r="R7" s="149">
        <f t="shared" si="0"/>
        <v>330400</v>
      </c>
      <c r="S7" s="149">
        <f t="shared" si="1"/>
        <v>254408</v>
      </c>
      <c r="U7" s="149">
        <v>1120</v>
      </c>
      <c r="V7" s="149">
        <f>+U7-(U7*0.23)</f>
        <v>862.4</v>
      </c>
      <c r="W7" s="149">
        <f>480-85-100</f>
        <v>295</v>
      </c>
      <c r="X7" s="149">
        <f t="shared" si="2"/>
        <v>330400</v>
      </c>
      <c r="Y7" s="149">
        <f t="shared" si="3"/>
        <v>254408</v>
      </c>
    </row>
    <row r="8" spans="1:25" ht="13.5" thickBot="1">
      <c r="A8" s="766"/>
      <c r="B8" s="215"/>
      <c r="C8" s="216"/>
      <c r="D8" s="217"/>
      <c r="E8" s="219"/>
      <c r="F8" s="231"/>
      <c r="G8" s="560" t="s">
        <v>12</v>
      </c>
      <c r="H8" s="230" t="s">
        <v>432</v>
      </c>
      <c r="I8" s="769"/>
      <c r="J8" s="214" t="str">
        <f>+'10'!J8</f>
        <v>F 13 VP OW</v>
      </c>
      <c r="K8" s="239"/>
      <c r="L8" s="239"/>
      <c r="M8" s="117">
        <f>+K8+'10'!M8+L8</f>
        <v>46266</v>
      </c>
      <c r="P8" s="149">
        <f>+O8-(O8*0.23)</f>
        <v>0</v>
      </c>
      <c r="R8" s="149">
        <f t="shared" si="0"/>
        <v>0</v>
      </c>
      <c r="S8" s="149">
        <f t="shared" si="1"/>
        <v>0</v>
      </c>
      <c r="T8" s="149" t="s">
        <v>456</v>
      </c>
      <c r="U8" s="149">
        <v>1200</v>
      </c>
      <c r="V8" s="149">
        <v>924</v>
      </c>
      <c r="W8" s="149">
        <v>480</v>
      </c>
      <c r="X8" s="149">
        <f t="shared" si="2"/>
        <v>576000</v>
      </c>
      <c r="Y8" s="149">
        <f t="shared" si="3"/>
        <v>443520</v>
      </c>
    </row>
    <row r="9" spans="1:25" ht="13.5" thickBot="1">
      <c r="A9" s="766"/>
      <c r="B9" s="215"/>
      <c r="C9" s="216"/>
      <c r="D9" s="217"/>
      <c r="E9" s="220"/>
      <c r="F9" s="228">
        <v>17</v>
      </c>
      <c r="G9" s="560" t="s">
        <v>12</v>
      </c>
      <c r="H9" s="233" t="s">
        <v>386</v>
      </c>
      <c r="I9" s="769"/>
      <c r="J9" s="214" t="str">
        <f>+'10'!J9</f>
        <v>F 14 VP OW</v>
      </c>
      <c r="K9" s="239"/>
      <c r="L9" s="239"/>
      <c r="M9" s="117">
        <f>+K9+'10'!M9+L9</f>
        <v>100560</v>
      </c>
      <c r="P9" s="149">
        <f>+O9-(O9*0.2)</f>
        <v>0</v>
      </c>
      <c r="R9" s="149">
        <f t="shared" si="0"/>
        <v>0</v>
      </c>
      <c r="S9" s="149">
        <f t="shared" si="1"/>
        <v>0</v>
      </c>
      <c r="T9" s="149" t="s">
        <v>456</v>
      </c>
      <c r="U9" s="149">
        <v>1230</v>
      </c>
      <c r="V9" s="149">
        <v>947.09999999999991</v>
      </c>
      <c r="W9" s="149">
        <v>143</v>
      </c>
      <c r="X9" s="149">
        <f t="shared" si="2"/>
        <v>175890</v>
      </c>
      <c r="Y9" s="149">
        <f t="shared" si="3"/>
        <v>135435.29999999999</v>
      </c>
    </row>
    <row r="10" spans="1:25" ht="26.25" thickBot="1">
      <c r="A10" s="766"/>
      <c r="B10" s="215"/>
      <c r="C10" s="216"/>
      <c r="D10" s="217"/>
      <c r="E10" s="219"/>
      <c r="F10" s="228"/>
      <c r="G10" s="237"/>
      <c r="H10" s="233" t="s">
        <v>542</v>
      </c>
      <c r="I10" s="769"/>
      <c r="J10" s="214" t="str">
        <f>+'10'!J10</f>
        <v>T 12,5 VP OW</v>
      </c>
      <c r="K10" s="239"/>
      <c r="L10" s="239"/>
      <c r="M10" s="117">
        <f>+K10+'10'!M10+L10</f>
        <v>19885</v>
      </c>
      <c r="P10" s="149">
        <f>+O10-(O10*0.23)</f>
        <v>0</v>
      </c>
      <c r="R10" s="149">
        <f t="shared" si="0"/>
        <v>0</v>
      </c>
      <c r="S10" s="149">
        <f t="shared" si="1"/>
        <v>0</v>
      </c>
      <c r="V10" s="149">
        <f>+U10-(U10*0.23)</f>
        <v>0</v>
      </c>
      <c r="X10" s="149">
        <f t="shared" si="2"/>
        <v>0</v>
      </c>
      <c r="Y10" s="149">
        <f t="shared" si="3"/>
        <v>0</v>
      </c>
    </row>
    <row r="11" spans="1:25" ht="136.5" customHeight="1" thickBot="1">
      <c r="A11" s="766"/>
      <c r="B11" s="215"/>
      <c r="C11" s="216"/>
      <c r="D11" s="217"/>
      <c r="E11" s="219"/>
      <c r="F11" s="228">
        <v>100</v>
      </c>
      <c r="G11" s="560" t="s">
        <v>12</v>
      </c>
      <c r="H11" s="233" t="s">
        <v>543</v>
      </c>
      <c r="I11" s="769"/>
      <c r="J11" s="214" t="str">
        <f>+'10'!J11</f>
        <v>F 12,5 VP OW</v>
      </c>
      <c r="K11" s="239">
        <f>+C7+C16+C25</f>
        <v>28785</v>
      </c>
      <c r="L11" s="239"/>
      <c r="M11" s="117">
        <f>+K11+'10'!M11+L11</f>
        <v>42554</v>
      </c>
      <c r="P11" s="149">
        <f>+O11-(O11*0.23)</f>
        <v>0</v>
      </c>
      <c r="R11" s="149">
        <f t="shared" si="0"/>
        <v>0</v>
      </c>
      <c r="S11" s="149">
        <f t="shared" si="1"/>
        <v>0</v>
      </c>
      <c r="V11" s="149">
        <f>+U11-(U11*0.23)</f>
        <v>0</v>
      </c>
      <c r="X11" s="149">
        <f t="shared" si="2"/>
        <v>0</v>
      </c>
      <c r="Y11" s="149">
        <f t="shared" si="3"/>
        <v>0</v>
      </c>
    </row>
    <row r="12" spans="1:25" ht="13.5" thickBot="1">
      <c r="A12" s="766"/>
      <c r="B12" s="215"/>
      <c r="C12" s="216"/>
      <c r="D12" s="217"/>
      <c r="E12" s="219"/>
      <c r="F12" s="228"/>
      <c r="G12" s="232"/>
      <c r="H12" s="233"/>
      <c r="I12" s="769"/>
      <c r="J12" s="214">
        <f>+'10'!J12</f>
        <v>0</v>
      </c>
      <c r="K12" s="239"/>
      <c r="L12" s="239"/>
      <c r="M12" s="117">
        <f>+K12+'10'!M12+L12</f>
        <v>0</v>
      </c>
    </row>
    <row r="13" spans="1:25" ht="13.5" thickBot="1">
      <c r="A13" s="766"/>
      <c r="B13" s="215"/>
      <c r="C13" s="216"/>
      <c r="D13" s="216"/>
      <c r="E13" s="219"/>
      <c r="F13" s="228"/>
      <c r="G13" s="232"/>
      <c r="H13" s="233"/>
      <c r="I13" s="770"/>
      <c r="J13" s="214">
        <f>+'10'!J13</f>
        <v>0</v>
      </c>
      <c r="K13" s="239"/>
      <c r="L13" s="239"/>
      <c r="M13" s="117">
        <f>+K13+'10'!M13+L13</f>
        <v>0</v>
      </c>
    </row>
    <row r="14" spans="1:25" ht="13.5" thickBot="1">
      <c r="A14" s="767"/>
      <c r="B14" s="165" t="s">
        <v>2</v>
      </c>
      <c r="C14" s="99">
        <f>SUM(C7:C13)</f>
        <v>10303</v>
      </c>
      <c r="D14" s="111">
        <f>SUM(D7:D13)</f>
        <v>0</v>
      </c>
      <c r="E14" s="112">
        <f>SUM(E5:E13)</f>
        <v>0</v>
      </c>
      <c r="F14" s="116">
        <f>SUM(F7:F13)</f>
        <v>117</v>
      </c>
      <c r="G14" s="159"/>
      <c r="H14" s="166"/>
      <c r="I14" s="167"/>
      <c r="J14" s="214">
        <f>+'10'!J14</f>
        <v>0</v>
      </c>
      <c r="K14" s="239"/>
      <c r="L14" s="239"/>
      <c r="M14" s="117">
        <f>+K14+'10'!M14+L14</f>
        <v>0</v>
      </c>
      <c r="Q14" s="176">
        <f>SUM(Q6:Q11)</f>
        <v>380</v>
      </c>
      <c r="R14" s="176">
        <f>SUM(R6:R11)</f>
        <v>434950</v>
      </c>
      <c r="S14" s="176">
        <f>SUM(S6:S11)</f>
        <v>334911.5</v>
      </c>
      <c r="W14" s="176">
        <f>SUM(W6:W11)</f>
        <v>1003</v>
      </c>
      <c r="X14" s="176">
        <f>SUM(X6:X11)</f>
        <v>1186840</v>
      </c>
      <c r="Y14" s="176">
        <f>SUM(Y6:Y11)</f>
        <v>913866.8</v>
      </c>
    </row>
    <row r="15" spans="1:25" ht="13.5" customHeight="1" thickBot="1">
      <c r="A15" s="765"/>
      <c r="B15" s="165"/>
      <c r="C15" s="113">
        <f>C14/($C$23+$D$23+$E$23)</f>
        <v>0.74762353965604822</v>
      </c>
      <c r="D15" s="114">
        <f>D14/($C$23+$D$23+$E$23)</f>
        <v>0</v>
      </c>
      <c r="E15" s="115">
        <f>E14/($C$23+$D$23+$E$23)</f>
        <v>0</v>
      </c>
      <c r="F15" s="228">
        <v>4</v>
      </c>
      <c r="G15" s="229" t="s">
        <v>12</v>
      </c>
      <c r="H15" s="230" t="s">
        <v>407</v>
      </c>
      <c r="I15" s="768" t="s">
        <v>546</v>
      </c>
      <c r="J15" s="214">
        <f>+'10'!J15</f>
        <v>0</v>
      </c>
      <c r="K15" s="239"/>
      <c r="L15" s="239"/>
      <c r="M15" s="117">
        <f>+K15+'10'!M15+L15</f>
        <v>0</v>
      </c>
      <c r="P15" s="149" t="s">
        <v>424</v>
      </c>
      <c r="Q15" s="149">
        <f>480-Q14</f>
        <v>100</v>
      </c>
      <c r="R15" s="176">
        <f>+R14/Q14</f>
        <v>1144.6052631578948</v>
      </c>
      <c r="S15" s="176">
        <f>+S14/Q14</f>
        <v>881.34605263157891</v>
      </c>
      <c r="V15" s="149" t="s">
        <v>424</v>
      </c>
      <c r="W15" s="149">
        <f>480-W14</f>
        <v>-523</v>
      </c>
      <c r="X15" s="176">
        <f>+X14/W14</f>
        <v>1183.2901296111665</v>
      </c>
      <c r="Y15" s="176">
        <f>+Y14/W14</f>
        <v>911.13339980059823</v>
      </c>
    </row>
    <row r="16" spans="1:25" ht="13.5" thickBot="1">
      <c r="A16" s="771"/>
      <c r="B16" s="215" t="s">
        <v>458</v>
      </c>
      <c r="C16" s="222">
        <v>13781</v>
      </c>
      <c r="D16" s="223"/>
      <c r="E16" s="224"/>
      <c r="F16" s="231"/>
      <c r="G16" s="560" t="s">
        <v>12</v>
      </c>
      <c r="H16" s="230" t="s">
        <v>432</v>
      </c>
      <c r="I16" s="769"/>
      <c r="J16" s="214">
        <f>+'10'!J16</f>
        <v>0</v>
      </c>
      <c r="K16" s="229"/>
      <c r="L16" s="229"/>
      <c r="M16" s="117">
        <f>+K16+'10'!M16+L16</f>
        <v>0</v>
      </c>
      <c r="N16" s="149" t="s">
        <v>456</v>
      </c>
      <c r="O16" s="149">
        <v>1200</v>
      </c>
      <c r="P16" s="149">
        <f>+O16-(O16*0.23)</f>
        <v>924</v>
      </c>
      <c r="Q16" s="149">
        <v>480</v>
      </c>
      <c r="R16" s="149">
        <f t="shared" ref="R16:R21" si="4">+O16*Q16</f>
        <v>576000</v>
      </c>
      <c r="S16" s="149">
        <f t="shared" ref="S16:S21" si="5">+P16*Q16</f>
        <v>443520</v>
      </c>
    </row>
    <row r="17" spans="1:19" ht="13.5" thickBot="1">
      <c r="A17" s="771"/>
      <c r="B17" s="215"/>
      <c r="C17" s="216"/>
      <c r="D17" s="217"/>
      <c r="E17" s="225"/>
      <c r="F17" s="228">
        <v>13</v>
      </c>
      <c r="G17" s="560" t="s">
        <v>12</v>
      </c>
      <c r="H17" s="233" t="s">
        <v>409</v>
      </c>
      <c r="I17" s="769"/>
      <c r="J17" s="214">
        <f>+'10'!J17</f>
        <v>0</v>
      </c>
      <c r="K17" s="229"/>
      <c r="L17" s="229"/>
      <c r="M17" s="117">
        <f>+K17+'10'!M17+L17</f>
        <v>0</v>
      </c>
      <c r="P17" s="149">
        <f>+O17-(O17*0.23)</f>
        <v>0</v>
      </c>
      <c r="R17" s="149">
        <f t="shared" si="4"/>
        <v>0</v>
      </c>
      <c r="S17" s="149">
        <f t="shared" si="5"/>
        <v>0</v>
      </c>
    </row>
    <row r="18" spans="1:19" ht="39" thickBot="1">
      <c r="A18" s="771"/>
      <c r="B18" s="215"/>
      <c r="C18" s="216"/>
      <c r="D18" s="217"/>
      <c r="E18" s="225"/>
      <c r="F18" s="228"/>
      <c r="G18" s="237"/>
      <c r="H18" s="233" t="s">
        <v>540</v>
      </c>
      <c r="I18" s="769"/>
      <c r="J18" s="214">
        <f>+'10'!J18</f>
        <v>0</v>
      </c>
      <c r="K18" s="239"/>
      <c r="L18" s="239"/>
      <c r="M18" s="117">
        <f>+K18+'10'!M18+L18</f>
        <v>0</v>
      </c>
      <c r="P18" s="149">
        <f>+O18-(O18*0.23)</f>
        <v>0</v>
      </c>
      <c r="R18" s="149">
        <f t="shared" si="4"/>
        <v>0</v>
      </c>
      <c r="S18" s="149">
        <f t="shared" si="5"/>
        <v>0</v>
      </c>
    </row>
    <row r="19" spans="1:19" ht="13.5" thickBot="1">
      <c r="A19" s="771"/>
      <c r="B19" s="215"/>
      <c r="C19" s="216"/>
      <c r="D19" s="217"/>
      <c r="E19" s="225"/>
      <c r="F19" s="235"/>
      <c r="G19" s="232"/>
      <c r="H19" s="233" t="s">
        <v>541</v>
      </c>
      <c r="I19" s="769"/>
      <c r="J19" s="214">
        <f>+'10'!J19</f>
        <v>0</v>
      </c>
      <c r="K19" s="239"/>
      <c r="L19" s="239"/>
      <c r="M19" s="117">
        <f>+K19+'10'!M19+L19</f>
        <v>0</v>
      </c>
      <c r="P19" s="149">
        <f>+O19-(O19*0.2)</f>
        <v>0</v>
      </c>
      <c r="R19" s="149">
        <f t="shared" si="4"/>
        <v>0</v>
      </c>
      <c r="S19" s="149">
        <f t="shared" si="5"/>
        <v>0</v>
      </c>
    </row>
    <row r="20" spans="1:19" ht="13.5" thickBot="1">
      <c r="A20" s="771"/>
      <c r="B20" s="215"/>
      <c r="C20" s="216"/>
      <c r="D20" s="217"/>
      <c r="E20" s="225"/>
      <c r="F20" s="228"/>
      <c r="G20" s="232"/>
      <c r="H20" s="233"/>
      <c r="I20" s="769"/>
      <c r="J20" s="214">
        <f>+'10'!J20</f>
        <v>0</v>
      </c>
      <c r="K20" s="240"/>
      <c r="L20" s="240"/>
      <c r="M20" s="117">
        <f>+K20+'10'!M20+L20</f>
        <v>0</v>
      </c>
      <c r="P20" s="149">
        <f>+O20-(O20*0.23)</f>
        <v>0</v>
      </c>
      <c r="R20" s="149">
        <f t="shared" si="4"/>
        <v>0</v>
      </c>
      <c r="S20" s="149">
        <f t="shared" si="5"/>
        <v>0</v>
      </c>
    </row>
    <row r="21" spans="1:19" ht="13.5" thickBot="1">
      <c r="A21" s="771"/>
      <c r="B21" s="215"/>
      <c r="C21" s="216"/>
      <c r="D21" s="217"/>
      <c r="E21" s="225"/>
      <c r="F21" s="231"/>
      <c r="G21" s="232"/>
      <c r="H21" s="233"/>
      <c r="I21" s="769"/>
      <c r="J21" s="214">
        <f>+'10'!J21</f>
        <v>0</v>
      </c>
      <c r="K21" s="239"/>
      <c r="L21" s="239"/>
      <c r="M21" s="117">
        <f>+K21+'10'!M21+L21</f>
        <v>0</v>
      </c>
      <c r="P21" s="149">
        <f>+O21-(O21*0.23)</f>
        <v>0</v>
      </c>
      <c r="R21" s="149">
        <f t="shared" si="4"/>
        <v>0</v>
      </c>
      <c r="S21" s="149">
        <f t="shared" si="5"/>
        <v>0</v>
      </c>
    </row>
    <row r="22" spans="1:19" ht="13.5" thickBot="1">
      <c r="A22" s="771"/>
      <c r="B22" s="215"/>
      <c r="C22" s="216"/>
      <c r="D22" s="217"/>
      <c r="E22" s="225"/>
      <c r="F22" s="236"/>
      <c r="G22" s="232"/>
      <c r="H22" s="233"/>
      <c r="I22" s="770"/>
      <c r="J22" s="214">
        <f>+'10'!J22</f>
        <v>0</v>
      </c>
      <c r="K22" s="239"/>
      <c r="L22" s="239"/>
      <c r="M22" s="117">
        <f>+K22+'10'!M22+L22</f>
        <v>0</v>
      </c>
    </row>
    <row r="23" spans="1:19" ht="13.5" thickBot="1">
      <c r="A23" s="772"/>
      <c r="B23" s="168" t="s">
        <v>2</v>
      </c>
      <c r="C23" s="100">
        <f>SUM(C16:C22)</f>
        <v>13781</v>
      </c>
      <c r="D23" s="111">
        <f>SUM(D16:D22)</f>
        <v>0</v>
      </c>
      <c r="E23" s="112">
        <f>SUM(E18:E22)</f>
        <v>0</v>
      </c>
      <c r="F23" s="116">
        <f>SUM(F15:F22)</f>
        <v>17</v>
      </c>
      <c r="G23" s="159"/>
      <c r="H23" s="166"/>
      <c r="I23" s="169"/>
      <c r="J23" s="214">
        <f>+'10'!J23</f>
        <v>0</v>
      </c>
      <c r="K23" s="239"/>
      <c r="L23" s="239"/>
      <c r="M23" s="117">
        <f>+K23+'10'!M23+L23</f>
        <v>0</v>
      </c>
    </row>
    <row r="24" spans="1:19" ht="13.5" customHeight="1" thickBot="1">
      <c r="A24" s="765"/>
      <c r="B24" s="170"/>
      <c r="C24" s="113">
        <f>C23/($C$23+$D$23+$E$23)</f>
        <v>1</v>
      </c>
      <c r="D24" s="114">
        <f>D23/($C$23+$D$23+$E$23)</f>
        <v>0</v>
      </c>
      <c r="E24" s="115">
        <f>E23/($C$23+$D$23+$E$23)</f>
        <v>0</v>
      </c>
      <c r="F24" s="228">
        <v>6</v>
      </c>
      <c r="G24" s="229" t="s">
        <v>12</v>
      </c>
      <c r="H24" s="230" t="s">
        <v>402</v>
      </c>
      <c r="I24" s="768" t="s">
        <v>428</v>
      </c>
      <c r="J24" s="214">
        <f>+'10'!J24</f>
        <v>0</v>
      </c>
      <c r="K24" s="239"/>
      <c r="L24" s="239"/>
      <c r="M24" s="117">
        <f>+K24+'10'!M24+L24</f>
        <v>0</v>
      </c>
      <c r="Q24" s="176">
        <f>SUM(Q16:Q21)</f>
        <v>480</v>
      </c>
      <c r="R24" s="176">
        <f>SUM(R16:R21)</f>
        <v>576000</v>
      </c>
      <c r="S24" s="176">
        <f>SUM(S16:S21)</f>
        <v>443520</v>
      </c>
    </row>
    <row r="25" spans="1:19" ht="13.5" thickBot="1">
      <c r="A25" s="771"/>
      <c r="B25" s="215" t="s">
        <v>458</v>
      </c>
      <c r="C25" s="226">
        <f>2667+2034</f>
        <v>4701</v>
      </c>
      <c r="D25" s="217">
        <v>285</v>
      </c>
      <c r="E25" s="225"/>
      <c r="F25" s="231"/>
      <c r="G25" s="560" t="s">
        <v>12</v>
      </c>
      <c r="H25" s="230" t="s">
        <v>432</v>
      </c>
      <c r="I25" s="769"/>
      <c r="J25" s="214">
        <f>+'10'!J25</f>
        <v>0</v>
      </c>
      <c r="K25" s="239"/>
      <c r="L25" s="239"/>
      <c r="M25" s="117">
        <f>+K25+'10'!M25+L25</f>
        <v>0</v>
      </c>
      <c r="P25" s="149" t="s">
        <v>424</v>
      </c>
      <c r="Q25" s="149">
        <f>480-Q24</f>
        <v>0</v>
      </c>
      <c r="R25" s="176">
        <f>+R24/Q24</f>
        <v>1200</v>
      </c>
      <c r="S25" s="176">
        <f>+S24/Q24</f>
        <v>924</v>
      </c>
    </row>
    <row r="26" spans="1:19" ht="13.5" thickBot="1">
      <c r="A26" s="771"/>
      <c r="B26" s="215" t="s">
        <v>391</v>
      </c>
      <c r="C26" s="226">
        <v>10149</v>
      </c>
      <c r="D26" s="217"/>
      <c r="E26" s="227"/>
      <c r="F26" s="228">
        <v>13</v>
      </c>
      <c r="G26" s="560" t="s">
        <v>12</v>
      </c>
      <c r="H26" s="233" t="s">
        <v>405</v>
      </c>
      <c r="I26" s="769"/>
      <c r="J26" s="214">
        <f>+'10'!J26</f>
        <v>0</v>
      </c>
      <c r="K26" s="229"/>
      <c r="L26" s="229"/>
      <c r="M26" s="117">
        <f>+K26+'10'!M26+L26</f>
        <v>0</v>
      </c>
    </row>
    <row r="27" spans="1:19" ht="39" thickBot="1">
      <c r="A27" s="771"/>
      <c r="B27" s="215"/>
      <c r="C27" s="216"/>
      <c r="D27" s="217"/>
      <c r="E27" s="225"/>
      <c r="F27" s="228"/>
      <c r="G27" s="237"/>
      <c r="H27" s="233" t="s">
        <v>538</v>
      </c>
      <c r="I27" s="769"/>
      <c r="J27" s="214">
        <f>+'10'!J27</f>
        <v>0</v>
      </c>
      <c r="K27" s="229"/>
      <c r="L27" s="229"/>
      <c r="M27" s="117">
        <f>+K27+'10'!M27+L27</f>
        <v>0</v>
      </c>
      <c r="N27" s="149" t="s">
        <v>456</v>
      </c>
      <c r="O27" s="149">
        <v>1230</v>
      </c>
      <c r="P27" s="149">
        <f>+O27-(O27*0.23)</f>
        <v>947.09999999999991</v>
      </c>
      <c r="Q27" s="149">
        <f>60*2+23</f>
        <v>143</v>
      </c>
      <c r="R27" s="149">
        <f t="shared" ref="R27:R32" si="6">+O27*Q27</f>
        <v>175890</v>
      </c>
      <c r="S27" s="149">
        <f t="shared" ref="S27:S32" si="7">+P27*Q27</f>
        <v>135435.29999999999</v>
      </c>
    </row>
    <row r="28" spans="1:19" ht="13.5" thickBot="1">
      <c r="A28" s="771"/>
      <c r="B28" s="215"/>
      <c r="C28" s="216"/>
      <c r="D28" s="217"/>
      <c r="E28" s="225"/>
      <c r="F28" s="231"/>
      <c r="G28" s="232"/>
      <c r="H28" s="233" t="s">
        <v>539</v>
      </c>
      <c r="I28" s="769"/>
      <c r="J28" s="214">
        <f>+'10'!J28</f>
        <v>0</v>
      </c>
      <c r="K28" s="239"/>
      <c r="L28" s="239"/>
      <c r="M28" s="117">
        <f>+K28+'10'!M28+L28</f>
        <v>0</v>
      </c>
      <c r="N28" s="149" t="s">
        <v>544</v>
      </c>
      <c r="O28" s="149">
        <v>1230</v>
      </c>
      <c r="P28" s="149">
        <f>+O28-(O28*0.23)</f>
        <v>947.09999999999991</v>
      </c>
      <c r="Q28" s="149">
        <f>480-Q27</f>
        <v>337</v>
      </c>
      <c r="R28" s="149">
        <f t="shared" si="6"/>
        <v>414510</v>
      </c>
      <c r="S28" s="149">
        <f t="shared" si="7"/>
        <v>319172.69999999995</v>
      </c>
    </row>
    <row r="29" spans="1:19" ht="13.5" thickBot="1">
      <c r="A29" s="771"/>
      <c r="B29" s="215"/>
      <c r="C29" s="216"/>
      <c r="D29" s="217"/>
      <c r="E29" s="225"/>
      <c r="F29" s="236"/>
      <c r="G29" s="232"/>
      <c r="H29" s="233"/>
      <c r="I29" s="769"/>
      <c r="J29" s="214">
        <f>+'10'!J29</f>
        <v>0</v>
      </c>
      <c r="K29" s="239"/>
      <c r="L29" s="239"/>
      <c r="M29" s="117">
        <f>+K29+'10'!M29+L29</f>
        <v>0</v>
      </c>
      <c r="P29" s="149">
        <f>+O29-(O29*0.23)</f>
        <v>0</v>
      </c>
      <c r="R29" s="149">
        <f t="shared" si="6"/>
        <v>0</v>
      </c>
      <c r="S29" s="149">
        <f t="shared" si="7"/>
        <v>0</v>
      </c>
    </row>
    <row r="30" spans="1:19" ht="13.5" thickBot="1">
      <c r="A30" s="771"/>
      <c r="B30" s="215"/>
      <c r="C30" s="226"/>
      <c r="D30" s="217"/>
      <c r="E30" s="225"/>
      <c r="F30" s="236"/>
      <c r="G30" s="232"/>
      <c r="H30" s="233"/>
      <c r="I30" s="769"/>
      <c r="J30" s="214">
        <f>+'10'!J30</f>
        <v>0</v>
      </c>
      <c r="K30" s="240"/>
      <c r="L30" s="240"/>
      <c r="M30" s="117">
        <f>+K30+'10'!M30+L30</f>
        <v>0</v>
      </c>
      <c r="P30" s="149">
        <f>+O30-(O30*0.2)</f>
        <v>0</v>
      </c>
      <c r="R30" s="149">
        <f t="shared" si="6"/>
        <v>0</v>
      </c>
      <c r="S30" s="149">
        <f t="shared" si="7"/>
        <v>0</v>
      </c>
    </row>
    <row r="31" spans="1:19" ht="13.5" thickBot="1">
      <c r="A31" s="771"/>
      <c r="B31" s="215"/>
      <c r="C31" s="226"/>
      <c r="D31" s="217"/>
      <c r="E31" s="225"/>
      <c r="F31" s="236"/>
      <c r="G31" s="237"/>
      <c r="H31" s="445"/>
      <c r="I31" s="770"/>
      <c r="J31" s="214">
        <f>+'10'!J31</f>
        <v>0</v>
      </c>
      <c r="K31" s="239"/>
      <c r="L31" s="239"/>
      <c r="M31" s="117">
        <f>+K31+'10'!M31+L31</f>
        <v>0</v>
      </c>
      <c r="P31" s="149">
        <f>+O31-(O31*0.23)</f>
        <v>0</v>
      </c>
      <c r="R31" s="149">
        <f t="shared" si="6"/>
        <v>0</v>
      </c>
      <c r="S31" s="149">
        <f t="shared" si="7"/>
        <v>0</v>
      </c>
    </row>
    <row r="32" spans="1:19" ht="13.5" thickBot="1">
      <c r="A32" s="772"/>
      <c r="B32" s="165" t="s">
        <v>2</v>
      </c>
      <c r="C32" s="99">
        <f>SUM(C25:C31)</f>
        <v>14850</v>
      </c>
      <c r="D32" s="100">
        <f>SUM(D25:D31)</f>
        <v>285</v>
      </c>
      <c r="E32" s="101">
        <f>SUM(E25:E31)</f>
        <v>0</v>
      </c>
      <c r="F32" s="102">
        <f>SUM(F24:F31)</f>
        <v>19</v>
      </c>
      <c r="G32" s="171"/>
      <c r="H32" s="172"/>
      <c r="I32" s="169"/>
      <c r="J32" s="214">
        <f>+'10'!J32</f>
        <v>0</v>
      </c>
      <c r="K32" s="239"/>
      <c r="L32" s="239"/>
      <c r="M32" s="117">
        <f>+K32+'10'!M32+L32</f>
        <v>0</v>
      </c>
      <c r="P32" s="149">
        <f>+O32-(O32*0.23)</f>
        <v>0</v>
      </c>
      <c r="R32" s="149">
        <f t="shared" si="6"/>
        <v>0</v>
      </c>
      <c r="S32" s="149">
        <f t="shared" si="7"/>
        <v>0</v>
      </c>
    </row>
    <row r="33" spans="1:19" ht="13.5" thickBot="1">
      <c r="A33" s="173"/>
      <c r="B33" s="174"/>
      <c r="C33" s="103">
        <f>C32/($C$32+$D$32+$E$32)</f>
        <v>0.98116947472745297</v>
      </c>
      <c r="D33" s="104">
        <f>D32/($C$32+$D$32+$E$32)</f>
        <v>1.8830525272547076E-2</v>
      </c>
      <c r="E33" s="105">
        <f>E32/($C$32+$D$32+$E$32)</f>
        <v>0</v>
      </c>
      <c r="F33" s="106"/>
      <c r="G33" s="175"/>
      <c r="H33" s="176"/>
      <c r="I33" s="177"/>
      <c r="J33" s="121"/>
      <c r="K33" s="122"/>
      <c r="L33" s="213"/>
      <c r="M33" s="119"/>
    </row>
    <row r="34" spans="1:19" ht="13.5" thickBot="1">
      <c r="A34" s="761" t="s">
        <v>57</v>
      </c>
      <c r="B34" s="762"/>
      <c r="C34" s="107">
        <f>C14+C23+C32</f>
        <v>38934</v>
      </c>
      <c r="D34" s="107">
        <f>D14+D23+D32</f>
        <v>285</v>
      </c>
      <c r="E34" s="107">
        <f>E14+E23+E32</f>
        <v>0</v>
      </c>
      <c r="F34" s="108">
        <f>F14+F23+F32</f>
        <v>153</v>
      </c>
      <c r="H34" s="178"/>
      <c r="I34" s="178"/>
      <c r="J34" s="123" t="s">
        <v>28</v>
      </c>
      <c r="K34" s="124">
        <f>SUM(K7:K32)</f>
        <v>38934</v>
      </c>
      <c r="L34" s="212">
        <f>SUM(L7:L32)</f>
        <v>0</v>
      </c>
      <c r="M34" s="120">
        <f>SUM(M7:M32)</f>
        <v>355069</v>
      </c>
    </row>
    <row r="35" spans="1:19" ht="13.5" thickBot="1">
      <c r="A35" s="179"/>
      <c r="B35" s="180"/>
      <c r="C35" s="104">
        <f>C34/($C$34+$D$34+$E$34)</f>
        <v>0.9927331140518626</v>
      </c>
      <c r="D35" s="104">
        <f>D34/($C$34+$D$34+$E$34)</f>
        <v>7.2668859481373827E-3</v>
      </c>
      <c r="E35" s="109">
        <f>E34/($C$34+$D$34+$E$34)</f>
        <v>0</v>
      </c>
      <c r="K35" s="155"/>
      <c r="Q35" s="176">
        <f>SUM(Q27:Q32)</f>
        <v>480</v>
      </c>
      <c r="R35" s="176">
        <f>SUM(R27:R32)</f>
        <v>590400</v>
      </c>
      <c r="S35" s="176">
        <f>SUM(S27:S32)</f>
        <v>454607.99999999994</v>
      </c>
    </row>
    <row r="36" spans="1:19" ht="13.5" thickBot="1">
      <c r="A36" s="178"/>
      <c r="B36" s="178"/>
      <c r="C36" s="155"/>
      <c r="D36" s="155"/>
      <c r="E36" s="155"/>
      <c r="G36" s="155"/>
      <c r="H36" s="181"/>
      <c r="I36" s="162" t="s">
        <v>37</v>
      </c>
      <c r="J36" s="162" t="s">
        <v>38</v>
      </c>
      <c r="K36" s="182"/>
      <c r="P36" s="149" t="s">
        <v>424</v>
      </c>
      <c r="Q36" s="149">
        <f>480-Q35</f>
        <v>0</v>
      </c>
      <c r="R36" s="176">
        <f>+R35/Q35</f>
        <v>1230</v>
      </c>
      <c r="S36" s="176">
        <f>+S35/Q35</f>
        <v>947.09999999999991</v>
      </c>
    </row>
    <row r="37" spans="1:19" ht="17.45" customHeight="1" thickBot="1">
      <c r="A37" s="763" t="s">
        <v>58</v>
      </c>
      <c r="B37" s="764"/>
      <c r="C37" s="162" t="s">
        <v>59</v>
      </c>
      <c r="D37" s="183" t="s">
        <v>60</v>
      </c>
      <c r="E37" s="184" t="s">
        <v>61</v>
      </c>
      <c r="F37" s="322"/>
      <c r="G37" s="324"/>
      <c r="H37" s="186" t="s">
        <v>62</v>
      </c>
      <c r="I37" s="244">
        <f>(12.5*1003+337*12)/1340*G42*2.74*1340/1000000</f>
        <v>41.806765556526123</v>
      </c>
      <c r="J37" s="125" t="e">
        <f>+I37+'10'!J37</f>
        <v>#DIV/0!</v>
      </c>
      <c r="K37" s="126" t="s">
        <v>63</v>
      </c>
    </row>
    <row r="38" spans="1:19" ht="17.45" customHeight="1">
      <c r="A38" s="755" t="s">
        <v>12</v>
      </c>
      <c r="B38" s="756"/>
      <c r="C38" s="164">
        <f>SUMIF($G$7:$G$31,"Process",$F$7:$F$31)</f>
        <v>153</v>
      </c>
      <c r="D38" s="118">
        <f>+C38+'10'!D38</f>
        <v>749</v>
      </c>
      <c r="E38" s="143">
        <f t="shared" ref="E38:E51" si="8">D38/60</f>
        <v>12.483333333333333</v>
      </c>
      <c r="F38" s="322">
        <v>1144.6052631578948</v>
      </c>
      <c r="G38" s="322">
        <v>881.34605263157891</v>
      </c>
      <c r="H38" s="187" t="s">
        <v>64</v>
      </c>
      <c r="I38" s="245">
        <f>11.683+14.502+13.622</f>
        <v>39.807000000000002</v>
      </c>
      <c r="J38" s="127">
        <f>+I38+'10'!J38</f>
        <v>382.86660000000006</v>
      </c>
      <c r="K38" s="128" t="s">
        <v>63</v>
      </c>
    </row>
    <row r="39" spans="1:19" ht="17.45" customHeight="1">
      <c r="A39" s="759" t="s">
        <v>13</v>
      </c>
      <c r="B39" s="760"/>
      <c r="C39" s="164">
        <f>SUMIF($G$7:$G$31,"Cleaning",$F$7:$F$31)</f>
        <v>0</v>
      </c>
      <c r="D39" s="118">
        <f>+C39+'10'!D39</f>
        <v>0</v>
      </c>
      <c r="E39" s="143">
        <f t="shared" si="8"/>
        <v>0</v>
      </c>
      <c r="F39" s="322">
        <v>1200</v>
      </c>
      <c r="G39" s="322">
        <v>924</v>
      </c>
      <c r="H39" s="187" t="s">
        <v>65</v>
      </c>
      <c r="I39" s="142"/>
      <c r="J39" s="129" t="e">
        <f>J37/G4</f>
        <v>#DIV/0!</v>
      </c>
      <c r="K39" s="130" t="s">
        <v>63</v>
      </c>
      <c r="N39" s="149">
        <v>380</v>
      </c>
    </row>
    <row r="40" spans="1:19" ht="17.45" customHeight="1">
      <c r="A40" s="759" t="s">
        <v>66</v>
      </c>
      <c r="B40" s="760"/>
      <c r="C40" s="164">
        <f>SUMIF($G$7:$G$31,"Mechanical",$F$7:$F$31)</f>
        <v>0</v>
      </c>
      <c r="D40" s="118">
        <f>+C40+'10'!D40</f>
        <v>0</v>
      </c>
      <c r="E40" s="143">
        <f t="shared" si="8"/>
        <v>0</v>
      </c>
      <c r="F40" s="322">
        <v>1230</v>
      </c>
      <c r="G40" s="322">
        <v>947.09999999999991</v>
      </c>
      <c r="H40" s="187" t="s">
        <v>67</v>
      </c>
      <c r="I40" s="118">
        <f>(K34+L34)/1000</f>
        <v>38.933999999999997</v>
      </c>
      <c r="J40" s="131">
        <f>+I40+'10'!J40</f>
        <v>355.06899999999996</v>
      </c>
      <c r="K40" s="130" t="s">
        <v>63</v>
      </c>
      <c r="N40" s="149">
        <v>480</v>
      </c>
    </row>
    <row r="41" spans="1:19" ht="17.45" customHeight="1">
      <c r="A41" s="759" t="s">
        <v>68</v>
      </c>
      <c r="B41" s="760"/>
      <c r="C41" s="164">
        <f>SUMIF($G$7:$G$31,"Electrical",$F$7:$F$31)</f>
        <v>0</v>
      </c>
      <c r="D41" s="118">
        <f>+C41+'10'!D41</f>
        <v>550</v>
      </c>
      <c r="E41" s="143">
        <f t="shared" si="8"/>
        <v>9.1666666666666661</v>
      </c>
      <c r="F41" s="322"/>
      <c r="G41" s="322"/>
      <c r="H41" s="187" t="s">
        <v>69</v>
      </c>
      <c r="I41" s="142"/>
      <c r="J41" s="129">
        <f>J40/G4</f>
        <v>32.278999999999996</v>
      </c>
      <c r="K41" s="130" t="s">
        <v>63</v>
      </c>
      <c r="N41" s="149">
        <v>480</v>
      </c>
    </row>
    <row r="42" spans="1:19" ht="17.45" customHeight="1">
      <c r="A42" s="759" t="s">
        <v>16</v>
      </c>
      <c r="B42" s="760"/>
      <c r="C42" s="164">
        <f>SUMIF($G$7:$G$31,"Instrument",$F$7:$F$31)</f>
        <v>0</v>
      </c>
      <c r="D42" s="118">
        <f>+C42+'10'!D42</f>
        <v>0</v>
      </c>
      <c r="E42" s="143">
        <f t="shared" si="8"/>
        <v>0</v>
      </c>
      <c r="F42" s="322">
        <f>+(380*F38+480*F39+480*F40)/1340</f>
        <v>1195.0373134328358</v>
      </c>
      <c r="G42" s="322">
        <f>+(380*G38+480*G39+480*G40)/1340</f>
        <v>920.17873134328363</v>
      </c>
      <c r="H42" s="187" t="s">
        <v>70</v>
      </c>
      <c r="I42" s="246" t="s">
        <v>547</v>
      </c>
      <c r="J42" s="132"/>
      <c r="K42" s="130" t="s">
        <v>71</v>
      </c>
      <c r="N42" s="149">
        <f>+N39+N40+N41</f>
        <v>1340</v>
      </c>
    </row>
    <row r="43" spans="1:19" ht="17.45" customHeight="1">
      <c r="A43" s="759" t="s">
        <v>72</v>
      </c>
      <c r="B43" s="760"/>
      <c r="C43" s="164">
        <f>SUMIF($G$7:$G$31,"Water",$F$7:$F$31)</f>
        <v>0</v>
      </c>
      <c r="D43" s="118">
        <f>+C43+'10'!D43</f>
        <v>0</v>
      </c>
      <c r="E43" s="143">
        <f t="shared" si="8"/>
        <v>0</v>
      </c>
      <c r="F43" s="322"/>
      <c r="G43" s="323"/>
      <c r="H43" s="188" t="s">
        <v>73</v>
      </c>
      <c r="I43" s="118">
        <f>+Report1!Z19</f>
        <v>60.2</v>
      </c>
      <c r="J43" s="133">
        <f>+I43+'10'!J43</f>
        <v>593.20000000000005</v>
      </c>
      <c r="K43" s="130" t="s">
        <v>63</v>
      </c>
      <c r="L43" s="189"/>
    </row>
    <row r="44" spans="1:19" ht="17.45" customHeight="1">
      <c r="A44" s="759" t="s">
        <v>17</v>
      </c>
      <c r="B44" s="760"/>
      <c r="C44" s="164">
        <f>SUMIF($G$7:$G$31,"PLN",$F$7:$F$31)</f>
        <v>0</v>
      </c>
      <c r="D44" s="118">
        <f>+C44+'10'!D44</f>
        <v>0</v>
      </c>
      <c r="E44" s="143">
        <f t="shared" si="8"/>
        <v>0</v>
      </c>
      <c r="F44" s="322"/>
      <c r="G44" s="323"/>
      <c r="H44" s="188" t="s">
        <v>74</v>
      </c>
      <c r="I44" s="118">
        <f>I43/I38</f>
        <v>1.5122968322154395</v>
      </c>
      <c r="J44" s="134">
        <f>J43/J38</f>
        <v>1.5493647134537198</v>
      </c>
      <c r="K44" s="130" t="s">
        <v>63</v>
      </c>
      <c r="N44" s="149" t="s">
        <v>456</v>
      </c>
      <c r="O44" s="149">
        <v>1183.2901296111665</v>
      </c>
      <c r="P44" s="149">
        <v>911.13339980059823</v>
      </c>
      <c r="Q44" s="149">
        <v>1003</v>
      </c>
    </row>
    <row r="45" spans="1:19" ht="17.45" customHeight="1">
      <c r="A45" s="759" t="s">
        <v>18</v>
      </c>
      <c r="B45" s="760"/>
      <c r="C45" s="164">
        <f>SUMIF($G$7:$G$31,"Boiler",$F$7:$F$31)</f>
        <v>0</v>
      </c>
      <c r="D45" s="118">
        <f>+C45+'10'!D45</f>
        <v>0</v>
      </c>
      <c r="E45" s="143">
        <f t="shared" si="8"/>
        <v>0</v>
      </c>
      <c r="F45" s="322"/>
      <c r="G45" s="325"/>
      <c r="H45" s="188" t="s">
        <v>75</v>
      </c>
      <c r="I45" s="118">
        <f>I43/I40</f>
        <v>1.5462064005753329</v>
      </c>
      <c r="J45" s="134">
        <f>J43/J40</f>
        <v>1.6706611954296211</v>
      </c>
      <c r="K45" s="130" t="s">
        <v>63</v>
      </c>
      <c r="N45" s="149" t="s">
        <v>544</v>
      </c>
      <c r="O45" s="149">
        <v>1230</v>
      </c>
      <c r="P45" s="149">
        <v>947.09999999999991</v>
      </c>
      <c r="Q45" s="149">
        <v>337</v>
      </c>
    </row>
    <row r="46" spans="1:19" ht="17.45" customHeight="1">
      <c r="A46" s="759" t="s">
        <v>76</v>
      </c>
      <c r="B46" s="760"/>
      <c r="C46" s="164">
        <f>SUMIF($G$7:$G$31,"Gas",$F$7:$F$31)</f>
        <v>0</v>
      </c>
      <c r="D46" s="118">
        <f>+C46+'10'!D46</f>
        <v>0</v>
      </c>
      <c r="E46" s="143">
        <f t="shared" si="8"/>
        <v>0</v>
      </c>
      <c r="F46" s="322"/>
      <c r="G46" s="323"/>
      <c r="H46" s="188" t="s">
        <v>77</v>
      </c>
      <c r="I46" s="140">
        <f>+SUMIF(Listrik!P18,"&gt;0")</f>
        <v>37218.959999999272</v>
      </c>
      <c r="J46" s="135">
        <f>+I46+'10'!J46</f>
        <v>349489.98</v>
      </c>
      <c r="K46" s="130" t="s">
        <v>78</v>
      </c>
      <c r="Q46" s="149">
        <f>+Q44+Q45</f>
        <v>1340</v>
      </c>
    </row>
    <row r="47" spans="1:19" ht="17.45" customHeight="1">
      <c r="A47" s="759" t="s">
        <v>79</v>
      </c>
      <c r="B47" s="760"/>
      <c r="C47" s="164">
        <f>SUMIF($G$7:$G$31,"Gas",$F$7:$F$31)</f>
        <v>0</v>
      </c>
      <c r="D47" s="118">
        <f>+C47+'10'!D47</f>
        <v>0</v>
      </c>
      <c r="E47" s="143">
        <f t="shared" si="8"/>
        <v>0</v>
      </c>
      <c r="F47" s="322"/>
      <c r="G47" s="323"/>
      <c r="H47" s="188" t="s">
        <v>80</v>
      </c>
      <c r="I47" s="118">
        <f>I46/I38</f>
        <v>934.98530409222678</v>
      </c>
      <c r="J47" s="135">
        <f>J46/J38</f>
        <v>912.8244145611028</v>
      </c>
      <c r="K47" s="130" t="s">
        <v>24</v>
      </c>
    </row>
    <row r="48" spans="1:19" ht="17.45" customHeight="1">
      <c r="A48" s="759" t="s">
        <v>14</v>
      </c>
      <c r="B48" s="760"/>
      <c r="C48" s="164">
        <f>SUMIF($G$7:$G$31,"Start Up",$F$7:$F$31)</f>
        <v>0</v>
      </c>
      <c r="D48" s="118">
        <f>+C48+'10'!D48</f>
        <v>0</v>
      </c>
      <c r="E48" s="143">
        <f t="shared" si="8"/>
        <v>0</v>
      </c>
      <c r="F48" s="322"/>
      <c r="G48" s="323"/>
      <c r="H48" s="188" t="s">
        <v>81</v>
      </c>
      <c r="I48" s="118">
        <f>I46/I40</f>
        <v>955.95006934810897</v>
      </c>
      <c r="J48" s="135">
        <f>J46/J40</f>
        <v>984.28750468218857</v>
      </c>
      <c r="K48" s="130" t="s">
        <v>24</v>
      </c>
    </row>
    <row r="49" spans="1:11" ht="17.45" customHeight="1">
      <c r="A49" s="759" t="s">
        <v>20</v>
      </c>
      <c r="B49" s="760"/>
      <c r="C49" s="164">
        <f>SUMIF($G$7:$G$31,"Others",$F$7:$F$31)</f>
        <v>0</v>
      </c>
      <c r="D49" s="118">
        <f>+C49+'10'!D49</f>
        <v>0</v>
      </c>
      <c r="E49" s="143">
        <f t="shared" si="8"/>
        <v>0</v>
      </c>
      <c r="F49" s="185"/>
      <c r="H49" s="188" t="s">
        <v>271</v>
      </c>
      <c r="I49" s="118">
        <f>+Report1!T19</f>
        <v>3443.8709691013601</v>
      </c>
      <c r="J49" s="135">
        <f>+I49+'10'!J49</f>
        <v>35909.193665944207</v>
      </c>
      <c r="K49" s="130" t="s">
        <v>82</v>
      </c>
    </row>
    <row r="50" spans="1:11" ht="17.45" customHeight="1">
      <c r="A50" s="759" t="s">
        <v>19</v>
      </c>
      <c r="B50" s="760"/>
      <c r="C50" s="164">
        <f>SUMIF($G$7:$G$31,"Steam",$F$7:$F$31)</f>
        <v>0</v>
      </c>
      <c r="D50" s="118">
        <f>+C50+'10'!D50</f>
        <v>0</v>
      </c>
      <c r="E50" s="143">
        <f t="shared" si="8"/>
        <v>0</v>
      </c>
      <c r="F50" s="185"/>
      <c r="H50" s="188" t="s">
        <v>83</v>
      </c>
      <c r="I50" s="140">
        <f>I49/I38</f>
        <v>86.514205267951866</v>
      </c>
      <c r="J50" s="133">
        <f>J49/J38</f>
        <v>93.790353261277431</v>
      </c>
      <c r="K50" s="130" t="s">
        <v>82</v>
      </c>
    </row>
    <row r="51" spans="1:11" ht="17.45" customHeight="1" thickBot="1">
      <c r="A51" s="753" t="s">
        <v>84</v>
      </c>
      <c r="B51" s="754"/>
      <c r="C51" s="164">
        <f>SUMIF($G$7:$G$31,"Planned shut",$F$7:$F$31)</f>
        <v>0</v>
      </c>
      <c r="D51" s="118">
        <f>+C51+'10'!D51</f>
        <v>1555</v>
      </c>
      <c r="E51" s="143">
        <f t="shared" si="8"/>
        <v>25.916666666666668</v>
      </c>
      <c r="F51" s="185"/>
      <c r="H51" s="190" t="s">
        <v>85</v>
      </c>
      <c r="I51" s="141">
        <f>I49/I40</f>
        <v>88.454075335217553</v>
      </c>
      <c r="J51" s="136">
        <f>J49/J40</f>
        <v>101.13300137703999</v>
      </c>
      <c r="K51" s="137" t="s">
        <v>82</v>
      </c>
    </row>
    <row r="52" spans="1:11" ht="13.5" thickBot="1">
      <c r="A52" s="755" t="s">
        <v>28</v>
      </c>
      <c r="B52" s="756"/>
      <c r="C52" s="144">
        <f>SUM(C38:C51)</f>
        <v>153</v>
      </c>
      <c r="D52" s="144">
        <f>SUM(D38:D51)</f>
        <v>2854</v>
      </c>
      <c r="E52" s="145">
        <f>SUM(E38:E51)</f>
        <v>47.566666666666663</v>
      </c>
      <c r="F52" s="185"/>
      <c r="H52" s="191"/>
      <c r="I52" s="192"/>
      <c r="J52" s="138"/>
      <c r="K52" s="139"/>
    </row>
    <row r="53" spans="1:11" ht="13.5" thickBot="1">
      <c r="A53" s="757"/>
      <c r="B53" s="758"/>
      <c r="C53" s="146">
        <f>C52/(24*60)</f>
        <v>0.10625</v>
      </c>
      <c r="D53" s="146">
        <f>D52/(24*60*G4)</f>
        <v>0.18017676767676769</v>
      </c>
      <c r="E53" s="147">
        <f>E52/(G4*24)</f>
        <v>0.18017676767676766</v>
      </c>
      <c r="F53" s="185"/>
    </row>
    <row r="54" spans="1:11">
      <c r="E54" s="193"/>
      <c r="F54" s="185"/>
    </row>
    <row r="55" spans="1:11">
      <c r="E55" s="193"/>
    </row>
    <row r="56" spans="1:11">
      <c r="A56" s="194" t="s">
        <v>86</v>
      </c>
      <c r="B56" s="195"/>
      <c r="C56" s="196"/>
      <c r="D56" s="196"/>
      <c r="E56" s="196"/>
      <c r="F56" s="197"/>
      <c r="G56" s="196"/>
      <c r="H56" s="198"/>
      <c r="I56" s="199" t="s">
        <v>87</v>
      </c>
      <c r="J56" s="200">
        <f>+D34+'10'!J56</f>
        <v>8323</v>
      </c>
      <c r="K56" s="201">
        <f>J56/(J40+J56/1000)/1000</f>
        <v>2.2903641246917933E-2</v>
      </c>
    </row>
    <row r="57" spans="1:11">
      <c r="A57" s="176"/>
      <c r="I57" s="199" t="s">
        <v>88</v>
      </c>
      <c r="J57" s="200">
        <f>+E34+'10'!J57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3:B53"/>
    <mergeCell ref="A52:B52"/>
    <mergeCell ref="A46:B46"/>
    <mergeCell ref="A51:B51"/>
    <mergeCell ref="A50:B50"/>
    <mergeCell ref="A49:B49"/>
    <mergeCell ref="A47:B47"/>
    <mergeCell ref="A48:B48"/>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 ref="A39:B39"/>
  </mergeCells>
  <phoneticPr fontId="32" type="noConversion"/>
  <pageMargins left="0.17" right="0.16" top="0.17" bottom="0.16" header="0" footer="0"/>
  <pageSetup paperSize="9" scale="53" firstPageNumber="4294963191"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75" zoomScaleSheetLayoutView="80" workbookViewId="0">
      <selection activeCell="F14" sqref="F14"/>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2.140625" style="149" customWidth="1"/>
    <col min="14" max="16384" width="9.140625" style="149"/>
  </cols>
  <sheetData>
    <row r="1" spans="1:19" ht="15.75">
      <c r="A1" s="148"/>
    </row>
    <row r="2" spans="1:19" ht="15.75">
      <c r="A2" s="148" t="s">
        <v>185</v>
      </c>
    </row>
    <row r="3" spans="1:19" ht="15">
      <c r="A3" s="150"/>
    </row>
    <row r="4" spans="1:19" ht="20.25">
      <c r="A4" s="151" t="s">
        <v>3</v>
      </c>
      <c r="B4" s="152"/>
      <c r="F4" s="153" t="s">
        <v>29</v>
      </c>
      <c r="G4" s="154">
        <v>10</v>
      </c>
      <c r="H4" s="154" t="str">
        <f>+'1'!H4</f>
        <v>.9.25</v>
      </c>
      <c r="J4" s="149">
        <f>663+612+643</f>
        <v>1918</v>
      </c>
    </row>
    <row r="5" spans="1:19" ht="13.5" thickBot="1">
      <c r="C5" s="155"/>
      <c r="D5" s="155"/>
    </row>
    <row r="6" spans="1:19"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49" t="s">
        <v>389</v>
      </c>
      <c r="O6" s="149">
        <v>1230</v>
      </c>
      <c r="P6" s="149">
        <f>+O6-(O6*0.23)</f>
        <v>947.09999999999991</v>
      </c>
      <c r="Q6" s="149">
        <v>480</v>
      </c>
      <c r="R6" s="149">
        <f t="shared" ref="R6:R11" si="0">+O6*Q6</f>
        <v>590400</v>
      </c>
      <c r="S6" s="149">
        <f t="shared" ref="S6:S11" si="1">+P6*Q6</f>
        <v>454607.99999999994</v>
      </c>
    </row>
    <row r="7" spans="1:19" ht="13.5" customHeight="1" thickBot="1">
      <c r="A7" s="765"/>
      <c r="B7" s="215" t="s">
        <v>391</v>
      </c>
      <c r="C7" s="216">
        <v>11980</v>
      </c>
      <c r="D7" s="217">
        <v>6028</v>
      </c>
      <c r="E7" s="218"/>
      <c r="F7" s="228"/>
      <c r="G7" s="229" t="s">
        <v>12</v>
      </c>
      <c r="H7" s="230" t="s">
        <v>466</v>
      </c>
      <c r="I7" s="768" t="s">
        <v>428</v>
      </c>
      <c r="J7" s="214" t="str">
        <f>+'9'!J7</f>
        <v>F 12 VP OW</v>
      </c>
      <c r="K7" s="238">
        <f>++C7+C16+C25</f>
        <v>23589</v>
      </c>
      <c r="L7" s="242"/>
      <c r="M7" s="117">
        <f>+K7+'9'!M7+L7</f>
        <v>135655</v>
      </c>
      <c r="P7" s="149">
        <f>+O7-(O7*0.23)</f>
        <v>0</v>
      </c>
      <c r="R7" s="149">
        <f t="shared" si="0"/>
        <v>0</v>
      </c>
      <c r="S7" s="149">
        <f t="shared" si="1"/>
        <v>0</v>
      </c>
    </row>
    <row r="8" spans="1:19" ht="13.5" thickBot="1">
      <c r="A8" s="766"/>
      <c r="B8" s="215"/>
      <c r="C8" s="216"/>
      <c r="D8" s="217"/>
      <c r="E8" s="219"/>
      <c r="F8" s="231"/>
      <c r="G8" s="560" t="s">
        <v>12</v>
      </c>
      <c r="H8" s="230" t="s">
        <v>432</v>
      </c>
      <c r="I8" s="769"/>
      <c r="J8" s="214" t="str">
        <f>+'9'!J8</f>
        <v>F 13 VP OW</v>
      </c>
      <c r="K8" s="239">
        <f>+C27</f>
        <v>0</v>
      </c>
      <c r="L8" s="239"/>
      <c r="M8" s="117">
        <f>+K8+'9'!M8+L8</f>
        <v>46266</v>
      </c>
      <c r="P8" s="149">
        <f>+O8-(O8*0.23)</f>
        <v>0</v>
      </c>
      <c r="R8" s="149">
        <f t="shared" si="0"/>
        <v>0</v>
      </c>
      <c r="S8" s="149">
        <f t="shared" si="1"/>
        <v>0</v>
      </c>
    </row>
    <row r="9" spans="1:19" ht="13.5" thickBot="1">
      <c r="A9" s="766"/>
      <c r="B9" s="215"/>
      <c r="C9" s="216"/>
      <c r="D9" s="217"/>
      <c r="E9" s="220"/>
      <c r="F9" s="228">
        <v>15</v>
      </c>
      <c r="G9" s="560" t="s">
        <v>12</v>
      </c>
      <c r="H9" s="233" t="s">
        <v>405</v>
      </c>
      <c r="I9" s="769"/>
      <c r="J9" s="214" t="str">
        <f>+'9'!J9</f>
        <v>F 14 VP OW</v>
      </c>
      <c r="K9" s="239"/>
      <c r="L9" s="239"/>
      <c r="M9" s="117">
        <f>+K9+'9'!M9+L9</f>
        <v>100560</v>
      </c>
      <c r="P9" s="149">
        <f>+O9-(O9*0.2)</f>
        <v>0</v>
      </c>
      <c r="R9" s="149">
        <f t="shared" si="0"/>
        <v>0</v>
      </c>
      <c r="S9" s="149">
        <f t="shared" si="1"/>
        <v>0</v>
      </c>
    </row>
    <row r="10" spans="1:19" ht="13.5" thickBot="1">
      <c r="A10" s="766"/>
      <c r="B10" s="215"/>
      <c r="C10" s="216"/>
      <c r="D10" s="217"/>
      <c r="E10" s="219"/>
      <c r="F10" s="228"/>
      <c r="G10" s="237"/>
      <c r="H10" s="233" t="s">
        <v>420</v>
      </c>
      <c r="I10" s="769"/>
      <c r="J10" s="214" t="str">
        <f>+'9'!J10</f>
        <v>T 12,5 VP OW</v>
      </c>
      <c r="K10" s="239"/>
      <c r="L10" s="239"/>
      <c r="M10" s="117">
        <f>+K10+'9'!M10+L10</f>
        <v>19885</v>
      </c>
      <c r="P10" s="149">
        <f>+O10-(O10*0.23)</f>
        <v>0</v>
      </c>
      <c r="R10" s="149">
        <f t="shared" si="0"/>
        <v>0</v>
      </c>
      <c r="S10" s="149">
        <f t="shared" si="1"/>
        <v>0</v>
      </c>
    </row>
    <row r="11" spans="1:19" ht="90" thickBot="1">
      <c r="A11" s="766"/>
      <c r="B11" s="215"/>
      <c r="C11" s="216"/>
      <c r="D11" s="217"/>
      <c r="E11" s="219"/>
      <c r="F11" s="228">
        <v>35</v>
      </c>
      <c r="G11" s="232" t="s">
        <v>68</v>
      </c>
      <c r="H11" s="233" t="s">
        <v>530</v>
      </c>
      <c r="I11" s="769"/>
      <c r="J11" s="214" t="s">
        <v>458</v>
      </c>
      <c r="K11" s="239">
        <f>+C26</f>
        <v>13769</v>
      </c>
      <c r="L11" s="239"/>
      <c r="M11" s="117">
        <f>+K11+'9'!M11+L11</f>
        <v>13769</v>
      </c>
      <c r="P11" s="149">
        <f>+O11-(O11*0.23)</f>
        <v>0</v>
      </c>
      <c r="R11" s="149">
        <f t="shared" si="0"/>
        <v>0</v>
      </c>
      <c r="S11" s="149">
        <f t="shared" si="1"/>
        <v>0</v>
      </c>
    </row>
    <row r="12" spans="1:19" ht="13.5" thickBot="1">
      <c r="A12" s="766"/>
      <c r="B12" s="215"/>
      <c r="C12" s="216"/>
      <c r="D12" s="217"/>
      <c r="E12" s="219"/>
      <c r="F12" s="228"/>
      <c r="G12" s="232"/>
      <c r="H12" s="233"/>
      <c r="I12" s="769"/>
      <c r="J12" s="214">
        <f>+'9'!J12</f>
        <v>0</v>
      </c>
      <c r="K12" s="239"/>
      <c r="L12" s="239"/>
      <c r="M12" s="117">
        <f>+K12+'9'!M12+L12</f>
        <v>0</v>
      </c>
    </row>
    <row r="13" spans="1:19" ht="13.5" thickBot="1">
      <c r="A13" s="766"/>
      <c r="B13" s="215"/>
      <c r="C13" s="216"/>
      <c r="D13" s="216"/>
      <c r="E13" s="219"/>
      <c r="F13" s="228"/>
      <c r="G13" s="232"/>
      <c r="H13" s="233"/>
      <c r="I13" s="770"/>
      <c r="J13" s="214">
        <f>+'9'!J13</f>
        <v>0</v>
      </c>
      <c r="K13" s="239"/>
      <c r="L13" s="239"/>
      <c r="M13" s="117">
        <f>+K13+'9'!M13+L13</f>
        <v>0</v>
      </c>
    </row>
    <row r="14" spans="1:19" ht="13.5" thickBot="1">
      <c r="A14" s="767"/>
      <c r="B14" s="165" t="s">
        <v>2</v>
      </c>
      <c r="C14" s="99">
        <f>SUM(C7:C13)</f>
        <v>11980</v>
      </c>
      <c r="D14" s="111">
        <f>SUM(D7:D13)</f>
        <v>6028</v>
      </c>
      <c r="E14" s="112">
        <f>SUM(E5:E13)</f>
        <v>0</v>
      </c>
      <c r="F14" s="116">
        <f>SUM(F7:F13)</f>
        <v>50</v>
      </c>
      <c r="G14" s="159"/>
      <c r="H14" s="166"/>
      <c r="I14" s="167"/>
      <c r="J14" s="214">
        <f>+'9'!J14</f>
        <v>0</v>
      </c>
      <c r="K14" s="239"/>
      <c r="L14" s="239"/>
      <c r="M14" s="117">
        <f>+K14+'9'!M14+L14</f>
        <v>0</v>
      </c>
      <c r="Q14" s="176">
        <f>SUM(Q6:Q11)</f>
        <v>480</v>
      </c>
      <c r="R14" s="176">
        <f>SUM(R6:R11)</f>
        <v>590400</v>
      </c>
      <c r="S14" s="176">
        <f>SUM(S6:S11)</f>
        <v>454607.99999999994</v>
      </c>
    </row>
    <row r="15" spans="1:19" ht="13.5" customHeight="1" thickBot="1">
      <c r="A15" s="765"/>
      <c r="B15" s="165"/>
      <c r="C15" s="113">
        <f>C14/($C$23+$D$23+$E$23)</f>
        <v>1.3031654519743283</v>
      </c>
      <c r="D15" s="114">
        <f>D14/($C$23+$D$23+$E$23)</f>
        <v>0.65571630588491248</v>
      </c>
      <c r="E15" s="115">
        <f>E14/($C$23+$D$23+$E$23)</f>
        <v>0</v>
      </c>
      <c r="F15" s="228"/>
      <c r="G15" s="229" t="s">
        <v>12</v>
      </c>
      <c r="H15" s="230" t="s">
        <v>466</v>
      </c>
      <c r="I15" s="768" t="s">
        <v>428</v>
      </c>
      <c r="J15" s="214">
        <f>+'9'!J15</f>
        <v>0</v>
      </c>
      <c r="K15" s="239"/>
      <c r="L15" s="239"/>
      <c r="M15" s="117">
        <f>+K15+'9'!M15+L15</f>
        <v>0</v>
      </c>
      <c r="P15" s="149" t="s">
        <v>424</v>
      </c>
      <c r="Q15" s="149">
        <f>480-Q14</f>
        <v>0</v>
      </c>
      <c r="R15" s="176">
        <f>+R14/Q14</f>
        <v>1230</v>
      </c>
      <c r="S15" s="176">
        <f>+S14/Q14</f>
        <v>947.09999999999991</v>
      </c>
    </row>
    <row r="16" spans="1:19" ht="13.5" thickBot="1">
      <c r="A16" s="771"/>
      <c r="B16" s="215" t="s">
        <v>391</v>
      </c>
      <c r="C16" s="222">
        <v>9193</v>
      </c>
      <c r="D16" s="223"/>
      <c r="E16" s="224"/>
      <c r="F16" s="231"/>
      <c r="G16" s="560" t="s">
        <v>12</v>
      </c>
      <c r="H16" s="230" t="s">
        <v>432</v>
      </c>
      <c r="I16" s="769"/>
      <c r="J16" s="214">
        <f>+'9'!J16</f>
        <v>0</v>
      </c>
      <c r="K16" s="229"/>
      <c r="L16" s="229"/>
      <c r="M16" s="117">
        <f>+K16+'9'!M16+L16</f>
        <v>0</v>
      </c>
    </row>
    <row r="17" spans="1:19" ht="13.5" thickBot="1">
      <c r="A17" s="771"/>
      <c r="B17" s="215"/>
      <c r="C17" s="216"/>
      <c r="D17" s="217"/>
      <c r="E17" s="225"/>
      <c r="F17" s="228">
        <v>19</v>
      </c>
      <c r="G17" s="560" t="s">
        <v>12</v>
      </c>
      <c r="H17" s="233" t="s">
        <v>405</v>
      </c>
      <c r="I17" s="769"/>
      <c r="J17" s="214">
        <f>+'9'!J17</f>
        <v>0</v>
      </c>
      <c r="K17" s="229"/>
      <c r="L17" s="229"/>
      <c r="M17" s="117">
        <f>+K17+'9'!M17+L17</f>
        <v>0</v>
      </c>
      <c r="N17" s="149" t="s">
        <v>389</v>
      </c>
      <c r="O17" s="149">
        <v>1230</v>
      </c>
      <c r="P17" s="149">
        <f>+O17-(O17*0.23)</f>
        <v>947.09999999999991</v>
      </c>
      <c r="Q17" s="149">
        <f>60*5+35</f>
        <v>335</v>
      </c>
      <c r="R17" s="149">
        <f t="shared" ref="R17:R22" si="2">+O17*Q17</f>
        <v>412050</v>
      </c>
      <c r="S17" s="149">
        <f t="shared" ref="S17:S22" si="3">+P17*Q17</f>
        <v>317278.49999999994</v>
      </c>
    </row>
    <row r="18" spans="1:19" ht="39" thickBot="1">
      <c r="A18" s="771"/>
      <c r="B18" s="215"/>
      <c r="C18" s="216"/>
      <c r="D18" s="217"/>
      <c r="E18" s="225"/>
      <c r="F18" s="228"/>
      <c r="G18" s="237"/>
      <c r="H18" s="233" t="s">
        <v>529</v>
      </c>
      <c r="I18" s="769"/>
      <c r="J18" s="214">
        <f>+'9'!J18</f>
        <v>0</v>
      </c>
      <c r="K18" s="239"/>
      <c r="L18" s="239"/>
      <c r="M18" s="117">
        <f>+K18+'9'!M18+L18</f>
        <v>0</v>
      </c>
      <c r="N18" s="149" t="s">
        <v>456</v>
      </c>
      <c r="O18" s="149">
        <v>1230</v>
      </c>
      <c r="P18" s="149">
        <f>+O18-(O18*0.23)</f>
        <v>947.09999999999991</v>
      </c>
      <c r="Q18" s="149">
        <f>480-Q17</f>
        <v>145</v>
      </c>
      <c r="R18" s="149">
        <f t="shared" si="2"/>
        <v>178350</v>
      </c>
      <c r="S18" s="149">
        <f t="shared" si="3"/>
        <v>137329.5</v>
      </c>
    </row>
    <row r="19" spans="1:19" ht="77.25" thickBot="1">
      <c r="A19" s="771"/>
      <c r="B19" s="215"/>
      <c r="C19" s="216"/>
      <c r="D19" s="217"/>
      <c r="E19" s="225"/>
      <c r="F19" s="235"/>
      <c r="G19" s="232"/>
      <c r="H19" s="233" t="s">
        <v>531</v>
      </c>
      <c r="I19" s="769"/>
      <c r="J19" s="214">
        <f>+'9'!J19</f>
        <v>0</v>
      </c>
      <c r="K19" s="239"/>
      <c r="L19" s="239"/>
      <c r="M19" s="117">
        <f>+K19+'9'!M19+L19</f>
        <v>0</v>
      </c>
      <c r="P19" s="149">
        <f>+O19-(O19*0.23)</f>
        <v>0</v>
      </c>
      <c r="R19" s="149">
        <f t="shared" si="2"/>
        <v>0</v>
      </c>
      <c r="S19" s="149">
        <f t="shared" si="3"/>
        <v>0</v>
      </c>
    </row>
    <row r="20" spans="1:19" ht="13.5" thickBot="1">
      <c r="A20" s="771"/>
      <c r="B20" s="215"/>
      <c r="C20" s="216"/>
      <c r="D20" s="217"/>
      <c r="E20" s="225"/>
      <c r="F20" s="228"/>
      <c r="G20" s="232"/>
      <c r="H20" s="233"/>
      <c r="I20" s="769"/>
      <c r="J20" s="214">
        <f>+'9'!J20</f>
        <v>0</v>
      </c>
      <c r="K20" s="240"/>
      <c r="L20" s="240"/>
      <c r="M20" s="117">
        <f>+K20+'9'!M20+L20</f>
        <v>0</v>
      </c>
      <c r="P20" s="149">
        <f>+O20-(O20*0.2)</f>
        <v>0</v>
      </c>
      <c r="R20" s="149">
        <f t="shared" si="2"/>
        <v>0</v>
      </c>
      <c r="S20" s="149">
        <f t="shared" si="3"/>
        <v>0</v>
      </c>
    </row>
    <row r="21" spans="1:19" ht="13.5" thickBot="1">
      <c r="A21" s="771"/>
      <c r="B21" s="215"/>
      <c r="C21" s="216"/>
      <c r="D21" s="217"/>
      <c r="E21" s="225"/>
      <c r="F21" s="231"/>
      <c r="G21" s="232"/>
      <c r="H21" s="233"/>
      <c r="I21" s="769"/>
      <c r="J21" s="214">
        <f>+'9'!J21</f>
        <v>0</v>
      </c>
      <c r="K21" s="239"/>
      <c r="L21" s="239"/>
      <c r="M21" s="117">
        <f>+K21+'9'!M21+L21</f>
        <v>0</v>
      </c>
      <c r="P21" s="149">
        <f>+O21-(O21*0.23)</f>
        <v>0</v>
      </c>
      <c r="R21" s="149">
        <f t="shared" si="2"/>
        <v>0</v>
      </c>
      <c r="S21" s="149">
        <f t="shared" si="3"/>
        <v>0</v>
      </c>
    </row>
    <row r="22" spans="1:19" ht="13.5" thickBot="1">
      <c r="A22" s="771"/>
      <c r="B22" s="215"/>
      <c r="C22" s="216"/>
      <c r="D22" s="217"/>
      <c r="E22" s="225"/>
      <c r="F22" s="236"/>
      <c r="G22" s="232"/>
      <c r="H22" s="233"/>
      <c r="I22" s="770"/>
      <c r="J22" s="214">
        <f>+'9'!J22</f>
        <v>0</v>
      </c>
      <c r="K22" s="239"/>
      <c r="L22" s="239"/>
      <c r="M22" s="117">
        <f>+K22+'9'!M22+L22</f>
        <v>0</v>
      </c>
      <c r="P22" s="149">
        <f>+O22-(O22*0.23)</f>
        <v>0</v>
      </c>
      <c r="R22" s="149">
        <f t="shared" si="2"/>
        <v>0</v>
      </c>
      <c r="S22" s="149">
        <f t="shared" si="3"/>
        <v>0</v>
      </c>
    </row>
    <row r="23" spans="1:19" ht="13.5" thickBot="1">
      <c r="A23" s="772"/>
      <c r="B23" s="168" t="s">
        <v>2</v>
      </c>
      <c r="C23" s="100">
        <f>SUM(C16:C22)</f>
        <v>9193</v>
      </c>
      <c r="D23" s="111">
        <f>SUM(D16:D22)</f>
        <v>0</v>
      </c>
      <c r="E23" s="112">
        <f>SUM(E18:E22)</f>
        <v>0</v>
      </c>
      <c r="F23" s="116">
        <f>SUM(F15:F22)</f>
        <v>19</v>
      </c>
      <c r="G23" s="159"/>
      <c r="H23" s="166"/>
      <c r="I23" s="169"/>
      <c r="J23" s="214">
        <f>+'9'!J23</f>
        <v>0</v>
      </c>
      <c r="K23" s="239"/>
      <c r="L23" s="239"/>
      <c r="M23" s="117">
        <f>+K23+'9'!M23+L23</f>
        <v>0</v>
      </c>
    </row>
    <row r="24" spans="1:19" ht="13.5" customHeight="1" thickBot="1">
      <c r="A24" s="765"/>
      <c r="B24" s="170"/>
      <c r="C24" s="113">
        <f>C23/($C$23+$D$23+$E$23)</f>
        <v>1</v>
      </c>
      <c r="D24" s="114">
        <f>D23/($C$23+$D$23+$E$23)</f>
        <v>0</v>
      </c>
      <c r="E24" s="115">
        <f>E23/($C$23+$D$23+$E$23)</f>
        <v>0</v>
      </c>
      <c r="F24" s="228"/>
      <c r="G24" s="229" t="s">
        <v>12</v>
      </c>
      <c r="H24" s="230" t="s">
        <v>466</v>
      </c>
      <c r="I24" s="768" t="s">
        <v>428</v>
      </c>
      <c r="J24" s="214">
        <f>+'9'!J24</f>
        <v>0</v>
      </c>
      <c r="K24" s="239"/>
      <c r="L24" s="239"/>
      <c r="M24" s="117">
        <f>+K24+'9'!M24+L24</f>
        <v>0</v>
      </c>
    </row>
    <row r="25" spans="1:19" ht="13.5" customHeight="1" thickBot="1">
      <c r="A25" s="771"/>
      <c r="B25" s="215" t="s">
        <v>391</v>
      </c>
      <c r="C25" s="226">
        <f>1224+1192</f>
        <v>2416</v>
      </c>
      <c r="D25" s="217"/>
      <c r="E25" s="225"/>
      <c r="F25" s="231">
        <v>10</v>
      </c>
      <c r="G25" s="560" t="s">
        <v>12</v>
      </c>
      <c r="H25" s="230" t="s">
        <v>412</v>
      </c>
      <c r="I25" s="769"/>
      <c r="J25" s="214">
        <f>+'9'!J25</f>
        <v>0</v>
      </c>
      <c r="K25" s="239"/>
      <c r="L25" s="239"/>
      <c r="M25" s="117">
        <f>+K25+'9'!M25+L25</f>
        <v>0</v>
      </c>
      <c r="Q25" s="176">
        <f>SUM(Q17:Q22)</f>
        <v>480</v>
      </c>
      <c r="R25" s="176">
        <f>SUM(R17:R22)</f>
        <v>590400</v>
      </c>
      <c r="S25" s="176">
        <f>SUM(S17:S22)</f>
        <v>454607.99999999994</v>
      </c>
    </row>
    <row r="26" spans="1:19" ht="13.5" customHeight="1" thickBot="1">
      <c r="A26" s="771"/>
      <c r="B26" s="215" t="s">
        <v>458</v>
      </c>
      <c r="C26" s="226">
        <f>6383+7386</f>
        <v>13769</v>
      </c>
      <c r="D26" s="217"/>
      <c r="E26" s="227"/>
      <c r="F26" s="228">
        <v>9</v>
      </c>
      <c r="G26" s="560" t="s">
        <v>12</v>
      </c>
      <c r="H26" s="233" t="s">
        <v>405</v>
      </c>
      <c r="I26" s="769"/>
      <c r="J26" s="214">
        <f>+'9'!J26</f>
        <v>0</v>
      </c>
      <c r="K26" s="239"/>
      <c r="L26" s="239"/>
      <c r="M26" s="117">
        <f>+K26+'9'!M26+L26</f>
        <v>0</v>
      </c>
      <c r="P26" s="149" t="s">
        <v>424</v>
      </c>
      <c r="Q26" s="149">
        <f>480-Q25</f>
        <v>0</v>
      </c>
      <c r="R26" s="176">
        <f>+R25/Q25</f>
        <v>1230</v>
      </c>
      <c r="S26" s="176">
        <f>+S25/Q25</f>
        <v>947.09999999999991</v>
      </c>
    </row>
    <row r="27" spans="1:19" ht="13.5" customHeight="1" thickBot="1">
      <c r="A27" s="771"/>
      <c r="B27" s="215"/>
      <c r="C27" s="216"/>
      <c r="D27" s="217"/>
      <c r="E27" s="225"/>
      <c r="F27" s="228"/>
      <c r="G27" s="237"/>
      <c r="H27" s="233" t="s">
        <v>528</v>
      </c>
      <c r="I27" s="769"/>
      <c r="J27" s="214">
        <f>+'9'!J27</f>
        <v>0</v>
      </c>
      <c r="K27" s="239"/>
      <c r="L27" s="239"/>
      <c r="M27" s="117">
        <f>+K27+'9'!M27+L27</f>
        <v>0</v>
      </c>
    </row>
    <row r="28" spans="1:19" ht="13.5" customHeight="1" thickBot="1">
      <c r="A28" s="771"/>
      <c r="B28" s="215"/>
      <c r="C28" s="216"/>
      <c r="D28" s="217"/>
      <c r="E28" s="225"/>
      <c r="F28" s="231"/>
      <c r="G28" s="232"/>
      <c r="H28" s="233"/>
      <c r="I28" s="769"/>
      <c r="J28" s="214">
        <f>+'9'!J28</f>
        <v>0</v>
      </c>
      <c r="K28" s="239"/>
      <c r="L28" s="239"/>
      <c r="M28" s="117">
        <f>+K28+'9'!M28+L28</f>
        <v>0</v>
      </c>
      <c r="N28" s="149" t="s">
        <v>456</v>
      </c>
      <c r="O28" s="149">
        <v>1230</v>
      </c>
      <c r="P28" s="149">
        <f>+O28-(O28*0.23)</f>
        <v>947.09999999999991</v>
      </c>
      <c r="Q28" s="149">
        <v>480</v>
      </c>
      <c r="R28" s="149">
        <f t="shared" ref="R28:R33" si="4">+O28*Q28</f>
        <v>590400</v>
      </c>
      <c r="S28" s="149">
        <f t="shared" ref="S28:S33" si="5">+P28*Q28</f>
        <v>454607.99999999994</v>
      </c>
    </row>
    <row r="29" spans="1:19" ht="13.5" customHeight="1" thickBot="1">
      <c r="A29" s="771"/>
      <c r="B29" s="215"/>
      <c r="C29" s="216"/>
      <c r="D29" s="217"/>
      <c r="E29" s="225"/>
      <c r="F29" s="236"/>
      <c r="G29" s="232"/>
      <c r="H29" s="233"/>
      <c r="I29" s="769"/>
      <c r="J29" s="214">
        <f>+'9'!J29</f>
        <v>0</v>
      </c>
      <c r="K29" s="239"/>
      <c r="L29" s="239"/>
      <c r="M29" s="117">
        <f>+K29+'9'!M29+L29</f>
        <v>0</v>
      </c>
      <c r="Q29" s="149">
        <f>480-Q28</f>
        <v>0</v>
      </c>
      <c r="R29" s="149">
        <f t="shared" si="4"/>
        <v>0</v>
      </c>
      <c r="S29" s="149">
        <f t="shared" si="5"/>
        <v>0</v>
      </c>
    </row>
    <row r="30" spans="1:19" ht="13.5" customHeight="1" thickBot="1">
      <c r="A30" s="771"/>
      <c r="B30" s="215"/>
      <c r="C30" s="226"/>
      <c r="D30" s="217"/>
      <c r="E30" s="225"/>
      <c r="F30" s="236"/>
      <c r="G30" s="232"/>
      <c r="H30" s="233"/>
      <c r="I30" s="769"/>
      <c r="J30" s="214">
        <f>+'9'!J30</f>
        <v>0</v>
      </c>
      <c r="K30" s="239"/>
      <c r="L30" s="239"/>
      <c r="M30" s="117">
        <f>+K30+'9'!M30+L30</f>
        <v>0</v>
      </c>
      <c r="P30" s="149">
        <f>+O30-(O30*0.23)</f>
        <v>0</v>
      </c>
      <c r="R30" s="149">
        <f t="shared" si="4"/>
        <v>0</v>
      </c>
      <c r="S30" s="149">
        <f t="shared" si="5"/>
        <v>0</v>
      </c>
    </row>
    <row r="31" spans="1:19" ht="13.5" customHeight="1" thickBot="1">
      <c r="A31" s="771"/>
      <c r="B31" s="215"/>
      <c r="C31" s="226"/>
      <c r="D31" s="217"/>
      <c r="E31" s="225"/>
      <c r="F31" s="236"/>
      <c r="G31" s="237"/>
      <c r="H31" s="445"/>
      <c r="I31" s="770"/>
      <c r="J31" s="214">
        <f>+'9'!J31</f>
        <v>0</v>
      </c>
      <c r="K31" s="239"/>
      <c r="L31" s="239"/>
      <c r="M31" s="117">
        <f>+K31+'9'!M31+L31</f>
        <v>0</v>
      </c>
      <c r="P31" s="149">
        <f>+O31-(O31*0.2)</f>
        <v>0</v>
      </c>
      <c r="R31" s="149">
        <f t="shared" si="4"/>
        <v>0</v>
      </c>
      <c r="S31" s="149">
        <f t="shared" si="5"/>
        <v>0</v>
      </c>
    </row>
    <row r="32" spans="1:19" ht="13.5" customHeight="1" thickBot="1">
      <c r="A32" s="772"/>
      <c r="B32" s="165" t="s">
        <v>2</v>
      </c>
      <c r="C32" s="99">
        <f>SUM(C25:C31)</f>
        <v>16185</v>
      </c>
      <c r="D32" s="100">
        <f>SUM(D25:D31)</f>
        <v>0</v>
      </c>
      <c r="E32" s="101">
        <f>SUM(E25:E31)</f>
        <v>0</v>
      </c>
      <c r="F32" s="102">
        <f>SUM(F24:F31)</f>
        <v>19</v>
      </c>
      <c r="G32" s="171"/>
      <c r="H32" s="172"/>
      <c r="I32" s="169"/>
      <c r="J32" s="214">
        <f>+'9'!J32</f>
        <v>0</v>
      </c>
      <c r="K32" s="241"/>
      <c r="L32" s="243"/>
      <c r="M32" s="117">
        <f>+K32+'9'!M32+L32</f>
        <v>0</v>
      </c>
      <c r="P32" s="149">
        <f>+O32-(O32*0.23)</f>
        <v>0</v>
      </c>
      <c r="R32" s="149">
        <f t="shared" si="4"/>
        <v>0</v>
      </c>
      <c r="S32" s="149">
        <f t="shared" si="5"/>
        <v>0</v>
      </c>
    </row>
    <row r="33" spans="1:19" ht="13.5" thickBot="1">
      <c r="A33" s="173"/>
      <c r="B33" s="174"/>
      <c r="C33" s="103">
        <f>C32/($C$32+$D$32+$E$32)</f>
        <v>1</v>
      </c>
      <c r="D33" s="104">
        <f>D32/($C$32+$D$32+$E$32)</f>
        <v>0</v>
      </c>
      <c r="E33" s="105">
        <f>E32/($C$32+$D$32+$E$32)</f>
        <v>0</v>
      </c>
      <c r="F33" s="106"/>
      <c r="G33" s="175"/>
      <c r="H33" s="176"/>
      <c r="I33" s="177"/>
      <c r="J33" s="121"/>
      <c r="K33" s="122"/>
      <c r="L33" s="213"/>
      <c r="M33" s="119"/>
      <c r="P33" s="149">
        <f>+O33-(O33*0.23)</f>
        <v>0</v>
      </c>
      <c r="R33" s="149">
        <f t="shared" si="4"/>
        <v>0</v>
      </c>
      <c r="S33" s="149">
        <f t="shared" si="5"/>
        <v>0</v>
      </c>
    </row>
    <row r="34" spans="1:19" ht="13.5" thickBot="1">
      <c r="A34" s="761" t="s">
        <v>57</v>
      </c>
      <c r="B34" s="762"/>
      <c r="C34" s="107">
        <f>C14+C23+C32</f>
        <v>37358</v>
      </c>
      <c r="D34" s="107">
        <f>D14+D23+D32</f>
        <v>6028</v>
      </c>
      <c r="E34" s="107">
        <f>E14+E23+E32</f>
        <v>0</v>
      </c>
      <c r="F34" s="108">
        <f>F14+F23+F32</f>
        <v>88</v>
      </c>
      <c r="H34" s="178"/>
      <c r="I34" s="178"/>
      <c r="J34" s="123" t="s">
        <v>28</v>
      </c>
      <c r="K34" s="124">
        <f>SUM(K7:K32)</f>
        <v>37358</v>
      </c>
      <c r="L34" s="212">
        <f>SUM(L7:L32)</f>
        <v>0</v>
      </c>
      <c r="M34" s="120">
        <f>SUM(M7:M32)</f>
        <v>316135</v>
      </c>
    </row>
    <row r="35" spans="1:19" ht="13.5" thickBot="1">
      <c r="A35" s="179"/>
      <c r="B35" s="180"/>
      <c r="C35" s="104">
        <f>C34/($C$34+$D$34+$E$34)</f>
        <v>0.8610611718065736</v>
      </c>
      <c r="D35" s="104">
        <f>D34/($C$34+$D$34+$E$34)</f>
        <v>0.13893882819342646</v>
      </c>
      <c r="E35" s="109">
        <f>E34/($C$34+$D$34+$E$34)</f>
        <v>0</v>
      </c>
      <c r="K35" s="155"/>
    </row>
    <row r="36" spans="1:19" ht="13.5" thickBot="1">
      <c r="A36" s="178"/>
      <c r="B36" s="178"/>
      <c r="C36" s="155"/>
      <c r="D36" s="155"/>
      <c r="E36" s="155"/>
      <c r="G36" s="155"/>
      <c r="H36" s="181"/>
      <c r="I36" s="162" t="s">
        <v>37</v>
      </c>
      <c r="J36" s="162" t="s">
        <v>38</v>
      </c>
      <c r="K36" s="182"/>
      <c r="Q36" s="176">
        <f>SUM(Q28:Q33)</f>
        <v>480</v>
      </c>
      <c r="R36" s="176">
        <f>SUM(R28:R33)</f>
        <v>590400</v>
      </c>
      <c r="S36" s="176">
        <f>SUM(S28:S33)</f>
        <v>454607.99999999994</v>
      </c>
    </row>
    <row r="37" spans="1:19" ht="17.45" customHeight="1" thickBot="1">
      <c r="A37" s="763" t="s">
        <v>58</v>
      </c>
      <c r="B37" s="764"/>
      <c r="C37" s="162" t="s">
        <v>59</v>
      </c>
      <c r="D37" s="183" t="s">
        <v>60</v>
      </c>
      <c r="E37" s="184" t="s">
        <v>61</v>
      </c>
      <c r="F37" s="322"/>
      <c r="G37" s="324"/>
      <c r="H37" s="186" t="s">
        <v>62</v>
      </c>
      <c r="I37" s="244">
        <f>(12*815+625*12.5)/1440*G42*2.74*1440/1000000</f>
        <v>45.653487495</v>
      </c>
      <c r="J37" s="336" t="e">
        <f>+I37+'9'!J37</f>
        <v>#DIV/0!</v>
      </c>
      <c r="K37" s="126" t="s">
        <v>63</v>
      </c>
      <c r="P37" s="149" t="s">
        <v>424</v>
      </c>
      <c r="Q37" s="149">
        <f>480-Q36</f>
        <v>0</v>
      </c>
      <c r="R37" s="176">
        <f>+R36/Q36</f>
        <v>1230</v>
      </c>
      <c r="S37" s="176">
        <f>+S36/Q36</f>
        <v>947.09999999999991</v>
      </c>
    </row>
    <row r="38" spans="1:19" ht="17.45" customHeight="1">
      <c r="A38" s="755" t="s">
        <v>12</v>
      </c>
      <c r="B38" s="756"/>
      <c r="C38" s="164">
        <f>SUMIF($G$7:$G$31,"Process",$F$7:$F$31)</f>
        <v>53</v>
      </c>
      <c r="D38" s="118">
        <f>+C38+'9'!D38</f>
        <v>596</v>
      </c>
      <c r="E38" s="143">
        <f t="shared" ref="E38:E51" si="6">D38/60</f>
        <v>9.9333333333333336</v>
      </c>
      <c r="F38" s="322">
        <v>1230</v>
      </c>
      <c r="G38" s="322">
        <v>947.09999999999991</v>
      </c>
      <c r="H38" s="187" t="s">
        <v>64</v>
      </c>
      <c r="I38" s="245">
        <f>12.149+13.965+13.392</f>
        <v>39.506</v>
      </c>
      <c r="J38" s="337">
        <f>+I38+'9'!J38</f>
        <v>343.05960000000005</v>
      </c>
      <c r="K38" s="128" t="s">
        <v>63</v>
      </c>
    </row>
    <row r="39" spans="1:19" ht="17.45" customHeight="1">
      <c r="A39" s="759" t="s">
        <v>13</v>
      </c>
      <c r="B39" s="760"/>
      <c r="C39" s="164">
        <f>SUMIF($G$7:$G$31,"Cleaning",$F$7:$F$31)</f>
        <v>0</v>
      </c>
      <c r="D39" s="118">
        <f>+C39+'9'!D39</f>
        <v>0</v>
      </c>
      <c r="E39" s="143">
        <f t="shared" si="6"/>
        <v>0</v>
      </c>
      <c r="F39" s="322">
        <v>1230</v>
      </c>
      <c r="G39" s="322">
        <v>947.09999999999991</v>
      </c>
      <c r="H39" s="187" t="s">
        <v>65</v>
      </c>
      <c r="I39" s="142"/>
      <c r="J39" s="338" t="e">
        <f>J37/G4</f>
        <v>#DIV/0!</v>
      </c>
      <c r="K39" s="130" t="s">
        <v>63</v>
      </c>
    </row>
    <row r="40" spans="1:19" ht="17.45" customHeight="1">
      <c r="A40" s="759" t="s">
        <v>66</v>
      </c>
      <c r="B40" s="760"/>
      <c r="C40" s="164">
        <f>SUMIF($G$7:$G$31,"Mechanical",$F$7:$F$31)</f>
        <v>0</v>
      </c>
      <c r="D40" s="118">
        <f>+C40+'9'!D40</f>
        <v>0</v>
      </c>
      <c r="E40" s="143">
        <f t="shared" si="6"/>
        <v>0</v>
      </c>
      <c r="F40" s="322">
        <v>1230</v>
      </c>
      <c r="G40" s="322">
        <v>947.09999999999991</v>
      </c>
      <c r="H40" s="187" t="s">
        <v>67</v>
      </c>
      <c r="I40" s="118">
        <f>+(K34+L34)/1000</f>
        <v>37.357999999999997</v>
      </c>
      <c r="J40" s="339">
        <f>+I40+'9'!J40</f>
        <v>316.13499999999999</v>
      </c>
      <c r="K40" s="130" t="s">
        <v>63</v>
      </c>
      <c r="N40" s="149" t="s">
        <v>389</v>
      </c>
      <c r="O40" s="149">
        <v>1230</v>
      </c>
      <c r="P40" s="149">
        <v>947.09999999999991</v>
      </c>
      <c r="Q40" s="149">
        <f>480+335</f>
        <v>815</v>
      </c>
    </row>
    <row r="41" spans="1:19" ht="17.45" customHeight="1">
      <c r="A41" s="759" t="s">
        <v>68</v>
      </c>
      <c r="B41" s="760"/>
      <c r="C41" s="164">
        <f>SUMIF($G$7:$G$23,"Electrical",$F$7:$F$23)</f>
        <v>35</v>
      </c>
      <c r="D41" s="118">
        <f>+C41+'9'!D41</f>
        <v>550</v>
      </c>
      <c r="E41" s="143">
        <f t="shared" si="6"/>
        <v>9.1666666666666661</v>
      </c>
      <c r="F41" s="322"/>
      <c r="G41" s="322"/>
      <c r="H41" s="187" t="s">
        <v>69</v>
      </c>
      <c r="I41" s="142"/>
      <c r="J41" s="338">
        <f>J40/G4</f>
        <v>31.613499999999998</v>
      </c>
      <c r="K41" s="130" t="s">
        <v>63</v>
      </c>
      <c r="N41" s="149" t="s">
        <v>456</v>
      </c>
      <c r="O41" s="149">
        <v>1230</v>
      </c>
      <c r="P41" s="149">
        <v>947.09999999999991</v>
      </c>
      <c r="Q41" s="149">
        <f>145+480</f>
        <v>625</v>
      </c>
    </row>
    <row r="42" spans="1:19" ht="17.45" customHeight="1">
      <c r="A42" s="759" t="s">
        <v>16</v>
      </c>
      <c r="B42" s="760"/>
      <c r="C42" s="164">
        <f>SUMIF($G$7:$G$23,"Instrument",$F$7:$F$23)</f>
        <v>0</v>
      </c>
      <c r="D42" s="118">
        <f>+C42+'9'!D42</f>
        <v>0</v>
      </c>
      <c r="E42" s="143">
        <f t="shared" si="6"/>
        <v>0</v>
      </c>
      <c r="F42" s="322">
        <f>+(480*F38+480*F39+480*F40)/1440</f>
        <v>1230</v>
      </c>
      <c r="G42" s="322">
        <f>+(480*G38+480*G39+480*G40)/1440</f>
        <v>947.0999999999998</v>
      </c>
      <c r="H42" s="187" t="s">
        <v>70</v>
      </c>
      <c r="I42" s="246" t="s">
        <v>532</v>
      </c>
      <c r="J42" s="340"/>
      <c r="K42" s="130" t="s">
        <v>71</v>
      </c>
      <c r="Q42" s="149">
        <f>+Q40+Q41</f>
        <v>1440</v>
      </c>
    </row>
    <row r="43" spans="1:19" ht="17.45" customHeight="1">
      <c r="A43" s="759" t="s">
        <v>72</v>
      </c>
      <c r="B43" s="760"/>
      <c r="C43" s="164">
        <f>SUMIF($G$7:$G$23,"Water",$F$7:$F$23)</f>
        <v>0</v>
      </c>
      <c r="D43" s="118">
        <f>+C43+'9'!D43</f>
        <v>0</v>
      </c>
      <c r="E43" s="143">
        <f t="shared" si="6"/>
        <v>0</v>
      </c>
      <c r="F43" s="322"/>
      <c r="G43" s="323"/>
      <c r="H43" s="188" t="s">
        <v>73</v>
      </c>
      <c r="I43" s="118">
        <f>+Report1!Z18</f>
        <v>58.4</v>
      </c>
      <c r="J43" s="341">
        <f>+I43+'9'!J43</f>
        <v>533</v>
      </c>
      <c r="K43" s="130" t="s">
        <v>63</v>
      </c>
      <c r="L43" s="189"/>
    </row>
    <row r="44" spans="1:19" ht="17.45" customHeight="1">
      <c r="A44" s="759" t="s">
        <v>17</v>
      </c>
      <c r="B44" s="760"/>
      <c r="C44" s="164">
        <f>SUMIF($G$7:$G$23,"PLN",$F$7:$F$23)</f>
        <v>0</v>
      </c>
      <c r="D44" s="118">
        <f>+C44+'9'!D44</f>
        <v>0</v>
      </c>
      <c r="E44" s="143">
        <f t="shared" si="6"/>
        <v>0</v>
      </c>
      <c r="F44" s="322"/>
      <c r="G44" s="323"/>
      <c r="H44" s="188" t="s">
        <v>74</v>
      </c>
      <c r="I44" s="118">
        <f>I43/I38</f>
        <v>1.4782564673720446</v>
      </c>
      <c r="J44" s="341">
        <f>J43/J38</f>
        <v>1.5536658936231487</v>
      </c>
      <c r="K44" s="130" t="s">
        <v>63</v>
      </c>
    </row>
    <row r="45" spans="1:19" ht="17.45" customHeight="1">
      <c r="A45" s="759" t="s">
        <v>18</v>
      </c>
      <c r="B45" s="760"/>
      <c r="C45" s="164">
        <f>SUMIF($G$7:$G$23,"Boiler",$F$7:$F$23)</f>
        <v>0</v>
      </c>
      <c r="D45" s="118">
        <f>+C45+'9'!D45</f>
        <v>0</v>
      </c>
      <c r="E45" s="143">
        <f t="shared" si="6"/>
        <v>0</v>
      </c>
      <c r="F45" s="322"/>
      <c r="G45" s="325"/>
      <c r="H45" s="188" t="s">
        <v>75</v>
      </c>
      <c r="I45" s="118">
        <f>I43/I40</f>
        <v>1.5632528507950105</v>
      </c>
      <c r="J45" s="341">
        <f>J43/J40</f>
        <v>1.685988580827811</v>
      </c>
      <c r="K45" s="130" t="s">
        <v>63</v>
      </c>
    </row>
    <row r="46" spans="1:19" ht="17.45" customHeight="1">
      <c r="A46" s="759" t="s">
        <v>76</v>
      </c>
      <c r="B46" s="760"/>
      <c r="C46" s="164">
        <f>SUMIF($G$7:$G$23,"Gas",$F$7:$F$23)</f>
        <v>0</v>
      </c>
      <c r="D46" s="118">
        <f>+C46+'9'!D46</f>
        <v>0</v>
      </c>
      <c r="E46" s="143">
        <f t="shared" si="6"/>
        <v>0</v>
      </c>
      <c r="F46" s="322"/>
      <c r="G46" s="323"/>
      <c r="H46" s="188" t="s">
        <v>77</v>
      </c>
      <c r="I46" s="140">
        <f>+SUMIF(Listrik!P17,"&gt;0")</f>
        <v>34183.140000000363</v>
      </c>
      <c r="J46" s="341">
        <f>+I46+'9'!J46</f>
        <v>312271.02000000072</v>
      </c>
      <c r="K46" s="130" t="s">
        <v>78</v>
      </c>
    </row>
    <row r="47" spans="1:19" ht="17.45" customHeight="1">
      <c r="A47" s="759" t="s">
        <v>79</v>
      </c>
      <c r="B47" s="760"/>
      <c r="C47" s="164">
        <f>SUMIF($G$7:$G$23,"Gas",$F$7:$F$23)</f>
        <v>0</v>
      </c>
      <c r="D47" s="118">
        <f>+C47+'9'!D47</f>
        <v>0</v>
      </c>
      <c r="E47" s="143">
        <f t="shared" si="6"/>
        <v>0</v>
      </c>
      <c r="F47" s="322"/>
      <c r="G47" s="323"/>
      <c r="H47" s="188" t="s">
        <v>80</v>
      </c>
      <c r="I47" s="118">
        <f>I46/I38</f>
        <v>865.26451678227011</v>
      </c>
      <c r="J47" s="341">
        <f>J46/J38</f>
        <v>910.25297062085031</v>
      </c>
      <c r="K47" s="130" t="s">
        <v>24</v>
      </c>
    </row>
    <row r="48" spans="1:19" ht="17.45" customHeight="1">
      <c r="A48" s="759" t="s">
        <v>14</v>
      </c>
      <c r="B48" s="760"/>
      <c r="C48" s="164">
        <f>SUMIF($G$7:$G$23,"Start Up",$F$7:$F$23)</f>
        <v>0</v>
      </c>
      <c r="D48" s="118">
        <f>+C48+'9'!D48</f>
        <v>0</v>
      </c>
      <c r="E48" s="143">
        <f t="shared" si="6"/>
        <v>0</v>
      </c>
      <c r="F48" s="322"/>
      <c r="G48" s="323"/>
      <c r="H48" s="188" t="s">
        <v>81</v>
      </c>
      <c r="I48" s="118">
        <f>I46/I40</f>
        <v>915.01525777612198</v>
      </c>
      <c r="J48" s="341">
        <f>J46/J40</f>
        <v>987.77743685451071</v>
      </c>
      <c r="K48" s="130" t="s">
        <v>24</v>
      </c>
    </row>
    <row r="49" spans="1:11" ht="17.45" customHeight="1">
      <c r="A49" s="759" t="s">
        <v>20</v>
      </c>
      <c r="B49" s="760"/>
      <c r="C49" s="164">
        <f>SUMIF($G$7:$G$23,"Others",$F$7:$F$23)</f>
        <v>0</v>
      </c>
      <c r="D49" s="118">
        <f>+C49+'9'!D49</f>
        <v>0</v>
      </c>
      <c r="E49" s="143">
        <f t="shared" si="6"/>
        <v>0</v>
      </c>
      <c r="F49" s="185"/>
      <c r="H49" s="188" t="s">
        <v>271</v>
      </c>
      <c r="I49" s="118">
        <f>+Report1!T18</f>
        <v>4248.9100974169896</v>
      </c>
      <c r="J49" s="341">
        <f>+I49+'9'!J49</f>
        <v>32465.32269684285</v>
      </c>
      <c r="K49" s="130" t="s">
        <v>82</v>
      </c>
    </row>
    <row r="50" spans="1:11" ht="17.45" customHeight="1">
      <c r="A50" s="759" t="s">
        <v>19</v>
      </c>
      <c r="B50" s="760"/>
      <c r="C50" s="164">
        <f>SUMIF($G$7:$G$23,"Steam",$F$7:$F$23)</f>
        <v>0</v>
      </c>
      <c r="D50" s="118">
        <f>+C50+'9'!D50</f>
        <v>0</v>
      </c>
      <c r="E50" s="143">
        <f t="shared" si="6"/>
        <v>0</v>
      </c>
      <c r="F50" s="185"/>
      <c r="H50" s="188" t="s">
        <v>83</v>
      </c>
      <c r="I50" s="140">
        <f>I49/I38</f>
        <v>107.55100737652482</v>
      </c>
      <c r="J50" s="341">
        <f>J49/J38</f>
        <v>94.634642775899124</v>
      </c>
      <c r="K50" s="130" t="s">
        <v>82</v>
      </c>
    </row>
    <row r="51" spans="1:11" ht="17.45" customHeight="1" thickBot="1">
      <c r="A51" s="753" t="s">
        <v>84</v>
      </c>
      <c r="B51" s="754"/>
      <c r="C51" s="164">
        <f>SUMIF($G$7:$G$23,"Planned shut",$F$7:$F$23)</f>
        <v>0</v>
      </c>
      <c r="D51" s="118">
        <f>+C51+'9'!D51</f>
        <v>1555</v>
      </c>
      <c r="E51" s="143">
        <f t="shared" si="6"/>
        <v>25.916666666666668</v>
      </c>
      <c r="F51" s="185"/>
      <c r="H51" s="190" t="s">
        <v>85</v>
      </c>
      <c r="I51" s="141">
        <f>I49/I40</f>
        <v>113.73494559176054</v>
      </c>
      <c r="J51" s="342">
        <f>J49/J40</f>
        <v>102.69449031851219</v>
      </c>
      <c r="K51" s="137" t="s">
        <v>82</v>
      </c>
    </row>
    <row r="52" spans="1:11" ht="13.5" thickBot="1">
      <c r="A52" s="755" t="s">
        <v>28</v>
      </c>
      <c r="B52" s="756"/>
      <c r="C52" s="144">
        <f>SUM(C38:C51)</f>
        <v>88</v>
      </c>
      <c r="D52" s="144">
        <f>SUM(D38:D51)</f>
        <v>2701</v>
      </c>
      <c r="E52" s="145">
        <f>SUM(E38:E51)</f>
        <v>45.016666666666666</v>
      </c>
      <c r="F52" s="185"/>
      <c r="H52" s="191"/>
      <c r="I52" s="192"/>
      <c r="J52" s="343"/>
      <c r="K52" s="139"/>
    </row>
    <row r="53" spans="1:11" ht="13.5" thickBot="1">
      <c r="A53" s="757"/>
      <c r="B53" s="758"/>
      <c r="C53" s="146">
        <f>C52/(24*60)</f>
        <v>6.1111111111111109E-2</v>
      </c>
      <c r="D53" s="146">
        <f>D52/(24*60*G4)</f>
        <v>0.18756944444444446</v>
      </c>
      <c r="E53" s="147">
        <f>E52/(G4*24)</f>
        <v>0.18756944444444443</v>
      </c>
      <c r="F53" s="185"/>
    </row>
    <row r="54" spans="1:11">
      <c r="E54" s="193"/>
      <c r="F54" s="185"/>
    </row>
    <row r="55" spans="1:11">
      <c r="E55" s="193"/>
    </row>
    <row r="56" spans="1:11">
      <c r="A56" s="194" t="s">
        <v>86</v>
      </c>
      <c r="B56" s="195"/>
      <c r="C56" s="196"/>
      <c r="D56" s="196"/>
      <c r="E56" s="196"/>
      <c r="F56" s="197"/>
      <c r="G56" s="196"/>
      <c r="H56" s="198"/>
      <c r="I56" s="199" t="s">
        <v>87</v>
      </c>
      <c r="J56" s="200">
        <f>+D34+'9'!J56</f>
        <v>8038</v>
      </c>
      <c r="K56" s="201">
        <f>J56/(J40+J56/1000)/1000</f>
        <v>2.4795402454862062E-2</v>
      </c>
    </row>
    <row r="57" spans="1:11">
      <c r="A57" s="176"/>
      <c r="I57" s="199" t="s">
        <v>88</v>
      </c>
      <c r="J57" s="200"/>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46:B46"/>
    <mergeCell ref="A42:B42"/>
    <mergeCell ref="A43:B43"/>
    <mergeCell ref="A44:B44"/>
    <mergeCell ref="A45:B45"/>
    <mergeCell ref="A53:B53"/>
    <mergeCell ref="A49:B49"/>
    <mergeCell ref="A47:B47"/>
    <mergeCell ref="A48:B48"/>
    <mergeCell ref="A50:B50"/>
    <mergeCell ref="A52:B52"/>
    <mergeCell ref="A51:B51"/>
    <mergeCell ref="A41:B41"/>
    <mergeCell ref="A40:B40"/>
    <mergeCell ref="A7:A14"/>
    <mergeCell ref="I7:I13"/>
    <mergeCell ref="A15:A23"/>
    <mergeCell ref="I15:I22"/>
    <mergeCell ref="A24:A32"/>
    <mergeCell ref="I24:I31"/>
    <mergeCell ref="A37:B37"/>
    <mergeCell ref="A34:B34"/>
    <mergeCell ref="A38:B38"/>
    <mergeCell ref="A39:B39"/>
  </mergeCells>
  <phoneticPr fontId="32" type="noConversion"/>
  <printOptions horizontalCentered="1"/>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E36" sqref="E36"/>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10.5703125" style="149" bestFit="1" customWidth="1"/>
    <col min="13" max="13" width="12.140625" style="149" customWidth="1"/>
    <col min="14" max="16384" width="9.140625" style="149"/>
  </cols>
  <sheetData>
    <row r="1" spans="1:18" ht="15.75">
      <c r="A1" s="148"/>
    </row>
    <row r="2" spans="1:18" ht="15.75">
      <c r="A2" s="148" t="s">
        <v>185</v>
      </c>
    </row>
    <row r="3" spans="1:18" ht="15">
      <c r="A3" s="150"/>
    </row>
    <row r="4" spans="1:18" ht="20.25">
      <c r="A4" s="151" t="s">
        <v>3</v>
      </c>
      <c r="B4" s="152"/>
      <c r="F4" s="153" t="s">
        <v>29</v>
      </c>
      <c r="G4" s="154">
        <v>9</v>
      </c>
      <c r="H4" s="154" t="str">
        <f>+'1'!H4</f>
        <v>.9.25</v>
      </c>
      <c r="J4" s="149">
        <f>558+600+507</f>
        <v>1665</v>
      </c>
    </row>
    <row r="5" spans="1:18" ht="13.5" thickBot="1">
      <c r="C5" s="155"/>
      <c r="D5" s="155"/>
    </row>
    <row r="6" spans="1:18"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8" ht="13.5" customHeight="1" thickBot="1">
      <c r="A7" s="765"/>
      <c r="B7" s="215" t="s">
        <v>391</v>
      </c>
      <c r="C7" s="216">
        <v>7150</v>
      </c>
      <c r="D7" s="217"/>
      <c r="E7" s="218"/>
      <c r="F7" s="228">
        <v>10</v>
      </c>
      <c r="G7" s="229" t="s">
        <v>12</v>
      </c>
      <c r="H7" s="230" t="s">
        <v>407</v>
      </c>
      <c r="I7" s="768" t="s">
        <v>513</v>
      </c>
      <c r="J7" s="214" t="str">
        <f>+'8'!J7</f>
        <v>F 12 VP OW</v>
      </c>
      <c r="K7" s="238">
        <f>+C7+C16+C25</f>
        <v>11490</v>
      </c>
      <c r="L7" s="242"/>
      <c r="M7" s="117">
        <f>+K7+'8'!M7+L7</f>
        <v>112066</v>
      </c>
    </row>
    <row r="8" spans="1:18" ht="13.5" thickBot="1">
      <c r="A8" s="766"/>
      <c r="B8" s="215"/>
      <c r="C8" s="216"/>
      <c r="D8" s="217"/>
      <c r="E8" s="219"/>
      <c r="F8" s="231">
        <v>3</v>
      </c>
      <c r="G8" s="560" t="s">
        <v>12</v>
      </c>
      <c r="H8" s="230" t="s">
        <v>406</v>
      </c>
      <c r="I8" s="769"/>
      <c r="J8" s="214" t="str">
        <f>+'8'!J8</f>
        <v>F 13 VP OW</v>
      </c>
      <c r="K8" s="239">
        <f>+C17+C26</f>
        <v>23038</v>
      </c>
      <c r="L8" s="239"/>
      <c r="M8" s="117">
        <f>+K8+'8'!M8+L8</f>
        <v>46266</v>
      </c>
      <c r="N8" s="149">
        <v>1000</v>
      </c>
      <c r="O8" s="149">
        <f>+N8-N8*0.23</f>
        <v>770</v>
      </c>
      <c r="P8" s="149">
        <v>62</v>
      </c>
      <c r="Q8" s="149">
        <f>+N8*P8</f>
        <v>62000</v>
      </c>
      <c r="R8" s="149">
        <f>+O8*P8</f>
        <v>47740</v>
      </c>
    </row>
    <row r="9" spans="1:18" ht="13.5" thickBot="1">
      <c r="A9" s="766"/>
      <c r="B9" s="215"/>
      <c r="C9" s="216"/>
      <c r="D9" s="217"/>
      <c r="E9" s="220"/>
      <c r="F9" s="228">
        <v>10</v>
      </c>
      <c r="G9" s="560" t="s">
        <v>12</v>
      </c>
      <c r="H9" s="233" t="s">
        <v>386</v>
      </c>
      <c r="I9" s="769"/>
      <c r="J9" s="214" t="str">
        <f>+'8'!J9</f>
        <v>F 14 VP OW</v>
      </c>
      <c r="K9" s="239"/>
      <c r="L9" s="239"/>
      <c r="M9" s="117">
        <f>+K9+'8'!M9+L9</f>
        <v>100560</v>
      </c>
      <c r="N9" s="149">
        <v>1020</v>
      </c>
      <c r="O9" s="149">
        <f t="shared" ref="O9:O14" si="0">+N9-N9*0.23</f>
        <v>785.4</v>
      </c>
      <c r="P9" s="149">
        <v>46</v>
      </c>
      <c r="Q9" s="149">
        <f t="shared" ref="Q9:Q14" si="1">+N9*P9</f>
        <v>46920</v>
      </c>
      <c r="R9" s="149">
        <f t="shared" ref="R9:R14" si="2">+O9*P9</f>
        <v>36128.400000000001</v>
      </c>
    </row>
    <row r="10" spans="1:18" ht="51.75" thickBot="1">
      <c r="A10" s="766"/>
      <c r="B10" s="215"/>
      <c r="C10" s="216"/>
      <c r="D10" s="217"/>
      <c r="E10" s="219"/>
      <c r="F10" s="228"/>
      <c r="G10" s="237"/>
      <c r="H10" s="233" t="s">
        <v>509</v>
      </c>
      <c r="I10" s="769"/>
      <c r="J10" s="214" t="str">
        <f>+'8'!J10</f>
        <v>T 12,5 VP OW</v>
      </c>
      <c r="K10" s="239"/>
      <c r="L10" s="239"/>
      <c r="M10" s="117">
        <f>+K10+'8'!M10+L10</f>
        <v>19885</v>
      </c>
      <c r="N10" s="149">
        <v>1060</v>
      </c>
      <c r="O10" s="149">
        <f t="shared" si="0"/>
        <v>816.2</v>
      </c>
      <c r="P10" s="149">
        <f>12+184</f>
        <v>196</v>
      </c>
      <c r="Q10" s="149">
        <f t="shared" si="1"/>
        <v>207760</v>
      </c>
      <c r="R10" s="149">
        <f t="shared" si="2"/>
        <v>159975.20000000001</v>
      </c>
    </row>
    <row r="11" spans="1:18" ht="68.25" customHeight="1" thickBot="1">
      <c r="A11" s="766"/>
      <c r="B11" s="215"/>
      <c r="C11" s="216"/>
      <c r="D11" s="217"/>
      <c r="E11" s="219"/>
      <c r="F11" s="228"/>
      <c r="G11" s="232"/>
      <c r="H11" s="233" t="s">
        <v>510</v>
      </c>
      <c r="I11" s="769"/>
      <c r="J11" s="214">
        <f>+'8'!J11</f>
        <v>0</v>
      </c>
      <c r="K11" s="239"/>
      <c r="L11" s="239"/>
      <c r="M11" s="117">
        <f>+K11+'8'!M11+L11</f>
        <v>0</v>
      </c>
      <c r="N11" s="149">
        <v>1100</v>
      </c>
      <c r="O11" s="149">
        <f t="shared" si="0"/>
        <v>847</v>
      </c>
      <c r="P11" s="176">
        <v>45</v>
      </c>
      <c r="Q11" s="149">
        <f t="shared" si="1"/>
        <v>49500</v>
      </c>
      <c r="R11" s="149">
        <f t="shared" si="2"/>
        <v>38115</v>
      </c>
    </row>
    <row r="12" spans="1:18" ht="51.75" thickBot="1">
      <c r="A12" s="766"/>
      <c r="B12" s="215"/>
      <c r="C12" s="216"/>
      <c r="D12" s="217"/>
      <c r="E12" s="219"/>
      <c r="F12" s="228"/>
      <c r="G12" s="232"/>
      <c r="H12" s="233" t="s">
        <v>511</v>
      </c>
      <c r="I12" s="769"/>
      <c r="J12" s="214">
        <f>+'8'!J12</f>
        <v>0</v>
      </c>
      <c r="K12" s="239"/>
      <c r="L12" s="239"/>
      <c r="M12" s="117">
        <f>+K12+'8'!M12+L12</f>
        <v>0</v>
      </c>
      <c r="N12" s="149">
        <v>1100</v>
      </c>
      <c r="O12" s="149">
        <f t="shared" si="0"/>
        <v>847</v>
      </c>
      <c r="P12" s="149">
        <f>11+52</f>
        <v>63</v>
      </c>
      <c r="Q12" s="149">
        <f t="shared" si="1"/>
        <v>69300</v>
      </c>
      <c r="R12" s="149">
        <f t="shared" si="2"/>
        <v>53361</v>
      </c>
    </row>
    <row r="13" spans="1:18" ht="88.5" customHeight="1" thickBot="1">
      <c r="A13" s="766"/>
      <c r="B13" s="215"/>
      <c r="C13" s="216"/>
      <c r="D13" s="216"/>
      <c r="E13" s="219"/>
      <c r="F13" s="228"/>
      <c r="G13" s="232"/>
      <c r="H13" s="233" t="s">
        <v>512</v>
      </c>
      <c r="I13" s="770"/>
      <c r="J13" s="214">
        <f>+'8'!J13</f>
        <v>0</v>
      </c>
      <c r="K13" s="239"/>
      <c r="L13" s="239"/>
      <c r="M13" s="117">
        <f>+K13+'8'!M13+L13</f>
        <v>0</v>
      </c>
      <c r="N13" s="149">
        <v>1050</v>
      </c>
      <c r="O13" s="149">
        <f t="shared" si="0"/>
        <v>808.5</v>
      </c>
      <c r="P13" s="149">
        <f>8+32</f>
        <v>40</v>
      </c>
      <c r="Q13" s="149">
        <f t="shared" si="1"/>
        <v>42000</v>
      </c>
      <c r="R13" s="149">
        <f t="shared" si="2"/>
        <v>32340</v>
      </c>
    </row>
    <row r="14" spans="1:18" ht="13.5" thickBot="1">
      <c r="A14" s="767"/>
      <c r="B14" s="165" t="s">
        <v>2</v>
      </c>
      <c r="C14" s="99">
        <f>SUM(C7:C13)</f>
        <v>7150</v>
      </c>
      <c r="D14" s="111">
        <f>SUM(D7:D13)</f>
        <v>0</v>
      </c>
      <c r="E14" s="112">
        <f>SUM(E5:E13)</f>
        <v>0</v>
      </c>
      <c r="F14" s="116">
        <f>SUM(F7:F13)</f>
        <v>23</v>
      </c>
      <c r="G14" s="159"/>
      <c r="H14" s="166"/>
      <c r="I14" s="167"/>
      <c r="J14" s="214">
        <f>+'8'!J14</f>
        <v>0</v>
      </c>
      <c r="K14" s="239"/>
      <c r="L14" s="239"/>
      <c r="M14" s="117">
        <f>+K14+'8'!M14+L14</f>
        <v>0</v>
      </c>
      <c r="N14" s="149">
        <v>1140</v>
      </c>
      <c r="O14" s="149">
        <f t="shared" si="0"/>
        <v>877.8</v>
      </c>
      <c r="P14" s="149">
        <f>60-32</f>
        <v>28</v>
      </c>
      <c r="Q14" s="149">
        <f t="shared" si="1"/>
        <v>31920</v>
      </c>
      <c r="R14" s="149">
        <f t="shared" si="2"/>
        <v>24578.399999999998</v>
      </c>
    </row>
    <row r="15" spans="1:18" ht="13.5" customHeight="1" thickBot="1">
      <c r="A15" s="765"/>
      <c r="B15" s="165"/>
      <c r="C15" s="113">
        <f>C14/($C$23+$D$23+$E$23)</f>
        <v>0.55191045928213045</v>
      </c>
      <c r="D15" s="114">
        <f>D14/($C$23+$D$23+$E$23)</f>
        <v>0</v>
      </c>
      <c r="E15" s="115">
        <f>E14/($C$23+$D$23+$E$23)</f>
        <v>0</v>
      </c>
      <c r="F15" s="228">
        <v>11</v>
      </c>
      <c r="G15" s="229" t="s">
        <v>12</v>
      </c>
      <c r="H15" s="230" t="s">
        <v>407</v>
      </c>
      <c r="I15" s="768" t="s">
        <v>514</v>
      </c>
      <c r="J15" s="214">
        <f>+'8'!J15</f>
        <v>0</v>
      </c>
      <c r="K15" s="239"/>
      <c r="L15" s="239"/>
      <c r="M15" s="117">
        <f>+K15+'8'!M15+L15</f>
        <v>0</v>
      </c>
      <c r="P15" s="149">
        <f>SUM(P8:P14)</f>
        <v>480</v>
      </c>
      <c r="Q15" s="149">
        <f t="shared" ref="Q15:R15" si="3">SUM(Q8:Q14)</f>
        <v>509400</v>
      </c>
      <c r="R15" s="149">
        <f t="shared" si="3"/>
        <v>392238</v>
      </c>
    </row>
    <row r="16" spans="1:18" ht="13.5" thickBot="1">
      <c r="A16" s="771"/>
      <c r="B16" s="215" t="s">
        <v>391</v>
      </c>
      <c r="C16" s="222">
        <v>1722</v>
      </c>
      <c r="D16" s="223"/>
      <c r="E16" s="224"/>
      <c r="F16" s="231">
        <v>2</v>
      </c>
      <c r="G16" s="560" t="s">
        <v>12</v>
      </c>
      <c r="H16" s="230" t="s">
        <v>406</v>
      </c>
      <c r="I16" s="769"/>
      <c r="J16" s="214">
        <f>+'8'!J16</f>
        <v>0</v>
      </c>
      <c r="K16" s="239"/>
      <c r="L16" s="229"/>
      <c r="M16" s="117">
        <f>+K16+'8'!M16+L16</f>
        <v>0</v>
      </c>
      <c r="Q16" s="149">
        <f>+Q15/P15</f>
        <v>1061.25</v>
      </c>
      <c r="R16" s="149">
        <f>+R15/P15</f>
        <v>817.16250000000002</v>
      </c>
    </row>
    <row r="17" spans="1:18" ht="13.5" thickBot="1">
      <c r="A17" s="771"/>
      <c r="B17" s="215" t="s">
        <v>415</v>
      </c>
      <c r="C17" s="216">
        <f>6007+4886</f>
        <v>10893</v>
      </c>
      <c r="D17" s="217">
        <v>340</v>
      </c>
      <c r="E17" s="225"/>
      <c r="F17" s="228">
        <v>8</v>
      </c>
      <c r="G17" s="560" t="s">
        <v>12</v>
      </c>
      <c r="H17" s="233" t="s">
        <v>409</v>
      </c>
      <c r="I17" s="769"/>
      <c r="J17" s="214">
        <f>+'8'!J17</f>
        <v>0</v>
      </c>
      <c r="K17" s="229"/>
      <c r="L17" s="229"/>
      <c r="M17" s="117">
        <f>+K17+'8'!M17+L17</f>
        <v>0</v>
      </c>
    </row>
    <row r="18" spans="1:18" ht="26.25" thickBot="1">
      <c r="A18" s="771"/>
      <c r="B18" s="215"/>
      <c r="C18" s="216"/>
      <c r="D18" s="217"/>
      <c r="E18" s="225"/>
      <c r="F18" s="228"/>
      <c r="G18" s="237"/>
      <c r="H18" s="233" t="s">
        <v>518</v>
      </c>
      <c r="I18" s="769"/>
      <c r="J18" s="214">
        <f>+'8'!J18</f>
        <v>0</v>
      </c>
      <c r="K18" s="239"/>
      <c r="L18" s="239"/>
      <c r="M18" s="117">
        <f>+K18+'8'!M18+L18</f>
        <v>0</v>
      </c>
      <c r="N18" s="149" t="s">
        <v>417</v>
      </c>
    </row>
    <row r="19" spans="1:18" ht="13.5" thickBot="1">
      <c r="A19" s="771"/>
      <c r="B19" s="215"/>
      <c r="C19" s="216"/>
      <c r="D19" s="217"/>
      <c r="E19" s="225"/>
      <c r="F19" s="235"/>
      <c r="G19" s="232"/>
      <c r="H19" s="233"/>
      <c r="I19" s="769"/>
      <c r="J19" s="214">
        <f>+'8'!J19</f>
        <v>0</v>
      </c>
      <c r="K19" s="239"/>
      <c r="L19" s="239"/>
      <c r="M19" s="117">
        <f>+K19+'8'!M19+L19</f>
        <v>0</v>
      </c>
      <c r="N19" s="149">
        <v>1100</v>
      </c>
      <c r="O19" s="149">
        <f t="shared" ref="O19:O22" si="4">+N19-N19*0.23</f>
        <v>847</v>
      </c>
      <c r="P19" s="149">
        <f>11+52</f>
        <v>63</v>
      </c>
      <c r="Q19" s="149">
        <f t="shared" ref="Q19:Q22" si="5">+N19*P19</f>
        <v>69300</v>
      </c>
      <c r="R19" s="149">
        <f t="shared" ref="R19:R22" si="6">+O19*P19</f>
        <v>53361</v>
      </c>
    </row>
    <row r="20" spans="1:18" ht="13.5" thickBot="1">
      <c r="A20" s="771"/>
      <c r="B20" s="215"/>
      <c r="C20" s="216"/>
      <c r="D20" s="217"/>
      <c r="E20" s="225"/>
      <c r="F20" s="228"/>
      <c r="G20" s="232"/>
      <c r="H20" s="233"/>
      <c r="I20" s="769"/>
      <c r="J20" s="214">
        <f>+'8'!J20</f>
        <v>0</v>
      </c>
      <c r="K20" s="240"/>
      <c r="L20" s="240"/>
      <c r="M20" s="117">
        <f>+K20+'8'!M20+L20</f>
        <v>0</v>
      </c>
      <c r="N20" s="149">
        <v>1050</v>
      </c>
      <c r="O20" s="149">
        <f t="shared" si="4"/>
        <v>808.5</v>
      </c>
      <c r="P20" s="149">
        <f>8+32</f>
        <v>40</v>
      </c>
      <c r="Q20" s="149">
        <f t="shared" si="5"/>
        <v>42000</v>
      </c>
      <c r="R20" s="149">
        <f t="shared" si="6"/>
        <v>32340</v>
      </c>
    </row>
    <row r="21" spans="1:18" ht="13.5" thickBot="1">
      <c r="A21" s="771"/>
      <c r="B21" s="215"/>
      <c r="C21" s="216"/>
      <c r="D21" s="217"/>
      <c r="E21" s="225"/>
      <c r="F21" s="231"/>
      <c r="G21" s="232"/>
      <c r="H21" s="233"/>
      <c r="I21" s="769"/>
      <c r="J21" s="214">
        <f>+'8'!J21</f>
        <v>0</v>
      </c>
      <c r="K21" s="239"/>
      <c r="L21" s="239"/>
      <c r="M21" s="117">
        <f>+K21+'8'!M21+L21</f>
        <v>0</v>
      </c>
      <c r="N21" s="149">
        <v>1140</v>
      </c>
      <c r="O21" s="149">
        <f t="shared" si="4"/>
        <v>877.8</v>
      </c>
      <c r="P21" s="149">
        <f>60-32+480</f>
        <v>508</v>
      </c>
      <c r="Q21" s="149">
        <f t="shared" si="5"/>
        <v>579120</v>
      </c>
      <c r="R21" s="149">
        <f t="shared" si="6"/>
        <v>445922.39999999997</v>
      </c>
    </row>
    <row r="22" spans="1:18" ht="13.5" thickBot="1">
      <c r="A22" s="771"/>
      <c r="B22" s="215"/>
      <c r="C22" s="216"/>
      <c r="D22" s="217"/>
      <c r="E22" s="225"/>
      <c r="F22" s="236"/>
      <c r="G22" s="232"/>
      <c r="H22" s="233"/>
      <c r="I22" s="770"/>
      <c r="J22" s="214">
        <f>+'8'!J22</f>
        <v>0</v>
      </c>
      <c r="K22" s="239"/>
      <c r="L22" s="239"/>
      <c r="M22" s="117">
        <f>+K22+'8'!M22+L22</f>
        <v>0</v>
      </c>
      <c r="N22" s="149">
        <v>1170</v>
      </c>
      <c r="O22" s="149">
        <f t="shared" si="4"/>
        <v>900.9</v>
      </c>
      <c r="P22" s="149">
        <f>480-165</f>
        <v>315</v>
      </c>
      <c r="Q22" s="149">
        <f t="shared" si="5"/>
        <v>368550</v>
      </c>
      <c r="R22" s="149">
        <f t="shared" si="6"/>
        <v>283783.5</v>
      </c>
    </row>
    <row r="23" spans="1:18" ht="13.5" thickBot="1">
      <c r="A23" s="772"/>
      <c r="B23" s="168" t="s">
        <v>2</v>
      </c>
      <c r="C23" s="100">
        <f>SUM(C16:C22)</f>
        <v>12615</v>
      </c>
      <c r="D23" s="111">
        <f>SUM(D16:D22)</f>
        <v>340</v>
      </c>
      <c r="E23" s="112">
        <f>SUM(E18:E22)</f>
        <v>0</v>
      </c>
      <c r="F23" s="116">
        <f>SUM(F15:F22)</f>
        <v>21</v>
      </c>
      <c r="G23" s="159"/>
      <c r="H23" s="166"/>
      <c r="I23" s="169"/>
      <c r="J23" s="214">
        <f>+'8'!J23</f>
        <v>0</v>
      </c>
      <c r="K23" s="239"/>
      <c r="L23" s="239"/>
      <c r="M23" s="117">
        <f>+K23+'8'!M23+L23</f>
        <v>0</v>
      </c>
      <c r="P23" s="149">
        <f>SUM(P19:P22)</f>
        <v>926</v>
      </c>
      <c r="Q23" s="149">
        <f t="shared" ref="Q23:R23" si="7">SUM(Q19:Q22)</f>
        <v>1058970</v>
      </c>
      <c r="R23" s="149">
        <f t="shared" si="7"/>
        <v>815406.89999999991</v>
      </c>
    </row>
    <row r="24" spans="1:18" ht="13.5" customHeight="1" thickBot="1">
      <c r="A24" s="765"/>
      <c r="B24" s="170"/>
      <c r="C24" s="113">
        <f>C23/($C$23+$D$23+$E$23)</f>
        <v>0.97375530683133926</v>
      </c>
      <c r="D24" s="114">
        <f>D23/($C$23+$D$23+$E$23)</f>
        <v>2.6244693168660748E-2</v>
      </c>
      <c r="E24" s="115">
        <f>E23/($C$23+$D$23+$E$23)</f>
        <v>0</v>
      </c>
      <c r="F24" s="228"/>
      <c r="G24" s="229" t="s">
        <v>12</v>
      </c>
      <c r="H24" s="230" t="s">
        <v>466</v>
      </c>
      <c r="I24" s="768" t="s">
        <v>515</v>
      </c>
      <c r="J24" s="214">
        <f>+'8'!J24</f>
        <v>0</v>
      </c>
      <c r="K24" s="239"/>
      <c r="L24" s="239"/>
      <c r="M24" s="117">
        <f>+K24+'8'!M24+L24</f>
        <v>0</v>
      </c>
      <c r="Q24" s="149">
        <f>+Q23/P23</f>
        <v>1143.5961123110151</v>
      </c>
      <c r="R24" s="149">
        <f>+R23/P23</f>
        <v>880.56900647948157</v>
      </c>
    </row>
    <row r="25" spans="1:18" ht="13.5" thickBot="1">
      <c r="A25" s="771"/>
      <c r="B25" s="215" t="s">
        <v>391</v>
      </c>
      <c r="C25" s="226">
        <v>2618</v>
      </c>
      <c r="D25" s="217"/>
      <c r="E25" s="225"/>
      <c r="F25" s="231">
        <v>10</v>
      </c>
      <c r="G25" s="560" t="s">
        <v>12</v>
      </c>
      <c r="H25" s="230" t="s">
        <v>520</v>
      </c>
      <c r="I25" s="769"/>
      <c r="J25" s="214">
        <f>+'8'!J25</f>
        <v>0</v>
      </c>
      <c r="K25" s="239"/>
      <c r="L25" s="239"/>
      <c r="M25" s="117">
        <f>+K25+'8'!M25+L25</f>
        <v>0</v>
      </c>
    </row>
    <row r="26" spans="1:18" ht="13.5" thickBot="1">
      <c r="A26" s="771"/>
      <c r="B26" s="215" t="s">
        <v>415</v>
      </c>
      <c r="C26" s="226">
        <f>6501+5644</f>
        <v>12145</v>
      </c>
      <c r="D26" s="217"/>
      <c r="E26" s="227"/>
      <c r="F26" s="228">
        <v>5</v>
      </c>
      <c r="G26" s="560" t="s">
        <v>12</v>
      </c>
      <c r="H26" s="233" t="s">
        <v>386</v>
      </c>
      <c r="I26" s="769"/>
      <c r="J26" s="214">
        <f>+'8'!J26</f>
        <v>0</v>
      </c>
      <c r="K26" s="239"/>
      <c r="L26" s="239"/>
      <c r="M26" s="117">
        <f>+K26+'8'!M26+L26</f>
        <v>0</v>
      </c>
      <c r="N26" s="149" t="s">
        <v>389</v>
      </c>
    </row>
    <row r="27" spans="1:18" ht="26.25" thickBot="1">
      <c r="A27" s="771"/>
      <c r="B27" s="215"/>
      <c r="C27" s="216"/>
      <c r="D27" s="217"/>
      <c r="E27" s="225"/>
      <c r="F27" s="228"/>
      <c r="G27" s="237"/>
      <c r="H27" s="233" t="s">
        <v>519</v>
      </c>
      <c r="I27" s="769"/>
      <c r="J27" s="214">
        <f>+'8'!J27</f>
        <v>0</v>
      </c>
      <c r="K27" s="239"/>
      <c r="L27" s="239"/>
      <c r="M27" s="117">
        <f>+K27+'8'!M27+L27</f>
        <v>0</v>
      </c>
      <c r="N27" s="149">
        <v>1000</v>
      </c>
      <c r="O27" s="149">
        <f>+N27-N27*0.23</f>
        <v>770</v>
      </c>
      <c r="P27" s="149">
        <v>62</v>
      </c>
      <c r="Q27" s="149">
        <f>+N27*P27</f>
        <v>62000</v>
      </c>
      <c r="R27" s="149">
        <f>+O27*P27</f>
        <v>47740</v>
      </c>
    </row>
    <row r="28" spans="1:18" ht="13.5" thickBot="1">
      <c r="A28" s="771"/>
      <c r="B28" s="215"/>
      <c r="C28" s="216"/>
      <c r="D28" s="217"/>
      <c r="E28" s="225"/>
      <c r="F28" s="231"/>
      <c r="G28" s="232"/>
      <c r="H28" s="233" t="s">
        <v>516</v>
      </c>
      <c r="I28" s="769"/>
      <c r="J28" s="214">
        <f>+'8'!J28</f>
        <v>0</v>
      </c>
      <c r="K28" s="239"/>
      <c r="L28" s="239"/>
      <c r="M28" s="117">
        <f>+K28+'8'!M28+L28</f>
        <v>0</v>
      </c>
      <c r="N28" s="149">
        <v>1020</v>
      </c>
      <c r="O28" s="149">
        <f t="shared" ref="O28:O31" si="8">+N28-N28*0.23</f>
        <v>785.4</v>
      </c>
      <c r="P28" s="149">
        <v>46</v>
      </c>
      <c r="Q28" s="149">
        <f t="shared" ref="Q28:Q31" si="9">+N28*P28</f>
        <v>46920</v>
      </c>
      <c r="R28" s="149">
        <f t="shared" ref="R28:R31" si="10">+O28*P28</f>
        <v>36128.400000000001</v>
      </c>
    </row>
    <row r="29" spans="1:18" ht="13.5" thickBot="1">
      <c r="A29" s="771"/>
      <c r="B29" s="215"/>
      <c r="C29" s="216"/>
      <c r="D29" s="217"/>
      <c r="E29" s="225"/>
      <c r="F29" s="236"/>
      <c r="G29" s="232"/>
      <c r="H29" s="233"/>
      <c r="I29" s="769"/>
      <c r="J29" s="214">
        <f>+'8'!J29</f>
        <v>0</v>
      </c>
      <c r="K29" s="239"/>
      <c r="L29" s="239"/>
      <c r="M29" s="117">
        <f>+K29+'8'!M29+L29</f>
        <v>0</v>
      </c>
      <c r="N29" s="149">
        <v>1060</v>
      </c>
      <c r="O29" s="149">
        <f t="shared" si="8"/>
        <v>816.2</v>
      </c>
      <c r="P29" s="149">
        <f>12+184</f>
        <v>196</v>
      </c>
      <c r="Q29" s="149">
        <f t="shared" si="9"/>
        <v>207760</v>
      </c>
      <c r="R29" s="149">
        <f t="shared" si="10"/>
        <v>159975.20000000001</v>
      </c>
    </row>
    <row r="30" spans="1:18" ht="13.5" thickBot="1">
      <c r="A30" s="771"/>
      <c r="B30" s="215"/>
      <c r="C30" s="226"/>
      <c r="D30" s="217"/>
      <c r="E30" s="225"/>
      <c r="F30" s="236"/>
      <c r="G30" s="232"/>
      <c r="H30" s="233"/>
      <c r="I30" s="769"/>
      <c r="J30" s="214">
        <f>+'8'!J30</f>
        <v>0</v>
      </c>
      <c r="K30" s="239"/>
      <c r="L30" s="239"/>
      <c r="M30" s="117">
        <f>+K30+'8'!M30+L30</f>
        <v>0</v>
      </c>
      <c r="N30" s="149">
        <v>1100</v>
      </c>
      <c r="O30" s="149">
        <f t="shared" si="8"/>
        <v>847</v>
      </c>
      <c r="P30" s="176">
        <v>45</v>
      </c>
      <c r="Q30" s="149">
        <f t="shared" si="9"/>
        <v>49500</v>
      </c>
      <c r="R30" s="149">
        <f t="shared" si="10"/>
        <v>38115</v>
      </c>
    </row>
    <row r="31" spans="1:18" ht="13.5" thickBot="1">
      <c r="A31" s="771"/>
      <c r="B31" s="215"/>
      <c r="C31" s="226"/>
      <c r="D31" s="217"/>
      <c r="E31" s="225"/>
      <c r="F31" s="236"/>
      <c r="G31" s="237"/>
      <c r="H31" s="445"/>
      <c r="I31" s="770"/>
      <c r="J31" s="214">
        <f>+'8'!J31</f>
        <v>0</v>
      </c>
      <c r="K31" s="239"/>
      <c r="L31" s="239"/>
      <c r="M31" s="117">
        <f>+K31+'8'!M31+L31</f>
        <v>0</v>
      </c>
      <c r="N31" s="149">
        <v>1170</v>
      </c>
      <c r="O31" s="149">
        <f t="shared" si="8"/>
        <v>900.9</v>
      </c>
      <c r="P31" s="149">
        <v>165</v>
      </c>
      <c r="Q31" s="149">
        <f t="shared" si="9"/>
        <v>193050</v>
      </c>
      <c r="R31" s="149">
        <f t="shared" si="10"/>
        <v>148648.5</v>
      </c>
    </row>
    <row r="32" spans="1:18" ht="13.5" thickBot="1">
      <c r="A32" s="772"/>
      <c r="B32" s="165" t="s">
        <v>2</v>
      </c>
      <c r="C32" s="99">
        <f>SUM(C25:C31)</f>
        <v>14763</v>
      </c>
      <c r="D32" s="100">
        <f>SUM(D25:D31)</f>
        <v>0</v>
      </c>
      <c r="E32" s="101">
        <f>SUM(E25:E31)</f>
        <v>0</v>
      </c>
      <c r="F32" s="102">
        <f>SUM(F24:F31)</f>
        <v>15</v>
      </c>
      <c r="G32" s="171"/>
      <c r="H32" s="172"/>
      <c r="I32" s="169"/>
      <c r="J32" s="214">
        <f>+'8'!J32</f>
        <v>0</v>
      </c>
      <c r="K32" s="241"/>
      <c r="L32" s="243"/>
      <c r="M32" s="117">
        <f>+K32+'8'!M32+L32</f>
        <v>0</v>
      </c>
      <c r="P32" s="149">
        <f>SUM(P27:P31)</f>
        <v>514</v>
      </c>
      <c r="Q32" s="149">
        <f t="shared" ref="Q32:R32" si="11">SUM(Q27:Q31)</f>
        <v>559230</v>
      </c>
      <c r="R32" s="149">
        <f t="shared" si="11"/>
        <v>430607.1</v>
      </c>
    </row>
    <row r="33" spans="1:18" ht="13.5" thickBot="1">
      <c r="A33" s="173"/>
      <c r="B33" s="174"/>
      <c r="C33" s="103">
        <f>C32/($C$32+$D$32+$E$32)</f>
        <v>1</v>
      </c>
      <c r="D33" s="104">
        <f>D32/($C$32+$D$32+$E$32)</f>
        <v>0</v>
      </c>
      <c r="E33" s="105">
        <f>E32/($C$32+$D$32+$E$32)</f>
        <v>0</v>
      </c>
      <c r="F33" s="106"/>
      <c r="G33" s="175"/>
      <c r="H33" s="176"/>
      <c r="I33" s="177"/>
      <c r="J33" s="121"/>
      <c r="K33" s="122"/>
      <c r="L33" s="213"/>
      <c r="M33" s="119"/>
      <c r="Q33" s="149">
        <f>+Q32/P32</f>
        <v>1087.9961089494163</v>
      </c>
      <c r="R33" s="149">
        <f>+R32/P32</f>
        <v>837.75700389105054</v>
      </c>
    </row>
    <row r="34" spans="1:18" ht="13.5" thickBot="1">
      <c r="A34" s="761" t="s">
        <v>57</v>
      </c>
      <c r="B34" s="762"/>
      <c r="C34" s="107">
        <f>C14+C23+C32</f>
        <v>34528</v>
      </c>
      <c r="D34" s="107">
        <f>D14+D23+D32</f>
        <v>340</v>
      </c>
      <c r="E34" s="107">
        <f>E14+E23+E32</f>
        <v>0</v>
      </c>
      <c r="F34" s="108">
        <f>F14+F23+F32</f>
        <v>59</v>
      </c>
      <c r="H34" s="178"/>
      <c r="I34" s="178"/>
      <c r="J34" s="123" t="s">
        <v>28</v>
      </c>
      <c r="K34" s="124">
        <f>SUM(K7:K32)</f>
        <v>34528</v>
      </c>
      <c r="L34" s="212">
        <f>SUM(L7:L32)</f>
        <v>0</v>
      </c>
      <c r="M34" s="120">
        <f>SUM(M7:M32)</f>
        <v>278777</v>
      </c>
    </row>
    <row r="35" spans="1:18" ht="13.5" thickBot="1">
      <c r="A35" s="179"/>
      <c r="B35" s="180"/>
      <c r="C35" s="104">
        <f>C34/($C$34+$D$34+$E$34)</f>
        <v>0.99024893885511067</v>
      </c>
      <c r="D35" s="104">
        <f>D34/($C$34+$D$34+$E$34)</f>
        <v>9.7510611448892968E-3</v>
      </c>
      <c r="E35" s="109">
        <f>E34/($C$34+$D$34+$E$34)</f>
        <v>0</v>
      </c>
      <c r="K35" s="155"/>
    </row>
    <row r="36" spans="1:18" ht="13.5" thickBot="1">
      <c r="A36" s="178"/>
      <c r="B36" s="178"/>
      <c r="C36" s="155"/>
      <c r="D36" s="155"/>
      <c r="E36" s="155"/>
      <c r="G36" s="155"/>
      <c r="H36" s="181"/>
      <c r="I36" s="162" t="s">
        <v>37</v>
      </c>
      <c r="J36" s="162" t="s">
        <v>38</v>
      </c>
      <c r="K36" s="182"/>
    </row>
    <row r="37" spans="1:18" ht="17.45" customHeight="1" thickBot="1">
      <c r="A37" s="763" t="s">
        <v>58</v>
      </c>
      <c r="B37" s="764"/>
      <c r="C37" s="162" t="s">
        <v>59</v>
      </c>
      <c r="D37" s="183" t="s">
        <v>60</v>
      </c>
      <c r="E37" s="184" t="s">
        <v>61</v>
      </c>
      <c r="F37" s="322"/>
      <c r="G37" s="324"/>
      <c r="H37" s="186" t="s">
        <v>62</v>
      </c>
      <c r="I37" s="244">
        <f>(12*514+13*926)/1440*G42*2.74*1440/1000000</f>
        <v>43.164382376500001</v>
      </c>
      <c r="J37" s="125" t="e">
        <f>+I37+'8'!J37</f>
        <v>#DIV/0!</v>
      </c>
      <c r="K37" s="126" t="s">
        <v>63</v>
      </c>
      <c r="L37" s="575">
        <f>9.875+4.07</f>
        <v>13.945</v>
      </c>
    </row>
    <row r="38" spans="1:18" ht="17.45" customHeight="1">
      <c r="A38" s="755" t="s">
        <v>12</v>
      </c>
      <c r="B38" s="756"/>
      <c r="C38" s="164">
        <f>SUMIF($G$7:$G$31,"Process",$F$7:$F$31)</f>
        <v>59</v>
      </c>
      <c r="D38" s="118">
        <f>+C38+'8'!D38</f>
        <v>543</v>
      </c>
      <c r="E38" s="143">
        <f t="shared" ref="E38:E51" si="12">D38/60</f>
        <v>9.0500000000000007</v>
      </c>
      <c r="F38" s="322">
        <v>1061.25</v>
      </c>
      <c r="G38" s="322">
        <v>817.16250000000002</v>
      </c>
      <c r="H38" s="187" t="s">
        <v>64</v>
      </c>
      <c r="I38" s="245">
        <f>12.897+12.985+14.329</f>
        <v>40.210999999999999</v>
      </c>
      <c r="J38" s="127">
        <f>+I38+'8'!J38</f>
        <v>303.55360000000007</v>
      </c>
      <c r="K38" s="128" t="s">
        <v>63</v>
      </c>
      <c r="L38" s="576">
        <f>+I38-L37</f>
        <v>26.265999999999998</v>
      </c>
    </row>
    <row r="39" spans="1:18" ht="17.45" customHeight="1">
      <c r="A39" s="759" t="s">
        <v>13</v>
      </c>
      <c r="B39" s="760"/>
      <c r="C39" s="164">
        <f>SUMIF($G$7:$G$31,"Cleaning",$F$7:$F$31)</f>
        <v>0</v>
      </c>
      <c r="D39" s="118">
        <f>+C39+'8'!D39</f>
        <v>0</v>
      </c>
      <c r="E39" s="143">
        <f t="shared" si="12"/>
        <v>0</v>
      </c>
      <c r="F39" s="322">
        <v>1140</v>
      </c>
      <c r="G39" s="322">
        <v>877.8</v>
      </c>
      <c r="H39" s="187" t="s">
        <v>65</v>
      </c>
      <c r="I39" s="142"/>
      <c r="J39" s="129" t="e">
        <f>J37/G4</f>
        <v>#DIV/0!</v>
      </c>
      <c r="K39" s="130" t="s">
        <v>63</v>
      </c>
    </row>
    <row r="40" spans="1:18" ht="17.45" customHeight="1">
      <c r="A40" s="759" t="s">
        <v>66</v>
      </c>
      <c r="B40" s="760"/>
      <c r="C40" s="164">
        <f>SUMIF($G$7:$G$31,"Mechanical",$F$7:$F$31)</f>
        <v>0</v>
      </c>
      <c r="D40" s="118">
        <f>+C40+'8'!D40</f>
        <v>0</v>
      </c>
      <c r="E40" s="143">
        <f t="shared" si="12"/>
        <v>0</v>
      </c>
      <c r="F40" s="322">
        <v>1170</v>
      </c>
      <c r="G40" s="322">
        <v>900.9</v>
      </c>
      <c r="H40" s="187" t="s">
        <v>67</v>
      </c>
      <c r="I40" s="118">
        <f>(K34+L34)/1000</f>
        <v>34.527999999999999</v>
      </c>
      <c r="J40" s="131">
        <f>+I40+'8'!J40</f>
        <v>278.77699999999999</v>
      </c>
      <c r="K40" s="130" t="s">
        <v>63</v>
      </c>
    </row>
    <row r="41" spans="1:18" ht="17.45" customHeight="1">
      <c r="A41" s="759" t="s">
        <v>68</v>
      </c>
      <c r="B41" s="760"/>
      <c r="C41" s="164">
        <f>SUMIF($G$7:$G$31,"Electrical",$F$7:$F$31)</f>
        <v>0</v>
      </c>
      <c r="D41" s="118">
        <f>+C41+'8'!D41</f>
        <v>515</v>
      </c>
      <c r="E41" s="143">
        <f t="shared" si="12"/>
        <v>8.5833333333333339</v>
      </c>
      <c r="F41" s="322"/>
      <c r="G41" s="322"/>
      <c r="H41" s="187" t="s">
        <v>69</v>
      </c>
      <c r="I41" s="142"/>
      <c r="J41" s="129">
        <f>J40/G4</f>
        <v>30.975222222222222</v>
      </c>
      <c r="K41" s="130" t="s">
        <v>63</v>
      </c>
    </row>
    <row r="42" spans="1:18" ht="17.45" customHeight="1">
      <c r="A42" s="759" t="s">
        <v>16</v>
      </c>
      <c r="B42" s="760"/>
      <c r="C42" s="164">
        <f>SUMIF($G$7:$G$31,"Instrument",$F$7:$F$31)</f>
        <v>0</v>
      </c>
      <c r="D42" s="118">
        <f>+C42+'8'!D42</f>
        <v>0</v>
      </c>
      <c r="E42" s="143">
        <f t="shared" si="12"/>
        <v>0</v>
      </c>
      <c r="F42" s="322">
        <f>+(F38*480+F39*480+F40*480)/1440</f>
        <v>1123.75</v>
      </c>
      <c r="G42" s="322">
        <f>+(G38*480+G39*480+G40*480)/1440</f>
        <v>865.28750000000002</v>
      </c>
      <c r="H42" s="187" t="s">
        <v>70</v>
      </c>
      <c r="I42" s="246" t="s">
        <v>517</v>
      </c>
      <c r="J42" s="132"/>
      <c r="K42" s="130" t="s">
        <v>71</v>
      </c>
    </row>
    <row r="43" spans="1:18" ht="17.45" customHeight="1">
      <c r="A43" s="759" t="s">
        <v>72</v>
      </c>
      <c r="B43" s="760"/>
      <c r="C43" s="164">
        <f>SUMIF($G$7:$G$31,"Water",$F$7:$F$31)</f>
        <v>0</v>
      </c>
      <c r="D43" s="118">
        <f>+C43+'8'!D43</f>
        <v>0</v>
      </c>
      <c r="E43" s="143">
        <f t="shared" si="12"/>
        <v>0</v>
      </c>
      <c r="F43" s="322"/>
      <c r="G43" s="323"/>
      <c r="H43" s="188" t="s">
        <v>73</v>
      </c>
      <c r="I43" s="118">
        <f>+Report1!Z17</f>
        <v>64.5</v>
      </c>
      <c r="J43" s="133">
        <f>+I43+'8'!J43</f>
        <v>474.6</v>
      </c>
      <c r="K43" s="130" t="s">
        <v>63</v>
      </c>
      <c r="L43" s="189"/>
    </row>
    <row r="44" spans="1:18" ht="17.45" customHeight="1">
      <c r="A44" s="759" t="s">
        <v>17</v>
      </c>
      <c r="B44" s="760"/>
      <c r="C44" s="164">
        <f>SUMIF($G$7:$G$31,"PLN",$F$7:$F$31)</f>
        <v>0</v>
      </c>
      <c r="D44" s="118">
        <f>+C44+'8'!D44</f>
        <v>0</v>
      </c>
      <c r="E44" s="143">
        <f t="shared" si="12"/>
        <v>0</v>
      </c>
      <c r="F44" s="322"/>
      <c r="G44" s="323"/>
      <c r="H44" s="188" t="s">
        <v>74</v>
      </c>
      <c r="I44" s="118">
        <f>I43/I38</f>
        <v>1.604038695879237</v>
      </c>
      <c r="J44" s="134">
        <f>J43/J38</f>
        <v>1.5634800575582035</v>
      </c>
      <c r="K44" s="130" t="s">
        <v>63</v>
      </c>
    </row>
    <row r="45" spans="1:18" ht="17.45" customHeight="1">
      <c r="A45" s="759" t="s">
        <v>18</v>
      </c>
      <c r="B45" s="760"/>
      <c r="C45" s="164">
        <f>SUMIF($G$7:$G$31,"Boiler",$F$7:$F$31)</f>
        <v>0</v>
      </c>
      <c r="D45" s="118">
        <f>+C45+'8'!D45</f>
        <v>0</v>
      </c>
      <c r="E45" s="143">
        <f t="shared" si="12"/>
        <v>0</v>
      </c>
      <c r="F45" s="322"/>
      <c r="G45" s="325"/>
      <c r="H45" s="188" t="s">
        <v>75</v>
      </c>
      <c r="I45" s="118">
        <f>I43/I40</f>
        <v>1.8680491195551436</v>
      </c>
      <c r="J45" s="134">
        <f>J43/J40</f>
        <v>1.7024359972307617</v>
      </c>
      <c r="K45" s="130" t="s">
        <v>63</v>
      </c>
    </row>
    <row r="46" spans="1:18" ht="17.45" customHeight="1">
      <c r="A46" s="759" t="s">
        <v>76</v>
      </c>
      <c r="B46" s="760"/>
      <c r="C46" s="164">
        <f>SUMIF($G$7:$G$31,"Gas",$F$7:$F$31)</f>
        <v>0</v>
      </c>
      <c r="D46" s="118">
        <f>+C46+'8'!D46</f>
        <v>0</v>
      </c>
      <c r="E46" s="143">
        <f t="shared" si="12"/>
        <v>0</v>
      </c>
      <c r="F46" s="322"/>
      <c r="G46" s="323"/>
      <c r="H46" s="188" t="s">
        <v>77</v>
      </c>
      <c r="I46" s="140">
        <f>+SUMIF(Listrik!P16,"&gt;0")</f>
        <v>35659.619999999639</v>
      </c>
      <c r="J46" s="135">
        <f>+I46+'8'!J46</f>
        <v>278087.88000000035</v>
      </c>
      <c r="K46" s="130" t="s">
        <v>78</v>
      </c>
    </row>
    <row r="47" spans="1:18" ht="17.45" customHeight="1">
      <c r="A47" s="759" t="s">
        <v>79</v>
      </c>
      <c r="B47" s="760"/>
      <c r="C47" s="164">
        <f>SUMIF($G$7:$G$31,"Gas",$F$7:$F$31)</f>
        <v>0</v>
      </c>
      <c r="D47" s="118">
        <f>+C47+'8'!D47</f>
        <v>0</v>
      </c>
      <c r="E47" s="143">
        <f t="shared" si="12"/>
        <v>0</v>
      </c>
      <c r="F47" s="322"/>
      <c r="G47" s="323"/>
      <c r="H47" s="188" t="s">
        <v>80</v>
      </c>
      <c r="I47" s="118">
        <f>I46/I38</f>
        <v>886.81256372633459</v>
      </c>
      <c r="J47" s="135">
        <f>J46/J38</f>
        <v>916.10799542486166</v>
      </c>
      <c r="K47" s="130" t="s">
        <v>24</v>
      </c>
    </row>
    <row r="48" spans="1:18" ht="17.45" customHeight="1">
      <c r="A48" s="759" t="s">
        <v>14</v>
      </c>
      <c r="B48" s="760"/>
      <c r="C48" s="164">
        <f>SUMIF($G$7:$G$31,"Start Up",$F$7:$F$31)</f>
        <v>0</v>
      </c>
      <c r="D48" s="118">
        <f>+C48+'8'!D48</f>
        <v>0</v>
      </c>
      <c r="E48" s="143">
        <f t="shared" si="12"/>
        <v>0</v>
      </c>
      <c r="F48" s="322"/>
      <c r="G48" s="323"/>
      <c r="H48" s="188" t="s">
        <v>81</v>
      </c>
      <c r="I48" s="118">
        <f>I46/I40</f>
        <v>1032.7739805375243</v>
      </c>
      <c r="J48" s="135">
        <f>J46/J40</f>
        <v>997.52806006234505</v>
      </c>
      <c r="K48" s="130" t="s">
        <v>24</v>
      </c>
    </row>
    <row r="49" spans="1:11" ht="17.45" customHeight="1">
      <c r="A49" s="759" t="s">
        <v>20</v>
      </c>
      <c r="B49" s="760"/>
      <c r="C49" s="164">
        <f>SUMIF($G$7:$G$31,"Others",$F$7:$F$31)</f>
        <v>0</v>
      </c>
      <c r="D49" s="118">
        <f>+C49+'8'!D49</f>
        <v>0</v>
      </c>
      <c r="E49" s="143">
        <f t="shared" si="12"/>
        <v>0</v>
      </c>
      <c r="F49" s="185"/>
      <c r="H49" s="188" t="s">
        <v>271</v>
      </c>
      <c r="I49" s="118">
        <f>+Report1!T17</f>
        <v>3682.1389944484831</v>
      </c>
      <c r="J49" s="135">
        <f>+I49+'8'!J49</f>
        <v>28216.412599425861</v>
      </c>
      <c r="K49" s="130" t="s">
        <v>82</v>
      </c>
    </row>
    <row r="50" spans="1:11" ht="17.45" customHeight="1">
      <c r="A50" s="759" t="s">
        <v>19</v>
      </c>
      <c r="B50" s="760"/>
      <c r="C50" s="164">
        <f>SUMIF($G$7:$G$31,"Steam",$F$7:$F$31)</f>
        <v>0</v>
      </c>
      <c r="D50" s="118">
        <f>+C50+'8'!D50</f>
        <v>0</v>
      </c>
      <c r="E50" s="143">
        <f t="shared" si="12"/>
        <v>0</v>
      </c>
      <c r="F50" s="185"/>
      <c r="H50" s="188" t="s">
        <v>83</v>
      </c>
      <c r="I50" s="140">
        <f>I49/I38</f>
        <v>91.570440786065589</v>
      </c>
      <c r="J50" s="133">
        <f>J49/J38</f>
        <v>92.953641793165531</v>
      </c>
      <c r="K50" s="130" t="s">
        <v>82</v>
      </c>
    </row>
    <row r="51" spans="1:11" ht="17.45" customHeight="1" thickBot="1">
      <c r="A51" s="753" t="s">
        <v>84</v>
      </c>
      <c r="B51" s="754"/>
      <c r="C51" s="164">
        <f>SUMIF($G$7:$G$31,"Planned shut",$F$7:$F$31)</f>
        <v>0</v>
      </c>
      <c r="D51" s="118">
        <f>+C51+'8'!D51</f>
        <v>1555</v>
      </c>
      <c r="E51" s="143">
        <f t="shared" si="12"/>
        <v>25.916666666666668</v>
      </c>
      <c r="F51" s="185"/>
      <c r="H51" s="190" t="s">
        <v>85</v>
      </c>
      <c r="I51" s="141">
        <f>I49/I40</f>
        <v>106.64211638231242</v>
      </c>
      <c r="J51" s="136">
        <f>J49/J40</f>
        <v>101.21499477871511</v>
      </c>
      <c r="K51" s="137" t="s">
        <v>82</v>
      </c>
    </row>
    <row r="52" spans="1:11" ht="13.5" thickBot="1">
      <c r="A52" s="755" t="s">
        <v>28</v>
      </c>
      <c r="B52" s="756"/>
      <c r="C52" s="144">
        <f>SUM(C38:C51)</f>
        <v>59</v>
      </c>
      <c r="D52" s="144">
        <f>SUM(D38:D51)</f>
        <v>2613</v>
      </c>
      <c r="E52" s="145">
        <f>SUM(E38:E51)</f>
        <v>43.55</v>
      </c>
      <c r="F52" s="185"/>
      <c r="H52" s="191"/>
      <c r="I52" s="192"/>
      <c r="J52" s="138"/>
      <c r="K52" s="139"/>
    </row>
    <row r="53" spans="1:11" ht="13.5" thickBot="1">
      <c r="A53" s="757"/>
      <c r="B53" s="758"/>
      <c r="C53" s="146">
        <f>C52/(24*60)</f>
        <v>4.0972222222222222E-2</v>
      </c>
      <c r="D53" s="146">
        <f>D52/(24*60*G4)</f>
        <v>0.20162037037037037</v>
      </c>
      <c r="E53" s="147">
        <f>E52/(G4*24)</f>
        <v>0.20162037037037037</v>
      </c>
      <c r="F53" s="185"/>
    </row>
    <row r="54" spans="1:11">
      <c r="E54" s="193"/>
      <c r="F54" s="185"/>
    </row>
    <row r="55" spans="1:11">
      <c r="E55" s="193"/>
    </row>
    <row r="56" spans="1:11">
      <c r="A56" s="194" t="s">
        <v>86</v>
      </c>
      <c r="B56" s="195"/>
      <c r="C56" s="196"/>
      <c r="D56" s="196"/>
      <c r="E56" s="196"/>
      <c r="F56" s="197"/>
      <c r="G56" s="196"/>
      <c r="H56" s="198"/>
      <c r="I56" s="199" t="s">
        <v>87</v>
      </c>
      <c r="J56" s="200">
        <f>+D34+'8'!J56</f>
        <v>2010</v>
      </c>
      <c r="K56" s="201">
        <f>J56/(J40+J56/1000)/1000</f>
        <v>7.1584510678913207E-3</v>
      </c>
    </row>
    <row r="57" spans="1:11">
      <c r="A57" s="176"/>
      <c r="I57" s="199" t="s">
        <v>88</v>
      </c>
      <c r="J57" s="200">
        <f>+E34+'8'!J57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48:B48"/>
    <mergeCell ref="A53:B53"/>
    <mergeCell ref="A52:B52"/>
    <mergeCell ref="A49:B49"/>
    <mergeCell ref="A51:B51"/>
    <mergeCell ref="A50:B50"/>
    <mergeCell ref="A47:B47"/>
    <mergeCell ref="A40:B40"/>
    <mergeCell ref="A41:B41"/>
    <mergeCell ref="A39:B39"/>
    <mergeCell ref="A46:B46"/>
    <mergeCell ref="A42:B42"/>
    <mergeCell ref="A43:B43"/>
    <mergeCell ref="A44:B44"/>
    <mergeCell ref="A45:B45"/>
    <mergeCell ref="A38:B38"/>
    <mergeCell ref="A24:A32"/>
    <mergeCell ref="A7:A14"/>
    <mergeCell ref="I7:I13"/>
    <mergeCell ref="A15:A23"/>
    <mergeCell ref="I15:I22"/>
    <mergeCell ref="I24:I31"/>
    <mergeCell ref="A37:B37"/>
    <mergeCell ref="A34:B34"/>
  </mergeCells>
  <phoneticPr fontId="32"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E1" zoomScale="80" zoomScaleNormal="75" zoomScaleSheetLayoutView="80" workbookViewId="0">
      <selection activeCell="K45" sqref="K39:P45"/>
    </sheetView>
  </sheetViews>
  <sheetFormatPr defaultColWidth="9.140625" defaultRowHeight="12.75"/>
  <cols>
    <col min="1" max="1" width="8" style="149" customWidth="1"/>
    <col min="2" max="2" width="7" style="149" bestFit="1" customWidth="1"/>
    <col min="3" max="3" width="14.85546875" style="149" bestFit="1" customWidth="1"/>
    <col min="4" max="4" width="1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13.7109375" style="149" bestFit="1" customWidth="1"/>
    <col min="13" max="13" width="15" style="149" bestFit="1" customWidth="1"/>
    <col min="14" max="16384" width="9.140625" style="149"/>
  </cols>
  <sheetData>
    <row r="1" spans="1:13" ht="15.75">
      <c r="A1" s="148"/>
    </row>
    <row r="2" spans="1:13" ht="15.75">
      <c r="A2" s="148" t="s">
        <v>185</v>
      </c>
    </row>
    <row r="3" spans="1:13" ht="15">
      <c r="A3" s="150"/>
    </row>
    <row r="4" spans="1:13" ht="20.25">
      <c r="A4" s="151" t="s">
        <v>3</v>
      </c>
      <c r="B4" s="152"/>
      <c r="F4" s="153" t="s">
        <v>29</v>
      </c>
      <c r="G4" s="154">
        <v>8</v>
      </c>
      <c r="H4" s="154" t="str">
        <f>+'1'!H4</f>
        <v>.9.25</v>
      </c>
    </row>
    <row r="5" spans="1:13" ht="13.5" thickBot="1">
      <c r="C5" s="155"/>
      <c r="D5" s="155"/>
    </row>
    <row r="6" spans="1:1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3" ht="13.5" customHeight="1" thickBot="1">
      <c r="A7" s="765"/>
      <c r="B7" s="215"/>
      <c r="C7" s="216"/>
      <c r="D7" s="217"/>
      <c r="E7" s="218"/>
      <c r="F7" s="228"/>
      <c r="G7" s="229" t="s">
        <v>12</v>
      </c>
      <c r="H7" s="230" t="s">
        <v>466</v>
      </c>
      <c r="I7" s="768" t="s">
        <v>424</v>
      </c>
      <c r="J7" s="214" t="str">
        <f>+'7'!J7</f>
        <v>F 12 VP OW</v>
      </c>
      <c r="K7" s="238"/>
      <c r="L7" s="242"/>
      <c r="M7" s="117">
        <f>+K7+'7'!M7+L7</f>
        <v>100576</v>
      </c>
    </row>
    <row r="8" spans="1:13" ht="13.5" thickBot="1">
      <c r="A8" s="766"/>
      <c r="B8" s="215"/>
      <c r="C8" s="216"/>
      <c r="D8" s="217"/>
      <c r="E8" s="219"/>
      <c r="F8" s="231"/>
      <c r="G8" s="560" t="s">
        <v>12</v>
      </c>
      <c r="H8" s="230" t="s">
        <v>432</v>
      </c>
      <c r="I8" s="769"/>
      <c r="J8" s="214" t="str">
        <f>+'7'!J8</f>
        <v>F 13 VP OW</v>
      </c>
      <c r="K8" s="239"/>
      <c r="L8" s="239"/>
      <c r="M8" s="117">
        <f>+K8+'7'!M8+L8</f>
        <v>23228</v>
      </c>
    </row>
    <row r="9" spans="1:13" ht="13.5" thickBot="1">
      <c r="A9" s="766"/>
      <c r="B9" s="215"/>
      <c r="C9" s="216"/>
      <c r="D9" s="217"/>
      <c r="E9" s="220"/>
      <c r="F9" s="228"/>
      <c r="G9" s="560" t="s">
        <v>12</v>
      </c>
      <c r="H9" s="233" t="s">
        <v>405</v>
      </c>
      <c r="I9" s="769"/>
      <c r="J9" s="214" t="str">
        <f>+'7'!J9</f>
        <v>F 14 VP OW</v>
      </c>
      <c r="K9" s="239"/>
      <c r="L9" s="239"/>
      <c r="M9" s="117">
        <f>+K9+'7'!M9+L9</f>
        <v>100560</v>
      </c>
    </row>
    <row r="10" spans="1:13" ht="199.5" customHeight="1" thickBot="1">
      <c r="A10" s="766"/>
      <c r="B10" s="215"/>
      <c r="C10" s="216"/>
      <c r="D10" s="217"/>
      <c r="E10" s="219"/>
      <c r="F10" s="228">
        <v>480</v>
      </c>
      <c r="G10" s="237" t="s">
        <v>506</v>
      </c>
      <c r="H10" s="233" t="s">
        <v>505</v>
      </c>
      <c r="I10" s="769"/>
      <c r="J10" s="214" t="str">
        <f>+'7'!J10</f>
        <v>T 12,5 VP OW</v>
      </c>
      <c r="K10" s="239"/>
      <c r="L10" s="239"/>
      <c r="M10" s="117">
        <f>+K10+'7'!M10+L10</f>
        <v>19885</v>
      </c>
    </row>
    <row r="11" spans="1:13" ht="13.5" thickBot="1">
      <c r="A11" s="766"/>
      <c r="B11" s="215"/>
      <c r="C11" s="216"/>
      <c r="D11" s="217"/>
      <c r="E11" s="219"/>
      <c r="F11" s="228"/>
      <c r="G11" s="232"/>
      <c r="H11" s="233"/>
      <c r="I11" s="769"/>
      <c r="J11" s="214">
        <f>+'7'!J11</f>
        <v>0</v>
      </c>
      <c r="K11" s="239"/>
      <c r="L11" s="239"/>
      <c r="M11" s="117">
        <f>+K11+'7'!M11+L11</f>
        <v>0</v>
      </c>
    </row>
    <row r="12" spans="1:13" ht="13.5" thickBot="1">
      <c r="A12" s="766"/>
      <c r="B12" s="215"/>
      <c r="C12" s="216"/>
      <c r="D12" s="217"/>
      <c r="E12" s="219"/>
      <c r="F12" s="228"/>
      <c r="G12" s="232"/>
      <c r="H12" s="233"/>
      <c r="I12" s="769"/>
      <c r="J12" s="214">
        <f>+'7'!J12</f>
        <v>0</v>
      </c>
      <c r="K12" s="239"/>
      <c r="L12" s="239"/>
      <c r="M12" s="117">
        <f>+K12+'7'!M12+L12</f>
        <v>0</v>
      </c>
    </row>
    <row r="13" spans="1:13" ht="13.5" thickBot="1">
      <c r="A13" s="766"/>
      <c r="B13" s="215"/>
      <c r="C13" s="216"/>
      <c r="D13" s="216"/>
      <c r="E13" s="219"/>
      <c r="F13" s="228"/>
      <c r="G13" s="232"/>
      <c r="H13" s="233"/>
      <c r="I13" s="770"/>
      <c r="J13" s="214">
        <f>+'7'!J13</f>
        <v>0</v>
      </c>
      <c r="K13" s="239"/>
      <c r="L13" s="239"/>
      <c r="M13" s="117">
        <f>+K13+'7'!M13+L13</f>
        <v>0</v>
      </c>
    </row>
    <row r="14" spans="1:13" ht="13.5" thickBot="1">
      <c r="A14" s="767"/>
      <c r="B14" s="165" t="s">
        <v>2</v>
      </c>
      <c r="C14" s="99">
        <f>SUM(C7:C13)</f>
        <v>0</v>
      </c>
      <c r="D14" s="111">
        <f>SUM(D7:D13)</f>
        <v>0</v>
      </c>
      <c r="E14" s="112">
        <f>SUM(E5:E13)</f>
        <v>0</v>
      </c>
      <c r="F14" s="116">
        <f>SUM(F7:F13)</f>
        <v>480</v>
      </c>
      <c r="G14" s="159"/>
      <c r="H14" s="166"/>
      <c r="I14" s="167"/>
      <c r="J14" s="214">
        <f>+'7'!J14</f>
        <v>0</v>
      </c>
      <c r="K14" s="239"/>
      <c r="L14" s="239"/>
      <c r="M14" s="117">
        <f>+K14+'7'!M14+L14</f>
        <v>0</v>
      </c>
    </row>
    <row r="15" spans="1:13" ht="13.5" customHeight="1" thickBot="1">
      <c r="A15" s="765"/>
      <c r="B15" s="165"/>
      <c r="C15" s="113" t="e">
        <f>C14/($C$23+$D$23+$E$23)</f>
        <v>#DIV/0!</v>
      </c>
      <c r="D15" s="114" t="e">
        <f>D14/($C$23+$D$23+$E$23)</f>
        <v>#DIV/0!</v>
      </c>
      <c r="E15" s="115" t="e">
        <f>E14/($C$23+$D$23+$E$23)</f>
        <v>#DIV/0!</v>
      </c>
      <c r="F15" s="228"/>
      <c r="G15" s="229" t="s">
        <v>12</v>
      </c>
      <c r="H15" s="230" t="s">
        <v>466</v>
      </c>
      <c r="I15" s="768" t="s">
        <v>424</v>
      </c>
      <c r="J15" s="214">
        <f>+'7'!J15</f>
        <v>0</v>
      </c>
      <c r="K15" s="239"/>
      <c r="L15" s="239"/>
      <c r="M15" s="117">
        <f>+K15+'7'!M15+L15</f>
        <v>0</v>
      </c>
    </row>
    <row r="16" spans="1:13" ht="13.5" thickBot="1">
      <c r="A16" s="771"/>
      <c r="B16" s="215"/>
      <c r="C16" s="222"/>
      <c r="D16" s="223"/>
      <c r="E16" s="224"/>
      <c r="F16" s="231"/>
      <c r="G16" s="560" t="s">
        <v>12</v>
      </c>
      <c r="H16" s="230" t="s">
        <v>432</v>
      </c>
      <c r="I16" s="769"/>
      <c r="J16" s="214">
        <f>+'7'!J16</f>
        <v>0</v>
      </c>
      <c r="K16" s="229"/>
      <c r="L16" s="229"/>
      <c r="M16" s="117">
        <f>+K16+'7'!M16+L16</f>
        <v>0</v>
      </c>
    </row>
    <row r="17" spans="1:18" ht="13.5" thickBot="1">
      <c r="A17" s="771"/>
      <c r="B17" s="215"/>
      <c r="C17" s="216"/>
      <c r="D17" s="217"/>
      <c r="E17" s="225"/>
      <c r="F17" s="228"/>
      <c r="G17" s="560" t="s">
        <v>12</v>
      </c>
      <c r="H17" s="233" t="s">
        <v>405</v>
      </c>
      <c r="I17" s="769"/>
      <c r="J17" s="214">
        <f>+'7'!J17</f>
        <v>0</v>
      </c>
      <c r="K17" s="229"/>
      <c r="L17" s="229"/>
      <c r="M17" s="117">
        <f>+K17+'7'!M17+L17</f>
        <v>0</v>
      </c>
    </row>
    <row r="18" spans="1:18" ht="115.5" thickBot="1">
      <c r="A18" s="771"/>
      <c r="B18" s="215"/>
      <c r="C18" s="216"/>
      <c r="D18" s="217"/>
      <c r="E18" s="225"/>
      <c r="F18" s="228">
        <v>480</v>
      </c>
      <c r="G18" s="237" t="s">
        <v>506</v>
      </c>
      <c r="H18" s="233" t="s">
        <v>504</v>
      </c>
      <c r="I18" s="769"/>
      <c r="J18" s="214">
        <f>+'7'!J18</f>
        <v>0</v>
      </c>
      <c r="K18" s="239"/>
      <c r="L18" s="239"/>
      <c r="M18" s="117">
        <f>+K18+'7'!M18+L18</f>
        <v>0</v>
      </c>
      <c r="P18" s="176"/>
      <c r="Q18" s="176"/>
      <c r="R18" s="176"/>
    </row>
    <row r="19" spans="1:18" ht="13.5" thickBot="1">
      <c r="A19" s="771"/>
      <c r="B19" s="215"/>
      <c r="C19" s="216"/>
      <c r="D19" s="217"/>
      <c r="E19" s="225"/>
      <c r="F19" s="235"/>
      <c r="G19" s="232"/>
      <c r="H19" s="233"/>
      <c r="I19" s="769"/>
      <c r="J19" s="214">
        <f>+'7'!J19</f>
        <v>0</v>
      </c>
      <c r="K19" s="239"/>
      <c r="L19" s="239"/>
      <c r="M19" s="117">
        <f>+K19+'7'!M19+L19</f>
        <v>0</v>
      </c>
      <c r="Q19" s="176"/>
      <c r="R19" s="176"/>
    </row>
    <row r="20" spans="1:18" ht="13.5" thickBot="1">
      <c r="A20" s="771"/>
      <c r="B20" s="215"/>
      <c r="C20" s="216"/>
      <c r="D20" s="217"/>
      <c r="E20" s="225"/>
      <c r="F20" s="228"/>
      <c r="G20" s="232"/>
      <c r="H20" s="233"/>
      <c r="I20" s="769"/>
      <c r="J20" s="214">
        <f>+'7'!J20</f>
        <v>0</v>
      </c>
      <c r="K20" s="240"/>
      <c r="L20" s="240"/>
      <c r="M20" s="117">
        <f>+K20+'7'!M20+L20</f>
        <v>0</v>
      </c>
    </row>
    <row r="21" spans="1:18" ht="13.5" thickBot="1">
      <c r="A21" s="771"/>
      <c r="B21" s="215"/>
      <c r="C21" s="216"/>
      <c r="D21" s="217"/>
      <c r="E21" s="225"/>
      <c r="F21" s="231"/>
      <c r="G21" s="232"/>
      <c r="H21" s="233"/>
      <c r="I21" s="769"/>
      <c r="J21" s="214">
        <f>+'7'!J21</f>
        <v>0</v>
      </c>
      <c r="K21" s="239"/>
      <c r="L21" s="239"/>
      <c r="M21" s="117">
        <f>+K21+'7'!M21+L21</f>
        <v>0</v>
      </c>
    </row>
    <row r="22" spans="1:18" ht="13.5" thickBot="1">
      <c r="A22" s="771"/>
      <c r="B22" s="215"/>
      <c r="C22" s="216"/>
      <c r="D22" s="217"/>
      <c r="E22" s="225"/>
      <c r="F22" s="236"/>
      <c r="G22" s="232"/>
      <c r="H22" s="233"/>
      <c r="I22" s="770"/>
      <c r="J22" s="214">
        <f>+'7'!J22</f>
        <v>0</v>
      </c>
      <c r="K22" s="239"/>
      <c r="L22" s="239"/>
      <c r="M22" s="117">
        <f>+K22+'7'!M22+L22</f>
        <v>0</v>
      </c>
    </row>
    <row r="23" spans="1:18" ht="13.5" thickBot="1">
      <c r="A23" s="772"/>
      <c r="B23" s="168" t="s">
        <v>2</v>
      </c>
      <c r="C23" s="100">
        <f>SUM(C16:C22)</f>
        <v>0</v>
      </c>
      <c r="D23" s="111">
        <f>SUM(D16:D22)</f>
        <v>0</v>
      </c>
      <c r="E23" s="112">
        <f>SUM(E18:E22)</f>
        <v>0</v>
      </c>
      <c r="F23" s="116">
        <f>SUM(F15:F22)</f>
        <v>480</v>
      </c>
      <c r="G23" s="159"/>
      <c r="H23" s="166"/>
      <c r="I23" s="169"/>
      <c r="J23" s="214">
        <f>+'7'!J23</f>
        <v>0</v>
      </c>
      <c r="K23" s="239"/>
      <c r="L23" s="239"/>
      <c r="M23" s="117">
        <f>+K23+'7'!M23+L23</f>
        <v>0</v>
      </c>
    </row>
    <row r="24" spans="1:18" ht="13.5" customHeight="1" thickBot="1">
      <c r="A24" s="765"/>
      <c r="B24" s="170"/>
      <c r="C24" s="113" t="e">
        <f>C23/($C$23+$D$23+$E$23)</f>
        <v>#DIV/0!</v>
      </c>
      <c r="D24" s="114" t="e">
        <f>D23/($C$23+$D$23+$E$23)</f>
        <v>#DIV/0!</v>
      </c>
      <c r="E24" s="115" t="e">
        <f>E23/($C$23+$D$23+$E$23)</f>
        <v>#DIV/0!</v>
      </c>
      <c r="F24" s="228"/>
      <c r="G24" s="229" t="s">
        <v>12</v>
      </c>
      <c r="H24" s="230" t="s">
        <v>466</v>
      </c>
      <c r="I24" s="768" t="s">
        <v>424</v>
      </c>
      <c r="J24" s="214">
        <f>+'7'!J24</f>
        <v>0</v>
      </c>
      <c r="K24" s="239"/>
      <c r="L24" s="239"/>
      <c r="M24" s="117">
        <f>+K24+'7'!M24+L24</f>
        <v>0</v>
      </c>
    </row>
    <row r="25" spans="1:18" ht="13.5" thickBot="1">
      <c r="A25" s="771"/>
      <c r="B25" s="215"/>
      <c r="C25" s="226"/>
      <c r="D25" s="217"/>
      <c r="E25" s="225"/>
      <c r="F25" s="231"/>
      <c r="G25" s="560" t="s">
        <v>12</v>
      </c>
      <c r="H25" s="230" t="s">
        <v>432</v>
      </c>
      <c r="I25" s="769"/>
      <c r="J25" s="214">
        <f>+'7'!J25</f>
        <v>0</v>
      </c>
      <c r="K25" s="239"/>
      <c r="L25" s="239"/>
      <c r="M25" s="117">
        <f>+K25+'7'!M25+L25</f>
        <v>0</v>
      </c>
    </row>
    <row r="26" spans="1:18" ht="13.5" thickBot="1">
      <c r="A26" s="771"/>
      <c r="B26" s="215"/>
      <c r="C26" s="226"/>
      <c r="D26" s="217"/>
      <c r="E26" s="227"/>
      <c r="F26" s="228"/>
      <c r="G26" s="560" t="s">
        <v>12</v>
      </c>
      <c r="H26" s="233" t="s">
        <v>405</v>
      </c>
      <c r="I26" s="769"/>
      <c r="J26" s="214">
        <f>+'7'!J26</f>
        <v>0</v>
      </c>
      <c r="K26" s="239"/>
      <c r="L26" s="239"/>
      <c r="M26" s="117">
        <f>+K26+'7'!M26+L26</f>
        <v>0</v>
      </c>
    </row>
    <row r="27" spans="1:18" ht="102.75" thickBot="1">
      <c r="A27" s="771"/>
      <c r="B27" s="215"/>
      <c r="C27" s="216"/>
      <c r="D27" s="217"/>
      <c r="E27" s="225"/>
      <c r="F27" s="228">
        <v>480</v>
      </c>
      <c r="G27" s="237" t="s">
        <v>506</v>
      </c>
      <c r="H27" s="233" t="s">
        <v>503</v>
      </c>
      <c r="I27" s="769"/>
      <c r="J27" s="214">
        <f>+'7'!J27</f>
        <v>0</v>
      </c>
      <c r="K27" s="239"/>
      <c r="L27" s="239"/>
      <c r="M27" s="117">
        <f>+K27+'7'!M27+L27</f>
        <v>0</v>
      </c>
    </row>
    <row r="28" spans="1:18" ht="13.5" thickBot="1">
      <c r="A28" s="771"/>
      <c r="B28" s="215"/>
      <c r="C28" s="216"/>
      <c r="D28" s="217"/>
      <c r="E28" s="225"/>
      <c r="F28" s="231"/>
      <c r="G28" s="232"/>
      <c r="H28" s="233"/>
      <c r="I28" s="769"/>
      <c r="J28" s="214">
        <f>+'7'!J28</f>
        <v>0</v>
      </c>
      <c r="K28" s="239"/>
      <c r="L28" s="239"/>
      <c r="M28" s="117">
        <f>+K28+'7'!M28+L28</f>
        <v>0</v>
      </c>
      <c r="P28" s="176"/>
      <c r="Q28" s="176"/>
      <c r="R28" s="176"/>
    </row>
    <row r="29" spans="1:18" ht="13.5" thickBot="1">
      <c r="A29" s="771"/>
      <c r="B29" s="215"/>
      <c r="C29" s="216"/>
      <c r="D29" s="217"/>
      <c r="E29" s="225"/>
      <c r="F29" s="236"/>
      <c r="G29" s="232"/>
      <c r="H29" s="233"/>
      <c r="I29" s="769"/>
      <c r="J29" s="214">
        <f>+'7'!J29</f>
        <v>0</v>
      </c>
      <c r="K29" s="239"/>
      <c r="L29" s="239"/>
      <c r="M29" s="117">
        <f>+K29+'7'!M29+L29</f>
        <v>0</v>
      </c>
      <c r="Q29" s="176"/>
      <c r="R29" s="176"/>
    </row>
    <row r="30" spans="1:18" ht="13.5" thickBot="1">
      <c r="A30" s="771"/>
      <c r="B30" s="215"/>
      <c r="C30" s="226"/>
      <c r="D30" s="217"/>
      <c r="E30" s="225"/>
      <c r="F30" s="236"/>
      <c r="G30" s="232"/>
      <c r="H30" s="233"/>
      <c r="I30" s="769"/>
      <c r="J30" s="214">
        <f>+'7'!J30</f>
        <v>0</v>
      </c>
      <c r="K30" s="239"/>
      <c r="L30" s="239"/>
      <c r="M30" s="117">
        <f>+K30+'7'!M30+L30</f>
        <v>0</v>
      </c>
    </row>
    <row r="31" spans="1:18" ht="13.5" thickBot="1">
      <c r="A31" s="771"/>
      <c r="B31" s="215"/>
      <c r="C31" s="226"/>
      <c r="D31" s="217"/>
      <c r="E31" s="225"/>
      <c r="F31" s="236"/>
      <c r="G31" s="237"/>
      <c r="H31" s="445"/>
      <c r="I31" s="770"/>
      <c r="J31" s="214">
        <f>+'7'!J31</f>
        <v>0</v>
      </c>
      <c r="K31" s="239"/>
      <c r="L31" s="239"/>
      <c r="M31" s="117">
        <f>+K31+'7'!M31+L31</f>
        <v>0</v>
      </c>
    </row>
    <row r="32" spans="1:18" ht="13.5" thickBot="1">
      <c r="A32" s="772"/>
      <c r="B32" s="165" t="s">
        <v>2</v>
      </c>
      <c r="C32" s="99">
        <f>SUM(C25:C31)</f>
        <v>0</v>
      </c>
      <c r="D32" s="100">
        <f>SUM(D25:D31)</f>
        <v>0</v>
      </c>
      <c r="E32" s="101">
        <f>SUM(E25:E31)</f>
        <v>0</v>
      </c>
      <c r="F32" s="102">
        <f>SUM(F24:F31)</f>
        <v>480</v>
      </c>
      <c r="G32" s="171"/>
      <c r="H32" s="172"/>
      <c r="I32" s="169"/>
      <c r="J32" s="214">
        <f>+'7'!J32</f>
        <v>0</v>
      </c>
      <c r="K32" s="241"/>
      <c r="L32" s="243"/>
      <c r="M32" s="117">
        <f>+K32+'7'!M32+L32</f>
        <v>0</v>
      </c>
    </row>
    <row r="33" spans="1:13" ht="13.5" thickBot="1">
      <c r="A33" s="173"/>
      <c r="B33" s="174"/>
      <c r="C33" s="103" t="e">
        <f>C32/($C$32+$D$32+$E$32)</f>
        <v>#DIV/0!</v>
      </c>
      <c r="D33" s="104" t="e">
        <f>D32/($C$32+$D$32+$E$32)</f>
        <v>#DIV/0!</v>
      </c>
      <c r="E33" s="105" t="e">
        <f>E32/($C$32+$D$32+$E$32)</f>
        <v>#DIV/0!</v>
      </c>
      <c r="F33" s="106"/>
      <c r="G33" s="175"/>
      <c r="H33" s="176"/>
      <c r="I33" s="177"/>
      <c r="J33" s="121"/>
      <c r="K33" s="122"/>
      <c r="L33" s="213"/>
      <c r="M33" s="119"/>
    </row>
    <row r="34" spans="1:13" ht="13.5" thickBot="1">
      <c r="A34" s="761" t="s">
        <v>57</v>
      </c>
      <c r="B34" s="762"/>
      <c r="C34" s="107">
        <f>C14+C23+C32</f>
        <v>0</v>
      </c>
      <c r="D34" s="107">
        <f>D14+D23+D32</f>
        <v>0</v>
      </c>
      <c r="E34" s="107">
        <f>E14+E23+E32</f>
        <v>0</v>
      </c>
      <c r="F34" s="108">
        <f>F14+F23+F32</f>
        <v>1440</v>
      </c>
      <c r="H34" s="178"/>
      <c r="I34" s="178"/>
      <c r="J34" s="123" t="s">
        <v>28</v>
      </c>
      <c r="K34" s="124">
        <f>SUM(K7:K32)</f>
        <v>0</v>
      </c>
      <c r="L34" s="212">
        <f>SUM(L7:L32)</f>
        <v>0</v>
      </c>
      <c r="M34" s="120">
        <f>SUM(M7:M32)</f>
        <v>244249</v>
      </c>
    </row>
    <row r="35" spans="1:13" ht="13.5" thickBot="1">
      <c r="A35" s="179"/>
      <c r="B35" s="180"/>
      <c r="C35" s="104" t="e">
        <f>C34/($C$34+$D$34+$E$34)</f>
        <v>#DIV/0!</v>
      </c>
      <c r="D35" s="104" t="e">
        <f>D34/($C$34+$D$34+$E$34)</f>
        <v>#DIV/0!</v>
      </c>
      <c r="E35" s="109" t="e">
        <f>E34/($C$34+$D$34+$E$34)</f>
        <v>#DIV/0!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573" t="e">
        <f>(12*0)/0*G42*2.74*0/1000000</f>
        <v>#DIV/0!</v>
      </c>
      <c r="J37" s="125" t="e">
        <f>+I37+'7'!J37</f>
        <v>#DIV/0!</v>
      </c>
      <c r="K37" s="126" t="s">
        <v>63</v>
      </c>
    </row>
    <row r="38" spans="1:13" ht="17.45" customHeight="1">
      <c r="A38" s="755" t="s">
        <v>12</v>
      </c>
      <c r="B38" s="756"/>
      <c r="C38" s="164">
        <f>SUMIF($G$7:$G$31,"Process",$F$7:$F$31)</f>
        <v>0</v>
      </c>
      <c r="D38" s="118">
        <f>+C38+'7'!D38</f>
        <v>484</v>
      </c>
      <c r="E38" s="143">
        <f t="shared" ref="E38:E51" si="0">D38/60</f>
        <v>8.0666666666666664</v>
      </c>
      <c r="F38" s="322"/>
      <c r="G38" s="322"/>
      <c r="H38" s="187" t="s">
        <v>64</v>
      </c>
      <c r="I38" s="245"/>
      <c r="J38" s="127">
        <f>+I38+'7'!J38</f>
        <v>263.34260000000006</v>
      </c>
      <c r="K38" s="128" t="s">
        <v>63</v>
      </c>
    </row>
    <row r="39" spans="1:13" ht="17.45" customHeight="1">
      <c r="A39" s="759" t="s">
        <v>13</v>
      </c>
      <c r="B39" s="760"/>
      <c r="C39" s="164">
        <f>SUMIF($G$7:$G$31,"Cleaning",$F$7:$F$31)</f>
        <v>0</v>
      </c>
      <c r="D39" s="118">
        <f>+C39+'7'!D39</f>
        <v>0</v>
      </c>
      <c r="E39" s="143">
        <f t="shared" si="0"/>
        <v>0</v>
      </c>
      <c r="F39" s="322"/>
      <c r="G39" s="322"/>
      <c r="H39" s="187" t="s">
        <v>65</v>
      </c>
      <c r="I39" s="142"/>
      <c r="J39" s="129" t="e">
        <f>J37/G4</f>
        <v>#DIV/0!</v>
      </c>
      <c r="K39" s="130" t="s">
        <v>63</v>
      </c>
    </row>
    <row r="40" spans="1:13" ht="17.45" customHeight="1">
      <c r="A40" s="759" t="s">
        <v>66</v>
      </c>
      <c r="B40" s="760"/>
      <c r="C40" s="164">
        <f>SUMIF($G$7:$G$31,"Mechanical",$F$7:$F$31)</f>
        <v>0</v>
      </c>
      <c r="D40" s="118">
        <f>+C40+'7'!D40</f>
        <v>0</v>
      </c>
      <c r="E40" s="143">
        <f t="shared" si="0"/>
        <v>0</v>
      </c>
      <c r="F40" s="322"/>
      <c r="G40" s="322"/>
      <c r="H40" s="187" t="s">
        <v>67</v>
      </c>
      <c r="I40" s="118">
        <f>(K34+L34)/1000</f>
        <v>0</v>
      </c>
      <c r="J40" s="131">
        <f>+I40+'7'!J40</f>
        <v>244.249</v>
      </c>
      <c r="K40" s="130" t="s">
        <v>63</v>
      </c>
    </row>
    <row r="41" spans="1:13" ht="17.45" customHeight="1">
      <c r="A41" s="759" t="s">
        <v>68</v>
      </c>
      <c r="B41" s="760"/>
      <c r="C41" s="164">
        <f>SUMIF($G$7:$G$31,"Electrical",$F$7:$F$31)</f>
        <v>0</v>
      </c>
      <c r="D41" s="118">
        <f>+C41+'7'!D41</f>
        <v>515</v>
      </c>
      <c r="E41" s="143">
        <f t="shared" si="0"/>
        <v>8.5833333333333339</v>
      </c>
      <c r="F41" s="322"/>
      <c r="G41" s="322"/>
      <c r="H41" s="187" t="s">
        <v>69</v>
      </c>
      <c r="I41" s="142"/>
      <c r="J41" s="129">
        <f>J40/G4</f>
        <v>30.531124999999999</v>
      </c>
      <c r="K41" s="130" t="s">
        <v>63</v>
      </c>
    </row>
    <row r="42" spans="1:13" ht="17.45" customHeight="1">
      <c r="A42" s="759" t="s">
        <v>16</v>
      </c>
      <c r="B42" s="760"/>
      <c r="C42" s="164">
        <f>SUMIF($G$7:$G$31,"Instrument",$F$7:$F$31)</f>
        <v>0</v>
      </c>
      <c r="D42" s="118">
        <f>+C42+'7'!D42</f>
        <v>0</v>
      </c>
      <c r="E42" s="143">
        <f t="shared" si="0"/>
        <v>0</v>
      </c>
      <c r="F42" s="322">
        <f>+(480*F38+480*F39+480*F40)/1440</f>
        <v>0</v>
      </c>
      <c r="G42" s="322">
        <f>+(480*G38+480*G39+480*G40)/1440</f>
        <v>0</v>
      </c>
      <c r="H42" s="187" t="s">
        <v>70</v>
      </c>
      <c r="I42" s="246"/>
      <c r="J42" s="132"/>
      <c r="K42" s="130" t="s">
        <v>71</v>
      </c>
    </row>
    <row r="43" spans="1:13" ht="17.45" customHeight="1">
      <c r="A43" s="759" t="s">
        <v>223</v>
      </c>
      <c r="B43" s="760"/>
      <c r="C43" s="164">
        <f>SUMIF($G$7:$G$31,"Change Grade",$F$7:$F$31)</f>
        <v>0</v>
      </c>
      <c r="D43" s="118">
        <f>+C43+'7'!D43</f>
        <v>0</v>
      </c>
      <c r="E43" s="143">
        <f t="shared" si="0"/>
        <v>0</v>
      </c>
      <c r="F43" s="322"/>
      <c r="G43" s="323"/>
      <c r="H43" s="188" t="s">
        <v>73</v>
      </c>
      <c r="I43" s="118">
        <f>+Report1!Z16</f>
        <v>15.8</v>
      </c>
      <c r="J43" s="133">
        <f>+I43+'7'!J43</f>
        <v>410.1</v>
      </c>
      <c r="K43" s="130" t="s">
        <v>63</v>
      </c>
      <c r="L43" s="189"/>
    </row>
    <row r="44" spans="1:13" ht="17.45" customHeight="1">
      <c r="A44" s="759" t="s">
        <v>17</v>
      </c>
      <c r="B44" s="760"/>
      <c r="C44" s="164">
        <f>SUMIF($G$7:$G$31,"PLN",$F$7:$F$31)</f>
        <v>0</v>
      </c>
      <c r="D44" s="118">
        <f>+C44+'7'!D44</f>
        <v>0</v>
      </c>
      <c r="E44" s="143">
        <f t="shared" si="0"/>
        <v>0</v>
      </c>
      <c r="F44" s="322"/>
      <c r="G44" s="323"/>
      <c r="H44" s="188" t="s">
        <v>74</v>
      </c>
      <c r="I44" s="118" t="e">
        <f>I43/I38</f>
        <v>#DIV/0!</v>
      </c>
      <c r="J44" s="134">
        <f>J43/J38</f>
        <v>1.5572869714204991</v>
      </c>
      <c r="K44" s="130" t="s">
        <v>63</v>
      </c>
    </row>
    <row r="45" spans="1:13" ht="17.45" customHeight="1">
      <c r="A45" s="759" t="s">
        <v>18</v>
      </c>
      <c r="B45" s="760"/>
      <c r="C45" s="164">
        <f>SUMIF($G$7:$G$31,"Boiler",$F$7:$F$31)</f>
        <v>0</v>
      </c>
      <c r="D45" s="118">
        <f>+C45+'7'!D45</f>
        <v>0</v>
      </c>
      <c r="E45" s="143">
        <f t="shared" si="0"/>
        <v>0</v>
      </c>
      <c r="F45" s="322"/>
      <c r="G45" s="325"/>
      <c r="H45" s="188" t="s">
        <v>75</v>
      </c>
      <c r="I45" s="118" t="e">
        <f>I43/I40</f>
        <v>#DIV/0!</v>
      </c>
      <c r="J45" s="134">
        <f>J43/J40</f>
        <v>1.6790242744084931</v>
      </c>
      <c r="K45" s="130" t="s">
        <v>63</v>
      </c>
    </row>
    <row r="46" spans="1:13" ht="17.45" customHeight="1">
      <c r="A46" s="759" t="s">
        <v>76</v>
      </c>
      <c r="B46" s="760"/>
      <c r="C46" s="164">
        <f>SUMIF($G$7:$G$31,"Gas",$F$7:$F$31)</f>
        <v>0</v>
      </c>
      <c r="D46" s="118">
        <f>+C46+'7'!D46</f>
        <v>0</v>
      </c>
      <c r="E46" s="143">
        <f t="shared" si="0"/>
        <v>0</v>
      </c>
      <c r="F46" s="322"/>
      <c r="G46" s="323"/>
      <c r="H46" s="188" t="s">
        <v>77</v>
      </c>
      <c r="I46" s="140">
        <f>+SUMIF(Listrik!P15,"&gt;0")</f>
        <v>6737.7000000007283</v>
      </c>
      <c r="J46" s="135">
        <f>+I46+'7'!J46</f>
        <v>242428.26000000074</v>
      </c>
      <c r="K46" s="130" t="s">
        <v>78</v>
      </c>
    </row>
    <row r="47" spans="1:13" ht="17.45" customHeight="1">
      <c r="A47" s="759" t="s">
        <v>79</v>
      </c>
      <c r="B47" s="760"/>
      <c r="C47" s="164">
        <f>SUMIF($G$7:$G$31,"Gas",$F$7:$F$31)</f>
        <v>0</v>
      </c>
      <c r="D47" s="118">
        <f>+C47+'7'!D47</f>
        <v>0</v>
      </c>
      <c r="E47" s="143">
        <f t="shared" si="0"/>
        <v>0</v>
      </c>
      <c r="F47" s="322"/>
      <c r="G47" s="323"/>
      <c r="H47" s="188" t="s">
        <v>80</v>
      </c>
      <c r="I47" s="118" t="e">
        <f>I46/I38</f>
        <v>#DIV/0!</v>
      </c>
      <c r="J47" s="135">
        <f>J46/J38</f>
        <v>920.58125043194946</v>
      </c>
      <c r="K47" s="130" t="s">
        <v>24</v>
      </c>
    </row>
    <row r="48" spans="1:13" ht="17.45" customHeight="1">
      <c r="A48" s="759" t="s">
        <v>14</v>
      </c>
      <c r="B48" s="760"/>
      <c r="C48" s="164">
        <f>SUMIF($G$7:$G$31,"Start Up",$F$7:$F$31)</f>
        <v>0</v>
      </c>
      <c r="D48" s="118">
        <f>+C48+'7'!D48</f>
        <v>0</v>
      </c>
      <c r="E48" s="143">
        <f t="shared" si="0"/>
        <v>0</v>
      </c>
      <c r="F48" s="322"/>
      <c r="G48" s="323"/>
      <c r="H48" s="188" t="s">
        <v>81</v>
      </c>
      <c r="I48" s="118" t="e">
        <f>I46/I40</f>
        <v>#DIV/0!</v>
      </c>
      <c r="J48" s="135">
        <f>J46/J40</f>
        <v>992.54555801661718</v>
      </c>
      <c r="K48" s="130" t="s">
        <v>24</v>
      </c>
    </row>
    <row r="49" spans="1:11" ht="17.45" customHeight="1">
      <c r="A49" s="759" t="s">
        <v>20</v>
      </c>
      <c r="B49" s="760"/>
      <c r="C49" s="164">
        <f>SUMIF($G$7:$G$31,"Others",$F$7:$F$31)</f>
        <v>0</v>
      </c>
      <c r="D49" s="118">
        <f>+C49+'7'!D49</f>
        <v>0</v>
      </c>
      <c r="E49" s="143">
        <f t="shared" si="0"/>
        <v>0</v>
      </c>
      <c r="F49" s="185"/>
      <c r="H49" s="188" t="s">
        <v>271</v>
      </c>
      <c r="I49" s="118">
        <f>+Report1!T16</f>
        <v>288.79703992096023</v>
      </c>
      <c r="J49" s="135">
        <f>+I49+'7'!J49</f>
        <v>24534.273604977378</v>
      </c>
      <c r="K49" s="130" t="s">
        <v>82</v>
      </c>
    </row>
    <row r="50" spans="1:11" ht="17.45" customHeight="1">
      <c r="A50" s="759" t="s">
        <v>19</v>
      </c>
      <c r="B50" s="760"/>
      <c r="C50" s="164">
        <f>SUMIF($G$7:$G$31,"Steam",$F$7:$F$31)</f>
        <v>0</v>
      </c>
      <c r="D50" s="118">
        <f>+C50+'7'!D50</f>
        <v>0</v>
      </c>
      <c r="E50" s="143">
        <f t="shared" si="0"/>
        <v>0</v>
      </c>
      <c r="F50" s="185"/>
      <c r="H50" s="188" t="s">
        <v>83</v>
      </c>
      <c r="I50" s="140" t="e">
        <f>I49/I38</f>
        <v>#DIV/0!</v>
      </c>
      <c r="J50" s="133">
        <f>J49/J38</f>
        <v>93.16484915458939</v>
      </c>
      <c r="K50" s="130" t="s">
        <v>82</v>
      </c>
    </row>
    <row r="51" spans="1:11" ht="17.45" customHeight="1" thickBot="1">
      <c r="A51" s="753" t="s">
        <v>84</v>
      </c>
      <c r="B51" s="754"/>
      <c r="C51" s="164">
        <f>SUMIF($G$7:$G$31,"Planned shut",$F$7:$F$31)</f>
        <v>1440</v>
      </c>
      <c r="D51" s="118">
        <f>+C51+'7'!D51</f>
        <v>1555</v>
      </c>
      <c r="E51" s="143">
        <f t="shared" si="0"/>
        <v>25.916666666666668</v>
      </c>
      <c r="F51" s="185"/>
      <c r="H51" s="190" t="s">
        <v>85</v>
      </c>
      <c r="I51" s="141" t="e">
        <f>I49/I40</f>
        <v>#DIV/0!</v>
      </c>
      <c r="J51" s="136">
        <f>J49/J40</f>
        <v>100.44779550777027</v>
      </c>
      <c r="K51" s="137" t="s">
        <v>82</v>
      </c>
    </row>
    <row r="52" spans="1:11" ht="13.5" thickBot="1">
      <c r="A52" s="755" t="s">
        <v>28</v>
      </c>
      <c r="B52" s="756"/>
      <c r="C52" s="144">
        <f>SUM(C38:C51)</f>
        <v>1440</v>
      </c>
      <c r="D52" s="144">
        <f>SUM(D38:D51)</f>
        <v>2554</v>
      </c>
      <c r="E52" s="145">
        <f>SUM(E38:E51)</f>
        <v>42.566666666666663</v>
      </c>
      <c r="F52" s="185"/>
      <c r="H52" s="191"/>
      <c r="I52" s="192"/>
      <c r="J52" s="138"/>
      <c r="K52" s="139"/>
    </row>
    <row r="53" spans="1:11" ht="13.5" thickBot="1">
      <c r="A53" s="757"/>
      <c r="B53" s="758"/>
      <c r="C53" s="146">
        <f>C52/(24*60)</f>
        <v>1</v>
      </c>
      <c r="D53" s="146">
        <f>D52/(24*60*G4)</f>
        <v>0.22170138888888888</v>
      </c>
      <c r="E53" s="147">
        <f>E52/(G4*24)</f>
        <v>0.22170138888888888</v>
      </c>
      <c r="F53" s="185"/>
    </row>
    <row r="54" spans="1:11">
      <c r="E54" s="193"/>
      <c r="F54" s="185"/>
    </row>
    <row r="55" spans="1:11">
      <c r="E55" s="193"/>
    </row>
    <row r="56" spans="1:11">
      <c r="A56" s="194" t="s">
        <v>86</v>
      </c>
      <c r="B56" s="195"/>
      <c r="C56" s="196"/>
      <c r="D56" s="196"/>
      <c r="E56" s="196"/>
      <c r="F56" s="197"/>
      <c r="G56" s="196"/>
      <c r="H56" s="198"/>
      <c r="I56" s="199" t="s">
        <v>87</v>
      </c>
      <c r="J56" s="200">
        <f>+D34+'7'!J56</f>
        <v>1670</v>
      </c>
      <c r="K56" s="201">
        <f>J56/(J40+J56/1000)/1000</f>
        <v>6.7908538990480612E-3</v>
      </c>
    </row>
    <row r="57" spans="1:11">
      <c r="A57" s="176"/>
      <c r="I57" s="199" t="s">
        <v>88</v>
      </c>
      <c r="J57" s="200">
        <f>+E34+'7'!J57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3:B53"/>
    <mergeCell ref="A37:B37"/>
    <mergeCell ref="A48:B48"/>
    <mergeCell ref="A50:B50"/>
    <mergeCell ref="A49:B49"/>
    <mergeCell ref="A52:B52"/>
    <mergeCell ref="A51:B51"/>
    <mergeCell ref="A46:B46"/>
    <mergeCell ref="A47:B47"/>
    <mergeCell ref="A42:B42"/>
    <mergeCell ref="A43:B43"/>
    <mergeCell ref="A45:B45"/>
    <mergeCell ref="A40:B40"/>
    <mergeCell ref="A41:B41"/>
    <mergeCell ref="A44:B44"/>
    <mergeCell ref="A34:B34"/>
    <mergeCell ref="A38:B38"/>
    <mergeCell ref="A39:B39"/>
    <mergeCell ref="A7:A14"/>
    <mergeCell ref="I7:I13"/>
    <mergeCell ref="A15:A23"/>
    <mergeCell ref="I15:I22"/>
    <mergeCell ref="A24:A32"/>
    <mergeCell ref="I24:I31"/>
  </mergeCells>
  <phoneticPr fontId="32"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F1" zoomScale="80" zoomScaleNormal="75" zoomScaleSheetLayoutView="80" workbookViewId="0">
      <selection activeCell="N6" sqref="N6:S15"/>
    </sheetView>
  </sheetViews>
  <sheetFormatPr defaultColWidth="9.140625" defaultRowHeight="12.75"/>
  <cols>
    <col min="1" max="1" width="8" style="149" customWidth="1"/>
    <col min="2" max="2" width="7" style="149" bestFit="1" customWidth="1"/>
    <col min="3" max="3" width="14.85546875" style="149" bestFit="1" customWidth="1"/>
    <col min="4" max="4" width="12.710937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3.28515625" style="149" bestFit="1" customWidth="1"/>
    <col min="12" max="12" width="12" style="149" bestFit="1" customWidth="1"/>
    <col min="13" max="13" width="15.5703125" style="149" bestFit="1" customWidth="1"/>
    <col min="14" max="16384" width="9.140625" style="149"/>
  </cols>
  <sheetData>
    <row r="1" spans="1:26" ht="15.75">
      <c r="A1" s="148"/>
    </row>
    <row r="2" spans="1:26" ht="15.75">
      <c r="A2" s="148" t="s">
        <v>185</v>
      </c>
    </row>
    <row r="3" spans="1:26" ht="15">
      <c r="A3" s="150"/>
    </row>
    <row r="4" spans="1:26" ht="20.25">
      <c r="A4" s="151" t="s">
        <v>3</v>
      </c>
      <c r="B4" s="152"/>
      <c r="F4" s="153" t="s">
        <v>29</v>
      </c>
      <c r="G4" s="154">
        <v>7</v>
      </c>
      <c r="H4" s="154" t="str">
        <f>+'1'!H4</f>
        <v>.9.25</v>
      </c>
      <c r="J4" s="149">
        <f>928+528+505</f>
        <v>1961</v>
      </c>
    </row>
    <row r="5" spans="1:26" ht="13.5" thickBot="1">
      <c r="C5" s="155"/>
      <c r="D5" s="155"/>
    </row>
    <row r="6" spans="1:26"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49" t="s">
        <v>463</v>
      </c>
      <c r="O6" s="149">
        <v>1230</v>
      </c>
      <c r="P6" s="149">
        <f>+O6-(O6*0.25)</f>
        <v>922.5</v>
      </c>
      <c r="Q6" s="149">
        <f>60*4+10</f>
        <v>250</v>
      </c>
      <c r="R6" s="149">
        <f t="shared" ref="R6:R11" si="0">+O6*Q6</f>
        <v>307500</v>
      </c>
      <c r="S6" s="149">
        <f t="shared" ref="S6:S11" si="1">+P6*Q6</f>
        <v>230625</v>
      </c>
      <c r="U6" s="149" t="s">
        <v>486</v>
      </c>
      <c r="V6" s="149">
        <v>1230</v>
      </c>
      <c r="W6" s="149">
        <v>947.09999999999991</v>
      </c>
      <c r="X6" s="149">
        <v>60</v>
      </c>
      <c r="Y6" s="149">
        <f t="shared" ref="Y6:Y11" si="2">+V6*X6</f>
        <v>73800</v>
      </c>
      <c r="Z6" s="149">
        <f t="shared" ref="Z6:Z11" si="3">+W6*X6</f>
        <v>56825.999999999993</v>
      </c>
    </row>
    <row r="7" spans="1:26" ht="13.5" customHeight="1" thickBot="1">
      <c r="A7" s="765"/>
      <c r="B7" s="215" t="s">
        <v>471</v>
      </c>
      <c r="C7" s="216">
        <v>10379</v>
      </c>
      <c r="D7" s="217"/>
      <c r="E7" s="218"/>
      <c r="F7" s="228">
        <v>9</v>
      </c>
      <c r="G7" s="229" t="s">
        <v>12</v>
      </c>
      <c r="H7" s="230" t="s">
        <v>402</v>
      </c>
      <c r="I7" s="768" t="s">
        <v>487</v>
      </c>
      <c r="J7" s="214" t="str">
        <f>+'6'!J7</f>
        <v>F 12 VP OW</v>
      </c>
      <c r="K7" s="238">
        <f>+C8+C16</f>
        <v>4225</v>
      </c>
      <c r="L7" s="242"/>
      <c r="M7" s="117">
        <f>+K7+'6'!M7+L7</f>
        <v>100576</v>
      </c>
      <c r="N7" s="149" t="s">
        <v>389</v>
      </c>
      <c r="O7" s="149">
        <v>1230</v>
      </c>
      <c r="P7" s="149">
        <f>+O7-(O7*0.23)</f>
        <v>947.09999999999991</v>
      </c>
      <c r="Q7" s="149">
        <f>480-Q6-Q8</f>
        <v>170</v>
      </c>
      <c r="R7" s="149">
        <f t="shared" si="0"/>
        <v>209100</v>
      </c>
      <c r="S7" s="149">
        <f t="shared" si="1"/>
        <v>161006.99999999997</v>
      </c>
      <c r="U7" s="149" t="s">
        <v>486</v>
      </c>
      <c r="V7" s="149">
        <v>1230</v>
      </c>
      <c r="W7" s="149">
        <v>947.09999999999991</v>
      </c>
      <c r="X7" s="149">
        <v>237</v>
      </c>
      <c r="Y7" s="149">
        <f t="shared" si="2"/>
        <v>291510</v>
      </c>
      <c r="Z7" s="149">
        <f t="shared" si="3"/>
        <v>224462.69999999998</v>
      </c>
    </row>
    <row r="8" spans="1:26" ht="13.5" thickBot="1">
      <c r="A8" s="766"/>
      <c r="B8" s="215" t="s">
        <v>391</v>
      </c>
      <c r="C8" s="216">
        <v>2400</v>
      </c>
      <c r="D8" s="217"/>
      <c r="E8" s="219"/>
      <c r="F8" s="231"/>
      <c r="G8" s="560" t="s">
        <v>12</v>
      </c>
      <c r="H8" s="230" t="s">
        <v>432</v>
      </c>
      <c r="I8" s="769"/>
      <c r="J8" s="214" t="str">
        <f>+'6'!J8</f>
        <v>F 13 VP OW</v>
      </c>
      <c r="K8" s="239"/>
      <c r="L8" s="239"/>
      <c r="M8" s="117">
        <f>+K8+'6'!M8+L8</f>
        <v>23228</v>
      </c>
      <c r="N8" s="149" t="s">
        <v>486</v>
      </c>
      <c r="O8" s="149">
        <v>1230</v>
      </c>
      <c r="P8" s="149">
        <f>+O8-(O8*0.23)</f>
        <v>947.09999999999991</v>
      </c>
      <c r="Q8" s="149">
        <v>60</v>
      </c>
      <c r="R8" s="149">
        <f t="shared" si="0"/>
        <v>73800</v>
      </c>
      <c r="S8" s="149">
        <f t="shared" si="1"/>
        <v>56825.999999999993</v>
      </c>
      <c r="V8" s="149">
        <v>1180</v>
      </c>
      <c r="W8" s="149">
        <v>908.59999999999991</v>
      </c>
      <c r="X8" s="149">
        <v>123</v>
      </c>
      <c r="Y8" s="149">
        <f t="shared" si="2"/>
        <v>145140</v>
      </c>
      <c r="Z8" s="149">
        <f t="shared" si="3"/>
        <v>111757.79999999999</v>
      </c>
    </row>
    <row r="9" spans="1:26" ht="13.5" thickBot="1">
      <c r="A9" s="766"/>
      <c r="B9" s="215"/>
      <c r="C9" s="216"/>
      <c r="D9" s="217"/>
      <c r="E9" s="220"/>
      <c r="F9" s="228">
        <f>23-9</f>
        <v>14</v>
      </c>
      <c r="G9" s="560" t="s">
        <v>12</v>
      </c>
      <c r="H9" s="233" t="s">
        <v>386</v>
      </c>
      <c r="I9" s="769"/>
      <c r="J9" s="214" t="str">
        <f>+'6'!J9</f>
        <v>F 14 VP OW</v>
      </c>
      <c r="K9" s="239">
        <f>+C7</f>
        <v>10379</v>
      </c>
      <c r="L9" s="239"/>
      <c r="M9" s="117">
        <f>+K9+'6'!M9+L9</f>
        <v>100560</v>
      </c>
      <c r="P9" s="149">
        <f>+O9-(O9*0.2)</f>
        <v>0</v>
      </c>
      <c r="R9" s="149">
        <f t="shared" si="0"/>
        <v>0</v>
      </c>
      <c r="S9" s="149">
        <f t="shared" si="1"/>
        <v>0</v>
      </c>
      <c r="V9" s="149">
        <v>1200</v>
      </c>
      <c r="W9" s="149">
        <v>924</v>
      </c>
      <c r="X9" s="149">
        <v>120</v>
      </c>
      <c r="Y9" s="149">
        <f t="shared" si="2"/>
        <v>144000</v>
      </c>
      <c r="Z9" s="149">
        <f t="shared" si="3"/>
        <v>110880</v>
      </c>
    </row>
    <row r="10" spans="1:26" ht="26.25" thickBot="1">
      <c r="A10" s="766"/>
      <c r="B10" s="215"/>
      <c r="C10" s="216"/>
      <c r="D10" s="217"/>
      <c r="E10" s="219"/>
      <c r="F10" s="228"/>
      <c r="G10" s="237" t="s">
        <v>13</v>
      </c>
      <c r="H10" s="233" t="s">
        <v>485</v>
      </c>
      <c r="I10" s="769"/>
      <c r="J10" s="214" t="s">
        <v>502</v>
      </c>
      <c r="K10" s="239">
        <f>+C17+C25</f>
        <v>19885</v>
      </c>
      <c r="L10" s="239"/>
      <c r="M10" s="117">
        <f>+K10+'6'!M10+L10</f>
        <v>19885</v>
      </c>
      <c r="P10" s="149">
        <f>+O10-(O10*0.23)</f>
        <v>0</v>
      </c>
      <c r="R10" s="149">
        <f t="shared" si="0"/>
        <v>0</v>
      </c>
      <c r="S10" s="149">
        <f t="shared" si="1"/>
        <v>0</v>
      </c>
      <c r="U10" s="149" t="s">
        <v>486</v>
      </c>
      <c r="V10" s="149">
        <v>1230</v>
      </c>
      <c r="W10" s="149">
        <v>947.09999999999991</v>
      </c>
      <c r="X10" s="149">
        <v>365</v>
      </c>
      <c r="Y10" s="149">
        <f t="shared" si="2"/>
        <v>448950</v>
      </c>
      <c r="Z10" s="149">
        <f t="shared" si="3"/>
        <v>345691.49999999994</v>
      </c>
    </row>
    <row r="11" spans="1:26" ht="77.25" thickBot="1">
      <c r="A11" s="766"/>
      <c r="B11" s="215"/>
      <c r="C11" s="216"/>
      <c r="D11" s="217"/>
      <c r="E11" s="219"/>
      <c r="F11" s="228"/>
      <c r="G11" s="232"/>
      <c r="H11" s="233" t="s">
        <v>477</v>
      </c>
      <c r="I11" s="769"/>
      <c r="J11" s="214">
        <f>+'6'!J11</f>
        <v>0</v>
      </c>
      <c r="K11" s="239"/>
      <c r="L11" s="239"/>
      <c r="M11" s="117">
        <f>+K11+'6'!M11+L11</f>
        <v>0</v>
      </c>
      <c r="P11" s="149">
        <f>+O11-(O11*0.23)</f>
        <v>0</v>
      </c>
      <c r="R11" s="149">
        <f t="shared" si="0"/>
        <v>0</v>
      </c>
      <c r="S11" s="149">
        <f t="shared" si="1"/>
        <v>0</v>
      </c>
      <c r="W11" s="149">
        <f>+V11-(V11*0.23)</f>
        <v>0</v>
      </c>
      <c r="Y11" s="149">
        <f t="shared" si="2"/>
        <v>0</v>
      </c>
      <c r="Z11" s="149">
        <f t="shared" si="3"/>
        <v>0</v>
      </c>
    </row>
    <row r="12" spans="1:26" ht="13.5" thickBot="1">
      <c r="A12" s="766"/>
      <c r="B12" s="215"/>
      <c r="C12" s="216"/>
      <c r="D12" s="217"/>
      <c r="E12" s="219"/>
      <c r="F12" s="228"/>
      <c r="G12" s="232"/>
      <c r="H12" s="233"/>
      <c r="I12" s="769"/>
      <c r="J12" s="214">
        <f>+'6'!J12</f>
        <v>0</v>
      </c>
      <c r="K12" s="239"/>
      <c r="L12" s="239"/>
      <c r="M12" s="117">
        <f>+K12+'6'!M12+L12</f>
        <v>0</v>
      </c>
    </row>
    <row r="13" spans="1:26" ht="13.5" thickBot="1">
      <c r="A13" s="766"/>
      <c r="B13" s="215"/>
      <c r="C13" s="216"/>
      <c r="D13" s="216"/>
      <c r="E13" s="219"/>
      <c r="F13" s="228"/>
      <c r="G13" s="232"/>
      <c r="H13" s="233"/>
      <c r="I13" s="770"/>
      <c r="J13" s="214">
        <f>+'6'!J13</f>
        <v>0</v>
      </c>
      <c r="K13" s="239"/>
      <c r="L13" s="239"/>
      <c r="M13" s="117">
        <f>+K13+'6'!M13+L13</f>
        <v>0</v>
      </c>
    </row>
    <row r="14" spans="1:26" ht="13.5" thickBot="1">
      <c r="A14" s="767"/>
      <c r="B14" s="165" t="s">
        <v>2</v>
      </c>
      <c r="C14" s="99">
        <f>SUM(C7:C13)</f>
        <v>12779</v>
      </c>
      <c r="D14" s="111">
        <f>SUM(D7:D13)</f>
        <v>0</v>
      </c>
      <c r="E14" s="112">
        <f>SUM(E5:E13)</f>
        <v>0</v>
      </c>
      <c r="F14" s="116">
        <f>SUM(F7:F13)</f>
        <v>23</v>
      </c>
      <c r="G14" s="159"/>
      <c r="H14" s="166"/>
      <c r="I14" s="167"/>
      <c r="J14" s="214">
        <f>+'6'!J14</f>
        <v>0</v>
      </c>
      <c r="K14" s="239"/>
      <c r="L14" s="239"/>
      <c r="M14" s="117">
        <f>+K14+'6'!M14+L14</f>
        <v>0</v>
      </c>
      <c r="Q14" s="176">
        <f>SUM(Q6:Q11)</f>
        <v>480</v>
      </c>
      <c r="R14" s="176">
        <f>SUM(R6:R11)</f>
        <v>590400</v>
      </c>
      <c r="S14" s="176">
        <f>SUM(S6:S11)</f>
        <v>448458</v>
      </c>
      <c r="X14" s="176">
        <f>SUM(X6:X11)</f>
        <v>905</v>
      </c>
      <c r="Y14" s="176">
        <f>SUM(Y6:Y11)</f>
        <v>1103400</v>
      </c>
      <c r="Z14" s="176">
        <f>SUM(Z6:Z11)</f>
        <v>849617.99999999988</v>
      </c>
    </row>
    <row r="15" spans="1:26" ht="13.5" customHeight="1" thickBot="1">
      <c r="A15" s="765"/>
      <c r="B15" s="165"/>
      <c r="C15" s="113">
        <f>C14/($C$23+$D$23+$E$23)</f>
        <v>1.1264985895627644</v>
      </c>
      <c r="D15" s="114">
        <f>D14/($C$23+$D$23+$E$23)</f>
        <v>0</v>
      </c>
      <c r="E15" s="115">
        <f>E14/($C$23+$D$23+$E$23)</f>
        <v>0</v>
      </c>
      <c r="F15" s="228">
        <v>9</v>
      </c>
      <c r="G15" s="229" t="s">
        <v>12</v>
      </c>
      <c r="H15" s="230" t="s">
        <v>402</v>
      </c>
      <c r="I15" s="768" t="s">
        <v>488</v>
      </c>
      <c r="J15" s="214">
        <f>+'6'!J15</f>
        <v>0</v>
      </c>
      <c r="K15" s="239"/>
      <c r="L15" s="239"/>
      <c r="M15" s="117">
        <f>+K15+'6'!M15+L15</f>
        <v>0</v>
      </c>
      <c r="P15" s="149" t="s">
        <v>424</v>
      </c>
      <c r="Q15" s="149">
        <f>480-Q14</f>
        <v>0</v>
      </c>
      <c r="R15" s="176">
        <f>+R14/Q14</f>
        <v>1230</v>
      </c>
      <c r="S15" s="176">
        <f>+S14/Q14</f>
        <v>934.28750000000002</v>
      </c>
      <c r="W15" s="149" t="s">
        <v>424</v>
      </c>
      <c r="Y15" s="176">
        <f>+Y14/X14</f>
        <v>1219.2265193370165</v>
      </c>
      <c r="Z15" s="176">
        <f>+Z14/X14</f>
        <v>938.80441988950258</v>
      </c>
    </row>
    <row r="16" spans="1:26" ht="13.5" thickBot="1">
      <c r="A16" s="771"/>
      <c r="B16" s="215" t="s">
        <v>391</v>
      </c>
      <c r="C16" s="222">
        <v>1825</v>
      </c>
      <c r="D16" s="223"/>
      <c r="E16" s="224"/>
      <c r="F16" s="231"/>
      <c r="G16" s="560" t="s">
        <v>12</v>
      </c>
      <c r="H16" s="230" t="s">
        <v>432</v>
      </c>
      <c r="I16" s="769"/>
      <c r="J16" s="214">
        <f>+'6'!J16</f>
        <v>0</v>
      </c>
      <c r="K16" s="229"/>
      <c r="L16" s="229"/>
      <c r="M16" s="117">
        <f>+K16+'6'!M16+L16</f>
        <v>0</v>
      </c>
    </row>
    <row r="17" spans="1:19" ht="13.5" thickBot="1">
      <c r="A17" s="771"/>
      <c r="B17" s="215" t="s">
        <v>502</v>
      </c>
      <c r="C17" s="216">
        <v>9519</v>
      </c>
      <c r="D17" s="217"/>
      <c r="E17" s="225"/>
      <c r="F17" s="228">
        <f>25-9</f>
        <v>16</v>
      </c>
      <c r="G17" s="560" t="s">
        <v>12</v>
      </c>
      <c r="H17" s="233" t="s">
        <v>467</v>
      </c>
      <c r="I17" s="769"/>
      <c r="J17" s="214">
        <f>+'6'!J17</f>
        <v>0</v>
      </c>
      <c r="K17" s="229"/>
      <c r="L17" s="229"/>
      <c r="M17" s="117">
        <f>+K17+'6'!M17+L17</f>
        <v>0</v>
      </c>
      <c r="N17" s="149" t="s">
        <v>486</v>
      </c>
      <c r="O17" s="149">
        <v>1230</v>
      </c>
      <c r="P17" s="149">
        <f>+O17-(O17*0.23)</f>
        <v>947.09999999999991</v>
      </c>
      <c r="Q17" s="149">
        <f>60*3+57</f>
        <v>237</v>
      </c>
      <c r="R17" s="149">
        <f t="shared" ref="R17:R22" si="4">+O17*Q17</f>
        <v>291510</v>
      </c>
      <c r="S17" s="149">
        <f t="shared" ref="S17:S22" si="5">+P17*Q17</f>
        <v>224462.69999999998</v>
      </c>
    </row>
    <row r="18" spans="1:19" ht="26.25" thickBot="1">
      <c r="A18" s="771"/>
      <c r="B18" s="215"/>
      <c r="C18" s="216"/>
      <c r="D18" s="217"/>
      <c r="E18" s="225"/>
      <c r="F18" s="228"/>
      <c r="G18" s="237" t="s">
        <v>13</v>
      </c>
      <c r="H18" s="233" t="s">
        <v>475</v>
      </c>
      <c r="I18" s="769"/>
      <c r="J18" s="214">
        <f>+'6'!J18</f>
        <v>0</v>
      </c>
      <c r="K18" s="239"/>
      <c r="L18" s="239"/>
      <c r="M18" s="117">
        <f>+K18+'6'!M18+L18</f>
        <v>0</v>
      </c>
      <c r="O18" s="149">
        <v>1180</v>
      </c>
      <c r="P18" s="149">
        <f>+O18-(O18*0.23)</f>
        <v>908.59999999999991</v>
      </c>
      <c r="Q18" s="149">
        <f>480-Q17-Q19</f>
        <v>123</v>
      </c>
      <c r="R18" s="149">
        <f t="shared" si="4"/>
        <v>145140</v>
      </c>
      <c r="S18" s="149">
        <f t="shared" si="5"/>
        <v>111757.79999999999</v>
      </c>
    </row>
    <row r="19" spans="1:19" ht="97.5" customHeight="1" thickBot="1">
      <c r="A19" s="771"/>
      <c r="B19" s="215"/>
      <c r="C19" s="216"/>
      <c r="D19" s="217"/>
      <c r="E19" s="225"/>
      <c r="F19" s="235"/>
      <c r="G19" s="232"/>
      <c r="H19" s="233" t="s">
        <v>476</v>
      </c>
      <c r="I19" s="769"/>
      <c r="J19" s="214">
        <f>+'6'!J19</f>
        <v>0</v>
      </c>
      <c r="K19" s="239"/>
      <c r="L19" s="239"/>
      <c r="M19" s="117">
        <f>+K19+'6'!M19+L19</f>
        <v>0</v>
      </c>
      <c r="O19" s="149">
        <v>1200</v>
      </c>
      <c r="P19" s="149">
        <f>+O19-(O19*0.23)</f>
        <v>924</v>
      </c>
      <c r="Q19" s="149">
        <v>120</v>
      </c>
      <c r="R19" s="149">
        <f t="shared" si="4"/>
        <v>144000</v>
      </c>
      <c r="S19" s="149">
        <f t="shared" si="5"/>
        <v>110880</v>
      </c>
    </row>
    <row r="20" spans="1:19" ht="13.5" thickBot="1">
      <c r="A20" s="771"/>
      <c r="B20" s="215"/>
      <c r="C20" s="216"/>
      <c r="D20" s="217"/>
      <c r="E20" s="225"/>
      <c r="F20" s="228"/>
      <c r="G20" s="232"/>
      <c r="H20" s="233"/>
      <c r="I20" s="769"/>
      <c r="J20" s="214">
        <f>+'6'!J20</f>
        <v>0</v>
      </c>
      <c r="K20" s="240"/>
      <c r="L20" s="240"/>
      <c r="M20" s="117">
        <f>+K20+'6'!M20+L20</f>
        <v>0</v>
      </c>
      <c r="P20" s="149">
        <f>+O20-(O20*0.2)</f>
        <v>0</v>
      </c>
      <c r="R20" s="149">
        <f t="shared" si="4"/>
        <v>0</v>
      </c>
      <c r="S20" s="149">
        <f t="shared" si="5"/>
        <v>0</v>
      </c>
    </row>
    <row r="21" spans="1:19" ht="13.5" thickBot="1">
      <c r="A21" s="771"/>
      <c r="B21" s="215"/>
      <c r="C21" s="216"/>
      <c r="D21" s="217"/>
      <c r="E21" s="225"/>
      <c r="F21" s="231"/>
      <c r="G21" s="232"/>
      <c r="H21" s="233"/>
      <c r="I21" s="769"/>
      <c r="J21" s="214">
        <f>+'6'!J21</f>
        <v>0</v>
      </c>
      <c r="K21" s="239"/>
      <c r="L21" s="239"/>
      <c r="M21" s="117">
        <f>+K21+'6'!M21+L21</f>
        <v>0</v>
      </c>
      <c r="P21" s="149">
        <f>+O21-(O21*0.23)</f>
        <v>0</v>
      </c>
      <c r="R21" s="149">
        <f t="shared" si="4"/>
        <v>0</v>
      </c>
      <c r="S21" s="149">
        <f t="shared" si="5"/>
        <v>0</v>
      </c>
    </row>
    <row r="22" spans="1:19" ht="13.5" thickBot="1">
      <c r="A22" s="771"/>
      <c r="B22" s="215"/>
      <c r="C22" s="216"/>
      <c r="D22" s="217"/>
      <c r="E22" s="225"/>
      <c r="F22" s="236"/>
      <c r="G22" s="232"/>
      <c r="H22" s="233"/>
      <c r="I22" s="770"/>
      <c r="J22" s="214">
        <f>+'6'!J22</f>
        <v>0</v>
      </c>
      <c r="K22" s="239"/>
      <c r="L22" s="239"/>
      <c r="M22" s="117">
        <f>+K22+'6'!M22+L22</f>
        <v>0</v>
      </c>
      <c r="P22" s="149">
        <f>+O22-(O22*0.23)</f>
        <v>0</v>
      </c>
      <c r="R22" s="149">
        <f t="shared" si="4"/>
        <v>0</v>
      </c>
      <c r="S22" s="149">
        <f t="shared" si="5"/>
        <v>0</v>
      </c>
    </row>
    <row r="23" spans="1:19" ht="13.5" thickBot="1">
      <c r="A23" s="772"/>
      <c r="B23" s="168" t="s">
        <v>2</v>
      </c>
      <c r="C23" s="100">
        <f>SUM(C16:C22)</f>
        <v>11344</v>
      </c>
      <c r="D23" s="111">
        <f>SUM(D16:D22)</f>
        <v>0</v>
      </c>
      <c r="E23" s="112">
        <f>SUM(E18:E22)</f>
        <v>0</v>
      </c>
      <c r="F23" s="116">
        <f>SUM(F15:F22)</f>
        <v>25</v>
      </c>
      <c r="G23" s="159"/>
      <c r="H23" s="166"/>
      <c r="I23" s="169"/>
      <c r="J23" s="214">
        <f>+'6'!J23</f>
        <v>0</v>
      </c>
      <c r="K23" s="239"/>
      <c r="L23" s="239"/>
      <c r="M23" s="117">
        <f>+K23+'6'!M23+L23</f>
        <v>0</v>
      </c>
    </row>
    <row r="24" spans="1:19" ht="13.5" customHeight="1" thickBot="1">
      <c r="A24" s="765"/>
      <c r="B24" s="170"/>
      <c r="C24" s="113">
        <f>C23/($C$23+$D$23+$E$23)</f>
        <v>1</v>
      </c>
      <c r="D24" s="114">
        <f>D23/($C$23+$D$23+$E$23)</f>
        <v>0</v>
      </c>
      <c r="E24" s="115">
        <f>E23/($C$23+$D$23+$E$23)</f>
        <v>0</v>
      </c>
      <c r="F24" s="228"/>
      <c r="G24" s="229" t="s">
        <v>12</v>
      </c>
      <c r="H24" s="230" t="s">
        <v>466</v>
      </c>
      <c r="I24" s="768" t="s">
        <v>428</v>
      </c>
      <c r="J24" s="214">
        <f>+'6'!J24</f>
        <v>0</v>
      </c>
      <c r="K24" s="239"/>
      <c r="L24" s="239"/>
      <c r="M24" s="117">
        <f>+K24+'6'!M24+L24</f>
        <v>0</v>
      </c>
    </row>
    <row r="25" spans="1:19" ht="13.5" thickBot="1">
      <c r="A25" s="771"/>
      <c r="B25" s="215" t="s">
        <v>502</v>
      </c>
      <c r="C25" s="226">
        <v>10366</v>
      </c>
      <c r="D25" s="217"/>
      <c r="E25" s="225"/>
      <c r="F25" s="231"/>
      <c r="G25" s="560" t="s">
        <v>12</v>
      </c>
      <c r="H25" s="230" t="s">
        <v>432</v>
      </c>
      <c r="I25" s="769"/>
      <c r="J25" s="214">
        <f>+'6'!J25</f>
        <v>0</v>
      </c>
      <c r="K25" s="239"/>
      <c r="L25" s="239"/>
      <c r="M25" s="117">
        <f>+K25+'6'!M25+L25</f>
        <v>0</v>
      </c>
      <c r="Q25" s="176">
        <f>SUM(Q17:Q22)</f>
        <v>480</v>
      </c>
      <c r="R25" s="176">
        <f>SUM(R17:R22)</f>
        <v>580650</v>
      </c>
      <c r="S25" s="176">
        <f>SUM(S17:S22)</f>
        <v>447100.5</v>
      </c>
    </row>
    <row r="26" spans="1:19" ht="13.5" thickBot="1">
      <c r="A26" s="771"/>
      <c r="B26" s="215"/>
      <c r="C26" s="226"/>
      <c r="D26" s="217"/>
      <c r="E26" s="227"/>
      <c r="F26" s="228">
        <v>8</v>
      </c>
      <c r="G26" s="560" t="s">
        <v>12</v>
      </c>
      <c r="H26" s="233" t="s">
        <v>405</v>
      </c>
      <c r="I26" s="769"/>
      <c r="J26" s="214">
        <f>+'6'!J26</f>
        <v>0</v>
      </c>
      <c r="K26" s="239"/>
      <c r="L26" s="239"/>
      <c r="M26" s="117">
        <f>+K26+'6'!M26+L26</f>
        <v>0</v>
      </c>
      <c r="P26" s="149" t="s">
        <v>424</v>
      </c>
      <c r="Q26" s="149">
        <f>480-Q25</f>
        <v>0</v>
      </c>
      <c r="R26" s="176">
        <f>+R25/Q25</f>
        <v>1209.6875</v>
      </c>
      <c r="S26" s="176">
        <f>+S25/Q25</f>
        <v>931.45937500000002</v>
      </c>
    </row>
    <row r="27" spans="1:19" ht="26.25" thickBot="1">
      <c r="A27" s="771"/>
      <c r="B27" s="215"/>
      <c r="C27" s="216"/>
      <c r="D27" s="217"/>
      <c r="E27" s="225"/>
      <c r="F27" s="228"/>
      <c r="G27" s="237" t="s">
        <v>13</v>
      </c>
      <c r="H27" s="233" t="s">
        <v>473</v>
      </c>
      <c r="I27" s="769"/>
      <c r="J27" s="214">
        <f>+'6'!J27</f>
        <v>0</v>
      </c>
      <c r="K27" s="239"/>
      <c r="L27" s="239"/>
      <c r="M27" s="117">
        <f>+K27+'6'!M27+L27</f>
        <v>0</v>
      </c>
      <c r="N27" s="149" t="s">
        <v>486</v>
      </c>
      <c r="O27" s="149">
        <v>1230</v>
      </c>
      <c r="P27" s="149">
        <f>+O27-(O27*0.23)</f>
        <v>947.09999999999991</v>
      </c>
      <c r="Q27" s="149">
        <f>480-115</f>
        <v>365</v>
      </c>
      <c r="R27" s="149">
        <f t="shared" ref="R27:R32" si="6">+O27*Q27</f>
        <v>448950</v>
      </c>
      <c r="S27" s="149">
        <f t="shared" ref="S27:S32" si="7">+P27*Q27</f>
        <v>345691.49999999994</v>
      </c>
    </row>
    <row r="28" spans="1:19" ht="120.75" customHeight="1" thickBot="1">
      <c r="A28" s="771"/>
      <c r="B28" s="215"/>
      <c r="C28" s="216"/>
      <c r="D28" s="217"/>
      <c r="E28" s="225"/>
      <c r="F28" s="231">
        <v>115</v>
      </c>
      <c r="G28" s="560" t="s">
        <v>506</v>
      </c>
      <c r="H28" s="233" t="s">
        <v>474</v>
      </c>
      <c r="I28" s="769"/>
      <c r="J28" s="214">
        <f>+'6'!J28</f>
        <v>0</v>
      </c>
      <c r="K28" s="239"/>
      <c r="L28" s="239"/>
      <c r="M28" s="117">
        <f>+K28+'6'!M28+L28</f>
        <v>0</v>
      </c>
      <c r="P28" s="149">
        <f>+O28-(O28*0.23)</f>
        <v>0</v>
      </c>
      <c r="R28" s="149">
        <f t="shared" si="6"/>
        <v>0</v>
      </c>
      <c r="S28" s="149">
        <f t="shared" si="7"/>
        <v>0</v>
      </c>
    </row>
    <row r="29" spans="1:19" ht="13.5" thickBot="1">
      <c r="A29" s="771"/>
      <c r="B29" s="215"/>
      <c r="C29" s="216"/>
      <c r="D29" s="217"/>
      <c r="E29" s="225"/>
      <c r="F29" s="236"/>
      <c r="G29" s="232"/>
      <c r="H29" s="233"/>
      <c r="I29" s="769"/>
      <c r="J29" s="214">
        <f>+'6'!J29</f>
        <v>0</v>
      </c>
      <c r="K29" s="239"/>
      <c r="L29" s="239"/>
      <c r="M29" s="117">
        <f>+K29+'6'!M29+L29</f>
        <v>0</v>
      </c>
      <c r="P29" s="149">
        <f>+O29-(O29*0.23)</f>
        <v>0</v>
      </c>
      <c r="R29" s="149">
        <f t="shared" si="6"/>
        <v>0</v>
      </c>
      <c r="S29" s="149">
        <f t="shared" si="7"/>
        <v>0</v>
      </c>
    </row>
    <row r="30" spans="1:19" ht="13.5" thickBot="1">
      <c r="A30" s="771"/>
      <c r="B30" s="215"/>
      <c r="C30" s="226"/>
      <c r="D30" s="217"/>
      <c r="E30" s="225"/>
      <c r="F30" s="236"/>
      <c r="G30" s="232"/>
      <c r="H30" s="233"/>
      <c r="I30" s="769"/>
      <c r="J30" s="214">
        <f>+'6'!J30</f>
        <v>0</v>
      </c>
      <c r="K30" s="239"/>
      <c r="L30" s="239"/>
      <c r="M30" s="117">
        <f>+K30+'6'!M30+L30</f>
        <v>0</v>
      </c>
      <c r="P30" s="149">
        <f>+O30-(O30*0.2)</f>
        <v>0</v>
      </c>
      <c r="R30" s="149">
        <f t="shared" si="6"/>
        <v>0</v>
      </c>
      <c r="S30" s="149">
        <f t="shared" si="7"/>
        <v>0</v>
      </c>
    </row>
    <row r="31" spans="1:19" ht="13.5" thickBot="1">
      <c r="A31" s="771"/>
      <c r="B31" s="215"/>
      <c r="C31" s="226"/>
      <c r="D31" s="217"/>
      <c r="E31" s="225"/>
      <c r="F31" s="236"/>
      <c r="G31" s="237"/>
      <c r="H31" s="445"/>
      <c r="I31" s="770"/>
      <c r="J31" s="214">
        <f>+'6'!J31</f>
        <v>0</v>
      </c>
      <c r="K31" s="239"/>
      <c r="L31" s="239"/>
      <c r="M31" s="117">
        <f>+K31+'6'!M31+L31</f>
        <v>0</v>
      </c>
      <c r="P31" s="149">
        <f>+O31-(O31*0.23)</f>
        <v>0</v>
      </c>
      <c r="R31" s="149">
        <f t="shared" si="6"/>
        <v>0</v>
      </c>
      <c r="S31" s="149">
        <f t="shared" si="7"/>
        <v>0</v>
      </c>
    </row>
    <row r="32" spans="1:19" ht="13.5" thickBot="1">
      <c r="A32" s="772"/>
      <c r="B32" s="165" t="s">
        <v>2</v>
      </c>
      <c r="C32" s="99">
        <f>SUM(C25:C31)</f>
        <v>10366</v>
      </c>
      <c r="D32" s="100">
        <f>SUM(D25:D31)</f>
        <v>0</v>
      </c>
      <c r="E32" s="101">
        <f>SUM(E25:E31)</f>
        <v>0</v>
      </c>
      <c r="F32" s="102">
        <f>SUM(F24:F31)</f>
        <v>123</v>
      </c>
      <c r="G32" s="171"/>
      <c r="H32" s="172"/>
      <c r="I32" s="169"/>
      <c r="J32" s="214">
        <f>+'6'!J32</f>
        <v>0</v>
      </c>
      <c r="K32" s="241"/>
      <c r="L32" s="243"/>
      <c r="M32" s="117">
        <f>+K32+'6'!M32+L32</f>
        <v>0</v>
      </c>
      <c r="P32" s="149">
        <f>+O32-(O32*0.23)</f>
        <v>0</v>
      </c>
      <c r="R32" s="149">
        <f t="shared" si="6"/>
        <v>0</v>
      </c>
      <c r="S32" s="149">
        <f t="shared" si="7"/>
        <v>0</v>
      </c>
    </row>
    <row r="33" spans="1:19" ht="13.5" thickBot="1">
      <c r="A33" s="173"/>
      <c r="B33" s="174"/>
      <c r="C33" s="103">
        <f>C32/($C$32+$D$32+$E$32)</f>
        <v>1</v>
      </c>
      <c r="D33" s="104">
        <f>D32/($C$32+$D$32+$E$32)</f>
        <v>0</v>
      </c>
      <c r="E33" s="105">
        <f>E32/($C$32+$D$32+$E$32)</f>
        <v>0</v>
      </c>
      <c r="F33" s="106"/>
      <c r="G33" s="175"/>
      <c r="H33" s="176"/>
      <c r="I33" s="177"/>
      <c r="J33" s="121"/>
      <c r="K33" s="122"/>
      <c r="L33" s="213"/>
      <c r="M33" s="119"/>
    </row>
    <row r="34" spans="1:19" ht="13.5" thickBot="1">
      <c r="A34" s="761" t="s">
        <v>57</v>
      </c>
      <c r="B34" s="762"/>
      <c r="C34" s="107">
        <f>C14+C23+C32</f>
        <v>34489</v>
      </c>
      <c r="D34" s="107">
        <f>D14+D23+D32</f>
        <v>0</v>
      </c>
      <c r="E34" s="107">
        <f>E14+E23+E32</f>
        <v>0</v>
      </c>
      <c r="F34" s="108">
        <f>F14+F23+F32</f>
        <v>171</v>
      </c>
      <c r="H34" s="178"/>
      <c r="I34" s="178"/>
      <c r="J34" s="123" t="s">
        <v>28</v>
      </c>
      <c r="K34" s="124">
        <f>SUM(K7:K32)</f>
        <v>34489</v>
      </c>
      <c r="L34" s="212">
        <f>SUM(L7:L32)</f>
        <v>0</v>
      </c>
      <c r="M34" s="120">
        <f>SUM(M7:M32)</f>
        <v>244249</v>
      </c>
    </row>
    <row r="35" spans="1:19" ht="13.5" thickBot="1">
      <c r="A35" s="179"/>
      <c r="B35" s="180"/>
      <c r="C35" s="104">
        <f>C34/($C$34+$D$34+$E$34)</f>
        <v>1</v>
      </c>
      <c r="D35" s="104">
        <f>D34/($C$34+$D$34+$E$34)</f>
        <v>0</v>
      </c>
      <c r="E35" s="109">
        <f>E34/($C$34+$D$34+$E$34)</f>
        <v>0</v>
      </c>
      <c r="K35" s="155"/>
      <c r="Q35" s="176">
        <f>SUM(Q27:Q32)</f>
        <v>365</v>
      </c>
      <c r="R35" s="176">
        <f>SUM(R27:R32)</f>
        <v>448950</v>
      </c>
      <c r="S35" s="176">
        <f>SUM(S27:S32)</f>
        <v>345691.49999999994</v>
      </c>
    </row>
    <row r="36" spans="1:19" ht="13.5" thickBot="1">
      <c r="A36" s="178"/>
      <c r="B36" s="178"/>
      <c r="C36" s="155"/>
      <c r="D36" s="155"/>
      <c r="E36" s="155"/>
      <c r="G36" s="155"/>
      <c r="H36" s="181"/>
      <c r="I36" s="162" t="s">
        <v>37</v>
      </c>
      <c r="J36" s="162" t="s">
        <v>38</v>
      </c>
      <c r="K36" s="182"/>
      <c r="P36" s="149" t="s">
        <v>424</v>
      </c>
      <c r="Q36" s="149">
        <f>60-5+60</f>
        <v>115</v>
      </c>
      <c r="R36" s="176">
        <f>+R35/Q35</f>
        <v>1230</v>
      </c>
      <c r="S36" s="176">
        <f>+S35/Q35</f>
        <v>947.0999999999998</v>
      </c>
    </row>
    <row r="37" spans="1:19" ht="17.45" customHeight="1" thickBot="1">
      <c r="A37" s="763" t="s">
        <v>58</v>
      </c>
      <c r="B37" s="764"/>
      <c r="C37" s="162" t="s">
        <v>59</v>
      </c>
      <c r="D37" s="183" t="s">
        <v>60</v>
      </c>
      <c r="E37" s="184" t="s">
        <v>61</v>
      </c>
      <c r="F37" s="322"/>
      <c r="G37" s="324"/>
      <c r="H37" s="186" t="s">
        <v>62</v>
      </c>
      <c r="I37" s="244">
        <f>(14*250+170*12+905*12)/1325*G42*2.74*1325/1000000</f>
        <v>42.095705660377369</v>
      </c>
      <c r="J37" s="125">
        <f>+I37+'6'!J37</f>
        <v>310.73246730502802</v>
      </c>
      <c r="K37" s="126" t="s">
        <v>63</v>
      </c>
      <c r="N37" s="149" t="s">
        <v>463</v>
      </c>
      <c r="O37" s="149">
        <v>1230</v>
      </c>
      <c r="P37" s="149">
        <v>922.5</v>
      </c>
      <c r="Q37" s="149">
        <v>250</v>
      </c>
    </row>
    <row r="38" spans="1:19" ht="17.45" customHeight="1">
      <c r="A38" s="755" t="s">
        <v>12</v>
      </c>
      <c r="B38" s="756"/>
      <c r="C38" s="164">
        <f>SUMIF($G$7:$G$31,"Process",$F$7:$F$31)</f>
        <v>56</v>
      </c>
      <c r="D38" s="118">
        <f>+C38+'6'!D38</f>
        <v>484</v>
      </c>
      <c r="E38" s="143">
        <f t="shared" ref="E38:E51" si="8">D38/60</f>
        <v>8.0666666666666664</v>
      </c>
      <c r="F38" s="322">
        <v>1230</v>
      </c>
      <c r="G38" s="322">
        <v>934.28750000000002</v>
      </c>
      <c r="H38" s="187" t="s">
        <v>64</v>
      </c>
      <c r="I38" s="245">
        <f>11.9476+13.385+9.592</f>
        <v>34.924599999999998</v>
      </c>
      <c r="J38" s="127">
        <f>+I38+'6'!J38</f>
        <v>263.34260000000006</v>
      </c>
      <c r="K38" s="128" t="s">
        <v>63</v>
      </c>
      <c r="N38" s="149" t="s">
        <v>389</v>
      </c>
      <c r="O38" s="149">
        <v>1230</v>
      </c>
      <c r="P38" s="149">
        <v>947.09999999999991</v>
      </c>
      <c r="Q38" s="149">
        <v>170</v>
      </c>
    </row>
    <row r="39" spans="1:19" ht="17.45" customHeight="1">
      <c r="A39" s="759" t="s">
        <v>13</v>
      </c>
      <c r="B39" s="760"/>
      <c r="C39" s="164">
        <f>SUMIF($G$7:$G$31,"Cleaning",$F$7:$F$31)</f>
        <v>0</v>
      </c>
      <c r="D39" s="118">
        <f>+C39+'6'!D39</f>
        <v>0</v>
      </c>
      <c r="E39" s="143">
        <f t="shared" si="8"/>
        <v>0</v>
      </c>
      <c r="F39" s="322">
        <v>1209.6875</v>
      </c>
      <c r="G39" s="322">
        <v>931.45937500000002</v>
      </c>
      <c r="H39" s="187" t="s">
        <v>65</v>
      </c>
      <c r="I39" s="142"/>
      <c r="J39" s="129">
        <f>J37/G4</f>
        <v>44.390352472146859</v>
      </c>
      <c r="K39" s="130" t="s">
        <v>63</v>
      </c>
      <c r="N39" s="149" t="s">
        <v>486</v>
      </c>
      <c r="O39" s="149">
        <v>1219.2265193370165</v>
      </c>
      <c r="P39" s="149">
        <v>938.80441988950258</v>
      </c>
      <c r="Q39" s="149">
        <v>905</v>
      </c>
    </row>
    <row r="40" spans="1:19" ht="17.45" customHeight="1">
      <c r="A40" s="759" t="s">
        <v>66</v>
      </c>
      <c r="B40" s="760"/>
      <c r="C40" s="164">
        <f>SUMIF($G$7:$G$31,"Mechanical",$F$7:$F$31)</f>
        <v>0</v>
      </c>
      <c r="D40" s="118">
        <f>+C40+'6'!D40</f>
        <v>0</v>
      </c>
      <c r="E40" s="143">
        <f t="shared" si="8"/>
        <v>0</v>
      </c>
      <c r="F40" s="322">
        <v>1230</v>
      </c>
      <c r="G40" s="322">
        <v>947.0999999999998</v>
      </c>
      <c r="H40" s="187" t="s">
        <v>67</v>
      </c>
      <c r="I40" s="118">
        <f>(K34+L34)/1000</f>
        <v>34.488999999999997</v>
      </c>
      <c r="J40" s="131">
        <f>+I40+'6'!J40</f>
        <v>244.249</v>
      </c>
      <c r="K40" s="130" t="s">
        <v>63</v>
      </c>
      <c r="Q40" s="149">
        <f>+Q37+Q38+Q39</f>
        <v>1325</v>
      </c>
    </row>
    <row r="41" spans="1:19" ht="17.45" customHeight="1">
      <c r="A41" s="759" t="s">
        <v>68</v>
      </c>
      <c r="B41" s="760"/>
      <c r="C41" s="164">
        <f>SUMIF($G$7:$G$31,"Electrical",$F$7:$F$31)</f>
        <v>0</v>
      </c>
      <c r="D41" s="118">
        <f>+C41+'6'!D41</f>
        <v>515</v>
      </c>
      <c r="E41" s="143">
        <f t="shared" si="8"/>
        <v>8.5833333333333339</v>
      </c>
      <c r="F41" s="322"/>
      <c r="G41" s="322"/>
      <c r="H41" s="187" t="s">
        <v>69</v>
      </c>
      <c r="I41" s="142"/>
      <c r="J41" s="129">
        <f>J40/G4</f>
        <v>34.892714285714284</v>
      </c>
      <c r="K41" s="130" t="s">
        <v>63</v>
      </c>
    </row>
    <row r="42" spans="1:19" ht="17.45" customHeight="1">
      <c r="A42" s="759" t="s">
        <v>16</v>
      </c>
      <c r="B42" s="760"/>
      <c r="C42" s="164">
        <f>SUMIF($G$7:$G$31,"Instrument",$F$7:$F$31)</f>
        <v>0</v>
      </c>
      <c r="D42" s="118">
        <f>+C42+'6'!D42</f>
        <v>0</v>
      </c>
      <c r="E42" s="143">
        <f t="shared" si="8"/>
        <v>0</v>
      </c>
      <c r="F42" s="322">
        <f>+(480*F38+480*F39+365*F40)/1325</f>
        <v>1222.6415094339623</v>
      </c>
      <c r="G42" s="322">
        <f>+(480*G38+480*G39+365*G40)/1325</f>
        <v>936.79245283018872</v>
      </c>
      <c r="H42" s="187" t="s">
        <v>70</v>
      </c>
      <c r="I42" s="246" t="s">
        <v>489</v>
      </c>
      <c r="J42" s="132"/>
      <c r="K42" s="130" t="s">
        <v>71</v>
      </c>
    </row>
    <row r="43" spans="1:19" ht="17.45" customHeight="1">
      <c r="A43" s="759" t="s">
        <v>72</v>
      </c>
      <c r="B43" s="760"/>
      <c r="C43" s="164">
        <f>SUMIF($G$7:$G$31,"Water",$F$7:$F$31)</f>
        <v>0</v>
      </c>
      <c r="D43" s="118">
        <f>+C43+'6'!D43</f>
        <v>0</v>
      </c>
      <c r="E43" s="143">
        <f t="shared" si="8"/>
        <v>0</v>
      </c>
      <c r="F43" s="322"/>
      <c r="G43" s="323"/>
      <c r="H43" s="188" t="s">
        <v>73</v>
      </c>
      <c r="I43" s="118">
        <f>+Report1!Z15</f>
        <v>55.1</v>
      </c>
      <c r="J43" s="133">
        <f>+I43+'6'!J43</f>
        <v>394.3</v>
      </c>
      <c r="K43" s="130" t="s">
        <v>63</v>
      </c>
      <c r="L43" s="189"/>
    </row>
    <row r="44" spans="1:19" ht="17.45" customHeight="1">
      <c r="A44" s="759" t="s">
        <v>17</v>
      </c>
      <c r="B44" s="760"/>
      <c r="C44" s="164">
        <f>SUMIF($G$7:$G$31,"PLN",$F$7:$F$31)</f>
        <v>0</v>
      </c>
      <c r="D44" s="118">
        <f>+C44+'6'!D44</f>
        <v>0</v>
      </c>
      <c r="E44" s="143">
        <f t="shared" si="8"/>
        <v>0</v>
      </c>
      <c r="F44" s="322"/>
      <c r="G44" s="323"/>
      <c r="H44" s="188" t="s">
        <v>74</v>
      </c>
      <c r="I44" s="118">
        <f>I43/I38</f>
        <v>1.5776844974602431</v>
      </c>
      <c r="J44" s="134">
        <f>J43/J38</f>
        <v>1.4972890827386072</v>
      </c>
      <c r="K44" s="130" t="s">
        <v>63</v>
      </c>
    </row>
    <row r="45" spans="1:19" ht="17.45" customHeight="1">
      <c r="A45" s="759" t="s">
        <v>18</v>
      </c>
      <c r="B45" s="760"/>
      <c r="C45" s="164">
        <f>SUMIF($G$7:$G$31,"Boiler",$F$7:$F$31)</f>
        <v>0</v>
      </c>
      <c r="D45" s="118">
        <f>+C45+'6'!D45</f>
        <v>0</v>
      </c>
      <c r="E45" s="143">
        <f t="shared" si="8"/>
        <v>0</v>
      </c>
      <c r="F45" s="322"/>
      <c r="G45" s="325"/>
      <c r="H45" s="188" t="s">
        <v>75</v>
      </c>
      <c r="I45" s="118">
        <f>I43/I40</f>
        <v>1.5976108324393286</v>
      </c>
      <c r="J45" s="134">
        <f>J43/J40</f>
        <v>1.6143361897080439</v>
      </c>
      <c r="K45" s="130" t="s">
        <v>63</v>
      </c>
      <c r="N45" s="149">
        <v>480</v>
      </c>
    </row>
    <row r="46" spans="1:19" ht="17.45" customHeight="1">
      <c r="A46" s="759" t="s">
        <v>76</v>
      </c>
      <c r="B46" s="760"/>
      <c r="C46" s="164">
        <f>SUMIF($G$7:$G$31,"Gas",$F$7:$F$31)</f>
        <v>0</v>
      </c>
      <c r="D46" s="118">
        <f>+C46+'6'!D46</f>
        <v>0</v>
      </c>
      <c r="E46" s="143">
        <f t="shared" si="8"/>
        <v>0</v>
      </c>
      <c r="F46" s="322"/>
      <c r="G46" s="323"/>
      <c r="H46" s="188" t="s">
        <v>77</v>
      </c>
      <c r="I46" s="140">
        <f>+SUMIF(Listrik!P14,"&gt;0")</f>
        <v>35925.579999999274</v>
      </c>
      <c r="J46" s="135">
        <f>+I46+'6'!J46</f>
        <v>235690.56</v>
      </c>
      <c r="K46" s="130" t="s">
        <v>78</v>
      </c>
      <c r="N46" s="149">
        <v>480</v>
      </c>
    </row>
    <row r="47" spans="1:19" ht="17.45" customHeight="1">
      <c r="A47" s="759" t="s">
        <v>79</v>
      </c>
      <c r="B47" s="760"/>
      <c r="C47" s="164">
        <f>SUMIF($G$7:$G$31,"Gas",$F$7:$F$31)</f>
        <v>0</v>
      </c>
      <c r="D47" s="118">
        <f>+C47+'6'!D47</f>
        <v>0</v>
      </c>
      <c r="E47" s="143">
        <f t="shared" si="8"/>
        <v>0</v>
      </c>
      <c r="F47" s="322"/>
      <c r="G47" s="323"/>
      <c r="H47" s="188" t="s">
        <v>80</v>
      </c>
      <c r="I47" s="118">
        <f>I46/I38</f>
        <v>1028.6611729267988</v>
      </c>
      <c r="J47" s="135">
        <f>J46/J38</f>
        <v>894.99594824384644</v>
      </c>
      <c r="K47" s="130" t="s">
        <v>24</v>
      </c>
      <c r="N47" s="149">
        <v>365</v>
      </c>
    </row>
    <row r="48" spans="1:19" ht="17.45" customHeight="1">
      <c r="A48" s="759" t="s">
        <v>14</v>
      </c>
      <c r="B48" s="760"/>
      <c r="C48" s="164">
        <f>SUMIF($G$7:$G$31,"Start Up",$F$7:$F$31)</f>
        <v>0</v>
      </c>
      <c r="D48" s="118">
        <f>+C48+'6'!D48</f>
        <v>0</v>
      </c>
      <c r="E48" s="143">
        <f t="shared" si="8"/>
        <v>0</v>
      </c>
      <c r="F48" s="322"/>
      <c r="G48" s="323"/>
      <c r="H48" s="188" t="s">
        <v>81</v>
      </c>
      <c r="I48" s="118">
        <f>I46/I40</f>
        <v>1041.6532807561621</v>
      </c>
      <c r="J48" s="135">
        <f>J46/J40</f>
        <v>964.96018407444865</v>
      </c>
      <c r="K48" s="130" t="s">
        <v>24</v>
      </c>
      <c r="N48" s="149">
        <f>+N45+N46+N47</f>
        <v>1325</v>
      </c>
    </row>
    <row r="49" spans="1:11" ht="17.45" customHeight="1">
      <c r="A49" s="759" t="s">
        <v>20</v>
      </c>
      <c r="B49" s="760"/>
      <c r="C49" s="164">
        <f>SUMIF($G$7:$G$31,"Others",$F$7:$F$31)</f>
        <v>0</v>
      </c>
      <c r="D49" s="118">
        <f>+C49+'6'!D49</f>
        <v>0</v>
      </c>
      <c r="E49" s="143">
        <f t="shared" si="8"/>
        <v>0</v>
      </c>
      <c r="F49" s="185"/>
      <c r="H49" s="188" t="s">
        <v>271</v>
      </c>
      <c r="I49" s="118">
        <f>+Report1!T15</f>
        <v>3180.2114622037657</v>
      </c>
      <c r="J49" s="135">
        <f>+I49+'6'!J49</f>
        <v>24245.476565056419</v>
      </c>
      <c r="K49" s="130" t="s">
        <v>82</v>
      </c>
    </row>
    <row r="50" spans="1:11" ht="17.45" customHeight="1">
      <c r="A50" s="759" t="s">
        <v>19</v>
      </c>
      <c r="B50" s="760"/>
      <c r="C50" s="164">
        <f>SUMIF($G$7:$G$31,"Steam",$F$7:$F$31)</f>
        <v>0</v>
      </c>
      <c r="D50" s="118">
        <f>+C50+'6'!D50</f>
        <v>0</v>
      </c>
      <c r="E50" s="143">
        <f t="shared" si="8"/>
        <v>0</v>
      </c>
      <c r="F50" s="185"/>
      <c r="H50" s="188" t="s">
        <v>83</v>
      </c>
      <c r="I50" s="140">
        <f>I49/I38</f>
        <v>91.059352496628904</v>
      </c>
      <c r="J50" s="133">
        <f>J49/J38</f>
        <v>92.06819012592878</v>
      </c>
      <c r="K50" s="130" t="s">
        <v>82</v>
      </c>
    </row>
    <row r="51" spans="1:11" ht="17.45" customHeight="1" thickBot="1">
      <c r="A51" s="753" t="s">
        <v>84</v>
      </c>
      <c r="B51" s="754"/>
      <c r="C51" s="164">
        <f>SUMIF($G$7:$G$31,"Planned shut",$F$7:$F$31)</f>
        <v>115</v>
      </c>
      <c r="D51" s="118">
        <f>+C51+'6'!D51</f>
        <v>115</v>
      </c>
      <c r="E51" s="143">
        <f t="shared" si="8"/>
        <v>1.9166666666666667</v>
      </c>
      <c r="F51" s="185"/>
      <c r="H51" s="190" t="s">
        <v>85</v>
      </c>
      <c r="I51" s="141">
        <f>I49/I40</f>
        <v>92.209442494817651</v>
      </c>
      <c r="J51" s="136">
        <f>J49/J40</f>
        <v>99.265407698931909</v>
      </c>
      <c r="K51" s="137" t="s">
        <v>82</v>
      </c>
    </row>
    <row r="52" spans="1:11" ht="13.5" thickBot="1">
      <c r="A52" s="755" t="s">
        <v>28</v>
      </c>
      <c r="B52" s="756"/>
      <c r="C52" s="144">
        <f>SUM(C38:C51)</f>
        <v>171</v>
      </c>
      <c r="D52" s="144">
        <f>SUM(D38:D51)</f>
        <v>1114</v>
      </c>
      <c r="E52" s="145">
        <f>SUM(E38:E51)</f>
        <v>18.566666666666666</v>
      </c>
      <c r="F52" s="185"/>
      <c r="H52" s="191"/>
      <c r="I52" s="192"/>
      <c r="J52" s="138"/>
      <c r="K52" s="139"/>
    </row>
    <row r="53" spans="1:11" ht="13.5" thickBot="1">
      <c r="A53" s="757"/>
      <c r="B53" s="758"/>
      <c r="C53" s="146">
        <f>C52/(24*60)</f>
        <v>0.11874999999999999</v>
      </c>
      <c r="D53" s="146">
        <f>D52/(24*60*G4)</f>
        <v>0.11051587301587301</v>
      </c>
      <c r="E53" s="147">
        <f>E52/(G4*24)</f>
        <v>0.11051587301587301</v>
      </c>
      <c r="F53" s="185"/>
    </row>
    <row r="54" spans="1:11">
      <c r="E54" s="193"/>
      <c r="F54" s="185"/>
    </row>
    <row r="55" spans="1:11">
      <c r="E55" s="193"/>
    </row>
    <row r="56" spans="1:11">
      <c r="A56" s="194" t="s">
        <v>86</v>
      </c>
      <c r="B56" s="195"/>
      <c r="C56" s="196"/>
      <c r="D56" s="196"/>
      <c r="E56" s="196"/>
      <c r="F56" s="197"/>
      <c r="G56" s="196"/>
      <c r="H56" s="198"/>
      <c r="I56" s="199" t="s">
        <v>87</v>
      </c>
      <c r="J56" s="200">
        <f>+D34+'6'!J56</f>
        <v>1670</v>
      </c>
      <c r="K56" s="201">
        <f>J56/(J40+J56/1000)/1000</f>
        <v>6.7908538990480612E-3</v>
      </c>
    </row>
    <row r="57" spans="1:11">
      <c r="A57" s="176"/>
      <c r="I57" s="199" t="s">
        <v>88</v>
      </c>
      <c r="J57" s="200">
        <f>+E34+'6'!J57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H10" sqref="H10"/>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85546875" style="149" bestFit="1" customWidth="1"/>
    <col min="12" max="12" width="8.28515625" style="149" customWidth="1"/>
    <col min="13" max="13" width="14.5703125" style="149" bestFit="1" customWidth="1"/>
    <col min="14" max="16384" width="9.140625" style="149"/>
  </cols>
  <sheetData>
    <row r="1" spans="1:18" ht="15.75">
      <c r="A1" s="148"/>
    </row>
    <row r="2" spans="1:18" ht="15.75">
      <c r="A2" s="148" t="s">
        <v>185</v>
      </c>
    </row>
    <row r="3" spans="1:18" ht="15">
      <c r="A3" s="150"/>
    </row>
    <row r="4" spans="1:18" ht="20.25">
      <c r="A4" s="151" t="s">
        <v>3</v>
      </c>
      <c r="B4" s="152"/>
      <c r="F4" s="153" t="s">
        <v>29</v>
      </c>
      <c r="G4" s="154">
        <v>6</v>
      </c>
      <c r="H4" s="154" t="str">
        <f>+'1'!H4</f>
        <v>.9.25</v>
      </c>
      <c r="J4" s="149">
        <f>503+504+430</f>
        <v>1437</v>
      </c>
    </row>
    <row r="5" spans="1:18" ht="13.5" thickBot="1">
      <c r="C5" s="155"/>
      <c r="D5" s="155"/>
    </row>
    <row r="6" spans="1:18"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49">
        <v>1230</v>
      </c>
      <c r="O6" s="149">
        <f>+N6-(N6*0.25)</f>
        <v>922.5</v>
      </c>
      <c r="P6" s="149">
        <f>60*1+35</f>
        <v>95</v>
      </c>
      <c r="Q6" s="149">
        <f t="shared" ref="Q6:Q11" si="0">+N6*P6</f>
        <v>116850</v>
      </c>
      <c r="R6" s="149">
        <f t="shared" ref="R6:R11" si="1">+O6*P6</f>
        <v>87637.5</v>
      </c>
    </row>
    <row r="7" spans="1:18" ht="13.5" customHeight="1" thickBot="1">
      <c r="A7" s="765"/>
      <c r="B7" s="215" t="s">
        <v>471</v>
      </c>
      <c r="C7" s="216">
        <v>3763</v>
      </c>
      <c r="D7" s="217"/>
      <c r="E7" s="218"/>
      <c r="F7" s="228"/>
      <c r="G7" s="229" t="s">
        <v>12</v>
      </c>
      <c r="H7" s="230" t="s">
        <v>466</v>
      </c>
      <c r="I7" s="768" t="s">
        <v>481</v>
      </c>
      <c r="J7" s="214" t="str">
        <f>+'5'!J7</f>
        <v>F 12 VP OW</v>
      </c>
      <c r="K7" s="238"/>
      <c r="L7" s="242"/>
      <c r="M7" s="117">
        <f>+K7+'5'!M7+L7</f>
        <v>96351</v>
      </c>
      <c r="O7" s="149">
        <f>+N7-(N7*0.25)</f>
        <v>0</v>
      </c>
      <c r="Q7" s="149">
        <f t="shared" si="0"/>
        <v>0</v>
      </c>
      <c r="R7" s="149">
        <f t="shared" si="1"/>
        <v>0</v>
      </c>
    </row>
    <row r="8" spans="1:18" ht="13.5" thickBot="1">
      <c r="A8" s="766"/>
      <c r="B8" s="215"/>
      <c r="C8" s="216"/>
      <c r="D8" s="217"/>
      <c r="E8" s="219"/>
      <c r="F8" s="231"/>
      <c r="G8" s="560" t="s">
        <v>12</v>
      </c>
      <c r="H8" s="230" t="s">
        <v>432</v>
      </c>
      <c r="I8" s="769"/>
      <c r="J8" s="214" t="str">
        <f>+'5'!J8</f>
        <v>F 13 VP OW</v>
      </c>
      <c r="K8" s="239"/>
      <c r="L8" s="239"/>
      <c r="M8" s="117">
        <f>+K8+'5'!M8+L8</f>
        <v>23228</v>
      </c>
      <c r="O8" s="149">
        <f>+N8-(N8*0.2)</f>
        <v>0</v>
      </c>
      <c r="Q8" s="149">
        <f t="shared" si="0"/>
        <v>0</v>
      </c>
      <c r="R8" s="149">
        <f t="shared" si="1"/>
        <v>0</v>
      </c>
    </row>
    <row r="9" spans="1:18" ht="13.5" thickBot="1">
      <c r="A9" s="766"/>
      <c r="B9" s="215"/>
      <c r="C9" s="216"/>
      <c r="D9" s="217"/>
      <c r="E9" s="220"/>
      <c r="F9" s="228">
        <v>12</v>
      </c>
      <c r="G9" s="560" t="s">
        <v>12</v>
      </c>
      <c r="H9" s="233" t="s">
        <v>484</v>
      </c>
      <c r="I9" s="769"/>
      <c r="J9" s="214" t="str">
        <f>+'5'!J9</f>
        <v>F 14 VP OW</v>
      </c>
      <c r="K9" s="239">
        <f>+C34</f>
        <v>22628</v>
      </c>
      <c r="L9" s="239"/>
      <c r="M9" s="117">
        <f>+K9+'5'!M9+L9</f>
        <v>90181</v>
      </c>
      <c r="O9" s="149">
        <f>+N9-(N9*0.2)</f>
        <v>0</v>
      </c>
      <c r="Q9" s="149">
        <f t="shared" si="0"/>
        <v>0</v>
      </c>
      <c r="R9" s="149">
        <f t="shared" si="1"/>
        <v>0</v>
      </c>
    </row>
    <row r="10" spans="1:18" ht="26.25" thickBot="1">
      <c r="A10" s="766"/>
      <c r="B10" s="215"/>
      <c r="C10" s="216"/>
      <c r="D10" s="217"/>
      <c r="E10" s="219"/>
      <c r="F10" s="228"/>
      <c r="G10" s="237" t="s">
        <v>13</v>
      </c>
      <c r="H10" s="233" t="s">
        <v>499</v>
      </c>
      <c r="I10" s="769"/>
      <c r="J10" s="214">
        <f>+'5'!J10</f>
        <v>0</v>
      </c>
      <c r="K10" s="239"/>
      <c r="L10" s="239"/>
      <c r="M10" s="117">
        <f>+K10+'5'!M10+L10</f>
        <v>0</v>
      </c>
      <c r="O10" s="149">
        <f>+N10-(N10*0.23)</f>
        <v>0</v>
      </c>
      <c r="Q10" s="149">
        <f t="shared" si="0"/>
        <v>0</v>
      </c>
      <c r="R10" s="149">
        <f t="shared" si="1"/>
        <v>0</v>
      </c>
    </row>
    <row r="11" spans="1:18" ht="102.75" thickBot="1">
      <c r="A11" s="766"/>
      <c r="B11" s="215"/>
      <c r="C11" s="216"/>
      <c r="D11" s="217"/>
      <c r="E11" s="219"/>
      <c r="F11" s="228">
        <v>385</v>
      </c>
      <c r="G11" s="232" t="s">
        <v>68</v>
      </c>
      <c r="H11" s="233" t="s">
        <v>480</v>
      </c>
      <c r="I11" s="769"/>
      <c r="J11" s="214">
        <f>+'5'!J11</f>
        <v>0</v>
      </c>
      <c r="K11" s="239"/>
      <c r="L11" s="239"/>
      <c r="M11" s="117">
        <f>+K11+'5'!M11+L11</f>
        <v>0</v>
      </c>
      <c r="O11" s="149">
        <f>+N11-(N11*0.23)</f>
        <v>0</v>
      </c>
      <c r="Q11" s="149">
        <f t="shared" si="0"/>
        <v>0</v>
      </c>
      <c r="R11" s="149">
        <f t="shared" si="1"/>
        <v>0</v>
      </c>
    </row>
    <row r="12" spans="1:18" ht="13.5" thickBot="1">
      <c r="A12" s="766"/>
      <c r="B12" s="215"/>
      <c r="C12" s="216"/>
      <c r="D12" s="217"/>
      <c r="E12" s="219"/>
      <c r="F12" s="228"/>
      <c r="G12" s="232"/>
      <c r="H12" s="233"/>
      <c r="I12" s="769"/>
      <c r="J12" s="214">
        <f>+'5'!J12</f>
        <v>0</v>
      </c>
      <c r="K12" s="239"/>
      <c r="L12" s="239"/>
      <c r="M12" s="117">
        <f>+K12+'5'!M12+L12</f>
        <v>0</v>
      </c>
    </row>
    <row r="13" spans="1:18" ht="13.5" thickBot="1">
      <c r="A13" s="766"/>
      <c r="B13" s="215"/>
      <c r="C13" s="216"/>
      <c r="D13" s="216"/>
      <c r="E13" s="219"/>
      <c r="F13" s="228"/>
      <c r="G13" s="232"/>
      <c r="H13" s="233"/>
      <c r="I13" s="770"/>
      <c r="J13" s="214">
        <f>+'5'!J13</f>
        <v>0</v>
      </c>
      <c r="K13" s="239"/>
      <c r="L13" s="239"/>
      <c r="M13" s="117">
        <f>+K13+'5'!M13+L13</f>
        <v>0</v>
      </c>
    </row>
    <row r="14" spans="1:18" ht="13.5" thickBot="1">
      <c r="A14" s="767"/>
      <c r="B14" s="165" t="s">
        <v>2</v>
      </c>
      <c r="C14" s="99">
        <f>SUM(C7:C13)</f>
        <v>3763</v>
      </c>
      <c r="D14" s="111">
        <f>SUM(D7:D13)</f>
        <v>0</v>
      </c>
      <c r="E14" s="112">
        <f>SUM(E5:E13)</f>
        <v>0</v>
      </c>
      <c r="F14" s="116">
        <f>SUM(F7:F13)</f>
        <v>397</v>
      </c>
      <c r="G14" s="159"/>
      <c r="H14" s="166"/>
      <c r="I14" s="167"/>
      <c r="J14" s="214">
        <f>+'5'!J14</f>
        <v>0</v>
      </c>
      <c r="K14" s="239"/>
      <c r="L14" s="239"/>
      <c r="M14" s="117">
        <f>+K14+'5'!M14+L14</f>
        <v>0</v>
      </c>
      <c r="P14" s="176">
        <f>SUM(P6:P11)</f>
        <v>95</v>
      </c>
      <c r="Q14" s="176">
        <f>SUM(Q6:Q11)</f>
        <v>116850</v>
      </c>
      <c r="R14" s="176">
        <f>SUM(R6:R11)</f>
        <v>87637.5</v>
      </c>
    </row>
    <row r="15" spans="1:18" ht="13.5" customHeight="1" thickBot="1">
      <c r="A15" s="765"/>
      <c r="B15" s="165"/>
      <c r="C15" s="113">
        <f>C14/($C$23+$D$23+$E$23)</f>
        <v>0.86109839816933642</v>
      </c>
      <c r="D15" s="114">
        <f>D14/($C$23+$D$23+$E$23)</f>
        <v>0</v>
      </c>
      <c r="E15" s="115">
        <f>E14/($C$23+$D$23+$E$23)</f>
        <v>0</v>
      </c>
      <c r="F15" s="228">
        <v>6</v>
      </c>
      <c r="G15" s="229" t="s">
        <v>12</v>
      </c>
      <c r="H15" s="230" t="s">
        <v>402</v>
      </c>
      <c r="I15" s="768" t="s">
        <v>482</v>
      </c>
      <c r="J15" s="214">
        <f>+'5'!J15</f>
        <v>0</v>
      </c>
      <c r="K15" s="239"/>
      <c r="L15" s="239"/>
      <c r="M15" s="117">
        <f>+K15+'5'!M15+L15</f>
        <v>0</v>
      </c>
      <c r="O15" s="149" t="s">
        <v>424</v>
      </c>
      <c r="P15" s="149">
        <f>480-P14</f>
        <v>385</v>
      </c>
      <c r="Q15" s="176">
        <f>+Q14/P14</f>
        <v>1230</v>
      </c>
      <c r="R15" s="176">
        <f>+R14/P14</f>
        <v>922.5</v>
      </c>
    </row>
    <row r="16" spans="1:18" ht="13.5" thickBot="1">
      <c r="A16" s="771"/>
      <c r="B16" s="215" t="s">
        <v>471</v>
      </c>
      <c r="C16" s="222">
        <v>4370</v>
      </c>
      <c r="D16" s="223"/>
      <c r="E16" s="224"/>
      <c r="F16" s="231"/>
      <c r="G16" s="560" t="s">
        <v>12</v>
      </c>
      <c r="H16" s="230" t="s">
        <v>432</v>
      </c>
      <c r="I16" s="769"/>
      <c r="J16" s="214">
        <f>+'5'!J16</f>
        <v>0</v>
      </c>
      <c r="K16" s="229"/>
      <c r="L16" s="229"/>
      <c r="M16" s="117">
        <f>+K16+'5'!M16+L16</f>
        <v>0</v>
      </c>
    </row>
    <row r="17" spans="1:18" ht="13.5" thickBot="1">
      <c r="A17" s="771"/>
      <c r="B17" s="215"/>
      <c r="C17" s="216"/>
      <c r="D17" s="217"/>
      <c r="E17" s="225"/>
      <c r="F17" s="231">
        <v>8</v>
      </c>
      <c r="G17" s="560" t="s">
        <v>12</v>
      </c>
      <c r="H17" s="233" t="s">
        <v>409</v>
      </c>
      <c r="I17" s="769"/>
      <c r="J17" s="214">
        <f>+'5'!J17</f>
        <v>0</v>
      </c>
      <c r="K17" s="229"/>
      <c r="L17" s="229"/>
      <c r="M17" s="117">
        <f>+K17+'5'!M17+L17</f>
        <v>0</v>
      </c>
      <c r="N17" s="149">
        <v>1100</v>
      </c>
      <c r="O17" s="149">
        <f>+N17-(N17*0.25)</f>
        <v>825</v>
      </c>
      <c r="P17" s="149">
        <f>350/2</f>
        <v>175</v>
      </c>
      <c r="Q17" s="149">
        <f t="shared" ref="Q17:Q22" si="2">+N17*P17</f>
        <v>192500</v>
      </c>
      <c r="R17" s="149">
        <f t="shared" ref="R17:R22" si="3">+O17*P17</f>
        <v>144375</v>
      </c>
    </row>
    <row r="18" spans="1:18" ht="26.25" thickBot="1">
      <c r="A18" s="771"/>
      <c r="B18" s="215"/>
      <c r="C18" s="216"/>
      <c r="D18" s="217"/>
      <c r="E18" s="225"/>
      <c r="F18" s="228"/>
      <c r="G18" s="237" t="s">
        <v>13</v>
      </c>
      <c r="H18" s="233" t="s">
        <v>499</v>
      </c>
      <c r="I18" s="769"/>
      <c r="J18" s="214">
        <f>+'5'!J18</f>
        <v>0</v>
      </c>
      <c r="K18" s="239"/>
      <c r="L18" s="239"/>
      <c r="M18" s="117">
        <f>+K18+'5'!M18+L18</f>
        <v>0</v>
      </c>
      <c r="N18" s="149">
        <v>1210</v>
      </c>
      <c r="O18" s="149">
        <f>+N18-(N18*0.25)</f>
        <v>907.5</v>
      </c>
      <c r="P18" s="149">
        <v>175</v>
      </c>
      <c r="Q18" s="149">
        <f t="shared" si="2"/>
        <v>211750</v>
      </c>
      <c r="R18" s="149">
        <f t="shared" si="3"/>
        <v>158812.5</v>
      </c>
    </row>
    <row r="19" spans="1:18" ht="123" customHeight="1" thickBot="1">
      <c r="A19" s="771"/>
      <c r="B19" s="215"/>
      <c r="C19" s="216"/>
      <c r="D19" s="217"/>
      <c r="E19" s="225"/>
      <c r="F19" s="235">
        <v>130</v>
      </c>
      <c r="G19" s="232" t="s">
        <v>68</v>
      </c>
      <c r="H19" s="233" t="s">
        <v>479</v>
      </c>
      <c r="I19" s="769"/>
      <c r="J19" s="214">
        <f>+'5'!J19</f>
        <v>0</v>
      </c>
      <c r="K19" s="239"/>
      <c r="L19" s="239"/>
      <c r="M19" s="117">
        <f>+K19+'5'!M19+L19</f>
        <v>0</v>
      </c>
      <c r="O19" s="149">
        <f>+N19-(N19*0.2)</f>
        <v>0</v>
      </c>
      <c r="Q19" s="149">
        <f t="shared" si="2"/>
        <v>0</v>
      </c>
      <c r="R19" s="149">
        <f t="shared" si="3"/>
        <v>0</v>
      </c>
    </row>
    <row r="20" spans="1:18" ht="13.5" thickBot="1">
      <c r="A20" s="771"/>
      <c r="B20" s="215"/>
      <c r="C20" s="216"/>
      <c r="D20" s="217"/>
      <c r="E20" s="225"/>
      <c r="F20" s="228"/>
      <c r="G20" s="232"/>
      <c r="H20" s="233"/>
      <c r="I20" s="769"/>
      <c r="J20" s="214">
        <f>+'5'!J20</f>
        <v>0</v>
      </c>
      <c r="K20" s="240"/>
      <c r="L20" s="240"/>
      <c r="M20" s="117">
        <f>+K20+'5'!M20+L20</f>
        <v>0</v>
      </c>
      <c r="O20" s="149">
        <f>+N20-(N20*0.2)</f>
        <v>0</v>
      </c>
      <c r="Q20" s="149">
        <f t="shared" si="2"/>
        <v>0</v>
      </c>
      <c r="R20" s="149">
        <f t="shared" si="3"/>
        <v>0</v>
      </c>
    </row>
    <row r="21" spans="1:18" ht="13.5" thickBot="1">
      <c r="A21" s="771"/>
      <c r="B21" s="215"/>
      <c r="C21" s="216"/>
      <c r="D21" s="217"/>
      <c r="E21" s="225"/>
      <c r="F21" s="231"/>
      <c r="G21" s="232"/>
      <c r="H21" s="233"/>
      <c r="I21" s="769"/>
      <c r="J21" s="214">
        <f>+'5'!J21</f>
        <v>0</v>
      </c>
      <c r="K21" s="239"/>
      <c r="L21" s="239"/>
      <c r="M21" s="117">
        <f>+K21+'5'!M21+L21</f>
        <v>0</v>
      </c>
      <c r="O21" s="149">
        <f>+N21-(N21*0.23)</f>
        <v>0</v>
      </c>
      <c r="Q21" s="149">
        <f t="shared" si="2"/>
        <v>0</v>
      </c>
      <c r="R21" s="149">
        <f t="shared" si="3"/>
        <v>0</v>
      </c>
    </row>
    <row r="22" spans="1:18" ht="13.5" thickBot="1">
      <c r="A22" s="771"/>
      <c r="B22" s="215"/>
      <c r="C22" s="216"/>
      <c r="D22" s="217"/>
      <c r="E22" s="225"/>
      <c r="F22" s="236"/>
      <c r="G22" s="232"/>
      <c r="H22" s="233"/>
      <c r="I22" s="770"/>
      <c r="J22" s="214">
        <f>+'5'!J22</f>
        <v>0</v>
      </c>
      <c r="K22" s="239"/>
      <c r="L22" s="239"/>
      <c r="M22" s="117">
        <f>+K22+'5'!M22+L22</f>
        <v>0</v>
      </c>
      <c r="O22" s="149">
        <f>+N22-(N22*0.23)</f>
        <v>0</v>
      </c>
      <c r="Q22" s="149">
        <f t="shared" si="2"/>
        <v>0</v>
      </c>
      <c r="R22" s="149">
        <f t="shared" si="3"/>
        <v>0</v>
      </c>
    </row>
    <row r="23" spans="1:18" ht="13.5" thickBot="1">
      <c r="A23" s="772"/>
      <c r="B23" s="168" t="s">
        <v>2</v>
      </c>
      <c r="C23" s="100">
        <f>SUM(C16:C22)</f>
        <v>4370</v>
      </c>
      <c r="D23" s="111">
        <f>SUM(D16:D22)</f>
        <v>0</v>
      </c>
      <c r="E23" s="112">
        <f>SUM(E18:E22)</f>
        <v>0</v>
      </c>
      <c r="F23" s="116">
        <f>SUM(F15:F22)</f>
        <v>144</v>
      </c>
      <c r="G23" s="159"/>
      <c r="H23" s="166"/>
      <c r="I23" s="169"/>
      <c r="J23" s="214">
        <f>+'5'!J23</f>
        <v>0</v>
      </c>
      <c r="K23" s="239"/>
      <c r="L23" s="239"/>
      <c r="M23" s="117">
        <f>+K23+'5'!M23+L23</f>
        <v>0</v>
      </c>
    </row>
    <row r="24" spans="1:18" ht="13.5" customHeight="1" thickBot="1">
      <c r="A24" s="765"/>
      <c r="B24" s="170"/>
      <c r="C24" s="113">
        <f>C23/($C$23+$D$23+$E$23)</f>
        <v>1</v>
      </c>
      <c r="D24" s="114">
        <f>D23/($C$23+$D$23+$E$23)</f>
        <v>0</v>
      </c>
      <c r="E24" s="115">
        <f>E23/($C$23+$D$23+$E$23)</f>
        <v>0</v>
      </c>
      <c r="F24" s="228">
        <v>6</v>
      </c>
      <c r="G24" s="229" t="s">
        <v>12</v>
      </c>
      <c r="H24" s="230" t="s">
        <v>402</v>
      </c>
      <c r="I24" s="768" t="s">
        <v>483</v>
      </c>
      <c r="J24" s="214">
        <f>+'5'!J24</f>
        <v>0</v>
      </c>
      <c r="K24" s="239"/>
      <c r="L24" s="239"/>
      <c r="M24" s="117">
        <f>+K24+'5'!M24+L24</f>
        <v>0</v>
      </c>
    </row>
    <row r="25" spans="1:18" ht="13.5" thickBot="1">
      <c r="A25" s="771"/>
      <c r="B25" s="215" t="s">
        <v>471</v>
      </c>
      <c r="C25" s="226">
        <v>14495</v>
      </c>
      <c r="D25" s="217"/>
      <c r="E25" s="225"/>
      <c r="F25" s="231"/>
      <c r="G25" s="560" t="s">
        <v>12</v>
      </c>
      <c r="H25" s="230" t="s">
        <v>432</v>
      </c>
      <c r="I25" s="769"/>
      <c r="J25" s="214">
        <f>+'5'!J25</f>
        <v>0</v>
      </c>
      <c r="K25" s="239"/>
      <c r="L25" s="239"/>
      <c r="M25" s="117">
        <f>+K25+'5'!M25+L25</f>
        <v>0</v>
      </c>
      <c r="P25" s="176">
        <f>SUM(P17:P22)</f>
        <v>350</v>
      </c>
      <c r="Q25" s="176">
        <f>SUM(Q17:Q22)</f>
        <v>404250</v>
      </c>
      <c r="R25" s="176">
        <f>SUM(R17:R22)</f>
        <v>303187.5</v>
      </c>
    </row>
    <row r="26" spans="1:18" ht="13.5" thickBot="1">
      <c r="A26" s="771"/>
      <c r="B26" s="215"/>
      <c r="C26" s="226"/>
      <c r="D26" s="217"/>
      <c r="E26" s="227"/>
      <c r="F26" s="228">
        <f>15-6</f>
        <v>9</v>
      </c>
      <c r="G26" s="560" t="s">
        <v>12</v>
      </c>
      <c r="H26" s="233" t="s">
        <v>467</v>
      </c>
      <c r="I26" s="769"/>
      <c r="J26" s="214">
        <f>+'5'!J26</f>
        <v>0</v>
      </c>
      <c r="K26" s="239"/>
      <c r="L26" s="239"/>
      <c r="M26" s="117">
        <f>+K26+'5'!M26+L26</f>
        <v>0</v>
      </c>
      <c r="O26" s="149" t="s">
        <v>424</v>
      </c>
      <c r="P26" s="149">
        <f>120+10</f>
        <v>130</v>
      </c>
      <c r="Q26" s="176">
        <f>+Q25/P25</f>
        <v>1155</v>
      </c>
      <c r="R26" s="176">
        <f>+R25/P25</f>
        <v>866.25</v>
      </c>
    </row>
    <row r="27" spans="1:18" ht="39" thickBot="1">
      <c r="A27" s="771"/>
      <c r="B27" s="215"/>
      <c r="C27" s="216"/>
      <c r="D27" s="217"/>
      <c r="E27" s="225"/>
      <c r="F27" s="228"/>
      <c r="G27" s="237" t="s">
        <v>13</v>
      </c>
      <c r="H27" s="233" t="s">
        <v>498</v>
      </c>
      <c r="I27" s="769"/>
      <c r="J27" s="214">
        <f>+'5'!J27</f>
        <v>0</v>
      </c>
      <c r="K27" s="239"/>
      <c r="L27" s="239"/>
      <c r="M27" s="117">
        <f>+K27+'5'!M27+L27</f>
        <v>0</v>
      </c>
      <c r="N27" s="149">
        <v>1210</v>
      </c>
      <c r="O27" s="149">
        <f>+N27-(N27*0.25)</f>
        <v>907.5</v>
      </c>
      <c r="P27" s="149">
        <v>480</v>
      </c>
      <c r="Q27" s="149">
        <f t="shared" ref="Q27:Q32" si="4">+N27*P27</f>
        <v>580800</v>
      </c>
      <c r="R27" s="149">
        <f t="shared" ref="R27:R32" si="5">+O27*P27</f>
        <v>435600</v>
      </c>
    </row>
    <row r="28" spans="1:18" ht="13.5" thickBot="1">
      <c r="A28" s="771"/>
      <c r="B28" s="215"/>
      <c r="C28" s="216"/>
      <c r="D28" s="217"/>
      <c r="E28" s="225"/>
      <c r="F28" s="231"/>
      <c r="G28" s="232"/>
      <c r="H28" s="233" t="s">
        <v>478</v>
      </c>
      <c r="I28" s="769"/>
      <c r="J28" s="214">
        <f>+'5'!J28</f>
        <v>0</v>
      </c>
      <c r="K28" s="239"/>
      <c r="L28" s="239"/>
      <c r="M28" s="117">
        <f>+K28+'5'!M28+L28</f>
        <v>0</v>
      </c>
      <c r="O28" s="149">
        <f>+N28-(N28*0.25)</f>
        <v>0</v>
      </c>
      <c r="Q28" s="149">
        <f t="shared" si="4"/>
        <v>0</v>
      </c>
      <c r="R28" s="149">
        <f t="shared" si="5"/>
        <v>0</v>
      </c>
    </row>
    <row r="29" spans="1:18" ht="13.5" thickBot="1">
      <c r="A29" s="771"/>
      <c r="B29" s="215"/>
      <c r="C29" s="216"/>
      <c r="D29" s="217"/>
      <c r="E29" s="225"/>
      <c r="F29" s="236"/>
      <c r="G29" s="232"/>
      <c r="H29" s="233"/>
      <c r="I29" s="769"/>
      <c r="J29" s="214">
        <f>+'5'!J29</f>
        <v>0</v>
      </c>
      <c r="K29" s="239"/>
      <c r="L29" s="239"/>
      <c r="M29" s="117">
        <f>+K29+'5'!M29+L29</f>
        <v>0</v>
      </c>
      <c r="O29" s="149">
        <f>+N29-(N29*0.2)</f>
        <v>0</v>
      </c>
      <c r="Q29" s="149">
        <f t="shared" si="4"/>
        <v>0</v>
      </c>
      <c r="R29" s="149">
        <f t="shared" si="5"/>
        <v>0</v>
      </c>
    </row>
    <row r="30" spans="1:18" ht="13.5" thickBot="1">
      <c r="A30" s="771"/>
      <c r="B30" s="215"/>
      <c r="C30" s="226"/>
      <c r="D30" s="217"/>
      <c r="E30" s="225"/>
      <c r="F30" s="236"/>
      <c r="G30" s="232"/>
      <c r="H30" s="233"/>
      <c r="I30" s="769"/>
      <c r="J30" s="214">
        <f>+'5'!J30</f>
        <v>0</v>
      </c>
      <c r="K30" s="239"/>
      <c r="L30" s="239"/>
      <c r="M30" s="117">
        <f>+K30+'5'!M30+L30</f>
        <v>0</v>
      </c>
      <c r="O30" s="149">
        <f>+N30-(N30*0.2)</f>
        <v>0</v>
      </c>
      <c r="Q30" s="149">
        <f t="shared" si="4"/>
        <v>0</v>
      </c>
      <c r="R30" s="149">
        <f t="shared" si="5"/>
        <v>0</v>
      </c>
    </row>
    <row r="31" spans="1:18" ht="13.5" thickBot="1">
      <c r="A31" s="771"/>
      <c r="B31" s="215"/>
      <c r="C31" s="226"/>
      <c r="D31" s="217"/>
      <c r="E31" s="225"/>
      <c r="F31" s="236"/>
      <c r="G31" s="237"/>
      <c r="H31" s="445"/>
      <c r="I31" s="770"/>
      <c r="J31" s="214">
        <f>+'5'!J31</f>
        <v>0</v>
      </c>
      <c r="K31" s="239"/>
      <c r="L31" s="239"/>
      <c r="M31" s="117">
        <f>+K31+'5'!M31+L31</f>
        <v>0</v>
      </c>
      <c r="O31" s="149">
        <f>+N31-(N31*0.23)</f>
        <v>0</v>
      </c>
      <c r="Q31" s="149">
        <f t="shared" si="4"/>
        <v>0</v>
      </c>
      <c r="R31" s="149">
        <f t="shared" si="5"/>
        <v>0</v>
      </c>
    </row>
    <row r="32" spans="1:18" ht="13.5" thickBot="1">
      <c r="A32" s="772"/>
      <c r="B32" s="165" t="s">
        <v>2</v>
      </c>
      <c r="C32" s="99">
        <f>SUM(C25:C31)</f>
        <v>14495</v>
      </c>
      <c r="D32" s="100">
        <f>SUM(D25:D31)</f>
        <v>0</v>
      </c>
      <c r="E32" s="101">
        <f>SUM(E25:E31)</f>
        <v>0</v>
      </c>
      <c r="F32" s="102">
        <f>SUM(F24:F31)</f>
        <v>15</v>
      </c>
      <c r="G32" s="171"/>
      <c r="H32" s="172"/>
      <c r="I32" s="169"/>
      <c r="J32" s="214">
        <f>+'5'!J32</f>
        <v>0</v>
      </c>
      <c r="K32" s="241"/>
      <c r="L32" s="243"/>
      <c r="M32" s="117">
        <f>+K32+'5'!M32+L32</f>
        <v>0</v>
      </c>
      <c r="O32" s="149">
        <f>+N32-(N32*0.23)</f>
        <v>0</v>
      </c>
      <c r="Q32" s="149">
        <f t="shared" si="4"/>
        <v>0</v>
      </c>
      <c r="R32" s="149">
        <f t="shared" si="5"/>
        <v>0</v>
      </c>
    </row>
    <row r="33" spans="1:18" ht="13.5" thickBot="1">
      <c r="A33" s="173"/>
      <c r="B33" s="174"/>
      <c r="C33" s="103">
        <f>C32/($C$32+$D$32+$E$32)</f>
        <v>1</v>
      </c>
      <c r="D33" s="104">
        <f>D32/($C$32+$D$32+$E$32)</f>
        <v>0</v>
      </c>
      <c r="E33" s="105">
        <f>E32/($C$32+$D$32+$E$32)</f>
        <v>0</v>
      </c>
      <c r="F33" s="106"/>
      <c r="G33" s="175"/>
      <c r="H33" s="176"/>
      <c r="I33" s="177"/>
      <c r="J33" s="121"/>
      <c r="K33" s="122"/>
      <c r="L33" s="213"/>
      <c r="M33" s="119"/>
    </row>
    <row r="34" spans="1:18" ht="13.5" thickBot="1">
      <c r="A34" s="761" t="s">
        <v>57</v>
      </c>
      <c r="B34" s="762"/>
      <c r="C34" s="107">
        <f>C14+C23+C32</f>
        <v>22628</v>
      </c>
      <c r="D34" s="107">
        <f>D14+D23+D32</f>
        <v>0</v>
      </c>
      <c r="E34" s="107">
        <f>E14+E23+E32</f>
        <v>0</v>
      </c>
      <c r="F34" s="108">
        <f>F14+F23+F32</f>
        <v>556</v>
      </c>
      <c r="H34" s="178"/>
      <c r="I34" s="178"/>
      <c r="J34" s="123" t="s">
        <v>28</v>
      </c>
      <c r="K34" s="124">
        <f>SUM(K7:K32)</f>
        <v>22628</v>
      </c>
      <c r="L34" s="212">
        <f>SUM(L7:L32)</f>
        <v>0</v>
      </c>
      <c r="M34" s="120">
        <f>SUM(M7:M32)</f>
        <v>209760</v>
      </c>
    </row>
    <row r="35" spans="1:18" ht="13.5" thickBot="1">
      <c r="A35" s="179"/>
      <c r="B35" s="180"/>
      <c r="C35" s="104">
        <f>C34/($C$34+$D$34+$E$34)</f>
        <v>1</v>
      </c>
      <c r="D35" s="104">
        <f>D34/($C$34+$D$34+$E$34)</f>
        <v>0</v>
      </c>
      <c r="E35" s="109">
        <f>E34/($C$34+$D$34+$E$34)</f>
        <v>0</v>
      </c>
      <c r="K35" s="155"/>
      <c r="P35" s="176">
        <f>SUM(P27:P32)</f>
        <v>480</v>
      </c>
      <c r="Q35" s="176">
        <f>SUM(Q27:Q32)</f>
        <v>580800</v>
      </c>
      <c r="R35" s="176">
        <f>SUM(R27:R32)</f>
        <v>435600</v>
      </c>
    </row>
    <row r="36" spans="1:18" ht="13.5" thickBot="1">
      <c r="A36" s="178"/>
      <c r="B36" s="178"/>
      <c r="C36" s="155"/>
      <c r="D36" s="155"/>
      <c r="E36" s="155"/>
      <c r="G36" s="155"/>
      <c r="H36" s="181"/>
      <c r="I36" s="162" t="s">
        <v>37</v>
      </c>
      <c r="J36" s="162" t="s">
        <v>38</v>
      </c>
      <c r="K36" s="182"/>
      <c r="O36" s="149" t="s">
        <v>424</v>
      </c>
      <c r="P36" s="149">
        <v>0</v>
      </c>
      <c r="Q36" s="176">
        <f>+Q35/P35</f>
        <v>1210</v>
      </c>
      <c r="R36" s="176">
        <f>+R35/P35</f>
        <v>907.5</v>
      </c>
    </row>
    <row r="37" spans="1:18" ht="17.45" customHeight="1" thickBot="1">
      <c r="A37" s="763" t="s">
        <v>58</v>
      </c>
      <c r="B37" s="764"/>
      <c r="C37" s="162" t="s">
        <v>59</v>
      </c>
      <c r="D37" s="183" t="s">
        <v>60</v>
      </c>
      <c r="E37" s="184" t="s">
        <v>61</v>
      </c>
      <c r="F37" s="322"/>
      <c r="G37" s="324"/>
      <c r="H37" s="186" t="s">
        <v>62</v>
      </c>
      <c r="I37" s="244">
        <f>(14*925)/925*G42*2.74*925/1000000</f>
        <v>31.701662999999996</v>
      </c>
      <c r="J37" s="125">
        <f>+I37+'5'!J37</f>
        <v>268.63676164465068</v>
      </c>
      <c r="K37" s="126" t="s">
        <v>63</v>
      </c>
    </row>
    <row r="38" spans="1:18" ht="17.45" customHeight="1">
      <c r="A38" s="755" t="s">
        <v>12</v>
      </c>
      <c r="B38" s="756"/>
      <c r="C38" s="164">
        <f>SUMIF($G$7:$G$31,"Process",$F$7:$F$31)</f>
        <v>41</v>
      </c>
      <c r="D38" s="118">
        <f>+C38+'5'!D38</f>
        <v>428</v>
      </c>
      <c r="E38" s="143">
        <f t="shared" ref="E38:E51" si="6">D38/60</f>
        <v>7.1333333333333337</v>
      </c>
      <c r="F38" s="322">
        <v>1230</v>
      </c>
      <c r="G38" s="322">
        <v>922.5</v>
      </c>
      <c r="H38" s="187" t="s">
        <v>64</v>
      </c>
      <c r="I38" s="245">
        <f>3.676+8.325+15.339</f>
        <v>27.34</v>
      </c>
      <c r="J38" s="127">
        <f>+I38+'5'!J38</f>
        <v>228.41800000000003</v>
      </c>
      <c r="K38" s="128" t="s">
        <v>63</v>
      </c>
      <c r="N38" s="149">
        <v>95</v>
      </c>
    </row>
    <row r="39" spans="1:18" ht="17.45" customHeight="1">
      <c r="A39" s="759" t="s">
        <v>13</v>
      </c>
      <c r="B39" s="760"/>
      <c r="C39" s="164">
        <f>SUMIF($G$7:$G$31,"Cleaning",$F$7:$F$31)</f>
        <v>0</v>
      </c>
      <c r="D39" s="118">
        <f>+C39+'5'!D39</f>
        <v>0</v>
      </c>
      <c r="E39" s="143">
        <f t="shared" si="6"/>
        <v>0</v>
      </c>
      <c r="F39" s="322">
        <v>1155</v>
      </c>
      <c r="G39" s="322">
        <v>866.25</v>
      </c>
      <c r="H39" s="187" t="s">
        <v>65</v>
      </c>
      <c r="I39" s="142"/>
      <c r="J39" s="129">
        <f>J37/G4</f>
        <v>44.772793607441777</v>
      </c>
      <c r="K39" s="130" t="s">
        <v>63</v>
      </c>
      <c r="N39" s="149">
        <v>350</v>
      </c>
    </row>
    <row r="40" spans="1:18" ht="17.45" customHeight="1">
      <c r="A40" s="759" t="s">
        <v>66</v>
      </c>
      <c r="B40" s="760"/>
      <c r="C40" s="164">
        <f>SUMIF($G$7:$G$31,"Mechanical",$F$7:$F$31)</f>
        <v>0</v>
      </c>
      <c r="D40" s="118">
        <f>+C40+'5'!D40</f>
        <v>0</v>
      </c>
      <c r="E40" s="143">
        <f t="shared" si="6"/>
        <v>0</v>
      </c>
      <c r="F40" s="322">
        <v>1210</v>
      </c>
      <c r="G40" s="322">
        <v>907.5</v>
      </c>
      <c r="H40" s="187" t="s">
        <v>67</v>
      </c>
      <c r="I40" s="118">
        <f>(K34+L34)/1000</f>
        <v>22.628</v>
      </c>
      <c r="J40" s="131">
        <f>+I40+'5'!J40</f>
        <v>209.76</v>
      </c>
      <c r="K40" s="130" t="s">
        <v>63</v>
      </c>
      <c r="N40" s="149">
        <v>480</v>
      </c>
    </row>
    <row r="41" spans="1:18" ht="17.45" customHeight="1">
      <c r="A41" s="759" t="s">
        <v>68</v>
      </c>
      <c r="B41" s="760"/>
      <c r="C41" s="164">
        <f>SUMIF($G$7:$G$31,"Electrical",$F$7:$F$31)</f>
        <v>515</v>
      </c>
      <c r="D41" s="118">
        <f>+C41+'5'!D41</f>
        <v>515</v>
      </c>
      <c r="E41" s="143">
        <f t="shared" si="6"/>
        <v>8.5833333333333339</v>
      </c>
      <c r="F41" s="322"/>
      <c r="G41" s="322"/>
      <c r="H41" s="187" t="s">
        <v>69</v>
      </c>
      <c r="I41" s="142"/>
      <c r="J41" s="129">
        <f>J40/G4</f>
        <v>34.96</v>
      </c>
      <c r="K41" s="130" t="s">
        <v>63</v>
      </c>
      <c r="N41" s="149">
        <f>+N38+N39+N40</f>
        <v>925</v>
      </c>
    </row>
    <row r="42" spans="1:18" ht="17.45" customHeight="1">
      <c r="A42" s="759" t="s">
        <v>16</v>
      </c>
      <c r="B42" s="760"/>
      <c r="C42" s="164">
        <f>SUMIF($G$7:$G$31,"Instrument",$F$7:$F$31)</f>
        <v>0</v>
      </c>
      <c r="D42" s="118">
        <f>+C42+'5'!D42</f>
        <v>0</v>
      </c>
      <c r="E42" s="143">
        <f t="shared" si="6"/>
        <v>0</v>
      </c>
      <c r="F42" s="322">
        <f>+(F38*95+350*F39+480*F40)/925</f>
        <v>1191.2432432432433</v>
      </c>
      <c r="G42" s="322">
        <f>+(G38*95+350*G39+480*G40)/925</f>
        <v>893.43243243243239</v>
      </c>
      <c r="H42" s="187" t="s">
        <v>70</v>
      </c>
      <c r="I42" s="246"/>
      <c r="J42" s="132"/>
      <c r="K42" s="130" t="s">
        <v>71</v>
      </c>
    </row>
    <row r="43" spans="1:18" ht="17.45" customHeight="1">
      <c r="A43" s="759" t="s">
        <v>223</v>
      </c>
      <c r="B43" s="760"/>
      <c r="C43" s="164">
        <f>SUMIF($G$7:$G$31,"Change Grade",$F$7:$F$31)</f>
        <v>0</v>
      </c>
      <c r="D43" s="118">
        <f>+C43+'5'!D43</f>
        <v>0</v>
      </c>
      <c r="E43" s="143">
        <f t="shared" si="6"/>
        <v>0</v>
      </c>
      <c r="F43" s="322"/>
      <c r="G43" s="323"/>
      <c r="H43" s="188" t="s">
        <v>73</v>
      </c>
      <c r="I43" s="118">
        <f>+Report1!Z14</f>
        <v>45.5</v>
      </c>
      <c r="J43" s="133">
        <f>+I43+'5'!J43</f>
        <v>339.2</v>
      </c>
      <c r="K43" s="130" t="s">
        <v>63</v>
      </c>
      <c r="L43" s="189"/>
    </row>
    <row r="44" spans="1:18" ht="17.45" customHeight="1">
      <c r="A44" s="759" t="s">
        <v>17</v>
      </c>
      <c r="B44" s="760"/>
      <c r="C44" s="164">
        <f>SUMIF($G$7:$G$31,"PLN",$F$7:$F$31)</f>
        <v>0</v>
      </c>
      <c r="D44" s="118">
        <f>+C44+'5'!D44</f>
        <v>0</v>
      </c>
      <c r="E44" s="143">
        <f t="shared" si="6"/>
        <v>0</v>
      </c>
      <c r="F44" s="322"/>
      <c r="G44" s="323"/>
      <c r="H44" s="188" t="s">
        <v>74</v>
      </c>
      <c r="I44" s="118">
        <f>I43/I38</f>
        <v>1.664228237015362</v>
      </c>
      <c r="J44" s="134">
        <f>J43/J38</f>
        <v>1.484996804104755</v>
      </c>
      <c r="K44" s="130" t="s">
        <v>63</v>
      </c>
    </row>
    <row r="45" spans="1:18" ht="17.45" customHeight="1">
      <c r="A45" s="759" t="s">
        <v>18</v>
      </c>
      <c r="B45" s="760"/>
      <c r="C45" s="164">
        <f>SUMIF($G$7:$G$31,"Boiler",$F$7:$F$31)</f>
        <v>0</v>
      </c>
      <c r="D45" s="118">
        <f>+C45+'5'!D45</f>
        <v>0</v>
      </c>
      <c r="E45" s="143">
        <f t="shared" si="6"/>
        <v>0</v>
      </c>
      <c r="F45" s="322"/>
      <c r="G45" s="325"/>
      <c r="H45" s="188" t="s">
        <v>75</v>
      </c>
      <c r="I45" s="118">
        <f>I43/I40</f>
        <v>2.0107831005833479</v>
      </c>
      <c r="J45" s="134">
        <f>J43/J40</f>
        <v>1.6170861937452328</v>
      </c>
      <c r="K45" s="130" t="s">
        <v>63</v>
      </c>
    </row>
    <row r="46" spans="1:18" ht="17.45" customHeight="1">
      <c r="A46" s="759" t="s">
        <v>76</v>
      </c>
      <c r="B46" s="760"/>
      <c r="C46" s="164">
        <f>SUMIF($G$7:$G$31,"Gas",$F$7:$F$31)</f>
        <v>0</v>
      </c>
      <c r="D46" s="118">
        <f>+C46+'5'!D46</f>
        <v>0</v>
      </c>
      <c r="E46" s="143">
        <f t="shared" si="6"/>
        <v>0</v>
      </c>
      <c r="F46" s="322"/>
      <c r="G46" s="323"/>
      <c r="H46" s="188" t="s">
        <v>77</v>
      </c>
      <c r="I46" s="140">
        <f>+SUMIF(Listrik!P13,"&gt;0")</f>
        <v>23766.2</v>
      </c>
      <c r="J46" s="135">
        <f>+I46+'5'!J46</f>
        <v>199764.98000000074</v>
      </c>
      <c r="K46" s="130" t="s">
        <v>78</v>
      </c>
    </row>
    <row r="47" spans="1:18" ht="17.45" customHeight="1">
      <c r="A47" s="759" t="s">
        <v>79</v>
      </c>
      <c r="B47" s="760"/>
      <c r="C47" s="164">
        <f>SUMIF($G$7:$G$31,"Gas",$F$7:$F$31)</f>
        <v>0</v>
      </c>
      <c r="D47" s="118">
        <f>+C47+'5'!D47</f>
        <v>0</v>
      </c>
      <c r="E47" s="143">
        <f t="shared" si="6"/>
        <v>0</v>
      </c>
      <c r="F47" s="322"/>
      <c r="G47" s="323"/>
      <c r="H47" s="188" t="s">
        <v>80</v>
      </c>
      <c r="I47" s="118">
        <f>I46/I38</f>
        <v>869.28310168251653</v>
      </c>
      <c r="J47" s="135">
        <f>J46/J38</f>
        <v>874.5588351180761</v>
      </c>
      <c r="K47" s="130" t="s">
        <v>24</v>
      </c>
    </row>
    <row r="48" spans="1:18" ht="17.45" customHeight="1">
      <c r="A48" s="759" t="s">
        <v>14</v>
      </c>
      <c r="B48" s="760"/>
      <c r="C48" s="164">
        <f>SUMIF($G$7:$G$31,"Start Up",$F$7:$F$31)</f>
        <v>0</v>
      </c>
      <c r="D48" s="118">
        <f>+C48+'5'!D48</f>
        <v>0</v>
      </c>
      <c r="E48" s="143">
        <f t="shared" si="6"/>
        <v>0</v>
      </c>
      <c r="F48" s="322"/>
      <c r="G48" s="323"/>
      <c r="H48" s="188" t="s">
        <v>81</v>
      </c>
      <c r="I48" s="118">
        <f>I46/I40</f>
        <v>1050.3005126392081</v>
      </c>
      <c r="J48" s="135">
        <f>J46/J40</f>
        <v>952.35020976354281</v>
      </c>
      <c r="K48" s="130" t="s">
        <v>24</v>
      </c>
    </row>
    <row r="49" spans="1:11" ht="17.45" customHeight="1">
      <c r="A49" s="759" t="s">
        <v>20</v>
      </c>
      <c r="B49" s="760"/>
      <c r="C49" s="164">
        <f>SUMIF($G$7:$G$31,"Others",$F$7:$F$31)</f>
        <v>0</v>
      </c>
      <c r="D49" s="118">
        <f>+C49+'5'!D49</f>
        <v>0</v>
      </c>
      <c r="E49" s="143">
        <f t="shared" si="6"/>
        <v>0</v>
      </c>
      <c r="F49" s="185"/>
      <c r="H49" s="188" t="s">
        <v>271</v>
      </c>
      <c r="I49" s="118">
        <f>+Report1!T14</f>
        <v>2573.5487363287029</v>
      </c>
      <c r="J49" s="135">
        <f>+I49+'5'!J49</f>
        <v>21065.265102852652</v>
      </c>
      <c r="K49" s="130" t="s">
        <v>82</v>
      </c>
    </row>
    <row r="50" spans="1:11" ht="17.45" customHeight="1">
      <c r="A50" s="759" t="s">
        <v>19</v>
      </c>
      <c r="B50" s="760"/>
      <c r="C50" s="164">
        <f>SUMIF($G$7:$G$31,"Steam",$F$7:$F$31)</f>
        <v>0</v>
      </c>
      <c r="D50" s="118">
        <f>+C50+'5'!D50</f>
        <v>0</v>
      </c>
      <c r="E50" s="143">
        <f t="shared" si="6"/>
        <v>0</v>
      </c>
      <c r="F50" s="185"/>
      <c r="H50" s="188" t="s">
        <v>83</v>
      </c>
      <c r="I50" s="140">
        <f>I49/I38</f>
        <v>94.131263216119351</v>
      </c>
      <c r="J50" s="133">
        <f>J49/J38</f>
        <v>92.222439137251214</v>
      </c>
      <c r="K50" s="130" t="s">
        <v>82</v>
      </c>
    </row>
    <row r="51" spans="1:11" ht="17.45" customHeight="1" thickBot="1">
      <c r="A51" s="753" t="s">
        <v>84</v>
      </c>
      <c r="B51" s="754"/>
      <c r="C51" s="164">
        <f>SUMIF($G$7:$G$31,"Planned shut",$F$7:$F$31)</f>
        <v>0</v>
      </c>
      <c r="D51" s="118">
        <f>+C51+'5'!D51</f>
        <v>0</v>
      </c>
      <c r="E51" s="143">
        <f t="shared" si="6"/>
        <v>0</v>
      </c>
      <c r="F51" s="185"/>
      <c r="H51" s="190" t="s">
        <v>85</v>
      </c>
      <c r="I51" s="141">
        <f>I49/I40</f>
        <v>113.73292983598652</v>
      </c>
      <c r="J51" s="136">
        <f>J49/J40</f>
        <v>100.42555827065529</v>
      </c>
      <c r="K51" s="137" t="s">
        <v>82</v>
      </c>
    </row>
    <row r="52" spans="1:11" ht="13.5" thickBot="1">
      <c r="A52" s="755" t="s">
        <v>28</v>
      </c>
      <c r="B52" s="756"/>
      <c r="C52" s="144">
        <f>SUM(C38:C51)</f>
        <v>556</v>
      </c>
      <c r="D52" s="144">
        <f>SUM(D38:D51)</f>
        <v>943</v>
      </c>
      <c r="E52" s="145">
        <f>SUM(E38:E51)</f>
        <v>15.716666666666669</v>
      </c>
      <c r="F52" s="185"/>
      <c r="H52" s="191"/>
      <c r="I52" s="192"/>
      <c r="J52" s="138"/>
      <c r="K52" s="139"/>
    </row>
    <row r="53" spans="1:11" ht="13.5" thickBot="1">
      <c r="A53" s="757"/>
      <c r="B53" s="758"/>
      <c r="C53" s="146">
        <f>C52/(24*60)</f>
        <v>0.38611111111111113</v>
      </c>
      <c r="D53" s="146">
        <f>D52/(24*60*G4)</f>
        <v>0.10914351851851851</v>
      </c>
      <c r="E53" s="147">
        <f>E52/(G4*24)</f>
        <v>0.10914351851851853</v>
      </c>
      <c r="F53" s="185"/>
    </row>
    <row r="54" spans="1:11">
      <c r="E54" s="193"/>
      <c r="F54" s="185"/>
    </row>
    <row r="55" spans="1:11">
      <c r="E55" s="193"/>
    </row>
    <row r="56" spans="1:11">
      <c r="A56" s="194" t="s">
        <v>86</v>
      </c>
      <c r="B56" s="195"/>
      <c r="C56" s="196"/>
      <c r="D56" s="196"/>
      <c r="E56" s="196"/>
      <c r="F56" s="197"/>
      <c r="G56" s="196"/>
      <c r="H56" s="198"/>
      <c r="I56" s="199" t="s">
        <v>87</v>
      </c>
      <c r="J56" s="200">
        <f>+D34+'5'!J56</f>
        <v>1670</v>
      </c>
      <c r="K56" s="201">
        <f>J56/(J40+J56/1000)/1000</f>
        <v>7.8985952797616232E-3</v>
      </c>
    </row>
    <row r="57" spans="1:11">
      <c r="A57" s="176"/>
      <c r="I57" s="199" t="s">
        <v>88</v>
      </c>
      <c r="J57" s="200">
        <f>+E34+'5'!J57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9513888888888889" right="0.19513888888888889" top="0.17" bottom="0.16" header="0" footer="0"/>
  <pageSetup paperSize="9" scale="60" firstPageNumber="4294963191" fitToWidth="3"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
  <sheetViews>
    <sheetView view="pageBreakPreview" topLeftCell="E1" zoomScale="80" zoomScaleNormal="75" zoomScaleSheetLayoutView="80" workbookViewId="0">
      <selection activeCell="H11" sqref="H1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customWidth="1"/>
    <col min="12" max="12" width="8.28515625" style="149" customWidth="1"/>
    <col min="13" max="13" width="15.5703125" style="149" bestFit="1" customWidth="1"/>
    <col min="14" max="16384" width="9.140625" style="149"/>
  </cols>
  <sheetData>
    <row r="1" spans="1:18" ht="15.75">
      <c r="A1" s="148"/>
    </row>
    <row r="2" spans="1:18" ht="15.75">
      <c r="A2" s="148" t="s">
        <v>185</v>
      </c>
    </row>
    <row r="3" spans="1:18" ht="15">
      <c r="A3" s="150"/>
    </row>
    <row r="4" spans="1:18" ht="20.25">
      <c r="A4" s="151" t="s">
        <v>3</v>
      </c>
      <c r="B4" s="152"/>
      <c r="F4" s="153" t="s">
        <v>29</v>
      </c>
      <c r="G4" s="154">
        <v>5</v>
      </c>
      <c r="H4" s="154" t="str">
        <f>+'1'!H4</f>
        <v>.9.25</v>
      </c>
      <c r="J4" s="149">
        <f>480+562+580</f>
        <v>1622</v>
      </c>
    </row>
    <row r="5" spans="1:18" ht="13.5" thickBot="1">
      <c r="C5" s="155"/>
      <c r="D5" s="155"/>
    </row>
    <row r="6" spans="1:18"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8" ht="13.5" customHeight="1" thickBot="1">
      <c r="A7" s="765"/>
      <c r="B7" s="215" t="s">
        <v>471</v>
      </c>
      <c r="C7" s="216">
        <v>14123</v>
      </c>
      <c r="D7" s="217"/>
      <c r="E7" s="218"/>
      <c r="F7" s="228"/>
      <c r="G7" s="229" t="s">
        <v>12</v>
      </c>
      <c r="H7" s="230" t="s">
        <v>466</v>
      </c>
      <c r="I7" s="768" t="s">
        <v>481</v>
      </c>
      <c r="J7" s="214" t="str">
        <f>+'4'!J7</f>
        <v>F 12 VP OW</v>
      </c>
      <c r="K7" s="238"/>
      <c r="L7" s="242"/>
      <c r="M7" s="117">
        <f>+K7+'4'!M7+L7</f>
        <v>96351</v>
      </c>
      <c r="N7" s="149">
        <v>1230</v>
      </c>
      <c r="O7" s="149">
        <f>+N7-(N7*0.25)</f>
        <v>922.5</v>
      </c>
      <c r="P7" s="149">
        <v>1440</v>
      </c>
      <c r="Q7" s="149">
        <f t="shared" ref="Q7:Q12" si="0">+N7*P7</f>
        <v>1771200</v>
      </c>
      <c r="R7" s="149">
        <f t="shared" ref="R7:R12" si="1">+O7*P7</f>
        <v>1328400</v>
      </c>
    </row>
    <row r="8" spans="1:18" ht="13.5" thickBot="1">
      <c r="A8" s="766"/>
      <c r="B8" s="215"/>
      <c r="C8" s="216"/>
      <c r="D8" s="217"/>
      <c r="E8" s="219"/>
      <c r="F8" s="231">
        <v>2</v>
      </c>
      <c r="G8" s="560" t="s">
        <v>12</v>
      </c>
      <c r="H8" s="230" t="s">
        <v>452</v>
      </c>
      <c r="I8" s="769"/>
      <c r="J8" s="214" t="str">
        <f>+'4'!J8</f>
        <v>F 13 VP OW</v>
      </c>
      <c r="K8" s="239"/>
      <c r="L8" s="239"/>
      <c r="M8" s="117">
        <f>+K8+'4'!M8+L8</f>
        <v>23228</v>
      </c>
      <c r="O8" s="149">
        <f>+N8-(N8*0.25)</f>
        <v>0</v>
      </c>
      <c r="Q8" s="149">
        <f t="shared" si="0"/>
        <v>0</v>
      </c>
      <c r="R8" s="149">
        <f t="shared" si="1"/>
        <v>0</v>
      </c>
    </row>
    <row r="9" spans="1:18" ht="13.5" thickBot="1">
      <c r="A9" s="766"/>
      <c r="B9" s="215"/>
      <c r="C9" s="216"/>
      <c r="D9" s="217"/>
      <c r="E9" s="220"/>
      <c r="F9" s="228">
        <v>16</v>
      </c>
      <c r="G9" s="560" t="s">
        <v>12</v>
      </c>
      <c r="H9" s="233" t="s">
        <v>467</v>
      </c>
      <c r="I9" s="769"/>
      <c r="J9" s="214" t="str">
        <f>+'4'!J9</f>
        <v>F 14 VP OW</v>
      </c>
      <c r="K9" s="239">
        <f>+C34</f>
        <v>41620</v>
      </c>
      <c r="L9" s="239"/>
      <c r="M9" s="117">
        <f>+K9+'4'!M9+L9</f>
        <v>67553</v>
      </c>
      <c r="O9" s="149">
        <f>+N9-(N9*0.2)</f>
        <v>0</v>
      </c>
      <c r="Q9" s="149">
        <f t="shared" si="0"/>
        <v>0</v>
      </c>
      <c r="R9" s="149">
        <f t="shared" si="1"/>
        <v>0</v>
      </c>
    </row>
    <row r="10" spans="1:18" ht="39" thickBot="1">
      <c r="A10" s="766"/>
      <c r="B10" s="215"/>
      <c r="C10" s="216"/>
      <c r="D10" s="217"/>
      <c r="E10" s="219"/>
      <c r="F10" s="228"/>
      <c r="G10" s="237" t="s">
        <v>13</v>
      </c>
      <c r="H10" s="233" t="s">
        <v>496</v>
      </c>
      <c r="I10" s="769"/>
      <c r="J10" s="214">
        <f>+'4'!J10</f>
        <v>0</v>
      </c>
      <c r="K10" s="239"/>
      <c r="L10" s="239"/>
      <c r="M10" s="117">
        <f>+K10+'4'!M10+L10</f>
        <v>0</v>
      </c>
      <c r="O10" s="149">
        <f>+N10-(N10*0.2)</f>
        <v>0</v>
      </c>
      <c r="Q10" s="149">
        <f t="shared" si="0"/>
        <v>0</v>
      </c>
      <c r="R10" s="149">
        <f t="shared" si="1"/>
        <v>0</v>
      </c>
    </row>
    <row r="11" spans="1:18" ht="13.5" thickBot="1">
      <c r="A11" s="766"/>
      <c r="B11" s="215"/>
      <c r="C11" s="216"/>
      <c r="D11" s="217"/>
      <c r="E11" s="219"/>
      <c r="F11" s="228"/>
      <c r="G11" s="232"/>
      <c r="H11" s="233"/>
      <c r="I11" s="769"/>
      <c r="J11" s="214">
        <f>+'4'!J11</f>
        <v>0</v>
      </c>
      <c r="K11" s="239"/>
      <c r="L11" s="239"/>
      <c r="M11" s="117">
        <f>+K11+'4'!M11+L11</f>
        <v>0</v>
      </c>
      <c r="O11" s="149">
        <f>+N11-(N11*0.23)</f>
        <v>0</v>
      </c>
      <c r="Q11" s="149">
        <f t="shared" si="0"/>
        <v>0</v>
      </c>
      <c r="R11" s="149">
        <f t="shared" si="1"/>
        <v>0</v>
      </c>
    </row>
    <row r="12" spans="1:18" ht="13.5" thickBot="1">
      <c r="A12" s="766"/>
      <c r="B12" s="215"/>
      <c r="C12" s="216"/>
      <c r="D12" s="217"/>
      <c r="E12" s="219"/>
      <c r="F12" s="228"/>
      <c r="G12" s="232"/>
      <c r="H12" s="233"/>
      <c r="I12" s="769"/>
      <c r="J12" s="214">
        <f>+'4'!J12</f>
        <v>0</v>
      </c>
      <c r="K12" s="239"/>
      <c r="L12" s="239"/>
      <c r="M12" s="117">
        <f>+K12+'4'!M12+L12</f>
        <v>0</v>
      </c>
      <c r="O12" s="149">
        <f>+N12-(N12*0.23)</f>
        <v>0</v>
      </c>
      <c r="Q12" s="149">
        <f t="shared" si="0"/>
        <v>0</v>
      </c>
      <c r="R12" s="149">
        <f t="shared" si="1"/>
        <v>0</v>
      </c>
    </row>
    <row r="13" spans="1:18" ht="13.5" thickBot="1">
      <c r="A13" s="766"/>
      <c r="B13" s="215"/>
      <c r="C13" s="216"/>
      <c r="D13" s="216"/>
      <c r="E13" s="219"/>
      <c r="F13" s="228"/>
      <c r="G13" s="232"/>
      <c r="H13" s="233"/>
      <c r="I13" s="770"/>
      <c r="J13" s="214">
        <f>+'4'!J13</f>
        <v>0</v>
      </c>
      <c r="K13" s="239"/>
      <c r="L13" s="239"/>
      <c r="M13" s="117">
        <f>+K13+'4'!M13+L13</f>
        <v>0</v>
      </c>
    </row>
    <row r="14" spans="1:18" ht="13.5" thickBot="1">
      <c r="A14" s="767"/>
      <c r="B14" s="165" t="s">
        <v>2</v>
      </c>
      <c r="C14" s="99">
        <f>SUM(C7:C13)</f>
        <v>14123</v>
      </c>
      <c r="D14" s="111">
        <f>SUM(D7:D13)</f>
        <v>0</v>
      </c>
      <c r="E14" s="112">
        <f>SUM(E5:E13)</f>
        <v>0</v>
      </c>
      <c r="F14" s="116">
        <f>SUM(F7:F13)</f>
        <v>18</v>
      </c>
      <c r="G14" s="159"/>
      <c r="H14" s="166"/>
      <c r="I14" s="167"/>
      <c r="J14" s="214">
        <f>+'4'!J14</f>
        <v>0</v>
      </c>
      <c r="K14" s="239"/>
      <c r="L14" s="239"/>
      <c r="M14" s="117">
        <f>+K14+'4'!M14+L14</f>
        <v>0</v>
      </c>
    </row>
    <row r="15" spans="1:18" ht="13.5" customHeight="1" thickBot="1">
      <c r="A15" s="765"/>
      <c r="B15" s="165"/>
      <c r="C15" s="113">
        <f>C14/($C$23+$D$23+$E$23)</f>
        <v>1.0657259281617868</v>
      </c>
      <c r="D15" s="114">
        <f>D14/($C$23+$D$23+$E$23)</f>
        <v>0</v>
      </c>
      <c r="E15" s="115">
        <f>E14/($C$23+$D$23+$E$23)</f>
        <v>0</v>
      </c>
      <c r="F15" s="228">
        <v>6</v>
      </c>
      <c r="G15" s="229" t="s">
        <v>12</v>
      </c>
      <c r="H15" s="230" t="s">
        <v>402</v>
      </c>
      <c r="I15" s="768" t="s">
        <v>481</v>
      </c>
      <c r="J15" s="214">
        <f>+'4'!J15</f>
        <v>0</v>
      </c>
      <c r="K15" s="239"/>
      <c r="L15" s="239"/>
      <c r="M15" s="117">
        <f>+K15+'4'!M15+L15</f>
        <v>0</v>
      </c>
      <c r="P15" s="176">
        <f>SUM(P7:P12)</f>
        <v>1440</v>
      </c>
      <c r="Q15" s="176">
        <f>SUM(Q7:Q12)</f>
        <v>1771200</v>
      </c>
      <c r="R15" s="176">
        <f>SUM(R7:R12)</f>
        <v>1328400</v>
      </c>
    </row>
    <row r="16" spans="1:18" ht="13.5" thickBot="1">
      <c r="A16" s="771"/>
      <c r="B16" s="215" t="s">
        <v>471</v>
      </c>
      <c r="C16" s="222">
        <v>13252</v>
      </c>
      <c r="D16" s="223"/>
      <c r="E16" s="224"/>
      <c r="F16" s="231">
        <v>2</v>
      </c>
      <c r="G16" s="560" t="s">
        <v>12</v>
      </c>
      <c r="H16" s="230" t="s">
        <v>452</v>
      </c>
      <c r="I16" s="769"/>
      <c r="J16" s="214">
        <f>+'4'!J16</f>
        <v>0</v>
      </c>
      <c r="K16" s="229"/>
      <c r="L16" s="229"/>
      <c r="M16" s="117">
        <f>+K16+'4'!M16+L16</f>
        <v>0</v>
      </c>
      <c r="Q16" s="176">
        <f>+Q15/P15</f>
        <v>1230</v>
      </c>
      <c r="R16" s="176">
        <f>+R15/P15</f>
        <v>922.5</v>
      </c>
    </row>
    <row r="17" spans="1:13" ht="13.5" thickBot="1">
      <c r="A17" s="771"/>
      <c r="B17" s="215"/>
      <c r="C17" s="216"/>
      <c r="D17" s="217"/>
      <c r="E17" s="225"/>
      <c r="F17" s="228">
        <f>26-8</f>
        <v>18</v>
      </c>
      <c r="G17" s="560" t="s">
        <v>12</v>
      </c>
      <c r="H17" s="233" t="s">
        <v>405</v>
      </c>
      <c r="I17" s="769"/>
      <c r="J17" s="214">
        <f>+'4'!J17</f>
        <v>0</v>
      </c>
      <c r="K17" s="229"/>
      <c r="L17" s="229"/>
      <c r="M17" s="117">
        <f>+K17+'4'!M17+L17</f>
        <v>0</v>
      </c>
    </row>
    <row r="18" spans="1:13" ht="26.25" thickBot="1">
      <c r="A18" s="771"/>
      <c r="B18" s="215"/>
      <c r="C18" s="216"/>
      <c r="D18" s="217"/>
      <c r="E18" s="225"/>
      <c r="F18" s="228"/>
      <c r="G18" s="237" t="s">
        <v>13</v>
      </c>
      <c r="H18" s="233" t="s">
        <v>497</v>
      </c>
      <c r="I18" s="769"/>
      <c r="J18" s="214">
        <f>+'4'!J18</f>
        <v>0</v>
      </c>
      <c r="K18" s="239"/>
      <c r="L18" s="239"/>
      <c r="M18" s="117">
        <f>+K18+'4'!M18+L18</f>
        <v>0</v>
      </c>
    </row>
    <row r="19" spans="1:13" ht="13.5" thickBot="1">
      <c r="A19" s="771"/>
      <c r="B19" s="215"/>
      <c r="C19" s="216"/>
      <c r="D19" s="217"/>
      <c r="E19" s="225"/>
      <c r="F19" s="235"/>
      <c r="G19" s="232"/>
      <c r="H19" s="233"/>
      <c r="I19" s="769"/>
      <c r="J19" s="214">
        <f>+'4'!J19</f>
        <v>0</v>
      </c>
      <c r="K19" s="239"/>
      <c r="L19" s="239"/>
      <c r="M19" s="117">
        <f>+K19+'4'!M19+L19</f>
        <v>0</v>
      </c>
    </row>
    <row r="20" spans="1:13" ht="13.5" thickBot="1">
      <c r="A20" s="771"/>
      <c r="B20" s="215"/>
      <c r="C20" s="216"/>
      <c r="D20" s="217"/>
      <c r="E20" s="225"/>
      <c r="F20" s="228"/>
      <c r="G20" s="232"/>
      <c r="H20" s="233"/>
      <c r="I20" s="769"/>
      <c r="J20" s="214">
        <f>+'4'!J20</f>
        <v>0</v>
      </c>
      <c r="K20" s="240"/>
      <c r="L20" s="240"/>
      <c r="M20" s="117">
        <f>+K20+'4'!M20+L20</f>
        <v>0</v>
      </c>
    </row>
    <row r="21" spans="1:13" ht="13.5" thickBot="1">
      <c r="A21" s="771"/>
      <c r="B21" s="215"/>
      <c r="C21" s="216"/>
      <c r="D21" s="217"/>
      <c r="E21" s="225"/>
      <c r="F21" s="231"/>
      <c r="G21" s="232"/>
      <c r="H21" s="233"/>
      <c r="I21" s="769"/>
      <c r="J21" s="214">
        <f>+'4'!J21</f>
        <v>0</v>
      </c>
      <c r="K21" s="239"/>
      <c r="L21" s="239"/>
      <c r="M21" s="117">
        <f>+K21+'4'!M21+L21</f>
        <v>0</v>
      </c>
    </row>
    <row r="22" spans="1:13" ht="13.5" thickBot="1">
      <c r="A22" s="771"/>
      <c r="B22" s="215"/>
      <c r="C22" s="216"/>
      <c r="D22" s="217"/>
      <c r="E22" s="225"/>
      <c r="F22" s="236"/>
      <c r="G22" s="232"/>
      <c r="H22" s="233"/>
      <c r="I22" s="770"/>
      <c r="J22" s="214">
        <f>+'4'!J22</f>
        <v>0</v>
      </c>
      <c r="K22" s="239"/>
      <c r="L22" s="239"/>
      <c r="M22" s="117">
        <f>+K22+'4'!M22+L22</f>
        <v>0</v>
      </c>
    </row>
    <row r="23" spans="1:13" ht="13.5" thickBot="1">
      <c r="A23" s="772"/>
      <c r="B23" s="168" t="s">
        <v>2</v>
      </c>
      <c r="C23" s="100">
        <f>SUM(C16:C22)</f>
        <v>13252</v>
      </c>
      <c r="D23" s="111">
        <f>SUM(D16:D22)</f>
        <v>0</v>
      </c>
      <c r="E23" s="112">
        <f>SUM(E18:E22)</f>
        <v>0</v>
      </c>
      <c r="F23" s="116">
        <f>SUM(F15:F22)</f>
        <v>26</v>
      </c>
      <c r="G23" s="159"/>
      <c r="H23" s="166"/>
      <c r="I23" s="169"/>
      <c r="J23" s="214">
        <f>+'4'!J23</f>
        <v>0</v>
      </c>
      <c r="K23" s="239"/>
      <c r="L23" s="239"/>
      <c r="M23" s="117">
        <f>+K23+'4'!M23+L23</f>
        <v>0</v>
      </c>
    </row>
    <row r="24" spans="1:13" ht="13.5" customHeight="1" thickBot="1">
      <c r="A24" s="765"/>
      <c r="B24" s="170"/>
      <c r="C24" s="113">
        <f>C23/($C$23+$D$23+$E$23)</f>
        <v>1</v>
      </c>
      <c r="D24" s="114">
        <f>D23/($C$23+$D$23+$E$23)</f>
        <v>0</v>
      </c>
      <c r="E24" s="115">
        <f>E23/($C$23+$D$23+$E$23)</f>
        <v>0</v>
      </c>
      <c r="F24" s="228">
        <v>12</v>
      </c>
      <c r="G24" s="229" t="s">
        <v>12</v>
      </c>
      <c r="H24" s="230" t="s">
        <v>402</v>
      </c>
      <c r="I24" s="768" t="s">
        <v>481</v>
      </c>
      <c r="J24" s="214">
        <f>+'4'!J24</f>
        <v>0</v>
      </c>
      <c r="K24" s="239"/>
      <c r="L24" s="239"/>
      <c r="M24" s="117">
        <f>+K24+'4'!M24+L24</f>
        <v>0</v>
      </c>
    </row>
    <row r="25" spans="1:13" ht="13.5" thickBot="1">
      <c r="A25" s="771"/>
      <c r="B25" s="215" t="s">
        <v>471</v>
      </c>
      <c r="C25" s="226">
        <v>14245</v>
      </c>
      <c r="D25" s="217"/>
      <c r="E25" s="225"/>
      <c r="F25" s="231"/>
      <c r="G25" s="560" t="s">
        <v>12</v>
      </c>
      <c r="H25" s="230" t="s">
        <v>432</v>
      </c>
      <c r="I25" s="769"/>
      <c r="J25" s="214">
        <f>+'4'!J25</f>
        <v>0</v>
      </c>
      <c r="K25" s="239"/>
      <c r="L25" s="239"/>
      <c r="M25" s="117">
        <f>+K25+'4'!M25+L25</f>
        <v>0</v>
      </c>
    </row>
    <row r="26" spans="1:13" ht="13.5" thickBot="1">
      <c r="A26" s="771"/>
      <c r="B26" s="215"/>
      <c r="C26" s="226"/>
      <c r="D26" s="217"/>
      <c r="E26" s="227"/>
      <c r="F26" s="228">
        <v>20</v>
      </c>
      <c r="G26" s="560" t="s">
        <v>12</v>
      </c>
      <c r="H26" s="233" t="s">
        <v>386</v>
      </c>
      <c r="I26" s="769"/>
      <c r="J26" s="214">
        <f>+'4'!J26</f>
        <v>0</v>
      </c>
      <c r="K26" s="239"/>
      <c r="L26" s="239"/>
      <c r="M26" s="117">
        <f>+K26+'4'!M26+L26</f>
        <v>0</v>
      </c>
    </row>
    <row r="27" spans="1:13" ht="26.25" thickBot="1">
      <c r="A27" s="771"/>
      <c r="B27" s="215"/>
      <c r="C27" s="216"/>
      <c r="D27" s="217"/>
      <c r="E27" s="225"/>
      <c r="F27" s="228"/>
      <c r="G27" s="237" t="s">
        <v>13</v>
      </c>
      <c r="H27" s="233" t="s">
        <v>497</v>
      </c>
      <c r="I27" s="769"/>
      <c r="J27" s="214">
        <f>+'4'!J27</f>
        <v>0</v>
      </c>
      <c r="K27" s="239"/>
      <c r="L27" s="239"/>
      <c r="M27" s="117">
        <f>+K27+'4'!M27+L27</f>
        <v>0</v>
      </c>
    </row>
    <row r="28" spans="1:13" ht="13.5" thickBot="1">
      <c r="A28" s="771"/>
      <c r="B28" s="215"/>
      <c r="C28" s="216"/>
      <c r="D28" s="217"/>
      <c r="E28" s="225"/>
      <c r="F28" s="231"/>
      <c r="G28" s="232"/>
      <c r="H28" s="233"/>
      <c r="I28" s="769"/>
      <c r="J28" s="214">
        <f>+'4'!J28</f>
        <v>0</v>
      </c>
      <c r="K28" s="239"/>
      <c r="L28" s="239"/>
      <c r="M28" s="117">
        <f>+K28+'4'!M28+L28</f>
        <v>0</v>
      </c>
    </row>
    <row r="29" spans="1:13" ht="13.5" thickBot="1">
      <c r="A29" s="771"/>
      <c r="B29" s="215"/>
      <c r="C29" s="216"/>
      <c r="D29" s="217"/>
      <c r="E29" s="225"/>
      <c r="F29" s="236"/>
      <c r="G29" s="232"/>
      <c r="H29" s="233"/>
      <c r="I29" s="769"/>
      <c r="J29" s="214">
        <f>+'4'!J29</f>
        <v>0</v>
      </c>
      <c r="K29" s="239"/>
      <c r="L29" s="239"/>
      <c r="M29" s="117">
        <f>+K29+'4'!M29+L29</f>
        <v>0</v>
      </c>
    </row>
    <row r="30" spans="1:13" ht="13.5" thickBot="1">
      <c r="A30" s="771"/>
      <c r="B30" s="215"/>
      <c r="C30" s="226"/>
      <c r="D30" s="217"/>
      <c r="E30" s="225"/>
      <c r="F30" s="236"/>
      <c r="G30" s="232"/>
      <c r="H30" s="233"/>
      <c r="I30" s="769"/>
      <c r="J30" s="214">
        <f>+'4'!J30</f>
        <v>0</v>
      </c>
      <c r="K30" s="239"/>
      <c r="L30" s="239"/>
      <c r="M30" s="117">
        <f>+K30+'4'!M30+L30</f>
        <v>0</v>
      </c>
    </row>
    <row r="31" spans="1:13" ht="13.5" thickBot="1">
      <c r="A31" s="771"/>
      <c r="B31" s="215"/>
      <c r="C31" s="226"/>
      <c r="D31" s="217"/>
      <c r="E31" s="225"/>
      <c r="F31" s="236"/>
      <c r="G31" s="237"/>
      <c r="H31" s="445"/>
      <c r="I31" s="770"/>
      <c r="J31" s="214">
        <f>+'4'!J31</f>
        <v>0</v>
      </c>
      <c r="K31" s="239"/>
      <c r="L31" s="239"/>
      <c r="M31" s="117">
        <f>+K31+'4'!M31+L31</f>
        <v>0</v>
      </c>
    </row>
    <row r="32" spans="1:13" ht="13.5" thickBot="1">
      <c r="A32" s="772"/>
      <c r="B32" s="165" t="s">
        <v>2</v>
      </c>
      <c r="C32" s="99">
        <f>SUM(C25:C31)</f>
        <v>14245</v>
      </c>
      <c r="D32" s="100">
        <f>SUM(D25:D31)</f>
        <v>0</v>
      </c>
      <c r="E32" s="101">
        <f>SUM(E25:E31)</f>
        <v>0</v>
      </c>
      <c r="F32" s="102">
        <f>SUM(F24:F31)</f>
        <v>32</v>
      </c>
      <c r="G32" s="171"/>
      <c r="H32" s="172"/>
      <c r="I32" s="169"/>
      <c r="J32" s="214">
        <f>+'4'!J32</f>
        <v>0</v>
      </c>
      <c r="K32" s="241"/>
      <c r="L32" s="243"/>
      <c r="M32" s="117">
        <f>+K32+'4'!M32+L32</f>
        <v>0</v>
      </c>
    </row>
    <row r="33" spans="1:13" ht="13.5" thickBot="1">
      <c r="A33" s="173"/>
      <c r="B33" s="174"/>
      <c r="C33" s="103">
        <f>C32/($C$32+$D$32+$E$32)</f>
        <v>1</v>
      </c>
      <c r="D33" s="104">
        <f>D32/($C$32+$D$32+$E$32)</f>
        <v>0</v>
      </c>
      <c r="E33" s="105">
        <f>E32/($C$32+$D$32+$E$32)</f>
        <v>0</v>
      </c>
      <c r="F33" s="106"/>
      <c r="G33" s="175"/>
      <c r="H33" s="176"/>
      <c r="I33" s="177"/>
      <c r="J33" s="121"/>
      <c r="K33" s="122"/>
      <c r="L33" s="213"/>
      <c r="M33" s="119"/>
    </row>
    <row r="34" spans="1:13" ht="13.5" thickBot="1">
      <c r="A34" s="761" t="s">
        <v>57</v>
      </c>
      <c r="B34" s="762"/>
      <c r="C34" s="107">
        <f>C14+C23+C32</f>
        <v>41620</v>
      </c>
      <c r="D34" s="107">
        <f>D14+D23+D32</f>
        <v>0</v>
      </c>
      <c r="E34" s="107">
        <f>E14+E23+E32</f>
        <v>0</v>
      </c>
      <c r="F34" s="108">
        <f>F14+F23+F32</f>
        <v>76</v>
      </c>
      <c r="H34" s="178"/>
      <c r="I34" s="178"/>
      <c r="J34" s="123" t="s">
        <v>28</v>
      </c>
      <c r="K34" s="124">
        <f>SUM(K7:K32)</f>
        <v>41620</v>
      </c>
      <c r="L34" s="212">
        <f>SUM(L7:L32)</f>
        <v>0</v>
      </c>
      <c r="M34" s="120">
        <f>SUM(M7:M32)</f>
        <v>187132</v>
      </c>
    </row>
    <row r="35" spans="1:13" ht="13.5" thickBot="1">
      <c r="A35" s="179"/>
      <c r="B35" s="180"/>
      <c r="C35" s="104">
        <f>C34/($C$34+$D$34+$E$34)</f>
        <v>1</v>
      </c>
      <c r="D35" s="104">
        <f>D34/($C$34+$D$34+$E$34)</f>
        <v>0</v>
      </c>
      <c r="E35" s="109">
        <f>E34/($C$34+$D$34+$E$34)</f>
        <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322"/>
      <c r="G37" s="324"/>
      <c r="H37" s="186" t="s">
        <v>62</v>
      </c>
      <c r="I37" s="244">
        <f>(14*1440)/1440*G42*2.74*1440/1000000</f>
        <v>50.95742400000001</v>
      </c>
      <c r="J37" s="125">
        <f>+I37+'4'!J37</f>
        <v>236.93509864465068</v>
      </c>
      <c r="K37" s="126" t="s">
        <v>63</v>
      </c>
    </row>
    <row r="38" spans="1:13" ht="17.45" customHeight="1">
      <c r="A38" s="755" t="s">
        <v>12</v>
      </c>
      <c r="B38" s="756"/>
      <c r="C38" s="164">
        <f>SUMIF($G$7:$G$31,"Process",$F$7:$F$31)</f>
        <v>76</v>
      </c>
      <c r="D38" s="118">
        <f>+C38+'4'!D38</f>
        <v>387</v>
      </c>
      <c r="E38" s="143">
        <f t="shared" ref="E38:E51" si="2">D38/60</f>
        <v>6.45</v>
      </c>
      <c r="F38" s="322">
        <v>1230</v>
      </c>
      <c r="G38" s="322">
        <v>922.5</v>
      </c>
      <c r="H38" s="187" t="s">
        <v>64</v>
      </c>
      <c r="I38" s="245">
        <f>14.597+13.814+14.394</f>
        <v>42.805</v>
      </c>
      <c r="J38" s="127">
        <f>+I38+'4'!J38</f>
        <v>201.07800000000003</v>
      </c>
      <c r="K38" s="128" t="s">
        <v>63</v>
      </c>
    </row>
    <row r="39" spans="1:13" ht="17.45" customHeight="1">
      <c r="A39" s="759" t="s">
        <v>13</v>
      </c>
      <c r="B39" s="760"/>
      <c r="C39" s="164">
        <f>SUMIF($G$7:$G$31,"Cleaning",$F$7:$F$31)</f>
        <v>0</v>
      </c>
      <c r="D39" s="118">
        <f>+C39+'4'!D39</f>
        <v>0</v>
      </c>
      <c r="E39" s="143">
        <f t="shared" si="2"/>
        <v>0</v>
      </c>
      <c r="F39" s="322">
        <v>1230</v>
      </c>
      <c r="G39" s="322">
        <v>922.5</v>
      </c>
      <c r="H39" s="187" t="s">
        <v>65</v>
      </c>
      <c r="I39" s="142"/>
      <c r="J39" s="129">
        <f>J37/G4</f>
        <v>47.387019728930134</v>
      </c>
      <c r="K39" s="130" t="s">
        <v>63</v>
      </c>
    </row>
    <row r="40" spans="1:13" ht="17.45" customHeight="1">
      <c r="A40" s="759" t="s">
        <v>66</v>
      </c>
      <c r="B40" s="760"/>
      <c r="C40" s="164">
        <f>SUMIF($G$7:$G$31,"Mechanical",$F$7:$F$31)</f>
        <v>0</v>
      </c>
      <c r="D40" s="118">
        <f>+C40+'4'!D40</f>
        <v>0</v>
      </c>
      <c r="E40" s="143">
        <f t="shared" si="2"/>
        <v>0</v>
      </c>
      <c r="F40" s="322">
        <v>1230</v>
      </c>
      <c r="G40" s="322">
        <v>922.5</v>
      </c>
      <c r="H40" s="187" t="s">
        <v>67</v>
      </c>
      <c r="I40" s="118">
        <f>(K34+L34)/1000</f>
        <v>41.62</v>
      </c>
      <c r="J40" s="131">
        <f>+I40+'4'!J40</f>
        <v>187.13200000000001</v>
      </c>
      <c r="K40" s="130" t="s">
        <v>63</v>
      </c>
    </row>
    <row r="41" spans="1:13" ht="17.45" customHeight="1">
      <c r="A41" s="759" t="s">
        <v>68</v>
      </c>
      <c r="B41" s="760"/>
      <c r="C41" s="164">
        <f>SUMIF($G$7:$G$31,"Electrical",$F$7:$F$31)</f>
        <v>0</v>
      </c>
      <c r="D41" s="118">
        <f>+C41+'4'!D41</f>
        <v>0</v>
      </c>
      <c r="E41" s="143">
        <f t="shared" si="2"/>
        <v>0</v>
      </c>
      <c r="F41" s="322"/>
      <c r="G41" s="322"/>
      <c r="H41" s="187" t="s">
        <v>69</v>
      </c>
      <c r="I41" s="142"/>
      <c r="J41" s="129">
        <f>J40/G4</f>
        <v>37.426400000000001</v>
      </c>
      <c r="K41" s="130" t="s">
        <v>63</v>
      </c>
    </row>
    <row r="42" spans="1:13" ht="17.45" customHeight="1">
      <c r="A42" s="759"/>
      <c r="B42" s="760"/>
      <c r="C42" s="164">
        <f>SUMIF($G$7:$G$31,"Instrument",$F$7:$F$31)</f>
        <v>0</v>
      </c>
      <c r="D42" s="118">
        <f>+C42+'4'!D42</f>
        <v>0</v>
      </c>
      <c r="E42" s="143">
        <f t="shared" si="2"/>
        <v>0</v>
      </c>
      <c r="F42" s="322">
        <f>+(480*F38+480*F39+480*F40)/1440</f>
        <v>1230</v>
      </c>
      <c r="G42" s="322">
        <f>+(480*G38+480*G39+480*G40)/1440</f>
        <v>922.5</v>
      </c>
      <c r="H42" s="187" t="s">
        <v>70</v>
      </c>
      <c r="I42" s="246" t="s">
        <v>428</v>
      </c>
      <c r="J42" s="132"/>
      <c r="K42" s="130" t="s">
        <v>71</v>
      </c>
    </row>
    <row r="43" spans="1:13" ht="17.45" customHeight="1">
      <c r="A43" s="759" t="s">
        <v>223</v>
      </c>
      <c r="B43" s="760"/>
      <c r="C43" s="164">
        <f>SUMIF($G$7:$G$31,"Change Grade",$F$7:$F$31)</f>
        <v>0</v>
      </c>
      <c r="D43" s="118">
        <f>+C43+'4'!D43</f>
        <v>0</v>
      </c>
      <c r="E43" s="143">
        <f t="shared" si="2"/>
        <v>0</v>
      </c>
      <c r="F43" s="322"/>
      <c r="G43" s="323"/>
      <c r="H43" s="188" t="s">
        <v>73</v>
      </c>
      <c r="I43" s="118">
        <f>+Report1!Z13</f>
        <v>60.9</v>
      </c>
      <c r="J43" s="133">
        <f>+I43+'4'!J43</f>
        <v>293.7</v>
      </c>
      <c r="K43" s="130" t="s">
        <v>63</v>
      </c>
      <c r="L43" s="189"/>
    </row>
    <row r="44" spans="1:13" ht="17.45" customHeight="1">
      <c r="A44" s="759" t="s">
        <v>17</v>
      </c>
      <c r="B44" s="760"/>
      <c r="C44" s="164">
        <f>SUMIF($G$7:$G$31,"PLN",$F$7:$F$31)</f>
        <v>0</v>
      </c>
      <c r="D44" s="118">
        <f>+C44+'4'!D44</f>
        <v>0</v>
      </c>
      <c r="E44" s="143">
        <f t="shared" si="2"/>
        <v>0</v>
      </c>
      <c r="F44" s="322"/>
      <c r="G44" s="323"/>
      <c r="H44" s="188" t="s">
        <v>74</v>
      </c>
      <c r="I44" s="118">
        <f>I43/I38</f>
        <v>1.4227309893704005</v>
      </c>
      <c r="J44" s="134">
        <f>J43/J38</f>
        <v>1.4606272192880372</v>
      </c>
      <c r="K44" s="130" t="s">
        <v>63</v>
      </c>
    </row>
    <row r="45" spans="1:13" ht="17.45" customHeight="1">
      <c r="A45" s="759" t="s">
        <v>18</v>
      </c>
      <c r="B45" s="760"/>
      <c r="C45" s="164">
        <f>SUMIF($G$7:$G$31,"Boiler",$F$7:$F$31)</f>
        <v>0</v>
      </c>
      <c r="D45" s="118">
        <f>+C45+'4'!D45</f>
        <v>0</v>
      </c>
      <c r="E45" s="143">
        <f t="shared" si="2"/>
        <v>0</v>
      </c>
      <c r="F45" s="322"/>
      <c r="G45" s="325"/>
      <c r="H45" s="188" t="s">
        <v>75</v>
      </c>
      <c r="I45" s="118">
        <f>I43/I40</f>
        <v>1.4632388274867854</v>
      </c>
      <c r="J45" s="134">
        <f>J43/J40</f>
        <v>1.5694803667999058</v>
      </c>
      <c r="K45" s="130" t="s">
        <v>63</v>
      </c>
    </row>
    <row r="46" spans="1:13" ht="17.45" customHeight="1">
      <c r="A46" s="759" t="s">
        <v>76</v>
      </c>
      <c r="B46" s="760"/>
      <c r="C46" s="164">
        <f>SUMIF($G$7:$G$31,"Gas",$F$7:$F$31)</f>
        <v>0</v>
      </c>
      <c r="D46" s="118">
        <f>+C46+'4'!D46</f>
        <v>0</v>
      </c>
      <c r="E46" s="143">
        <f t="shared" si="2"/>
        <v>0</v>
      </c>
      <c r="F46" s="322"/>
      <c r="G46" s="323"/>
      <c r="H46" s="188" t="s">
        <v>77</v>
      </c>
      <c r="I46" s="140">
        <f>+SUMIF(Listrik!P12,"&gt;0")</f>
        <v>34099.459999999635</v>
      </c>
      <c r="J46" s="135">
        <f>+I46+'4'!J46</f>
        <v>175998.78000000073</v>
      </c>
      <c r="K46" s="130" t="s">
        <v>78</v>
      </c>
    </row>
    <row r="47" spans="1:13" ht="17.45" customHeight="1">
      <c r="A47" s="759" t="s">
        <v>79</v>
      </c>
      <c r="B47" s="760"/>
      <c r="C47" s="164">
        <f>SUMIF($G$7:$G$31,"Gas",$F$7:$F$31)</f>
        <v>0</v>
      </c>
      <c r="D47" s="118">
        <f>+C47+'4'!D47</f>
        <v>0</v>
      </c>
      <c r="E47" s="143">
        <f t="shared" si="2"/>
        <v>0</v>
      </c>
      <c r="F47" s="322"/>
      <c r="G47" s="323"/>
      <c r="H47" s="188" t="s">
        <v>80</v>
      </c>
      <c r="I47" s="118">
        <f>I46/I38</f>
        <v>796.62329167152518</v>
      </c>
      <c r="J47" s="135">
        <f>J46/J38</f>
        <v>875.27616148957463</v>
      </c>
      <c r="K47" s="130" t="s">
        <v>24</v>
      </c>
    </row>
    <row r="48" spans="1:13" ht="17.45" customHeight="1">
      <c r="A48" s="759" t="s">
        <v>14</v>
      </c>
      <c r="B48" s="760"/>
      <c r="C48" s="164">
        <f>SUMIF($G$7:$G$31,"Start Up",$F$7:$F$31)</f>
        <v>0</v>
      </c>
      <c r="D48" s="118">
        <f>+C48+'4'!D48</f>
        <v>0</v>
      </c>
      <c r="E48" s="143">
        <f t="shared" si="2"/>
        <v>0</v>
      </c>
      <c r="F48" s="322"/>
      <c r="G48" s="323"/>
      <c r="H48" s="188" t="s">
        <v>81</v>
      </c>
      <c r="I48" s="118">
        <f>I46/I40</f>
        <v>819.30466122055827</v>
      </c>
      <c r="J48" s="135">
        <f>J46/J40</f>
        <v>940.50605989355495</v>
      </c>
      <c r="K48" s="130" t="s">
        <v>24</v>
      </c>
    </row>
    <row r="49" spans="1:11" ht="17.45" customHeight="1">
      <c r="A49" s="759" t="s">
        <v>20</v>
      </c>
      <c r="B49" s="760"/>
      <c r="C49" s="164">
        <f>SUMIF($G$7:$G$31,"Others",$F$7:$F$31)</f>
        <v>0</v>
      </c>
      <c r="D49" s="118">
        <f>+C49+'4'!D49</f>
        <v>0</v>
      </c>
      <c r="E49" s="143">
        <f t="shared" si="2"/>
        <v>0</v>
      </c>
      <c r="F49" s="185"/>
      <c r="H49" s="188" t="s">
        <v>271</v>
      </c>
      <c r="I49" s="118">
        <f>+Report1!T13</f>
        <v>3742.2735549144122</v>
      </c>
      <c r="J49" s="135">
        <f>+I49+'4'!J49</f>
        <v>18491.71636652395</v>
      </c>
      <c r="K49" s="130" t="s">
        <v>82</v>
      </c>
    </row>
    <row r="50" spans="1:11" ht="17.45" customHeight="1">
      <c r="A50" s="759" t="s">
        <v>19</v>
      </c>
      <c r="B50" s="760"/>
      <c r="C50" s="164">
        <f>SUMIF($G$7:$G$31,"Steam",$F$7:$F$31)</f>
        <v>0</v>
      </c>
      <c r="D50" s="118">
        <f>+C50+'4'!D50</f>
        <v>0</v>
      </c>
      <c r="E50" s="143">
        <f t="shared" si="2"/>
        <v>0</v>
      </c>
      <c r="F50" s="185"/>
      <c r="H50" s="188" t="s">
        <v>83</v>
      </c>
      <c r="I50" s="140">
        <f>I49/I38</f>
        <v>87.426084684368931</v>
      </c>
      <c r="J50" s="133">
        <f>J49/J38</f>
        <v>91.962901791961059</v>
      </c>
      <c r="K50" s="130" t="s">
        <v>82</v>
      </c>
    </row>
    <row r="51" spans="1:11" ht="17.45" customHeight="1" thickBot="1">
      <c r="A51" s="753" t="s">
        <v>84</v>
      </c>
      <c r="B51" s="754"/>
      <c r="C51" s="164">
        <f>SUMIF($G$7:$G$31,"Planned shut",$F$7:$F$31)</f>
        <v>0</v>
      </c>
      <c r="D51" s="118">
        <f>+C51+'4'!D51</f>
        <v>0</v>
      </c>
      <c r="E51" s="143">
        <f t="shared" si="2"/>
        <v>0</v>
      </c>
      <c r="F51" s="185"/>
      <c r="H51" s="190" t="s">
        <v>85</v>
      </c>
      <c r="I51" s="141">
        <f>I49/I40</f>
        <v>89.915270420817208</v>
      </c>
      <c r="J51" s="136">
        <f>J49/J40</f>
        <v>98.816431003377019</v>
      </c>
      <c r="K51" s="137" t="s">
        <v>82</v>
      </c>
    </row>
    <row r="52" spans="1:11" ht="13.5" thickBot="1">
      <c r="A52" s="755" t="s">
        <v>28</v>
      </c>
      <c r="B52" s="756"/>
      <c r="C52" s="144">
        <f>SUM(C38:C51)</f>
        <v>76</v>
      </c>
      <c r="D52" s="144">
        <f>SUM(D38:D51)</f>
        <v>387</v>
      </c>
      <c r="E52" s="145">
        <f>SUM(E38:E51)</f>
        <v>6.45</v>
      </c>
      <c r="F52" s="185"/>
      <c r="H52" s="191"/>
      <c r="I52" s="192"/>
      <c r="J52" s="138"/>
      <c r="K52" s="139"/>
    </row>
    <row r="53" spans="1:11" ht="13.5" thickBot="1">
      <c r="A53" s="757"/>
      <c r="B53" s="758"/>
      <c r="C53" s="146">
        <f>C52/(24*60)</f>
        <v>5.2777777777777778E-2</v>
      </c>
      <c r="D53" s="146">
        <f>D52/(24*60*G4)</f>
        <v>5.3749999999999999E-2</v>
      </c>
      <c r="E53" s="147">
        <f>E52/(G4*24)</f>
        <v>5.3749999999999999E-2</v>
      </c>
      <c r="F53" s="185"/>
    </row>
    <row r="54" spans="1:11">
      <c r="E54" s="193"/>
      <c r="F54" s="185"/>
    </row>
    <row r="55" spans="1:11">
      <c r="E55" s="193"/>
    </row>
    <row r="56" spans="1:11">
      <c r="A56" s="194" t="s">
        <v>86</v>
      </c>
      <c r="B56" s="195"/>
      <c r="C56" s="196"/>
      <c r="D56" s="196"/>
      <c r="E56" s="196"/>
      <c r="F56" s="197"/>
      <c r="G56" s="196"/>
      <c r="H56" s="198"/>
      <c r="I56" s="199" t="s">
        <v>87</v>
      </c>
      <c r="J56" s="200">
        <f>+D34+'4'!J56</f>
        <v>1670</v>
      </c>
      <c r="K56" s="201">
        <f>J56/(J40+J56/1000)/1000</f>
        <v>8.8452452834186079E-3</v>
      </c>
    </row>
    <row r="57" spans="1:11">
      <c r="A57" s="176"/>
      <c r="I57" s="199" t="s">
        <v>88</v>
      </c>
      <c r="J57" s="200">
        <f>+E34+'4'!J57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7" right="0.16" top="0.17" bottom="0.14027777777777778" header="0" footer="0"/>
  <pageSetup paperSize="9" scale="60" firstPageNumber="4294963191"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view="pageBreakPreview" topLeftCell="B4" zoomScale="80" zoomScaleNormal="75" zoomScaleSheetLayoutView="80" workbookViewId="0">
      <selection activeCell="H11" sqref="H1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4.5703125" style="149" bestFit="1" customWidth="1"/>
    <col min="14" max="16384" width="9.140625" style="149"/>
  </cols>
  <sheetData>
    <row r="1" spans="1:26" ht="15.75">
      <c r="A1" s="148"/>
    </row>
    <row r="2" spans="1:26" ht="15.75">
      <c r="A2" s="148" t="s">
        <v>185</v>
      </c>
    </row>
    <row r="3" spans="1:26" ht="15">
      <c r="A3" s="150"/>
    </row>
    <row r="4" spans="1:26" ht="20.25">
      <c r="A4" s="151" t="s">
        <v>3</v>
      </c>
      <c r="B4" s="152"/>
      <c r="F4" s="153" t="s">
        <v>29</v>
      </c>
      <c r="G4" s="154">
        <v>4</v>
      </c>
      <c r="H4" s="154" t="str">
        <f>+'1'!H4</f>
        <v>.9.25</v>
      </c>
      <c r="J4" s="149">
        <f>571+580+649</f>
        <v>1800</v>
      </c>
    </row>
    <row r="5" spans="1:26" ht="13.5" thickBot="1">
      <c r="C5" s="155"/>
      <c r="D5" s="155"/>
    </row>
    <row r="6" spans="1:26"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49" t="s">
        <v>389</v>
      </c>
      <c r="O6" s="149">
        <v>1210</v>
      </c>
      <c r="P6" s="149">
        <f>+O6-O6*0.23</f>
        <v>931.7</v>
      </c>
      <c r="Q6" s="149">
        <f>60*6+31</f>
        <v>391</v>
      </c>
      <c r="R6" s="149">
        <f t="shared" ref="R6:R9" si="0">+O6*Q6</f>
        <v>473110</v>
      </c>
      <c r="S6" s="149">
        <f t="shared" ref="S6:S9" si="1">+P6*Q6</f>
        <v>364294.7</v>
      </c>
      <c r="U6" s="149" t="s">
        <v>463</v>
      </c>
      <c r="V6" s="149">
        <v>1220</v>
      </c>
      <c r="W6" s="149">
        <v>915</v>
      </c>
      <c r="X6" s="149">
        <v>89</v>
      </c>
      <c r="Y6" s="149">
        <f t="shared" ref="Y6:Y9" si="2">+V6*X6</f>
        <v>108580</v>
      </c>
      <c r="Z6" s="149">
        <f t="shared" ref="Z6:Z9" si="3">+W6*X6</f>
        <v>81435</v>
      </c>
    </row>
    <row r="7" spans="1:26" ht="13.5" customHeight="1" thickBot="1">
      <c r="A7" s="765"/>
      <c r="B7" s="215" t="s">
        <v>391</v>
      </c>
      <c r="C7" s="216">
        <v>12627</v>
      </c>
      <c r="D7" s="217">
        <v>550</v>
      </c>
      <c r="E7" s="218"/>
      <c r="F7" s="228"/>
      <c r="G7" s="229" t="s">
        <v>12</v>
      </c>
      <c r="H7" s="230" t="s">
        <v>466</v>
      </c>
      <c r="I7" s="768" t="s">
        <v>464</v>
      </c>
      <c r="J7" s="214" t="str">
        <f>+'3'!J7</f>
        <v>F 12 VP OW</v>
      </c>
      <c r="K7" s="238">
        <f>+C7+C16</f>
        <v>14723</v>
      </c>
      <c r="L7" s="242"/>
      <c r="M7" s="117">
        <f>+K7+'3'!M7+L7</f>
        <v>96351</v>
      </c>
      <c r="N7" s="149" t="s">
        <v>463</v>
      </c>
      <c r="O7" s="149">
        <v>1220</v>
      </c>
      <c r="P7" s="149">
        <f>+O7-O7*0.25</f>
        <v>915</v>
      </c>
      <c r="Q7" s="149">
        <f>480-Q6</f>
        <v>89</v>
      </c>
      <c r="R7" s="149">
        <f t="shared" si="0"/>
        <v>108580</v>
      </c>
      <c r="S7" s="149">
        <f t="shared" si="1"/>
        <v>81435</v>
      </c>
      <c r="U7" s="149" t="s">
        <v>463</v>
      </c>
      <c r="V7" s="149">
        <v>1230</v>
      </c>
      <c r="W7" s="149">
        <v>922.5</v>
      </c>
      <c r="X7" s="149">
        <v>480</v>
      </c>
      <c r="Y7" s="149">
        <f t="shared" si="2"/>
        <v>590400</v>
      </c>
      <c r="Z7" s="149">
        <f t="shared" si="3"/>
        <v>442800</v>
      </c>
    </row>
    <row r="8" spans="1:26" ht="13.5" thickBot="1">
      <c r="A8" s="766"/>
      <c r="B8" s="215"/>
      <c r="C8" s="216"/>
      <c r="D8" s="217"/>
      <c r="E8" s="219"/>
      <c r="F8" s="231">
        <v>2</v>
      </c>
      <c r="G8" s="560" t="s">
        <v>12</v>
      </c>
      <c r="H8" s="230" t="s">
        <v>452</v>
      </c>
      <c r="I8" s="769"/>
      <c r="J8" s="214" t="str">
        <f>+'3'!J8</f>
        <v>F 13 VP OW</v>
      </c>
      <c r="K8" s="239"/>
      <c r="L8" s="239"/>
      <c r="M8" s="117">
        <f>+K8+'3'!M8+L8</f>
        <v>23228</v>
      </c>
      <c r="P8" s="149">
        <f t="shared" ref="P8" si="4">+O8-O8*0.23</f>
        <v>0</v>
      </c>
      <c r="Q8" s="149">
        <f>480-Q6-Q7</f>
        <v>0</v>
      </c>
      <c r="R8" s="149">
        <f t="shared" si="0"/>
        <v>0</v>
      </c>
      <c r="S8" s="149">
        <f t="shared" si="1"/>
        <v>0</v>
      </c>
      <c r="U8" s="149" t="s">
        <v>463</v>
      </c>
      <c r="V8" s="149">
        <v>1230</v>
      </c>
      <c r="W8" s="149">
        <v>922.5</v>
      </c>
      <c r="X8" s="149">
        <v>480</v>
      </c>
      <c r="Y8" s="149">
        <f t="shared" si="2"/>
        <v>590400</v>
      </c>
      <c r="Z8" s="149">
        <f t="shared" si="3"/>
        <v>442800</v>
      </c>
    </row>
    <row r="9" spans="1:26" ht="13.5" thickBot="1">
      <c r="A9" s="766"/>
      <c r="B9" s="215"/>
      <c r="C9" s="216"/>
      <c r="D9" s="217"/>
      <c r="E9" s="220"/>
      <c r="F9" s="228">
        <v>18</v>
      </c>
      <c r="G9" s="560" t="s">
        <v>12</v>
      </c>
      <c r="H9" s="233" t="s">
        <v>405</v>
      </c>
      <c r="I9" s="769"/>
      <c r="J9" s="214" t="s">
        <v>471</v>
      </c>
      <c r="K9" s="239">
        <f>+C17+C25</f>
        <v>25933</v>
      </c>
      <c r="L9" s="239"/>
      <c r="M9" s="117">
        <f>+K9+'3'!M9+L9</f>
        <v>25933</v>
      </c>
      <c r="P9" s="149">
        <f t="shared" ref="P9" si="5">+O9-O9*0.25</f>
        <v>0</v>
      </c>
      <c r="R9" s="149">
        <f t="shared" si="0"/>
        <v>0</v>
      </c>
      <c r="S9" s="149">
        <f t="shared" si="1"/>
        <v>0</v>
      </c>
      <c r="W9" s="149">
        <f t="shared" ref="W9" si="6">+V9-V9*0.25</f>
        <v>0</v>
      </c>
      <c r="Y9" s="149">
        <f t="shared" si="2"/>
        <v>0</v>
      </c>
      <c r="Z9" s="149">
        <f t="shared" si="3"/>
        <v>0</v>
      </c>
    </row>
    <row r="10" spans="1:26" ht="39" thickBot="1">
      <c r="A10" s="766"/>
      <c r="B10" s="215"/>
      <c r="C10" s="216"/>
      <c r="D10" s="217"/>
      <c r="E10" s="219"/>
      <c r="F10" s="228"/>
      <c r="G10" s="237" t="s">
        <v>13</v>
      </c>
      <c r="H10" s="233" t="s">
        <v>461</v>
      </c>
      <c r="I10" s="769"/>
      <c r="J10" s="214">
        <f>+'3'!J10</f>
        <v>0</v>
      </c>
      <c r="K10" s="239"/>
      <c r="L10" s="239"/>
      <c r="M10" s="117">
        <f>+K10+'3'!M10+L10</f>
        <v>0</v>
      </c>
      <c r="Q10" s="149">
        <f>SUM(Q5:Q9)</f>
        <v>480</v>
      </c>
      <c r="R10" s="149">
        <f>SUM(R5:R9)</f>
        <v>581690</v>
      </c>
      <c r="S10" s="149">
        <f>SUM(S5:S9)</f>
        <v>445729.7</v>
      </c>
      <c r="X10" s="149">
        <f>SUM(X5:X9)</f>
        <v>1049</v>
      </c>
      <c r="Y10" s="149">
        <f>SUM(Y5:Y9)</f>
        <v>1289380</v>
      </c>
      <c r="Z10" s="149">
        <f>SUM(Z5:Z9)</f>
        <v>967035</v>
      </c>
    </row>
    <row r="11" spans="1:26" ht="13.5" thickBot="1">
      <c r="A11" s="766"/>
      <c r="B11" s="215"/>
      <c r="C11" s="216"/>
      <c r="D11" s="217"/>
      <c r="E11" s="219"/>
      <c r="F11" s="228"/>
      <c r="G11" s="232"/>
      <c r="H11" s="233" t="s">
        <v>462</v>
      </c>
      <c r="I11" s="769"/>
      <c r="J11" s="214">
        <f>+'3'!J11</f>
        <v>0</v>
      </c>
      <c r="K11" s="239"/>
      <c r="L11" s="239"/>
      <c r="M11" s="117">
        <f>+K11+'3'!M11+L11</f>
        <v>0</v>
      </c>
      <c r="O11" s="149" t="s">
        <v>424</v>
      </c>
      <c r="R11" s="149">
        <f>+R10/Q10</f>
        <v>1211.8541666666667</v>
      </c>
      <c r="S11" s="149">
        <f>+S10/Q10</f>
        <v>928.60354166666673</v>
      </c>
      <c r="V11" s="149" t="s">
        <v>424</v>
      </c>
      <c r="Y11" s="149">
        <f>+Y10/X10</f>
        <v>1229.1515729265968</v>
      </c>
      <c r="Z11" s="149">
        <f>+Z10/X10</f>
        <v>921.86367969494756</v>
      </c>
    </row>
    <row r="12" spans="1:26" ht="13.5" thickBot="1">
      <c r="A12" s="766"/>
      <c r="B12" s="215"/>
      <c r="C12" s="216"/>
      <c r="D12" s="217"/>
      <c r="E12" s="219"/>
      <c r="F12" s="228"/>
      <c r="G12" s="232"/>
      <c r="H12" s="233"/>
      <c r="I12" s="769"/>
      <c r="J12" s="214">
        <f>+'3'!J12</f>
        <v>0</v>
      </c>
      <c r="K12" s="239"/>
      <c r="L12" s="239"/>
      <c r="M12" s="117">
        <f>+K12+'3'!M12+L12</f>
        <v>0</v>
      </c>
      <c r="Q12" s="149">
        <f>+N12*P12</f>
        <v>0</v>
      </c>
      <c r="R12" s="149">
        <f>+O12*P12</f>
        <v>0</v>
      </c>
      <c r="X12" s="149">
        <f>+U12*W12</f>
        <v>0</v>
      </c>
      <c r="Y12" s="149">
        <f>+V12*W12</f>
        <v>0</v>
      </c>
    </row>
    <row r="13" spans="1:26" ht="13.5" thickBot="1">
      <c r="A13" s="766"/>
      <c r="B13" s="215"/>
      <c r="C13" s="216"/>
      <c r="D13" s="216"/>
      <c r="E13" s="219"/>
      <c r="F13" s="228"/>
      <c r="G13" s="232"/>
      <c r="H13" s="233"/>
      <c r="I13" s="770"/>
      <c r="J13" s="214">
        <f>+'3'!J13</f>
        <v>0</v>
      </c>
      <c r="K13" s="239"/>
      <c r="L13" s="239"/>
      <c r="M13" s="117">
        <f>+K13+'3'!M13+L13</f>
        <v>0</v>
      </c>
    </row>
    <row r="14" spans="1:26" ht="13.5" thickBot="1">
      <c r="A14" s="767"/>
      <c r="B14" s="165" t="s">
        <v>2</v>
      </c>
      <c r="C14" s="99">
        <f>SUM(C7:C13)</f>
        <v>12627</v>
      </c>
      <c r="D14" s="111">
        <f>SUM(D7:D13)</f>
        <v>550</v>
      </c>
      <c r="E14" s="112">
        <f>SUM(E5:E13)</f>
        <v>0</v>
      </c>
      <c r="F14" s="116">
        <f>SUM(F7:F13)</f>
        <v>20</v>
      </c>
      <c r="G14" s="159"/>
      <c r="H14" s="166"/>
      <c r="I14" s="167"/>
      <c r="J14" s="214">
        <f>+'3'!J14</f>
        <v>0</v>
      </c>
      <c r="K14" s="239"/>
      <c r="L14" s="239"/>
      <c r="M14" s="117">
        <f>+K14+'3'!M14+L14</f>
        <v>0</v>
      </c>
      <c r="N14" s="149" t="s">
        <v>463</v>
      </c>
      <c r="O14" s="149">
        <v>1230</v>
      </c>
      <c r="P14" s="149">
        <f>+O14-O14*0.25</f>
        <v>922.5</v>
      </c>
      <c r="Q14" s="149">
        <v>480</v>
      </c>
      <c r="R14" s="149">
        <f t="shared" ref="R14:R17" si="7">+O14*Q14</f>
        <v>590400</v>
      </c>
      <c r="S14" s="149">
        <f t="shared" ref="S14:S17" si="8">+P14*Q14</f>
        <v>442800</v>
      </c>
    </row>
    <row r="15" spans="1:26" ht="13.5" customHeight="1" thickBot="1">
      <c r="A15" s="765"/>
      <c r="B15" s="165"/>
      <c r="C15" s="113">
        <f>C14/($C$23+$D$23+$E$23)</f>
        <v>0.89795192717963301</v>
      </c>
      <c r="D15" s="114">
        <f>D14/($C$23+$D$23+$E$23)</f>
        <v>3.9112501777840987E-2</v>
      </c>
      <c r="E15" s="115">
        <f>E14/($C$23+$D$23+$E$23)</f>
        <v>0</v>
      </c>
      <c r="F15" s="228">
        <v>9</v>
      </c>
      <c r="G15" s="229" t="s">
        <v>12</v>
      </c>
      <c r="H15" s="230" t="s">
        <v>402</v>
      </c>
      <c r="I15" s="768" t="s">
        <v>428</v>
      </c>
      <c r="J15" s="214">
        <f>+'3'!J15</f>
        <v>0</v>
      </c>
      <c r="K15" s="239"/>
      <c r="L15" s="239"/>
      <c r="M15" s="117">
        <f>+K15+'3'!M15+L15</f>
        <v>0</v>
      </c>
      <c r="P15" s="149">
        <f>+O15-O15*0.23</f>
        <v>0</v>
      </c>
      <c r="Q15" s="149">
        <f>480-Q14</f>
        <v>0</v>
      </c>
      <c r="R15" s="149">
        <f t="shared" si="7"/>
        <v>0</v>
      </c>
      <c r="S15" s="149">
        <f t="shared" si="8"/>
        <v>0</v>
      </c>
    </row>
    <row r="16" spans="1:26" ht="13.5" thickBot="1">
      <c r="A16" s="771"/>
      <c r="B16" s="215" t="s">
        <v>391</v>
      </c>
      <c r="C16" s="222">
        <v>2096</v>
      </c>
      <c r="D16" s="223">
        <v>510</v>
      </c>
      <c r="E16" s="224"/>
      <c r="F16" s="231"/>
      <c r="G16" s="560" t="s">
        <v>12</v>
      </c>
      <c r="H16" s="230" t="s">
        <v>432</v>
      </c>
      <c r="I16" s="769"/>
      <c r="J16" s="214">
        <f>+'3'!J16</f>
        <v>0</v>
      </c>
      <c r="K16" s="229"/>
      <c r="L16" s="229"/>
      <c r="M16" s="117">
        <f>+K16+'3'!M16+L16</f>
        <v>0</v>
      </c>
      <c r="P16" s="149">
        <f t="shared" ref="P16" si="9">+O16-O16*0.23</f>
        <v>0</v>
      </c>
      <c r="Q16" s="149">
        <f>480-Q14-Q15</f>
        <v>0</v>
      </c>
      <c r="R16" s="149">
        <f t="shared" si="7"/>
        <v>0</v>
      </c>
      <c r="S16" s="149">
        <f t="shared" si="8"/>
        <v>0</v>
      </c>
    </row>
    <row r="17" spans="1:19" ht="13.5" thickBot="1">
      <c r="A17" s="771"/>
      <c r="B17" s="215" t="s">
        <v>471</v>
      </c>
      <c r="C17" s="216">
        <v>11456</v>
      </c>
      <c r="D17" s="217"/>
      <c r="E17" s="225"/>
      <c r="F17" s="228">
        <f>28-9</f>
        <v>19</v>
      </c>
      <c r="G17" s="560" t="s">
        <v>12</v>
      </c>
      <c r="H17" s="233" t="s">
        <v>467</v>
      </c>
      <c r="I17" s="769"/>
      <c r="J17" s="214">
        <f>+'3'!J17</f>
        <v>0</v>
      </c>
      <c r="K17" s="229"/>
      <c r="L17" s="229"/>
      <c r="M17" s="117">
        <f>+K17+'3'!M17+L17</f>
        <v>0</v>
      </c>
      <c r="P17" s="149">
        <f t="shared" ref="P17" si="10">+O17-O17*0.25</f>
        <v>0</v>
      </c>
      <c r="R17" s="149">
        <f t="shared" si="7"/>
        <v>0</v>
      </c>
      <c r="S17" s="149">
        <f t="shared" si="8"/>
        <v>0</v>
      </c>
    </row>
    <row r="18" spans="1:19" ht="26.25" thickBot="1">
      <c r="A18" s="771"/>
      <c r="B18" s="215"/>
      <c r="C18" s="216"/>
      <c r="D18" s="217"/>
      <c r="E18" s="225"/>
      <c r="F18" s="228"/>
      <c r="G18" s="237" t="s">
        <v>13</v>
      </c>
      <c r="H18" s="233" t="s">
        <v>497</v>
      </c>
      <c r="I18" s="769"/>
      <c r="J18" s="214">
        <f>+'3'!J18</f>
        <v>0</v>
      </c>
      <c r="K18" s="239"/>
      <c r="L18" s="239"/>
      <c r="M18" s="117">
        <f>+K18+'3'!M18+L18</f>
        <v>0</v>
      </c>
      <c r="Q18" s="149">
        <f>SUM(Q13:Q17)</f>
        <v>480</v>
      </c>
      <c r="R18" s="149">
        <f>SUM(R13:R17)</f>
        <v>590400</v>
      </c>
      <c r="S18" s="149">
        <f>SUM(S13:S17)</f>
        <v>442800</v>
      </c>
    </row>
    <row r="19" spans="1:19" ht="13.5" thickBot="1">
      <c r="A19" s="771"/>
      <c r="B19" s="215"/>
      <c r="C19" s="216"/>
      <c r="D19" s="217"/>
      <c r="E19" s="225"/>
      <c r="F19" s="235"/>
      <c r="G19" s="232"/>
      <c r="H19" s="233" t="s">
        <v>460</v>
      </c>
      <c r="I19" s="769"/>
      <c r="J19" s="214">
        <f>+'3'!J19</f>
        <v>0</v>
      </c>
      <c r="K19" s="239"/>
      <c r="L19" s="239"/>
      <c r="M19" s="117">
        <f>+K19+'3'!M19+L19</f>
        <v>0</v>
      </c>
      <c r="O19" s="149" t="s">
        <v>424</v>
      </c>
      <c r="R19" s="149">
        <f>+R18/Q18</f>
        <v>1230</v>
      </c>
      <c r="S19" s="149">
        <f>+S18/Q18</f>
        <v>922.5</v>
      </c>
    </row>
    <row r="20" spans="1:19" ht="13.5" thickBot="1">
      <c r="A20" s="771"/>
      <c r="B20" s="215"/>
      <c r="C20" s="216"/>
      <c r="D20" s="217"/>
      <c r="E20" s="225"/>
      <c r="F20" s="228"/>
      <c r="G20" s="232"/>
      <c r="H20" s="233"/>
      <c r="I20" s="769"/>
      <c r="J20" s="214">
        <f>+'3'!J20</f>
        <v>0</v>
      </c>
      <c r="K20" s="240"/>
      <c r="L20" s="240"/>
      <c r="M20" s="117">
        <f>+K20+'3'!M20+L20</f>
        <v>0</v>
      </c>
      <c r="Q20" s="149">
        <f>+N20*P20</f>
        <v>0</v>
      </c>
      <c r="R20" s="149">
        <f>+O20*P20</f>
        <v>0</v>
      </c>
    </row>
    <row r="21" spans="1:19" ht="13.5" thickBot="1">
      <c r="A21" s="771"/>
      <c r="B21" s="215"/>
      <c r="C21" s="216"/>
      <c r="D21" s="217"/>
      <c r="E21" s="225"/>
      <c r="F21" s="231"/>
      <c r="G21" s="232"/>
      <c r="H21" s="233"/>
      <c r="I21" s="769"/>
      <c r="J21" s="214">
        <f>+'3'!J21</f>
        <v>0</v>
      </c>
      <c r="K21" s="239"/>
      <c r="L21" s="239"/>
      <c r="M21" s="117">
        <f>+K21+'3'!M21+L21</f>
        <v>0</v>
      </c>
    </row>
    <row r="22" spans="1:19" ht="13.5" thickBot="1">
      <c r="A22" s="771"/>
      <c r="B22" s="215"/>
      <c r="C22" s="216"/>
      <c r="D22" s="217"/>
      <c r="E22" s="225"/>
      <c r="F22" s="236"/>
      <c r="G22" s="232"/>
      <c r="H22" s="233"/>
      <c r="I22" s="770"/>
      <c r="J22" s="214">
        <f>+'3'!J22</f>
        <v>0</v>
      </c>
      <c r="K22" s="239"/>
      <c r="L22" s="239"/>
      <c r="M22" s="117">
        <f>+K22+'3'!M22+L22</f>
        <v>0</v>
      </c>
    </row>
    <row r="23" spans="1:19" ht="13.5" thickBot="1">
      <c r="A23" s="772"/>
      <c r="B23" s="168" t="s">
        <v>2</v>
      </c>
      <c r="C23" s="100">
        <f>SUM(C16:C22)</f>
        <v>13552</v>
      </c>
      <c r="D23" s="111">
        <f>SUM(D16:D22)</f>
        <v>510</v>
      </c>
      <c r="E23" s="112">
        <f>SUM(E18:E22)</f>
        <v>0</v>
      </c>
      <c r="F23" s="116">
        <f>SUM(F15:F22)</f>
        <v>28</v>
      </c>
      <c r="G23" s="159"/>
      <c r="H23" s="166"/>
      <c r="I23" s="169"/>
      <c r="J23" s="214">
        <f>+'3'!J23</f>
        <v>0</v>
      </c>
      <c r="K23" s="239"/>
      <c r="L23" s="239"/>
      <c r="M23" s="117">
        <f>+K23+'3'!M23+L23</f>
        <v>0</v>
      </c>
      <c r="N23" s="149" t="s">
        <v>463</v>
      </c>
      <c r="O23" s="149">
        <v>1230</v>
      </c>
      <c r="P23" s="149">
        <f>+O23-O23*0.25</f>
        <v>922.5</v>
      </c>
      <c r="Q23" s="149">
        <v>480</v>
      </c>
      <c r="R23" s="149">
        <f t="shared" ref="R23:R26" si="11">+O23*Q23</f>
        <v>590400</v>
      </c>
      <c r="S23" s="149">
        <f t="shared" ref="S23:S26" si="12">+P23*Q23</f>
        <v>442800</v>
      </c>
    </row>
    <row r="24" spans="1:19" ht="13.5" customHeight="1" thickBot="1">
      <c r="A24" s="765"/>
      <c r="B24" s="170"/>
      <c r="C24" s="113">
        <f>C23/($C$23+$D$23+$E$23)</f>
        <v>0.96373204380600197</v>
      </c>
      <c r="D24" s="114">
        <f>D23/($C$23+$D$23+$E$23)</f>
        <v>3.6267956193998009E-2</v>
      </c>
      <c r="E24" s="115">
        <f>E23/($C$23+$D$23+$E$23)</f>
        <v>0</v>
      </c>
      <c r="F24" s="228">
        <v>9</v>
      </c>
      <c r="G24" s="229" t="s">
        <v>12</v>
      </c>
      <c r="H24" s="230" t="s">
        <v>402</v>
      </c>
      <c r="I24" s="768" t="s">
        <v>428</v>
      </c>
      <c r="J24" s="214">
        <f>+'3'!J24</f>
        <v>0</v>
      </c>
      <c r="K24" s="239"/>
      <c r="L24" s="239"/>
      <c r="M24" s="117">
        <f>+K24+'3'!M24+L24</f>
        <v>0</v>
      </c>
      <c r="P24" s="149">
        <f>+O24-O24*0.23</f>
        <v>0</v>
      </c>
      <c r="Q24" s="149">
        <f>480-Q23</f>
        <v>0</v>
      </c>
      <c r="R24" s="149">
        <f t="shared" si="11"/>
        <v>0</v>
      </c>
      <c r="S24" s="149">
        <f t="shared" si="12"/>
        <v>0</v>
      </c>
    </row>
    <row r="25" spans="1:19" ht="13.5" thickBot="1">
      <c r="A25" s="771"/>
      <c r="B25" s="215" t="s">
        <v>471</v>
      </c>
      <c r="C25" s="226">
        <v>14477</v>
      </c>
      <c r="D25" s="217"/>
      <c r="E25" s="225"/>
      <c r="F25" s="231"/>
      <c r="G25" s="560" t="s">
        <v>12</v>
      </c>
      <c r="H25" s="230" t="s">
        <v>432</v>
      </c>
      <c r="I25" s="769"/>
      <c r="J25" s="214">
        <f>+'3'!J25</f>
        <v>0</v>
      </c>
      <c r="K25" s="239"/>
      <c r="L25" s="239"/>
      <c r="M25" s="117">
        <f>+K25+'3'!M25+L25</f>
        <v>0</v>
      </c>
      <c r="P25" s="149">
        <f t="shared" ref="P25" si="13">+O25-O25*0.23</f>
        <v>0</v>
      </c>
      <c r="Q25" s="149">
        <f>480-Q23-Q24</f>
        <v>0</v>
      </c>
      <c r="R25" s="149">
        <f t="shared" si="11"/>
        <v>0</v>
      </c>
      <c r="S25" s="149">
        <f t="shared" si="12"/>
        <v>0</v>
      </c>
    </row>
    <row r="26" spans="1:19" ht="13.5" thickBot="1">
      <c r="A26" s="771"/>
      <c r="B26" s="215"/>
      <c r="C26" s="226"/>
      <c r="D26" s="217"/>
      <c r="E26" s="227"/>
      <c r="F26" s="228">
        <f>30-9</f>
        <v>21</v>
      </c>
      <c r="G26" s="560" t="s">
        <v>12</v>
      </c>
      <c r="H26" s="233" t="s">
        <v>386</v>
      </c>
      <c r="I26" s="769"/>
      <c r="J26" s="214">
        <f>+'3'!J26</f>
        <v>0</v>
      </c>
      <c r="K26" s="239"/>
      <c r="L26" s="239"/>
      <c r="M26" s="117">
        <f>+K26+'3'!M26+L26</f>
        <v>0</v>
      </c>
      <c r="P26" s="149">
        <f t="shared" ref="P26" si="14">+O26-O26*0.25</f>
        <v>0</v>
      </c>
      <c r="R26" s="149">
        <f t="shared" si="11"/>
        <v>0</v>
      </c>
      <c r="S26" s="149">
        <f t="shared" si="12"/>
        <v>0</v>
      </c>
    </row>
    <row r="27" spans="1:19" ht="26.25" thickBot="1">
      <c r="A27" s="771"/>
      <c r="B27" s="215"/>
      <c r="C27" s="216"/>
      <c r="D27" s="217"/>
      <c r="E27" s="225"/>
      <c r="F27" s="228"/>
      <c r="G27" s="237" t="s">
        <v>13</v>
      </c>
      <c r="H27" s="233" t="s">
        <v>497</v>
      </c>
      <c r="I27" s="769"/>
      <c r="J27" s="214">
        <f>+'3'!J27</f>
        <v>0</v>
      </c>
      <c r="K27" s="239"/>
      <c r="L27" s="239"/>
      <c r="M27" s="117">
        <f>+K27+'3'!M27+L27</f>
        <v>0</v>
      </c>
      <c r="Q27" s="149">
        <f>SUM(Q22:Q26)</f>
        <v>480</v>
      </c>
      <c r="R27" s="149">
        <f>SUM(R22:R26)</f>
        <v>590400</v>
      </c>
      <c r="S27" s="149">
        <f>SUM(S22:S26)</f>
        <v>442800</v>
      </c>
    </row>
    <row r="28" spans="1:19" ht="13.5" thickBot="1">
      <c r="A28" s="771"/>
      <c r="B28" s="215"/>
      <c r="C28" s="216"/>
      <c r="D28" s="217"/>
      <c r="E28" s="225"/>
      <c r="F28" s="231"/>
      <c r="G28" s="232"/>
      <c r="H28" s="233"/>
      <c r="I28" s="769"/>
      <c r="J28" s="214">
        <f>+'3'!J28</f>
        <v>0</v>
      </c>
      <c r="K28" s="239"/>
      <c r="L28" s="239"/>
      <c r="M28" s="117">
        <f>+K28+'3'!M28+L28</f>
        <v>0</v>
      </c>
      <c r="O28" s="149" t="s">
        <v>424</v>
      </c>
      <c r="R28" s="149">
        <f>+R27/Q27</f>
        <v>1230</v>
      </c>
      <c r="S28" s="149">
        <f>+S27/Q27</f>
        <v>922.5</v>
      </c>
    </row>
    <row r="29" spans="1:19" ht="13.5" thickBot="1">
      <c r="A29" s="771"/>
      <c r="B29" s="215"/>
      <c r="C29" s="216"/>
      <c r="D29" s="217"/>
      <c r="E29" s="225"/>
      <c r="F29" s="236"/>
      <c r="G29" s="232"/>
      <c r="H29" s="233"/>
      <c r="I29" s="769"/>
      <c r="J29" s="214">
        <f>+'3'!J29</f>
        <v>0</v>
      </c>
      <c r="K29" s="239"/>
      <c r="L29" s="239"/>
      <c r="M29" s="117">
        <f>+K29+'3'!M29+L29</f>
        <v>0</v>
      </c>
      <c r="Q29" s="149">
        <f>+N29*P29</f>
        <v>0</v>
      </c>
      <c r="R29" s="149">
        <f>+O29*P29</f>
        <v>0</v>
      </c>
    </row>
    <row r="30" spans="1:19" ht="13.5" thickBot="1">
      <c r="A30" s="771"/>
      <c r="B30" s="215"/>
      <c r="C30" s="226"/>
      <c r="D30" s="217"/>
      <c r="E30" s="225"/>
      <c r="F30" s="236"/>
      <c r="G30" s="232"/>
      <c r="H30" s="233"/>
      <c r="I30" s="769"/>
      <c r="J30" s="214">
        <f>+'3'!J30</f>
        <v>0</v>
      </c>
      <c r="K30" s="239"/>
      <c r="L30" s="239"/>
      <c r="M30" s="117">
        <f>+K30+'3'!M30+L30</f>
        <v>0</v>
      </c>
    </row>
    <row r="31" spans="1:19" ht="13.5" thickBot="1">
      <c r="A31" s="771"/>
      <c r="B31" s="215"/>
      <c r="C31" s="226"/>
      <c r="D31" s="217"/>
      <c r="E31" s="225"/>
      <c r="F31" s="236"/>
      <c r="G31" s="237"/>
      <c r="H31" s="445"/>
      <c r="I31" s="770"/>
      <c r="J31" s="214">
        <f>+'3'!J31</f>
        <v>0</v>
      </c>
      <c r="K31" s="239"/>
      <c r="L31" s="239"/>
      <c r="M31" s="117">
        <f>+K31+'3'!M31+L31</f>
        <v>0</v>
      </c>
    </row>
    <row r="32" spans="1:19" ht="13.5" thickBot="1">
      <c r="A32" s="772"/>
      <c r="B32" s="165" t="s">
        <v>2</v>
      </c>
      <c r="C32" s="99">
        <f>SUM(C25:C31)</f>
        <v>14477</v>
      </c>
      <c r="D32" s="100">
        <f>SUM(D25:D31)</f>
        <v>0</v>
      </c>
      <c r="E32" s="101">
        <f>SUM(E25:E31)</f>
        <v>0</v>
      </c>
      <c r="F32" s="102">
        <f>SUM(F24:F31)</f>
        <v>30</v>
      </c>
      <c r="G32" s="171"/>
      <c r="H32" s="172"/>
      <c r="I32" s="169"/>
      <c r="J32" s="214">
        <f>+'3'!J32</f>
        <v>0</v>
      </c>
      <c r="K32" s="241"/>
      <c r="L32" s="243"/>
      <c r="M32" s="117">
        <f>+K32+'3'!M32+L32</f>
        <v>0</v>
      </c>
    </row>
    <row r="33" spans="1:17" ht="13.5" thickBot="1">
      <c r="A33" s="173"/>
      <c r="B33" s="174"/>
      <c r="C33" s="103">
        <f>C32/($C$32+$D$32+$E$32)</f>
        <v>1</v>
      </c>
      <c r="D33" s="104">
        <f>D32/($C$32+$D$32+$E$32)</f>
        <v>0</v>
      </c>
      <c r="E33" s="105">
        <f>E32/($C$32+$D$32+$E$32)</f>
        <v>0</v>
      </c>
      <c r="F33" s="106"/>
      <c r="G33" s="175"/>
      <c r="H33" s="176"/>
      <c r="I33" s="177"/>
      <c r="J33" s="121"/>
      <c r="K33" s="122"/>
      <c r="L33" s="213"/>
      <c r="M33" s="119"/>
      <c r="N33" s="149" t="s">
        <v>389</v>
      </c>
      <c r="O33" s="149">
        <v>1210</v>
      </c>
      <c r="P33" s="149">
        <v>931.7</v>
      </c>
      <c r="Q33" s="149">
        <v>391</v>
      </c>
    </row>
    <row r="34" spans="1:17" ht="13.5" thickBot="1">
      <c r="A34" s="761" t="s">
        <v>57</v>
      </c>
      <c r="B34" s="762"/>
      <c r="C34" s="107">
        <f>C14+C23+C32</f>
        <v>40656</v>
      </c>
      <c r="D34" s="107">
        <f>D14+D23+D32</f>
        <v>1060</v>
      </c>
      <c r="E34" s="107">
        <f>E14+E23+E32</f>
        <v>0</v>
      </c>
      <c r="F34" s="108">
        <f>F14+F23+F32</f>
        <v>78</v>
      </c>
      <c r="H34" s="178"/>
      <c r="I34" s="178"/>
      <c r="J34" s="123" t="s">
        <v>28</v>
      </c>
      <c r="K34" s="124">
        <f>SUM(K7:K32)</f>
        <v>40656</v>
      </c>
      <c r="L34" s="212">
        <f>SUM(L7:L32)</f>
        <v>0</v>
      </c>
      <c r="M34" s="120">
        <f>SUM(M7:M32)</f>
        <v>145512</v>
      </c>
      <c r="N34" s="149" t="s">
        <v>463</v>
      </c>
      <c r="O34" s="149">
        <v>1229.1515729265968</v>
      </c>
      <c r="P34" s="149">
        <v>921.86367969494756</v>
      </c>
      <c r="Q34" s="149">
        <v>1049</v>
      </c>
    </row>
    <row r="35" spans="1:17" ht="13.5" thickBot="1">
      <c r="A35" s="179"/>
      <c r="B35" s="180"/>
      <c r="C35" s="104">
        <f>C34/($C$34+$D$34+$E$34)</f>
        <v>0.97459008533895863</v>
      </c>
      <c r="D35" s="104">
        <f>D34/($C$34+$D$34+$E$34)</f>
        <v>2.5409914661041328E-2</v>
      </c>
      <c r="E35" s="109">
        <f>E34/($C$34+$D$34+$E$34)</f>
        <v>0</v>
      </c>
      <c r="K35" s="155"/>
      <c r="Q35" s="149">
        <f>+Q33+Q34</f>
        <v>1440</v>
      </c>
    </row>
    <row r="36" spans="1:17" ht="13.5" thickBot="1">
      <c r="A36" s="178"/>
      <c r="B36" s="178"/>
      <c r="C36" s="155"/>
      <c r="D36" s="155"/>
      <c r="E36" s="155"/>
      <c r="G36" s="155"/>
      <c r="H36" s="181"/>
      <c r="I36" s="162" t="s">
        <v>37</v>
      </c>
      <c r="J36" s="162" t="s">
        <v>38</v>
      </c>
      <c r="K36" s="182"/>
    </row>
    <row r="37" spans="1:17" ht="17.45" customHeight="1" thickBot="1">
      <c r="A37" s="763" t="s">
        <v>58</v>
      </c>
      <c r="B37" s="764"/>
      <c r="C37" s="162" t="s">
        <v>59</v>
      </c>
      <c r="D37" s="183" t="s">
        <v>60</v>
      </c>
      <c r="E37" s="184" t="s">
        <v>61</v>
      </c>
      <c r="F37" s="322"/>
      <c r="G37" s="324"/>
      <c r="H37" s="186" t="s">
        <v>62</v>
      </c>
      <c r="I37" s="244">
        <f>(12*391+14*1049)/1440*G42*2.74*1440/1000000</f>
        <v>49.088825679780555</v>
      </c>
      <c r="J37" s="125">
        <f>+I37+'3'!J37</f>
        <v>185.97767464465068</v>
      </c>
      <c r="K37" s="126" t="s">
        <v>63</v>
      </c>
    </row>
    <row r="38" spans="1:17" ht="17.45" customHeight="1">
      <c r="A38" s="755" t="s">
        <v>12</v>
      </c>
      <c r="B38" s="756"/>
      <c r="C38" s="164">
        <f>SUMIF($G$7:$G$31,"Process",$F$7:$F$31)</f>
        <v>78</v>
      </c>
      <c r="D38" s="118">
        <f>+C38+'3'!D38</f>
        <v>311</v>
      </c>
      <c r="E38" s="143">
        <f t="shared" ref="E38:E51" si="15">D38/60</f>
        <v>5.1833333333333336</v>
      </c>
      <c r="F38" s="322">
        <v>1211.8541666666667</v>
      </c>
      <c r="G38" s="322">
        <v>928.60354166666673</v>
      </c>
      <c r="H38" s="187" t="s">
        <v>64</v>
      </c>
      <c r="I38" s="245">
        <f>12.956+14.162+14.452</f>
        <v>41.57</v>
      </c>
      <c r="J38" s="127">
        <f>+I38+'3'!J38</f>
        <v>158.27300000000002</v>
      </c>
      <c r="K38" s="128" t="s">
        <v>63</v>
      </c>
    </row>
    <row r="39" spans="1:17" ht="17.45" customHeight="1">
      <c r="A39" s="759" t="s">
        <v>13</v>
      </c>
      <c r="B39" s="760"/>
      <c r="C39" s="164">
        <f>SUMIF($G$7:$G$31,"Cleaning",$F$7:$F$31)</f>
        <v>0</v>
      </c>
      <c r="D39" s="118">
        <f>+C39+'3'!D39</f>
        <v>0</v>
      </c>
      <c r="E39" s="143">
        <f t="shared" si="15"/>
        <v>0</v>
      </c>
      <c r="F39" s="322">
        <v>1230</v>
      </c>
      <c r="G39" s="322">
        <v>922.5</v>
      </c>
      <c r="H39" s="187" t="s">
        <v>65</v>
      </c>
      <c r="I39" s="142"/>
      <c r="J39" s="129">
        <f>J37/G4</f>
        <v>46.494418661162669</v>
      </c>
      <c r="K39" s="130" t="s">
        <v>63</v>
      </c>
    </row>
    <row r="40" spans="1:17" ht="17.45" customHeight="1">
      <c r="A40" s="759" t="s">
        <v>66</v>
      </c>
      <c r="B40" s="760"/>
      <c r="C40" s="164">
        <f>SUMIF($G$7:$G$31,"Mechanical",$F$7:$F$31)</f>
        <v>0</v>
      </c>
      <c r="D40" s="118">
        <f>+C40+'3'!D40</f>
        <v>0</v>
      </c>
      <c r="E40" s="143">
        <f t="shared" si="15"/>
        <v>0</v>
      </c>
      <c r="F40" s="322">
        <v>1230</v>
      </c>
      <c r="G40" s="322">
        <v>922.5</v>
      </c>
      <c r="H40" s="187" t="s">
        <v>67</v>
      </c>
      <c r="I40" s="118">
        <f>(K34+L34)/1000</f>
        <v>40.655999999999999</v>
      </c>
      <c r="J40" s="131">
        <f>+I40+'3'!J40</f>
        <v>145.512</v>
      </c>
      <c r="K40" s="130" t="s">
        <v>63</v>
      </c>
    </row>
    <row r="41" spans="1:17" ht="17.45" customHeight="1">
      <c r="A41" s="759" t="s">
        <v>68</v>
      </c>
      <c r="B41" s="760"/>
      <c r="C41" s="164">
        <f>SUMIF($G$7:$G$31,"Electrical",$F$7:$F$31)</f>
        <v>0</v>
      </c>
      <c r="D41" s="118">
        <f>+C41+'3'!D41</f>
        <v>0</v>
      </c>
      <c r="E41" s="143">
        <f t="shared" si="15"/>
        <v>0</v>
      </c>
      <c r="F41" s="322"/>
      <c r="G41" s="322"/>
      <c r="H41" s="187" t="s">
        <v>69</v>
      </c>
      <c r="I41" s="142"/>
      <c r="J41" s="129">
        <f>J40/G4</f>
        <v>36.378</v>
      </c>
      <c r="K41" s="130" t="s">
        <v>63</v>
      </c>
    </row>
    <row r="42" spans="1:17" ht="17.45" customHeight="1">
      <c r="A42" s="759" t="s">
        <v>16</v>
      </c>
      <c r="B42" s="760"/>
      <c r="C42" s="164">
        <f>SUMIF($G$7:$G$31,"Instrument",$F$7:$F$31)</f>
        <v>0</v>
      </c>
      <c r="D42" s="118">
        <f>+C42+'3'!D42</f>
        <v>0</v>
      </c>
      <c r="E42" s="143">
        <f t="shared" si="15"/>
        <v>0</v>
      </c>
      <c r="F42" s="322">
        <f>+(480*F38+480*F39+480*F40)/1440</f>
        <v>1223.9513888888889</v>
      </c>
      <c r="G42" s="322">
        <f>+(480*G38+480*G39+480*G40)/1440</f>
        <v>924.53451388888891</v>
      </c>
      <c r="H42" s="187" t="s">
        <v>70</v>
      </c>
      <c r="I42" s="246" t="s">
        <v>465</v>
      </c>
      <c r="J42" s="132"/>
      <c r="K42" s="130" t="s">
        <v>71</v>
      </c>
    </row>
    <row r="43" spans="1:17" ht="17.45" customHeight="1">
      <c r="A43" s="759" t="s">
        <v>223</v>
      </c>
      <c r="B43" s="760"/>
      <c r="C43" s="164">
        <f>SUMIF($G$7:$G$31,"Change Grade",$F$7:$F$31)</f>
        <v>0</v>
      </c>
      <c r="D43" s="118">
        <f>+C43+'3'!D43</f>
        <v>0</v>
      </c>
      <c r="E43" s="143">
        <f t="shared" si="15"/>
        <v>0</v>
      </c>
      <c r="F43" s="322"/>
      <c r="G43" s="323"/>
      <c r="H43" s="188" t="s">
        <v>73</v>
      </c>
      <c r="I43" s="118">
        <f>+Report1!Z12</f>
        <v>59.7</v>
      </c>
      <c r="J43" s="133">
        <f>+I43+'3'!J43</f>
        <v>232.8</v>
      </c>
      <c r="K43" s="130" t="s">
        <v>63</v>
      </c>
      <c r="L43" s="189"/>
    </row>
    <row r="44" spans="1:17" ht="17.45" customHeight="1">
      <c r="A44" s="759" t="s">
        <v>17</v>
      </c>
      <c r="B44" s="760"/>
      <c r="C44" s="164">
        <f>SUMIF($G$7:$G$31,"PLN",$F$7:$F$31)</f>
        <v>0</v>
      </c>
      <c r="D44" s="118">
        <f>+C44+'3'!D44</f>
        <v>0</v>
      </c>
      <c r="E44" s="143">
        <f t="shared" si="15"/>
        <v>0</v>
      </c>
      <c r="F44" s="322"/>
      <c r="G44" s="323"/>
      <c r="H44" s="188" t="s">
        <v>74</v>
      </c>
      <c r="I44" s="118">
        <f>+Report1!Z12</f>
        <v>59.7</v>
      </c>
      <c r="J44" s="134">
        <f>J43/J38</f>
        <v>1.4708762707473795</v>
      </c>
      <c r="K44" s="130" t="s">
        <v>63</v>
      </c>
    </row>
    <row r="45" spans="1:17" ht="17.45" customHeight="1">
      <c r="A45" s="759" t="s">
        <v>18</v>
      </c>
      <c r="B45" s="760"/>
      <c r="C45" s="164">
        <f>SUMIF($G$7:$G$31,"Boiler",$F$7:$F$31)</f>
        <v>0</v>
      </c>
      <c r="D45" s="118">
        <f>+C45+'3'!D45</f>
        <v>0</v>
      </c>
      <c r="E45" s="143">
        <f t="shared" si="15"/>
        <v>0</v>
      </c>
      <c r="F45" s="322"/>
      <c r="G45" s="325"/>
      <c r="H45" s="188" t="s">
        <v>75</v>
      </c>
      <c r="I45" s="118">
        <f>I43/I40</f>
        <v>1.468417945690673</v>
      </c>
      <c r="J45" s="134">
        <f>J43/J40</f>
        <v>1.5998680521194129</v>
      </c>
      <c r="K45" s="130" t="s">
        <v>63</v>
      </c>
    </row>
    <row r="46" spans="1:17" ht="17.45" customHeight="1">
      <c r="A46" s="759" t="s">
        <v>287</v>
      </c>
      <c r="B46" s="760"/>
      <c r="C46" s="164">
        <f>SUMIF($G$7:$G$31,"Sinergy",$F$7:$F$31)</f>
        <v>0</v>
      </c>
      <c r="D46" s="118">
        <f>+C46+'3'!D46</f>
        <v>0</v>
      </c>
      <c r="E46" s="143">
        <f t="shared" si="15"/>
        <v>0</v>
      </c>
      <c r="F46" s="322"/>
      <c r="G46" s="323"/>
      <c r="H46" s="188" t="s">
        <v>77</v>
      </c>
      <c r="I46" s="140">
        <f>+SUMIF(Listrik!P11,"&gt;0")</f>
        <v>37489.92000000109</v>
      </c>
      <c r="J46" s="135">
        <f>+I46+'3'!J46</f>
        <v>141899.32000000108</v>
      </c>
      <c r="K46" s="130" t="s">
        <v>78</v>
      </c>
    </row>
    <row r="47" spans="1:17" ht="17.45" customHeight="1">
      <c r="A47" s="759" t="s">
        <v>79</v>
      </c>
      <c r="B47" s="760"/>
      <c r="C47" s="164">
        <f>SUMIF($G$7:$G$31,"Gas",$F$7:$F$31)</f>
        <v>0</v>
      </c>
      <c r="D47" s="118">
        <f>+C47+'3'!D47</f>
        <v>0</v>
      </c>
      <c r="E47" s="143">
        <f t="shared" si="15"/>
        <v>0</v>
      </c>
      <c r="F47" s="322"/>
      <c r="G47" s="323"/>
      <c r="H47" s="188" t="s">
        <v>80</v>
      </c>
      <c r="I47" s="118">
        <f>I46/I38</f>
        <v>901.85037286507315</v>
      </c>
      <c r="J47" s="135">
        <f>J46/J38</f>
        <v>896.54786350167785</v>
      </c>
      <c r="K47" s="130" t="s">
        <v>24</v>
      </c>
    </row>
    <row r="48" spans="1:17" ht="17.45" customHeight="1">
      <c r="A48" s="759" t="s">
        <v>14</v>
      </c>
      <c r="B48" s="760"/>
      <c r="C48" s="164">
        <f>SUMIF($G$7:$G$31,"Start Up",$F$7:$F$31)</f>
        <v>0</v>
      </c>
      <c r="D48" s="118">
        <f>+C48+'3'!D48</f>
        <v>0</v>
      </c>
      <c r="E48" s="143">
        <f t="shared" si="15"/>
        <v>0</v>
      </c>
      <c r="F48" s="322"/>
      <c r="G48" s="323"/>
      <c r="H48" s="188" t="s">
        <v>81</v>
      </c>
      <c r="I48" s="118">
        <f>I46/I40</f>
        <v>922.12514757971985</v>
      </c>
      <c r="J48" s="135">
        <f>J46/J40</f>
        <v>975.17263181044234</v>
      </c>
      <c r="K48" s="130" t="s">
        <v>24</v>
      </c>
    </row>
    <row r="49" spans="1:11" ht="17.45" customHeight="1">
      <c r="A49" s="759" t="s">
        <v>20</v>
      </c>
      <c r="B49" s="760"/>
      <c r="C49" s="164">
        <f>SUMIF($G$7:$G$31,"Others",$F$7:$F$31)</f>
        <v>0</v>
      </c>
      <c r="D49" s="118">
        <f>+C49+'3'!D49</f>
        <v>0</v>
      </c>
      <c r="E49" s="143">
        <f t="shared" si="15"/>
        <v>0</v>
      </c>
      <c r="F49" s="185"/>
      <c r="H49" s="188" t="s">
        <v>271</v>
      </c>
      <c r="I49" s="118">
        <f>+Report1!T12</f>
        <v>3768.5010450991913</v>
      </c>
      <c r="J49" s="135">
        <f>+I49+'3'!J49</f>
        <v>14749.442811609537</v>
      </c>
      <c r="K49" s="130" t="s">
        <v>82</v>
      </c>
    </row>
    <row r="50" spans="1:11" ht="17.45" customHeight="1">
      <c r="A50" s="759" t="s">
        <v>19</v>
      </c>
      <c r="B50" s="760"/>
      <c r="C50" s="164">
        <f>SUMIF($G$7:$G$31,"Steam",$F$7:$F$31)</f>
        <v>0</v>
      </c>
      <c r="D50" s="118">
        <f>+C50+'3'!D50</f>
        <v>0</v>
      </c>
      <c r="E50" s="143">
        <f t="shared" si="15"/>
        <v>0</v>
      </c>
      <c r="F50" s="185"/>
      <c r="H50" s="188" t="s">
        <v>83</v>
      </c>
      <c r="I50" s="140">
        <f>I49/I38</f>
        <v>90.654343158508325</v>
      </c>
      <c r="J50" s="133">
        <f>J49/J38</f>
        <v>93.189885903530822</v>
      </c>
      <c r="K50" s="130" t="s">
        <v>82</v>
      </c>
    </row>
    <row r="51" spans="1:11" ht="17.45" customHeight="1" thickBot="1">
      <c r="A51" s="753" t="s">
        <v>84</v>
      </c>
      <c r="B51" s="754"/>
      <c r="C51" s="164">
        <f>SUMIF($G$7:$G$31,"Planned shut",$F$7:$F$31)</f>
        <v>0</v>
      </c>
      <c r="D51" s="118">
        <f>+C51+'3'!D51</f>
        <v>0</v>
      </c>
      <c r="E51" s="143">
        <f t="shared" si="15"/>
        <v>0</v>
      </c>
      <c r="F51" s="185"/>
      <c r="H51" s="190" t="s">
        <v>85</v>
      </c>
      <c r="I51" s="141">
        <f>I49/I40</f>
        <v>92.692371239157595</v>
      </c>
      <c r="J51" s="136">
        <f>J49/J40</f>
        <v>101.36238118924581</v>
      </c>
      <c r="K51" s="137" t="s">
        <v>82</v>
      </c>
    </row>
    <row r="52" spans="1:11" ht="13.5" thickBot="1">
      <c r="A52" s="755" t="s">
        <v>28</v>
      </c>
      <c r="B52" s="756"/>
      <c r="C52" s="144">
        <f>SUM(C38:C51)</f>
        <v>78</v>
      </c>
      <c r="D52" s="144">
        <f>SUM(D38:D51)</f>
        <v>311</v>
      </c>
      <c r="E52" s="145">
        <f>SUM(E38:E51)</f>
        <v>5.1833333333333336</v>
      </c>
      <c r="F52" s="185"/>
      <c r="H52" s="191"/>
      <c r="I52" s="192"/>
      <c r="J52" s="138"/>
      <c r="K52" s="139"/>
    </row>
    <row r="53" spans="1:11" ht="13.5" thickBot="1">
      <c r="A53" s="757"/>
      <c r="B53" s="758"/>
      <c r="C53" s="146">
        <f>C52/(24*60)</f>
        <v>5.4166666666666669E-2</v>
      </c>
      <c r="D53" s="146">
        <f>D52/(24*60*G4)</f>
        <v>5.3993055555555558E-2</v>
      </c>
      <c r="E53" s="147">
        <f>E52/(G4*24)</f>
        <v>5.3993055555555558E-2</v>
      </c>
      <c r="F53" s="185"/>
    </row>
    <row r="54" spans="1:11">
      <c r="E54" s="193"/>
      <c r="F54" s="185"/>
    </row>
    <row r="55" spans="1:11">
      <c r="E55" s="193"/>
    </row>
    <row r="56" spans="1:11">
      <c r="A56" s="194" t="s">
        <v>86</v>
      </c>
      <c r="B56" s="195"/>
      <c r="C56" s="196"/>
      <c r="D56" s="196"/>
      <c r="E56" s="196"/>
      <c r="F56" s="197"/>
      <c r="G56" s="196"/>
      <c r="H56" s="198"/>
      <c r="I56" s="199" t="s">
        <v>87</v>
      </c>
      <c r="J56" s="200">
        <f>+D34+'3'!J56</f>
        <v>1670</v>
      </c>
      <c r="K56" s="201">
        <f>J56/(J40+J56/1000)/1000</f>
        <v>1.1346496174803985E-2</v>
      </c>
    </row>
    <row r="57" spans="1:11">
      <c r="A57" s="176"/>
      <c r="I57" s="199" t="s">
        <v>88</v>
      </c>
      <c r="J57" s="200">
        <f>+E34+'3'!J57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7" right="0.16" top="0.17" bottom="0.16" header="0" footer="0"/>
  <pageSetup paperSize="9" scale="60"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61"/>
  <sheetViews>
    <sheetView view="pageBreakPreview" topLeftCell="A34" zoomScale="80" zoomScaleNormal="75" zoomScaleSheetLayoutView="80" workbookViewId="0">
      <selection activeCell="E28" sqref="E28"/>
    </sheetView>
  </sheetViews>
  <sheetFormatPr defaultColWidth="9.140625" defaultRowHeight="12.75"/>
  <cols>
    <col min="1" max="1" width="8" style="149" customWidth="1"/>
    <col min="2" max="2" width="7" style="149" bestFit="1" customWidth="1"/>
    <col min="3" max="3" width="14.85546875" style="149" bestFit="1" customWidth="1"/>
    <col min="4" max="4" width="12.710937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3.7109375" style="149" bestFit="1" customWidth="1"/>
    <col min="12" max="12" width="8.28515625" style="149" customWidth="1"/>
    <col min="13" max="13" width="14.5703125" style="149" bestFit="1" customWidth="1"/>
    <col min="14" max="16384" width="9.140625" style="149"/>
  </cols>
  <sheetData>
    <row r="1" spans="1:26" ht="15.75">
      <c r="A1" s="148"/>
    </row>
    <row r="2" spans="1:26" ht="15.75">
      <c r="A2" s="148" t="s">
        <v>185</v>
      </c>
    </row>
    <row r="3" spans="1:26" ht="15">
      <c r="A3" s="150"/>
    </row>
    <row r="4" spans="1:26" ht="20.25">
      <c r="A4" s="151" t="s">
        <v>3</v>
      </c>
      <c r="B4" s="152"/>
      <c r="F4" s="153" t="s">
        <v>29</v>
      </c>
      <c r="G4" s="154">
        <v>3</v>
      </c>
      <c r="H4" s="154" t="str">
        <f>+'1'!H4</f>
        <v>.9.25</v>
      </c>
      <c r="J4" s="149">
        <f>549+589+562</f>
        <v>1700</v>
      </c>
    </row>
    <row r="5" spans="1:26" ht="13.5" thickBot="1">
      <c r="C5" s="155"/>
      <c r="D5" s="155"/>
    </row>
    <row r="6" spans="1:26"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49" t="s">
        <v>417</v>
      </c>
      <c r="O6" s="149">
        <v>1230</v>
      </c>
      <c r="P6" s="149">
        <f>+O6-O6*0.23</f>
        <v>947.09999999999991</v>
      </c>
      <c r="Q6" s="149">
        <f>60*2+52</f>
        <v>172</v>
      </c>
      <c r="R6" s="149">
        <f t="shared" ref="R6:R9" si="0">+O6*Q6</f>
        <v>211560</v>
      </c>
      <c r="S6" s="149">
        <f t="shared" ref="S6:S9" si="1">+P6*Q6</f>
        <v>162901.19999999998</v>
      </c>
      <c r="U6" s="149" t="s">
        <v>389</v>
      </c>
      <c r="V6" s="149">
        <v>1230</v>
      </c>
      <c r="W6" s="149">
        <v>947.09999999999991</v>
      </c>
      <c r="X6" s="149">
        <v>256</v>
      </c>
      <c r="Y6" s="149">
        <f t="shared" ref="Y6:Y9" si="2">+V6*X6</f>
        <v>314880</v>
      </c>
      <c r="Z6" s="149">
        <f t="shared" ref="Z6:Z9" si="3">+W6*X6</f>
        <v>242457.59999999998</v>
      </c>
    </row>
    <row r="7" spans="1:26" ht="13.5" customHeight="1" thickBot="1">
      <c r="A7" s="765"/>
      <c r="B7" s="215" t="s">
        <v>458</v>
      </c>
      <c r="C7" s="216">
        <v>468</v>
      </c>
      <c r="D7" s="217"/>
      <c r="E7" s="218"/>
      <c r="F7" s="228">
        <v>4</v>
      </c>
      <c r="G7" s="229" t="s">
        <v>12</v>
      </c>
      <c r="H7" s="230" t="s">
        <v>407</v>
      </c>
      <c r="I7" s="768" t="s">
        <v>448</v>
      </c>
      <c r="J7" s="214" t="str">
        <f>+'2'!J7</f>
        <v>F 12 VP OW</v>
      </c>
      <c r="K7" s="238">
        <f>+C9+C16+C25</f>
        <v>24789</v>
      </c>
      <c r="L7" s="242"/>
      <c r="M7" s="117">
        <f>+K7+'2'!M7+L7</f>
        <v>81628</v>
      </c>
      <c r="N7" s="149" t="s">
        <v>389</v>
      </c>
      <c r="O7" s="149">
        <v>1230</v>
      </c>
      <c r="P7" s="149">
        <f>+O7-O7*0.23</f>
        <v>947.09999999999991</v>
      </c>
      <c r="Q7" s="149">
        <f>60-52+240+8</f>
        <v>256</v>
      </c>
      <c r="R7" s="149">
        <f t="shared" si="0"/>
        <v>314880</v>
      </c>
      <c r="S7" s="149">
        <f t="shared" si="1"/>
        <v>242457.59999999998</v>
      </c>
      <c r="V7" s="149">
        <v>1170</v>
      </c>
      <c r="W7" s="149">
        <v>900.9</v>
      </c>
      <c r="X7" s="149">
        <v>52</v>
      </c>
      <c r="Y7" s="149">
        <f t="shared" si="2"/>
        <v>60840</v>
      </c>
      <c r="Z7" s="149">
        <f t="shared" si="3"/>
        <v>46846.799999999996</v>
      </c>
    </row>
    <row r="8" spans="1:26" ht="13.5" thickBot="1">
      <c r="A8" s="766"/>
      <c r="B8" s="215" t="s">
        <v>415</v>
      </c>
      <c r="C8" s="216">
        <v>6486</v>
      </c>
      <c r="D8" s="217"/>
      <c r="E8" s="219"/>
      <c r="F8" s="231">
        <v>2</v>
      </c>
      <c r="G8" s="560" t="s">
        <v>12</v>
      </c>
      <c r="H8" s="230" t="s">
        <v>452</v>
      </c>
      <c r="I8" s="769"/>
      <c r="J8" s="214" t="str">
        <f>+'2'!J8</f>
        <v>F 13 VP OW</v>
      </c>
      <c r="K8" s="239">
        <f>+C7+C8</f>
        <v>6954</v>
      </c>
      <c r="L8" s="239"/>
      <c r="M8" s="117">
        <f>+K8+'2'!M8+L8</f>
        <v>23228</v>
      </c>
      <c r="O8" s="149">
        <v>1170</v>
      </c>
      <c r="P8" s="149">
        <f t="shared" ref="P8" si="4">+O8-O8*0.23</f>
        <v>900.9</v>
      </c>
      <c r="Q8" s="149">
        <f>60-8</f>
        <v>52</v>
      </c>
      <c r="R8" s="149">
        <f t="shared" si="0"/>
        <v>60840</v>
      </c>
      <c r="S8" s="149">
        <f t="shared" si="1"/>
        <v>46846.799999999996</v>
      </c>
      <c r="V8" s="149">
        <v>1230</v>
      </c>
      <c r="W8" s="149">
        <v>947.09999999999991</v>
      </c>
      <c r="X8" s="149">
        <v>10</v>
      </c>
      <c r="Y8" s="149">
        <f t="shared" si="2"/>
        <v>12300</v>
      </c>
      <c r="Z8" s="149">
        <f t="shared" si="3"/>
        <v>9471</v>
      </c>
    </row>
    <row r="9" spans="1:26" ht="13.5" thickBot="1">
      <c r="A9" s="766"/>
      <c r="B9" s="215" t="s">
        <v>391</v>
      </c>
      <c r="C9" s="216">
        <f>2333+999</f>
        <v>3332</v>
      </c>
      <c r="D9" s="217"/>
      <c r="E9" s="220"/>
      <c r="F9" s="228">
        <f>21-6</f>
        <v>15</v>
      </c>
      <c r="G9" s="560" t="s">
        <v>12</v>
      </c>
      <c r="H9" s="233" t="s">
        <v>405</v>
      </c>
      <c r="I9" s="769"/>
      <c r="J9" s="214">
        <f>+'2'!J9</f>
        <v>0</v>
      </c>
      <c r="K9" s="239"/>
      <c r="L9" s="239"/>
      <c r="M9" s="117">
        <f>+K9+'2'!M9+L9</f>
        <v>0</v>
      </c>
      <c r="P9" s="149">
        <f t="shared" ref="P9" si="5">+O9-O9*0.25</f>
        <v>0</v>
      </c>
      <c r="R9" s="149">
        <f t="shared" si="0"/>
        <v>0</v>
      </c>
      <c r="S9" s="149">
        <f t="shared" si="1"/>
        <v>0</v>
      </c>
      <c r="V9" s="149">
        <v>1170</v>
      </c>
      <c r="W9" s="149">
        <v>900.9</v>
      </c>
      <c r="X9" s="149">
        <v>20</v>
      </c>
      <c r="Y9" s="149">
        <f t="shared" si="2"/>
        <v>23400</v>
      </c>
      <c r="Z9" s="149">
        <f t="shared" si="3"/>
        <v>18018</v>
      </c>
    </row>
    <row r="10" spans="1:26" ht="26.25" thickBot="1">
      <c r="A10" s="766"/>
      <c r="B10" s="215"/>
      <c r="C10" s="216"/>
      <c r="D10" s="217"/>
      <c r="E10" s="219"/>
      <c r="F10" s="228"/>
      <c r="G10" s="237" t="s">
        <v>13</v>
      </c>
      <c r="H10" s="233" t="s">
        <v>446</v>
      </c>
      <c r="I10" s="769"/>
      <c r="J10" s="214">
        <f>+'2'!J10</f>
        <v>0</v>
      </c>
      <c r="K10" s="239"/>
      <c r="L10" s="239"/>
      <c r="M10" s="117">
        <f>+K10+'2'!M10+L10</f>
        <v>0</v>
      </c>
      <c r="Q10" s="149">
        <f>SUM(Q5:Q9)</f>
        <v>480</v>
      </c>
      <c r="R10" s="149">
        <f>SUM(R5:R9)</f>
        <v>587280</v>
      </c>
      <c r="S10" s="149">
        <f>SUM(S5:S9)</f>
        <v>452205.59999999992</v>
      </c>
      <c r="V10" s="149">
        <v>1220</v>
      </c>
      <c r="W10" s="149">
        <v>939.4</v>
      </c>
      <c r="X10" s="149">
        <v>450</v>
      </c>
      <c r="Y10" s="149">
        <f t="shared" ref="Y10" si="6">+V10*X10</f>
        <v>549000</v>
      </c>
      <c r="Z10" s="149">
        <f t="shared" ref="Z10" si="7">+W10*X10</f>
        <v>422730</v>
      </c>
    </row>
    <row r="11" spans="1:26" ht="153" customHeight="1" thickBot="1">
      <c r="A11" s="766"/>
      <c r="B11" s="215"/>
      <c r="C11" s="216"/>
      <c r="D11" s="217"/>
      <c r="E11" s="219"/>
      <c r="F11" s="228"/>
      <c r="G11" s="232"/>
      <c r="H11" s="233" t="s">
        <v>447</v>
      </c>
      <c r="I11" s="769"/>
      <c r="J11" s="214">
        <f>+'2'!J11</f>
        <v>0</v>
      </c>
      <c r="K11" s="239"/>
      <c r="L11" s="239"/>
      <c r="M11" s="117">
        <f>+K11+'2'!M11+L11</f>
        <v>0</v>
      </c>
      <c r="O11" s="149" t="s">
        <v>424</v>
      </c>
      <c r="R11" s="149">
        <f>+R10/Q10</f>
        <v>1223.5</v>
      </c>
      <c r="S11" s="149">
        <f>+S10/Q10</f>
        <v>942.0949999999998</v>
      </c>
      <c r="V11" s="149">
        <v>1230</v>
      </c>
      <c r="W11" s="149">
        <v>947.09999999999991</v>
      </c>
      <c r="X11" s="149">
        <v>60</v>
      </c>
      <c r="Y11" s="149">
        <f t="shared" ref="Y11:Y12" si="8">+V11*X11</f>
        <v>73800</v>
      </c>
      <c r="Z11" s="149">
        <f t="shared" ref="Z11:Z12" si="9">+W11*X11</f>
        <v>56825.999999999993</v>
      </c>
    </row>
    <row r="12" spans="1:26" ht="13.5" thickBot="1">
      <c r="A12" s="766"/>
      <c r="B12" s="215"/>
      <c r="C12" s="216"/>
      <c r="D12" s="217"/>
      <c r="E12" s="219"/>
      <c r="F12" s="228"/>
      <c r="G12" s="232"/>
      <c r="H12" s="233"/>
      <c r="I12" s="769"/>
      <c r="J12" s="214">
        <f>+'2'!J12</f>
        <v>0</v>
      </c>
      <c r="K12" s="239"/>
      <c r="L12" s="239"/>
      <c r="M12" s="117">
        <f>+K12+'2'!M12+L12</f>
        <v>0</v>
      </c>
      <c r="Q12" s="149">
        <f>+N12*P12</f>
        <v>0</v>
      </c>
      <c r="R12" s="149">
        <f>+O12*P12</f>
        <v>0</v>
      </c>
      <c r="V12" s="149">
        <v>1200</v>
      </c>
      <c r="W12" s="149">
        <v>924</v>
      </c>
      <c r="X12" s="149">
        <v>420</v>
      </c>
      <c r="Y12" s="149">
        <f t="shared" si="8"/>
        <v>504000</v>
      </c>
      <c r="Z12" s="149">
        <f t="shared" si="9"/>
        <v>388080</v>
      </c>
    </row>
    <row r="13" spans="1:26" ht="13.5" thickBot="1">
      <c r="A13" s="766"/>
      <c r="B13" s="215"/>
      <c r="C13" s="216"/>
      <c r="D13" s="216"/>
      <c r="E13" s="219"/>
      <c r="F13" s="228"/>
      <c r="G13" s="232"/>
      <c r="H13" s="233"/>
      <c r="I13" s="770"/>
      <c r="J13" s="214">
        <f>+'2'!J13</f>
        <v>0</v>
      </c>
      <c r="K13" s="239"/>
      <c r="L13" s="239"/>
      <c r="M13" s="117">
        <f>+K13+'2'!M13+L13</f>
        <v>0</v>
      </c>
    </row>
    <row r="14" spans="1:26" ht="13.5" thickBot="1">
      <c r="A14" s="767"/>
      <c r="B14" s="165" t="s">
        <v>2</v>
      </c>
      <c r="C14" s="99">
        <f>SUM(C7:C13)</f>
        <v>10286</v>
      </c>
      <c r="D14" s="111">
        <f>SUM(D7:D13)</f>
        <v>0</v>
      </c>
      <c r="E14" s="112">
        <f>SUM(E5:E13)</f>
        <v>0</v>
      </c>
      <c r="F14" s="116">
        <f>SUM(F7:F13)</f>
        <v>21</v>
      </c>
      <c r="G14" s="159"/>
      <c r="H14" s="166"/>
      <c r="I14" s="167"/>
      <c r="J14" s="214">
        <f>+'2'!J14</f>
        <v>0</v>
      </c>
      <c r="K14" s="239"/>
      <c r="L14" s="239"/>
      <c r="M14" s="117">
        <f>+K14+'2'!M14+L14</f>
        <v>0</v>
      </c>
      <c r="N14" s="149" t="s">
        <v>389</v>
      </c>
      <c r="O14" s="149">
        <v>1230</v>
      </c>
      <c r="P14" s="149">
        <f>+O14-O14*0.23</f>
        <v>947.09999999999991</v>
      </c>
      <c r="Q14" s="149">
        <v>10</v>
      </c>
      <c r="R14" s="149">
        <f t="shared" ref="R14:R17" si="10">+O14*Q14</f>
        <v>12300</v>
      </c>
      <c r="S14" s="149">
        <f t="shared" ref="S14:S17" si="11">+P14*Q14</f>
        <v>9471</v>
      </c>
    </row>
    <row r="15" spans="1:26" ht="13.5" customHeight="1" thickBot="1">
      <c r="A15" s="765"/>
      <c r="B15" s="165"/>
      <c r="C15" s="113">
        <f>C14/($C$23+$D$23+$E$23)</f>
        <v>1.0263420474955098</v>
      </c>
      <c r="D15" s="114">
        <f>D14/($C$23+$D$23+$E$23)</f>
        <v>0</v>
      </c>
      <c r="E15" s="115">
        <f>E14/($C$23+$D$23+$E$23)</f>
        <v>0</v>
      </c>
      <c r="F15" s="228">
        <v>16</v>
      </c>
      <c r="G15" s="229" t="s">
        <v>12</v>
      </c>
      <c r="H15" s="230" t="s">
        <v>453</v>
      </c>
      <c r="I15" s="768" t="s">
        <v>449</v>
      </c>
      <c r="J15" s="214">
        <f>+'2'!J15</f>
        <v>0</v>
      </c>
      <c r="K15" s="239"/>
      <c r="L15" s="239"/>
      <c r="M15" s="117">
        <f>+K15+'2'!M15+L15</f>
        <v>0</v>
      </c>
      <c r="O15" s="149">
        <v>1170</v>
      </c>
      <c r="P15" s="149">
        <f>+O15-O15*0.23</f>
        <v>900.9</v>
      </c>
      <c r="Q15" s="149">
        <f>30-10</f>
        <v>20</v>
      </c>
      <c r="R15" s="149">
        <f t="shared" si="10"/>
        <v>23400</v>
      </c>
      <c r="S15" s="149">
        <f t="shared" si="11"/>
        <v>18018</v>
      </c>
    </row>
    <row r="16" spans="1:26" ht="13.5" thickBot="1">
      <c r="A16" s="771"/>
      <c r="B16" s="215" t="s">
        <v>391</v>
      </c>
      <c r="C16" s="222">
        <v>10022</v>
      </c>
      <c r="D16" s="223"/>
      <c r="E16" s="224"/>
      <c r="F16" s="231"/>
      <c r="G16" s="560" t="s">
        <v>12</v>
      </c>
      <c r="H16" s="230" t="s">
        <v>432</v>
      </c>
      <c r="I16" s="769"/>
      <c r="J16" s="214">
        <f>+'2'!J16</f>
        <v>0</v>
      </c>
      <c r="K16" s="229"/>
      <c r="L16" s="229"/>
      <c r="M16" s="117">
        <f>+K16+'2'!M16+L16</f>
        <v>0</v>
      </c>
      <c r="O16" s="149">
        <v>1220</v>
      </c>
      <c r="P16" s="149">
        <f t="shared" ref="P16" si="12">+O16-O16*0.23</f>
        <v>939.4</v>
      </c>
      <c r="Q16" s="149">
        <f>480-Q14-Q15</f>
        <v>450</v>
      </c>
      <c r="R16" s="149">
        <f t="shared" si="10"/>
        <v>549000</v>
      </c>
      <c r="S16" s="149">
        <f t="shared" si="11"/>
        <v>422730</v>
      </c>
      <c r="X16" s="149">
        <f>SUM(X5:X13)</f>
        <v>1268</v>
      </c>
      <c r="Y16" s="149">
        <f>SUM(Y5:Y13)</f>
        <v>1538220</v>
      </c>
      <c r="Z16" s="149">
        <f>SUM(Z5:Z13)</f>
        <v>1184429.3999999999</v>
      </c>
    </row>
    <row r="17" spans="1:26" ht="13.5" thickBot="1">
      <c r="A17" s="771"/>
      <c r="B17" s="215"/>
      <c r="C17" s="216"/>
      <c r="D17" s="217"/>
      <c r="E17" s="225"/>
      <c r="F17" s="228">
        <f>34-16</f>
        <v>18</v>
      </c>
      <c r="G17" s="560" t="s">
        <v>12</v>
      </c>
      <c r="H17" s="233" t="s">
        <v>405</v>
      </c>
      <c r="I17" s="769"/>
      <c r="J17" s="214">
        <f>+'2'!J17</f>
        <v>0</v>
      </c>
      <c r="K17" s="229"/>
      <c r="L17" s="229"/>
      <c r="M17" s="117">
        <f>+K17+'2'!M17+L17</f>
        <v>0</v>
      </c>
      <c r="P17" s="149">
        <f t="shared" ref="P17" si="13">+O17-O17*0.25</f>
        <v>0</v>
      </c>
      <c r="R17" s="149">
        <f t="shared" si="10"/>
        <v>0</v>
      </c>
      <c r="S17" s="149">
        <f t="shared" si="11"/>
        <v>0</v>
      </c>
      <c r="Y17" s="149">
        <f>+Y16/X16</f>
        <v>1213.1072555205046</v>
      </c>
      <c r="Z17" s="149">
        <f>+Z16/X16</f>
        <v>934.09258675078854</v>
      </c>
    </row>
    <row r="18" spans="1:26" ht="26.25" thickBot="1">
      <c r="A18" s="771"/>
      <c r="B18" s="215"/>
      <c r="C18" s="216"/>
      <c r="D18" s="217"/>
      <c r="E18" s="225"/>
      <c r="F18" s="228"/>
      <c r="G18" s="237" t="s">
        <v>13</v>
      </c>
      <c r="H18" s="233" t="s">
        <v>444</v>
      </c>
      <c r="I18" s="769"/>
      <c r="J18" s="214">
        <f>+'2'!J18</f>
        <v>0</v>
      </c>
      <c r="K18" s="239"/>
      <c r="L18" s="239"/>
      <c r="M18" s="117">
        <f>+K18+'2'!M18+L18</f>
        <v>0</v>
      </c>
      <c r="Q18" s="149">
        <f>SUM(Q13:Q17)</f>
        <v>480</v>
      </c>
      <c r="R18" s="149">
        <f>SUM(R13:R17)</f>
        <v>584700</v>
      </c>
      <c r="S18" s="149">
        <f>SUM(S13:S17)</f>
        <v>450219</v>
      </c>
      <c r="X18" s="149">
        <f>+U12*W12</f>
        <v>0</v>
      </c>
      <c r="Y18" s="149">
        <f>+V12*W12</f>
        <v>1108800</v>
      </c>
    </row>
    <row r="19" spans="1:26" ht="163.5" customHeight="1" thickBot="1">
      <c r="A19" s="771"/>
      <c r="B19" s="215"/>
      <c r="C19" s="216"/>
      <c r="D19" s="217"/>
      <c r="E19" s="225"/>
      <c r="F19" s="235"/>
      <c r="G19" s="232"/>
      <c r="H19" s="233" t="s">
        <v>445</v>
      </c>
      <c r="I19" s="769"/>
      <c r="J19" s="214">
        <f>+'2'!J19</f>
        <v>0</v>
      </c>
      <c r="K19" s="239"/>
      <c r="L19" s="239"/>
      <c r="M19" s="117">
        <f>+K19+'2'!M19+L19</f>
        <v>0</v>
      </c>
      <c r="O19" s="149" t="s">
        <v>424</v>
      </c>
      <c r="R19" s="149">
        <f>+R18/Q18</f>
        <v>1218.125</v>
      </c>
      <c r="S19" s="149">
        <f>+S18/Q18</f>
        <v>937.95624999999995</v>
      </c>
    </row>
    <row r="20" spans="1:26" ht="13.5" thickBot="1">
      <c r="A20" s="771"/>
      <c r="B20" s="215"/>
      <c r="C20" s="216"/>
      <c r="D20" s="217"/>
      <c r="E20" s="225"/>
      <c r="F20" s="228"/>
      <c r="G20" s="232"/>
      <c r="H20" s="233"/>
      <c r="I20" s="769"/>
      <c r="J20" s="214">
        <f>+'2'!J20</f>
        <v>0</v>
      </c>
      <c r="K20" s="240"/>
      <c r="L20" s="240"/>
      <c r="M20" s="117">
        <f>+K20+'2'!M20+L20</f>
        <v>0</v>
      </c>
      <c r="Q20" s="149">
        <f>+N20*P20</f>
        <v>0</v>
      </c>
      <c r="R20" s="149">
        <f>+O20*P20</f>
        <v>0</v>
      </c>
    </row>
    <row r="21" spans="1:26" ht="13.5" thickBot="1">
      <c r="A21" s="771"/>
      <c r="B21" s="215"/>
      <c r="C21" s="216"/>
      <c r="D21" s="217"/>
      <c r="E21" s="225"/>
      <c r="F21" s="231"/>
      <c r="G21" s="232"/>
      <c r="H21" s="233"/>
      <c r="I21" s="769"/>
      <c r="J21" s="214">
        <f>+'2'!J21</f>
        <v>0</v>
      </c>
      <c r="K21" s="239"/>
      <c r="L21" s="239"/>
      <c r="M21" s="117">
        <f>+K21+'2'!M21+L21</f>
        <v>0</v>
      </c>
    </row>
    <row r="22" spans="1:26" ht="13.5" thickBot="1">
      <c r="A22" s="771"/>
      <c r="B22" s="215"/>
      <c r="C22" s="216"/>
      <c r="D22" s="217"/>
      <c r="E22" s="225"/>
      <c r="F22" s="236"/>
      <c r="G22" s="232"/>
      <c r="H22" s="233"/>
      <c r="I22" s="770"/>
      <c r="J22" s="214">
        <f>+'2'!J22</f>
        <v>0</v>
      </c>
      <c r="K22" s="239"/>
      <c r="L22" s="239"/>
      <c r="M22" s="117">
        <f>+K22+'2'!M22+L22</f>
        <v>0</v>
      </c>
    </row>
    <row r="23" spans="1:26" ht="13.5" thickBot="1">
      <c r="A23" s="772"/>
      <c r="B23" s="168" t="s">
        <v>2</v>
      </c>
      <c r="C23" s="100">
        <f>SUM(C16:C22)</f>
        <v>10022</v>
      </c>
      <c r="D23" s="111">
        <f>SUM(D16:D22)</f>
        <v>0</v>
      </c>
      <c r="E23" s="112">
        <f>SUM(E18:E22)</f>
        <v>0</v>
      </c>
      <c r="F23" s="116">
        <f>SUM(F15:F22)</f>
        <v>34</v>
      </c>
      <c r="G23" s="159"/>
      <c r="H23" s="166"/>
      <c r="I23" s="169"/>
      <c r="J23" s="214">
        <f>+'2'!J23</f>
        <v>0</v>
      </c>
      <c r="K23" s="239"/>
      <c r="L23" s="239"/>
      <c r="M23" s="117">
        <f>+K23+'2'!M23+L23</f>
        <v>0</v>
      </c>
    </row>
    <row r="24" spans="1:26" ht="13.5" customHeight="1" thickBot="1">
      <c r="A24" s="765"/>
      <c r="B24" s="170"/>
      <c r="C24" s="113">
        <f>C23/($C$23+$D$23+$E$23)</f>
        <v>1</v>
      </c>
      <c r="D24" s="114">
        <f>D23/($C$23+$D$23+$E$23)</f>
        <v>0</v>
      </c>
      <c r="E24" s="115">
        <f>E23/($C$23+$D$23+$E$23)</f>
        <v>0</v>
      </c>
      <c r="F24" s="228">
        <v>12</v>
      </c>
      <c r="G24" s="229" t="s">
        <v>12</v>
      </c>
      <c r="H24" s="230" t="s">
        <v>402</v>
      </c>
      <c r="I24" s="768" t="s">
        <v>450</v>
      </c>
      <c r="J24" s="214">
        <f>+'2'!J24</f>
        <v>0</v>
      </c>
      <c r="K24" s="239"/>
      <c r="L24" s="239"/>
      <c r="M24" s="117">
        <f>+K24+'2'!M24+L24</f>
        <v>0</v>
      </c>
      <c r="N24" s="149" t="s">
        <v>389</v>
      </c>
      <c r="O24" s="149">
        <v>1230</v>
      </c>
      <c r="P24" s="149">
        <f>+O24-O24*0.23</f>
        <v>947.09999999999991</v>
      </c>
      <c r="Q24" s="149">
        <v>60</v>
      </c>
      <c r="R24" s="149">
        <f t="shared" ref="R24:R27" si="14">+O24*Q24</f>
        <v>73800</v>
      </c>
      <c r="S24" s="149">
        <f t="shared" ref="S24:S27" si="15">+P24*Q24</f>
        <v>56825.999999999993</v>
      </c>
    </row>
    <row r="25" spans="1:26" ht="13.5" thickBot="1">
      <c r="A25" s="771"/>
      <c r="B25" s="215" t="s">
        <v>391</v>
      </c>
      <c r="C25" s="226">
        <v>11435</v>
      </c>
      <c r="D25" s="217">
        <v>300</v>
      </c>
      <c r="E25" s="225"/>
      <c r="F25" s="231"/>
      <c r="G25" s="560" t="s">
        <v>12</v>
      </c>
      <c r="H25" s="230" t="s">
        <v>432</v>
      </c>
      <c r="I25" s="769"/>
      <c r="J25" s="214">
        <f>+'2'!J25</f>
        <v>0</v>
      </c>
      <c r="K25" s="239"/>
      <c r="L25" s="239"/>
      <c r="M25" s="117">
        <f>+K25+'2'!M25+L25</f>
        <v>0</v>
      </c>
      <c r="O25" s="149">
        <v>1200</v>
      </c>
      <c r="P25" s="149">
        <f>+O25-O25*0.23</f>
        <v>924</v>
      </c>
      <c r="Q25" s="149">
        <f>480-Q24</f>
        <v>420</v>
      </c>
      <c r="R25" s="149">
        <f t="shared" si="14"/>
        <v>504000</v>
      </c>
      <c r="S25" s="149">
        <f t="shared" si="15"/>
        <v>388080</v>
      </c>
    </row>
    <row r="26" spans="1:26" ht="13.5" thickBot="1">
      <c r="A26" s="771"/>
      <c r="B26" s="215"/>
      <c r="C26" s="226"/>
      <c r="D26" s="217"/>
      <c r="E26" s="227"/>
      <c r="F26" s="228">
        <f>29-12</f>
        <v>17</v>
      </c>
      <c r="G26" s="560" t="s">
        <v>12</v>
      </c>
      <c r="H26" s="233" t="s">
        <v>405</v>
      </c>
      <c r="I26" s="769"/>
      <c r="J26" s="214">
        <f>+'2'!J26</f>
        <v>0</v>
      </c>
      <c r="K26" s="239"/>
      <c r="L26" s="239"/>
      <c r="M26" s="117">
        <f>+K26+'2'!M26+L26</f>
        <v>0</v>
      </c>
      <c r="P26" s="149">
        <f t="shared" ref="P26" si="16">+O26-O26*0.23</f>
        <v>0</v>
      </c>
      <c r="Q26" s="149">
        <f>480-Q24-Q25</f>
        <v>0</v>
      </c>
      <c r="R26" s="149">
        <f t="shared" si="14"/>
        <v>0</v>
      </c>
      <c r="S26" s="149">
        <f t="shared" si="15"/>
        <v>0</v>
      </c>
    </row>
    <row r="27" spans="1:26" ht="59.25" customHeight="1" thickBot="1">
      <c r="A27" s="771"/>
      <c r="B27" s="215"/>
      <c r="C27" s="216"/>
      <c r="D27" s="217"/>
      <c r="E27" s="225"/>
      <c r="F27" s="228"/>
      <c r="G27" s="237" t="s">
        <v>13</v>
      </c>
      <c r="H27" s="233" t="s">
        <v>442</v>
      </c>
      <c r="I27" s="769"/>
      <c r="J27" s="214">
        <f>+'2'!J27</f>
        <v>0</v>
      </c>
      <c r="K27" s="239"/>
      <c r="L27" s="239"/>
      <c r="M27" s="117">
        <f>+K27+'2'!M27+L27</f>
        <v>0</v>
      </c>
      <c r="P27" s="149">
        <f t="shared" ref="P27" si="17">+O27-O27*0.25</f>
        <v>0</v>
      </c>
      <c r="R27" s="149">
        <f t="shared" si="14"/>
        <v>0</v>
      </c>
      <c r="S27" s="149">
        <f t="shared" si="15"/>
        <v>0</v>
      </c>
    </row>
    <row r="28" spans="1:26" ht="64.5" thickBot="1">
      <c r="A28" s="771"/>
      <c r="B28" s="215"/>
      <c r="C28" s="216"/>
      <c r="D28" s="217"/>
      <c r="E28" s="225"/>
      <c r="F28" s="231"/>
      <c r="G28" s="232"/>
      <c r="H28" s="233" t="s">
        <v>443</v>
      </c>
      <c r="I28" s="769"/>
      <c r="J28" s="214">
        <f>+'2'!J28</f>
        <v>0</v>
      </c>
      <c r="K28" s="239"/>
      <c r="L28" s="239"/>
      <c r="M28" s="117">
        <f>+K28+'2'!M28+L28</f>
        <v>0</v>
      </c>
      <c r="Q28" s="149">
        <f>SUM(Q23:Q27)</f>
        <v>480</v>
      </c>
      <c r="R28" s="149">
        <f>SUM(R23:R27)</f>
        <v>577800</v>
      </c>
      <c r="S28" s="149">
        <f>SUM(S23:S27)</f>
        <v>444906</v>
      </c>
    </row>
    <row r="29" spans="1:26" ht="13.5" thickBot="1">
      <c r="A29" s="771"/>
      <c r="B29" s="215"/>
      <c r="C29" s="216"/>
      <c r="D29" s="217"/>
      <c r="E29" s="225"/>
      <c r="F29" s="236"/>
      <c r="G29" s="232"/>
      <c r="H29" s="233"/>
      <c r="I29" s="769"/>
      <c r="J29" s="214">
        <f>+'2'!J29</f>
        <v>0</v>
      </c>
      <c r="K29" s="239"/>
      <c r="L29" s="239"/>
      <c r="M29" s="117">
        <f>+K29+'2'!M29+L29</f>
        <v>0</v>
      </c>
      <c r="O29" s="149" t="s">
        <v>424</v>
      </c>
      <c r="R29" s="149">
        <f>+R28/Q28</f>
        <v>1203.75</v>
      </c>
      <c r="S29" s="149">
        <f>+S28/Q28</f>
        <v>926.88750000000005</v>
      </c>
    </row>
    <row r="30" spans="1:26" ht="13.5" thickBot="1">
      <c r="A30" s="771"/>
      <c r="B30" s="215"/>
      <c r="C30" s="226"/>
      <c r="D30" s="217"/>
      <c r="E30" s="225"/>
      <c r="F30" s="236"/>
      <c r="G30" s="232"/>
      <c r="H30" s="233"/>
      <c r="I30" s="769"/>
      <c r="J30" s="214">
        <f>+'2'!J30</f>
        <v>0</v>
      </c>
      <c r="K30" s="239"/>
      <c r="L30" s="239"/>
      <c r="M30" s="117">
        <f>+K30+'2'!M30+L30</f>
        <v>0</v>
      </c>
      <c r="Q30" s="149">
        <f>+N30*P30</f>
        <v>0</v>
      </c>
      <c r="R30" s="149">
        <f>+O30*P30</f>
        <v>0</v>
      </c>
    </row>
    <row r="31" spans="1:26" ht="13.5" thickBot="1">
      <c r="A31" s="771"/>
      <c r="B31" s="215"/>
      <c r="C31" s="226"/>
      <c r="D31" s="217"/>
      <c r="E31" s="225"/>
      <c r="F31" s="236"/>
      <c r="G31" s="237"/>
      <c r="H31" s="445"/>
      <c r="I31" s="770"/>
      <c r="J31" s="214">
        <f>+'2'!J31</f>
        <v>0</v>
      </c>
      <c r="K31" s="239"/>
      <c r="L31" s="239"/>
      <c r="M31" s="117">
        <f>+K31+'2'!M31+L31</f>
        <v>0</v>
      </c>
    </row>
    <row r="32" spans="1:26" ht="13.5" thickBot="1">
      <c r="A32" s="772"/>
      <c r="B32" s="165" t="s">
        <v>2</v>
      </c>
      <c r="C32" s="99">
        <f>SUM(C25:C31)</f>
        <v>11435</v>
      </c>
      <c r="D32" s="100">
        <f>SUM(D25:D31)</f>
        <v>300</v>
      </c>
      <c r="E32" s="101">
        <f>SUM(E25:E31)</f>
        <v>0</v>
      </c>
      <c r="F32" s="102">
        <f>SUM(F24:F31)</f>
        <v>29</v>
      </c>
      <c r="G32" s="171"/>
      <c r="H32" s="172"/>
      <c r="I32" s="169"/>
      <c r="J32" s="214">
        <f>+'2'!J32</f>
        <v>0</v>
      </c>
      <c r="K32" s="241"/>
      <c r="L32" s="243"/>
      <c r="M32" s="117">
        <f>+K32+'2'!M32+L32</f>
        <v>0</v>
      </c>
    </row>
    <row r="33" spans="1:17" ht="13.5" thickBot="1">
      <c r="A33" s="173"/>
      <c r="B33" s="174"/>
      <c r="C33" s="103">
        <f>C32/($C$32+$D$32+$E$32)</f>
        <v>0.97443544951001282</v>
      </c>
      <c r="D33" s="104">
        <f>D32/($C$32+$D$32+$E$32)</f>
        <v>2.5564550489987219E-2</v>
      </c>
      <c r="E33" s="105">
        <f>E32/($C$32+$D$32+$E$32)</f>
        <v>0</v>
      </c>
      <c r="F33" s="106"/>
      <c r="G33" s="175"/>
      <c r="H33" s="176"/>
      <c r="I33" s="177"/>
      <c r="J33" s="121"/>
      <c r="K33" s="122"/>
      <c r="L33" s="213"/>
      <c r="M33" s="119"/>
      <c r="N33" s="149" t="s">
        <v>417</v>
      </c>
      <c r="O33" s="149">
        <v>1230</v>
      </c>
      <c r="P33" s="149">
        <v>947.09999999999991</v>
      </c>
      <c r="Q33" s="149">
        <v>172</v>
      </c>
    </row>
    <row r="34" spans="1:17" ht="13.5" thickBot="1">
      <c r="A34" s="761" t="s">
        <v>57</v>
      </c>
      <c r="B34" s="762"/>
      <c r="C34" s="107">
        <f>C14+C23+C32</f>
        <v>31743</v>
      </c>
      <c r="D34" s="107">
        <f>D14+D23+D32</f>
        <v>300</v>
      </c>
      <c r="E34" s="107">
        <f>E14+E23+E32</f>
        <v>0</v>
      </c>
      <c r="F34" s="108">
        <f>F14+F23+F32</f>
        <v>84</v>
      </c>
      <c r="H34" s="178"/>
      <c r="I34" s="178"/>
      <c r="J34" s="123" t="s">
        <v>28</v>
      </c>
      <c r="K34" s="124">
        <f>SUM(K7:K32)</f>
        <v>31743</v>
      </c>
      <c r="L34" s="212">
        <f>SUM(L7:L32)</f>
        <v>0</v>
      </c>
      <c r="M34" s="120">
        <f>SUM(M7:M32)</f>
        <v>104856</v>
      </c>
      <c r="N34" s="149" t="s">
        <v>389</v>
      </c>
      <c r="O34" s="149">
        <v>1213.1072555205046</v>
      </c>
      <c r="P34" s="149">
        <v>934.09258675078854</v>
      </c>
      <c r="Q34" s="149">
        <v>1268</v>
      </c>
    </row>
    <row r="35" spans="1:17" ht="13.5" thickBot="1">
      <c r="A35" s="179"/>
      <c r="B35" s="180"/>
      <c r="C35" s="104">
        <f>C34/($C$34+$D$34+$E$34)</f>
        <v>0.99063758075086605</v>
      </c>
      <c r="D35" s="104">
        <f>D34/($C$34+$D$34+$E$34)</f>
        <v>9.3624192491339759E-3</v>
      </c>
      <c r="E35" s="109">
        <f>E34/($C$34+$D$34+$E$34)</f>
        <v>0</v>
      </c>
      <c r="K35" s="155"/>
      <c r="Q35" s="149">
        <f>+Q33+Q34</f>
        <v>1440</v>
      </c>
    </row>
    <row r="36" spans="1:17" ht="13.5" thickBot="1">
      <c r="A36" s="178"/>
      <c r="B36" s="178"/>
      <c r="C36" s="155"/>
      <c r="D36" s="155"/>
      <c r="E36" s="155"/>
      <c r="G36" s="155"/>
      <c r="H36" s="181"/>
      <c r="I36" s="162" t="s">
        <v>37</v>
      </c>
      <c r="J36" s="162" t="s">
        <v>38</v>
      </c>
      <c r="K36" s="182"/>
    </row>
    <row r="37" spans="1:17" ht="17.45" customHeight="1" thickBot="1">
      <c r="A37" s="763" t="s">
        <v>58</v>
      </c>
      <c r="B37" s="764"/>
      <c r="C37" s="162" t="s">
        <v>59</v>
      </c>
      <c r="D37" s="183" t="s">
        <v>60</v>
      </c>
      <c r="E37" s="184" t="s">
        <v>61</v>
      </c>
      <c r="F37" s="322"/>
      <c r="G37" s="324"/>
      <c r="H37" s="186" t="s">
        <v>62</v>
      </c>
      <c r="I37" s="244">
        <f>(13*172+12*1268)/1440*G42*2.74*1440/1000000</f>
        <v>44.741181492699994</v>
      </c>
      <c r="J37" s="125">
        <f>+I37+'2'!J37</f>
        <v>136.88884896487014</v>
      </c>
      <c r="K37" s="126" t="s">
        <v>63</v>
      </c>
    </row>
    <row r="38" spans="1:17" ht="17.45" customHeight="1">
      <c r="A38" s="755" t="s">
        <v>12</v>
      </c>
      <c r="B38" s="756"/>
      <c r="C38" s="164">
        <f>SUMIF($G$7:$G$31,"Process",$F$7:$F$31)</f>
        <v>84</v>
      </c>
      <c r="D38" s="118">
        <f>+C38+'2'!D38</f>
        <v>233</v>
      </c>
      <c r="E38" s="143">
        <f t="shared" ref="E38:E51" si="18">D38/60</f>
        <v>3.8833333333333333</v>
      </c>
      <c r="F38" s="322">
        <v>1223.5</v>
      </c>
      <c r="G38" s="322">
        <v>942.0949999999998</v>
      </c>
      <c r="H38" s="187" t="s">
        <v>64</v>
      </c>
      <c r="I38" s="245">
        <f>12.768+11.995+13.395</f>
        <v>38.158000000000001</v>
      </c>
      <c r="J38" s="127">
        <f>+I38+'2'!J38</f>
        <v>116.70300000000002</v>
      </c>
      <c r="K38" s="128" t="s">
        <v>63</v>
      </c>
    </row>
    <row r="39" spans="1:17" ht="17.45" customHeight="1">
      <c r="A39" s="759" t="s">
        <v>13</v>
      </c>
      <c r="B39" s="760"/>
      <c r="C39" s="164">
        <f>SUMIF($G$7:$G$31,"Cleaning",$F$7:$F$31)</f>
        <v>0</v>
      </c>
      <c r="D39" s="118">
        <f>+C39+'2'!D39</f>
        <v>0</v>
      </c>
      <c r="E39" s="143">
        <f t="shared" si="18"/>
        <v>0</v>
      </c>
      <c r="F39" s="322">
        <v>1218.125</v>
      </c>
      <c r="G39" s="322">
        <v>937.95624999999995</v>
      </c>
      <c r="H39" s="187" t="s">
        <v>65</v>
      </c>
      <c r="I39" s="142"/>
      <c r="J39" s="129">
        <f>J37/G4</f>
        <v>45.629616321623381</v>
      </c>
      <c r="K39" s="130" t="s">
        <v>63</v>
      </c>
    </row>
    <row r="40" spans="1:17" ht="17.45" customHeight="1">
      <c r="A40" s="759" t="s">
        <v>66</v>
      </c>
      <c r="B40" s="760"/>
      <c r="C40" s="164">
        <f>SUMIF($G$7:$G$31,"Mechanical",$F$7:$F$31)</f>
        <v>0</v>
      </c>
      <c r="D40" s="118">
        <f>+C40+'2'!D40</f>
        <v>0</v>
      </c>
      <c r="E40" s="143">
        <f t="shared" si="18"/>
        <v>0</v>
      </c>
      <c r="F40" s="322">
        <v>1203.75</v>
      </c>
      <c r="G40" s="322">
        <v>926.88750000000005</v>
      </c>
      <c r="H40" s="187" t="s">
        <v>67</v>
      </c>
      <c r="I40" s="118">
        <f>(K34+L34)/1000</f>
        <v>31.742999999999999</v>
      </c>
      <c r="J40" s="131">
        <f>+I40+'2'!J40</f>
        <v>104.85599999999999</v>
      </c>
      <c r="K40" s="130" t="s">
        <v>63</v>
      </c>
    </row>
    <row r="41" spans="1:17" ht="17.45" customHeight="1">
      <c r="A41" s="759" t="s">
        <v>68</v>
      </c>
      <c r="B41" s="760"/>
      <c r="C41" s="164">
        <f>SUMIF($G$7:$G$31,"Electrical",$F$7:$F$31)</f>
        <v>0</v>
      </c>
      <c r="D41" s="118">
        <f>+C41+'2'!D41</f>
        <v>0</v>
      </c>
      <c r="E41" s="143">
        <f t="shared" si="18"/>
        <v>0</v>
      </c>
      <c r="F41" s="322"/>
      <c r="G41" s="322"/>
      <c r="H41" s="187" t="s">
        <v>69</v>
      </c>
      <c r="I41" s="142"/>
      <c r="J41" s="129">
        <f>J40/G4</f>
        <v>34.951999999999998</v>
      </c>
      <c r="K41" s="130" t="s">
        <v>63</v>
      </c>
    </row>
    <row r="42" spans="1:17" ht="17.45" customHeight="1">
      <c r="A42" s="759" t="s">
        <v>16</v>
      </c>
      <c r="B42" s="760"/>
      <c r="C42" s="164">
        <f>SUMIF($G$7:$G$31,"Instrument",$F$7:$F$31)</f>
        <v>0</v>
      </c>
      <c r="D42" s="118">
        <f>+C42+'2'!D42</f>
        <v>0</v>
      </c>
      <c r="E42" s="143">
        <f t="shared" si="18"/>
        <v>0</v>
      </c>
      <c r="F42" s="322">
        <f>+(F38*480+F39*480+F40*480)/1440</f>
        <v>1215.125</v>
      </c>
      <c r="G42" s="322">
        <f>+(G38*480+G39*480+G40*480)/1440</f>
        <v>935.6462499999999</v>
      </c>
      <c r="H42" s="187" t="s">
        <v>70</v>
      </c>
      <c r="I42" s="246" t="s">
        <v>451</v>
      </c>
      <c r="J42" s="132"/>
      <c r="K42" s="130" t="s">
        <v>71</v>
      </c>
    </row>
    <row r="43" spans="1:17" ht="17.45" customHeight="1">
      <c r="A43" s="759" t="s">
        <v>72</v>
      </c>
      <c r="B43" s="760"/>
      <c r="C43" s="164">
        <f>SUMIF($G$7:$G$31,"Water",$F$7:$F$31)</f>
        <v>0</v>
      </c>
      <c r="D43" s="118">
        <f>+C43+'2'!D43</f>
        <v>0</v>
      </c>
      <c r="E43" s="143">
        <f t="shared" si="18"/>
        <v>0</v>
      </c>
      <c r="F43" s="322"/>
      <c r="G43" s="323"/>
      <c r="H43" s="188" t="s">
        <v>73</v>
      </c>
      <c r="I43" s="118">
        <f>+Report1!Z11</f>
        <v>55.3</v>
      </c>
      <c r="J43" s="133">
        <f>+I43+'2'!J43</f>
        <v>173.1</v>
      </c>
      <c r="K43" s="130" t="s">
        <v>63</v>
      </c>
      <c r="L43" s="189"/>
    </row>
    <row r="44" spans="1:17" ht="17.45" customHeight="1">
      <c r="A44" s="759" t="s">
        <v>17</v>
      </c>
      <c r="B44" s="760"/>
      <c r="C44" s="164">
        <f>SUMIF($G$7:$G$31,"PLN",$F$7:$F$31)</f>
        <v>0</v>
      </c>
      <c r="D44" s="118">
        <f>+C44+'2'!D44</f>
        <v>0</v>
      </c>
      <c r="E44" s="143">
        <f t="shared" si="18"/>
        <v>0</v>
      </c>
      <c r="F44" s="322"/>
      <c r="G44" s="323"/>
      <c r="H44" s="188" t="s">
        <v>74</v>
      </c>
      <c r="I44" s="118">
        <f>I43/I38</f>
        <v>1.4492373814141202</v>
      </c>
      <c r="J44" s="134">
        <f>J43/J38</f>
        <v>1.4832523585511939</v>
      </c>
      <c r="K44" s="130" t="s">
        <v>63</v>
      </c>
    </row>
    <row r="45" spans="1:17" ht="17.45" customHeight="1">
      <c r="A45" s="759" t="s">
        <v>18</v>
      </c>
      <c r="B45" s="760"/>
      <c r="C45" s="164">
        <f>SUMIF($G$7:$G$31,"Boiler",$F$7:$F$31)</f>
        <v>0</v>
      </c>
      <c r="D45" s="118">
        <f>+C45+'2'!D45</f>
        <v>0</v>
      </c>
      <c r="E45" s="143">
        <f t="shared" si="18"/>
        <v>0</v>
      </c>
      <c r="F45" s="322"/>
      <c r="G45" s="325"/>
      <c r="H45" s="188" t="s">
        <v>75</v>
      </c>
      <c r="I45" s="118">
        <f>I43/I40</f>
        <v>1.7421163721135369</v>
      </c>
      <c r="J45" s="134">
        <f>J43/J40</f>
        <v>1.6508354314488443</v>
      </c>
      <c r="K45" s="130" t="s">
        <v>63</v>
      </c>
    </row>
    <row r="46" spans="1:17" ht="17.45" customHeight="1">
      <c r="A46" s="759" t="s">
        <v>76</v>
      </c>
      <c r="B46" s="760"/>
      <c r="C46" s="164">
        <f>SUMIF($G$7:$G$31,"Gas",$F$7:$F$31)</f>
        <v>0</v>
      </c>
      <c r="D46" s="118">
        <f>+C46+'2'!D46</f>
        <v>0</v>
      </c>
      <c r="E46" s="143">
        <f t="shared" si="18"/>
        <v>0</v>
      </c>
      <c r="F46" s="322"/>
      <c r="G46" s="323"/>
      <c r="H46" s="188" t="s">
        <v>77</v>
      </c>
      <c r="I46" s="140">
        <f>+SUMIF(Listrik!P10,"&gt;0")</f>
        <v>33620.099999999635</v>
      </c>
      <c r="J46" s="135">
        <f>+I46+'2'!J46</f>
        <v>104409.4</v>
      </c>
      <c r="K46" s="130" t="s">
        <v>78</v>
      </c>
    </row>
    <row r="47" spans="1:17" ht="17.45" customHeight="1">
      <c r="A47" s="759" t="s">
        <v>79</v>
      </c>
      <c r="B47" s="760"/>
      <c r="C47" s="164">
        <f>SUMIF($G$7:$G$31,"Gas",$F$7:$F$31)</f>
        <v>0</v>
      </c>
      <c r="D47" s="118">
        <f>+C47+'2'!D47</f>
        <v>0</v>
      </c>
      <c r="E47" s="143">
        <f t="shared" si="18"/>
        <v>0</v>
      </c>
      <c r="F47" s="322"/>
      <c r="G47" s="323"/>
      <c r="H47" s="188" t="s">
        <v>80</v>
      </c>
      <c r="I47" s="118">
        <f>I46/I38</f>
        <v>881.07605220398432</v>
      </c>
      <c r="J47" s="135">
        <f>J46/J38</f>
        <v>894.65909188281341</v>
      </c>
      <c r="K47" s="130" t="s">
        <v>24</v>
      </c>
    </row>
    <row r="48" spans="1:17" ht="17.45" customHeight="1">
      <c r="A48" s="759" t="s">
        <v>14</v>
      </c>
      <c r="B48" s="760"/>
      <c r="C48" s="164">
        <f>SUMIF($G$7:$G$31,"Start Up",$F$7:$F$31)</f>
        <v>0</v>
      </c>
      <c r="D48" s="118">
        <f>+C48+'2'!D48</f>
        <v>0</v>
      </c>
      <c r="E48" s="143">
        <f t="shared" si="18"/>
        <v>0</v>
      </c>
      <c r="F48" s="322"/>
      <c r="G48" s="323"/>
      <c r="H48" s="188" t="s">
        <v>81</v>
      </c>
      <c r="I48" s="118">
        <f>I46/I40</f>
        <v>1059.1342973253832</v>
      </c>
      <c r="J48" s="135">
        <f>J46/J40</f>
        <v>995.74082551308459</v>
      </c>
      <c r="K48" s="130" t="s">
        <v>24</v>
      </c>
    </row>
    <row r="49" spans="1:11" ht="17.45" customHeight="1">
      <c r="A49" s="759" t="s">
        <v>20</v>
      </c>
      <c r="B49" s="760"/>
      <c r="C49" s="164">
        <f>SUMIF($G$7:$G$31,"Others",$F$7:$F$31)</f>
        <v>0</v>
      </c>
      <c r="D49" s="118">
        <f>+C49+'2'!D49</f>
        <v>0</v>
      </c>
      <c r="E49" s="143">
        <f t="shared" si="18"/>
        <v>0</v>
      </c>
      <c r="F49" s="185"/>
      <c r="H49" s="188" t="s">
        <v>271</v>
      </c>
      <c r="I49" s="118">
        <f>+Report1!T11</f>
        <v>3801.134578235673</v>
      </c>
      <c r="J49" s="135">
        <f>+I49+'2'!J49</f>
        <v>10980.941766510346</v>
      </c>
      <c r="K49" s="130" t="s">
        <v>82</v>
      </c>
    </row>
    <row r="50" spans="1:11" ht="17.45" customHeight="1">
      <c r="A50" s="759" t="s">
        <v>19</v>
      </c>
      <c r="B50" s="760"/>
      <c r="C50" s="164">
        <f>SUMIF($G$7:$G$31,"Steam",$F$7:$F$31)</f>
        <v>0</v>
      </c>
      <c r="D50" s="118">
        <f>+C50+'2'!D50</f>
        <v>0</v>
      </c>
      <c r="E50" s="143">
        <f t="shared" si="18"/>
        <v>0</v>
      </c>
      <c r="F50" s="185"/>
      <c r="H50" s="188" t="s">
        <v>83</v>
      </c>
      <c r="I50" s="140">
        <f>I49/I38</f>
        <v>99.615665869166961</v>
      </c>
      <c r="J50" s="133">
        <f>J49/J38</f>
        <v>94.093054733043232</v>
      </c>
      <c r="K50" s="130" t="s">
        <v>82</v>
      </c>
    </row>
    <row r="51" spans="1:11" ht="17.45" customHeight="1" thickBot="1">
      <c r="A51" s="753" t="s">
        <v>84</v>
      </c>
      <c r="B51" s="754"/>
      <c r="C51" s="164">
        <f>SUMIF($G$7:$G$31,"Planned shut",$F$7:$F$31)</f>
        <v>0</v>
      </c>
      <c r="D51" s="118">
        <f>+C51+'2'!D51</f>
        <v>0</v>
      </c>
      <c r="E51" s="143">
        <f t="shared" si="18"/>
        <v>0</v>
      </c>
      <c r="F51" s="185"/>
      <c r="H51" s="190" t="s">
        <v>85</v>
      </c>
      <c r="I51" s="141">
        <f>I49/I40</f>
        <v>119.74717506964285</v>
      </c>
      <c r="J51" s="136">
        <f>J49/J40</f>
        <v>104.72401928845605</v>
      </c>
      <c r="K51" s="137" t="s">
        <v>82</v>
      </c>
    </row>
    <row r="52" spans="1:11" ht="13.5" thickBot="1">
      <c r="A52" s="755" t="s">
        <v>28</v>
      </c>
      <c r="B52" s="756"/>
      <c r="C52" s="144">
        <f>SUM(C38:C51)</f>
        <v>84</v>
      </c>
      <c r="D52" s="144">
        <f>SUM(D38:D51)</f>
        <v>233</v>
      </c>
      <c r="E52" s="145">
        <f>SUM(E38:E51)</f>
        <v>3.8833333333333333</v>
      </c>
      <c r="F52" s="185"/>
      <c r="H52" s="191"/>
      <c r="I52" s="192"/>
      <c r="J52" s="138"/>
      <c r="K52" s="139"/>
    </row>
    <row r="53" spans="1:11" ht="13.5" thickBot="1">
      <c r="A53" s="757"/>
      <c r="B53" s="758"/>
      <c r="C53" s="146">
        <f>C52/(24*60)</f>
        <v>5.8333333333333334E-2</v>
      </c>
      <c r="D53" s="146">
        <f>D52/(24*60*G4)</f>
        <v>5.3935185185185183E-2</v>
      </c>
      <c r="E53" s="147">
        <f>E52/(G4*24)</f>
        <v>5.3935185185185183E-2</v>
      </c>
      <c r="F53" s="185"/>
    </row>
    <row r="54" spans="1:11">
      <c r="E54" s="193"/>
      <c r="F54" s="185"/>
    </row>
    <row r="55" spans="1:11">
      <c r="E55" s="193"/>
    </row>
    <row r="56" spans="1:11">
      <c r="A56" s="194" t="s">
        <v>86</v>
      </c>
      <c r="B56" s="195"/>
      <c r="C56" s="196"/>
      <c r="D56" s="196"/>
      <c r="E56" s="196"/>
      <c r="F56" s="197"/>
      <c r="G56" s="196"/>
      <c r="H56" s="198"/>
      <c r="I56" s="199" t="s">
        <v>87</v>
      </c>
      <c r="J56" s="200">
        <f>+D34+'2'!J56</f>
        <v>610</v>
      </c>
      <c r="K56" s="201">
        <f>J56/(J40+J56/1000)/1000</f>
        <v>5.7838545123546931E-3</v>
      </c>
    </row>
    <row r="57" spans="1:11">
      <c r="A57" s="176"/>
      <c r="I57" s="199" t="s">
        <v>88</v>
      </c>
      <c r="J57" s="200">
        <f>+E34+'2'!J57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7" right="0.16" top="0.17" bottom="0.16" header="0" footer="0"/>
  <pageSetup paperSize="9" scale="43" firstPageNumber="4294963191" orientation="landscape" r:id="rId1"/>
  <headerFooter alignWithMargins="0"/>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1"/>
  <sheetViews>
    <sheetView view="pageBreakPreview" topLeftCell="C22" zoomScale="80" zoomScaleNormal="75" zoomScaleSheetLayoutView="80" workbookViewId="0">
      <selection activeCell="H11" sqref="H1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1.7109375" style="110" customWidth="1"/>
    <col min="7" max="7" width="12.7109375" style="149"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4.42578125" style="149" bestFit="1" customWidth="1"/>
    <col min="14" max="16384" width="9.140625" style="149"/>
  </cols>
  <sheetData>
    <row r="1" spans="1:28" ht="15.75">
      <c r="A1" s="148"/>
    </row>
    <row r="2" spans="1:28" ht="15.75">
      <c r="A2" s="148" t="s">
        <v>185</v>
      </c>
    </row>
    <row r="3" spans="1:28" ht="15">
      <c r="A3" s="150"/>
    </row>
    <row r="4" spans="1:28" ht="20.25">
      <c r="A4" s="151" t="s">
        <v>3</v>
      </c>
      <c r="B4" s="152"/>
      <c r="F4" s="153" t="s">
        <v>29</v>
      </c>
      <c r="G4" s="154">
        <v>2</v>
      </c>
      <c r="H4" s="154" t="str">
        <f>+'1'!H4</f>
        <v>.9.25</v>
      </c>
      <c r="J4" s="149">
        <f>479+488+497</f>
        <v>1464</v>
      </c>
    </row>
    <row r="5" spans="1:28" ht="13.5" thickBot="1">
      <c r="C5" s="155"/>
      <c r="D5" s="155"/>
    </row>
    <row r="6" spans="1:28"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O6" s="149" t="s">
        <v>389</v>
      </c>
      <c r="P6" s="149">
        <v>1230</v>
      </c>
      <c r="Q6" s="149">
        <f>+P6-P6*0.23</f>
        <v>947.09999999999991</v>
      </c>
      <c r="R6" s="149">
        <v>480</v>
      </c>
      <c r="S6" s="149">
        <f t="shared" ref="S6:S9" si="0">+P6*R6</f>
        <v>590400</v>
      </c>
      <c r="T6" s="149">
        <f t="shared" ref="T6:T9" si="1">+Q6*R6</f>
        <v>454607.99999999994</v>
      </c>
      <c r="W6" s="149" t="s">
        <v>389</v>
      </c>
      <c r="X6" s="149">
        <v>1230</v>
      </c>
      <c r="Y6" s="149">
        <f>+X6-X6*0.23</f>
        <v>947.09999999999991</v>
      </c>
      <c r="Z6" s="149">
        <v>480</v>
      </c>
      <c r="AA6" s="149">
        <f t="shared" ref="AA6:AA9" si="2">+X6*Z6</f>
        <v>590400</v>
      </c>
      <c r="AB6" s="149">
        <f t="shared" ref="AB6:AB9" si="3">+Y6*Z6</f>
        <v>454607.99999999994</v>
      </c>
    </row>
    <row r="7" spans="1:28" ht="13.5" customHeight="1" thickBot="1">
      <c r="A7" s="765"/>
      <c r="B7" s="215" t="s">
        <v>391</v>
      </c>
      <c r="C7" s="216">
        <v>12036</v>
      </c>
      <c r="D7" s="217"/>
      <c r="E7" s="218"/>
      <c r="F7" s="228">
        <v>6</v>
      </c>
      <c r="G7" s="229" t="s">
        <v>12</v>
      </c>
      <c r="H7" s="230" t="s">
        <v>402</v>
      </c>
      <c r="I7" s="768" t="s">
        <v>428</v>
      </c>
      <c r="J7" s="214" t="str">
        <f>+'1'!J7</f>
        <v>F 12 VP OW</v>
      </c>
      <c r="K7" s="238">
        <f>+C7+C16</f>
        <v>17891</v>
      </c>
      <c r="L7" s="242"/>
      <c r="M7" s="117">
        <f>+K7+'1'!M7+L7</f>
        <v>56839</v>
      </c>
      <c r="Q7" s="149">
        <f>+P7-P7*0.23</f>
        <v>0</v>
      </c>
      <c r="R7" s="149">
        <f>480-R6</f>
        <v>0</v>
      </c>
      <c r="S7" s="149">
        <f t="shared" si="0"/>
        <v>0</v>
      </c>
      <c r="T7" s="149">
        <f t="shared" si="1"/>
        <v>0</v>
      </c>
      <c r="X7" s="149">
        <v>1230</v>
      </c>
      <c r="Y7" s="149">
        <v>947.09999999999991</v>
      </c>
      <c r="Z7" s="149">
        <v>105</v>
      </c>
      <c r="AA7" s="149">
        <f t="shared" si="2"/>
        <v>129150</v>
      </c>
      <c r="AB7" s="149">
        <f t="shared" si="3"/>
        <v>99445.499999999985</v>
      </c>
    </row>
    <row r="8" spans="1:28" ht="13.5" thickBot="1">
      <c r="A8" s="766"/>
      <c r="B8" s="215"/>
      <c r="C8" s="216"/>
      <c r="D8" s="217"/>
      <c r="E8" s="219"/>
      <c r="F8" s="231">
        <v>8</v>
      </c>
      <c r="G8" s="560" t="s">
        <v>12</v>
      </c>
      <c r="H8" s="230" t="s">
        <v>431</v>
      </c>
      <c r="I8" s="769"/>
      <c r="J8" s="214" t="str">
        <f>+'1'!J8</f>
        <v>F 13 VP OW</v>
      </c>
      <c r="K8" s="239">
        <f>+C17+C25</f>
        <v>13740</v>
      </c>
      <c r="L8" s="239"/>
      <c r="M8" s="117">
        <f>+K8+'1'!M8+L8</f>
        <v>16274</v>
      </c>
      <c r="Q8" s="149">
        <f t="shared" ref="Q8" si="4">+P8-P8*0.23</f>
        <v>0</v>
      </c>
      <c r="S8" s="149">
        <f t="shared" si="0"/>
        <v>0</v>
      </c>
      <c r="T8" s="149">
        <f t="shared" si="1"/>
        <v>0</v>
      </c>
      <c r="X8" s="149">
        <v>1200</v>
      </c>
      <c r="Y8" s="149">
        <v>924</v>
      </c>
      <c r="Z8" s="149">
        <v>3</v>
      </c>
      <c r="AA8" s="149">
        <f t="shared" si="2"/>
        <v>3600</v>
      </c>
      <c r="AB8" s="149">
        <f t="shared" si="3"/>
        <v>2772</v>
      </c>
    </row>
    <row r="9" spans="1:28" ht="13.5" thickBot="1">
      <c r="A9" s="766"/>
      <c r="B9" s="215"/>
      <c r="C9" s="216"/>
      <c r="D9" s="217"/>
      <c r="E9" s="220"/>
      <c r="F9" s="228">
        <f>14-6</f>
        <v>8</v>
      </c>
      <c r="G9" s="560" t="s">
        <v>12</v>
      </c>
      <c r="H9" s="233" t="s">
        <v>386</v>
      </c>
      <c r="I9" s="769"/>
      <c r="J9" s="214">
        <f>+'1'!J9</f>
        <v>0</v>
      </c>
      <c r="K9" s="239"/>
      <c r="L9" s="239"/>
      <c r="M9" s="117">
        <f>+K9+'1'!M9+L9</f>
        <v>0</v>
      </c>
      <c r="Q9" s="149">
        <f t="shared" ref="Q9" si="5">+P9-P9*0.25</f>
        <v>0</v>
      </c>
      <c r="S9" s="149">
        <f t="shared" si="0"/>
        <v>0</v>
      </c>
      <c r="T9" s="149">
        <f t="shared" si="1"/>
        <v>0</v>
      </c>
      <c r="X9" s="149">
        <v>1230</v>
      </c>
      <c r="Y9" s="149">
        <v>947.09999999999991</v>
      </c>
      <c r="Z9" s="149">
        <v>60</v>
      </c>
      <c r="AA9" s="149">
        <f t="shared" si="2"/>
        <v>73800</v>
      </c>
      <c r="AB9" s="149">
        <f t="shared" si="3"/>
        <v>56825.999999999993</v>
      </c>
    </row>
    <row r="10" spans="1:28" ht="26.25" thickBot="1">
      <c r="A10" s="766"/>
      <c r="B10" s="215"/>
      <c r="C10" s="216"/>
      <c r="D10" s="217"/>
      <c r="E10" s="219"/>
      <c r="F10" s="228"/>
      <c r="G10" s="237" t="s">
        <v>13</v>
      </c>
      <c r="H10" s="233" t="s">
        <v>422</v>
      </c>
      <c r="I10" s="769"/>
      <c r="J10" s="214">
        <f>+'1'!J10</f>
        <v>0</v>
      </c>
      <c r="K10" s="239"/>
      <c r="L10" s="239"/>
      <c r="M10" s="117">
        <f>+K10+'1'!M10+L10</f>
        <v>0</v>
      </c>
      <c r="R10" s="149">
        <f>SUM(R5:R9)</f>
        <v>480</v>
      </c>
      <c r="S10" s="149">
        <f>SUM(S5:S9)</f>
        <v>590400</v>
      </c>
      <c r="T10" s="149">
        <f>SUM(T5:T9)</f>
        <v>454607.99999999994</v>
      </c>
      <c r="X10" s="149">
        <v>1180</v>
      </c>
      <c r="Y10" s="149">
        <v>908.59999999999991</v>
      </c>
      <c r="Z10" s="149">
        <v>91</v>
      </c>
      <c r="AA10" s="149">
        <f t="shared" ref="AA10" si="6">+X10*Z10</f>
        <v>107380</v>
      </c>
      <c r="AB10" s="149">
        <f t="shared" ref="AB10" si="7">+Y10*Z10</f>
        <v>82682.599999999991</v>
      </c>
    </row>
    <row r="11" spans="1:28" ht="138.75" customHeight="1" thickBot="1">
      <c r="A11" s="766"/>
      <c r="B11" s="215"/>
      <c r="C11" s="216"/>
      <c r="D11" s="217"/>
      <c r="E11" s="219"/>
      <c r="F11" s="228"/>
      <c r="G11" s="232"/>
      <c r="H11" s="233" t="s">
        <v>423</v>
      </c>
      <c r="I11" s="769"/>
      <c r="J11" s="214">
        <f>+'1'!J11</f>
        <v>0</v>
      </c>
      <c r="K11" s="239"/>
      <c r="L11" s="239"/>
      <c r="M11" s="117">
        <f>+K11+'1'!M11+L11</f>
        <v>0</v>
      </c>
      <c r="P11" s="149" t="s">
        <v>424</v>
      </c>
      <c r="S11" s="149">
        <f>+S10/R10</f>
        <v>1230</v>
      </c>
      <c r="T11" s="149">
        <f>+T10/R10</f>
        <v>947.09999999999991</v>
      </c>
    </row>
    <row r="12" spans="1:28" ht="13.5" thickBot="1">
      <c r="A12" s="766"/>
      <c r="B12" s="215"/>
      <c r="C12" s="216"/>
      <c r="D12" s="217"/>
      <c r="E12" s="219"/>
      <c r="F12" s="228"/>
      <c r="G12" s="232"/>
      <c r="H12" s="233"/>
      <c r="I12" s="769"/>
      <c r="J12" s="214">
        <f>+'1'!J12</f>
        <v>0</v>
      </c>
      <c r="K12" s="239"/>
      <c r="L12" s="239"/>
      <c r="M12" s="117">
        <f>+K12+'1'!M12+L12</f>
        <v>0</v>
      </c>
      <c r="R12" s="149">
        <f>+O12*Q12</f>
        <v>0</v>
      </c>
      <c r="S12" s="149">
        <f>+P12*Q12</f>
        <v>0</v>
      </c>
    </row>
    <row r="13" spans="1:28" ht="13.5" thickBot="1">
      <c r="A13" s="766"/>
      <c r="B13" s="215"/>
      <c r="C13" s="216"/>
      <c r="D13" s="216"/>
      <c r="E13" s="219"/>
      <c r="F13" s="228"/>
      <c r="G13" s="232"/>
      <c r="H13" s="233"/>
      <c r="I13" s="770"/>
      <c r="J13" s="214">
        <f>+'1'!J13</f>
        <v>0</v>
      </c>
      <c r="K13" s="239"/>
      <c r="L13" s="239"/>
      <c r="M13" s="117">
        <f>+K13+'1'!M13+L13</f>
        <v>0</v>
      </c>
    </row>
    <row r="14" spans="1:28" ht="13.5" thickBot="1">
      <c r="A14" s="767"/>
      <c r="B14" s="165" t="s">
        <v>2</v>
      </c>
      <c r="C14" s="99">
        <f>SUM(C7:C13)</f>
        <v>12036</v>
      </c>
      <c r="D14" s="111">
        <f>SUM(D7:D13)</f>
        <v>0</v>
      </c>
      <c r="E14" s="112">
        <f>SUM(E5:E13)</f>
        <v>0</v>
      </c>
      <c r="F14" s="116">
        <f>SUM(F7:F13)</f>
        <v>22</v>
      </c>
      <c r="G14" s="159"/>
      <c r="H14" s="166"/>
      <c r="I14" s="167"/>
      <c r="J14" s="214">
        <f>+'1'!J14</f>
        <v>0</v>
      </c>
      <c r="K14" s="239"/>
      <c r="L14" s="239"/>
      <c r="M14" s="117">
        <f>+K14+'1'!M14+L14</f>
        <v>0</v>
      </c>
    </row>
    <row r="15" spans="1:28" ht="13.5" customHeight="1" thickBot="1">
      <c r="A15" s="765"/>
      <c r="B15" s="165"/>
      <c r="C15" s="113">
        <f>C14/($C$23+$D$23+$E$23)</f>
        <v>1.5653531018337885</v>
      </c>
      <c r="D15" s="114">
        <f>D14/($C$23+$D$23+$E$23)</f>
        <v>0</v>
      </c>
      <c r="E15" s="115">
        <f>E14/($C$23+$D$23+$E$23)</f>
        <v>0</v>
      </c>
      <c r="F15" s="228">
        <v>16</v>
      </c>
      <c r="G15" s="229" t="s">
        <v>12</v>
      </c>
      <c r="H15" s="230" t="s">
        <v>433</v>
      </c>
      <c r="I15" s="768" t="s">
        <v>429</v>
      </c>
      <c r="J15" s="214">
        <f>+'1'!J15</f>
        <v>0</v>
      </c>
      <c r="K15" s="239"/>
      <c r="L15" s="239"/>
      <c r="M15" s="117">
        <f>+K15+'1'!M15+L15</f>
        <v>0</v>
      </c>
      <c r="O15" s="149" t="s">
        <v>389</v>
      </c>
      <c r="P15" s="149">
        <v>1230</v>
      </c>
      <c r="Q15" s="149">
        <f>+P15-P15*0.23</f>
        <v>947.09999999999991</v>
      </c>
      <c r="R15" s="149">
        <f>60+45</f>
        <v>105</v>
      </c>
      <c r="S15" s="149">
        <f t="shared" ref="S15:S16" si="8">+P15*R15</f>
        <v>129150</v>
      </c>
      <c r="T15" s="149">
        <f t="shared" ref="T15:T16" si="9">+Q15*R15</f>
        <v>99445.499999999985</v>
      </c>
      <c r="Z15" s="149">
        <f>SUM(Z5:Z10)</f>
        <v>739</v>
      </c>
      <c r="AA15" s="149">
        <f>SUM(AA5:AA10)</f>
        <v>904330</v>
      </c>
      <c r="AB15" s="149">
        <f>SUM(AB5:AB10)</f>
        <v>696334.09999999986</v>
      </c>
    </row>
    <row r="16" spans="1:28" ht="13.5" thickBot="1">
      <c r="A16" s="771"/>
      <c r="B16" s="215" t="s">
        <v>391</v>
      </c>
      <c r="C16" s="222">
        <f>4095+1760</f>
        <v>5855</v>
      </c>
      <c r="D16" s="223"/>
      <c r="E16" s="224"/>
      <c r="F16" s="231"/>
      <c r="G16" s="560" t="s">
        <v>12</v>
      </c>
      <c r="H16" s="230" t="s">
        <v>432</v>
      </c>
      <c r="I16" s="769"/>
      <c r="J16" s="214">
        <f>+'1'!J16</f>
        <v>0</v>
      </c>
      <c r="K16" s="229"/>
      <c r="L16" s="229"/>
      <c r="M16" s="117">
        <f>+K16+'1'!M16+L16</f>
        <v>0</v>
      </c>
      <c r="P16" s="149">
        <v>1200</v>
      </c>
      <c r="Q16" s="149">
        <f t="shared" ref="Q16:Q17" si="10">+P16-P16*0.23</f>
        <v>924</v>
      </c>
      <c r="R16" s="149">
        <f>48-45</f>
        <v>3</v>
      </c>
      <c r="S16" s="149">
        <f t="shared" si="8"/>
        <v>3600</v>
      </c>
      <c r="T16" s="149">
        <f t="shared" si="9"/>
        <v>2772</v>
      </c>
      <c r="X16" s="149" t="s">
        <v>424</v>
      </c>
      <c r="AA16" s="149">
        <f>+AA15/Z15</f>
        <v>1223.7212449255751</v>
      </c>
      <c r="AB16" s="149">
        <f>+AB15/Z15</f>
        <v>942.26535859269268</v>
      </c>
    </row>
    <row r="17" spans="1:28" ht="13.5" thickBot="1">
      <c r="A17" s="771"/>
      <c r="B17" s="215" t="s">
        <v>415</v>
      </c>
      <c r="C17" s="216">
        <v>1834</v>
      </c>
      <c r="D17" s="217"/>
      <c r="E17" s="225"/>
      <c r="F17" s="228">
        <f>34-16</f>
        <v>18</v>
      </c>
      <c r="G17" s="560" t="s">
        <v>12</v>
      </c>
      <c r="H17" s="233" t="s">
        <v>386</v>
      </c>
      <c r="I17" s="769"/>
      <c r="J17" s="214">
        <f>+'1'!J17</f>
        <v>0</v>
      </c>
      <c r="K17" s="229"/>
      <c r="L17" s="229"/>
      <c r="M17" s="117">
        <f>+K17+'1'!M17+L17</f>
        <v>0</v>
      </c>
      <c r="P17" s="149">
        <v>1230</v>
      </c>
      <c r="Q17" s="149">
        <f t="shared" si="10"/>
        <v>947.09999999999991</v>
      </c>
      <c r="R17" s="149">
        <f>60-48+48</f>
        <v>60</v>
      </c>
      <c r="S17" s="149">
        <f>+P18*R17</f>
        <v>70800</v>
      </c>
      <c r="T17" s="149">
        <f>+Q18*R17</f>
        <v>54515.999999999993</v>
      </c>
      <c r="Z17" s="149">
        <f>+W12*Y17</f>
        <v>0</v>
      </c>
      <c r="AA17" s="149">
        <f>+X17*Y17</f>
        <v>0</v>
      </c>
    </row>
    <row r="18" spans="1:28" ht="13.5" thickBot="1">
      <c r="A18" s="771"/>
      <c r="B18" s="215"/>
      <c r="C18" s="216"/>
      <c r="D18" s="217"/>
      <c r="E18" s="225"/>
      <c r="F18" s="228"/>
      <c r="G18" s="237" t="s">
        <v>13</v>
      </c>
      <c r="H18" s="233" t="s">
        <v>420</v>
      </c>
      <c r="I18" s="769"/>
      <c r="J18" s="214">
        <f>+'1'!J18</f>
        <v>0</v>
      </c>
      <c r="K18" s="239"/>
      <c r="L18" s="239"/>
      <c r="M18" s="117">
        <f>+K18+'1'!M18+L18</f>
        <v>0</v>
      </c>
      <c r="P18" s="149">
        <v>1180</v>
      </c>
      <c r="Q18" s="149">
        <f>+P18-P18*0.23</f>
        <v>908.59999999999991</v>
      </c>
      <c r="R18" s="149">
        <f>60-48+60+19</f>
        <v>91</v>
      </c>
      <c r="S18" s="149">
        <f>+P19*R18</f>
        <v>109200</v>
      </c>
      <c r="T18" s="149">
        <f>+Q19*R18</f>
        <v>84084</v>
      </c>
    </row>
    <row r="19" spans="1:28" ht="229.5" customHeight="1" thickBot="1">
      <c r="A19" s="771"/>
      <c r="B19" s="215"/>
      <c r="C19" s="216"/>
      <c r="D19" s="217"/>
      <c r="E19" s="225"/>
      <c r="F19" s="235"/>
      <c r="G19" s="232"/>
      <c r="H19" s="233" t="s">
        <v>421</v>
      </c>
      <c r="I19" s="769"/>
      <c r="J19" s="214">
        <f>+'1'!J19</f>
        <v>0</v>
      </c>
      <c r="K19" s="239"/>
      <c r="L19" s="239"/>
      <c r="M19" s="117">
        <f>+K19+'1'!M19+L19</f>
        <v>0</v>
      </c>
      <c r="O19" s="149" t="s">
        <v>417</v>
      </c>
      <c r="P19" s="149">
        <v>1200</v>
      </c>
      <c r="Q19" s="149">
        <f>+P19-P19*0.23</f>
        <v>924</v>
      </c>
      <c r="R19" s="149">
        <f>60-19+180</f>
        <v>221</v>
      </c>
      <c r="S19" s="149">
        <f>SUM(S14:S18)</f>
        <v>312750</v>
      </c>
      <c r="T19" s="149">
        <f>SUM(T14:T18)</f>
        <v>240817.49999999997</v>
      </c>
    </row>
    <row r="20" spans="1:28" ht="13.5" thickBot="1">
      <c r="A20" s="771"/>
      <c r="B20" s="215"/>
      <c r="C20" s="216"/>
      <c r="D20" s="217"/>
      <c r="E20" s="225"/>
      <c r="F20" s="228"/>
      <c r="G20" s="232"/>
      <c r="H20" s="233"/>
      <c r="I20" s="769"/>
      <c r="J20" s="214">
        <f>+'1'!J20</f>
        <v>0</v>
      </c>
      <c r="K20" s="240"/>
      <c r="L20" s="240"/>
      <c r="M20" s="117">
        <f>+K20+'1'!M20+L20</f>
        <v>0</v>
      </c>
    </row>
    <row r="21" spans="1:28" ht="13.5" thickBot="1">
      <c r="A21" s="771"/>
      <c r="B21" s="215"/>
      <c r="C21" s="216"/>
      <c r="D21" s="217"/>
      <c r="E21" s="225"/>
      <c r="F21" s="231"/>
      <c r="G21" s="232"/>
      <c r="H21" s="233"/>
      <c r="I21" s="769"/>
      <c r="J21" s="214">
        <f>+'1'!J21</f>
        <v>0</v>
      </c>
      <c r="K21" s="239"/>
      <c r="L21" s="239"/>
      <c r="M21" s="117">
        <f>+K21+'1'!M21+L21</f>
        <v>0</v>
      </c>
      <c r="R21" s="149">
        <f>SUM(R15:R20)</f>
        <v>480</v>
      </c>
      <c r="S21" s="149">
        <f>SUM(S15:S20)</f>
        <v>625500</v>
      </c>
      <c r="T21" s="149">
        <f>SUM(T15:T20)</f>
        <v>481634.99999999994</v>
      </c>
    </row>
    <row r="22" spans="1:28" ht="13.5" thickBot="1">
      <c r="A22" s="771"/>
      <c r="B22" s="215"/>
      <c r="C22" s="216"/>
      <c r="D22" s="217"/>
      <c r="E22" s="225"/>
      <c r="F22" s="236"/>
      <c r="G22" s="232"/>
      <c r="H22" s="233"/>
      <c r="I22" s="770"/>
      <c r="J22" s="214">
        <f>+'1'!J22</f>
        <v>0</v>
      </c>
      <c r="K22" s="239"/>
      <c r="L22" s="239"/>
      <c r="M22" s="117">
        <f>+K22+'1'!M22+L22</f>
        <v>0</v>
      </c>
      <c r="S22" s="149">
        <f>+S21/R21</f>
        <v>1303.125</v>
      </c>
      <c r="T22" s="149">
        <f>+T21/R21</f>
        <v>1003.4062499999999</v>
      </c>
    </row>
    <row r="23" spans="1:28" ht="13.5" thickBot="1">
      <c r="A23" s="772"/>
      <c r="B23" s="168" t="s">
        <v>2</v>
      </c>
      <c r="C23" s="100">
        <f>SUM(C16:C22)</f>
        <v>7689</v>
      </c>
      <c r="D23" s="111">
        <f>SUM(D16:D22)</f>
        <v>0</v>
      </c>
      <c r="E23" s="112">
        <f>SUM(E18:E22)</f>
        <v>0</v>
      </c>
      <c r="F23" s="116">
        <f>SUM(F15:F22)</f>
        <v>34</v>
      </c>
      <c r="G23" s="159"/>
      <c r="H23" s="166"/>
      <c r="I23" s="169"/>
      <c r="J23" s="214">
        <f>+'1'!J23</f>
        <v>0</v>
      </c>
      <c r="K23" s="239"/>
      <c r="L23" s="239"/>
      <c r="M23" s="117">
        <f>+K23+'1'!M23+L23</f>
        <v>0</v>
      </c>
      <c r="R23" s="149">
        <f>+O23*Q23</f>
        <v>0</v>
      </c>
      <c r="S23" s="149">
        <f>+P23*Q23</f>
        <v>0</v>
      </c>
    </row>
    <row r="24" spans="1:28" ht="13.5" customHeight="1" thickBot="1">
      <c r="A24" s="765"/>
      <c r="B24" s="170"/>
      <c r="C24" s="113">
        <f>C23/($C$23+$D$23+$E$23)</f>
        <v>1</v>
      </c>
      <c r="D24" s="114">
        <f>D23/($C$23+$D$23+$E$23)</f>
        <v>0</v>
      </c>
      <c r="E24" s="115">
        <f>E23/($C$23+$D$23+$E$23)</f>
        <v>0</v>
      </c>
      <c r="F24" s="228">
        <v>6</v>
      </c>
      <c r="G24" s="229" t="s">
        <v>12</v>
      </c>
      <c r="H24" s="230" t="s">
        <v>407</v>
      </c>
      <c r="I24" s="768" t="s">
        <v>430</v>
      </c>
      <c r="J24" s="214">
        <f>+'1'!J24</f>
        <v>0</v>
      </c>
      <c r="K24" s="239"/>
      <c r="L24" s="239"/>
      <c r="M24" s="117">
        <f>+K24+'1'!M24+L24</f>
        <v>0</v>
      </c>
    </row>
    <row r="25" spans="1:28" ht="13.5" thickBot="1">
      <c r="A25" s="771"/>
      <c r="B25" s="215" t="s">
        <v>415</v>
      </c>
      <c r="C25" s="226">
        <v>11906</v>
      </c>
      <c r="D25" s="217">
        <v>310</v>
      </c>
      <c r="E25" s="225"/>
      <c r="F25" s="231"/>
      <c r="G25" s="560" t="s">
        <v>12</v>
      </c>
      <c r="H25" s="230" t="s">
        <v>432</v>
      </c>
      <c r="I25" s="769"/>
      <c r="J25" s="214">
        <f>+'1'!J25</f>
        <v>0</v>
      </c>
      <c r="K25" s="239"/>
      <c r="L25" s="239"/>
      <c r="M25" s="117">
        <f>+K25+'1'!M25+L25</f>
        <v>0</v>
      </c>
      <c r="O25" s="149" t="s">
        <v>417</v>
      </c>
      <c r="P25" s="149">
        <v>1230</v>
      </c>
      <c r="Q25" s="149">
        <f>+P25-P25*0.23</f>
        <v>947.09999999999991</v>
      </c>
      <c r="R25" s="149">
        <f>60*2+55</f>
        <v>175</v>
      </c>
      <c r="S25" s="149">
        <f t="shared" ref="S25:S26" si="11">+P25*R25</f>
        <v>215250</v>
      </c>
      <c r="T25" s="149">
        <f t="shared" ref="T25:T26" si="12">+Q25*R25</f>
        <v>165742.49999999997</v>
      </c>
      <c r="W25" s="149" t="s">
        <v>417</v>
      </c>
      <c r="X25" s="149">
        <v>1200</v>
      </c>
      <c r="Y25" s="149">
        <v>924</v>
      </c>
      <c r="Z25" s="149">
        <v>221</v>
      </c>
      <c r="AA25" s="149">
        <f t="shared" ref="AA25:AA26" si="13">+X25*Z25</f>
        <v>265200</v>
      </c>
      <c r="AB25" s="149">
        <f t="shared" ref="AB25:AB26" si="14">+Y25*Z25</f>
        <v>204204</v>
      </c>
    </row>
    <row r="26" spans="1:28" ht="13.5" thickBot="1">
      <c r="A26" s="771"/>
      <c r="B26" s="215"/>
      <c r="C26" s="226"/>
      <c r="D26" s="217"/>
      <c r="E26" s="227"/>
      <c r="F26" s="228">
        <f>22-6</f>
        <v>16</v>
      </c>
      <c r="G26" s="560" t="s">
        <v>12</v>
      </c>
      <c r="H26" s="233" t="s">
        <v>386</v>
      </c>
      <c r="I26" s="769"/>
      <c r="J26" s="214">
        <f>+'1'!J26</f>
        <v>0</v>
      </c>
      <c r="K26" s="239"/>
      <c r="L26" s="239"/>
      <c r="M26" s="117">
        <f>+K26+'1'!M26+L26</f>
        <v>0</v>
      </c>
      <c r="P26" s="149">
        <v>1195</v>
      </c>
      <c r="Q26" s="149">
        <f t="shared" ref="Q26" si="15">+P26-P26*0.23</f>
        <v>920.15</v>
      </c>
      <c r="R26" s="149">
        <f>480-R25</f>
        <v>305</v>
      </c>
      <c r="S26" s="149">
        <f t="shared" si="11"/>
        <v>364475</v>
      </c>
      <c r="T26" s="149">
        <f t="shared" si="12"/>
        <v>280645.75</v>
      </c>
      <c r="W26" s="149" t="s">
        <v>417</v>
      </c>
      <c r="X26" s="149">
        <v>1230</v>
      </c>
      <c r="Y26" s="149">
        <v>947.09999999999991</v>
      </c>
      <c r="Z26" s="149">
        <v>175</v>
      </c>
      <c r="AA26" s="149">
        <f t="shared" si="13"/>
        <v>215250</v>
      </c>
      <c r="AB26" s="149">
        <f t="shared" si="14"/>
        <v>165742.49999999997</v>
      </c>
    </row>
    <row r="27" spans="1:28" ht="13.5" thickBot="1">
      <c r="A27" s="771"/>
      <c r="B27" s="215"/>
      <c r="C27" s="216"/>
      <c r="D27" s="217"/>
      <c r="E27" s="225"/>
      <c r="F27" s="228"/>
      <c r="G27" s="237" t="s">
        <v>13</v>
      </c>
      <c r="H27" s="233" t="s">
        <v>418</v>
      </c>
      <c r="I27" s="769"/>
      <c r="J27" s="214">
        <f>+'1'!J27</f>
        <v>0</v>
      </c>
      <c r="K27" s="239"/>
      <c r="L27" s="239"/>
      <c r="M27" s="117">
        <f>+K27+'1'!M27+L27</f>
        <v>0</v>
      </c>
      <c r="X27" s="149">
        <v>1195</v>
      </c>
      <c r="Y27" s="149">
        <v>920.15</v>
      </c>
      <c r="Z27" s="149">
        <v>305</v>
      </c>
      <c r="AA27" s="149">
        <f t="shared" ref="AA27" si="16">+X27*Z27</f>
        <v>364475</v>
      </c>
      <c r="AB27" s="149">
        <f t="shared" ref="AB27" si="17">+Y27*Z27</f>
        <v>280645.75</v>
      </c>
    </row>
    <row r="28" spans="1:28" ht="86.25" customHeight="1" thickBot="1">
      <c r="A28" s="771"/>
      <c r="B28" s="215"/>
      <c r="C28" s="216"/>
      <c r="D28" s="217"/>
      <c r="E28" s="225"/>
      <c r="F28" s="231"/>
      <c r="G28" s="232"/>
      <c r="H28" s="233" t="s">
        <v>419</v>
      </c>
      <c r="I28" s="769"/>
      <c r="J28" s="214">
        <f>+'1'!J28</f>
        <v>0</v>
      </c>
      <c r="K28" s="239"/>
      <c r="L28" s="239"/>
      <c r="M28" s="117">
        <f>+K28+'1'!M28+L28</f>
        <v>0</v>
      </c>
    </row>
    <row r="29" spans="1:28" ht="13.5" thickBot="1">
      <c r="A29" s="771"/>
      <c r="B29" s="215"/>
      <c r="C29" s="216"/>
      <c r="D29" s="217"/>
      <c r="E29" s="225"/>
      <c r="F29" s="236"/>
      <c r="G29" s="232"/>
      <c r="H29" s="233"/>
      <c r="I29" s="769"/>
      <c r="J29" s="214">
        <f>+'1'!J29</f>
        <v>0</v>
      </c>
      <c r="K29" s="239"/>
      <c r="L29" s="239"/>
      <c r="M29" s="117">
        <f>+K29+'1'!M29+L29</f>
        <v>0</v>
      </c>
    </row>
    <row r="30" spans="1:28" ht="13.5" thickBot="1">
      <c r="A30" s="771"/>
      <c r="B30" s="215"/>
      <c r="C30" s="226"/>
      <c r="D30" s="217"/>
      <c r="E30" s="225"/>
      <c r="F30" s="236"/>
      <c r="G30" s="232"/>
      <c r="H30" s="233"/>
      <c r="I30" s="769"/>
      <c r="J30" s="214">
        <f>+'1'!J30</f>
        <v>0</v>
      </c>
      <c r="K30" s="239"/>
      <c r="L30" s="239"/>
      <c r="M30" s="117">
        <f>+K30+'1'!M30+L30</f>
        <v>0</v>
      </c>
    </row>
    <row r="31" spans="1:28" ht="13.5" thickBot="1">
      <c r="A31" s="771"/>
      <c r="B31" s="215"/>
      <c r="C31" s="226"/>
      <c r="D31" s="217"/>
      <c r="E31" s="225"/>
      <c r="F31" s="236"/>
      <c r="G31" s="237"/>
      <c r="H31" s="445"/>
      <c r="I31" s="770"/>
      <c r="J31" s="214">
        <f>+'1'!J31</f>
        <v>0</v>
      </c>
      <c r="K31" s="239"/>
      <c r="L31" s="239"/>
      <c r="M31" s="117">
        <f>+K31+'1'!M31+L31</f>
        <v>0</v>
      </c>
      <c r="R31" s="149">
        <f>SUM(R25:R30)</f>
        <v>480</v>
      </c>
      <c r="S31" s="149">
        <f>SUM(S25:S30)</f>
        <v>579725</v>
      </c>
      <c r="T31" s="149">
        <f>SUM(T25:T30)</f>
        <v>446388.25</v>
      </c>
      <c r="Z31" s="149">
        <f>SUM(Z25:Z30)</f>
        <v>701</v>
      </c>
      <c r="AA31" s="149">
        <f>SUM(AA25:AA30)</f>
        <v>844925</v>
      </c>
      <c r="AB31" s="149">
        <f>SUM(AB25:AB30)</f>
        <v>650592.25</v>
      </c>
    </row>
    <row r="32" spans="1:28" ht="13.5" thickBot="1">
      <c r="A32" s="772"/>
      <c r="B32" s="165" t="s">
        <v>2</v>
      </c>
      <c r="C32" s="99">
        <f>SUM(C25:C31)</f>
        <v>11906</v>
      </c>
      <c r="D32" s="100">
        <f>SUM(D25:D31)</f>
        <v>310</v>
      </c>
      <c r="E32" s="101">
        <f>SUM(E25:E31)</f>
        <v>0</v>
      </c>
      <c r="F32" s="102">
        <f>SUM(F24:F31)</f>
        <v>22</v>
      </c>
      <c r="G32" s="171"/>
      <c r="H32" s="172"/>
      <c r="I32" s="169"/>
      <c r="J32" s="214">
        <f>+'1'!J32</f>
        <v>0</v>
      </c>
      <c r="K32" s="241"/>
      <c r="L32" s="243"/>
      <c r="M32" s="117">
        <f>+K32+'1'!M32+L32</f>
        <v>0</v>
      </c>
      <c r="S32" s="149">
        <f>+S31/R31</f>
        <v>1207.7604166666667</v>
      </c>
      <c r="T32" s="149">
        <f>+T31/R31</f>
        <v>929.97552083333335</v>
      </c>
      <c r="AA32" s="149">
        <f>+AA31/Z31</f>
        <v>1205.3138373751783</v>
      </c>
      <c r="AB32" s="149">
        <f>+AB31/Z31</f>
        <v>928.09165477888735</v>
      </c>
    </row>
    <row r="33" spans="1:27" ht="13.5" thickBot="1">
      <c r="A33" s="173"/>
      <c r="B33" s="174"/>
      <c r="C33" s="103">
        <f>C32/($C$32+$D$32+$E$32)</f>
        <v>0.97462344466273743</v>
      </c>
      <c r="D33" s="104">
        <f>D32/($C$32+$D$32+$E$32)</f>
        <v>2.5376555337262605E-2</v>
      </c>
      <c r="E33" s="105">
        <f>E32/($C$32+$D$32+$E$32)</f>
        <v>0</v>
      </c>
      <c r="F33" s="106"/>
      <c r="G33" s="175"/>
      <c r="H33" s="176"/>
      <c r="I33" s="177"/>
      <c r="J33" s="121"/>
      <c r="K33" s="122"/>
      <c r="L33" s="213"/>
      <c r="M33" s="119"/>
      <c r="R33" s="149">
        <f>+O33*Q33</f>
        <v>0</v>
      </c>
      <c r="S33" s="149">
        <f>+P33*Q33</f>
        <v>0</v>
      </c>
      <c r="Z33" s="149">
        <f>+W33*Y33</f>
        <v>0</v>
      </c>
      <c r="AA33" s="149">
        <f>+X33*Y33</f>
        <v>0</v>
      </c>
    </row>
    <row r="34" spans="1:27" ht="13.5" thickBot="1">
      <c r="A34" s="761" t="s">
        <v>57</v>
      </c>
      <c r="B34" s="762"/>
      <c r="C34" s="107">
        <f>C14+C23+C32</f>
        <v>31631</v>
      </c>
      <c r="D34" s="107">
        <f>D14+D23+D32</f>
        <v>310</v>
      </c>
      <c r="E34" s="107">
        <f>E14+E23+E32</f>
        <v>0</v>
      </c>
      <c r="F34" s="108">
        <f>F14+F23+F32</f>
        <v>78</v>
      </c>
      <c r="H34" s="178"/>
      <c r="I34" s="178"/>
      <c r="J34" s="123" t="s">
        <v>28</v>
      </c>
      <c r="K34" s="124">
        <f>SUM(K7:K32)</f>
        <v>31631</v>
      </c>
      <c r="L34" s="212">
        <f>SUM(L7:L32)</f>
        <v>0</v>
      </c>
      <c r="M34" s="120">
        <f>SUM(M7:M32)</f>
        <v>73113</v>
      </c>
    </row>
    <row r="35" spans="1:27" ht="13.5" thickBot="1">
      <c r="A35" s="179"/>
      <c r="B35" s="180"/>
      <c r="C35" s="104">
        <f>C34/($C$34+$D$34+$E$34)</f>
        <v>0.99029460567922112</v>
      </c>
      <c r="D35" s="104">
        <f>D34/($C$34+$D$34+$E$34)</f>
        <v>9.7053943207789355E-3</v>
      </c>
      <c r="E35" s="109">
        <f>E34/($C$34+$D$34+$E$34)</f>
        <v>0</v>
      </c>
      <c r="K35" s="155"/>
    </row>
    <row r="36" spans="1:27" ht="13.5" thickBot="1">
      <c r="A36" s="178"/>
      <c r="B36" s="178"/>
      <c r="C36" s="155"/>
      <c r="D36" s="155"/>
      <c r="E36" s="155"/>
      <c r="G36" s="155"/>
      <c r="H36" s="181"/>
      <c r="I36" s="162" t="s">
        <v>37</v>
      </c>
      <c r="J36" s="162" t="s">
        <v>38</v>
      </c>
      <c r="K36" s="182"/>
    </row>
    <row r="37" spans="1:27" ht="17.45" customHeight="1" thickBot="1">
      <c r="A37" s="763" t="s">
        <v>58</v>
      </c>
      <c r="B37" s="764"/>
      <c r="C37" s="162" t="s">
        <v>59</v>
      </c>
      <c r="D37" s="183" t="s">
        <v>60</v>
      </c>
      <c r="E37" s="184" t="s">
        <v>61</v>
      </c>
      <c r="F37" s="322"/>
      <c r="G37" s="324"/>
      <c r="H37" s="186" t="s">
        <v>62</v>
      </c>
      <c r="I37" s="244">
        <f>(12*739+13*701)/1440*G42*2.74*1440/1000000</f>
        <v>47.30513435217015</v>
      </c>
      <c r="J37" s="125">
        <f>+I37+'1'!J37</f>
        <v>92.147667472170141</v>
      </c>
      <c r="K37" s="126" t="s">
        <v>63</v>
      </c>
    </row>
    <row r="38" spans="1:27" ht="17.45" customHeight="1">
      <c r="A38" s="755" t="s">
        <v>12</v>
      </c>
      <c r="B38" s="756"/>
      <c r="C38" s="164">
        <f>SUMIF($G$7:$G$31,"Process",$F$7:$F$31)</f>
        <v>78</v>
      </c>
      <c r="D38" s="118">
        <f>+C38+'1'!D38</f>
        <v>149</v>
      </c>
      <c r="E38" s="143">
        <f t="shared" ref="E38:E51" si="18">D38/60</f>
        <v>2.4833333333333334</v>
      </c>
      <c r="F38" s="322">
        <v>1230</v>
      </c>
      <c r="G38" s="322">
        <v>947.09999999999991</v>
      </c>
      <c r="H38" s="187" t="s">
        <v>64</v>
      </c>
      <c r="I38" s="245">
        <f>13.002+11.482+14.005</f>
        <v>38.489000000000004</v>
      </c>
      <c r="J38" s="127">
        <f>+I38+'1'!J38</f>
        <v>78.545000000000016</v>
      </c>
      <c r="K38" s="128" t="s">
        <v>63</v>
      </c>
    </row>
    <row r="39" spans="1:27" ht="17.45" customHeight="1">
      <c r="A39" s="759" t="s">
        <v>13</v>
      </c>
      <c r="B39" s="760"/>
      <c r="C39" s="164">
        <f>SUMIF($G$7:$G$31,"Cleaning",$F$7:$F$31)</f>
        <v>0</v>
      </c>
      <c r="D39" s="118">
        <f>+C39+'1'!D39</f>
        <v>0</v>
      </c>
      <c r="E39" s="143">
        <f t="shared" si="18"/>
        <v>0</v>
      </c>
      <c r="F39" s="322">
        <v>1303.125</v>
      </c>
      <c r="G39" s="322">
        <v>1003.4062499999999</v>
      </c>
      <c r="H39" s="187" t="s">
        <v>65</v>
      </c>
      <c r="I39" s="142"/>
      <c r="J39" s="129">
        <f>J37/G4</f>
        <v>46.073833736085071</v>
      </c>
      <c r="K39" s="130" t="s">
        <v>63</v>
      </c>
      <c r="N39" s="149" t="s">
        <v>425</v>
      </c>
      <c r="O39" s="149">
        <v>1223.7212449255751</v>
      </c>
      <c r="P39" s="149">
        <v>942.26535859269268</v>
      </c>
      <c r="Q39" s="149">
        <v>739</v>
      </c>
    </row>
    <row r="40" spans="1:27" ht="17.45" customHeight="1">
      <c r="A40" s="759" t="s">
        <v>66</v>
      </c>
      <c r="B40" s="760"/>
      <c r="C40" s="164">
        <f>SUMIF($G$7:$G$31,"Mechanical",$F$7:$F$31)</f>
        <v>0</v>
      </c>
      <c r="D40" s="118">
        <f>+C40+'1'!D40</f>
        <v>0</v>
      </c>
      <c r="E40" s="143">
        <f t="shared" si="18"/>
        <v>0</v>
      </c>
      <c r="F40" s="322">
        <v>1207.7604166666667</v>
      </c>
      <c r="G40" s="322">
        <v>929.97552083333335</v>
      </c>
      <c r="H40" s="187" t="s">
        <v>67</v>
      </c>
      <c r="I40" s="118">
        <f>(K34+L34)/1000</f>
        <v>31.631</v>
      </c>
      <c r="J40" s="131">
        <f>+I40+'1'!J40</f>
        <v>73.113</v>
      </c>
      <c r="K40" s="130" t="s">
        <v>63</v>
      </c>
      <c r="N40" s="149" t="s">
        <v>426</v>
      </c>
      <c r="O40" s="149">
        <v>1205.3138373751783</v>
      </c>
      <c r="P40" s="149">
        <v>928.09165477888735</v>
      </c>
      <c r="Q40" s="149">
        <v>701</v>
      </c>
    </row>
    <row r="41" spans="1:27" ht="17.45" customHeight="1">
      <c r="A41" s="759" t="s">
        <v>68</v>
      </c>
      <c r="B41" s="760"/>
      <c r="C41" s="164">
        <f>SUMIF($G$7:$G$31,"Electrical",$F$7:$F$31)</f>
        <v>0</v>
      </c>
      <c r="D41" s="118">
        <f>+C41+'1'!D41</f>
        <v>0</v>
      </c>
      <c r="E41" s="143">
        <f t="shared" si="18"/>
        <v>0</v>
      </c>
      <c r="F41" s="322"/>
      <c r="G41" s="322"/>
      <c r="H41" s="187" t="s">
        <v>69</v>
      </c>
      <c r="I41" s="142"/>
      <c r="J41" s="129">
        <f>J40/G4</f>
        <v>36.5565</v>
      </c>
      <c r="K41" s="130" t="s">
        <v>63</v>
      </c>
      <c r="Q41" s="149">
        <f>+Q39+Q40</f>
        <v>1440</v>
      </c>
    </row>
    <row r="42" spans="1:27" ht="17.45" customHeight="1">
      <c r="A42" s="759" t="s">
        <v>16</v>
      </c>
      <c r="B42" s="760"/>
      <c r="C42" s="164">
        <f>SUMIF($G$7:$G$31,"Instrument",$F$7:$F$31)</f>
        <v>0</v>
      </c>
      <c r="D42" s="118">
        <f>+C42+'1'!D42</f>
        <v>0</v>
      </c>
      <c r="E42" s="143">
        <f t="shared" si="18"/>
        <v>0</v>
      </c>
      <c r="F42" s="322">
        <f>+(480*F38+480*F39+480*F40)/1440</f>
        <v>1246.9618055555557</v>
      </c>
      <c r="G42" s="322">
        <f>+(480*G38+480*G39+480*G40)/1440</f>
        <v>960.16059027777783</v>
      </c>
      <c r="H42" s="187" t="s">
        <v>70</v>
      </c>
      <c r="I42" s="246" t="s">
        <v>427</v>
      </c>
      <c r="J42" s="132"/>
      <c r="K42" s="130" t="s">
        <v>71</v>
      </c>
    </row>
    <row r="43" spans="1:27" ht="17.45" customHeight="1">
      <c r="A43" s="759" t="s">
        <v>72</v>
      </c>
      <c r="B43" s="760"/>
      <c r="C43" s="164">
        <f>SUMIF($G$7:$G$31,"Water",$F$7:$F$31)</f>
        <v>0</v>
      </c>
      <c r="D43" s="118">
        <f>+C43+'1'!D43</f>
        <v>0</v>
      </c>
      <c r="E43" s="143">
        <f t="shared" si="18"/>
        <v>0</v>
      </c>
      <c r="F43" s="322"/>
      <c r="G43" s="323"/>
      <c r="H43" s="188" t="s">
        <v>73</v>
      </c>
      <c r="I43" s="118">
        <f>+Report1!Z10</f>
        <v>58.8</v>
      </c>
      <c r="J43" s="133">
        <f>+I43+'1'!J43</f>
        <v>117.8</v>
      </c>
      <c r="K43" s="130" t="s">
        <v>63</v>
      </c>
      <c r="L43" s="189"/>
    </row>
    <row r="44" spans="1:27" ht="17.45" customHeight="1">
      <c r="A44" s="759" t="s">
        <v>17</v>
      </c>
      <c r="B44" s="760"/>
      <c r="C44" s="164">
        <f>SUMIF($G$7:$G$31,"PLN",$F$7:$F$31)</f>
        <v>0</v>
      </c>
      <c r="D44" s="118">
        <f>+C44+'1'!D44</f>
        <v>0</v>
      </c>
      <c r="E44" s="143">
        <f t="shared" si="18"/>
        <v>0</v>
      </c>
      <c r="F44" s="322"/>
      <c r="G44" s="323"/>
      <c r="H44" s="188" t="s">
        <v>74</v>
      </c>
      <c r="I44" s="118">
        <f>I43/I38</f>
        <v>1.5277092156200471</v>
      </c>
      <c r="J44" s="134">
        <f>J43/J38</f>
        <v>1.499777197784709</v>
      </c>
      <c r="K44" s="130" t="s">
        <v>63</v>
      </c>
    </row>
    <row r="45" spans="1:27" ht="17.45" customHeight="1">
      <c r="A45" s="759" t="s">
        <v>18</v>
      </c>
      <c r="B45" s="760"/>
      <c r="C45" s="164">
        <f>SUMIF($G$7:$G$31,"Boiler",$F$7:$F$31)</f>
        <v>0</v>
      </c>
      <c r="D45" s="118">
        <f>+C45+'1'!D45</f>
        <v>0</v>
      </c>
      <c r="E45" s="143">
        <f t="shared" si="18"/>
        <v>0</v>
      </c>
      <c r="F45" s="322"/>
      <c r="G45" s="325"/>
      <c r="H45" s="188" t="s">
        <v>75</v>
      </c>
      <c r="I45" s="118">
        <f>I43/I40</f>
        <v>1.8589358540672125</v>
      </c>
      <c r="J45" s="134">
        <f>J43/J40</f>
        <v>1.6112045737420158</v>
      </c>
      <c r="K45" s="130" t="s">
        <v>63</v>
      </c>
    </row>
    <row r="46" spans="1:27" ht="17.45" customHeight="1">
      <c r="A46" s="759" t="s">
        <v>76</v>
      </c>
      <c r="B46" s="760"/>
      <c r="C46" s="164">
        <f>SUMIF($G$7:$G$31,"Gas",$F$7:$F$31)</f>
        <v>0</v>
      </c>
      <c r="D46" s="118">
        <f>+C46+'1'!D46</f>
        <v>0</v>
      </c>
      <c r="E46" s="143">
        <f t="shared" si="18"/>
        <v>0</v>
      </c>
      <c r="F46" s="322"/>
      <c r="G46" s="323"/>
      <c r="H46" s="188" t="s">
        <v>77</v>
      </c>
      <c r="I46" s="140">
        <f>+SUMIF(Listrik!P9,"&gt;0")</f>
        <v>35412.299999998912</v>
      </c>
      <c r="J46" s="135">
        <f>+I46+'1'!J46</f>
        <v>70789.300000000367</v>
      </c>
      <c r="K46" s="130" t="s">
        <v>78</v>
      </c>
    </row>
    <row r="47" spans="1:27" ht="17.45" customHeight="1">
      <c r="A47" s="759" t="s">
        <v>79</v>
      </c>
      <c r="B47" s="760"/>
      <c r="C47" s="164">
        <f>SUMIF($G$7:$G$31,"Gas",$F$7:$F$31)</f>
        <v>0</v>
      </c>
      <c r="D47" s="118">
        <f>+C47+'1'!D47</f>
        <v>0</v>
      </c>
      <c r="E47" s="143">
        <f t="shared" si="18"/>
        <v>0</v>
      </c>
      <c r="F47" s="322"/>
      <c r="G47" s="323"/>
      <c r="H47" s="188" t="s">
        <v>80</v>
      </c>
      <c r="I47" s="118">
        <f>I46/I38</f>
        <v>920.06287510714515</v>
      </c>
      <c r="J47" s="135">
        <f>J46/J38</f>
        <v>901.25787764975939</v>
      </c>
      <c r="K47" s="130" t="s">
        <v>24</v>
      </c>
    </row>
    <row r="48" spans="1:27" ht="17.45" customHeight="1">
      <c r="A48" s="759" t="s">
        <v>14</v>
      </c>
      <c r="B48" s="760"/>
      <c r="C48" s="164">
        <f>SUMIF($G$7:$G$31,"Start Up",$F$7:$F$31)</f>
        <v>0</v>
      </c>
      <c r="D48" s="118">
        <f>+C48+'1'!D48</f>
        <v>0</v>
      </c>
      <c r="E48" s="143">
        <f t="shared" si="18"/>
        <v>0</v>
      </c>
      <c r="F48" s="322"/>
      <c r="G48" s="323"/>
      <c r="H48" s="188" t="s">
        <v>81</v>
      </c>
      <c r="I48" s="118">
        <f>I46/I40</f>
        <v>1119.5441181119443</v>
      </c>
      <c r="J48" s="135">
        <f>J46/J40</f>
        <v>968.21769042441656</v>
      </c>
      <c r="K48" s="130" t="s">
        <v>24</v>
      </c>
    </row>
    <row r="49" spans="1:11" ht="17.45" customHeight="1">
      <c r="A49" s="759" t="s">
        <v>20</v>
      </c>
      <c r="B49" s="760"/>
      <c r="C49" s="164">
        <f>SUMIF($G$7:$G$31,"Others",$F$7:$F$31)</f>
        <v>0</v>
      </c>
      <c r="D49" s="118">
        <f>+C49+'1'!D49</f>
        <v>0</v>
      </c>
      <c r="E49" s="143">
        <f t="shared" si="18"/>
        <v>0</v>
      </c>
      <c r="F49" s="185"/>
      <c r="H49" s="188" t="s">
        <v>271</v>
      </c>
      <c r="I49" s="118">
        <f>+Report1!T10</f>
        <v>3753.1046344250376</v>
      </c>
      <c r="J49" s="135">
        <f>+I49+'1'!J49</f>
        <v>7179.8071882746735</v>
      </c>
      <c r="K49" s="130" t="s">
        <v>82</v>
      </c>
    </row>
    <row r="50" spans="1:11" ht="17.45" customHeight="1">
      <c r="A50" s="759" t="s">
        <v>19</v>
      </c>
      <c r="B50" s="760"/>
      <c r="C50" s="164">
        <f>SUMIF($G$7:$G$31,"Steam",$F$7:$F$31)</f>
        <v>0</v>
      </c>
      <c r="D50" s="118">
        <f>+C50+'1'!D50</f>
        <v>0</v>
      </c>
      <c r="E50" s="143">
        <f t="shared" si="18"/>
        <v>0</v>
      </c>
      <c r="F50" s="185"/>
      <c r="H50" s="188" t="s">
        <v>83</v>
      </c>
      <c r="I50" s="140">
        <v>0</v>
      </c>
      <c r="J50" s="133">
        <f>J49/J38</f>
        <v>91.410111251825981</v>
      </c>
      <c r="K50" s="130" t="s">
        <v>82</v>
      </c>
    </row>
    <row r="51" spans="1:11" ht="17.45" customHeight="1" thickBot="1">
      <c r="A51" s="753" t="s">
        <v>84</v>
      </c>
      <c r="B51" s="754"/>
      <c r="C51" s="164">
        <f>SUMIF($G$7:$G$31,"Planned shut",$F$7:$F$31)</f>
        <v>0</v>
      </c>
      <c r="D51" s="118">
        <f>+C51+'1'!D51</f>
        <v>0</v>
      </c>
      <c r="E51" s="143">
        <f t="shared" si="18"/>
        <v>0</v>
      </c>
      <c r="F51" s="185"/>
      <c r="H51" s="190" t="s">
        <v>85</v>
      </c>
      <c r="I51" s="141">
        <f>I49/I40</f>
        <v>118.65273416664151</v>
      </c>
      <c r="J51" s="136">
        <f>J49/J40</f>
        <v>98.201512566502174</v>
      </c>
      <c r="K51" s="137" t="s">
        <v>82</v>
      </c>
    </row>
    <row r="52" spans="1:11" ht="13.5" thickBot="1">
      <c r="A52" s="755" t="s">
        <v>28</v>
      </c>
      <c r="B52" s="756"/>
      <c r="C52" s="144">
        <f>SUM(C38:C51)</f>
        <v>78</v>
      </c>
      <c r="D52" s="144">
        <f>SUM(D38:D51)</f>
        <v>149</v>
      </c>
      <c r="E52" s="145">
        <f>SUM(E38:E51)</f>
        <v>2.4833333333333334</v>
      </c>
      <c r="F52" s="185"/>
      <c r="H52" s="191"/>
      <c r="I52" s="192"/>
      <c r="J52" s="138"/>
      <c r="K52" s="139"/>
    </row>
    <row r="53" spans="1:11" ht="13.5" thickBot="1">
      <c r="A53" s="757"/>
      <c r="B53" s="758"/>
      <c r="C53" s="146">
        <f>C52/(24*60)</f>
        <v>5.4166666666666669E-2</v>
      </c>
      <c r="D53" s="146">
        <f>D52/(24*60*G4)</f>
        <v>5.1736111111111108E-2</v>
      </c>
      <c r="E53" s="147">
        <f>E52/(G4*24)</f>
        <v>5.1736111111111115E-2</v>
      </c>
      <c r="F53" s="185"/>
    </row>
    <row r="54" spans="1:11">
      <c r="E54" s="193"/>
      <c r="F54" s="185"/>
    </row>
    <row r="55" spans="1:11">
      <c r="E55" s="193"/>
    </row>
    <row r="56" spans="1:11">
      <c r="A56" s="194" t="s">
        <v>86</v>
      </c>
      <c r="B56" s="195"/>
      <c r="C56" s="196"/>
      <c r="D56" s="196"/>
      <c r="E56" s="196"/>
      <c r="F56" s="197"/>
      <c r="G56" s="196"/>
      <c r="H56" s="198"/>
      <c r="I56" s="199" t="s">
        <v>87</v>
      </c>
      <c r="J56" s="200">
        <f>+D34+'1'!J56</f>
        <v>310</v>
      </c>
      <c r="K56" s="201">
        <f>J56/(J40+J56/1000)/1000</f>
        <v>4.2221102379363419E-3</v>
      </c>
    </row>
    <row r="57" spans="1:11">
      <c r="A57" s="176"/>
      <c r="I57" s="199" t="s">
        <v>88</v>
      </c>
      <c r="J57" s="200">
        <f>+E34+'1'!J57</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I7:I13"/>
    <mergeCell ref="I15:I22"/>
    <mergeCell ref="A7:A14"/>
    <mergeCell ref="A15:A23"/>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17" right="0.16" top="0.17" bottom="0.16" header="0" footer="0"/>
  <pageSetup paperSize="9" scale="62"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D1" zoomScale="80" zoomScaleNormal="75" zoomScaleSheetLayoutView="80" workbookViewId="0">
      <selection activeCell="H11" sqref="H11"/>
    </sheetView>
  </sheetViews>
  <sheetFormatPr defaultColWidth="9.140625" defaultRowHeight="12.75"/>
  <cols>
    <col min="1" max="1" width="8" style="149" customWidth="1"/>
    <col min="2" max="2" width="7" style="149" bestFit="1" customWidth="1"/>
    <col min="3" max="3" width="14.85546875" style="149" bestFit="1" customWidth="1"/>
    <col min="4" max="4" width="12.7109375" style="149" bestFit="1" customWidth="1"/>
    <col min="5" max="5" width="13.85546875" style="149" bestFit="1" customWidth="1"/>
    <col min="6" max="6" width="12.140625" style="110" bestFit="1" customWidth="1"/>
    <col min="7" max="7" width="13.5703125" style="149" customWidth="1"/>
    <col min="8" max="8" width="64.85546875" style="149" customWidth="1"/>
    <col min="9" max="9" width="14.7109375" style="149" bestFit="1" customWidth="1"/>
    <col min="10" max="10" width="14.7109375" style="149" customWidth="1"/>
    <col min="11" max="11" width="14" style="149" bestFit="1" customWidth="1"/>
    <col min="12" max="12" width="8.28515625" style="149" customWidth="1"/>
    <col min="13" max="13" width="14.42578125" style="149" bestFit="1" customWidth="1"/>
    <col min="14" max="16384" width="9.140625" style="149"/>
  </cols>
  <sheetData>
    <row r="1" spans="1:18" ht="15.75">
      <c r="A1" s="148"/>
    </row>
    <row r="2" spans="1:18" ht="15.75">
      <c r="A2" s="148" t="s">
        <v>185</v>
      </c>
    </row>
    <row r="3" spans="1:18" ht="15">
      <c r="A3" s="150"/>
    </row>
    <row r="4" spans="1:18" ht="20.25">
      <c r="A4" s="151" t="s">
        <v>3</v>
      </c>
      <c r="B4" s="152"/>
      <c r="F4" s="153" t="s">
        <v>29</v>
      </c>
      <c r="G4" s="154">
        <v>1</v>
      </c>
      <c r="H4" s="154" t="s">
        <v>459</v>
      </c>
      <c r="J4" s="149">
        <f>602+457+517</f>
        <v>1576</v>
      </c>
    </row>
    <row r="5" spans="1:18" ht="13.5" thickBot="1">
      <c r="C5" s="155"/>
      <c r="D5" s="155"/>
    </row>
    <row r="6" spans="1:18"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row>
    <row r="7" spans="1:18" ht="13.5" customHeight="1" thickBot="1">
      <c r="A7" s="765" t="s">
        <v>390</v>
      </c>
      <c r="B7" s="215" t="s">
        <v>391</v>
      </c>
      <c r="C7" s="216">
        <f>5001+4377</f>
        <v>9378</v>
      </c>
      <c r="D7" s="217"/>
      <c r="E7" s="218"/>
      <c r="F7" s="228">
        <v>10</v>
      </c>
      <c r="G7" s="229" t="s">
        <v>12</v>
      </c>
      <c r="H7" s="230" t="s">
        <v>407</v>
      </c>
      <c r="I7" s="768" t="s">
        <v>404</v>
      </c>
      <c r="J7" s="249" t="s">
        <v>391</v>
      </c>
      <c r="K7" s="238">
        <f>+C7+C16+C25</f>
        <v>38948</v>
      </c>
      <c r="L7" s="242"/>
      <c r="M7" s="117">
        <f>+K7+L7</f>
        <v>38948</v>
      </c>
    </row>
    <row r="8" spans="1:18" ht="13.5" thickBot="1">
      <c r="A8" s="766"/>
      <c r="B8" s="215" t="s">
        <v>415</v>
      </c>
      <c r="C8" s="216">
        <f>1184+1350</f>
        <v>2534</v>
      </c>
      <c r="D8" s="217"/>
      <c r="E8" s="219"/>
      <c r="F8" s="231">
        <v>4</v>
      </c>
      <c r="G8" s="560" t="s">
        <v>12</v>
      </c>
      <c r="H8" s="230" t="s">
        <v>408</v>
      </c>
      <c r="I8" s="769"/>
      <c r="J8" s="250" t="s">
        <v>415</v>
      </c>
      <c r="K8" s="511">
        <f>+C8</f>
        <v>2534</v>
      </c>
      <c r="L8" s="239"/>
      <c r="M8" s="117">
        <f t="shared" ref="M8:M32" si="0">+K8+L8</f>
        <v>2534</v>
      </c>
      <c r="N8" s="149">
        <v>1230</v>
      </c>
      <c r="O8" s="149">
        <f>+N8-N8*0.23</f>
        <v>947.09999999999991</v>
      </c>
    </row>
    <row r="9" spans="1:18" ht="13.5" thickBot="1">
      <c r="A9" s="766"/>
      <c r="B9" s="215"/>
      <c r="C9" s="216"/>
      <c r="D9" s="217"/>
      <c r="E9" s="220"/>
      <c r="F9" s="228">
        <v>8</v>
      </c>
      <c r="G9" s="560" t="s">
        <v>12</v>
      </c>
      <c r="H9" s="233" t="s">
        <v>409</v>
      </c>
      <c r="I9" s="769"/>
      <c r="J9" s="250"/>
      <c r="K9" s="239"/>
      <c r="L9" s="239"/>
      <c r="M9" s="117">
        <f t="shared" si="0"/>
        <v>0</v>
      </c>
    </row>
    <row r="10" spans="1:18" ht="13.5" thickBot="1">
      <c r="A10" s="766"/>
      <c r="B10" s="215"/>
      <c r="C10" s="216"/>
      <c r="D10" s="217"/>
      <c r="E10" s="219"/>
      <c r="F10" s="228"/>
      <c r="G10" s="237" t="s">
        <v>13</v>
      </c>
      <c r="H10" s="233" t="s">
        <v>403</v>
      </c>
      <c r="I10" s="769"/>
      <c r="J10" s="249"/>
      <c r="K10" s="239"/>
      <c r="L10" s="239"/>
      <c r="M10" s="117">
        <f t="shared" si="0"/>
        <v>0</v>
      </c>
    </row>
    <row r="11" spans="1:18" ht="13.5" thickBot="1">
      <c r="A11" s="766"/>
      <c r="B11" s="215"/>
      <c r="C11" s="216"/>
      <c r="D11" s="217"/>
      <c r="E11" s="219"/>
      <c r="F11" s="228"/>
      <c r="G11" s="560"/>
      <c r="H11" s="233"/>
      <c r="I11" s="769"/>
      <c r="J11" s="249"/>
      <c r="K11" s="239"/>
      <c r="L11" s="239"/>
      <c r="M11" s="117">
        <f t="shared" si="0"/>
        <v>0</v>
      </c>
    </row>
    <row r="12" spans="1:18" ht="13.5" thickBot="1">
      <c r="A12" s="766"/>
      <c r="B12" s="215"/>
      <c r="C12" s="216"/>
      <c r="D12" s="217"/>
      <c r="E12" s="219"/>
      <c r="F12" s="228"/>
      <c r="G12" s="232"/>
      <c r="H12" s="233"/>
      <c r="I12" s="769"/>
      <c r="J12" s="249"/>
      <c r="K12" s="239"/>
      <c r="L12" s="239"/>
      <c r="M12" s="117">
        <f t="shared" si="0"/>
        <v>0</v>
      </c>
    </row>
    <row r="13" spans="1:18" ht="13.5" thickBot="1">
      <c r="A13" s="766"/>
      <c r="B13" s="215"/>
      <c r="C13" s="216"/>
      <c r="D13" s="216"/>
      <c r="E13" s="219"/>
      <c r="F13" s="228"/>
      <c r="G13" s="232"/>
      <c r="H13" s="233"/>
      <c r="I13" s="770"/>
      <c r="J13" s="249"/>
      <c r="K13" s="239"/>
      <c r="L13" s="239"/>
      <c r="M13" s="117">
        <f t="shared" si="0"/>
        <v>0</v>
      </c>
    </row>
    <row r="14" spans="1:18" ht="13.5" thickBot="1">
      <c r="A14" s="767"/>
      <c r="B14" s="165" t="s">
        <v>2</v>
      </c>
      <c r="C14" s="99">
        <f>SUM(C7:C13)</f>
        <v>11912</v>
      </c>
      <c r="D14" s="111">
        <f>SUM(D7:D13)</f>
        <v>0</v>
      </c>
      <c r="E14" s="112">
        <f>SUM(E5:E13)</f>
        <v>0</v>
      </c>
      <c r="F14" s="116">
        <f>SUM(F7:F13)</f>
        <v>22</v>
      </c>
      <c r="G14" s="159"/>
      <c r="H14" s="166"/>
      <c r="I14" s="167"/>
      <c r="J14" s="249"/>
      <c r="K14" s="239"/>
      <c r="L14" s="239"/>
      <c r="M14" s="117">
        <f t="shared" si="0"/>
        <v>0</v>
      </c>
      <c r="P14" s="176"/>
      <c r="Q14" s="176"/>
      <c r="R14" s="176"/>
    </row>
    <row r="15" spans="1:18" ht="13.5" customHeight="1" thickBot="1">
      <c r="A15" s="765" t="s">
        <v>392</v>
      </c>
      <c r="B15" s="165"/>
      <c r="C15" s="113">
        <f>C14/($C$23+$D$23+$E$23)</f>
        <v>0.73882031879923094</v>
      </c>
      <c r="D15" s="114">
        <f>D14/($C$23+$D$23+$E$23)</f>
        <v>0</v>
      </c>
      <c r="E15" s="115">
        <f>E14/($C$23+$D$23+$E$23)</f>
        <v>0</v>
      </c>
      <c r="F15" s="228">
        <v>10</v>
      </c>
      <c r="G15" s="229" t="s">
        <v>12</v>
      </c>
      <c r="H15" s="230" t="s">
        <v>407</v>
      </c>
      <c r="I15" s="768" t="s">
        <v>404</v>
      </c>
      <c r="J15" s="249"/>
      <c r="K15" s="239"/>
      <c r="L15" s="239"/>
      <c r="M15" s="117">
        <f t="shared" si="0"/>
        <v>0</v>
      </c>
      <c r="Q15" s="176"/>
      <c r="R15" s="176"/>
    </row>
    <row r="16" spans="1:18" ht="13.5" thickBot="1">
      <c r="A16" s="771"/>
      <c r="B16" s="215" t="s">
        <v>391</v>
      </c>
      <c r="C16" s="222">
        <v>16123</v>
      </c>
      <c r="D16" s="223"/>
      <c r="E16" s="224"/>
      <c r="F16" s="231">
        <v>3</v>
      </c>
      <c r="G16" s="560" t="s">
        <v>12</v>
      </c>
      <c r="H16" s="230" t="s">
        <v>406</v>
      </c>
      <c r="I16" s="769"/>
      <c r="J16" s="249"/>
      <c r="K16" s="229"/>
      <c r="L16" s="229"/>
      <c r="M16" s="117">
        <f t="shared" si="0"/>
        <v>0</v>
      </c>
    </row>
    <row r="17" spans="1:13" ht="13.5" thickBot="1">
      <c r="A17" s="771"/>
      <c r="B17" s="215"/>
      <c r="C17" s="216"/>
      <c r="D17" s="217"/>
      <c r="E17" s="225"/>
      <c r="F17" s="228">
        <v>8</v>
      </c>
      <c r="G17" s="560" t="s">
        <v>12</v>
      </c>
      <c r="H17" s="233" t="s">
        <v>405</v>
      </c>
      <c r="I17" s="769"/>
      <c r="J17" s="249"/>
      <c r="K17" s="229"/>
      <c r="L17" s="229"/>
      <c r="M17" s="117">
        <f t="shared" si="0"/>
        <v>0</v>
      </c>
    </row>
    <row r="18" spans="1:13" ht="13.5" thickBot="1">
      <c r="A18" s="771"/>
      <c r="B18" s="215"/>
      <c r="C18" s="216"/>
      <c r="D18" s="217"/>
      <c r="E18" s="225"/>
      <c r="F18" s="228"/>
      <c r="G18" s="237" t="s">
        <v>13</v>
      </c>
      <c r="H18" s="233" t="s">
        <v>403</v>
      </c>
      <c r="I18" s="769"/>
      <c r="J18" s="249"/>
      <c r="K18" s="239"/>
      <c r="L18" s="239"/>
      <c r="M18" s="117">
        <f t="shared" si="0"/>
        <v>0</v>
      </c>
    </row>
    <row r="19" spans="1:13" ht="13.5" thickBot="1">
      <c r="A19" s="771"/>
      <c r="B19" s="215"/>
      <c r="C19" s="216"/>
      <c r="D19" s="217"/>
      <c r="E19" s="225"/>
      <c r="F19" s="235"/>
      <c r="G19" s="232"/>
      <c r="H19" s="233"/>
      <c r="I19" s="769"/>
      <c r="J19" s="249"/>
      <c r="K19" s="239"/>
      <c r="L19" s="239"/>
      <c r="M19" s="117">
        <f t="shared" si="0"/>
        <v>0</v>
      </c>
    </row>
    <row r="20" spans="1:13" ht="13.5" thickBot="1">
      <c r="A20" s="771"/>
      <c r="B20" s="215"/>
      <c r="C20" s="216"/>
      <c r="D20" s="217"/>
      <c r="E20" s="225"/>
      <c r="F20" s="228"/>
      <c r="G20" s="232"/>
      <c r="H20" s="233"/>
      <c r="I20" s="769"/>
      <c r="J20" s="249"/>
      <c r="K20" s="240"/>
      <c r="L20" s="240"/>
      <c r="M20" s="117">
        <f t="shared" si="0"/>
        <v>0</v>
      </c>
    </row>
    <row r="21" spans="1:13" ht="13.5" thickBot="1">
      <c r="A21" s="771"/>
      <c r="B21" s="215"/>
      <c r="C21" s="216"/>
      <c r="D21" s="217"/>
      <c r="E21" s="225"/>
      <c r="F21" s="231"/>
      <c r="G21" s="232"/>
      <c r="H21" s="233"/>
      <c r="I21" s="769"/>
      <c r="J21" s="249"/>
      <c r="K21" s="239"/>
      <c r="L21" s="239"/>
      <c r="M21" s="117">
        <f t="shared" si="0"/>
        <v>0</v>
      </c>
    </row>
    <row r="22" spans="1:13" ht="13.5" thickBot="1">
      <c r="A22" s="771"/>
      <c r="B22" s="215"/>
      <c r="C22" s="216"/>
      <c r="D22" s="217"/>
      <c r="E22" s="225"/>
      <c r="F22" s="236"/>
      <c r="G22" s="232"/>
      <c r="H22" s="233"/>
      <c r="I22" s="770"/>
      <c r="J22" s="249"/>
      <c r="K22" s="239"/>
      <c r="L22" s="239"/>
      <c r="M22" s="117">
        <f t="shared" si="0"/>
        <v>0</v>
      </c>
    </row>
    <row r="23" spans="1:13" ht="13.5" thickBot="1">
      <c r="A23" s="772"/>
      <c r="B23" s="168" t="s">
        <v>2</v>
      </c>
      <c r="C23" s="100">
        <f>SUM(C16:C22)</f>
        <v>16123</v>
      </c>
      <c r="D23" s="111">
        <f>SUM(D16:D22)</f>
        <v>0</v>
      </c>
      <c r="E23" s="112">
        <f>SUM(E18:E22)</f>
        <v>0</v>
      </c>
      <c r="F23" s="116">
        <f>SUM(F15:F22)</f>
        <v>21</v>
      </c>
      <c r="G23" s="159"/>
      <c r="H23" s="166"/>
      <c r="I23" s="169"/>
      <c r="J23" s="249"/>
      <c r="K23" s="239"/>
      <c r="L23" s="239"/>
      <c r="M23" s="117">
        <f t="shared" si="0"/>
        <v>0</v>
      </c>
    </row>
    <row r="24" spans="1:13" ht="13.5" customHeight="1" thickBot="1">
      <c r="A24" s="765" t="s">
        <v>393</v>
      </c>
      <c r="B24" s="170"/>
      <c r="C24" s="113">
        <f>C23/($C$23+$D$23+$E$23)</f>
        <v>1</v>
      </c>
      <c r="D24" s="114">
        <f>D23/($C$23+$D$23+$E$23)</f>
        <v>0</v>
      </c>
      <c r="E24" s="115">
        <f>E23/($C$23+$D$23+$E$23)</f>
        <v>0</v>
      </c>
      <c r="F24" s="228">
        <v>15</v>
      </c>
      <c r="G24" s="229" t="s">
        <v>12</v>
      </c>
      <c r="H24" s="230" t="s">
        <v>402</v>
      </c>
      <c r="I24" s="768" t="s">
        <v>404</v>
      </c>
      <c r="J24" s="249"/>
      <c r="K24" s="239"/>
      <c r="L24" s="239"/>
      <c r="M24" s="117">
        <f t="shared" si="0"/>
        <v>0</v>
      </c>
    </row>
    <row r="25" spans="1:13" ht="13.5" thickBot="1">
      <c r="A25" s="771"/>
      <c r="B25" s="215" t="s">
        <v>391</v>
      </c>
      <c r="C25" s="226">
        <v>13447</v>
      </c>
      <c r="D25" s="217"/>
      <c r="E25" s="225"/>
      <c r="F25" s="231">
        <v>3</v>
      </c>
      <c r="G25" s="560" t="s">
        <v>12</v>
      </c>
      <c r="H25" s="230" t="s">
        <v>388</v>
      </c>
      <c r="I25" s="769"/>
      <c r="J25" s="249"/>
      <c r="K25" s="239"/>
      <c r="L25" s="239"/>
      <c r="M25" s="117">
        <f t="shared" si="0"/>
        <v>0</v>
      </c>
    </row>
    <row r="26" spans="1:13" ht="13.5" thickBot="1">
      <c r="A26" s="771"/>
      <c r="B26" s="215"/>
      <c r="C26" s="226"/>
      <c r="D26" s="217"/>
      <c r="E26" s="227"/>
      <c r="F26" s="228">
        <v>10</v>
      </c>
      <c r="G26" s="560" t="s">
        <v>12</v>
      </c>
      <c r="H26" s="233" t="s">
        <v>386</v>
      </c>
      <c r="I26" s="769"/>
      <c r="J26" s="249"/>
      <c r="K26" s="239"/>
      <c r="L26" s="239"/>
      <c r="M26" s="117">
        <f t="shared" si="0"/>
        <v>0</v>
      </c>
    </row>
    <row r="27" spans="1:13" ht="13.5" thickBot="1">
      <c r="A27" s="771"/>
      <c r="B27" s="215"/>
      <c r="C27" s="216"/>
      <c r="D27" s="217"/>
      <c r="E27" s="225"/>
      <c r="F27" s="228"/>
      <c r="G27" s="237" t="s">
        <v>13</v>
      </c>
      <c r="H27" s="233" t="s">
        <v>403</v>
      </c>
      <c r="I27" s="769"/>
      <c r="J27" s="249"/>
      <c r="K27" s="239"/>
      <c r="L27" s="239"/>
      <c r="M27" s="117">
        <f t="shared" si="0"/>
        <v>0</v>
      </c>
    </row>
    <row r="28" spans="1:13" ht="13.5" thickBot="1">
      <c r="A28" s="771"/>
      <c r="B28" s="215"/>
      <c r="C28" s="216"/>
      <c r="D28" s="217"/>
      <c r="E28" s="225"/>
      <c r="F28" s="231"/>
      <c r="G28" s="232"/>
      <c r="H28" s="233"/>
      <c r="I28" s="769"/>
      <c r="J28" s="249"/>
      <c r="K28" s="239"/>
      <c r="L28" s="239"/>
      <c r="M28" s="117">
        <f t="shared" si="0"/>
        <v>0</v>
      </c>
    </row>
    <row r="29" spans="1:13" ht="13.5" thickBot="1">
      <c r="A29" s="771"/>
      <c r="B29" s="215"/>
      <c r="C29" s="216"/>
      <c r="D29" s="217"/>
      <c r="E29" s="225"/>
      <c r="F29" s="236"/>
      <c r="G29" s="232"/>
      <c r="H29" s="233"/>
      <c r="I29" s="769"/>
      <c r="J29" s="249"/>
      <c r="K29" s="239"/>
      <c r="L29" s="239"/>
      <c r="M29" s="117">
        <f t="shared" si="0"/>
        <v>0</v>
      </c>
    </row>
    <row r="30" spans="1:13" ht="13.5" thickBot="1">
      <c r="A30" s="771"/>
      <c r="B30" s="215"/>
      <c r="C30" s="226"/>
      <c r="D30" s="217"/>
      <c r="E30" s="225"/>
      <c r="F30" s="236"/>
      <c r="G30" s="232"/>
      <c r="H30" s="233"/>
      <c r="I30" s="769"/>
      <c r="J30" s="249"/>
      <c r="K30" s="239"/>
      <c r="L30" s="239"/>
      <c r="M30" s="117">
        <f t="shared" si="0"/>
        <v>0</v>
      </c>
    </row>
    <row r="31" spans="1:13" ht="13.5" thickBot="1">
      <c r="A31" s="771"/>
      <c r="B31" s="215"/>
      <c r="C31" s="226"/>
      <c r="D31" s="217"/>
      <c r="E31" s="225"/>
      <c r="F31" s="236"/>
      <c r="G31" s="237"/>
      <c r="H31" s="445"/>
      <c r="I31" s="770"/>
      <c r="J31" s="249"/>
      <c r="K31" s="239"/>
      <c r="L31" s="239"/>
      <c r="M31" s="117">
        <f t="shared" si="0"/>
        <v>0</v>
      </c>
    </row>
    <row r="32" spans="1:13" ht="13.5" thickBot="1">
      <c r="A32" s="772"/>
      <c r="B32" s="165" t="s">
        <v>2</v>
      </c>
      <c r="C32" s="99">
        <f>SUM(C25:C31)</f>
        <v>13447</v>
      </c>
      <c r="D32" s="100">
        <f>SUM(D25:D31)</f>
        <v>0</v>
      </c>
      <c r="E32" s="101">
        <f>SUM(E25:E31)</f>
        <v>0</v>
      </c>
      <c r="F32" s="102">
        <f>SUM(F24:F31)</f>
        <v>28</v>
      </c>
      <c r="G32" s="171"/>
      <c r="H32" s="172"/>
      <c r="I32" s="169"/>
      <c r="J32" s="251"/>
      <c r="K32" s="241"/>
      <c r="L32" s="243"/>
      <c r="M32" s="117">
        <f t="shared" si="0"/>
        <v>0</v>
      </c>
    </row>
    <row r="33" spans="1:13" ht="13.5" thickBot="1">
      <c r="A33" s="173"/>
      <c r="B33" s="174"/>
      <c r="C33" s="103">
        <f>C32/($C$32+$D$32+$E$32)</f>
        <v>1</v>
      </c>
      <c r="D33" s="104">
        <f>D32/($C$32+$D$32+$E$32)</f>
        <v>0</v>
      </c>
      <c r="E33" s="105">
        <f>E32/($C$32+$D$32+$E$32)</f>
        <v>0</v>
      </c>
      <c r="F33" s="106"/>
      <c r="G33" s="175"/>
      <c r="H33" s="176"/>
      <c r="I33" s="177"/>
      <c r="J33" s="121"/>
      <c r="K33" s="122"/>
      <c r="L33" s="213"/>
      <c r="M33" s="119"/>
    </row>
    <row r="34" spans="1:13" ht="13.5" thickBot="1">
      <c r="A34" s="761" t="s">
        <v>57</v>
      </c>
      <c r="B34" s="762"/>
      <c r="C34" s="107">
        <f>C14+C23+C32</f>
        <v>41482</v>
      </c>
      <c r="D34" s="107">
        <f>D14+D23+D32</f>
        <v>0</v>
      </c>
      <c r="E34" s="107">
        <f>E14+E23+E32</f>
        <v>0</v>
      </c>
      <c r="F34" s="108">
        <f>F14+F23+F32</f>
        <v>71</v>
      </c>
      <c r="H34" s="178"/>
      <c r="I34" s="178"/>
      <c r="J34" s="123" t="s">
        <v>28</v>
      </c>
      <c r="K34" s="124">
        <f>SUM(K7:K32)</f>
        <v>41482</v>
      </c>
      <c r="L34" s="212">
        <f>SUM(L7:L32)</f>
        <v>0</v>
      </c>
      <c r="M34" s="120">
        <f>SUM(M7:M32)</f>
        <v>41482</v>
      </c>
    </row>
    <row r="35" spans="1:13" ht="13.5" thickBot="1">
      <c r="A35" s="179"/>
      <c r="B35" s="180"/>
      <c r="C35" s="104">
        <f>C34/($C$34+$D$34+$E$34)</f>
        <v>1</v>
      </c>
      <c r="D35" s="104">
        <f>D34/($C$34+$D$34+$E$34)</f>
        <v>0</v>
      </c>
      <c r="E35" s="109">
        <f>E34/($C$34+$D$34+$E$34)</f>
        <v>0</v>
      </c>
      <c r="K35" s="155"/>
    </row>
    <row r="36" spans="1:13" ht="13.5" thickBot="1">
      <c r="A36" s="178"/>
      <c r="B36" s="178"/>
      <c r="C36" s="155"/>
      <c r="D36" s="155"/>
      <c r="E36" s="155"/>
      <c r="G36" s="155"/>
      <c r="H36" s="181"/>
      <c r="I36" s="162" t="s">
        <v>37</v>
      </c>
      <c r="J36" s="162" t="s">
        <v>38</v>
      </c>
      <c r="K36" s="182"/>
    </row>
    <row r="37" spans="1:13" ht="17.45" customHeight="1" thickBot="1">
      <c r="A37" s="763" t="s">
        <v>58</v>
      </c>
      <c r="B37" s="764"/>
      <c r="C37" s="162" t="s">
        <v>59</v>
      </c>
      <c r="D37" s="183" t="s">
        <v>60</v>
      </c>
      <c r="E37" s="184" t="s">
        <v>61</v>
      </c>
      <c r="F37" s="185"/>
      <c r="G37" s="155"/>
      <c r="H37" s="186" t="s">
        <v>62</v>
      </c>
      <c r="I37" s="244">
        <f>(12*1440)/1440*G42*2.74*1440/1000000</f>
        <v>44.842533119999992</v>
      </c>
      <c r="J37" s="125">
        <f>I37</f>
        <v>44.842533119999992</v>
      </c>
      <c r="K37" s="126" t="s">
        <v>63</v>
      </c>
    </row>
    <row r="38" spans="1:13" ht="17.45" customHeight="1">
      <c r="A38" s="755" t="s">
        <v>12</v>
      </c>
      <c r="B38" s="756"/>
      <c r="C38" s="164">
        <f>SUMIF($G$7:$G$31,"Process",$F$7:$F$31)</f>
        <v>71</v>
      </c>
      <c r="D38" s="118">
        <f>C38</f>
        <v>71</v>
      </c>
      <c r="E38" s="143">
        <f t="shared" ref="E38:E51" si="1">D38/60</f>
        <v>1.1833333333333333</v>
      </c>
      <c r="F38" s="185">
        <v>1230</v>
      </c>
      <c r="G38" s="185">
        <f t="shared" ref="G38:G40" si="2">+F38-F38*0.23</f>
        <v>947.09999999999991</v>
      </c>
      <c r="H38" s="187" t="s">
        <v>64</v>
      </c>
      <c r="I38" s="245">
        <f>12.739+14.351+12.966</f>
        <v>40.056000000000004</v>
      </c>
      <c r="J38" s="127">
        <f>I38</f>
        <v>40.056000000000004</v>
      </c>
      <c r="K38" s="128" t="s">
        <v>63</v>
      </c>
    </row>
    <row r="39" spans="1:13" ht="17.45" customHeight="1">
      <c r="A39" s="759" t="s">
        <v>13</v>
      </c>
      <c r="B39" s="760"/>
      <c r="C39" s="164">
        <f>SUMIF($G$7:$G$31,"Cleaning",$F$7:$F$31)</f>
        <v>0</v>
      </c>
      <c r="D39" s="118">
        <f>C39</f>
        <v>0</v>
      </c>
      <c r="E39" s="143">
        <f t="shared" si="1"/>
        <v>0</v>
      </c>
      <c r="F39" s="185">
        <v>1230</v>
      </c>
      <c r="G39" s="185">
        <f t="shared" si="2"/>
        <v>947.09999999999991</v>
      </c>
      <c r="H39" s="187" t="s">
        <v>65</v>
      </c>
      <c r="I39" s="142"/>
      <c r="J39" s="129">
        <f>J37/G4</f>
        <v>44.842533119999992</v>
      </c>
      <c r="K39" s="130" t="s">
        <v>63</v>
      </c>
    </row>
    <row r="40" spans="1:13" ht="17.45" customHeight="1">
      <c r="A40" s="759" t="s">
        <v>66</v>
      </c>
      <c r="B40" s="760"/>
      <c r="C40" s="164">
        <f>SUMIF($G$7:$G$31,"Mechanical",$F$7:$F$31)</f>
        <v>0</v>
      </c>
      <c r="D40" s="118">
        <f t="shared" ref="D40:D51" si="3">C40</f>
        <v>0</v>
      </c>
      <c r="E40" s="143">
        <f t="shared" si="1"/>
        <v>0</v>
      </c>
      <c r="F40" s="185">
        <v>1230</v>
      </c>
      <c r="G40" s="185">
        <f t="shared" si="2"/>
        <v>947.09999999999991</v>
      </c>
      <c r="H40" s="187" t="s">
        <v>67</v>
      </c>
      <c r="I40" s="118">
        <f>(K34+L34)/1000</f>
        <v>41.481999999999999</v>
      </c>
      <c r="J40" s="131">
        <f>M34/1000</f>
        <v>41.481999999999999</v>
      </c>
      <c r="K40" s="130" t="s">
        <v>63</v>
      </c>
    </row>
    <row r="41" spans="1:13" ht="17.45" customHeight="1">
      <c r="A41" s="759" t="s">
        <v>68</v>
      </c>
      <c r="B41" s="760"/>
      <c r="C41" s="164">
        <f>SUMIF($G$7:$G$31,"Electrical",$F$7:$F$31)</f>
        <v>0</v>
      </c>
      <c r="D41" s="118">
        <f t="shared" si="3"/>
        <v>0</v>
      </c>
      <c r="E41" s="143">
        <f t="shared" si="1"/>
        <v>0</v>
      </c>
      <c r="F41" s="185"/>
      <c r="G41" s="185"/>
      <c r="H41" s="187" t="s">
        <v>69</v>
      </c>
      <c r="I41" s="142"/>
      <c r="J41" s="129">
        <f>J40/G4</f>
        <v>41.481999999999999</v>
      </c>
      <c r="K41" s="130" t="s">
        <v>63</v>
      </c>
    </row>
    <row r="42" spans="1:13" ht="17.45" customHeight="1">
      <c r="A42" s="759" t="s">
        <v>16</v>
      </c>
      <c r="B42" s="760"/>
      <c r="C42" s="164">
        <f>SUMIF($G$7:$G$31,"Instrument",$F$7:$F$31)</f>
        <v>0</v>
      </c>
      <c r="D42" s="118">
        <f t="shared" si="3"/>
        <v>0</v>
      </c>
      <c r="E42" s="143">
        <f t="shared" si="1"/>
        <v>0</v>
      </c>
      <c r="F42" s="322">
        <f>+(480*F38+480*F39+480*F40)/1440</f>
        <v>1230</v>
      </c>
      <c r="G42" s="322">
        <f>+(480*G38+480*G39+480*G40)/1440</f>
        <v>947.0999999999998</v>
      </c>
      <c r="H42" s="187" t="s">
        <v>70</v>
      </c>
      <c r="I42" s="246" t="s">
        <v>404</v>
      </c>
      <c r="J42" s="132"/>
      <c r="K42" s="130" t="s">
        <v>71</v>
      </c>
    </row>
    <row r="43" spans="1:13" ht="17.45" customHeight="1">
      <c r="A43" s="759" t="s">
        <v>223</v>
      </c>
      <c r="B43" s="760"/>
      <c r="C43" s="164">
        <f>SUMIF($G$7:$G$31,"Change Grade",$F$7:$F$31)</f>
        <v>0</v>
      </c>
      <c r="D43" s="118">
        <f t="shared" si="3"/>
        <v>0</v>
      </c>
      <c r="E43" s="143">
        <f t="shared" si="1"/>
        <v>0</v>
      </c>
      <c r="F43" s="185"/>
      <c r="H43" s="188" t="s">
        <v>73</v>
      </c>
      <c r="I43" s="118">
        <f>+Report1!Z9</f>
        <v>59</v>
      </c>
      <c r="J43" s="133">
        <f>I43</f>
        <v>59</v>
      </c>
      <c r="K43" s="130" t="s">
        <v>63</v>
      </c>
      <c r="L43" s="189"/>
    </row>
    <row r="44" spans="1:13" ht="17.45" customHeight="1">
      <c r="A44" s="759" t="s">
        <v>17</v>
      </c>
      <c r="B44" s="760"/>
      <c r="C44" s="164">
        <f>SUMIF($G$7:$G$31,"PLN",$F$7:$F$31)</f>
        <v>0</v>
      </c>
      <c r="D44" s="118">
        <f>C44</f>
        <v>0</v>
      </c>
      <c r="E44" s="143">
        <f t="shared" si="1"/>
        <v>0</v>
      </c>
      <c r="F44" s="185"/>
      <c r="H44" s="188" t="s">
        <v>74</v>
      </c>
      <c r="I44" s="118">
        <f>I43/I38</f>
        <v>1.4729378869582583</v>
      </c>
      <c r="J44" s="134">
        <f>J43/J38</f>
        <v>1.4729378869582583</v>
      </c>
      <c r="K44" s="130" t="s">
        <v>63</v>
      </c>
    </row>
    <row r="45" spans="1:13" ht="17.45" customHeight="1">
      <c r="A45" s="759" t="s">
        <v>18</v>
      </c>
      <c r="B45" s="760"/>
      <c r="C45" s="164">
        <f>SUMIF($G$7:$G$31,"Boiler",$F$7:$F$31)</f>
        <v>0</v>
      </c>
      <c r="D45" s="118">
        <f t="shared" si="3"/>
        <v>0</v>
      </c>
      <c r="E45" s="143">
        <f t="shared" si="1"/>
        <v>0</v>
      </c>
      <c r="F45" s="185"/>
      <c r="G45" s="176"/>
      <c r="H45" s="188" t="s">
        <v>75</v>
      </c>
      <c r="I45" s="118">
        <f>I43/I40</f>
        <v>1.4223036497758064</v>
      </c>
      <c r="J45" s="134">
        <f>J43/J40</f>
        <v>1.4223036497758064</v>
      </c>
      <c r="K45" s="130" t="s">
        <v>63</v>
      </c>
    </row>
    <row r="46" spans="1:13" ht="17.45" customHeight="1">
      <c r="A46" s="759" t="s">
        <v>76</v>
      </c>
      <c r="B46" s="760"/>
      <c r="C46" s="164">
        <f>SUMIF($G$7:$G$31,"Gas",$F$7:$F$31)</f>
        <v>0</v>
      </c>
      <c r="D46" s="118">
        <f t="shared" si="3"/>
        <v>0</v>
      </c>
      <c r="E46" s="143">
        <f t="shared" si="1"/>
        <v>0</v>
      </c>
      <c r="F46" s="185"/>
      <c r="H46" s="188" t="s">
        <v>77</v>
      </c>
      <c r="I46" s="140">
        <f>+SUMIF(Listrik!P8,"&gt;0")</f>
        <v>35377.000000001455</v>
      </c>
      <c r="J46" s="135">
        <f>I46</f>
        <v>35377.000000001455</v>
      </c>
      <c r="K46" s="130" t="s">
        <v>78</v>
      </c>
    </row>
    <row r="47" spans="1:13" ht="17.45" customHeight="1">
      <c r="A47" s="759" t="s">
        <v>79</v>
      </c>
      <c r="B47" s="760"/>
      <c r="C47" s="164">
        <f>SUMIF($G$7:$G$31,"Gas",$F$7:$F$31)</f>
        <v>0</v>
      </c>
      <c r="D47" s="118">
        <f t="shared" si="3"/>
        <v>0</v>
      </c>
      <c r="E47" s="143">
        <f t="shared" si="1"/>
        <v>0</v>
      </c>
      <c r="F47" s="185"/>
      <c r="H47" s="188" t="s">
        <v>80</v>
      </c>
      <c r="I47" s="118">
        <f>I46/I38</f>
        <v>883.18853604956689</v>
      </c>
      <c r="J47" s="135">
        <f>J46/J38</f>
        <v>883.18853604956689</v>
      </c>
      <c r="K47" s="130" t="s">
        <v>24</v>
      </c>
    </row>
    <row r="48" spans="1:13" ht="17.45" customHeight="1">
      <c r="A48" s="759" t="s">
        <v>14</v>
      </c>
      <c r="B48" s="760"/>
      <c r="C48" s="164">
        <f>SUMIF($G$7:$G$31,"Start Up",$F$7:$F$31)</f>
        <v>0</v>
      </c>
      <c r="D48" s="118">
        <f t="shared" si="3"/>
        <v>0</v>
      </c>
      <c r="E48" s="143">
        <f t="shared" si="1"/>
        <v>0</v>
      </c>
      <c r="F48" s="185"/>
      <c r="H48" s="188" t="s">
        <v>81</v>
      </c>
      <c r="I48" s="118">
        <f>I46/I40</f>
        <v>852.82773251052151</v>
      </c>
      <c r="J48" s="135">
        <f>J46/J40</f>
        <v>852.82773251052151</v>
      </c>
      <c r="K48" s="130" t="s">
        <v>24</v>
      </c>
    </row>
    <row r="49" spans="1:11" ht="17.45" customHeight="1">
      <c r="A49" s="759" t="s">
        <v>20</v>
      </c>
      <c r="B49" s="760"/>
      <c r="C49" s="164">
        <f>SUMIF($G$7:$G$31,"Others",$F$7:$F$31)</f>
        <v>0</v>
      </c>
      <c r="D49" s="118">
        <f t="shared" si="3"/>
        <v>0</v>
      </c>
      <c r="E49" s="143">
        <f t="shared" si="1"/>
        <v>0</v>
      </c>
      <c r="F49" s="185"/>
      <c r="H49" s="188" t="s">
        <v>271</v>
      </c>
      <c r="I49" s="118">
        <f>+Report1!T9</f>
        <v>3426.7025538496359</v>
      </c>
      <c r="J49" s="135">
        <f>I49</f>
        <v>3426.7025538496359</v>
      </c>
      <c r="K49" s="130" t="s">
        <v>82</v>
      </c>
    </row>
    <row r="50" spans="1:11" ht="17.45" customHeight="1">
      <c r="A50" s="759" t="s">
        <v>19</v>
      </c>
      <c r="B50" s="760"/>
      <c r="C50" s="164">
        <f>SUMIF($G$7:$G$31,"Steam",$F$7:$F$31)</f>
        <v>0</v>
      </c>
      <c r="D50" s="118">
        <f t="shared" si="3"/>
        <v>0</v>
      </c>
      <c r="E50" s="143">
        <f t="shared" si="1"/>
        <v>0</v>
      </c>
      <c r="F50" s="185"/>
      <c r="H50" s="188" t="s">
        <v>83</v>
      </c>
      <c r="I50" s="140">
        <f>I49/I38</f>
        <v>85.547796930538141</v>
      </c>
      <c r="J50" s="133">
        <f>J49/J38</f>
        <v>85.547796930538141</v>
      </c>
      <c r="K50" s="130" t="s">
        <v>82</v>
      </c>
    </row>
    <row r="51" spans="1:11" ht="17.45" customHeight="1" thickBot="1">
      <c r="A51" s="753" t="s">
        <v>84</v>
      </c>
      <c r="B51" s="754"/>
      <c r="C51" s="164">
        <f>SUMIF($G$7:$G$31,"Planned shut",$F$7:$F$31)</f>
        <v>0</v>
      </c>
      <c r="D51" s="118">
        <f t="shared" si="3"/>
        <v>0</v>
      </c>
      <c r="E51" s="143">
        <f t="shared" si="1"/>
        <v>0</v>
      </c>
      <c r="F51" s="185"/>
      <c r="H51" s="190" t="s">
        <v>85</v>
      </c>
      <c r="I51" s="141">
        <f>I49/I40</f>
        <v>82.606975407396845</v>
      </c>
      <c r="J51" s="136">
        <f>J49/J40</f>
        <v>82.606975407396845</v>
      </c>
      <c r="K51" s="137" t="s">
        <v>82</v>
      </c>
    </row>
    <row r="52" spans="1:11" ht="13.5" thickBot="1">
      <c r="A52" s="755" t="s">
        <v>28</v>
      </c>
      <c r="B52" s="756"/>
      <c r="C52" s="144">
        <f>SUM(C38:C51)</f>
        <v>71</v>
      </c>
      <c r="D52" s="144">
        <f>SUM(D38:D51)</f>
        <v>71</v>
      </c>
      <c r="E52" s="145">
        <f>SUM(E38:E51)</f>
        <v>1.1833333333333333</v>
      </c>
      <c r="F52" s="185"/>
      <c r="H52" s="191"/>
      <c r="I52" s="192"/>
      <c r="J52" s="138"/>
      <c r="K52" s="139"/>
    </row>
    <row r="53" spans="1:11" ht="13.5" thickBot="1">
      <c r="A53" s="757"/>
      <c r="B53" s="758"/>
      <c r="C53" s="146">
        <f>C52/(24*60)</f>
        <v>4.9305555555555554E-2</v>
      </c>
      <c r="D53" s="146">
        <f>D52/(24*60*G4)</f>
        <v>4.9305555555555554E-2</v>
      </c>
      <c r="E53" s="147">
        <f>E52/(G4*24)</f>
        <v>4.9305555555555554E-2</v>
      </c>
      <c r="F53" s="185"/>
    </row>
    <row r="54" spans="1:11">
      <c r="E54" s="193"/>
      <c r="F54" s="185"/>
    </row>
    <row r="55" spans="1:11">
      <c r="E55" s="193"/>
    </row>
    <row r="56" spans="1:11">
      <c r="A56" s="194" t="s">
        <v>86</v>
      </c>
      <c r="B56" s="195"/>
      <c r="C56" s="196"/>
      <c r="D56" s="196"/>
      <c r="E56" s="196"/>
      <c r="F56" s="197"/>
      <c r="G56" s="196"/>
      <c r="H56" s="198"/>
      <c r="I56" s="199" t="s">
        <v>87</v>
      </c>
      <c r="J56" s="200">
        <f>D34</f>
        <v>0</v>
      </c>
      <c r="K56" s="201">
        <f>J56/(J40+J56/1000)/1000</f>
        <v>0</v>
      </c>
    </row>
    <row r="57" spans="1:11">
      <c r="A57" s="176"/>
      <c r="I57" s="199" t="s">
        <v>88</v>
      </c>
      <c r="J57" s="200">
        <f>+E34</f>
        <v>0</v>
      </c>
      <c r="K57" s="201">
        <f>J57/(J40+J57/1000)/1000</f>
        <v>0</v>
      </c>
    </row>
    <row r="58" spans="1:11">
      <c r="A58" s="202"/>
      <c r="B58" s="203"/>
      <c r="F58" s="185"/>
      <c r="H58" s="204"/>
    </row>
    <row r="59" spans="1:11">
      <c r="A59" s="205"/>
      <c r="B59" s="176"/>
      <c r="C59" s="176"/>
      <c r="D59" s="176"/>
      <c r="E59" s="176"/>
      <c r="F59" s="189"/>
      <c r="G59" s="176"/>
      <c r="H59" s="204"/>
    </row>
    <row r="60" spans="1:11">
      <c r="H60" s="204"/>
    </row>
    <row r="61" spans="1:11">
      <c r="A61" s="206"/>
      <c r="B61" s="207"/>
      <c r="C61" s="207"/>
      <c r="D61" s="207"/>
      <c r="E61" s="207"/>
      <c r="F61" s="208"/>
      <c r="G61" s="207"/>
      <c r="H61" s="209"/>
    </row>
  </sheetData>
  <mergeCells count="24">
    <mergeCell ref="A52:B52"/>
    <mergeCell ref="A53:B53"/>
    <mergeCell ref="A42:B42"/>
    <mergeCell ref="A43:B43"/>
    <mergeCell ref="A44:B44"/>
    <mergeCell ref="A45:B45"/>
    <mergeCell ref="A46:B46"/>
    <mergeCell ref="A47:B47"/>
    <mergeCell ref="A50:B50"/>
    <mergeCell ref="A51:B51"/>
    <mergeCell ref="A7:A14"/>
    <mergeCell ref="I7:I13"/>
    <mergeCell ref="A15:A23"/>
    <mergeCell ref="I15:I22"/>
    <mergeCell ref="A34:B34"/>
    <mergeCell ref="A37:B37"/>
    <mergeCell ref="A24:A32"/>
    <mergeCell ref="I24:I31"/>
    <mergeCell ref="A48:B48"/>
    <mergeCell ref="A49:B49"/>
    <mergeCell ref="A40:B40"/>
    <mergeCell ref="A41:B41"/>
    <mergeCell ref="A38:B38"/>
    <mergeCell ref="A39:B39"/>
  </mergeCells>
  <phoneticPr fontId="32" type="noConversion"/>
  <printOptions horizontalCentered="1"/>
  <pageMargins left="0.15625" right="0.15625"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1"/>
  <sheetViews>
    <sheetView topLeftCell="I1" zoomScale="80" zoomScaleNormal="80" workbookViewId="0">
      <selection activeCell="H11" sqref="H11"/>
    </sheetView>
  </sheetViews>
  <sheetFormatPr defaultColWidth="9.140625" defaultRowHeight="12.75"/>
  <cols>
    <col min="1" max="1" width="8" style="149" customWidth="1"/>
    <col min="2" max="2" width="7" style="149" bestFit="1" customWidth="1"/>
    <col min="3" max="3" width="14.85546875" style="149" bestFit="1" customWidth="1"/>
    <col min="4" max="4" width="12.5703125" style="149" bestFit="1" customWidth="1"/>
    <col min="5" max="5" width="13.85546875" style="149" bestFit="1" customWidth="1"/>
    <col min="6" max="6" width="12.140625" style="110" bestFit="1" customWidth="1"/>
    <col min="7" max="7" width="11.42578125" style="149" bestFit="1" customWidth="1"/>
    <col min="8" max="8" width="64.85546875" style="149" customWidth="1"/>
    <col min="9" max="9" width="14.7109375" style="149" bestFit="1" customWidth="1"/>
    <col min="10" max="10" width="14.7109375" style="149" customWidth="1"/>
    <col min="11" max="11" width="12.5703125" style="149" bestFit="1" customWidth="1"/>
    <col min="12" max="12" width="8.28515625" style="149" customWidth="1"/>
    <col min="13" max="13" width="14.42578125" style="149" customWidth="1"/>
    <col min="14" max="15" width="9.140625" style="149"/>
    <col min="16" max="16" width="10.28515625" style="149" bestFit="1" customWidth="1"/>
    <col min="17" max="17" width="9.28515625" style="149" bestFit="1" customWidth="1"/>
    <col min="18" max="16384" width="9.140625" style="149"/>
  </cols>
  <sheetData>
    <row r="1" spans="1:23" ht="15.75">
      <c r="A1" s="148"/>
    </row>
    <row r="2" spans="1:23" ht="15.75">
      <c r="A2" s="148" t="s">
        <v>185</v>
      </c>
    </row>
    <row r="3" spans="1:23" ht="15">
      <c r="A3" s="150"/>
    </row>
    <row r="4" spans="1:23" ht="20.25">
      <c r="A4" s="151" t="s">
        <v>3</v>
      </c>
      <c r="B4" s="152"/>
      <c r="F4" s="153" t="s">
        <v>29</v>
      </c>
      <c r="G4" s="154">
        <v>31</v>
      </c>
      <c r="H4" s="154" t="str">
        <f>+'1'!H4</f>
        <v>.9.25</v>
      </c>
    </row>
    <row r="5" spans="1:23" ht="13.5" thickBot="1">
      <c r="C5" s="155"/>
      <c r="D5" s="155"/>
    </row>
    <row r="6" spans="1:23" ht="26.25" thickBot="1">
      <c r="A6" s="156" t="s">
        <v>47</v>
      </c>
      <c r="B6" s="157" t="s">
        <v>9</v>
      </c>
      <c r="C6" s="157" t="s">
        <v>48</v>
      </c>
      <c r="D6" s="157" t="s">
        <v>49</v>
      </c>
      <c r="E6" s="158" t="s">
        <v>50</v>
      </c>
      <c r="F6" s="102" t="s">
        <v>51</v>
      </c>
      <c r="G6" s="157" t="s">
        <v>52</v>
      </c>
      <c r="H6" s="159" t="s">
        <v>53</v>
      </c>
      <c r="I6" s="160" t="s">
        <v>54</v>
      </c>
      <c r="J6" s="161" t="s">
        <v>9</v>
      </c>
      <c r="K6" s="162" t="s">
        <v>55</v>
      </c>
      <c r="L6" s="210" t="s">
        <v>142</v>
      </c>
      <c r="M6" s="163" t="s">
        <v>56</v>
      </c>
      <c r="N6" s="181" t="s">
        <v>92</v>
      </c>
      <c r="O6" s="423" t="s">
        <v>192</v>
      </c>
      <c r="P6" s="423" t="s">
        <v>192</v>
      </c>
      <c r="Q6" s="423" t="s">
        <v>193</v>
      </c>
      <c r="R6" s="423" t="s">
        <v>194</v>
      </c>
      <c r="S6" s="423" t="s">
        <v>195</v>
      </c>
      <c r="T6" s="423" t="s">
        <v>190</v>
      </c>
      <c r="U6" s="424" t="s">
        <v>196</v>
      </c>
      <c r="V6" s="423" t="s">
        <v>197</v>
      </c>
      <c r="W6" s="423" t="s">
        <v>191</v>
      </c>
    </row>
    <row r="7" spans="1:23" ht="13.5" customHeight="1" thickBot="1">
      <c r="A7" s="765"/>
      <c r="B7" s="215"/>
      <c r="C7" s="216"/>
      <c r="D7" s="217"/>
      <c r="E7" s="218"/>
      <c r="F7" s="228"/>
      <c r="G7" s="229"/>
      <c r="H7" s="230"/>
      <c r="I7" s="768"/>
      <c r="J7" s="214" t="str">
        <f>+'30'!J7</f>
        <v>F 12 VP OW</v>
      </c>
      <c r="K7" s="238"/>
      <c r="L7" s="242"/>
      <c r="M7" s="117">
        <f>+L7+'30'!M7+K7</f>
        <v>172842</v>
      </c>
      <c r="N7" s="425">
        <v>14.5</v>
      </c>
      <c r="O7" s="199">
        <v>1200</v>
      </c>
      <c r="P7" s="199">
        <v>1120</v>
      </c>
      <c r="Q7" s="199">
        <v>896</v>
      </c>
      <c r="R7" s="426">
        <f>1-(Q7/P7)</f>
        <v>0.19999999999999996</v>
      </c>
      <c r="S7" s="427">
        <v>45</v>
      </c>
      <c r="T7" s="428">
        <v>256.5</v>
      </c>
      <c r="U7" s="429">
        <f>(O7*(1-R7)*N7*T7*S7)/100000000</f>
        <v>1.606716</v>
      </c>
      <c r="V7" s="430">
        <f>+C14/1000</f>
        <v>0</v>
      </c>
      <c r="W7" s="431">
        <f>SUM(V7:V9)/SUM(U7:U9)</f>
        <v>0</v>
      </c>
    </row>
    <row r="8" spans="1:23" ht="13.5" thickBot="1">
      <c r="A8" s="766"/>
      <c r="B8" s="215"/>
      <c r="C8" s="216"/>
      <c r="D8" s="217"/>
      <c r="E8" s="219"/>
      <c r="F8" s="231"/>
      <c r="G8" s="232"/>
      <c r="H8" s="230"/>
      <c r="I8" s="769"/>
      <c r="J8" s="214" t="str">
        <f>+'30'!J8</f>
        <v>F 13 VP OW</v>
      </c>
      <c r="K8" s="239"/>
      <c r="L8" s="239"/>
      <c r="M8" s="117">
        <f>+L8+'30'!M8+K8</f>
        <v>66206</v>
      </c>
      <c r="N8" s="425">
        <v>18</v>
      </c>
      <c r="O8" s="199">
        <v>1200</v>
      </c>
      <c r="P8" s="199">
        <v>930</v>
      </c>
      <c r="Q8" s="199">
        <v>744</v>
      </c>
      <c r="R8" s="426">
        <f>1-(Q8/P8)</f>
        <v>0.19999999999999996</v>
      </c>
      <c r="S8" s="427">
        <f>480-S7</f>
        <v>435</v>
      </c>
      <c r="T8" s="428">
        <v>256.5</v>
      </c>
      <c r="U8" s="429">
        <f>(O8*(1-R8)*N8*T8*S8)/100000000</f>
        <v>19.280591999999999</v>
      </c>
      <c r="V8" s="430"/>
      <c r="W8" s="432"/>
    </row>
    <row r="9" spans="1:23" ht="13.5" thickBot="1">
      <c r="A9" s="766"/>
      <c r="B9" s="215"/>
      <c r="C9" s="216"/>
      <c r="D9" s="217"/>
      <c r="E9" s="220"/>
      <c r="F9" s="228"/>
      <c r="G9" s="229"/>
      <c r="H9" s="233"/>
      <c r="I9" s="769"/>
      <c r="J9" s="214" t="str">
        <f>+'30'!J9</f>
        <v>F 14 VP OW</v>
      </c>
      <c r="K9" s="239"/>
      <c r="L9" s="239"/>
      <c r="M9" s="117">
        <f>+L9+'30'!M9+K9</f>
        <v>100560</v>
      </c>
      <c r="N9" s="433"/>
    </row>
    <row r="10" spans="1:23" ht="13.5" thickBot="1">
      <c r="A10" s="766"/>
      <c r="B10" s="215"/>
      <c r="C10" s="216"/>
      <c r="D10" s="217"/>
      <c r="E10" s="219"/>
      <c r="F10" s="228"/>
      <c r="G10" s="232"/>
      <c r="H10" s="233"/>
      <c r="I10" s="769"/>
      <c r="J10" s="214" t="str">
        <f>+'30'!J10</f>
        <v>T 12,5 VP OW</v>
      </c>
      <c r="K10" s="239"/>
      <c r="L10" s="239"/>
      <c r="M10" s="117">
        <f>+L10+'30'!M10+K10</f>
        <v>19885</v>
      </c>
      <c r="N10" s="433"/>
    </row>
    <row r="11" spans="1:23" ht="13.5" thickBot="1">
      <c r="A11" s="766"/>
      <c r="B11" s="215"/>
      <c r="C11" s="216"/>
      <c r="D11" s="217"/>
      <c r="E11" s="219"/>
      <c r="F11" s="228"/>
      <c r="G11" s="232"/>
      <c r="H11" s="233"/>
      <c r="I11" s="769"/>
      <c r="J11" s="214" t="str">
        <f>+'30'!J11</f>
        <v>F 12,5 VP OW</v>
      </c>
      <c r="K11" s="239"/>
      <c r="L11" s="239"/>
      <c r="M11" s="117">
        <f>+L11+'30'!M11+K11</f>
        <v>42554</v>
      </c>
      <c r="N11" s="433"/>
    </row>
    <row r="12" spans="1:23" ht="13.5" thickBot="1">
      <c r="A12" s="766"/>
      <c r="B12" s="215"/>
      <c r="C12" s="216"/>
      <c r="D12" s="217"/>
      <c r="E12" s="219"/>
      <c r="F12" s="228"/>
      <c r="G12" s="232"/>
      <c r="H12" s="233"/>
      <c r="I12" s="769"/>
      <c r="J12" s="214" t="str">
        <f>+'30'!J12</f>
        <v>F 13,5 VP OW</v>
      </c>
      <c r="K12" s="239"/>
      <c r="L12" s="239"/>
      <c r="M12" s="117">
        <f>+L12+'30'!M12+K12</f>
        <v>11625</v>
      </c>
      <c r="N12" s="433"/>
    </row>
    <row r="13" spans="1:23" ht="13.5" thickBot="1">
      <c r="A13" s="766"/>
      <c r="B13" s="215"/>
      <c r="C13" s="216"/>
      <c r="D13" s="216"/>
      <c r="E13" s="219"/>
      <c r="F13" s="228"/>
      <c r="G13" s="232"/>
      <c r="H13" s="233"/>
      <c r="I13" s="770"/>
      <c r="J13" s="214">
        <f>+'30'!J13</f>
        <v>0</v>
      </c>
      <c r="K13" s="239"/>
      <c r="L13" s="239"/>
      <c r="M13" s="117">
        <f>+L13+'30'!M13+K13</f>
        <v>0</v>
      </c>
      <c r="N13" s="434"/>
      <c r="O13" s="435"/>
      <c r="P13" s="435"/>
      <c r="Q13" s="435"/>
      <c r="R13" s="435"/>
      <c r="S13" s="435"/>
      <c r="T13" s="435"/>
      <c r="U13" s="435"/>
      <c r="V13" s="435"/>
      <c r="W13" s="435"/>
    </row>
    <row r="14" spans="1:23" ht="13.5" thickBot="1">
      <c r="A14" s="767"/>
      <c r="B14" s="165" t="s">
        <v>2</v>
      </c>
      <c r="C14" s="99">
        <f>SUM(C7:C13)</f>
        <v>0</v>
      </c>
      <c r="D14" s="111">
        <f>SUM(D7:D13)</f>
        <v>0</v>
      </c>
      <c r="E14" s="112">
        <f>SUM(E5:E13)</f>
        <v>0</v>
      </c>
      <c r="F14" s="116">
        <f>SUM(F7:F13)</f>
        <v>0</v>
      </c>
      <c r="G14" s="159"/>
      <c r="H14" s="166"/>
      <c r="I14" s="167"/>
      <c r="J14" s="214">
        <f>+'30'!J14</f>
        <v>0</v>
      </c>
      <c r="K14" s="239"/>
      <c r="L14" s="239"/>
      <c r="M14" s="117">
        <f>+L14+'30'!M14+K14</f>
        <v>0</v>
      </c>
    </row>
    <row r="15" spans="1:23" ht="13.5" customHeight="1" thickBot="1">
      <c r="A15" s="765"/>
      <c r="B15" s="165"/>
      <c r="C15" s="113" t="e">
        <f>C14/($C$23+$D$23+$E$23)</f>
        <v>#DIV/0!</v>
      </c>
      <c r="D15" s="114" t="e">
        <f>D14/($C$23+$D$23+$E$23)</f>
        <v>#DIV/0!</v>
      </c>
      <c r="E15" s="115" t="e">
        <f>E14/($C$23+$D$23+$E$23)</f>
        <v>#DIV/0!</v>
      </c>
      <c r="F15" s="228"/>
      <c r="G15" s="229"/>
      <c r="H15" s="230"/>
      <c r="I15" s="768"/>
      <c r="J15" s="214">
        <f>+'30'!J15</f>
        <v>0</v>
      </c>
      <c r="K15" s="239"/>
      <c r="L15" s="239"/>
      <c r="M15" s="117">
        <f>+L15+'30'!M15+K15</f>
        <v>0</v>
      </c>
      <c r="N15" s="425">
        <v>18</v>
      </c>
      <c r="O15" s="199">
        <v>1200</v>
      </c>
      <c r="P15" s="199">
        <v>850</v>
      </c>
      <c r="Q15" s="199">
        <v>680</v>
      </c>
      <c r="R15" s="426">
        <f>1-(Q15/P15)</f>
        <v>0.19999999999999996</v>
      </c>
      <c r="S15" s="427">
        <v>480</v>
      </c>
      <c r="T15" s="428">
        <v>256.5</v>
      </c>
      <c r="U15" s="429">
        <f>(O15*(1-R15)*N15*T15*S15)/100000000</f>
        <v>21.275136</v>
      </c>
      <c r="V15" s="430">
        <f>+C23/1000</f>
        <v>0</v>
      </c>
      <c r="W15" s="431">
        <f>SUM(V15:V17)/SUM(U15:U17)</f>
        <v>0</v>
      </c>
    </row>
    <row r="16" spans="1:23" ht="13.5" thickBot="1">
      <c r="A16" s="771"/>
      <c r="B16" s="215"/>
      <c r="C16" s="222"/>
      <c r="D16" s="223"/>
      <c r="E16" s="224"/>
      <c r="F16" s="228"/>
      <c r="G16" s="232"/>
      <c r="H16" s="230"/>
      <c r="I16" s="769"/>
      <c r="J16" s="214">
        <f>+'30'!J16</f>
        <v>0</v>
      </c>
      <c r="K16" s="229"/>
      <c r="L16" s="229"/>
      <c r="M16" s="117">
        <f>+L16+'30'!M16+K16</f>
        <v>0</v>
      </c>
      <c r="N16" s="436"/>
      <c r="O16" s="199"/>
      <c r="P16" s="199"/>
      <c r="Q16" s="437"/>
      <c r="R16" s="426"/>
      <c r="S16" s="199"/>
      <c r="T16" s="428"/>
      <c r="U16" s="429"/>
      <c r="V16" s="430"/>
      <c r="W16" s="432"/>
    </row>
    <row r="17" spans="1:23" ht="13.5" thickBot="1">
      <c r="A17" s="771"/>
      <c r="B17" s="215"/>
      <c r="C17" s="216"/>
      <c r="D17" s="217"/>
      <c r="E17" s="225"/>
      <c r="F17" s="228"/>
      <c r="G17" s="232"/>
      <c r="H17" s="233"/>
      <c r="I17" s="769"/>
      <c r="J17" s="214">
        <f>+'30'!J17</f>
        <v>0</v>
      </c>
      <c r="K17" s="229"/>
      <c r="L17" s="229"/>
      <c r="M17" s="117">
        <f>+L17+'30'!M17+K17</f>
        <v>0</v>
      </c>
      <c r="N17" s="433"/>
      <c r="O17" s="199"/>
      <c r="R17" s="426"/>
      <c r="T17" s="428"/>
      <c r="U17" s="429"/>
    </row>
    <row r="18" spans="1:23" ht="13.5" thickBot="1">
      <c r="A18" s="771"/>
      <c r="B18" s="215"/>
      <c r="C18" s="216"/>
      <c r="D18" s="217"/>
      <c r="E18" s="225"/>
      <c r="F18" s="228"/>
      <c r="G18" s="232"/>
      <c r="H18" s="233"/>
      <c r="I18" s="769"/>
      <c r="J18" s="214">
        <f>+'30'!J18</f>
        <v>0</v>
      </c>
      <c r="K18" s="239"/>
      <c r="L18" s="239"/>
      <c r="M18" s="117">
        <f>+L18+'30'!M18+K18</f>
        <v>0</v>
      </c>
      <c r="N18" s="433"/>
    </row>
    <row r="19" spans="1:23" ht="13.5" thickBot="1">
      <c r="A19" s="771"/>
      <c r="B19" s="215"/>
      <c r="C19" s="216"/>
      <c r="D19" s="217"/>
      <c r="E19" s="225"/>
      <c r="F19" s="235"/>
      <c r="G19" s="232"/>
      <c r="H19" s="233"/>
      <c r="I19" s="769"/>
      <c r="J19" s="214">
        <f>+'30'!J19</f>
        <v>0</v>
      </c>
      <c r="K19" s="239"/>
      <c r="L19" s="239"/>
      <c r="M19" s="117">
        <f>+L19+'30'!M19+K19</f>
        <v>0</v>
      </c>
      <c r="N19" s="433"/>
    </row>
    <row r="20" spans="1:23" ht="13.5" thickBot="1">
      <c r="A20" s="771"/>
      <c r="B20" s="215"/>
      <c r="C20" s="216"/>
      <c r="D20" s="217"/>
      <c r="E20" s="225"/>
      <c r="F20" s="228"/>
      <c r="G20" s="232"/>
      <c r="H20" s="233"/>
      <c r="I20" s="769"/>
      <c r="J20" s="214">
        <f>+'30'!J20</f>
        <v>0</v>
      </c>
      <c r="K20" s="240"/>
      <c r="L20" s="240"/>
      <c r="M20" s="117">
        <f>+L20+'30'!M20+K20</f>
        <v>0</v>
      </c>
      <c r="N20" s="433"/>
    </row>
    <row r="21" spans="1:23" ht="13.5" thickBot="1">
      <c r="A21" s="771"/>
      <c r="B21" s="215"/>
      <c r="C21" s="216"/>
      <c r="D21" s="217"/>
      <c r="E21" s="225"/>
      <c r="F21" s="231"/>
      <c r="G21" s="232"/>
      <c r="H21" s="233"/>
      <c r="I21" s="769"/>
      <c r="J21" s="214">
        <f>+'30'!J21</f>
        <v>0</v>
      </c>
      <c r="K21" s="239"/>
      <c r="L21" s="239"/>
      <c r="M21" s="117">
        <f>+L21+'30'!M21+K21</f>
        <v>0</v>
      </c>
      <c r="N21" s="434"/>
      <c r="O21" s="435"/>
      <c r="P21" s="435"/>
      <c r="Q21" s="435"/>
      <c r="R21" s="435"/>
      <c r="S21" s="435"/>
      <c r="T21" s="435"/>
      <c r="U21" s="435"/>
      <c r="V21" s="435"/>
      <c r="W21" s="435"/>
    </row>
    <row r="22" spans="1:23" ht="13.5" thickBot="1">
      <c r="A22" s="771"/>
      <c r="B22" s="215"/>
      <c r="C22" s="216"/>
      <c r="D22" s="217"/>
      <c r="E22" s="225"/>
      <c r="F22" s="236"/>
      <c r="G22" s="232"/>
      <c r="H22" s="233"/>
      <c r="I22" s="770"/>
      <c r="J22" s="214">
        <f>+'30'!J22</f>
        <v>0</v>
      </c>
      <c r="K22" s="239"/>
      <c r="L22" s="239"/>
      <c r="M22" s="117">
        <f>+L22+'30'!M22+K22</f>
        <v>0</v>
      </c>
    </row>
    <row r="23" spans="1:23" ht="13.5" thickBot="1">
      <c r="A23" s="772"/>
      <c r="B23" s="168" t="s">
        <v>2</v>
      </c>
      <c r="C23" s="100">
        <f>SUM(C16:C22)</f>
        <v>0</v>
      </c>
      <c r="D23" s="111">
        <f>SUM(D16:D22)</f>
        <v>0</v>
      </c>
      <c r="E23" s="112">
        <f>SUM(E18:E22)</f>
        <v>0</v>
      </c>
      <c r="F23" s="116">
        <f>SUM(F15:F22)</f>
        <v>0</v>
      </c>
      <c r="G23" s="159"/>
      <c r="H23" s="166"/>
      <c r="I23" s="169"/>
      <c r="J23" s="214">
        <f>+'30'!J23</f>
        <v>0</v>
      </c>
      <c r="K23" s="239"/>
      <c r="L23" s="239"/>
      <c r="M23" s="117">
        <f>+L23+'30'!M23+K23</f>
        <v>0</v>
      </c>
      <c r="N23" s="438"/>
      <c r="O23" s="439"/>
      <c r="P23" s="439"/>
      <c r="Q23" s="439"/>
      <c r="R23" s="439"/>
      <c r="S23" s="439"/>
      <c r="T23" s="439"/>
      <c r="U23" s="439"/>
      <c r="V23" s="439"/>
      <c r="W23" s="439"/>
    </row>
    <row r="24" spans="1:23" ht="13.5" customHeight="1" thickBot="1">
      <c r="A24" s="765"/>
      <c r="B24" s="170"/>
      <c r="C24" s="113" t="e">
        <f>C23/($C$23+$D$23+$E$23)</f>
        <v>#DIV/0!</v>
      </c>
      <c r="D24" s="114" t="e">
        <f>D23/($C$23+$D$23+$E$23)</f>
        <v>#DIV/0!</v>
      </c>
      <c r="E24" s="115" t="e">
        <f>E23/($C$23+$D$23+$E$23)</f>
        <v>#DIV/0!</v>
      </c>
      <c r="F24" s="236"/>
      <c r="G24" s="229"/>
      <c r="H24" s="230"/>
      <c r="I24" s="768"/>
      <c r="J24" s="214">
        <f>+'30'!J24</f>
        <v>0</v>
      </c>
      <c r="K24" s="239"/>
      <c r="L24" s="239"/>
      <c r="M24" s="117">
        <f>+L24+'30'!M24+K24</f>
        <v>0</v>
      </c>
      <c r="N24" s="425">
        <v>18</v>
      </c>
      <c r="O24" s="199">
        <v>1200</v>
      </c>
      <c r="P24" s="199">
        <v>770</v>
      </c>
      <c r="Q24" s="199">
        <v>616</v>
      </c>
      <c r="R24" s="426">
        <f>1-(Q24/P24)</f>
        <v>0.19999999999999996</v>
      </c>
      <c r="S24" s="427">
        <v>480</v>
      </c>
      <c r="T24" s="428">
        <v>256.5</v>
      </c>
      <c r="U24" s="429">
        <f>(O24*(1-R24)*N24*T24*S24)/100000000</f>
        <v>21.275136</v>
      </c>
      <c r="V24" s="430">
        <f>+C32/1000</f>
        <v>0</v>
      </c>
      <c r="W24" s="431">
        <f>SUM(V24:V25)/SUM(U24:U25)</f>
        <v>0</v>
      </c>
    </row>
    <row r="25" spans="1:23" ht="13.5" thickBot="1">
      <c r="A25" s="771"/>
      <c r="B25" s="215"/>
      <c r="C25" s="226"/>
      <c r="D25" s="217"/>
      <c r="E25" s="225"/>
      <c r="F25" s="231"/>
      <c r="G25" s="232"/>
      <c r="H25" s="230"/>
      <c r="I25" s="769"/>
      <c r="J25" s="214">
        <f>+'30'!J25</f>
        <v>0</v>
      </c>
      <c r="K25" s="239"/>
      <c r="L25" s="239"/>
      <c r="M25" s="117">
        <f>+L25+'30'!M25+K25</f>
        <v>0</v>
      </c>
      <c r="N25" s="425"/>
      <c r="O25" s="199"/>
      <c r="P25" s="199"/>
      <c r="Q25" s="199"/>
      <c r="R25" s="426"/>
      <c r="S25" s="427"/>
      <c r="T25" s="428"/>
      <c r="U25" s="429"/>
      <c r="V25" s="430"/>
      <c r="W25" s="431"/>
    </row>
    <row r="26" spans="1:23" ht="13.5" thickBot="1">
      <c r="A26" s="771"/>
      <c r="B26" s="215"/>
      <c r="C26" s="226"/>
      <c r="D26" s="217"/>
      <c r="E26" s="227"/>
      <c r="F26" s="231"/>
      <c r="G26" s="229"/>
      <c r="H26" s="233"/>
      <c r="I26" s="769"/>
      <c r="J26" s="214">
        <f>+'30'!J26</f>
        <v>0</v>
      </c>
      <c r="K26" s="239"/>
      <c r="L26" s="239"/>
      <c r="M26" s="117">
        <f>+L26+'30'!M26+K26</f>
        <v>0</v>
      </c>
    </row>
    <row r="27" spans="1:23" ht="13.5" thickBot="1">
      <c r="A27" s="771"/>
      <c r="B27" s="215"/>
      <c r="C27" s="216"/>
      <c r="D27" s="217"/>
      <c r="E27" s="225"/>
      <c r="F27" s="231"/>
      <c r="G27" s="237"/>
      <c r="H27" s="233"/>
      <c r="I27" s="769"/>
      <c r="J27" s="214">
        <f>+'30'!J27</f>
        <v>0</v>
      </c>
      <c r="K27" s="239"/>
      <c r="L27" s="239"/>
      <c r="M27" s="117">
        <f>+L27+'30'!M27+K27</f>
        <v>0</v>
      </c>
    </row>
    <row r="28" spans="1:23" ht="13.5" thickBot="1">
      <c r="A28" s="771"/>
      <c r="B28" s="215"/>
      <c r="C28" s="216"/>
      <c r="D28" s="217"/>
      <c r="E28" s="225"/>
      <c r="F28" s="231"/>
      <c r="G28" s="232"/>
      <c r="H28" s="233"/>
      <c r="I28" s="769"/>
      <c r="J28" s="214">
        <f>+'30'!J28</f>
        <v>0</v>
      </c>
      <c r="K28" s="239"/>
      <c r="L28" s="239"/>
      <c r="M28" s="117">
        <f>+L28+'30'!M28+K28</f>
        <v>0</v>
      </c>
    </row>
    <row r="29" spans="1:23" ht="13.5" thickBot="1">
      <c r="A29" s="771"/>
      <c r="B29" s="215"/>
      <c r="C29" s="216"/>
      <c r="D29" s="217"/>
      <c r="E29" s="225"/>
      <c r="F29" s="236"/>
      <c r="G29" s="232"/>
      <c r="H29" s="233"/>
      <c r="I29" s="769"/>
      <c r="J29" s="214">
        <f>+'30'!J29</f>
        <v>0</v>
      </c>
      <c r="K29" s="239"/>
      <c r="L29" s="239"/>
      <c r="M29" s="117">
        <f>+L29+'30'!M29+K29</f>
        <v>0</v>
      </c>
    </row>
    <row r="30" spans="1:23" ht="13.5" thickBot="1">
      <c r="A30" s="771"/>
      <c r="B30" s="215"/>
      <c r="C30" s="226"/>
      <c r="D30" s="217"/>
      <c r="E30" s="225"/>
      <c r="F30" s="236"/>
      <c r="G30" s="232"/>
      <c r="H30" s="233"/>
      <c r="I30" s="769"/>
      <c r="J30" s="214">
        <f>+'30'!J30</f>
        <v>0</v>
      </c>
      <c r="K30" s="239"/>
      <c r="L30" s="239"/>
      <c r="M30" s="117">
        <f>+L30+'30'!M30+K30</f>
        <v>0</v>
      </c>
      <c r="N30" s="155"/>
    </row>
    <row r="31" spans="1:23" ht="13.5" thickBot="1">
      <c r="A31" s="771"/>
      <c r="B31" s="215"/>
      <c r="C31" s="226"/>
      <c r="D31" s="217"/>
      <c r="E31" s="225"/>
      <c r="F31" s="236"/>
      <c r="G31" s="237"/>
      <c r="H31" s="234"/>
      <c r="I31" s="770"/>
      <c r="J31" s="214">
        <f>+'30'!J31</f>
        <v>0</v>
      </c>
      <c r="K31" s="239"/>
      <c r="L31" s="239"/>
      <c r="M31" s="117">
        <f>+L31+'30'!M31+K31</f>
        <v>0</v>
      </c>
    </row>
    <row r="32" spans="1:23" ht="13.5" thickBot="1">
      <c r="A32" s="772"/>
      <c r="B32" s="165" t="s">
        <v>2</v>
      </c>
      <c r="C32" s="99">
        <f>SUM(C25:C31)</f>
        <v>0</v>
      </c>
      <c r="D32" s="100">
        <f>SUM(D25:D31)</f>
        <v>0</v>
      </c>
      <c r="E32" s="101">
        <f>SUM(E25:E31)</f>
        <v>0</v>
      </c>
      <c r="F32" s="102">
        <f>SUM(F24:F31)</f>
        <v>0</v>
      </c>
      <c r="G32" s="171"/>
      <c r="H32" s="172"/>
      <c r="I32" s="169"/>
      <c r="J32" s="214">
        <f>+'30'!J32</f>
        <v>0</v>
      </c>
      <c r="K32" s="241"/>
      <c r="L32" s="243"/>
      <c r="M32" s="117">
        <f>+L32+'30'!M32+K32</f>
        <v>0</v>
      </c>
    </row>
    <row r="33" spans="1:14" ht="13.5" thickBot="1">
      <c r="A33" s="173"/>
      <c r="B33" s="174"/>
      <c r="C33" s="103" t="e">
        <f>C32/($C$32+$D$32+$E$32)</f>
        <v>#DIV/0!</v>
      </c>
      <c r="D33" s="104" t="e">
        <f>D32/($C$32+$D$32+$E$32)</f>
        <v>#DIV/0!</v>
      </c>
      <c r="E33" s="105" t="e">
        <f>E32/($C$32+$D$32+$E$32)</f>
        <v>#DIV/0!</v>
      </c>
      <c r="F33" s="106"/>
      <c r="G33" s="175"/>
      <c r="H33" s="176"/>
      <c r="I33" s="177"/>
      <c r="J33" s="121"/>
      <c r="K33" s="122"/>
      <c r="L33" s="213"/>
      <c r="M33" s="119"/>
    </row>
    <row r="34" spans="1:14" ht="13.5" thickBot="1">
      <c r="A34" s="761" t="s">
        <v>57</v>
      </c>
      <c r="B34" s="762"/>
      <c r="C34" s="107">
        <f>C14+C23+C32</f>
        <v>0</v>
      </c>
      <c r="D34" s="107">
        <f>D14+D23+D32</f>
        <v>0</v>
      </c>
      <c r="E34" s="107">
        <f>E14+E23+E32</f>
        <v>0</v>
      </c>
      <c r="F34" s="108">
        <f>F14+F23+F32</f>
        <v>0</v>
      </c>
      <c r="H34" s="178"/>
      <c r="I34" s="178"/>
      <c r="J34" s="123" t="s">
        <v>28</v>
      </c>
      <c r="K34" s="124">
        <f>SUM(K7:K32)</f>
        <v>0</v>
      </c>
      <c r="L34" s="212">
        <f>SUM(L7:L32)</f>
        <v>0</v>
      </c>
      <c r="M34" s="120">
        <f>SUM(M7:M32)</f>
        <v>413672</v>
      </c>
      <c r="N34" s="155"/>
    </row>
    <row r="35" spans="1:14" ht="13.5" thickBot="1">
      <c r="A35" s="179"/>
      <c r="B35" s="180"/>
      <c r="C35" s="104" t="e">
        <f>C34/($C$34+$D$34+$E$34)</f>
        <v>#DIV/0!</v>
      </c>
      <c r="D35" s="104" t="e">
        <f>D34/($C$34+$D$34+$E$34)</f>
        <v>#DIV/0!</v>
      </c>
      <c r="E35" s="109" t="e">
        <f>E34/($C$34+$D$34+$E$34)</f>
        <v>#DIV/0!</v>
      </c>
      <c r="K35" s="155"/>
    </row>
    <row r="36" spans="1:14" ht="13.5" thickBot="1">
      <c r="A36" s="178"/>
      <c r="B36" s="178"/>
      <c r="C36" s="155"/>
      <c r="D36" s="155"/>
      <c r="E36" s="155"/>
      <c r="G36" s="155"/>
      <c r="H36" s="181"/>
      <c r="I36" s="162" t="s">
        <v>37</v>
      </c>
      <c r="J36" s="162" t="s">
        <v>38</v>
      </c>
      <c r="K36" s="182"/>
    </row>
    <row r="37" spans="1:14" ht="17.45" customHeight="1" thickBot="1">
      <c r="A37" s="763" t="s">
        <v>58</v>
      </c>
      <c r="B37" s="764"/>
      <c r="C37" s="162" t="s">
        <v>59</v>
      </c>
      <c r="D37" s="183" t="s">
        <v>60</v>
      </c>
      <c r="E37" s="184" t="s">
        <v>61</v>
      </c>
      <c r="F37" s="322"/>
      <c r="G37" s="324"/>
      <c r="H37" s="186" t="s">
        <v>62</v>
      </c>
      <c r="I37" s="244">
        <f>(15*453+18*987)/1440*G42*2.74*1440/1000000</f>
        <v>0</v>
      </c>
      <c r="J37" s="125" t="e">
        <f>+I37+'30'!J37</f>
        <v>#DIV/0!</v>
      </c>
      <c r="K37" s="126" t="s">
        <v>63</v>
      </c>
    </row>
    <row r="38" spans="1:14" ht="17.45" customHeight="1">
      <c r="A38" s="755" t="s">
        <v>12</v>
      </c>
      <c r="B38" s="756"/>
      <c r="C38" s="164">
        <f>SUMIF($G$7:$G$31,"Process",$F$7:$F$31)</f>
        <v>0</v>
      </c>
      <c r="D38" s="118">
        <f>+C38+'30'!D38</f>
        <v>860</v>
      </c>
      <c r="E38" s="143">
        <f t="shared" ref="E38:E51" si="0">D38/60</f>
        <v>14.333333333333334</v>
      </c>
      <c r="F38" s="322"/>
      <c r="G38" s="322"/>
      <c r="H38" s="187" t="s">
        <v>64</v>
      </c>
      <c r="I38" s="245"/>
      <c r="J38" s="127">
        <f>+I38+'30'!J38</f>
        <v>440.91260000000005</v>
      </c>
      <c r="K38" s="128" t="s">
        <v>63</v>
      </c>
    </row>
    <row r="39" spans="1:14" ht="17.45" customHeight="1">
      <c r="A39" s="759" t="s">
        <v>13</v>
      </c>
      <c r="B39" s="760"/>
      <c r="C39" s="164">
        <f>SUMIF($G$7:$G$31,"Cleaning",$F$7:$F$31)</f>
        <v>0</v>
      </c>
      <c r="D39" s="118">
        <f>+C39+'30'!D39</f>
        <v>0</v>
      </c>
      <c r="E39" s="143">
        <f t="shared" si="0"/>
        <v>0</v>
      </c>
      <c r="F39" s="322"/>
      <c r="G39" s="322"/>
      <c r="H39" s="187" t="s">
        <v>65</v>
      </c>
      <c r="I39" s="142"/>
      <c r="J39" s="129" t="e">
        <f>J37/G4</f>
        <v>#DIV/0!</v>
      </c>
      <c r="K39" s="130" t="s">
        <v>63</v>
      </c>
    </row>
    <row r="40" spans="1:14" ht="17.45" customHeight="1">
      <c r="A40" s="759" t="s">
        <v>66</v>
      </c>
      <c r="B40" s="760"/>
      <c r="C40" s="164">
        <f>SUMIF($G$7:$G$31,"Mechanical",$F$7:$F$31)</f>
        <v>0</v>
      </c>
      <c r="D40" s="118">
        <f>+C40+'30'!D40</f>
        <v>0</v>
      </c>
      <c r="E40" s="143">
        <f t="shared" si="0"/>
        <v>0</v>
      </c>
      <c r="F40" s="322"/>
      <c r="G40" s="322"/>
      <c r="H40" s="187" t="s">
        <v>67</v>
      </c>
      <c r="I40" s="118">
        <f>(K34+L34)/1000</f>
        <v>0</v>
      </c>
      <c r="J40" s="131">
        <f>+I40+'30'!J40</f>
        <v>413.67199999999991</v>
      </c>
      <c r="K40" s="130" t="s">
        <v>63</v>
      </c>
    </row>
    <row r="41" spans="1:14" ht="17.45" customHeight="1">
      <c r="A41" s="759" t="s">
        <v>68</v>
      </c>
      <c r="B41" s="760"/>
      <c r="C41" s="164">
        <f>SUMIF($G$7:$G$31,"Electrical",$F$7:$F$31)</f>
        <v>0</v>
      </c>
      <c r="D41" s="118">
        <f>+C41+'30'!D41</f>
        <v>550</v>
      </c>
      <c r="E41" s="143">
        <f t="shared" si="0"/>
        <v>9.1666666666666661</v>
      </c>
      <c r="F41" s="322"/>
      <c r="G41" s="322"/>
      <c r="H41" s="187" t="s">
        <v>69</v>
      </c>
      <c r="I41" s="142"/>
      <c r="J41" s="129">
        <f>J40/G4</f>
        <v>13.344258064516126</v>
      </c>
      <c r="K41" s="130" t="s">
        <v>63</v>
      </c>
    </row>
    <row r="42" spans="1:14" ht="17.45" customHeight="1">
      <c r="A42" s="759" t="s">
        <v>16</v>
      </c>
      <c r="B42" s="760"/>
      <c r="C42" s="164">
        <f>SUMIF($G$7:$G$31,"Instrument",$F$7:$F$31)</f>
        <v>0</v>
      </c>
      <c r="D42" s="118">
        <f>+C42+'30'!D42</f>
        <v>0</v>
      </c>
      <c r="E42" s="143">
        <f t="shared" si="0"/>
        <v>0</v>
      </c>
      <c r="F42" s="322"/>
      <c r="G42" s="322">
        <f>+(G38*480+G39*480+G40*480)/1440</f>
        <v>0</v>
      </c>
      <c r="H42" s="187" t="s">
        <v>70</v>
      </c>
      <c r="I42" s="246"/>
      <c r="J42" s="132"/>
      <c r="K42" s="130" t="s">
        <v>71</v>
      </c>
    </row>
    <row r="43" spans="1:14" ht="17.45" customHeight="1">
      <c r="A43" s="759" t="s">
        <v>72</v>
      </c>
      <c r="B43" s="760"/>
      <c r="C43" s="164">
        <f>SUMIF($G$7:$G$31,"Water",$F$7:$F$31)</f>
        <v>0</v>
      </c>
      <c r="D43" s="118">
        <f>+C43+'30'!D43</f>
        <v>0</v>
      </c>
      <c r="E43" s="143">
        <f t="shared" si="0"/>
        <v>0</v>
      </c>
      <c r="F43" s="322"/>
      <c r="G43" s="323"/>
      <c r="H43" s="188" t="s">
        <v>73</v>
      </c>
      <c r="I43" s="118">
        <f>+Report1!Z39</f>
        <v>0</v>
      </c>
      <c r="J43" s="133">
        <f>+I43+'30'!J43</f>
        <v>783.80000000000018</v>
      </c>
      <c r="K43" s="130" t="s">
        <v>63</v>
      </c>
      <c r="L43" s="189"/>
    </row>
    <row r="44" spans="1:14" ht="17.45" customHeight="1">
      <c r="A44" s="759" t="s">
        <v>17</v>
      </c>
      <c r="B44" s="760"/>
      <c r="C44" s="164">
        <f>SUMIF($G$7:$G$31,"PLN",$F$7:$F$31)</f>
        <v>0</v>
      </c>
      <c r="D44" s="118">
        <f>+C44+'30'!D44</f>
        <v>0</v>
      </c>
      <c r="E44" s="143">
        <f t="shared" si="0"/>
        <v>0</v>
      </c>
      <c r="F44" s="322"/>
      <c r="G44" s="323"/>
      <c r="H44" s="188" t="s">
        <v>74</v>
      </c>
      <c r="I44" s="118" t="e">
        <f>I43/I38</f>
        <v>#DIV/0!</v>
      </c>
      <c r="J44" s="134">
        <f>J43/J38</f>
        <v>1.7776765735431468</v>
      </c>
      <c r="K44" s="130" t="s">
        <v>63</v>
      </c>
    </row>
    <row r="45" spans="1:14" ht="17.45" customHeight="1">
      <c r="A45" s="759" t="s">
        <v>18</v>
      </c>
      <c r="B45" s="760"/>
      <c r="C45" s="164">
        <f>SUMIF($G$7:$G$31,"Boiler",$F$7:$F$31)</f>
        <v>0</v>
      </c>
      <c r="D45" s="118">
        <f>+C45+'30'!D45</f>
        <v>0</v>
      </c>
      <c r="E45" s="143">
        <f t="shared" si="0"/>
        <v>0</v>
      </c>
      <c r="F45" s="322"/>
      <c r="G45" s="325"/>
      <c r="H45" s="188" t="s">
        <v>75</v>
      </c>
      <c r="I45" s="118" t="e">
        <f>I43/I40</f>
        <v>#DIV/0!</v>
      </c>
      <c r="J45" s="134">
        <f>J43/J40</f>
        <v>1.8947378599470119</v>
      </c>
      <c r="K45" s="130" t="s">
        <v>63</v>
      </c>
    </row>
    <row r="46" spans="1:14" ht="17.45" customHeight="1">
      <c r="A46" s="759" t="s">
        <v>76</v>
      </c>
      <c r="B46" s="760"/>
      <c r="C46" s="164">
        <f>SUMIF($G$7:$G$31,"Gas",$F$7:$F$31)</f>
        <v>0</v>
      </c>
      <c r="D46" s="118">
        <f>+C46+'30'!D46</f>
        <v>0</v>
      </c>
      <c r="E46" s="143">
        <f t="shared" si="0"/>
        <v>0</v>
      </c>
      <c r="F46" s="322"/>
      <c r="G46" s="323"/>
      <c r="H46" s="188" t="s">
        <v>77</v>
      </c>
      <c r="I46" s="140">
        <f>+SUMIF(Listrik!P38,"&gt;0")</f>
        <v>0</v>
      </c>
      <c r="J46" s="135">
        <f>+I46+'30'!J46</f>
        <v>526564.36000000115</v>
      </c>
      <c r="K46" s="130" t="s">
        <v>78</v>
      </c>
    </row>
    <row r="47" spans="1:14" ht="17.45" customHeight="1">
      <c r="A47" s="759" t="s">
        <v>79</v>
      </c>
      <c r="B47" s="760"/>
      <c r="C47" s="164">
        <f>SUMIF($G$7:$G$31,"Gas",$F$7:$F$31)</f>
        <v>0</v>
      </c>
      <c r="D47" s="118">
        <f>+C47+'30'!D47</f>
        <v>0</v>
      </c>
      <c r="E47" s="143">
        <f t="shared" si="0"/>
        <v>0</v>
      </c>
      <c r="F47" s="322"/>
      <c r="G47" s="323"/>
      <c r="H47" s="188" t="s">
        <v>80</v>
      </c>
      <c r="I47" s="118" t="e">
        <f>I46/I38</f>
        <v>#DIV/0!</v>
      </c>
      <c r="J47" s="135">
        <f>J46/J38</f>
        <v>1194.2601776406505</v>
      </c>
      <c r="K47" s="130" t="s">
        <v>24</v>
      </c>
    </row>
    <row r="48" spans="1:14" ht="17.45" customHeight="1">
      <c r="A48" s="759" t="s">
        <v>14</v>
      </c>
      <c r="B48" s="760"/>
      <c r="C48" s="164">
        <f>SUMIF($G$7:$G$31,"Start Up",$F$7:$F$31)</f>
        <v>0</v>
      </c>
      <c r="D48" s="118">
        <f>+C48+'30'!D48</f>
        <v>0</v>
      </c>
      <c r="E48" s="143">
        <f t="shared" si="0"/>
        <v>0</v>
      </c>
      <c r="F48" s="322"/>
      <c r="G48" s="323"/>
      <c r="H48" s="188" t="s">
        <v>81</v>
      </c>
      <c r="I48" s="118" t="e">
        <f>I46/I40</f>
        <v>#DIV/0!</v>
      </c>
      <c r="J48" s="135">
        <f>J46/J40</f>
        <v>1272.9030729660244</v>
      </c>
      <c r="K48" s="130" t="s">
        <v>24</v>
      </c>
    </row>
    <row r="49" spans="1:23" ht="17.45" customHeight="1">
      <c r="A49" s="759" t="s">
        <v>20</v>
      </c>
      <c r="B49" s="760"/>
      <c r="C49" s="164">
        <f>SUMIF($G$7:$G$31,"Others",$F$7:$F$31)</f>
        <v>0</v>
      </c>
      <c r="D49" s="118">
        <f>+C49+'30'!D49</f>
        <v>25470</v>
      </c>
      <c r="E49" s="143">
        <f t="shared" si="0"/>
        <v>424.5</v>
      </c>
      <c r="F49" s="185"/>
      <c r="H49" s="188" t="s">
        <v>272</v>
      </c>
      <c r="I49" s="118">
        <f>+Report1!T39</f>
        <v>0</v>
      </c>
      <c r="J49" s="135">
        <f>+I49+'30'!J49</f>
        <v>41069.474159648547</v>
      </c>
      <c r="K49" s="130" t="s">
        <v>82</v>
      </c>
    </row>
    <row r="50" spans="1:23" ht="17.45" customHeight="1">
      <c r="A50" s="759" t="s">
        <v>19</v>
      </c>
      <c r="B50" s="760"/>
      <c r="C50" s="164">
        <f>SUMIF($G$7:$G$31,"Steam",$F$7:$F$31)</f>
        <v>0</v>
      </c>
      <c r="D50" s="118">
        <f>+C50+'30'!D50</f>
        <v>0</v>
      </c>
      <c r="E50" s="143">
        <f t="shared" si="0"/>
        <v>0</v>
      </c>
      <c r="F50" s="185"/>
      <c r="H50" s="188" t="s">
        <v>83</v>
      </c>
      <c r="I50" s="140" t="e">
        <f>I49/I38</f>
        <v>#DIV/0!</v>
      </c>
      <c r="J50" s="133">
        <f>J49/J38</f>
        <v>93.146519649582572</v>
      </c>
      <c r="K50" s="130" t="s">
        <v>82</v>
      </c>
    </row>
    <row r="51" spans="1:23" ht="17.45" customHeight="1" thickBot="1">
      <c r="A51" s="753" t="s">
        <v>84</v>
      </c>
      <c r="B51" s="754"/>
      <c r="C51" s="164">
        <f>SUMIF($G$7:$G$31,"Planned shut",$F$7:$F$31)</f>
        <v>0</v>
      </c>
      <c r="D51" s="118">
        <f>+C51+'30'!D51</f>
        <v>1555</v>
      </c>
      <c r="E51" s="143">
        <f t="shared" si="0"/>
        <v>25.916666666666668</v>
      </c>
      <c r="F51" s="185"/>
      <c r="H51" s="190" t="s">
        <v>85</v>
      </c>
      <c r="I51" s="141" t="e">
        <f>I49/I40</f>
        <v>#DIV/0!</v>
      </c>
      <c r="J51" s="136">
        <f>J49/J40</f>
        <v>99.280285249300306</v>
      </c>
      <c r="K51" s="137" t="s">
        <v>82</v>
      </c>
    </row>
    <row r="52" spans="1:23" ht="13.5" thickBot="1">
      <c r="A52" s="755" t="s">
        <v>28</v>
      </c>
      <c r="B52" s="756"/>
      <c r="C52" s="144">
        <f>SUM(C38:C51)</f>
        <v>0</v>
      </c>
      <c r="D52" s="144">
        <f>SUM(D38:D51)</f>
        <v>28435</v>
      </c>
      <c r="E52" s="145">
        <f>SUM(E38:E51)</f>
        <v>473.91666666666669</v>
      </c>
      <c r="F52" s="185"/>
      <c r="H52" s="191"/>
      <c r="I52" s="192"/>
      <c r="J52" s="138"/>
      <c r="K52" s="139"/>
    </row>
    <row r="53" spans="1:23" ht="13.5" thickBot="1">
      <c r="A53" s="757"/>
      <c r="B53" s="758"/>
      <c r="C53" s="146">
        <f>C52/(24*60)</f>
        <v>0</v>
      </c>
      <c r="D53" s="146">
        <f>D52/(24*60*G4)</f>
        <v>0.63698476702508966</v>
      </c>
      <c r="E53" s="147">
        <f>E52/(G4*24)</f>
        <v>0.63698476702508966</v>
      </c>
      <c r="F53" s="185"/>
    </row>
    <row r="54" spans="1:23">
      <c r="E54" s="193"/>
      <c r="F54" s="185"/>
    </row>
    <row r="55" spans="1:23">
      <c r="E55" s="193"/>
    </row>
    <row r="56" spans="1:23">
      <c r="A56" s="194" t="s">
        <v>86</v>
      </c>
      <c r="B56" s="195"/>
      <c r="C56" s="196"/>
      <c r="D56" s="196"/>
      <c r="E56" s="196"/>
      <c r="F56" s="197"/>
      <c r="G56" s="196"/>
      <c r="H56" s="198"/>
      <c r="I56" s="199" t="s">
        <v>87</v>
      </c>
      <c r="J56" s="200">
        <f>+D34+'30'!J56</f>
        <v>10652</v>
      </c>
      <c r="K56" s="201">
        <f>J56/(J40+J56/1000)/1000</f>
        <v>2.5103458677802816E-2</v>
      </c>
    </row>
    <row r="57" spans="1:23">
      <c r="A57" s="176"/>
      <c r="I57" s="199" t="s">
        <v>88</v>
      </c>
      <c r="J57" s="200">
        <f>+E34+'30'!J57</f>
        <v>0</v>
      </c>
      <c r="K57" s="201">
        <f>J57/(J40+J57/1000)/1000</f>
        <v>0</v>
      </c>
    </row>
    <row r="58" spans="1:23">
      <c r="A58" s="202"/>
      <c r="B58" s="203"/>
      <c r="F58" s="185"/>
      <c r="H58" s="204"/>
    </row>
    <row r="59" spans="1:23">
      <c r="A59" s="205"/>
      <c r="B59" s="176"/>
      <c r="C59" s="176"/>
      <c r="D59" s="176"/>
      <c r="E59" s="176"/>
      <c r="F59" s="189"/>
      <c r="G59" s="176"/>
      <c r="H59" s="204"/>
    </row>
    <row r="60" spans="1:23">
      <c r="H60" s="204"/>
    </row>
    <row r="61" spans="1:23">
      <c r="A61" s="206"/>
      <c r="B61" s="207"/>
      <c r="C61" s="207"/>
      <c r="D61" s="207"/>
      <c r="E61" s="207"/>
      <c r="F61" s="208"/>
      <c r="G61" s="207"/>
      <c r="H61" s="209"/>
      <c r="W61" s="149" t="s">
        <v>0</v>
      </c>
    </row>
  </sheetData>
  <mergeCells count="24">
    <mergeCell ref="A7:A14"/>
    <mergeCell ref="I7:I13"/>
    <mergeCell ref="A15:A23"/>
    <mergeCell ref="I15:I22"/>
    <mergeCell ref="A24:A32"/>
    <mergeCell ref="I24:I31"/>
    <mergeCell ref="A34:B34"/>
    <mergeCell ref="A37:B37"/>
    <mergeCell ref="A38:B38"/>
    <mergeCell ref="A39:B39"/>
    <mergeCell ref="A40:B40"/>
    <mergeCell ref="A41:B41"/>
    <mergeCell ref="A42:B42"/>
    <mergeCell ref="A43:B43"/>
    <mergeCell ref="A44:B44"/>
    <mergeCell ref="A45:B45"/>
    <mergeCell ref="A51:B51"/>
    <mergeCell ref="A52:B52"/>
    <mergeCell ref="A53:B53"/>
    <mergeCell ref="A46:B46"/>
    <mergeCell ref="A47:B47"/>
    <mergeCell ref="A48:B48"/>
    <mergeCell ref="A49:B49"/>
    <mergeCell ref="A50:B50"/>
  </mergeCells>
  <phoneticPr fontId="32" type="noConversion"/>
  <printOptions horizontalCentered="1"/>
  <pageMargins left="0.25" right="0.25" top="0.25" bottom="0.5" header="0.5" footer="0.5"/>
  <pageSetup paperSize="9" scale="60"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35</vt:i4>
      </vt:variant>
    </vt:vector>
  </HeadingPairs>
  <TitlesOfParts>
    <vt:vector size="77" baseType="lpstr">
      <vt:lpstr>Report1</vt:lpstr>
      <vt:lpstr>GRAFIK</vt:lpstr>
      <vt:lpstr>Listrik</vt:lpstr>
      <vt:lpstr>Trim Rwd</vt:lpstr>
      <vt:lpstr>Efficiency1</vt:lpstr>
      <vt:lpstr>Efficiency2</vt:lpstr>
      <vt:lpstr>Chem</vt:lpstr>
      <vt:lpstr>RBP</vt:lpstr>
      <vt:lpstr>BB</vt:lpstr>
      <vt:lpstr>Sheet1</vt:lpstr>
      <vt:lpstr>summary</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31</vt:lpstr>
      <vt:lpstr>'1'!Print_Area</vt:lpstr>
      <vt:lpstr>'10'!Print_Area</vt:lpstr>
      <vt:lpstr>'11'!Print_Area</vt:lpstr>
      <vt:lpstr>'12'!Print_Area</vt:lpstr>
      <vt:lpstr>'13'!Print_Area</vt:lpstr>
      <vt:lpstr>'14'!Print_Area</vt:lpstr>
      <vt:lpstr>'15'!Print_Area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2025-10-01T08:03:24Z</cp:lastPrinted>
  <dcterms:created xsi:type="dcterms:W3CDTF">2007-07-30T03:52:39Z</dcterms:created>
  <dcterms:modified xsi:type="dcterms:W3CDTF">2025-11-04T07:42:15Z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