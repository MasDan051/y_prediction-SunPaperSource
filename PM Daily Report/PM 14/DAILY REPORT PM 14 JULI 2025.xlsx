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0730" windowHeight="11760" tabRatio="930" activeTab="4"/>
  </bookViews>
  <sheets>
    <sheet name="Report1" sheetId="48" r:id="rId1"/>
    <sheet name="GRAFIK" sheetId="50" r:id="rId2"/>
    <sheet name="Listrik" sheetId="45" r:id="rId3"/>
    <sheet name="Trim Rwd" sheetId="47" r:id="rId4"/>
    <sheet name="Efficiency1" sheetId="46" r:id="rId5"/>
    <sheet name="Efficiency2" sheetId="57" r:id="rId6"/>
    <sheet name="Chem" sheetId="1" r:id="rId7"/>
    <sheet name="RBP" sheetId="54" r:id="rId8"/>
    <sheet name="BB" sheetId="2" r:id="rId9"/>
    <sheet name="Sheet1" sheetId="56" r:id="rId10"/>
    <sheet name="summary" sheetId="55" r:id="rId11"/>
    <sheet name="31" sheetId="43" r:id="rId12"/>
    <sheet name="30" sheetId="4" r:id="rId13"/>
    <sheet name="29" sheetId="37" r:id="rId14"/>
    <sheet name="28" sheetId="6" r:id="rId15"/>
    <sheet name="27" sheetId="7" r:id="rId16"/>
    <sheet name="26" sheetId="8" r:id="rId17"/>
    <sheet name="25" sheetId="9" r:id="rId18"/>
    <sheet name="24" sheetId="10" r:id="rId19"/>
    <sheet name="23" sheetId="11" r:id="rId20"/>
    <sheet name="22" sheetId="12" r:id="rId21"/>
    <sheet name="21" sheetId="13" r:id="rId22"/>
    <sheet name="20" sheetId="14" r:id="rId23"/>
    <sheet name="19" sheetId="15" r:id="rId24"/>
    <sheet name="18" sheetId="16" r:id="rId25"/>
    <sheet name="17" sheetId="17" r:id="rId26"/>
    <sheet name="16" sheetId="18" r:id="rId27"/>
    <sheet name="15" sheetId="19" r:id="rId28"/>
    <sheet name="14" sheetId="20" r:id="rId29"/>
    <sheet name="13" sheetId="22" r:id="rId30"/>
    <sheet name="12" sheetId="21" r:id="rId31"/>
    <sheet name="11" sheetId="23" r:id="rId32"/>
    <sheet name="10" sheetId="24" r:id="rId33"/>
    <sheet name="9" sheetId="25" r:id="rId34"/>
    <sheet name="8" sheetId="26" r:id="rId35"/>
    <sheet name="7" sheetId="28" r:id="rId36"/>
    <sheet name="6" sheetId="27" r:id="rId37"/>
    <sheet name="5" sheetId="29" r:id="rId38"/>
    <sheet name="4" sheetId="30" r:id="rId39"/>
    <sheet name="3" sheetId="31" r:id="rId40"/>
    <sheet name="2" sheetId="32" r:id="rId41"/>
    <sheet name="1" sheetId="33" r:id="rId42"/>
  </sheets>
  <externalReferences>
    <externalReference r:id="rId43"/>
    <externalReference r:id="rId44"/>
    <externalReference r:id="rId45"/>
  </externalReferences>
  <definedNames>
    <definedName name="_xlnm._FilterDatabase" localSheetId="9" hidden="1">Sheet1!$B$1:$F$121</definedName>
    <definedName name="_xlnm.Print_Area" localSheetId="41">'1'!$A$2:$M$61</definedName>
    <definedName name="_xlnm.Print_Area" localSheetId="32">'10'!$A$2:$M$61</definedName>
    <definedName name="_xlnm.Print_Area" localSheetId="31">'11'!$A$2:$M$61</definedName>
    <definedName name="_xlnm.Print_Area" localSheetId="30">'12'!$A$2:$M$61</definedName>
    <definedName name="_xlnm.Print_Area" localSheetId="29">'13'!$A$1:$M$62</definedName>
    <definedName name="_xlnm.Print_Area" localSheetId="28">'14'!$A$1:$M$61</definedName>
    <definedName name="_xlnm.Print_Area" localSheetId="27">'15'!$A$1:$M$61</definedName>
    <definedName name="_xlnm.Print_Area" localSheetId="25">'17'!$A$1:$M$61</definedName>
    <definedName name="_xlnm.Print_Area" localSheetId="24">'18'!$A$1:$M$61</definedName>
    <definedName name="_xlnm.Print_Area" localSheetId="23">'19'!$A$1:$M$61</definedName>
    <definedName name="_xlnm.Print_Area" localSheetId="40">'2'!$A$2:$M$61</definedName>
    <definedName name="_xlnm.Print_Area" localSheetId="22">'20'!$A$1:$M$62</definedName>
    <definedName name="_xlnm.Print_Area" localSheetId="21">'21'!$A$1:$M$61</definedName>
    <definedName name="_xlnm.Print_Area" localSheetId="20">'22'!$A$1:$M$61</definedName>
    <definedName name="_xlnm.Print_Area" localSheetId="19">'23'!$A$1:$M$61</definedName>
    <definedName name="_xlnm.Print_Area" localSheetId="18">'24'!$A$1:$M$61</definedName>
    <definedName name="_xlnm.Print_Area" localSheetId="17">'25'!$A$1:$M$61</definedName>
    <definedName name="_xlnm.Print_Area" localSheetId="16">'26'!$A$1:$M$61</definedName>
    <definedName name="_xlnm.Print_Area" localSheetId="15">'27'!$A$1:$M$61</definedName>
    <definedName name="_xlnm.Print_Area" localSheetId="14">'28'!$A$1:$M$61</definedName>
    <definedName name="_xlnm.Print_Area" localSheetId="13">'29'!$A$1:$M$61</definedName>
    <definedName name="_xlnm.Print_Area" localSheetId="39">'3'!$A$1:$M$61</definedName>
    <definedName name="_xlnm.Print_Area" localSheetId="12">'30'!$A$1:$M$61</definedName>
    <definedName name="_xlnm.Print_Area" localSheetId="11">'31'!$A$1:$L$63</definedName>
    <definedName name="_xlnm.Print_Area" localSheetId="38">'4'!$A$1:$M$61</definedName>
    <definedName name="_xlnm.Print_Area" localSheetId="37">'5'!$A$1:$M$61</definedName>
    <definedName name="_xlnm.Print_Area" localSheetId="36">'6'!$A$2:$M$61</definedName>
    <definedName name="_xlnm.Print_Area" localSheetId="35">'7'!$A$2:$M$61</definedName>
    <definedName name="_xlnm.Print_Area" localSheetId="34">'8'!$A$2:$M$61</definedName>
    <definedName name="_xlnm.Print_Area" localSheetId="33">'9'!$A$1:$M$62</definedName>
    <definedName name="_xlnm.Print_Area" localSheetId="6">Chem!$CE$6:$CQ$15</definedName>
    <definedName name="_xlnm.Print_Area" localSheetId="4">Efficiency1!$A$1:$AD$138</definedName>
    <definedName name="_xlnm.Print_Area" localSheetId="5">Efficiency2!$A$1:$AD$138</definedName>
    <definedName name="_xlnm.Print_Area" localSheetId="2">Listrik!$A$2:$AT$40</definedName>
    <definedName name="_xlnm.Print_Area" localSheetId="0">Report1!$A$3:$AK$41</definedName>
  </definedNames>
  <calcPr calcId="144525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40" i="2" l="1"/>
  <c r="G40" i="2"/>
  <c r="AF4" i="54" l="1"/>
  <c r="AF3" i="54"/>
  <c r="AR135" i="57" l="1"/>
  <c r="BA135" i="57" s="1"/>
  <c r="AM135" i="57"/>
  <c r="AD135" i="57" s="1"/>
  <c r="AR134" i="57"/>
  <c r="BA134" i="57" s="1"/>
  <c r="AM134" i="57"/>
  <c r="AD134" i="57" s="1"/>
  <c r="AR133" i="57"/>
  <c r="BA133" i="57" s="1"/>
  <c r="AM133" i="57"/>
  <c r="Z133" i="57"/>
  <c r="N133" i="57"/>
  <c r="J133" i="57"/>
  <c r="Z130" i="57"/>
  <c r="Z129" i="57"/>
  <c r="Y125" i="57"/>
  <c r="Y121" i="57"/>
  <c r="W118" i="57"/>
  <c r="Y117" i="57"/>
  <c r="Y113" i="57"/>
  <c r="W110" i="57"/>
  <c r="Y109" i="57"/>
  <c r="Y104" i="57"/>
  <c r="Z99" i="57"/>
  <c r="Y99" i="57"/>
  <c r="Y95" i="57"/>
  <c r="Z91" i="57"/>
  <c r="Y91" i="57"/>
  <c r="Y87" i="57"/>
  <c r="Z83" i="57"/>
  <c r="Y83" i="57"/>
  <c r="Z79" i="57"/>
  <c r="Y79" i="57"/>
  <c r="Z75" i="57"/>
  <c r="Y75" i="57"/>
  <c r="Z71" i="57"/>
  <c r="Y71" i="57"/>
  <c r="Z67" i="57"/>
  <c r="Z62" i="57"/>
  <c r="Y62" i="57"/>
  <c r="Z57" i="57"/>
  <c r="Y57" i="57"/>
  <c r="Z53" i="57"/>
  <c r="Y53" i="57"/>
  <c r="Z49" i="57"/>
  <c r="Y49" i="57"/>
  <c r="Z34" i="57"/>
  <c r="Z17" i="57"/>
  <c r="Z12" i="57"/>
  <c r="Z6" i="57"/>
  <c r="AG4" i="54"/>
  <c r="AG3" i="54"/>
  <c r="F90" i="47"/>
  <c r="E90" i="47"/>
  <c r="G90" i="47" l="1"/>
  <c r="H90" i="47" s="1"/>
  <c r="Y133" i="57"/>
  <c r="Y133" i="46"/>
  <c r="AD133" i="57"/>
  <c r="O133" i="57" l="1"/>
  <c r="O133" i="46"/>
  <c r="C133" i="57" l="1"/>
  <c r="U133" i="57"/>
  <c r="V133" i="57"/>
  <c r="P133" i="57"/>
  <c r="K133" i="57"/>
  <c r="BA39" i="48" s="1"/>
  <c r="T133" i="57"/>
  <c r="AP39" i="48"/>
  <c r="AC133" i="57" l="1"/>
  <c r="N133" i="46"/>
  <c r="K133" i="46"/>
  <c r="L39" i="48" s="1"/>
  <c r="J133" i="46"/>
  <c r="C133" i="46"/>
  <c r="N39" i="48" s="1"/>
  <c r="AR135" i="46"/>
  <c r="BA135" i="46" s="1"/>
  <c r="AM135" i="46"/>
  <c r="AR134" i="46"/>
  <c r="BA134" i="46" s="1"/>
  <c r="AM134" i="46"/>
  <c r="AD134" i="46" s="1"/>
  <c r="AR133" i="46"/>
  <c r="BA133" i="46" s="1"/>
  <c r="AM133" i="46"/>
  <c r="AD133" i="46" s="1"/>
  <c r="Z133" i="46"/>
  <c r="F26" i="43"/>
  <c r="F17" i="43"/>
  <c r="G42" i="43"/>
  <c r="I37" i="43" s="1"/>
  <c r="F42" i="43"/>
  <c r="I38" i="43"/>
  <c r="I90" i="47" s="1"/>
  <c r="J4" i="43"/>
  <c r="AD135" i="46" l="1"/>
  <c r="P133" i="46"/>
  <c r="T133" i="46"/>
  <c r="AC133" i="46" s="1"/>
  <c r="U133" i="46"/>
  <c r="V133" i="46"/>
  <c r="AD4" i="54"/>
  <c r="AD3" i="54"/>
  <c r="AC4" i="54"/>
  <c r="AB4" i="54"/>
  <c r="AB3" i="54"/>
  <c r="AA4" i="54"/>
  <c r="AA3" i="54"/>
  <c r="Z4" i="54"/>
  <c r="Y4" i="54"/>
  <c r="Y3" i="54"/>
  <c r="W4" i="54"/>
  <c r="W3" i="54"/>
  <c r="V4" i="54"/>
  <c r="V3" i="54"/>
  <c r="U4" i="54"/>
  <c r="U3" i="54"/>
  <c r="T4" i="54"/>
  <c r="T3" i="54"/>
  <c r="AP38" i="48" l="1"/>
  <c r="N130" i="57" l="1"/>
  <c r="J130" i="57"/>
  <c r="N129" i="57"/>
  <c r="J129" i="57"/>
  <c r="N126" i="57"/>
  <c r="J126" i="57"/>
  <c r="N125" i="57"/>
  <c r="J125" i="57"/>
  <c r="N121" i="57"/>
  <c r="J121" i="57"/>
  <c r="N118" i="57"/>
  <c r="J118" i="57"/>
  <c r="N117" i="57"/>
  <c r="J117" i="57"/>
  <c r="N113" i="57"/>
  <c r="J113" i="57"/>
  <c r="N110" i="57"/>
  <c r="J110" i="57"/>
  <c r="N109" i="57"/>
  <c r="G109" i="57"/>
  <c r="J109" i="57" s="1"/>
  <c r="N104" i="57"/>
  <c r="J104" i="57"/>
  <c r="N99" i="57"/>
  <c r="J99" i="57"/>
  <c r="N96" i="57"/>
  <c r="J96" i="57"/>
  <c r="N95" i="57"/>
  <c r="J95" i="57"/>
  <c r="N92" i="57"/>
  <c r="J92" i="57"/>
  <c r="N91" i="57"/>
  <c r="J91" i="57"/>
  <c r="N87" i="57"/>
  <c r="J87" i="57"/>
  <c r="N84" i="57"/>
  <c r="J84" i="57"/>
  <c r="N83" i="57"/>
  <c r="J83" i="57"/>
  <c r="N80" i="57"/>
  <c r="J80" i="57"/>
  <c r="N79" i="57"/>
  <c r="J79" i="57"/>
  <c r="N75" i="57"/>
  <c r="J75" i="57"/>
  <c r="N71" i="57"/>
  <c r="J71" i="57"/>
  <c r="N68" i="57"/>
  <c r="J68" i="57"/>
  <c r="N67" i="57"/>
  <c r="J67" i="57"/>
  <c r="N62" i="57"/>
  <c r="J62" i="57"/>
  <c r="N58" i="57"/>
  <c r="J58" i="57"/>
  <c r="N57" i="57"/>
  <c r="J57" i="57"/>
  <c r="N53" i="57"/>
  <c r="J53" i="57"/>
  <c r="N49" i="57"/>
  <c r="J49" i="57"/>
  <c r="N45" i="57"/>
  <c r="J45" i="57"/>
  <c r="N41" i="57"/>
  <c r="J41" i="57"/>
  <c r="N37" i="57"/>
  <c r="J37" i="57"/>
  <c r="N34" i="57"/>
  <c r="J34" i="57"/>
  <c r="N33" i="57"/>
  <c r="J33" i="57"/>
  <c r="N29" i="57"/>
  <c r="J29" i="57"/>
  <c r="N27" i="57"/>
  <c r="J27" i="57"/>
  <c r="N26" i="57"/>
  <c r="J26" i="57"/>
  <c r="N25" i="57"/>
  <c r="J25" i="57"/>
  <c r="N21" i="57"/>
  <c r="J21" i="57"/>
  <c r="N17" i="57"/>
  <c r="J17" i="57"/>
  <c r="N13" i="57"/>
  <c r="J13" i="57"/>
  <c r="N12" i="57"/>
  <c r="J12" i="57"/>
  <c r="N7" i="57"/>
  <c r="J7" i="57"/>
  <c r="N6" i="57"/>
  <c r="J6" i="57"/>
  <c r="A6" i="57"/>
  <c r="AR131" i="57"/>
  <c r="BA131" i="57" s="1"/>
  <c r="AM131" i="57"/>
  <c r="AR130" i="57"/>
  <c r="BA130" i="57" s="1"/>
  <c r="AM130" i="57"/>
  <c r="AR129" i="57"/>
  <c r="BA129" i="57" s="1"/>
  <c r="AD129" i="57" s="1"/>
  <c r="AM129" i="57"/>
  <c r="AE4" i="54"/>
  <c r="AE3" i="54"/>
  <c r="Z130" i="46"/>
  <c r="F88" i="47"/>
  <c r="E88" i="47"/>
  <c r="G88" i="47" s="1"/>
  <c r="H88" i="47" s="1"/>
  <c r="F87" i="47"/>
  <c r="E87" i="47"/>
  <c r="C8" i="4"/>
  <c r="K15" i="4" s="1"/>
  <c r="C7" i="4"/>
  <c r="K8" i="4" s="1"/>
  <c r="W129" i="57" s="1"/>
  <c r="AD130" i="57" l="1"/>
  <c r="W130" i="46"/>
  <c r="W130" i="57"/>
  <c r="W129" i="46"/>
  <c r="O130" i="46"/>
  <c r="O130" i="57"/>
  <c r="C130" i="57" s="1"/>
  <c r="AD131" i="57"/>
  <c r="G87" i="47"/>
  <c r="H87" i="47" s="1"/>
  <c r="V130" i="57" l="1"/>
  <c r="U130" i="57"/>
  <c r="K130" i="57"/>
  <c r="O129" i="46"/>
  <c r="O129" i="57"/>
  <c r="T130" i="57"/>
  <c r="P130" i="57"/>
  <c r="AQ39" i="2"/>
  <c r="G39" i="2"/>
  <c r="T129" i="57" l="1"/>
  <c r="U129" i="57"/>
  <c r="C129" i="57"/>
  <c r="P129" i="57"/>
  <c r="V129" i="57"/>
  <c r="K129" i="57"/>
  <c r="X129" i="57" s="1"/>
  <c r="C129" i="46"/>
  <c r="N38" i="48" s="1"/>
  <c r="N129" i="46"/>
  <c r="K129" i="46" s="1"/>
  <c r="J129" i="46"/>
  <c r="AR131" i="46"/>
  <c r="BA131" i="46" s="1"/>
  <c r="AM131" i="46"/>
  <c r="AD131" i="46" s="1"/>
  <c r="AR130" i="46"/>
  <c r="BA130" i="46" s="1"/>
  <c r="AM130" i="46"/>
  <c r="C130" i="46"/>
  <c r="N130" i="46"/>
  <c r="J130" i="46"/>
  <c r="AR129" i="46"/>
  <c r="BA129" i="46" s="1"/>
  <c r="AM129" i="46"/>
  <c r="Z129" i="46"/>
  <c r="F26" i="4"/>
  <c r="F17" i="4"/>
  <c r="F9" i="4"/>
  <c r="F14" i="4" s="1"/>
  <c r="I38" i="4"/>
  <c r="AA29" i="4"/>
  <c r="AB6" i="4"/>
  <c r="AC10" i="4"/>
  <c r="AA10" i="4"/>
  <c r="AD10" i="4" s="1"/>
  <c r="AC9" i="4"/>
  <c r="AA9" i="4"/>
  <c r="AD9" i="4" s="1"/>
  <c r="AC8" i="4"/>
  <c r="AA8" i="4"/>
  <c r="AD8" i="4" s="1"/>
  <c r="AC7" i="4"/>
  <c r="AA7" i="4"/>
  <c r="AC6" i="4"/>
  <c r="AA6" i="4"/>
  <c r="AD6" i="4" s="1"/>
  <c r="J4" i="4"/>
  <c r="F23" i="4"/>
  <c r="BA38" i="48" l="1"/>
  <c r="AC129" i="57"/>
  <c r="AD130" i="46"/>
  <c r="K130" i="46"/>
  <c r="L38" i="48" s="1"/>
  <c r="V130" i="46"/>
  <c r="V129" i="46"/>
  <c r="T129" i="46"/>
  <c r="AC129" i="46" s="1"/>
  <c r="AD129" i="46"/>
  <c r="P129" i="46"/>
  <c r="U129" i="46"/>
  <c r="P130" i="46"/>
  <c r="T130" i="46"/>
  <c r="U130" i="46"/>
  <c r="AC11" i="4"/>
  <c r="AB11" i="4"/>
  <c r="AD7" i="4"/>
  <c r="AD11" i="4" s="1"/>
  <c r="X129" i="46" l="1"/>
  <c r="AD12" i="4"/>
  <c r="AC12" i="4"/>
  <c r="I3" i="54" l="1"/>
  <c r="H3" i="54"/>
  <c r="O11" i="54"/>
  <c r="AA129" i="46" l="1"/>
  <c r="AB129" i="46" s="1"/>
  <c r="AA129" i="57"/>
  <c r="AB129" i="57" s="1"/>
  <c r="AQ38" i="2"/>
  <c r="G38" i="2"/>
  <c r="AR127" i="57" l="1"/>
  <c r="BA127" i="57" s="1"/>
  <c r="AM127" i="57"/>
  <c r="AR126" i="57"/>
  <c r="BA126" i="57" s="1"/>
  <c r="AM126" i="57"/>
  <c r="AR125" i="57"/>
  <c r="BA125" i="57" s="1"/>
  <c r="AM125" i="57"/>
  <c r="C26" i="37"/>
  <c r="K8" i="37" s="1"/>
  <c r="W126" i="57" s="1"/>
  <c r="C25" i="37"/>
  <c r="K9" i="37" s="1"/>
  <c r="W125" i="57" s="1"/>
  <c r="F84" i="47"/>
  <c r="F85" i="47"/>
  <c r="E85" i="47"/>
  <c r="E84" i="47"/>
  <c r="G84" i="47" s="1"/>
  <c r="H84" i="47" s="1"/>
  <c r="AP37" i="48"/>
  <c r="AD125" i="57" l="1"/>
  <c r="G85" i="47"/>
  <c r="H85" i="47" s="1"/>
  <c r="O125" i="57"/>
  <c r="O125" i="46"/>
  <c r="P125" i="46" s="1"/>
  <c r="O126" i="57"/>
  <c r="P126" i="57" s="1"/>
  <c r="O126" i="46"/>
  <c r="C126" i="46" s="1"/>
  <c r="W125" i="46"/>
  <c r="AD126" i="57"/>
  <c r="W126" i="46"/>
  <c r="AD127" i="57"/>
  <c r="T125" i="57"/>
  <c r="U125" i="57"/>
  <c r="V125" i="57"/>
  <c r="P125" i="57"/>
  <c r="K126" i="57" l="1"/>
  <c r="C126" i="57"/>
  <c r="U126" i="57"/>
  <c r="V126" i="57"/>
  <c r="T126" i="57"/>
  <c r="C125" i="57"/>
  <c r="K125" i="57"/>
  <c r="BA37" i="48" l="1"/>
  <c r="X125" i="57"/>
  <c r="AC125" i="57"/>
  <c r="J126" i="46"/>
  <c r="N126" i="46"/>
  <c r="AR127" i="46"/>
  <c r="BA127" i="46" s="1"/>
  <c r="AM127" i="46"/>
  <c r="AR126" i="46"/>
  <c r="BA126" i="46" s="1"/>
  <c r="AM126" i="46"/>
  <c r="AR125" i="46"/>
  <c r="BA125" i="46" s="1"/>
  <c r="AM125" i="46"/>
  <c r="Y125" i="46"/>
  <c r="C125" i="46"/>
  <c r="N37" i="48" s="1"/>
  <c r="N125" i="46"/>
  <c r="J125" i="46"/>
  <c r="F26" i="37"/>
  <c r="I38" i="37"/>
  <c r="Z29" i="37"/>
  <c r="AA30" i="37"/>
  <c r="Z28" i="37"/>
  <c r="AB17" i="37"/>
  <c r="AB22" i="37" s="1"/>
  <c r="AC21" i="37"/>
  <c r="AA21" i="37"/>
  <c r="AD21" i="37" s="1"/>
  <c r="AC20" i="37"/>
  <c r="AA20" i="37"/>
  <c r="AD20" i="37" s="1"/>
  <c r="AC19" i="37"/>
  <c r="AA19" i="37"/>
  <c r="AD19" i="37" s="1"/>
  <c r="AC18" i="37"/>
  <c r="AA18" i="37"/>
  <c r="AD18" i="37" s="1"/>
  <c r="AA17" i="37"/>
  <c r="AB7" i="37"/>
  <c r="AB11" i="37"/>
  <c r="AC10" i="37"/>
  <c r="AA10" i="37"/>
  <c r="AD10" i="37" s="1"/>
  <c r="AC9" i="37"/>
  <c r="AA9" i="37"/>
  <c r="AD9" i="37" s="1"/>
  <c r="AC8" i="37"/>
  <c r="AA8" i="37"/>
  <c r="AD8" i="37" s="1"/>
  <c r="AC7" i="37"/>
  <c r="AA7" i="37"/>
  <c r="AC6" i="37"/>
  <c r="AA6" i="37"/>
  <c r="AD6" i="37" s="1"/>
  <c r="J4" i="37"/>
  <c r="AD7" i="37" l="1"/>
  <c r="AD125" i="46"/>
  <c r="AD17" i="37"/>
  <c r="AD22" i="37" s="1"/>
  <c r="AD23" i="37" s="1"/>
  <c r="I87" i="47"/>
  <c r="I84" i="47"/>
  <c r="AC17" i="37"/>
  <c r="AC22" i="37" s="1"/>
  <c r="AC23" i="37" s="1"/>
  <c r="T126" i="46"/>
  <c r="K125" i="46"/>
  <c r="P126" i="46"/>
  <c r="V126" i="46"/>
  <c r="K126" i="46"/>
  <c r="T125" i="46"/>
  <c r="U126" i="46"/>
  <c r="AD127" i="46"/>
  <c r="AD126" i="46"/>
  <c r="U125" i="46"/>
  <c r="V125" i="46"/>
  <c r="AD11" i="37"/>
  <c r="AD12" i="37" s="1"/>
  <c r="AC11" i="37"/>
  <c r="AC12" i="37" s="1"/>
  <c r="AC125" i="46" l="1"/>
  <c r="L37" i="48"/>
  <c r="X125" i="46"/>
  <c r="AQ37" i="2" l="1"/>
  <c r="G37" i="2"/>
  <c r="AR123" i="57" l="1"/>
  <c r="BA123" i="57" s="1"/>
  <c r="AM123" i="57"/>
  <c r="AD123" i="57" s="1"/>
  <c r="AR122" i="57"/>
  <c r="BA122" i="57" s="1"/>
  <c r="AM122" i="57"/>
  <c r="AR121" i="57"/>
  <c r="BA121" i="57" s="1"/>
  <c r="AM121" i="57"/>
  <c r="AD122" i="57" l="1"/>
  <c r="AD121" i="57"/>
  <c r="AP36" i="48" l="1"/>
  <c r="C7" i="6" l="1"/>
  <c r="K14" i="6" s="1"/>
  <c r="W122" i="57" s="1"/>
  <c r="W122" i="46" l="1"/>
  <c r="C8" i="6"/>
  <c r="K9" i="6" s="1"/>
  <c r="W121" i="57" s="1"/>
  <c r="F81" i="47"/>
  <c r="F82" i="47"/>
  <c r="E82" i="47"/>
  <c r="G82" i="47" s="1"/>
  <c r="E81" i="47"/>
  <c r="E80" i="47"/>
  <c r="G80" i="47" s="1"/>
  <c r="H80" i="47" s="1"/>
  <c r="G81" i="47" l="1"/>
  <c r="H81" i="47"/>
  <c r="O121" i="57" s="1"/>
  <c r="W121" i="46"/>
  <c r="N121" i="46"/>
  <c r="J121" i="46"/>
  <c r="AR123" i="46"/>
  <c r="BA123" i="46" s="1"/>
  <c r="AM123" i="46"/>
  <c r="AR122" i="46"/>
  <c r="BA122" i="46" s="1"/>
  <c r="AM122" i="46"/>
  <c r="AR121" i="46"/>
  <c r="BA121" i="46" s="1"/>
  <c r="AM121" i="46"/>
  <c r="Y121" i="46"/>
  <c r="I38" i="6"/>
  <c r="I80" i="47" s="1"/>
  <c r="Z8" i="6"/>
  <c r="AC8" i="6" s="1"/>
  <c r="Z7" i="6"/>
  <c r="AC7" i="6" s="1"/>
  <c r="Z6" i="6"/>
  <c r="AC6" i="6" s="1"/>
  <c r="AA11" i="6"/>
  <c r="AB10" i="6"/>
  <c r="Z10" i="6"/>
  <c r="AC10" i="6" s="1"/>
  <c r="AB9" i="6"/>
  <c r="Z9" i="6"/>
  <c r="AC9" i="6" s="1"/>
  <c r="AB8" i="6"/>
  <c r="AB7" i="6"/>
  <c r="AB6" i="6"/>
  <c r="J4" i="6"/>
  <c r="C121" i="57" l="1"/>
  <c r="K121" i="57"/>
  <c r="X121" i="57" s="1"/>
  <c r="O121" i="46"/>
  <c r="C121" i="46" s="1"/>
  <c r="N36" i="48" s="1"/>
  <c r="AD122" i="46"/>
  <c r="V121" i="46"/>
  <c r="AD123" i="46"/>
  <c r="AD121" i="46"/>
  <c r="T121" i="46"/>
  <c r="AB11" i="6"/>
  <c r="AB12" i="6" s="1"/>
  <c r="AC11" i="6"/>
  <c r="AC12" i="6" s="1"/>
  <c r="K121" i="46" l="1"/>
  <c r="AC121" i="46" s="1"/>
  <c r="U121" i="46"/>
  <c r="P121" i="46"/>
  <c r="P121" i="57"/>
  <c r="U121" i="57"/>
  <c r="T121" i="57"/>
  <c r="V121" i="57"/>
  <c r="X121" i="46"/>
  <c r="L36" i="48"/>
  <c r="AC121" i="57" l="1"/>
  <c r="BA36" i="48"/>
  <c r="W10" i="9" l="1"/>
  <c r="W9" i="9"/>
  <c r="W8" i="9"/>
  <c r="W7" i="9"/>
  <c r="W6" i="9"/>
  <c r="P24" i="9"/>
  <c r="P15" i="9"/>
  <c r="P8" i="9"/>
  <c r="P7" i="9"/>
  <c r="P6" i="9"/>
  <c r="N109" i="46"/>
  <c r="AR119" i="57" l="1"/>
  <c r="BA119" i="57" s="1"/>
  <c r="AM119" i="57"/>
  <c r="AR118" i="57"/>
  <c r="BA118" i="57" s="1"/>
  <c r="AM118" i="57"/>
  <c r="AR117" i="57"/>
  <c r="BA117" i="57" s="1"/>
  <c r="AM117" i="57"/>
  <c r="AR115" i="57"/>
  <c r="BA115" i="57" s="1"/>
  <c r="AM115" i="57"/>
  <c r="AR114" i="57"/>
  <c r="BA114" i="57" s="1"/>
  <c r="AM114" i="57"/>
  <c r="AR113" i="57"/>
  <c r="BA113" i="57" s="1"/>
  <c r="AM113" i="57"/>
  <c r="E78" i="47"/>
  <c r="H78" i="47" s="1"/>
  <c r="O118" i="57" s="1"/>
  <c r="C118" i="57" l="1"/>
  <c r="K118" i="57"/>
  <c r="AD118" i="57"/>
  <c r="AD117" i="57"/>
  <c r="O118" i="46"/>
  <c r="C118" i="46" s="1"/>
  <c r="AD114" i="57"/>
  <c r="V118" i="57"/>
  <c r="AD115" i="57"/>
  <c r="AD113" i="57"/>
  <c r="AD119" i="57"/>
  <c r="P118" i="57"/>
  <c r="T118" i="57"/>
  <c r="U118" i="57"/>
  <c r="AQ36" i="2" l="1"/>
  <c r="AQ35" i="2"/>
  <c r="G36" i="2"/>
  <c r="G35" i="2"/>
  <c r="F77" i="47" l="1"/>
  <c r="E77" i="47"/>
  <c r="G77" i="47" s="1"/>
  <c r="H77" i="47" s="1"/>
  <c r="O117" i="57" s="1"/>
  <c r="F75" i="47"/>
  <c r="E75" i="47"/>
  <c r="AP35" i="48"/>
  <c r="AP34" i="48"/>
  <c r="C117" i="57" l="1"/>
  <c r="K117" i="57"/>
  <c r="O117" i="46"/>
  <c r="G75" i="47"/>
  <c r="H75" i="47" s="1"/>
  <c r="O113" i="57" s="1"/>
  <c r="C113" i="57" l="1"/>
  <c r="K113" i="57"/>
  <c r="O113" i="46"/>
  <c r="P117" i="57"/>
  <c r="T117" i="57"/>
  <c r="U117" i="57"/>
  <c r="V117" i="57"/>
  <c r="J118" i="46"/>
  <c r="N118" i="46"/>
  <c r="P118" i="46"/>
  <c r="T118" i="46"/>
  <c r="U118" i="46"/>
  <c r="W118" i="46"/>
  <c r="AR119" i="46"/>
  <c r="BA119" i="46" s="1"/>
  <c r="AM119" i="46"/>
  <c r="AR118" i="46"/>
  <c r="BA118" i="46" s="1"/>
  <c r="AM118" i="46"/>
  <c r="AR117" i="46"/>
  <c r="BA117" i="46" s="1"/>
  <c r="AM117" i="46"/>
  <c r="Y117" i="46"/>
  <c r="N117" i="46"/>
  <c r="J117" i="46"/>
  <c r="AR115" i="46"/>
  <c r="BA115" i="46" s="1"/>
  <c r="AM115" i="46"/>
  <c r="AD115" i="46" s="1"/>
  <c r="AR114" i="46"/>
  <c r="BA114" i="46" s="1"/>
  <c r="AM114" i="46"/>
  <c r="AR113" i="46"/>
  <c r="BA113" i="46" s="1"/>
  <c r="AM113" i="46"/>
  <c r="Y113" i="46"/>
  <c r="U113" i="46"/>
  <c r="P113" i="46"/>
  <c r="C113" i="46"/>
  <c r="N34" i="48" s="1"/>
  <c r="N113" i="46"/>
  <c r="J113" i="46"/>
  <c r="F17" i="7"/>
  <c r="I38" i="7"/>
  <c r="I77" i="47" s="1"/>
  <c r="Q35" i="7"/>
  <c r="X11" i="7"/>
  <c r="Y10" i="7"/>
  <c r="W10" i="7"/>
  <c r="Z10" i="7" s="1"/>
  <c r="Y9" i="7"/>
  <c r="W9" i="7"/>
  <c r="Z9" i="7" s="1"/>
  <c r="Y8" i="7"/>
  <c r="Z8" i="7"/>
  <c r="Y7" i="7"/>
  <c r="Z7" i="7"/>
  <c r="Y6" i="7"/>
  <c r="W6" i="7"/>
  <c r="Z6" i="7" s="1"/>
  <c r="G42" i="7"/>
  <c r="I37" i="7" s="1"/>
  <c r="F42" i="7"/>
  <c r="Q23" i="7"/>
  <c r="Q24" i="7" s="1"/>
  <c r="R24" i="7" s="1"/>
  <c r="P24" i="7"/>
  <c r="R27" i="7"/>
  <c r="P27" i="7"/>
  <c r="S27" i="7" s="1"/>
  <c r="R26" i="7"/>
  <c r="P26" i="7"/>
  <c r="S26" i="7" s="1"/>
  <c r="R25" i="7"/>
  <c r="P25" i="7"/>
  <c r="S25" i="7" s="1"/>
  <c r="R23" i="7"/>
  <c r="P23" i="7"/>
  <c r="Q20" i="7"/>
  <c r="R19" i="7"/>
  <c r="P19" i="7"/>
  <c r="S19" i="7" s="1"/>
  <c r="R18" i="7"/>
  <c r="P18" i="7"/>
  <c r="S18" i="7" s="1"/>
  <c r="R17" i="7"/>
  <c r="P17" i="7"/>
  <c r="S17" i="7" s="1"/>
  <c r="R16" i="7"/>
  <c r="P16" i="7"/>
  <c r="S16" i="7" s="1"/>
  <c r="R15" i="7"/>
  <c r="P15" i="7"/>
  <c r="S15" i="7" s="1"/>
  <c r="P6" i="7"/>
  <c r="S6" i="7" s="1"/>
  <c r="Q11" i="7"/>
  <c r="R10" i="7"/>
  <c r="P10" i="7"/>
  <c r="S10" i="7" s="1"/>
  <c r="R9" i="7"/>
  <c r="P9" i="7"/>
  <c r="S9" i="7" s="1"/>
  <c r="R8" i="7"/>
  <c r="P8" i="7"/>
  <c r="S8" i="7" s="1"/>
  <c r="R7" i="7"/>
  <c r="P7" i="7"/>
  <c r="S7" i="7" s="1"/>
  <c r="R6" i="7"/>
  <c r="J4" i="7"/>
  <c r="F9" i="8"/>
  <c r="I38" i="8"/>
  <c r="I75" i="47" s="1"/>
  <c r="G42" i="8"/>
  <c r="I37" i="8" s="1"/>
  <c r="F42" i="8"/>
  <c r="P23" i="8"/>
  <c r="S23" i="8" s="1"/>
  <c r="Q28" i="8"/>
  <c r="R27" i="8"/>
  <c r="P27" i="8"/>
  <c r="S27" i="8" s="1"/>
  <c r="R26" i="8"/>
  <c r="P26" i="8"/>
  <c r="S26" i="8" s="1"/>
  <c r="R25" i="8"/>
  <c r="P25" i="8"/>
  <c r="S25" i="8" s="1"/>
  <c r="R24" i="8"/>
  <c r="P24" i="8"/>
  <c r="S24" i="8" s="1"/>
  <c r="R23" i="8"/>
  <c r="Q19" i="8"/>
  <c r="R14" i="8"/>
  <c r="P14" i="8"/>
  <c r="S14" i="8" s="1"/>
  <c r="Q10" i="8"/>
  <c r="Q9" i="8"/>
  <c r="Q8" i="8"/>
  <c r="O7" i="8"/>
  <c r="P7" i="8" s="1"/>
  <c r="S7" i="8" s="1"/>
  <c r="R6" i="8"/>
  <c r="P6" i="8"/>
  <c r="S6" i="8" s="1"/>
  <c r="J4" i="8"/>
  <c r="Q11" i="8" l="1"/>
  <c r="V113" i="46"/>
  <c r="O8" i="8"/>
  <c r="R7" i="8"/>
  <c r="R20" i="7"/>
  <c r="R21" i="7" s="1"/>
  <c r="K113" i="46"/>
  <c r="L34" i="48" s="1"/>
  <c r="R11" i="7"/>
  <c r="R12" i="7" s="1"/>
  <c r="S23" i="7"/>
  <c r="S28" i="7" s="1"/>
  <c r="S29" i="7" s="1"/>
  <c r="AD118" i="46"/>
  <c r="AD113" i="46"/>
  <c r="AC117" i="57"/>
  <c r="BA35" i="48"/>
  <c r="R8" i="8"/>
  <c r="AD114" i="46"/>
  <c r="R28" i="8"/>
  <c r="R29" i="8" s="1"/>
  <c r="V113" i="57"/>
  <c r="P113" i="57"/>
  <c r="U113" i="57"/>
  <c r="T113" i="57"/>
  <c r="K118" i="46"/>
  <c r="K117" i="46"/>
  <c r="V118" i="46"/>
  <c r="AD117" i="46"/>
  <c r="AD119" i="46"/>
  <c r="T117" i="46"/>
  <c r="U117" i="46"/>
  <c r="P117" i="46"/>
  <c r="C117" i="46"/>
  <c r="N35" i="48" s="1"/>
  <c r="V117" i="46"/>
  <c r="T113" i="46"/>
  <c r="Y11" i="7"/>
  <c r="Y12" i="7" s="1"/>
  <c r="Z11" i="7"/>
  <c r="Z12" i="7" s="1"/>
  <c r="R28" i="7"/>
  <c r="Q28" i="7"/>
  <c r="S24" i="7"/>
  <c r="S20" i="7"/>
  <c r="S21" i="7" s="1"/>
  <c r="S11" i="7"/>
  <c r="S12" i="7" s="1"/>
  <c r="S28" i="8"/>
  <c r="S29" i="8" s="1"/>
  <c r="R16" i="8"/>
  <c r="P16" i="8"/>
  <c r="S16" i="8" s="1"/>
  <c r="P15" i="8"/>
  <c r="S15" i="8" s="1"/>
  <c r="R15" i="8"/>
  <c r="G34" i="2"/>
  <c r="AQ34" i="2"/>
  <c r="K34" i="2"/>
  <c r="AR111" i="57"/>
  <c r="BA111" i="57" s="1"/>
  <c r="AM111" i="57"/>
  <c r="AR110" i="57"/>
  <c r="BA110" i="57" s="1"/>
  <c r="AM110" i="57"/>
  <c r="S110" i="57"/>
  <c r="Q110" i="57"/>
  <c r="AR109" i="57"/>
  <c r="BA109" i="57" s="1"/>
  <c r="AM109" i="57"/>
  <c r="Q109" i="57"/>
  <c r="AC113" i="46" l="1"/>
  <c r="BA34" i="48"/>
  <c r="AD111" i="57"/>
  <c r="P8" i="8"/>
  <c r="S8" i="8" s="1"/>
  <c r="O9" i="8"/>
  <c r="L35" i="48"/>
  <c r="AC113" i="57"/>
  <c r="AC117" i="46"/>
  <c r="AD109" i="57"/>
  <c r="R29" i="7"/>
  <c r="R17" i="8"/>
  <c r="P17" i="8"/>
  <c r="S17" i="8" s="1"/>
  <c r="AD110" i="57"/>
  <c r="R9" i="8" l="1"/>
  <c r="P9" i="8"/>
  <c r="S9" i="8" s="1"/>
  <c r="O10" i="8"/>
  <c r="P18" i="8"/>
  <c r="S18" i="8" s="1"/>
  <c r="S19" i="8" s="1"/>
  <c r="S20" i="8" s="1"/>
  <c r="R18" i="8"/>
  <c r="R19" i="8" s="1"/>
  <c r="R20" i="8" s="1"/>
  <c r="AP33" i="48"/>
  <c r="K14" i="9"/>
  <c r="W109" i="57" s="1"/>
  <c r="F73" i="47"/>
  <c r="E73" i="47"/>
  <c r="P10" i="8" l="1"/>
  <c r="S10" i="8" s="1"/>
  <c r="S11" i="8" s="1"/>
  <c r="S12" i="8" s="1"/>
  <c r="R10" i="8"/>
  <c r="R11" i="8" s="1"/>
  <c r="R12" i="8" s="1"/>
  <c r="G73" i="47"/>
  <c r="H73" i="47" s="1"/>
  <c r="W109" i="46"/>
  <c r="O109" i="46"/>
  <c r="Z3" i="54"/>
  <c r="O109" i="57" l="1"/>
  <c r="O110" i="57"/>
  <c r="O110" i="46"/>
  <c r="P109" i="57"/>
  <c r="U110" i="57"/>
  <c r="V110" i="57"/>
  <c r="P110" i="57"/>
  <c r="T110" i="57"/>
  <c r="T109" i="57"/>
  <c r="V109" i="57"/>
  <c r="S110" i="46"/>
  <c r="F9" i="9"/>
  <c r="I38" i="9"/>
  <c r="I73" i="47" s="1"/>
  <c r="G42" i="9"/>
  <c r="I37" i="9" s="1"/>
  <c r="F42" i="9"/>
  <c r="Y10" i="9"/>
  <c r="Z10" i="9"/>
  <c r="Y9" i="9"/>
  <c r="Z9" i="9"/>
  <c r="X7" i="9"/>
  <c r="Y6" i="9"/>
  <c r="Z6" i="9"/>
  <c r="Q25" i="9"/>
  <c r="Q24" i="9" s="1"/>
  <c r="R24" i="9" s="1"/>
  <c r="R27" i="9"/>
  <c r="P27" i="9"/>
  <c r="S27" i="9" s="1"/>
  <c r="R26" i="9"/>
  <c r="P26" i="9"/>
  <c r="S26" i="9" s="1"/>
  <c r="P25" i="9"/>
  <c r="P16" i="9"/>
  <c r="S16" i="9" s="1"/>
  <c r="R18" i="9"/>
  <c r="P18" i="9"/>
  <c r="S18" i="9" s="1"/>
  <c r="P17" i="9"/>
  <c r="R15" i="9"/>
  <c r="S15" i="9"/>
  <c r="Q7" i="9"/>
  <c r="Q8" i="9" s="1"/>
  <c r="C110" i="57" l="1"/>
  <c r="K110" i="57"/>
  <c r="C109" i="57"/>
  <c r="K109" i="57"/>
  <c r="X109" i="57" s="1"/>
  <c r="U109" i="57"/>
  <c r="AA109" i="57" s="1"/>
  <c r="BA33" i="48"/>
  <c r="Z7" i="9"/>
  <c r="Y7" i="9"/>
  <c r="X8" i="9"/>
  <c r="S24" i="9"/>
  <c r="Q29" i="9"/>
  <c r="S25" i="9"/>
  <c r="R25" i="9"/>
  <c r="R29" i="9" s="1"/>
  <c r="R17" i="9"/>
  <c r="S17" i="9"/>
  <c r="S20" i="9" s="1"/>
  <c r="R16" i="9"/>
  <c r="Q20" i="9"/>
  <c r="G109" i="46"/>
  <c r="Q110" i="46"/>
  <c r="Q109" i="46"/>
  <c r="U109" i="46" s="1"/>
  <c r="J110" i="46"/>
  <c r="N110" i="46"/>
  <c r="W110" i="46"/>
  <c r="AR111" i="46"/>
  <c r="BA111" i="46" s="1"/>
  <c r="AM111" i="46"/>
  <c r="AR110" i="46"/>
  <c r="BA110" i="46" s="1"/>
  <c r="AM110" i="46"/>
  <c r="AR109" i="46"/>
  <c r="BA109" i="46" s="1"/>
  <c r="AM109" i="46"/>
  <c r="Y109" i="46"/>
  <c r="J4" i="9"/>
  <c r="R9" i="9"/>
  <c r="P9" i="9"/>
  <c r="S9" i="9" s="1"/>
  <c r="S7" i="9"/>
  <c r="R6" i="9"/>
  <c r="S6" i="9"/>
  <c r="AC109" i="57" l="1"/>
  <c r="AB109" i="57"/>
  <c r="R30" i="9"/>
  <c r="S29" i="9"/>
  <c r="S30" i="9" s="1"/>
  <c r="C109" i="46"/>
  <c r="AD111" i="46"/>
  <c r="Y8" i="9"/>
  <c r="Y11" i="9" s="1"/>
  <c r="X11" i="9"/>
  <c r="V110" i="46"/>
  <c r="AD109" i="46"/>
  <c r="AD110" i="46"/>
  <c r="T109" i="46"/>
  <c r="V109" i="46"/>
  <c r="Z8" i="9"/>
  <c r="S21" i="9"/>
  <c r="R20" i="9"/>
  <c r="R21" i="9" s="1"/>
  <c r="J109" i="46"/>
  <c r="K109" i="46"/>
  <c r="C110" i="46"/>
  <c r="T110" i="46"/>
  <c r="P110" i="46"/>
  <c r="K110" i="46"/>
  <c r="U110" i="46"/>
  <c r="AA109" i="46" s="1"/>
  <c r="P109" i="46"/>
  <c r="S8" i="9"/>
  <c r="S11" i="9" s="1"/>
  <c r="R8" i="9"/>
  <c r="R7" i="9"/>
  <c r="Q11" i="9"/>
  <c r="AQ33" i="2"/>
  <c r="K33" i="2"/>
  <c r="R11" i="9" l="1"/>
  <c r="N33" i="48"/>
  <c r="Y12" i="9"/>
  <c r="X109" i="46"/>
  <c r="Z11" i="9"/>
  <c r="Z12" i="9" s="1"/>
  <c r="AC109" i="46"/>
  <c r="AB109" i="46" s="1"/>
  <c r="L33" i="48"/>
  <c r="S12" i="9"/>
  <c r="R12" i="9"/>
  <c r="AN32" i="48"/>
  <c r="AP32" i="48"/>
  <c r="AR107" i="57" l="1"/>
  <c r="BA107" i="57" s="1"/>
  <c r="AM107" i="57"/>
  <c r="AR106" i="57"/>
  <c r="BA106" i="57" s="1"/>
  <c r="AM106" i="57"/>
  <c r="AR105" i="57"/>
  <c r="BA105" i="57" s="1"/>
  <c r="AM105" i="57"/>
  <c r="AR104" i="57"/>
  <c r="BA104" i="57" s="1"/>
  <c r="AM104" i="57"/>
  <c r="E71" i="47"/>
  <c r="G71" i="47" s="1"/>
  <c r="H71" i="47" s="1"/>
  <c r="O104" i="57" s="1"/>
  <c r="C104" i="57" l="1"/>
  <c r="K104" i="57"/>
  <c r="BA32" i="48" s="1"/>
  <c r="AD106" i="57"/>
  <c r="AD107" i="57"/>
  <c r="U104" i="57"/>
  <c r="P104" i="57"/>
  <c r="V104" i="57"/>
  <c r="AD104" i="57"/>
  <c r="O104" i="46"/>
  <c r="AD105" i="57"/>
  <c r="T104" i="57"/>
  <c r="AC104" i="57" l="1"/>
  <c r="AR107" i="46"/>
  <c r="BA107" i="46" s="1"/>
  <c r="AM107" i="46"/>
  <c r="AR106" i="46"/>
  <c r="BA106" i="46" s="1"/>
  <c r="AM106" i="46"/>
  <c r="AR105" i="46"/>
  <c r="BA105" i="46" s="1"/>
  <c r="AM105" i="46"/>
  <c r="AR104" i="46"/>
  <c r="BA104" i="46" s="1"/>
  <c r="AM104" i="46"/>
  <c r="Y104" i="46"/>
  <c r="U104" i="46"/>
  <c r="N104" i="46"/>
  <c r="V104" i="46" s="1"/>
  <c r="J104" i="46"/>
  <c r="F9" i="10"/>
  <c r="I38" i="10"/>
  <c r="I71" i="47" s="1"/>
  <c r="G42" i="10"/>
  <c r="I37" i="10" s="1"/>
  <c r="M42" i="10"/>
  <c r="F42" i="10"/>
  <c r="R18" i="10"/>
  <c r="P18" i="10"/>
  <c r="S18" i="10" s="1"/>
  <c r="P16" i="10"/>
  <c r="R15" i="10"/>
  <c r="P15" i="10"/>
  <c r="S15" i="10" s="1"/>
  <c r="Q7" i="10"/>
  <c r="Q8" i="10" s="1"/>
  <c r="R8" i="10" s="1"/>
  <c r="R9" i="10"/>
  <c r="P9" i="10"/>
  <c r="S9" i="10" s="1"/>
  <c r="P8" i="10"/>
  <c r="P7" i="10"/>
  <c r="R6" i="10"/>
  <c r="P6" i="10"/>
  <c r="S6" i="10" s="1"/>
  <c r="J4" i="10"/>
  <c r="AD105" i="46" l="1"/>
  <c r="AD106" i="46"/>
  <c r="K104" i="46"/>
  <c r="L32" i="48" s="1"/>
  <c r="AD104" i="46"/>
  <c r="AD107" i="46"/>
  <c r="P104" i="46"/>
  <c r="T104" i="46"/>
  <c r="C104" i="46"/>
  <c r="N32" i="48" s="1"/>
  <c r="R17" i="10"/>
  <c r="S16" i="10"/>
  <c r="Q20" i="10"/>
  <c r="P17" i="10"/>
  <c r="S17" i="10" s="1"/>
  <c r="R16" i="10"/>
  <c r="S8" i="10"/>
  <c r="Q11" i="10"/>
  <c r="R7" i="10"/>
  <c r="R11" i="10" s="1"/>
  <c r="S7" i="10"/>
  <c r="AC104" i="46" l="1"/>
  <c r="R20" i="10"/>
  <c r="R21" i="10" s="1"/>
  <c r="S20" i="10"/>
  <c r="S21" i="10" s="1"/>
  <c r="R12" i="10"/>
  <c r="S11" i="10"/>
  <c r="S12" i="10" s="1"/>
  <c r="AQ32" i="2" l="1"/>
  <c r="K32" i="2"/>
  <c r="AR102" i="57" l="1"/>
  <c r="BA102" i="57" s="1"/>
  <c r="AM102" i="57"/>
  <c r="AR101" i="57"/>
  <c r="BA101" i="57" s="1"/>
  <c r="AM101" i="57"/>
  <c r="AR100" i="57"/>
  <c r="BA100" i="57" s="1"/>
  <c r="AM100" i="57"/>
  <c r="AR99" i="57"/>
  <c r="BA99" i="57" s="1"/>
  <c r="AM99" i="57"/>
  <c r="F69" i="47"/>
  <c r="E69" i="47"/>
  <c r="AP31" i="48"/>
  <c r="AD99" i="57" l="1"/>
  <c r="G69" i="47"/>
  <c r="H69" i="47" s="1"/>
  <c r="O99" i="57" s="1"/>
  <c r="T99" i="57" s="1"/>
  <c r="O99" i="46"/>
  <c r="AD101" i="57"/>
  <c r="AD102" i="57"/>
  <c r="AD100" i="57"/>
  <c r="U99" i="57" l="1"/>
  <c r="C99" i="57"/>
  <c r="K99" i="57"/>
  <c r="BA31" i="48" s="1"/>
  <c r="P99" i="57"/>
  <c r="V99" i="57"/>
  <c r="AC99" i="57"/>
  <c r="AM102" i="46"/>
  <c r="AR102" i="46"/>
  <c r="BA102" i="46" s="1"/>
  <c r="N99" i="46"/>
  <c r="K99" i="46" s="1"/>
  <c r="L31" i="48" s="1"/>
  <c r="J99" i="46"/>
  <c r="AR101" i="46"/>
  <c r="BA101" i="46" s="1"/>
  <c r="AM101" i="46"/>
  <c r="AR100" i="46"/>
  <c r="BA100" i="46" s="1"/>
  <c r="AM100" i="46"/>
  <c r="AR99" i="46"/>
  <c r="BA99" i="46" s="1"/>
  <c r="AM99" i="46"/>
  <c r="Z99" i="46"/>
  <c r="Y99" i="46"/>
  <c r="I38" i="11"/>
  <c r="I69" i="47" s="1"/>
  <c r="G42" i="11"/>
  <c r="I37" i="11" s="1"/>
  <c r="F42" i="11"/>
  <c r="Q7" i="11"/>
  <c r="P7" i="11"/>
  <c r="S7" i="11" s="1"/>
  <c r="P6" i="11"/>
  <c r="S6" i="11" s="1"/>
  <c r="R9" i="11"/>
  <c r="P9" i="11"/>
  <c r="S9" i="11" s="1"/>
  <c r="P8" i="11"/>
  <c r="R6" i="11"/>
  <c r="AD101" i="46" l="1"/>
  <c r="AD102" i="46"/>
  <c r="AD100" i="46"/>
  <c r="AD99" i="46"/>
  <c r="P99" i="46"/>
  <c r="T99" i="46"/>
  <c r="AC99" i="46" s="1"/>
  <c r="U99" i="46"/>
  <c r="C99" i="46"/>
  <c r="N31" i="48" s="1"/>
  <c r="V99" i="46"/>
  <c r="R7" i="11"/>
  <c r="R8" i="11"/>
  <c r="AR97" i="57"/>
  <c r="BA97" i="57" s="1"/>
  <c r="AM97" i="57"/>
  <c r="AR96" i="57"/>
  <c r="BA96" i="57" s="1"/>
  <c r="AM96" i="57"/>
  <c r="AR95" i="57"/>
  <c r="BA95" i="57" s="1"/>
  <c r="AM95" i="57"/>
  <c r="AD97" i="57" l="1"/>
  <c r="R11" i="11"/>
  <c r="S8" i="11"/>
  <c r="S11" i="11" s="1"/>
  <c r="Q11" i="11"/>
  <c r="AD96" i="57"/>
  <c r="AD95" i="57"/>
  <c r="S12" i="11" l="1"/>
  <c r="R12" i="11"/>
  <c r="AQ31" i="2"/>
  <c r="AI31" i="2"/>
  <c r="K31" i="2"/>
  <c r="C7" i="12"/>
  <c r="K12" i="12" s="1"/>
  <c r="W95" i="57" s="1"/>
  <c r="C8" i="12"/>
  <c r="K14" i="12" s="1"/>
  <c r="W96" i="57" s="1"/>
  <c r="F67" i="47"/>
  <c r="E67" i="47"/>
  <c r="E66" i="47"/>
  <c r="G66" i="47" s="1"/>
  <c r="H66" i="47" s="1"/>
  <c r="O95" i="57" s="1"/>
  <c r="K95" i="57" l="1"/>
  <c r="C95" i="57"/>
  <c r="W96" i="46"/>
  <c r="G67" i="47"/>
  <c r="H67" i="47" s="1"/>
  <c r="O96" i="57" s="1"/>
  <c r="O95" i="46"/>
  <c r="P95" i="57"/>
  <c r="V95" i="57"/>
  <c r="T95" i="57"/>
  <c r="U95" i="57"/>
  <c r="W95" i="46"/>
  <c r="AP30" i="48"/>
  <c r="C96" i="57" l="1"/>
  <c r="K96" i="57"/>
  <c r="X95" i="57" s="1"/>
  <c r="AC95" i="57"/>
  <c r="O96" i="46"/>
  <c r="C96" i="46" s="1"/>
  <c r="N96" i="46"/>
  <c r="J96" i="46"/>
  <c r="U95" i="46"/>
  <c r="N95" i="46"/>
  <c r="J95" i="46"/>
  <c r="AR97" i="46"/>
  <c r="BA97" i="46" s="1"/>
  <c r="AM97" i="46"/>
  <c r="AR96" i="46"/>
  <c r="BA96" i="46" s="1"/>
  <c r="AM96" i="46"/>
  <c r="AR95" i="46"/>
  <c r="BA95" i="46" s="1"/>
  <c r="AM95" i="46"/>
  <c r="Y95" i="46"/>
  <c r="F9" i="12"/>
  <c r="I38" i="12"/>
  <c r="I66" i="47" s="1"/>
  <c r="Q36" i="12"/>
  <c r="Y10" i="12"/>
  <c r="Z10" i="12"/>
  <c r="Y11" i="12"/>
  <c r="Z11" i="12"/>
  <c r="Y12" i="12"/>
  <c r="Z12" i="12"/>
  <c r="X13" i="12"/>
  <c r="Y9" i="12"/>
  <c r="Z9" i="12"/>
  <c r="Y7" i="12"/>
  <c r="Z7" i="12"/>
  <c r="Y6" i="12"/>
  <c r="Z6" i="12"/>
  <c r="G42" i="12"/>
  <c r="I37" i="12" s="1"/>
  <c r="F42" i="12"/>
  <c r="Q26" i="12"/>
  <c r="Q25" i="12"/>
  <c r="Q24" i="12"/>
  <c r="R24" i="12" s="1"/>
  <c r="Q23" i="12"/>
  <c r="R23" i="12" s="1"/>
  <c r="P24" i="12"/>
  <c r="P25" i="12"/>
  <c r="P26" i="12"/>
  <c r="P23" i="12"/>
  <c r="P14" i="12"/>
  <c r="S14" i="12" s="1"/>
  <c r="R17" i="12"/>
  <c r="P17" i="12"/>
  <c r="S17" i="12" s="1"/>
  <c r="P16" i="12"/>
  <c r="P15" i="12"/>
  <c r="S15" i="12" s="1"/>
  <c r="R14" i="12"/>
  <c r="Q7" i="12"/>
  <c r="R7" i="12" s="1"/>
  <c r="P8" i="12"/>
  <c r="P7" i="12"/>
  <c r="Q6" i="12"/>
  <c r="R6" i="12" s="1"/>
  <c r="R9" i="12"/>
  <c r="P9" i="12"/>
  <c r="S9" i="12" s="1"/>
  <c r="P6" i="12"/>
  <c r="J4" i="12"/>
  <c r="K96" i="46" l="1"/>
  <c r="V96" i="46"/>
  <c r="S23" i="12"/>
  <c r="S6" i="12"/>
  <c r="Q8" i="12"/>
  <c r="R8" i="12" s="1"/>
  <c r="Q28" i="12"/>
  <c r="AD95" i="46"/>
  <c r="T96" i="57"/>
  <c r="V96" i="57"/>
  <c r="U96" i="57"/>
  <c r="P96" i="57"/>
  <c r="V95" i="46"/>
  <c r="K95" i="46"/>
  <c r="L30" i="48" s="1"/>
  <c r="AD97" i="46"/>
  <c r="AD96" i="46"/>
  <c r="P96" i="46"/>
  <c r="T96" i="46"/>
  <c r="U96" i="46"/>
  <c r="T95" i="46"/>
  <c r="P95" i="46"/>
  <c r="C95" i="46"/>
  <c r="N30" i="48" s="1"/>
  <c r="Y8" i="12"/>
  <c r="Y13" i="12" s="1"/>
  <c r="Y14" i="12" s="1"/>
  <c r="R26" i="12"/>
  <c r="S26" i="12"/>
  <c r="S24" i="12"/>
  <c r="R25" i="12"/>
  <c r="S25" i="12"/>
  <c r="R15" i="12"/>
  <c r="Q16" i="12"/>
  <c r="R16" i="12" s="1"/>
  <c r="S8" i="12"/>
  <c r="S7" i="12"/>
  <c r="R11" i="12"/>
  <c r="AQ30" i="2"/>
  <c r="AI30" i="2"/>
  <c r="K30" i="2"/>
  <c r="Q11" i="12" l="1"/>
  <c r="R28" i="12"/>
  <c r="R29" i="12" s="1"/>
  <c r="BA30" i="48"/>
  <c r="S28" i="12"/>
  <c r="S29" i="12" s="1"/>
  <c r="AC95" i="46"/>
  <c r="X95" i="46"/>
  <c r="Z8" i="12"/>
  <c r="Z13" i="12" s="1"/>
  <c r="Z14" i="12" s="1"/>
  <c r="R19" i="12"/>
  <c r="Q19" i="12"/>
  <c r="S16" i="12"/>
  <c r="S19" i="12" s="1"/>
  <c r="S11" i="12"/>
  <c r="S12" i="12" s="1"/>
  <c r="R12" i="12"/>
  <c r="AR93" i="57"/>
  <c r="BA93" i="57" s="1"/>
  <c r="AM93" i="57"/>
  <c r="AR92" i="57"/>
  <c r="BA92" i="57" s="1"/>
  <c r="AM92" i="57"/>
  <c r="S92" i="57"/>
  <c r="AR91" i="57"/>
  <c r="BA91" i="57" s="1"/>
  <c r="AM91" i="57"/>
  <c r="AD92" i="57" l="1"/>
  <c r="R20" i="12"/>
  <c r="S20" i="12"/>
  <c r="AD91" i="57"/>
  <c r="AD93" i="57"/>
  <c r="K7" i="13"/>
  <c r="W91" i="57" s="1"/>
  <c r="C8" i="13"/>
  <c r="K12" i="13" s="1"/>
  <c r="W92" i="57" s="1"/>
  <c r="F64" i="47"/>
  <c r="E64" i="47"/>
  <c r="E63" i="47"/>
  <c r="G63" i="47" s="1"/>
  <c r="H63" i="47" s="1"/>
  <c r="O91" i="57" s="1"/>
  <c r="AP29" i="48"/>
  <c r="C91" i="57" l="1"/>
  <c r="K91" i="57"/>
  <c r="G64" i="47"/>
  <c r="H64" i="47" s="1"/>
  <c r="O92" i="57" s="1"/>
  <c r="U91" i="57"/>
  <c r="W91" i="46"/>
  <c r="W92" i="46"/>
  <c r="O91" i="46"/>
  <c r="P91" i="57"/>
  <c r="C92" i="57" l="1"/>
  <c r="K92" i="57"/>
  <c r="X91" i="57" s="1"/>
  <c r="U92" i="57"/>
  <c r="AA91" i="57" s="1"/>
  <c r="O92" i="46"/>
  <c r="C92" i="46" s="1"/>
  <c r="T91" i="57"/>
  <c r="V91" i="57"/>
  <c r="S92" i="46"/>
  <c r="N92" i="46"/>
  <c r="J92" i="46"/>
  <c r="AR93" i="46"/>
  <c r="BA93" i="46" s="1"/>
  <c r="AM93" i="46"/>
  <c r="AR92" i="46"/>
  <c r="BA92" i="46" s="1"/>
  <c r="AM92" i="46"/>
  <c r="AR91" i="46"/>
  <c r="BA91" i="46" s="1"/>
  <c r="AM91" i="46"/>
  <c r="Z91" i="46"/>
  <c r="Y91" i="46"/>
  <c r="P91" i="46"/>
  <c r="N91" i="46"/>
  <c r="K91" i="46" s="1"/>
  <c r="J91" i="46"/>
  <c r="F26" i="13"/>
  <c r="F9" i="13"/>
  <c r="I38" i="13"/>
  <c r="I63" i="47" s="1"/>
  <c r="I37" i="13"/>
  <c r="AA29" i="13"/>
  <c r="AA30" i="13" s="1"/>
  <c r="AB18" i="13"/>
  <c r="Z18" i="13"/>
  <c r="AC18" i="13" s="1"/>
  <c r="AB17" i="13"/>
  <c r="Z17" i="13"/>
  <c r="AC17" i="13" s="1"/>
  <c r="Z16" i="13"/>
  <c r="Z15" i="13"/>
  <c r="AC15" i="13" s="1"/>
  <c r="AA6" i="13"/>
  <c r="AB9" i="13"/>
  <c r="Z9" i="13"/>
  <c r="AC9" i="13" s="1"/>
  <c r="AB8" i="13"/>
  <c r="Z8" i="13"/>
  <c r="AC8" i="13" s="1"/>
  <c r="Z7" i="13"/>
  <c r="Z6" i="13"/>
  <c r="J4" i="13"/>
  <c r="V92" i="46" l="1"/>
  <c r="T92" i="57"/>
  <c r="P92" i="57"/>
  <c r="V92" i="57"/>
  <c r="BA29" i="48"/>
  <c r="AC91" i="57"/>
  <c r="AB91" i="57" s="1"/>
  <c r="AD92" i="46"/>
  <c r="AA7" i="13"/>
  <c r="AD93" i="46"/>
  <c r="AD91" i="46"/>
  <c r="P92" i="46"/>
  <c r="K92" i="46"/>
  <c r="L29" i="48" s="1"/>
  <c r="T92" i="46"/>
  <c r="U92" i="46"/>
  <c r="T91" i="46"/>
  <c r="AC91" i="46" s="1"/>
  <c r="U91" i="46"/>
  <c r="C91" i="46"/>
  <c r="N29" i="48" s="1"/>
  <c r="V91" i="46"/>
  <c r="AB15" i="13"/>
  <c r="AB16" i="13"/>
  <c r="AC6" i="13"/>
  <c r="AB6" i="13"/>
  <c r="AR89" i="57"/>
  <c r="BA89" i="57" s="1"/>
  <c r="AM89" i="57"/>
  <c r="AR88" i="57"/>
  <c r="BA88" i="57" s="1"/>
  <c r="AM88" i="57"/>
  <c r="AR87" i="57"/>
  <c r="BA87" i="57" s="1"/>
  <c r="AM87" i="57"/>
  <c r="AR85" i="57"/>
  <c r="BA85" i="57" s="1"/>
  <c r="AM85" i="57"/>
  <c r="AR84" i="57"/>
  <c r="BA84" i="57" s="1"/>
  <c r="AM84" i="57"/>
  <c r="AR83" i="57"/>
  <c r="BA83" i="57" s="1"/>
  <c r="AM83" i="57"/>
  <c r="AD87" i="57" l="1"/>
  <c r="AD84" i="57"/>
  <c r="AD89" i="57"/>
  <c r="AD88" i="57"/>
  <c r="AD85" i="57"/>
  <c r="AB7" i="13"/>
  <c r="AB11" i="13" s="1"/>
  <c r="AC7" i="13"/>
  <c r="AC11" i="13" s="1"/>
  <c r="AA11" i="13"/>
  <c r="X91" i="46"/>
  <c r="AA91" i="46"/>
  <c r="AB91" i="46" s="1"/>
  <c r="AA20" i="13"/>
  <c r="AC16" i="13"/>
  <c r="AC20" i="13" s="1"/>
  <c r="AC21" i="13" s="1"/>
  <c r="AB20" i="13"/>
  <c r="AD83" i="57"/>
  <c r="AQ29" i="2"/>
  <c r="AQ28" i="2"/>
  <c r="AI29" i="2"/>
  <c r="AI28" i="2"/>
  <c r="K29" i="2"/>
  <c r="K28" i="2"/>
  <c r="F61" i="47"/>
  <c r="E61" i="47"/>
  <c r="F59" i="47"/>
  <c r="G59" i="47" s="1"/>
  <c r="H59" i="47" s="1"/>
  <c r="O84" i="57" s="1"/>
  <c r="F58" i="47"/>
  <c r="E59" i="47"/>
  <c r="E58" i="47"/>
  <c r="K13" i="15"/>
  <c r="W83" i="57" s="1"/>
  <c r="K7" i="15"/>
  <c r="W84" i="57" s="1"/>
  <c r="AP28" i="48"/>
  <c r="AP27" i="48"/>
  <c r="C84" i="57" l="1"/>
  <c r="K84" i="57"/>
  <c r="G61" i="47"/>
  <c r="H61" i="47" s="1"/>
  <c r="O87" i="57" s="1"/>
  <c r="AC12" i="13"/>
  <c r="O84" i="46"/>
  <c r="AB12" i="13"/>
  <c r="G58" i="47"/>
  <c r="H58" i="47" s="1"/>
  <c r="O83" i="57" s="1"/>
  <c r="AB21" i="13"/>
  <c r="W83" i="46"/>
  <c r="V84" i="57"/>
  <c r="U84" i="57"/>
  <c r="T84" i="57"/>
  <c r="W84" i="46"/>
  <c r="C83" i="57" l="1"/>
  <c r="K83" i="57"/>
  <c r="X83" i="57" s="1"/>
  <c r="C87" i="57"/>
  <c r="K87" i="57"/>
  <c r="BA28" i="48" s="1"/>
  <c r="O87" i="46"/>
  <c r="C87" i="46" s="1"/>
  <c r="N28" i="48" s="1"/>
  <c r="O83" i="46"/>
  <c r="U83" i="46" s="1"/>
  <c r="P84" i="57"/>
  <c r="P87" i="57"/>
  <c r="V87" i="57"/>
  <c r="T87" i="57"/>
  <c r="U87" i="57"/>
  <c r="T87" i="46"/>
  <c r="P87" i="46"/>
  <c r="N87" i="46"/>
  <c r="J87" i="46"/>
  <c r="AR89" i="46"/>
  <c r="BA89" i="46" s="1"/>
  <c r="AM89" i="46"/>
  <c r="AR88" i="46"/>
  <c r="BA88" i="46" s="1"/>
  <c r="AM88" i="46"/>
  <c r="AR87" i="46"/>
  <c r="BA87" i="46" s="1"/>
  <c r="AM87" i="46"/>
  <c r="Y87" i="46"/>
  <c r="N83" i="46"/>
  <c r="J83" i="46"/>
  <c r="AR85" i="46"/>
  <c r="BA85" i="46" s="1"/>
  <c r="AM85" i="46"/>
  <c r="AR84" i="46"/>
  <c r="BA84" i="46" s="1"/>
  <c r="AM84" i="46"/>
  <c r="C84" i="46"/>
  <c r="N84" i="46"/>
  <c r="J84" i="46"/>
  <c r="AR83" i="46"/>
  <c r="BA83" i="46" s="1"/>
  <c r="AM83" i="46"/>
  <c r="Z83" i="46"/>
  <c r="Y83" i="46"/>
  <c r="F26" i="14"/>
  <c r="F17" i="14"/>
  <c r="F9" i="14"/>
  <c r="I38" i="14"/>
  <c r="I61" i="47" s="1"/>
  <c r="G42" i="14"/>
  <c r="I37" i="14" s="1"/>
  <c r="F42" i="14"/>
  <c r="R9" i="14"/>
  <c r="P9" i="14"/>
  <c r="S9" i="14" s="1"/>
  <c r="R8" i="14"/>
  <c r="P8" i="14"/>
  <c r="S8" i="14" s="1"/>
  <c r="Q11" i="14"/>
  <c r="P7" i="14"/>
  <c r="S7" i="14" s="1"/>
  <c r="R6" i="14"/>
  <c r="P6" i="14"/>
  <c r="S6" i="14" s="1"/>
  <c r="J4" i="14"/>
  <c r="F17" i="15"/>
  <c r="I38" i="15"/>
  <c r="I58" i="47" s="1"/>
  <c r="Q35" i="15"/>
  <c r="W11" i="15"/>
  <c r="W13" i="15" s="1"/>
  <c r="X9" i="15"/>
  <c r="V9" i="15"/>
  <c r="Y9" i="15" s="1"/>
  <c r="X8" i="15"/>
  <c r="V8" i="15"/>
  <c r="Y8" i="15" s="1"/>
  <c r="X7" i="15"/>
  <c r="Y7" i="15"/>
  <c r="X6" i="15"/>
  <c r="V6" i="15"/>
  <c r="Y6" i="15" s="1"/>
  <c r="G42" i="15"/>
  <c r="I37" i="15" s="1"/>
  <c r="F42" i="15"/>
  <c r="P24" i="15"/>
  <c r="S24" i="15" s="1"/>
  <c r="R27" i="15"/>
  <c r="P27" i="15"/>
  <c r="S27" i="15" s="1"/>
  <c r="R26" i="15"/>
  <c r="P26" i="15"/>
  <c r="S26" i="15" s="1"/>
  <c r="P25" i="15"/>
  <c r="Q15" i="15"/>
  <c r="Q16" i="15" s="1"/>
  <c r="R16" i="15" s="1"/>
  <c r="P15" i="15"/>
  <c r="R18" i="15"/>
  <c r="P18" i="15"/>
  <c r="S18" i="15" s="1"/>
  <c r="R17" i="15"/>
  <c r="P17" i="15"/>
  <c r="S17" i="15" s="1"/>
  <c r="P16" i="15"/>
  <c r="Q11" i="15"/>
  <c r="Q13" i="15" s="1"/>
  <c r="R9" i="15"/>
  <c r="P9" i="15"/>
  <c r="S9" i="15" s="1"/>
  <c r="R8" i="15"/>
  <c r="P8" i="15"/>
  <c r="S8" i="15" s="1"/>
  <c r="R7" i="15"/>
  <c r="P7" i="15"/>
  <c r="S7" i="15" s="1"/>
  <c r="R6" i="15"/>
  <c r="P6" i="15"/>
  <c r="S6" i="15" s="1"/>
  <c r="J4" i="15"/>
  <c r="U87" i="46" l="1"/>
  <c r="V87" i="46"/>
  <c r="AD83" i="46"/>
  <c r="AD85" i="46"/>
  <c r="AD89" i="46"/>
  <c r="AC87" i="57"/>
  <c r="K87" i="46"/>
  <c r="L28" i="48" s="1"/>
  <c r="V83" i="57"/>
  <c r="T83" i="57"/>
  <c r="U83" i="57"/>
  <c r="AA83" i="57" s="1"/>
  <c r="P83" i="57"/>
  <c r="AD84" i="46"/>
  <c r="V83" i="46"/>
  <c r="T84" i="46"/>
  <c r="K84" i="46"/>
  <c r="V84" i="46"/>
  <c r="C83" i="46"/>
  <c r="N27" i="48" s="1"/>
  <c r="P84" i="46"/>
  <c r="AD88" i="46"/>
  <c r="AD87" i="46"/>
  <c r="K83" i="46"/>
  <c r="P83" i="46"/>
  <c r="T83" i="46"/>
  <c r="U84" i="46"/>
  <c r="AA83" i="46" s="1"/>
  <c r="S11" i="14"/>
  <c r="S12" i="14" s="1"/>
  <c r="R7" i="14"/>
  <c r="R11" i="14" s="1"/>
  <c r="R12" i="14" s="1"/>
  <c r="R11" i="15"/>
  <c r="R12" i="15" s="1"/>
  <c r="X11" i="15"/>
  <c r="X12" i="15" s="1"/>
  <c r="Y11" i="15"/>
  <c r="Y12" i="15" s="1"/>
  <c r="Q25" i="15"/>
  <c r="Q29" i="15" s="1"/>
  <c r="Q31" i="15" s="1"/>
  <c r="R24" i="15"/>
  <c r="S16" i="15"/>
  <c r="Q20" i="15"/>
  <c r="Q22" i="15" s="1"/>
  <c r="R15" i="15"/>
  <c r="R20" i="15" s="1"/>
  <c r="S15" i="15"/>
  <c r="S11" i="15"/>
  <c r="S12" i="15" s="1"/>
  <c r="AR77" i="57"/>
  <c r="BA77" i="57" s="1"/>
  <c r="AM77" i="57"/>
  <c r="AR76" i="57"/>
  <c r="BA76" i="57" s="1"/>
  <c r="AM76" i="57"/>
  <c r="AR75" i="57"/>
  <c r="BA75" i="57" s="1"/>
  <c r="AM75" i="57"/>
  <c r="AC87" i="46" l="1"/>
  <c r="L27" i="48"/>
  <c r="AC83" i="57"/>
  <c r="AB83" i="57" s="1"/>
  <c r="BA27" i="48"/>
  <c r="AD77" i="57"/>
  <c r="AD76" i="57"/>
  <c r="AD75" i="57"/>
  <c r="S20" i="15"/>
  <c r="S21" i="15" s="1"/>
  <c r="AC83" i="46"/>
  <c r="AB83" i="46" s="1"/>
  <c r="X83" i="46"/>
  <c r="R21" i="15"/>
  <c r="S25" i="15"/>
  <c r="S29" i="15" s="1"/>
  <c r="S30" i="15" s="1"/>
  <c r="R25" i="15"/>
  <c r="R29" i="15" s="1"/>
  <c r="R30" i="15" s="1"/>
  <c r="AR81" i="57"/>
  <c r="BA81" i="57" s="1"/>
  <c r="AM81" i="57"/>
  <c r="AR80" i="57"/>
  <c r="BA80" i="57" s="1"/>
  <c r="AM80" i="57"/>
  <c r="AR79" i="57"/>
  <c r="BA79" i="57" s="1"/>
  <c r="AM79" i="57"/>
  <c r="Z79" i="46"/>
  <c r="K13" i="16"/>
  <c r="W80" i="57" s="1"/>
  <c r="K8" i="16"/>
  <c r="W79" i="57" s="1"/>
  <c r="F56" i="47"/>
  <c r="E56" i="47"/>
  <c r="E55" i="47"/>
  <c r="S4" i="54"/>
  <c r="S3" i="54"/>
  <c r="R4" i="54"/>
  <c r="R3" i="54"/>
  <c r="Q3" i="54"/>
  <c r="Q4" i="54"/>
  <c r="O4" i="54"/>
  <c r="O3" i="54"/>
  <c r="N3" i="54"/>
  <c r="M4" i="54"/>
  <c r="M3" i="54"/>
  <c r="L4" i="54"/>
  <c r="K4" i="54"/>
  <c r="AQ27" i="2"/>
  <c r="AI27" i="2"/>
  <c r="K27" i="2"/>
  <c r="G56" i="47" l="1"/>
  <c r="H56" i="47" s="1"/>
  <c r="O80" i="57" s="1"/>
  <c r="W80" i="46"/>
  <c r="AD79" i="57"/>
  <c r="AD81" i="57"/>
  <c r="AD80" i="57"/>
  <c r="W79" i="46"/>
  <c r="G55" i="47"/>
  <c r="H55" i="47" s="1"/>
  <c r="O79" i="57" s="1"/>
  <c r="AP26" i="48"/>
  <c r="C79" i="57" l="1"/>
  <c r="K79" i="57"/>
  <c r="C80" i="57"/>
  <c r="K80" i="57"/>
  <c r="V80" i="57"/>
  <c r="T80" i="57"/>
  <c r="O80" i="46"/>
  <c r="U80" i="57"/>
  <c r="O79" i="46"/>
  <c r="F26" i="16"/>
  <c r="I38" i="16"/>
  <c r="I55" i="47" s="1"/>
  <c r="P24" i="16"/>
  <c r="X79" i="57" l="1"/>
  <c r="P80" i="57"/>
  <c r="P79" i="57"/>
  <c r="U79" i="57"/>
  <c r="AA79" i="57" s="1"/>
  <c r="T79" i="57"/>
  <c r="V79" i="57"/>
  <c r="J80" i="46"/>
  <c r="N80" i="46"/>
  <c r="V80" i="46" s="1"/>
  <c r="C80" i="46"/>
  <c r="AR81" i="46"/>
  <c r="BA81" i="46" s="1"/>
  <c r="AM81" i="46"/>
  <c r="AR80" i="46"/>
  <c r="BA80" i="46" s="1"/>
  <c r="AM80" i="46"/>
  <c r="AR79" i="46"/>
  <c r="BA79" i="46" s="1"/>
  <c r="AM79" i="46"/>
  <c r="Y79" i="46"/>
  <c r="N79" i="46"/>
  <c r="J79" i="46"/>
  <c r="Q35" i="16"/>
  <c r="Q34" i="16"/>
  <c r="Q36" i="16" s="1"/>
  <c r="S24" i="16"/>
  <c r="Q29" i="16"/>
  <c r="Q31" i="16" s="1"/>
  <c r="R27" i="16"/>
  <c r="P27" i="16"/>
  <c r="S27" i="16" s="1"/>
  <c r="R26" i="16"/>
  <c r="P26" i="16"/>
  <c r="S26" i="16" s="1"/>
  <c r="R25" i="16"/>
  <c r="P25" i="16"/>
  <c r="S25" i="16" s="1"/>
  <c r="R24" i="16"/>
  <c r="Q15" i="16"/>
  <c r="S15" i="16" s="1"/>
  <c r="P16" i="16"/>
  <c r="S16" i="16" s="1"/>
  <c r="R18" i="16"/>
  <c r="P18" i="16"/>
  <c r="S18" i="16" s="1"/>
  <c r="R17" i="16"/>
  <c r="P17" i="16"/>
  <c r="S17" i="16" s="1"/>
  <c r="R16" i="16"/>
  <c r="P15" i="16"/>
  <c r="Q11" i="16"/>
  <c r="Q13" i="16" s="1"/>
  <c r="R9" i="16"/>
  <c r="P9" i="16"/>
  <c r="S9" i="16" s="1"/>
  <c r="R8" i="16"/>
  <c r="P8" i="16"/>
  <c r="S8" i="16" s="1"/>
  <c r="R7" i="16"/>
  <c r="P7" i="16"/>
  <c r="S7" i="16" s="1"/>
  <c r="R6" i="16"/>
  <c r="P6" i="16"/>
  <c r="S6" i="16" s="1"/>
  <c r="J4" i="16"/>
  <c r="BA26" i="48" l="1"/>
  <c r="AC79" i="57"/>
  <c r="AB79" i="57" s="1"/>
  <c r="AD81" i="46"/>
  <c r="AD80" i="46"/>
  <c r="AD79" i="46"/>
  <c r="K79" i="46"/>
  <c r="R29" i="16"/>
  <c r="R30" i="16" s="1"/>
  <c r="U80" i="46"/>
  <c r="T80" i="46"/>
  <c r="P80" i="46"/>
  <c r="K80" i="46"/>
  <c r="T79" i="46"/>
  <c r="U79" i="46"/>
  <c r="C79" i="46"/>
  <c r="N26" i="48" s="1"/>
  <c r="V79" i="46"/>
  <c r="P79" i="46"/>
  <c r="S29" i="16"/>
  <c r="S30" i="16" s="1"/>
  <c r="R15" i="16"/>
  <c r="R20" i="16"/>
  <c r="Q20" i="16"/>
  <c r="Q22" i="16" s="1"/>
  <c r="S20" i="16"/>
  <c r="S11" i="16"/>
  <c r="S12" i="16" s="1"/>
  <c r="R11" i="16"/>
  <c r="R12" i="16" s="1"/>
  <c r="L26" i="48" l="1"/>
  <c r="AA79" i="46"/>
  <c r="AC79" i="46"/>
  <c r="X79" i="46"/>
  <c r="S21" i="16"/>
  <c r="R21" i="16"/>
  <c r="AB79" i="46" l="1"/>
  <c r="AQ26" i="2"/>
  <c r="AI26" i="2"/>
  <c r="K26" i="2"/>
  <c r="AP25" i="48" l="1"/>
  <c r="F53" i="47"/>
  <c r="E53" i="47"/>
  <c r="G53" i="47" l="1"/>
  <c r="H53" i="47" s="1"/>
  <c r="O75" i="57" s="1"/>
  <c r="K75" i="57" l="1"/>
  <c r="C75" i="57"/>
  <c r="O75" i="46"/>
  <c r="AR77" i="46"/>
  <c r="BA77" i="46" s="1"/>
  <c r="AM77" i="46"/>
  <c r="AR76" i="46"/>
  <c r="BA76" i="46" s="1"/>
  <c r="AM76" i="46"/>
  <c r="AR75" i="46"/>
  <c r="BA75" i="46" s="1"/>
  <c r="AM75" i="46"/>
  <c r="Z75" i="46"/>
  <c r="Y75" i="46"/>
  <c r="C75" i="46"/>
  <c r="N25" i="48" s="1"/>
  <c r="N75" i="46"/>
  <c r="J75" i="46"/>
  <c r="F26" i="17"/>
  <c r="F17" i="17"/>
  <c r="I38" i="17"/>
  <c r="I53" i="47" s="1"/>
  <c r="G42" i="17"/>
  <c r="I37" i="17" s="1"/>
  <c r="F42" i="17"/>
  <c r="J4" i="17"/>
  <c r="AD76" i="46" l="1"/>
  <c r="T75" i="57"/>
  <c r="P75" i="57"/>
  <c r="U75" i="57"/>
  <c r="V75" i="57"/>
  <c r="AD77" i="46"/>
  <c r="AD75" i="46"/>
  <c r="K75" i="46"/>
  <c r="L25" i="48" s="1"/>
  <c r="P75" i="46"/>
  <c r="T75" i="46"/>
  <c r="U75" i="46"/>
  <c r="V75" i="46"/>
  <c r="AR73" i="57"/>
  <c r="BA73" i="57" s="1"/>
  <c r="AM73" i="57"/>
  <c r="AR72" i="57"/>
  <c r="BA72" i="57" s="1"/>
  <c r="AM72" i="57"/>
  <c r="AR71" i="57"/>
  <c r="BA71" i="57" s="1"/>
  <c r="AM71" i="57"/>
  <c r="F50" i="47"/>
  <c r="F51" i="47"/>
  <c r="E51" i="47"/>
  <c r="E50" i="47"/>
  <c r="AP24" i="48"/>
  <c r="AN24" i="48"/>
  <c r="AC75" i="57" l="1"/>
  <c r="BA25" i="48"/>
  <c r="G51" i="47"/>
  <c r="AD72" i="57"/>
  <c r="AC75" i="46"/>
  <c r="AD71" i="57"/>
  <c r="G50" i="47"/>
  <c r="AD73" i="57"/>
  <c r="H50" i="47"/>
  <c r="O71" i="57" s="1"/>
  <c r="AQ25" i="2"/>
  <c r="AI25" i="2"/>
  <c r="K25" i="2"/>
  <c r="C71" i="57" l="1"/>
  <c r="K71" i="57"/>
  <c r="O71" i="46"/>
  <c r="V71" i="57" l="1"/>
  <c r="P71" i="57"/>
  <c r="T71" i="57"/>
  <c r="U71" i="57"/>
  <c r="C71" i="46"/>
  <c r="N24" i="48" s="1"/>
  <c r="N71" i="46"/>
  <c r="V71" i="46" s="1"/>
  <c r="J71" i="46"/>
  <c r="AR73" i="46"/>
  <c r="BA73" i="46" s="1"/>
  <c r="AM73" i="46"/>
  <c r="AR72" i="46"/>
  <c r="BA72" i="46" s="1"/>
  <c r="AM72" i="46"/>
  <c r="AR71" i="46"/>
  <c r="BA71" i="46" s="1"/>
  <c r="AM71" i="46"/>
  <c r="Z71" i="46"/>
  <c r="Y71" i="46"/>
  <c r="F26" i="18"/>
  <c r="F17" i="18"/>
  <c r="I38" i="18"/>
  <c r="I50" i="47" s="1"/>
  <c r="Q11" i="18"/>
  <c r="Q13" i="18" s="1"/>
  <c r="R9" i="18"/>
  <c r="P9" i="18"/>
  <c r="S9" i="18" s="1"/>
  <c r="R8" i="18"/>
  <c r="P8" i="18"/>
  <c r="S8" i="18" s="1"/>
  <c r="R7" i="18"/>
  <c r="P7" i="18"/>
  <c r="S7" i="18" s="1"/>
  <c r="R6" i="18"/>
  <c r="P6" i="18"/>
  <c r="S6" i="18" s="1"/>
  <c r="J4" i="18"/>
  <c r="AD71" i="46" l="1"/>
  <c r="R11" i="18"/>
  <c r="R12" i="18" s="1"/>
  <c r="BA24" i="48"/>
  <c r="AC71" i="57"/>
  <c r="K71" i="46"/>
  <c r="P71" i="46"/>
  <c r="T71" i="46"/>
  <c r="U71" i="46"/>
  <c r="AD73" i="46"/>
  <c r="AD72" i="46"/>
  <c r="S11" i="18"/>
  <c r="S12" i="18" s="1"/>
  <c r="AR67" i="57"/>
  <c r="BA67" i="57" s="1"/>
  <c r="AM67" i="57"/>
  <c r="N68" i="46"/>
  <c r="J68" i="46"/>
  <c r="N67" i="46"/>
  <c r="J67" i="46"/>
  <c r="N62" i="46"/>
  <c r="J62" i="46"/>
  <c r="N58" i="46"/>
  <c r="J58" i="46"/>
  <c r="N57" i="46"/>
  <c r="J57" i="46"/>
  <c r="N53" i="46"/>
  <c r="J53" i="46"/>
  <c r="N49" i="46"/>
  <c r="J49" i="46"/>
  <c r="N45" i="46"/>
  <c r="J45" i="46"/>
  <c r="N41" i="46"/>
  <c r="J41" i="46"/>
  <c r="N37" i="46"/>
  <c r="J37" i="46"/>
  <c r="N34" i="46"/>
  <c r="J34" i="46"/>
  <c r="N33" i="46"/>
  <c r="J33" i="46"/>
  <c r="N29" i="46"/>
  <c r="J29" i="46"/>
  <c r="N27" i="46"/>
  <c r="J27" i="46"/>
  <c r="N26" i="46"/>
  <c r="J26" i="46"/>
  <c r="N25" i="46"/>
  <c r="J25" i="46"/>
  <c r="N21" i="46"/>
  <c r="J21" i="46"/>
  <c r="N17" i="46"/>
  <c r="J17" i="46"/>
  <c r="N13" i="46"/>
  <c r="J13" i="46"/>
  <c r="N12" i="46"/>
  <c r="J12" i="46"/>
  <c r="N7" i="46"/>
  <c r="J7" i="46"/>
  <c r="N6" i="46"/>
  <c r="J6" i="46"/>
  <c r="A6" i="46"/>
  <c r="AC71" i="46" l="1"/>
  <c r="AD67" i="57"/>
  <c r="L24" i="48"/>
  <c r="P4" i="54" l="1"/>
  <c r="P3" i="54"/>
  <c r="AQ24" i="2" l="1"/>
  <c r="AI24" i="2"/>
  <c r="K24" i="2"/>
  <c r="AR69" i="57"/>
  <c r="BA69" i="57" s="1"/>
  <c r="AM69" i="57"/>
  <c r="AR68" i="57"/>
  <c r="BA68" i="57" s="1"/>
  <c r="AM68" i="57"/>
  <c r="AR65" i="57"/>
  <c r="BA65" i="57" s="1"/>
  <c r="AM65" i="57"/>
  <c r="AR64" i="57"/>
  <c r="BA64" i="57" s="1"/>
  <c r="AM64" i="57"/>
  <c r="AR63" i="57"/>
  <c r="BA63" i="57" s="1"/>
  <c r="AM63" i="57"/>
  <c r="AR62" i="57"/>
  <c r="BA62" i="57" s="1"/>
  <c r="AM62" i="57"/>
  <c r="K9" i="19"/>
  <c r="W67" i="57" s="1"/>
  <c r="K8" i="19"/>
  <c r="W68" i="57" s="1"/>
  <c r="F47" i="47"/>
  <c r="F46" i="47"/>
  <c r="E48" i="47"/>
  <c r="G48" i="47" s="1"/>
  <c r="E47" i="47"/>
  <c r="E45" i="47"/>
  <c r="G45" i="47" s="1"/>
  <c r="H45" i="47" s="1"/>
  <c r="O67" i="57" s="1"/>
  <c r="E46" i="47"/>
  <c r="G46" i="47" s="1"/>
  <c r="AP23" i="48"/>
  <c r="AD63" i="57" l="1"/>
  <c r="C67" i="57"/>
  <c r="K67" i="57"/>
  <c r="G47" i="47"/>
  <c r="AD62" i="57"/>
  <c r="W67" i="46"/>
  <c r="H46" i="47"/>
  <c r="O68" i="57" s="1"/>
  <c r="AD68" i="57"/>
  <c r="W68" i="46"/>
  <c r="AD65" i="57"/>
  <c r="O67" i="46"/>
  <c r="AD64" i="57"/>
  <c r="AD69" i="57"/>
  <c r="C68" i="57" l="1"/>
  <c r="K68" i="57"/>
  <c r="X67" i="57" s="1"/>
  <c r="O68" i="46"/>
  <c r="T68" i="46" s="1"/>
  <c r="U68" i="57"/>
  <c r="V68" i="57"/>
  <c r="T68" i="57"/>
  <c r="P68" i="57"/>
  <c r="V67" i="57"/>
  <c r="P67" i="57"/>
  <c r="T67" i="57"/>
  <c r="U67" i="57"/>
  <c r="C67" i="46"/>
  <c r="K67" i="46"/>
  <c r="C68" i="46"/>
  <c r="N23" i="48" s="1"/>
  <c r="K68" i="46"/>
  <c r="V67" i="46"/>
  <c r="AR69" i="46"/>
  <c r="BA69" i="46" s="1"/>
  <c r="AM69" i="46"/>
  <c r="AR68" i="46"/>
  <c r="BA68" i="46" s="1"/>
  <c r="AM68" i="46"/>
  <c r="AR67" i="46"/>
  <c r="BA67" i="46" s="1"/>
  <c r="AM67" i="46"/>
  <c r="Z67" i="46"/>
  <c r="F26" i="19"/>
  <c r="F17" i="19"/>
  <c r="F9" i="19"/>
  <c r="I38" i="19"/>
  <c r="I45" i="47" s="1"/>
  <c r="Q36" i="19"/>
  <c r="W26" i="19"/>
  <c r="X21" i="19"/>
  <c r="Y21" i="19"/>
  <c r="X22" i="19"/>
  <c r="Y22" i="19"/>
  <c r="Y20" i="19"/>
  <c r="X20" i="19"/>
  <c r="Y19" i="19"/>
  <c r="X19" i="19"/>
  <c r="X18" i="19"/>
  <c r="Y18" i="19"/>
  <c r="Y17" i="19"/>
  <c r="X9" i="19"/>
  <c r="Y9" i="19"/>
  <c r="Y8" i="19"/>
  <c r="X7" i="19"/>
  <c r="V7" i="19"/>
  <c r="Y7" i="19" s="1"/>
  <c r="W6" i="19"/>
  <c r="X6" i="19" s="1"/>
  <c r="V6" i="19"/>
  <c r="R27" i="19"/>
  <c r="P27" i="19"/>
  <c r="S27" i="19" s="1"/>
  <c r="R26" i="19"/>
  <c r="P26" i="19"/>
  <c r="S26" i="19" s="1"/>
  <c r="Q29" i="19"/>
  <c r="Q31" i="19" s="1"/>
  <c r="P25" i="19"/>
  <c r="R24" i="19"/>
  <c r="P24" i="19"/>
  <c r="S24" i="19" s="1"/>
  <c r="Q15" i="19"/>
  <c r="Q16" i="19" s="1"/>
  <c r="R18" i="19"/>
  <c r="P18" i="19"/>
  <c r="S18" i="19" s="1"/>
  <c r="P17" i="19"/>
  <c r="S17" i="19" s="1"/>
  <c r="P16" i="19"/>
  <c r="P15" i="19"/>
  <c r="Q6" i="19"/>
  <c r="Q8" i="19"/>
  <c r="Q9" i="19"/>
  <c r="P7" i="19"/>
  <c r="S7" i="19" s="1"/>
  <c r="O9" i="19"/>
  <c r="P9" i="19" s="1"/>
  <c r="O8" i="19"/>
  <c r="R7" i="19"/>
  <c r="P6" i="19"/>
  <c r="J4" i="19"/>
  <c r="S15" i="19" l="1"/>
  <c r="P68" i="46"/>
  <c r="U68" i="46"/>
  <c r="AA67" i="57"/>
  <c r="R9" i="19"/>
  <c r="S6" i="19"/>
  <c r="Y6" i="19"/>
  <c r="Y11" i="19" s="1"/>
  <c r="AC67" i="57"/>
  <c r="Y26" i="19"/>
  <c r="Q20" i="19"/>
  <c r="Q22" i="19" s="1"/>
  <c r="R16" i="19"/>
  <c r="Q11" i="19"/>
  <c r="Q13" i="19" s="1"/>
  <c r="AD67" i="46"/>
  <c r="BA23" i="48"/>
  <c r="R8" i="19"/>
  <c r="AD68" i="46"/>
  <c r="S16" i="19"/>
  <c r="S20" i="19" s="1"/>
  <c r="P8" i="19"/>
  <c r="S8" i="19" s="1"/>
  <c r="V68" i="46"/>
  <c r="AD69" i="46"/>
  <c r="P67" i="46"/>
  <c r="T67" i="46"/>
  <c r="AC67" i="46" s="1"/>
  <c r="U67" i="46"/>
  <c r="AA67" i="46" s="1"/>
  <c r="W28" i="19"/>
  <c r="X17" i="19"/>
  <c r="W11" i="19"/>
  <c r="W13" i="19" s="1"/>
  <c r="X8" i="19"/>
  <c r="X11" i="19" s="1"/>
  <c r="S25" i="19"/>
  <c r="S29" i="19" s="1"/>
  <c r="S30" i="19" s="1"/>
  <c r="R25" i="19"/>
  <c r="R29" i="19" s="1"/>
  <c r="R30" i="19" s="1"/>
  <c r="R17" i="19"/>
  <c r="R15" i="19"/>
  <c r="R6" i="19"/>
  <c r="S9" i="19"/>
  <c r="S11" i="19" l="1"/>
  <c r="AB67" i="57"/>
  <c r="R20" i="19"/>
  <c r="R21" i="19" s="1"/>
  <c r="S21" i="19"/>
  <c r="R11" i="19"/>
  <c r="Y12" i="19"/>
  <c r="X26" i="19"/>
  <c r="X27" i="19" s="1"/>
  <c r="X67" i="46"/>
  <c r="L23" i="48"/>
  <c r="AB67" i="46"/>
  <c r="Y27" i="19"/>
  <c r="X12" i="19"/>
  <c r="S12" i="19"/>
  <c r="R12" i="19"/>
  <c r="AQ23" i="2" l="1"/>
  <c r="AI23" i="2"/>
  <c r="K23" i="2"/>
  <c r="K9" i="20" l="1"/>
  <c r="W62" i="57" s="1"/>
  <c r="K12" i="20"/>
  <c r="W63" i="57" s="1"/>
  <c r="E43" i="47"/>
  <c r="E42" i="47"/>
  <c r="G42" i="47" s="1"/>
  <c r="H42" i="47" s="1"/>
  <c r="G43" i="47"/>
  <c r="H43" i="47" s="1"/>
  <c r="O62" i="57" s="1"/>
  <c r="AP22" i="48"/>
  <c r="K62" i="57" l="1"/>
  <c r="X62" i="57" s="1"/>
  <c r="C62" i="57"/>
  <c r="O62" i="46"/>
  <c r="W62" i="46"/>
  <c r="W63" i="46"/>
  <c r="T62" i="57" l="1"/>
  <c r="U62" i="57"/>
  <c r="AA62" i="57" s="1"/>
  <c r="V62" i="57"/>
  <c r="P62" i="57"/>
  <c r="C62" i="46"/>
  <c r="N22" i="48" s="1"/>
  <c r="K62" i="46"/>
  <c r="AR65" i="46"/>
  <c r="BA65" i="46" s="1"/>
  <c r="AM65" i="46"/>
  <c r="AR64" i="46"/>
  <c r="BA64" i="46" s="1"/>
  <c r="AM64" i="46"/>
  <c r="AR63" i="46"/>
  <c r="BA63" i="46" s="1"/>
  <c r="AM63" i="46"/>
  <c r="AR62" i="46"/>
  <c r="BA62" i="46" s="1"/>
  <c r="AM62" i="46"/>
  <c r="Z62" i="46"/>
  <c r="Y62" i="46"/>
  <c r="F26" i="20"/>
  <c r="I38" i="20"/>
  <c r="I42" i="47" s="1"/>
  <c r="G42" i="20"/>
  <c r="I37" i="20" s="1"/>
  <c r="F42" i="20"/>
  <c r="N37" i="20"/>
  <c r="Q26" i="20"/>
  <c r="Q29" i="20"/>
  <c r="R29" i="20" s="1"/>
  <c r="Q28" i="20"/>
  <c r="R28" i="20" s="1"/>
  <c r="P27" i="20"/>
  <c r="S27" i="20" s="1"/>
  <c r="P28" i="20"/>
  <c r="P29" i="20"/>
  <c r="P26" i="20"/>
  <c r="Q17" i="20"/>
  <c r="Q20" i="20" s="1"/>
  <c r="Q22" i="20" s="1"/>
  <c r="P17" i="20"/>
  <c r="R19" i="20"/>
  <c r="P19" i="20"/>
  <c r="S19" i="20" s="1"/>
  <c r="R18" i="20"/>
  <c r="P18" i="20"/>
  <c r="S18" i="20" s="1"/>
  <c r="R16" i="20"/>
  <c r="P16" i="20"/>
  <c r="S16" i="20" s="1"/>
  <c r="J4" i="20"/>
  <c r="S29" i="20" l="1"/>
  <c r="S28" i="20"/>
  <c r="R17" i="20"/>
  <c r="AC62" i="57"/>
  <c r="BA22" i="48"/>
  <c r="Q30" i="20"/>
  <c r="Q32" i="20" s="1"/>
  <c r="AB62" i="57"/>
  <c r="S17" i="20"/>
  <c r="S20" i="20" s="1"/>
  <c r="S21" i="20" s="1"/>
  <c r="V62" i="46"/>
  <c r="AD64" i="46"/>
  <c r="AD63" i="46"/>
  <c r="AD62" i="46"/>
  <c r="P62" i="46"/>
  <c r="T62" i="46"/>
  <c r="U62" i="46"/>
  <c r="AA62" i="46" s="1"/>
  <c r="AD65" i="46"/>
  <c r="R26" i="20"/>
  <c r="S26" i="20"/>
  <c r="S30" i="20" s="1"/>
  <c r="R27" i="20"/>
  <c r="R20" i="20"/>
  <c r="R21" i="20" s="1"/>
  <c r="F23" i="20"/>
  <c r="R30" i="20" l="1"/>
  <c r="R31" i="20" s="1"/>
  <c r="S31" i="20"/>
  <c r="X62" i="46"/>
  <c r="L22" i="48"/>
  <c r="AC62" i="46"/>
  <c r="AB62" i="46"/>
  <c r="AQ22" i="2"/>
  <c r="AQ21" i="2"/>
  <c r="AI22" i="2"/>
  <c r="AI21" i="2"/>
  <c r="K22" i="2"/>
  <c r="K21" i="2"/>
  <c r="AR60" i="57"/>
  <c r="BA60" i="57" s="1"/>
  <c r="AM60" i="57"/>
  <c r="AD60" i="57" s="1"/>
  <c r="AR59" i="57"/>
  <c r="BA59" i="57" s="1"/>
  <c r="AM59" i="57"/>
  <c r="AR58" i="57"/>
  <c r="BA58" i="57" s="1"/>
  <c r="AM58" i="57"/>
  <c r="AR57" i="57"/>
  <c r="BA57" i="57" s="1"/>
  <c r="AM57" i="57"/>
  <c r="Q57" i="57"/>
  <c r="AR55" i="57"/>
  <c r="BA55" i="57" s="1"/>
  <c r="AM55" i="57"/>
  <c r="AR54" i="57"/>
  <c r="BA54" i="57" s="1"/>
  <c r="AM54" i="57"/>
  <c r="AR53" i="57"/>
  <c r="BA53" i="57" s="1"/>
  <c r="AM53" i="57"/>
  <c r="E40" i="47"/>
  <c r="G40" i="47" s="1"/>
  <c r="H40" i="47" s="1"/>
  <c r="O58" i="57" s="1"/>
  <c r="E39" i="47"/>
  <c r="G39" i="47" s="1"/>
  <c r="H39" i="47" s="1"/>
  <c r="O57" i="57" s="1"/>
  <c r="AD58" i="57" l="1"/>
  <c r="C57" i="57"/>
  <c r="K57" i="57"/>
  <c r="C58" i="57"/>
  <c r="K58" i="57"/>
  <c r="O57" i="46"/>
  <c r="O58" i="46"/>
  <c r="U58" i="57"/>
  <c r="P57" i="57"/>
  <c r="AD59" i="57"/>
  <c r="AD57" i="57"/>
  <c r="AD55" i="57"/>
  <c r="AD53" i="57"/>
  <c r="AD54" i="57"/>
  <c r="T58" i="57"/>
  <c r="E37" i="47"/>
  <c r="G37" i="47" s="1"/>
  <c r="H37" i="47" s="1"/>
  <c r="O53" i="57" s="1"/>
  <c r="K12" i="22"/>
  <c r="W58" i="57" s="1"/>
  <c r="K11" i="22"/>
  <c r="W57" i="57" s="1"/>
  <c r="X57" i="57" l="1"/>
  <c r="C53" i="57"/>
  <c r="K53" i="57"/>
  <c r="O53" i="46"/>
  <c r="C53" i="46" s="1"/>
  <c r="K53" i="46"/>
  <c r="U57" i="57"/>
  <c r="V57" i="57"/>
  <c r="V58" i="57"/>
  <c r="P58" i="57"/>
  <c r="T57" i="57"/>
  <c r="C58" i="46"/>
  <c r="K58" i="46"/>
  <c r="W58" i="46"/>
  <c r="W57" i="46"/>
  <c r="BA21" i="48" l="1"/>
  <c r="AC57" i="57"/>
  <c r="BA20" i="48"/>
  <c r="T53" i="57"/>
  <c r="P53" i="57"/>
  <c r="V53" i="57"/>
  <c r="U53" i="57"/>
  <c r="AA57" i="57"/>
  <c r="AP21" i="48"/>
  <c r="AP20" i="48"/>
  <c r="AB57" i="57" l="1"/>
  <c r="AC53" i="57"/>
  <c r="AM60" i="46"/>
  <c r="AR60" i="46"/>
  <c r="BA60" i="46" s="1"/>
  <c r="Q57" i="46"/>
  <c r="V58" i="46"/>
  <c r="T58" i="46"/>
  <c r="AR59" i="46"/>
  <c r="BA59" i="46" s="1"/>
  <c r="AM59" i="46"/>
  <c r="AR58" i="46"/>
  <c r="BA58" i="46" s="1"/>
  <c r="AM58" i="46"/>
  <c r="AR57" i="46"/>
  <c r="BA57" i="46" s="1"/>
  <c r="AM57" i="46"/>
  <c r="Z57" i="46"/>
  <c r="Y57" i="46"/>
  <c r="V57" i="46"/>
  <c r="AR55" i="46"/>
  <c r="BA55" i="46" s="1"/>
  <c r="AM55" i="46"/>
  <c r="AR54" i="46"/>
  <c r="BA54" i="46" s="1"/>
  <c r="AM54" i="46"/>
  <c r="AR53" i="46"/>
  <c r="BA53" i="46" s="1"/>
  <c r="AM53" i="46"/>
  <c r="Z53" i="46"/>
  <c r="Y53" i="46"/>
  <c r="N20" i="48"/>
  <c r="F26" i="22"/>
  <c r="F9" i="22"/>
  <c r="I38" i="22"/>
  <c r="I39" i="47" s="1"/>
  <c r="Q35" i="22"/>
  <c r="W10" i="22"/>
  <c r="X9" i="22"/>
  <c r="V9" i="22"/>
  <c r="Y9" i="22" s="1"/>
  <c r="X8" i="22"/>
  <c r="Y8" i="22"/>
  <c r="X7" i="22"/>
  <c r="V7" i="22"/>
  <c r="Y7" i="22" s="1"/>
  <c r="X6" i="22"/>
  <c r="V6" i="22"/>
  <c r="Y6" i="22" s="1"/>
  <c r="G42" i="22"/>
  <c r="I37" i="22" s="1"/>
  <c r="F42" i="22"/>
  <c r="N40" i="22"/>
  <c r="Q26" i="22"/>
  <c r="R26" i="22" s="1"/>
  <c r="Q25" i="22"/>
  <c r="R25" i="22" s="1"/>
  <c r="P26" i="22"/>
  <c r="P25" i="22"/>
  <c r="S25" i="22" s="1"/>
  <c r="R28" i="22"/>
  <c r="P28" i="22"/>
  <c r="S28" i="22" s="1"/>
  <c r="R27" i="22"/>
  <c r="P27" i="22"/>
  <c r="S27" i="22" s="1"/>
  <c r="Q10" i="22"/>
  <c r="R9" i="22"/>
  <c r="P9" i="22"/>
  <c r="S9" i="22" s="1"/>
  <c r="R8" i="22"/>
  <c r="P8" i="22"/>
  <c r="S8" i="22" s="1"/>
  <c r="R7" i="22"/>
  <c r="P7" i="22"/>
  <c r="S7" i="22" s="1"/>
  <c r="R6" i="22"/>
  <c r="P6" i="22"/>
  <c r="S6" i="22" s="1"/>
  <c r="J4" i="22"/>
  <c r="F26" i="21"/>
  <c r="I38" i="21"/>
  <c r="I37" i="47" s="1"/>
  <c r="G42" i="21"/>
  <c r="I37" i="21" s="1"/>
  <c r="F42" i="21"/>
  <c r="P8" i="21"/>
  <c r="S8" i="21" s="1"/>
  <c r="R9" i="21"/>
  <c r="P9" i="21"/>
  <c r="S9" i="21" s="1"/>
  <c r="R8" i="21"/>
  <c r="R7" i="21"/>
  <c r="P7" i="21"/>
  <c r="S7" i="21" s="1"/>
  <c r="R6" i="21"/>
  <c r="P6" i="21"/>
  <c r="S6" i="21" s="1"/>
  <c r="J4" i="21"/>
  <c r="Y10" i="22" l="1"/>
  <c r="Y11" i="22" s="1"/>
  <c r="AD57" i="46"/>
  <c r="C57" i="46"/>
  <c r="K57" i="46"/>
  <c r="AD54" i="46"/>
  <c r="N21" i="48"/>
  <c r="U58" i="46"/>
  <c r="L20" i="48"/>
  <c r="AD60" i="46"/>
  <c r="AD58" i="46"/>
  <c r="P58" i="46"/>
  <c r="AD59" i="46"/>
  <c r="P57" i="46"/>
  <c r="U57" i="46"/>
  <c r="T57" i="46"/>
  <c r="AD55" i="46"/>
  <c r="AD53" i="46"/>
  <c r="T53" i="46"/>
  <c r="P53" i="46"/>
  <c r="U53" i="46"/>
  <c r="V53" i="46"/>
  <c r="X10" i="22"/>
  <c r="X11" i="22" s="1"/>
  <c r="Q29" i="22"/>
  <c r="Q31" i="22" s="1"/>
  <c r="S26" i="22"/>
  <c r="S29" i="22" s="1"/>
  <c r="R29" i="22"/>
  <c r="S10" i="22"/>
  <c r="S11" i="22" s="1"/>
  <c r="R10" i="22"/>
  <c r="R11" i="22" s="1"/>
  <c r="R10" i="21"/>
  <c r="S10" i="21"/>
  <c r="Q10" i="21"/>
  <c r="AQ20" i="2"/>
  <c r="AI20" i="2"/>
  <c r="K20" i="2"/>
  <c r="AC57" i="46" l="1"/>
  <c r="AA57" i="46"/>
  <c r="AC53" i="46"/>
  <c r="X57" i="46"/>
  <c r="L21" i="48"/>
  <c r="AB57" i="46"/>
  <c r="R30" i="22"/>
  <c r="S30" i="22"/>
  <c r="R11" i="21"/>
  <c r="S11" i="21"/>
  <c r="AR51" i="57"/>
  <c r="BA51" i="57" s="1"/>
  <c r="AM51" i="57"/>
  <c r="AR50" i="57"/>
  <c r="BA50" i="57" s="1"/>
  <c r="AM50" i="57"/>
  <c r="AR49" i="57"/>
  <c r="BA49" i="57" s="1"/>
  <c r="AM49" i="57"/>
  <c r="AD50" i="57" l="1"/>
  <c r="AD49" i="57"/>
  <c r="AD51" i="57"/>
  <c r="E35" i="47"/>
  <c r="G35" i="47" s="1"/>
  <c r="H35" i="47" s="1"/>
  <c r="O49" i="57" s="1"/>
  <c r="AP19" i="48"/>
  <c r="K49" i="57" l="1"/>
  <c r="C49" i="57"/>
  <c r="O49" i="46"/>
  <c r="C49" i="46" s="1"/>
  <c r="G42" i="23"/>
  <c r="F42" i="23"/>
  <c r="F9" i="23"/>
  <c r="I38" i="23"/>
  <c r="I35" i="47" s="1"/>
  <c r="K49" i="46" l="1"/>
  <c r="T49" i="57"/>
  <c r="AC49" i="57"/>
  <c r="U49" i="57"/>
  <c r="V49" i="57"/>
  <c r="P49" i="57"/>
  <c r="AR51" i="46"/>
  <c r="BA51" i="46" s="1"/>
  <c r="AM51" i="46"/>
  <c r="AR50" i="46"/>
  <c r="BA50" i="46" s="1"/>
  <c r="AM50" i="46"/>
  <c r="AR49" i="46"/>
  <c r="BA49" i="46" s="1"/>
  <c r="AM49" i="46"/>
  <c r="Z49" i="46"/>
  <c r="Y49" i="46"/>
  <c r="U49" i="46"/>
  <c r="N19" i="48"/>
  <c r="I37" i="23"/>
  <c r="Q28" i="23"/>
  <c r="R27" i="23"/>
  <c r="P27" i="23"/>
  <c r="S27" i="23" s="1"/>
  <c r="R26" i="23"/>
  <c r="P26" i="23"/>
  <c r="S26" i="23" s="1"/>
  <c r="R25" i="23"/>
  <c r="P25" i="23"/>
  <c r="S25" i="23" s="1"/>
  <c r="R24" i="23"/>
  <c r="P24" i="23"/>
  <c r="S24" i="23" s="1"/>
  <c r="R17" i="23"/>
  <c r="P17" i="23"/>
  <c r="S17" i="23" s="1"/>
  <c r="R16" i="23"/>
  <c r="P16" i="23"/>
  <c r="S16" i="23" s="1"/>
  <c r="R15" i="23"/>
  <c r="P15" i="23"/>
  <c r="S15" i="23" s="1"/>
  <c r="R14" i="23"/>
  <c r="P14" i="23"/>
  <c r="S14" i="23" s="1"/>
  <c r="Q8" i="23"/>
  <c r="R8" i="23" s="1"/>
  <c r="Q7" i="23"/>
  <c r="Q6" i="23"/>
  <c r="P6" i="23"/>
  <c r="S6" i="23" s="1"/>
  <c r="O7" i="23"/>
  <c r="P7" i="23" s="1"/>
  <c r="R9" i="23"/>
  <c r="P9" i="23"/>
  <c r="S9" i="23" s="1"/>
  <c r="P8" i="23"/>
  <c r="J4" i="23"/>
  <c r="Q10" i="23" l="1"/>
  <c r="S8" i="23"/>
  <c r="R6" i="23"/>
  <c r="R28" i="23"/>
  <c r="R29" i="23" s="1"/>
  <c r="AD51" i="46"/>
  <c r="AD50" i="46"/>
  <c r="AD49" i="46"/>
  <c r="V49" i="46"/>
  <c r="P49" i="46"/>
  <c r="T49" i="46"/>
  <c r="S28" i="23"/>
  <c r="S29" i="23" s="1"/>
  <c r="R18" i="23"/>
  <c r="S18" i="23"/>
  <c r="Q18" i="23"/>
  <c r="R19" i="23" s="1"/>
  <c r="R7" i="23"/>
  <c r="R10" i="23"/>
  <c r="S7" i="23"/>
  <c r="R11" i="23" l="1"/>
  <c r="S10" i="23"/>
  <c r="S11" i="23" s="1"/>
  <c r="AC49" i="46"/>
  <c r="BA19" i="48"/>
  <c r="L19" i="48"/>
  <c r="S19" i="23"/>
  <c r="AP18" i="48" l="1"/>
  <c r="AR47" i="57" l="1"/>
  <c r="BA47" i="57" s="1"/>
  <c r="AM47" i="57"/>
  <c r="AR46" i="57"/>
  <c r="BA46" i="57" s="1"/>
  <c r="AM46" i="57"/>
  <c r="AR45" i="57"/>
  <c r="BA45" i="57" s="1"/>
  <c r="AM45" i="57"/>
  <c r="E33" i="47"/>
  <c r="G33" i="47" s="1"/>
  <c r="F32" i="47"/>
  <c r="E32" i="47"/>
  <c r="C25" i="24"/>
  <c r="AD45" i="57" l="1"/>
  <c r="H32" i="47"/>
  <c r="O45" i="57" s="1"/>
  <c r="AD47" i="57"/>
  <c r="AD46" i="57"/>
  <c r="G32" i="47"/>
  <c r="AQ19" i="2"/>
  <c r="AI19" i="2"/>
  <c r="K19" i="2"/>
  <c r="C45" i="57" l="1"/>
  <c r="K45" i="57"/>
  <c r="O45" i="46"/>
  <c r="K45" i="46" s="1"/>
  <c r="L18" i="48" s="1"/>
  <c r="V45" i="57"/>
  <c r="AR47" i="46"/>
  <c r="BA47" i="46" s="1"/>
  <c r="AM47" i="46"/>
  <c r="AR46" i="46"/>
  <c r="BA46" i="46" s="1"/>
  <c r="AM46" i="46"/>
  <c r="AR45" i="46"/>
  <c r="BA45" i="46" s="1"/>
  <c r="AM45" i="46"/>
  <c r="F9" i="24"/>
  <c r="I38" i="24"/>
  <c r="I32" i="47" s="1"/>
  <c r="G42" i="24"/>
  <c r="I37" i="24" s="1"/>
  <c r="F42" i="24"/>
  <c r="Q26" i="24"/>
  <c r="R26" i="24" s="1"/>
  <c r="P25" i="24"/>
  <c r="S25" i="24" s="1"/>
  <c r="R28" i="24"/>
  <c r="P28" i="24"/>
  <c r="S28" i="24" s="1"/>
  <c r="P27" i="24"/>
  <c r="P26" i="24"/>
  <c r="R25" i="24"/>
  <c r="R9" i="24"/>
  <c r="P9" i="24"/>
  <c r="S9" i="24" s="1"/>
  <c r="Q10" i="24"/>
  <c r="P8" i="24"/>
  <c r="R7" i="24"/>
  <c r="P7" i="24"/>
  <c r="S7" i="24" s="1"/>
  <c r="R6" i="24"/>
  <c r="P6" i="24"/>
  <c r="S6" i="24" s="1"/>
  <c r="J4" i="24"/>
  <c r="Q27" i="24" l="1"/>
  <c r="R27" i="24" s="1"/>
  <c r="C45" i="46"/>
  <c r="N18" i="48" s="1"/>
  <c r="BA18" i="48"/>
  <c r="S26" i="24"/>
  <c r="P45" i="57"/>
  <c r="T45" i="57"/>
  <c r="AC45" i="57" s="1"/>
  <c r="U45" i="57"/>
  <c r="AD47" i="46"/>
  <c r="AD46" i="46"/>
  <c r="AD45" i="46"/>
  <c r="P45" i="46"/>
  <c r="T45" i="46"/>
  <c r="AC45" i="46" s="1"/>
  <c r="U45" i="46"/>
  <c r="V45" i="46"/>
  <c r="S27" i="24"/>
  <c r="S29" i="24"/>
  <c r="Q29" i="24"/>
  <c r="R29" i="24"/>
  <c r="S8" i="24"/>
  <c r="S10" i="24" s="1"/>
  <c r="S11" i="24" s="1"/>
  <c r="R8" i="24"/>
  <c r="R10" i="24" s="1"/>
  <c r="R11" i="24" s="1"/>
  <c r="F4" i="54"/>
  <c r="F3" i="54"/>
  <c r="G4" i="54"/>
  <c r="G3" i="54"/>
  <c r="H4" i="54"/>
  <c r="I4" i="54"/>
  <c r="J4" i="54"/>
  <c r="R30" i="24" l="1"/>
  <c r="S30" i="24"/>
  <c r="AR43" i="57"/>
  <c r="BA43" i="57" s="1"/>
  <c r="AM43" i="57"/>
  <c r="AR42" i="57"/>
  <c r="BA42" i="57" s="1"/>
  <c r="AM42" i="57"/>
  <c r="AR41" i="57"/>
  <c r="BA41" i="57" s="1"/>
  <c r="AM41" i="57"/>
  <c r="C25" i="25"/>
  <c r="AD42" i="57" l="1"/>
  <c r="AD43" i="57"/>
  <c r="AD41" i="57"/>
  <c r="AP17" i="48"/>
  <c r="F29" i="47"/>
  <c r="F28" i="47"/>
  <c r="E29" i="47"/>
  <c r="G29" i="47" s="1"/>
  <c r="E30" i="47"/>
  <c r="G30" i="47" s="1"/>
  <c r="E28" i="47"/>
  <c r="H28" i="47" l="1"/>
  <c r="O41" i="57" s="1"/>
  <c r="G28" i="47"/>
  <c r="C41" i="57" l="1"/>
  <c r="K41" i="57"/>
  <c r="O41" i="46"/>
  <c r="V41" i="57"/>
  <c r="T41" i="57"/>
  <c r="U41" i="57"/>
  <c r="P41" i="57"/>
  <c r="AQ18" i="2"/>
  <c r="AI18" i="2"/>
  <c r="K18" i="2"/>
  <c r="K41" i="46" l="1"/>
  <c r="L17" i="48" s="1"/>
  <c r="C41" i="46"/>
  <c r="BA17" i="48"/>
  <c r="AR43" i="46"/>
  <c r="BA43" i="46" s="1"/>
  <c r="AM43" i="46"/>
  <c r="AR42" i="46"/>
  <c r="BA42" i="46" s="1"/>
  <c r="AM42" i="46"/>
  <c r="AR41" i="46"/>
  <c r="BA41" i="46" s="1"/>
  <c r="AM41" i="46"/>
  <c r="F9" i="25"/>
  <c r="I38" i="25"/>
  <c r="I28" i="47" s="1"/>
  <c r="G42" i="25"/>
  <c r="I37" i="25" s="1"/>
  <c r="F42" i="25"/>
  <c r="P6" i="25"/>
  <c r="S6" i="25" s="1"/>
  <c r="R9" i="25"/>
  <c r="P9" i="25"/>
  <c r="S9" i="25" s="1"/>
  <c r="Q10" i="25"/>
  <c r="P8" i="25"/>
  <c r="S8" i="25" s="1"/>
  <c r="R7" i="25"/>
  <c r="P7" i="25"/>
  <c r="S7" i="25" s="1"/>
  <c r="R6" i="25"/>
  <c r="J4" i="25"/>
  <c r="AC41" i="57" l="1"/>
  <c r="AD43" i="46"/>
  <c r="AD42" i="46"/>
  <c r="AD41" i="46"/>
  <c r="P41" i="46"/>
  <c r="T41" i="46"/>
  <c r="AC41" i="46" s="1"/>
  <c r="U41" i="46"/>
  <c r="N17" i="48"/>
  <c r="V41" i="46"/>
  <c r="R8" i="25"/>
  <c r="R10" i="25" s="1"/>
  <c r="S10" i="25"/>
  <c r="AR39" i="57"/>
  <c r="BA39" i="57" s="1"/>
  <c r="AM39" i="57"/>
  <c r="AR38" i="57"/>
  <c r="BA38" i="57" s="1"/>
  <c r="AM38" i="57"/>
  <c r="AR37" i="57"/>
  <c r="BA37" i="57" s="1"/>
  <c r="AM37" i="57"/>
  <c r="Z34" i="46"/>
  <c r="AD38" i="57" l="1"/>
  <c r="AD39" i="57"/>
  <c r="AD37" i="57"/>
  <c r="E26" i="47" l="1"/>
  <c r="G26" i="47" s="1"/>
  <c r="H26" i="47" s="1"/>
  <c r="O37" i="57" s="1"/>
  <c r="C37" i="57" l="1"/>
  <c r="K37" i="57"/>
  <c r="O37" i="46"/>
  <c r="AP16" i="48"/>
  <c r="C37" i="46" l="1"/>
  <c r="K37" i="46"/>
  <c r="BA16" i="48"/>
  <c r="V37" i="57"/>
  <c r="P37" i="57"/>
  <c r="T37" i="57"/>
  <c r="AC37" i="57" s="1"/>
  <c r="U37" i="57"/>
  <c r="AQ17" i="2"/>
  <c r="AI17" i="2"/>
  <c r="K17" i="2"/>
  <c r="I38" i="26" l="1"/>
  <c r="I26" i="47" s="1"/>
  <c r="P15" i="26"/>
  <c r="S15" i="26" s="1"/>
  <c r="R17" i="26"/>
  <c r="P17" i="26"/>
  <c r="S17" i="26" s="1"/>
  <c r="R16" i="26"/>
  <c r="P16" i="26"/>
  <c r="S16" i="26" s="1"/>
  <c r="R15" i="26"/>
  <c r="R14" i="26"/>
  <c r="P14" i="26"/>
  <c r="S14" i="26" s="1"/>
  <c r="P6" i="26"/>
  <c r="S6" i="26" s="1"/>
  <c r="R9" i="26"/>
  <c r="P9" i="26"/>
  <c r="S9" i="26" s="1"/>
  <c r="P8" i="26"/>
  <c r="R7" i="26"/>
  <c r="P7" i="26"/>
  <c r="S7" i="26" s="1"/>
  <c r="R6" i="26"/>
  <c r="Q18" i="26" l="1"/>
  <c r="Q19" i="26" s="1"/>
  <c r="R18" i="26"/>
  <c r="S18" i="26"/>
  <c r="Q8" i="26"/>
  <c r="R8" i="26" s="1"/>
  <c r="R10" i="26" s="1"/>
  <c r="N16" i="48"/>
  <c r="AR39" i="46"/>
  <c r="BA39" i="46" s="1"/>
  <c r="AM39" i="46"/>
  <c r="AR38" i="46"/>
  <c r="BA38" i="46" s="1"/>
  <c r="AM38" i="46"/>
  <c r="AR37" i="46"/>
  <c r="BA37" i="46" s="1"/>
  <c r="AM37" i="46"/>
  <c r="J4" i="26"/>
  <c r="V37" i="46" l="1"/>
  <c r="AD39" i="46"/>
  <c r="AD38" i="46"/>
  <c r="AD37" i="46"/>
  <c r="S19" i="26"/>
  <c r="R19" i="26"/>
  <c r="Q10" i="26"/>
  <c r="Q11" i="26" s="1"/>
  <c r="S8" i="26"/>
  <c r="S10" i="26" s="1"/>
  <c r="P37" i="46"/>
  <c r="T37" i="46"/>
  <c r="U37" i="46"/>
  <c r="KV16" i="1"/>
  <c r="KV17" i="1"/>
  <c r="KV18" i="1"/>
  <c r="KV19" i="1"/>
  <c r="KV20" i="1"/>
  <c r="KV21" i="1"/>
  <c r="KV22" i="1"/>
  <c r="KV23" i="1"/>
  <c r="KV24" i="1"/>
  <c r="KV25" i="1"/>
  <c r="KV26" i="1"/>
  <c r="KV27" i="1"/>
  <c r="KV28" i="1"/>
  <c r="KV29" i="1"/>
  <c r="KV30" i="1"/>
  <c r="KV31" i="1"/>
  <c r="KV32" i="1"/>
  <c r="KV33" i="1"/>
  <c r="KV34" i="1"/>
  <c r="KV35" i="1"/>
  <c r="KV36" i="1"/>
  <c r="KV37" i="1"/>
  <c r="KV38" i="1"/>
  <c r="KV39" i="1"/>
  <c r="S11" i="26" l="1"/>
  <c r="AC37" i="46"/>
  <c r="L16" i="48"/>
  <c r="R11" i="26"/>
  <c r="AQ16" i="2"/>
  <c r="AI16" i="2"/>
  <c r="K16" i="2"/>
  <c r="AR35" i="57" l="1"/>
  <c r="BA35" i="57" s="1"/>
  <c r="AM35" i="57"/>
  <c r="AD35" i="57" s="1"/>
  <c r="AR34" i="57"/>
  <c r="BA34" i="57" s="1"/>
  <c r="AM34" i="57"/>
  <c r="AR33" i="57"/>
  <c r="BA33" i="57" s="1"/>
  <c r="AM33" i="57"/>
  <c r="W33" i="46"/>
  <c r="K11" i="28"/>
  <c r="W34" i="57" s="1"/>
  <c r="K8" i="28"/>
  <c r="W33" i="57" s="1"/>
  <c r="AD33" i="57" l="1"/>
  <c r="AD34" i="57"/>
  <c r="W34" i="46"/>
  <c r="E24" i="47"/>
  <c r="F24" i="47"/>
  <c r="F23" i="47"/>
  <c r="E23" i="47"/>
  <c r="AP15" i="48"/>
  <c r="G24" i="47" l="1"/>
  <c r="H24" i="47" s="1"/>
  <c r="O34" i="57" s="1"/>
  <c r="G23" i="47"/>
  <c r="H23" i="47" s="1"/>
  <c r="O33" i="57" s="1"/>
  <c r="C33" i="57" l="1"/>
  <c r="K33" i="57"/>
  <c r="K34" i="57"/>
  <c r="C34" i="57"/>
  <c r="O33" i="46"/>
  <c r="O34" i="46"/>
  <c r="AR35" i="46"/>
  <c r="BA35" i="46" s="1"/>
  <c r="AM35" i="46"/>
  <c r="AR34" i="46"/>
  <c r="BA34" i="46" s="1"/>
  <c r="AM34" i="46"/>
  <c r="AR33" i="46"/>
  <c r="BA33" i="46" s="1"/>
  <c r="AM33" i="46"/>
  <c r="F26" i="28"/>
  <c r="F17" i="28"/>
  <c r="I38" i="28"/>
  <c r="I23" i="47" s="1"/>
  <c r="Q37" i="28"/>
  <c r="X15" i="28"/>
  <c r="Y10" i="28"/>
  <c r="Z10" i="28"/>
  <c r="Z9" i="28"/>
  <c r="Y9" i="28"/>
  <c r="Z7" i="28"/>
  <c r="Y6" i="28"/>
  <c r="Z6" i="28"/>
  <c r="G42" i="28"/>
  <c r="I37" i="28" s="1"/>
  <c r="F42" i="28"/>
  <c r="R27" i="28"/>
  <c r="P27" i="28"/>
  <c r="S27" i="28" s="1"/>
  <c r="P26" i="28"/>
  <c r="Q25" i="28"/>
  <c r="P25" i="28"/>
  <c r="R24" i="28"/>
  <c r="P24" i="28"/>
  <c r="S24" i="28" s="1"/>
  <c r="Q15" i="28"/>
  <c r="R15" i="28" s="1"/>
  <c r="R17" i="28"/>
  <c r="P17" i="28"/>
  <c r="S17" i="28" s="1"/>
  <c r="P16" i="28"/>
  <c r="P15" i="28"/>
  <c r="R14" i="28"/>
  <c r="P14" i="28"/>
  <c r="S14" i="28" s="1"/>
  <c r="Q7" i="28"/>
  <c r="Q6" i="28"/>
  <c r="R9" i="28"/>
  <c r="P9" i="28"/>
  <c r="S9" i="28" s="1"/>
  <c r="P8" i="28"/>
  <c r="P7" i="28"/>
  <c r="P6" i="28"/>
  <c r="J4" i="28"/>
  <c r="X33" i="57" l="1"/>
  <c r="Q8" i="28"/>
  <c r="R8" i="28" s="1"/>
  <c r="K34" i="46"/>
  <c r="C34" i="46"/>
  <c r="C33" i="46"/>
  <c r="N15" i="48" s="1"/>
  <c r="K33" i="46"/>
  <c r="R6" i="28"/>
  <c r="AD34" i="46"/>
  <c r="S15" i="28"/>
  <c r="U34" i="46"/>
  <c r="V34" i="57"/>
  <c r="T34" i="57"/>
  <c r="U34" i="57"/>
  <c r="P34" i="57"/>
  <c r="P33" i="57"/>
  <c r="V33" i="57"/>
  <c r="U33" i="57"/>
  <c r="T33" i="57"/>
  <c r="V34" i="46"/>
  <c r="V33" i="46"/>
  <c r="T34" i="46"/>
  <c r="P34" i="46"/>
  <c r="AD33" i="46"/>
  <c r="AD35" i="46"/>
  <c r="P33" i="46"/>
  <c r="T33" i="46"/>
  <c r="U33" i="46"/>
  <c r="Y7" i="28"/>
  <c r="Z8" i="28"/>
  <c r="Z15" i="28" s="1"/>
  <c r="Q26" i="28"/>
  <c r="R26" i="28" s="1"/>
  <c r="R25" i="28"/>
  <c r="S25" i="28"/>
  <c r="Q16" i="28"/>
  <c r="R16" i="28" s="1"/>
  <c r="R18" i="28" s="1"/>
  <c r="S8" i="28"/>
  <c r="Q10" i="28"/>
  <c r="Q11" i="28" s="1"/>
  <c r="S6" i="28"/>
  <c r="S7" i="28"/>
  <c r="R7" i="28"/>
  <c r="KV10" i="1"/>
  <c r="KV11" i="1"/>
  <c r="KV12" i="1"/>
  <c r="KV13" i="1"/>
  <c r="KV14" i="1"/>
  <c r="KV9" i="1"/>
  <c r="R10" i="28" l="1"/>
  <c r="R28" i="28"/>
  <c r="R11" i="28"/>
  <c r="S10" i="28"/>
  <c r="S11" i="28" s="1"/>
  <c r="X33" i="46"/>
  <c r="AC33" i="57"/>
  <c r="BA15" i="48"/>
  <c r="AC33" i="46"/>
  <c r="L15" i="48"/>
  <c r="Y8" i="28"/>
  <c r="Y15" i="28" s="1"/>
  <c r="X16" i="28"/>
  <c r="S26" i="28"/>
  <c r="S28" i="28" s="1"/>
  <c r="Q28" i="28"/>
  <c r="Q29" i="28" s="1"/>
  <c r="Q18" i="28"/>
  <c r="Q19" i="28" s="1"/>
  <c r="S16" i="28"/>
  <c r="S18" i="28" s="1"/>
  <c r="S19" i="28" s="1"/>
  <c r="AQ15" i="2"/>
  <c r="AQ14" i="2"/>
  <c r="AI15" i="2"/>
  <c r="AI14" i="2"/>
  <c r="K15" i="2"/>
  <c r="K14" i="2"/>
  <c r="S29" i="28" l="1"/>
  <c r="Y16" i="28"/>
  <c r="Z16" i="28"/>
  <c r="R29" i="28"/>
  <c r="R19" i="28"/>
  <c r="AR31" i="57"/>
  <c r="BA31" i="57" s="1"/>
  <c r="AM31" i="57"/>
  <c r="AR30" i="57"/>
  <c r="BA30" i="57" s="1"/>
  <c r="AM30" i="57"/>
  <c r="AR29" i="57"/>
  <c r="BA29" i="57" s="1"/>
  <c r="AM29" i="57"/>
  <c r="AR27" i="57"/>
  <c r="BA27" i="57" s="1"/>
  <c r="AM27" i="57"/>
  <c r="AR26" i="57"/>
  <c r="BA26" i="57" s="1"/>
  <c r="AM26" i="57"/>
  <c r="AR25" i="57"/>
  <c r="BA25" i="57" s="1"/>
  <c r="AM25" i="57"/>
  <c r="K8" i="29"/>
  <c r="W27" i="57" s="1"/>
  <c r="K9" i="29"/>
  <c r="W25" i="57" s="1"/>
  <c r="C8" i="29"/>
  <c r="K10" i="29" s="1"/>
  <c r="W26" i="57" s="1"/>
  <c r="W26" i="46" l="1"/>
  <c r="W27" i="46"/>
  <c r="W25" i="46"/>
  <c r="AD25" i="57"/>
  <c r="AD29" i="57"/>
  <c r="AD27" i="57"/>
  <c r="AD30" i="57"/>
  <c r="AD26" i="57"/>
  <c r="AD31" i="57"/>
  <c r="F21" i="47" l="1"/>
  <c r="F20" i="47"/>
  <c r="E21" i="47"/>
  <c r="E20" i="47"/>
  <c r="F18" i="47"/>
  <c r="E18" i="47"/>
  <c r="G18" i="47" s="1"/>
  <c r="H18" i="47" s="1"/>
  <c r="O27" i="57" s="1"/>
  <c r="F17" i="47"/>
  <c r="E17" i="47"/>
  <c r="F16" i="47"/>
  <c r="E16" i="47"/>
  <c r="G16" i="47" s="1"/>
  <c r="H16" i="47" s="1"/>
  <c r="O25" i="57" s="1"/>
  <c r="C27" i="57" l="1"/>
  <c r="K27" i="57"/>
  <c r="C25" i="57"/>
  <c r="K25" i="57"/>
  <c r="O25" i="46"/>
  <c r="O27" i="46"/>
  <c r="H20" i="47"/>
  <c r="O29" i="57" s="1"/>
  <c r="G17" i="47"/>
  <c r="H17" i="47" s="1"/>
  <c r="O26" i="57" s="1"/>
  <c r="P27" i="57"/>
  <c r="T27" i="57"/>
  <c r="G20" i="47"/>
  <c r="U25" i="57"/>
  <c r="V25" i="57"/>
  <c r="T25" i="57"/>
  <c r="P25" i="57"/>
  <c r="G21" i="47"/>
  <c r="AP13" i="48"/>
  <c r="AP14" i="48"/>
  <c r="C29" i="57" l="1"/>
  <c r="K29" i="57"/>
  <c r="K26" i="57"/>
  <c r="X25" i="57" s="1"/>
  <c r="C26" i="57"/>
  <c r="O26" i="46"/>
  <c r="C26" i="46"/>
  <c r="K26" i="46"/>
  <c r="C27" i="46"/>
  <c r="K27" i="46"/>
  <c r="U27" i="57"/>
  <c r="C25" i="46"/>
  <c r="K25" i="46"/>
  <c r="T29" i="57"/>
  <c r="O29" i="46"/>
  <c r="P29" i="46" s="1"/>
  <c r="V27" i="57"/>
  <c r="AC25" i="57"/>
  <c r="U29" i="57"/>
  <c r="T27" i="46"/>
  <c r="AR31" i="46"/>
  <c r="BA31" i="46" s="1"/>
  <c r="AM31" i="46"/>
  <c r="AR30" i="46"/>
  <c r="BA30" i="46" s="1"/>
  <c r="AM30" i="46"/>
  <c r="AR29" i="46"/>
  <c r="BA29" i="46" s="1"/>
  <c r="AM29" i="46"/>
  <c r="AR27" i="46"/>
  <c r="BA27" i="46" s="1"/>
  <c r="AM27" i="46"/>
  <c r="AR26" i="46"/>
  <c r="BA26" i="46" s="1"/>
  <c r="AM26" i="46"/>
  <c r="AR25" i="46"/>
  <c r="BA25" i="46" s="1"/>
  <c r="AM25" i="46"/>
  <c r="F26" i="27"/>
  <c r="F17" i="27"/>
  <c r="F9" i="27"/>
  <c r="I38" i="27"/>
  <c r="I20" i="47" s="1"/>
  <c r="R26" i="27"/>
  <c r="P26" i="27"/>
  <c r="S26" i="27" s="1"/>
  <c r="R25" i="27"/>
  <c r="P25" i="27"/>
  <c r="S25" i="27" s="1"/>
  <c r="Q24" i="27"/>
  <c r="Q27" i="27" s="1"/>
  <c r="Q28" i="27" s="1"/>
  <c r="P24" i="27"/>
  <c r="R23" i="27"/>
  <c r="P23" i="27"/>
  <c r="S23" i="27" s="1"/>
  <c r="R17" i="27"/>
  <c r="P17" i="27"/>
  <c r="S17" i="27" s="1"/>
  <c r="R16" i="27"/>
  <c r="P16" i="27"/>
  <c r="S16" i="27" s="1"/>
  <c r="Q15" i="27"/>
  <c r="Q18" i="27" s="1"/>
  <c r="Q19" i="27" s="1"/>
  <c r="P15" i="27"/>
  <c r="R14" i="27"/>
  <c r="P14" i="27"/>
  <c r="S14" i="27" s="1"/>
  <c r="R9" i="27"/>
  <c r="P9" i="27"/>
  <c r="S9" i="27" s="1"/>
  <c r="R8" i="27"/>
  <c r="P8" i="27"/>
  <c r="S8" i="27" s="1"/>
  <c r="Q7" i="27"/>
  <c r="R7" i="27" s="1"/>
  <c r="P7" i="27"/>
  <c r="R6" i="27"/>
  <c r="P6" i="27"/>
  <c r="S6" i="27" s="1"/>
  <c r="J4" i="27"/>
  <c r="F9" i="29"/>
  <c r="I38" i="29"/>
  <c r="I16" i="47" s="1"/>
  <c r="Q36" i="29"/>
  <c r="R27" i="29"/>
  <c r="P27" i="29"/>
  <c r="S27" i="29" s="1"/>
  <c r="R26" i="29"/>
  <c r="P26" i="29"/>
  <c r="S26" i="29" s="1"/>
  <c r="Q25" i="29"/>
  <c r="R25" i="29" s="1"/>
  <c r="P25" i="29"/>
  <c r="R24" i="29"/>
  <c r="P24" i="29"/>
  <c r="S24" i="29" s="1"/>
  <c r="Q14" i="29"/>
  <c r="Q15" i="29" s="1"/>
  <c r="Q18" i="29" s="1"/>
  <c r="Q19" i="29" s="1"/>
  <c r="R17" i="29"/>
  <c r="P17" i="29"/>
  <c r="S17" i="29" s="1"/>
  <c r="R16" i="29"/>
  <c r="P16" i="29"/>
  <c r="S16" i="29" s="1"/>
  <c r="P15" i="29"/>
  <c r="P14" i="29"/>
  <c r="Q7" i="29"/>
  <c r="R7" i="29" s="1"/>
  <c r="P8" i="29"/>
  <c r="R10" i="29"/>
  <c r="P10" i="29"/>
  <c r="S10" i="29" s="1"/>
  <c r="R9" i="29"/>
  <c r="P9" i="29"/>
  <c r="S9" i="29" s="1"/>
  <c r="P7" i="29"/>
  <c r="J4" i="29"/>
  <c r="V29" i="57" l="1"/>
  <c r="P29" i="57"/>
  <c r="AD27" i="46"/>
  <c r="C29" i="46"/>
  <c r="N14" i="48" s="1"/>
  <c r="K29" i="46"/>
  <c r="BA14" i="48"/>
  <c r="V26" i="57"/>
  <c r="Q8" i="29"/>
  <c r="R8" i="29" s="1"/>
  <c r="S7" i="29"/>
  <c r="R24" i="27"/>
  <c r="R27" i="27" s="1"/>
  <c r="R28" i="27" s="1"/>
  <c r="P26" i="57"/>
  <c r="U26" i="57"/>
  <c r="T26" i="57"/>
  <c r="R10" i="27"/>
  <c r="R14" i="29"/>
  <c r="S7" i="27"/>
  <c r="S10" i="27" s="1"/>
  <c r="S15" i="27"/>
  <c r="S18" i="27" s="1"/>
  <c r="S19" i="27" s="1"/>
  <c r="S24" i="27"/>
  <c r="S27" i="27" s="1"/>
  <c r="S28" i="27" s="1"/>
  <c r="AD26" i="46"/>
  <c r="U26" i="46"/>
  <c r="T26" i="46"/>
  <c r="V29" i="46"/>
  <c r="N13" i="48"/>
  <c r="P26" i="46"/>
  <c r="U27" i="46"/>
  <c r="V26" i="46"/>
  <c r="AD31" i="46"/>
  <c r="AD30" i="46"/>
  <c r="AD29" i="46"/>
  <c r="T29" i="46"/>
  <c r="U29" i="46"/>
  <c r="P27" i="46"/>
  <c r="V27" i="46"/>
  <c r="AD25" i="46"/>
  <c r="U25" i="46"/>
  <c r="P25" i="46"/>
  <c r="T25" i="46"/>
  <c r="V25" i="46"/>
  <c r="R15" i="27"/>
  <c r="R18" i="27" s="1"/>
  <c r="R19" i="27" s="1"/>
  <c r="Q10" i="27"/>
  <c r="Q11" i="27" s="1"/>
  <c r="S25" i="29"/>
  <c r="S28" i="29" s="1"/>
  <c r="R28" i="29"/>
  <c r="Q28" i="29"/>
  <c r="Q29" i="29" s="1"/>
  <c r="S14" i="29"/>
  <c r="S15" i="29"/>
  <c r="R15" i="29"/>
  <c r="R11" i="29"/>
  <c r="F23" i="27"/>
  <c r="F14" i="27"/>
  <c r="R18" i="29" l="1"/>
  <c r="R19" i="29" s="1"/>
  <c r="Q11" i="29"/>
  <c r="Q12" i="29" s="1"/>
  <c r="S8" i="29"/>
  <c r="S11" i="29"/>
  <c r="S12" i="29" s="1"/>
  <c r="AC29" i="57"/>
  <c r="S18" i="29"/>
  <c r="S19" i="29" s="1"/>
  <c r="BA13" i="48"/>
  <c r="X25" i="46"/>
  <c r="L13" i="48"/>
  <c r="AC25" i="46"/>
  <c r="L14" i="48"/>
  <c r="AC29" i="46"/>
  <c r="S11" i="27"/>
  <c r="R11" i="27"/>
  <c r="S29" i="29"/>
  <c r="R29" i="29"/>
  <c r="R12" i="29"/>
  <c r="C4" i="54"/>
  <c r="C3" i="54"/>
  <c r="D4" i="54"/>
  <c r="D3" i="54"/>
  <c r="E4" i="54"/>
  <c r="E3" i="54"/>
  <c r="B4" i="54"/>
  <c r="B3" i="54"/>
  <c r="AR23" i="57" l="1"/>
  <c r="BA23" i="57" s="1"/>
  <c r="AM23" i="57"/>
  <c r="AR22" i="57"/>
  <c r="BA22" i="57" s="1"/>
  <c r="AM22" i="57"/>
  <c r="AR21" i="57"/>
  <c r="BA21" i="57" s="1"/>
  <c r="AM21" i="57"/>
  <c r="F14" i="47"/>
  <c r="E14" i="47"/>
  <c r="AD22" i="57" l="1"/>
  <c r="AD21" i="57"/>
  <c r="AD23" i="57"/>
  <c r="G14" i="47"/>
  <c r="H14" i="47" s="1"/>
  <c r="O21" i="57" s="1"/>
  <c r="AQ13" i="2"/>
  <c r="AI13" i="2"/>
  <c r="K13" i="2"/>
  <c r="C21" i="57" l="1"/>
  <c r="K21" i="57"/>
  <c r="O21" i="46"/>
  <c r="AP12" i="48"/>
  <c r="C21" i="46" l="1"/>
  <c r="K21" i="46"/>
  <c r="BA12" i="48"/>
  <c r="V21" i="57"/>
  <c r="P21" i="57"/>
  <c r="T21" i="57"/>
  <c r="U21" i="57"/>
  <c r="F9" i="30"/>
  <c r="I38" i="30"/>
  <c r="I14" i="47" s="1"/>
  <c r="AC21" i="57" l="1"/>
  <c r="AR23" i="46"/>
  <c r="BA23" i="46" s="1"/>
  <c r="AM23" i="46"/>
  <c r="AD23" i="46" s="1"/>
  <c r="AR22" i="46"/>
  <c r="BA22" i="46" s="1"/>
  <c r="AM22" i="46"/>
  <c r="AR21" i="46"/>
  <c r="BA21" i="46" s="1"/>
  <c r="AM21" i="46"/>
  <c r="N12" i="48"/>
  <c r="J4" i="30"/>
  <c r="AD22" i="46" l="1"/>
  <c r="AD21" i="46"/>
  <c r="V21" i="46"/>
  <c r="P21" i="46"/>
  <c r="U21" i="46"/>
  <c r="L12" i="48"/>
  <c r="T21" i="46"/>
  <c r="AC21" i="46" l="1"/>
  <c r="AQ12" i="2" l="1"/>
  <c r="AI12" i="2"/>
  <c r="K12" i="2"/>
  <c r="AR19" i="57"/>
  <c r="BA19" i="57" s="1"/>
  <c r="AM19" i="57"/>
  <c r="AR18" i="57"/>
  <c r="BA18" i="57" s="1"/>
  <c r="AM18" i="57"/>
  <c r="AR17" i="57"/>
  <c r="BA17" i="57" s="1"/>
  <c r="AD17" i="57" s="1"/>
  <c r="AM17" i="57"/>
  <c r="J9" i="31"/>
  <c r="AD19" i="57" l="1"/>
  <c r="AD18" i="57"/>
  <c r="F12" i="47" l="1"/>
  <c r="F11" i="47"/>
  <c r="E12" i="47"/>
  <c r="E11" i="47"/>
  <c r="E10" i="47"/>
  <c r="G12" i="47" l="1"/>
  <c r="H10" i="47"/>
  <c r="O17" i="57" s="1"/>
  <c r="G11" i="47"/>
  <c r="G10" i="47"/>
  <c r="C17" i="57" l="1"/>
  <c r="K17" i="57"/>
  <c r="O17" i="46"/>
  <c r="AP11" i="48"/>
  <c r="C17" i="46" l="1"/>
  <c r="K17" i="46"/>
  <c r="BA11" i="48"/>
  <c r="P17" i="57"/>
  <c r="T17" i="57"/>
  <c r="V17" i="57"/>
  <c r="U17" i="57"/>
  <c r="N11" i="48"/>
  <c r="AR19" i="46"/>
  <c r="BA19" i="46" s="1"/>
  <c r="AM19" i="46"/>
  <c r="AR18" i="46"/>
  <c r="BA18" i="46" s="1"/>
  <c r="AM18" i="46"/>
  <c r="AR17" i="46"/>
  <c r="BA17" i="46" s="1"/>
  <c r="AM17" i="46"/>
  <c r="Z17" i="46"/>
  <c r="F9" i="31"/>
  <c r="I38" i="31"/>
  <c r="I10" i="47" s="1"/>
  <c r="P8" i="31"/>
  <c r="S8" i="31" s="1"/>
  <c r="P9" i="31"/>
  <c r="S9" i="31" s="1"/>
  <c r="R10" i="31"/>
  <c r="P10" i="31"/>
  <c r="S10" i="31" s="1"/>
  <c r="R9" i="31"/>
  <c r="Q11" i="31"/>
  <c r="Q12" i="31" s="1"/>
  <c r="R7" i="31"/>
  <c r="P7" i="31"/>
  <c r="S7" i="31" s="1"/>
  <c r="J4" i="31"/>
  <c r="AC17" i="57" l="1"/>
  <c r="L11" i="48"/>
  <c r="V17" i="46"/>
  <c r="U17" i="46"/>
  <c r="AD19" i="46"/>
  <c r="AD18" i="46"/>
  <c r="AD17" i="46"/>
  <c r="P17" i="46"/>
  <c r="T17" i="46"/>
  <c r="S11" i="31"/>
  <c r="S12" i="31" s="1"/>
  <c r="R8" i="31"/>
  <c r="R11" i="31" s="1"/>
  <c r="R12" i="31" s="1"/>
  <c r="AC17" i="46" l="1"/>
  <c r="AQ11" i="2"/>
  <c r="AI11" i="2"/>
  <c r="K11" i="2"/>
  <c r="AP10" i="48" l="1"/>
  <c r="M9" i="45"/>
  <c r="M10" i="45"/>
  <c r="M11" i="45"/>
  <c r="M12" i="45"/>
  <c r="M13" i="45"/>
  <c r="M14" i="45"/>
  <c r="M15" i="45"/>
  <c r="M16" i="45"/>
  <c r="M17" i="45"/>
  <c r="M18" i="45"/>
  <c r="M19" i="45"/>
  <c r="M20" i="45"/>
  <c r="M21" i="45"/>
  <c r="M22" i="45"/>
  <c r="M23" i="45"/>
  <c r="M24" i="45"/>
  <c r="M25" i="45"/>
  <c r="M26" i="45"/>
  <c r="M27" i="45"/>
  <c r="M28" i="45"/>
  <c r="M29" i="45"/>
  <c r="M30" i="45"/>
  <c r="M31" i="45"/>
  <c r="M32" i="45"/>
  <c r="M33" i="45"/>
  <c r="M34" i="45"/>
  <c r="M35" i="45"/>
  <c r="M36" i="45"/>
  <c r="M37" i="45"/>
  <c r="M38" i="45"/>
  <c r="M8" i="45"/>
  <c r="I9" i="45"/>
  <c r="I10" i="45"/>
  <c r="I11" i="45"/>
  <c r="I12" i="45"/>
  <c r="I13" i="45"/>
  <c r="I14" i="45"/>
  <c r="I15" i="45"/>
  <c r="I16" i="45"/>
  <c r="I17" i="45"/>
  <c r="I18" i="45"/>
  <c r="I19" i="45"/>
  <c r="I20" i="45"/>
  <c r="I21" i="45"/>
  <c r="I22" i="45"/>
  <c r="I23" i="45"/>
  <c r="I24" i="45"/>
  <c r="I25" i="45"/>
  <c r="I26" i="45"/>
  <c r="I27" i="45"/>
  <c r="I28" i="45"/>
  <c r="I29" i="45"/>
  <c r="I30" i="45"/>
  <c r="I31" i="45"/>
  <c r="I32" i="45"/>
  <c r="I33" i="45"/>
  <c r="I34" i="45"/>
  <c r="I35" i="45"/>
  <c r="I36" i="45"/>
  <c r="I37" i="45"/>
  <c r="I38" i="45"/>
  <c r="I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E34" i="45"/>
  <c r="E35" i="45"/>
  <c r="E36" i="45"/>
  <c r="E37" i="45"/>
  <c r="E38" i="45"/>
  <c r="E8" i="45"/>
  <c r="Q6" i="57" l="1"/>
  <c r="R6" i="57"/>
  <c r="AW10" i="57"/>
  <c r="AR15" i="57"/>
  <c r="BA15" i="57" s="1"/>
  <c r="AM15" i="57"/>
  <c r="AR14" i="57"/>
  <c r="BA14" i="57" s="1"/>
  <c r="AM14" i="57"/>
  <c r="AR13" i="57"/>
  <c r="BA13" i="57" s="1"/>
  <c r="AM13" i="57"/>
  <c r="AR12" i="57"/>
  <c r="BA12" i="57" s="1"/>
  <c r="AM12" i="57"/>
  <c r="Q12" i="57"/>
  <c r="F8" i="47"/>
  <c r="E8" i="47"/>
  <c r="E7" i="47"/>
  <c r="C25" i="32"/>
  <c r="C26" i="32" s="1"/>
  <c r="K9" i="32" s="1"/>
  <c r="W13" i="57" s="1"/>
  <c r="G8" i="47" l="1"/>
  <c r="H8" i="47" s="1"/>
  <c r="O13" i="57" s="1"/>
  <c r="K8" i="32"/>
  <c r="W12" i="57" s="1"/>
  <c r="W13" i="46"/>
  <c r="AD12" i="57"/>
  <c r="AD15" i="57"/>
  <c r="AD13" i="57"/>
  <c r="AD14" i="57"/>
  <c r="G7" i="47"/>
  <c r="H7" i="47" s="1"/>
  <c r="O12" i="57" s="1"/>
  <c r="C12" i="57" l="1"/>
  <c r="K12" i="57"/>
  <c r="K13" i="57"/>
  <c r="C13" i="57"/>
  <c r="O12" i="46"/>
  <c r="T13" i="57"/>
  <c r="O13" i="46"/>
  <c r="W12" i="46"/>
  <c r="P13" i="57"/>
  <c r="V13" i="57"/>
  <c r="U13" i="57"/>
  <c r="Q12" i="46"/>
  <c r="AR15" i="46"/>
  <c r="BA15" i="46" s="1"/>
  <c r="AM15" i="46"/>
  <c r="AR14" i="46"/>
  <c r="BA14" i="46" s="1"/>
  <c r="AM14" i="46"/>
  <c r="AR13" i="46"/>
  <c r="BA13" i="46" s="1"/>
  <c r="AM13" i="46"/>
  <c r="AR12" i="46"/>
  <c r="BA12" i="46" s="1"/>
  <c r="AM12" i="46"/>
  <c r="Z12" i="46"/>
  <c r="I38" i="32"/>
  <c r="I7" i="47" s="1"/>
  <c r="Q34" i="32"/>
  <c r="Z10" i="32"/>
  <c r="Y10" i="32"/>
  <c r="Z9" i="32"/>
  <c r="Y9" i="32"/>
  <c r="Y8" i="32"/>
  <c r="Z8" i="32"/>
  <c r="W7" i="32"/>
  <c r="X6" i="32"/>
  <c r="Y6" i="32" s="1"/>
  <c r="W6" i="32"/>
  <c r="G42" i="32"/>
  <c r="I37" i="32" s="1"/>
  <c r="F42" i="32"/>
  <c r="N40" i="32"/>
  <c r="Q22" i="32"/>
  <c r="Q23" i="32" s="1"/>
  <c r="R25" i="32"/>
  <c r="P25" i="32"/>
  <c r="S25" i="32" s="1"/>
  <c r="P24" i="32"/>
  <c r="P23" i="32"/>
  <c r="P22" i="32"/>
  <c r="Q15" i="32"/>
  <c r="Q16" i="32" s="1"/>
  <c r="R16" i="32" s="1"/>
  <c r="R17" i="32"/>
  <c r="P17" i="32"/>
  <c r="S17" i="32" s="1"/>
  <c r="P16" i="32"/>
  <c r="P15" i="32"/>
  <c r="R14" i="32"/>
  <c r="P14" i="32"/>
  <c r="S14" i="32" s="1"/>
  <c r="Q6" i="32"/>
  <c r="Q7" i="32" s="1"/>
  <c r="R7" i="32" s="1"/>
  <c r="R9" i="32"/>
  <c r="P9" i="32"/>
  <c r="S9" i="32" s="1"/>
  <c r="R8" i="32"/>
  <c r="P8" i="32"/>
  <c r="S8" i="32" s="1"/>
  <c r="P7" i="32"/>
  <c r="P6" i="32"/>
  <c r="J4" i="32"/>
  <c r="X12" i="57" l="1"/>
  <c r="C13" i="46"/>
  <c r="K13" i="46"/>
  <c r="C12" i="46"/>
  <c r="K12" i="46"/>
  <c r="BA10" i="48" s="1"/>
  <c r="Z6" i="32"/>
  <c r="AD14" i="46"/>
  <c r="R22" i="32"/>
  <c r="S22" i="32"/>
  <c r="S15" i="32"/>
  <c r="S6" i="32"/>
  <c r="X7" i="32"/>
  <c r="Y7" i="32" s="1"/>
  <c r="Y11" i="32" s="1"/>
  <c r="N10" i="48"/>
  <c r="U12" i="57"/>
  <c r="AA12" i="57" s="1"/>
  <c r="P12" i="57"/>
  <c r="T12" i="57"/>
  <c r="V12" i="57"/>
  <c r="AD13" i="46"/>
  <c r="AD15" i="46"/>
  <c r="V13" i="46"/>
  <c r="AD12" i="46"/>
  <c r="T12" i="46"/>
  <c r="P12" i="46"/>
  <c r="V12" i="46"/>
  <c r="P13" i="46"/>
  <c r="U12" i="46"/>
  <c r="T13" i="46"/>
  <c r="U13" i="46"/>
  <c r="R6" i="32"/>
  <c r="R10" i="32" s="1"/>
  <c r="S7" i="32"/>
  <c r="Q10" i="32"/>
  <c r="Q11" i="32" s="1"/>
  <c r="R23" i="32"/>
  <c r="S23" i="32"/>
  <c r="R24" i="32"/>
  <c r="Q18" i="32"/>
  <c r="Q19" i="32" s="1"/>
  <c r="S16" i="32"/>
  <c r="R15" i="32"/>
  <c r="R18" i="32" s="1"/>
  <c r="AP9" i="48"/>
  <c r="S10" i="32" l="1"/>
  <c r="S11" i="32" s="1"/>
  <c r="S18" i="32"/>
  <c r="X11" i="32"/>
  <c r="Y12" i="32" s="1"/>
  <c r="Z7" i="32"/>
  <c r="Z11" i="32" s="1"/>
  <c r="Z12" i="32" s="1"/>
  <c r="R11" i="32"/>
  <c r="X12" i="46"/>
  <c r="AC12" i="46"/>
  <c r="L10" i="48"/>
  <c r="AC12" i="57"/>
  <c r="AB12" i="57" s="1"/>
  <c r="AA12" i="46"/>
  <c r="R19" i="32"/>
  <c r="S19" i="32"/>
  <c r="R26" i="32"/>
  <c r="S24" i="32"/>
  <c r="S26" i="32" s="1"/>
  <c r="Q26" i="32"/>
  <c r="Q27" i="32" s="1"/>
  <c r="AB12" i="46" l="1"/>
  <c r="S27" i="32"/>
  <c r="R27" i="32"/>
  <c r="A9" i="1"/>
  <c r="S138" i="46" l="1"/>
  <c r="R138" i="46"/>
  <c r="AR10" i="57"/>
  <c r="BA10" i="57" s="1"/>
  <c r="AM10" i="57"/>
  <c r="AR9" i="57"/>
  <c r="BA9" i="57" s="1"/>
  <c r="AM9" i="57"/>
  <c r="AR8" i="57"/>
  <c r="BA8" i="57" s="1"/>
  <c r="AM8" i="57"/>
  <c r="AR7" i="57"/>
  <c r="BA7" i="57" s="1"/>
  <c r="AM7" i="57"/>
  <c r="AR6" i="57"/>
  <c r="BA6" i="57" s="1"/>
  <c r="AM6" i="57"/>
  <c r="K7" i="33"/>
  <c r="W6" i="57" s="1"/>
  <c r="C17" i="33"/>
  <c r="K8" i="33" s="1"/>
  <c r="W7" i="57" s="1"/>
  <c r="F5" i="47"/>
  <c r="E5" i="47"/>
  <c r="F4" i="47"/>
  <c r="E4" i="47"/>
  <c r="W6" i="46" l="1"/>
  <c r="AD9" i="57"/>
  <c r="AD6" i="57"/>
  <c r="W7" i="46"/>
  <c r="AD7" i="57"/>
  <c r="AD8" i="57"/>
  <c r="AD10" i="57"/>
  <c r="G5" i="47"/>
  <c r="H5" i="47" s="1"/>
  <c r="O7" i="57" s="1"/>
  <c r="G4" i="47"/>
  <c r="H4" i="47" s="1"/>
  <c r="O6" i="57" s="1"/>
  <c r="C6" i="57" l="1"/>
  <c r="K6" i="57"/>
  <c r="C7" i="57"/>
  <c r="K7" i="57"/>
  <c r="O6" i="46"/>
  <c r="O7" i="46"/>
  <c r="AQ10" i="2"/>
  <c r="AI10" i="2"/>
  <c r="K10" i="2"/>
  <c r="X6" i="57" l="1"/>
  <c r="C7" i="46"/>
  <c r="K7" i="46"/>
  <c r="P6" i="57"/>
  <c r="V6" i="57"/>
  <c r="U6" i="57"/>
  <c r="T6" i="57"/>
  <c r="P7" i="57"/>
  <c r="V7" i="57"/>
  <c r="T7" i="57"/>
  <c r="U7" i="57"/>
  <c r="Q6" i="46"/>
  <c r="C6" i="46" s="1"/>
  <c r="P7" i="46"/>
  <c r="T7" i="46"/>
  <c r="U7" i="46"/>
  <c r="F17" i="33"/>
  <c r="I38" i="33"/>
  <c r="I4" i="47" s="1"/>
  <c r="Q34" i="33"/>
  <c r="W16" i="33"/>
  <c r="Z16" i="33" s="1"/>
  <c r="X19" i="33"/>
  <c r="X20" i="33" s="1"/>
  <c r="Y18" i="33"/>
  <c r="W18" i="33"/>
  <c r="Z18" i="33" s="1"/>
  <c r="Y17" i="33"/>
  <c r="W17" i="33"/>
  <c r="Z17" i="33" s="1"/>
  <c r="Y16" i="33"/>
  <c r="Y15" i="33"/>
  <c r="Z15" i="33"/>
  <c r="Y10" i="33"/>
  <c r="Z10" i="33"/>
  <c r="Y11" i="33"/>
  <c r="Z11" i="33"/>
  <c r="Y9" i="33"/>
  <c r="W9" i="33"/>
  <c r="Z9" i="33" s="1"/>
  <c r="Y8" i="33"/>
  <c r="W8" i="33"/>
  <c r="Z8" i="33" s="1"/>
  <c r="X7" i="33"/>
  <c r="Y7" i="33" s="1"/>
  <c r="W7" i="33"/>
  <c r="X6" i="33"/>
  <c r="Y6" i="33" s="1"/>
  <c r="W6" i="33"/>
  <c r="G42" i="33"/>
  <c r="I37" i="33" s="1"/>
  <c r="F42" i="33"/>
  <c r="N40" i="33"/>
  <c r="R26" i="33"/>
  <c r="P26" i="33"/>
  <c r="S26" i="33" s="1"/>
  <c r="R25" i="33"/>
  <c r="P25" i="33"/>
  <c r="S25" i="33" s="1"/>
  <c r="Q27" i="33"/>
  <c r="Q28" i="33" s="1"/>
  <c r="P24" i="33"/>
  <c r="S24" i="33" s="1"/>
  <c r="R23" i="33"/>
  <c r="P23" i="33"/>
  <c r="S23" i="33" s="1"/>
  <c r="Q17" i="33"/>
  <c r="R17" i="33" s="1"/>
  <c r="Q16" i="33"/>
  <c r="R16" i="33" s="1"/>
  <c r="Q15" i="33"/>
  <c r="R15" i="33" s="1"/>
  <c r="R18" i="33"/>
  <c r="P18" i="33"/>
  <c r="S18" i="33" s="1"/>
  <c r="P17" i="33"/>
  <c r="P16" i="33"/>
  <c r="P15" i="33"/>
  <c r="P9" i="33"/>
  <c r="S9" i="33" s="1"/>
  <c r="Q7" i="33"/>
  <c r="R7" i="33" s="1"/>
  <c r="Q6" i="33"/>
  <c r="P7" i="33"/>
  <c r="P8" i="33"/>
  <c r="S8" i="33" s="1"/>
  <c r="R9" i="33"/>
  <c r="P6" i="33"/>
  <c r="K6" i="46" l="1"/>
  <c r="S7" i="33"/>
  <c r="AC6" i="57"/>
  <c r="Z6" i="33"/>
  <c r="AA6" i="57"/>
  <c r="AB6" i="57" s="1"/>
  <c r="Z7" i="33"/>
  <c r="Y12" i="33"/>
  <c r="Z12" i="33"/>
  <c r="S16" i="33"/>
  <c r="X12" i="33"/>
  <c r="S6" i="33"/>
  <c r="V7" i="46"/>
  <c r="R6" i="33"/>
  <c r="Q10" i="33"/>
  <c r="Q11" i="33" s="1"/>
  <c r="S17" i="33"/>
  <c r="BA9" i="48"/>
  <c r="Y19" i="33"/>
  <c r="Y20" i="33" s="1"/>
  <c r="Z19" i="33"/>
  <c r="Z20" i="33" s="1"/>
  <c r="S27" i="33"/>
  <c r="S28" i="33" s="1"/>
  <c r="R24" i="33"/>
  <c r="R27" i="33" s="1"/>
  <c r="R28" i="33" s="1"/>
  <c r="S15" i="33"/>
  <c r="R19" i="33"/>
  <c r="Q19" i="33"/>
  <c r="Q20" i="33" s="1"/>
  <c r="R8" i="33"/>
  <c r="J4" i="33"/>
  <c r="S10" i="33" l="1"/>
  <c r="S19" i="33"/>
  <c r="S11" i="33"/>
  <c r="R10" i="33"/>
  <c r="R11" i="33" s="1"/>
  <c r="Z13" i="33"/>
  <c r="Y13" i="33"/>
  <c r="S20" i="33"/>
  <c r="R20" i="33"/>
  <c r="BF138" i="46" l="1"/>
  <c r="BE138" i="46"/>
  <c r="BD138" i="46"/>
  <c r="BC138" i="46"/>
  <c r="BB138" i="46"/>
  <c r="BF138" i="57"/>
  <c r="BE138" i="57"/>
  <c r="BD138" i="57"/>
  <c r="B1" i="47" l="1"/>
  <c r="A8" i="45"/>
  <c r="F42" i="29" l="1"/>
  <c r="G42" i="29"/>
  <c r="I37" i="29" s="1"/>
  <c r="F32" i="27"/>
  <c r="E32" i="27"/>
  <c r="D32" i="27"/>
  <c r="C32" i="27"/>
  <c r="E23" i="27"/>
  <c r="D23" i="27"/>
  <c r="C23" i="27"/>
  <c r="E14" i="27"/>
  <c r="D14" i="27"/>
  <c r="C14" i="27"/>
  <c r="F32" i="29"/>
  <c r="E32" i="29"/>
  <c r="D32" i="29"/>
  <c r="C32" i="29"/>
  <c r="F23" i="29"/>
  <c r="E23" i="29"/>
  <c r="D23" i="29"/>
  <c r="C23" i="29"/>
  <c r="F14" i="29"/>
  <c r="E14" i="29"/>
  <c r="D14" i="29"/>
  <c r="C14" i="29"/>
  <c r="F32" i="30"/>
  <c r="E32" i="30"/>
  <c r="D32" i="30"/>
  <c r="C32" i="30"/>
  <c r="F23" i="30"/>
  <c r="E23" i="30"/>
  <c r="D23" i="30"/>
  <c r="C23" i="30"/>
  <c r="F14" i="30"/>
  <c r="E14" i="30"/>
  <c r="D14" i="30"/>
  <c r="C14" i="30"/>
  <c r="F32" i="31"/>
  <c r="E32" i="31"/>
  <c r="D32" i="31"/>
  <c r="C32" i="31"/>
  <c r="F23" i="31"/>
  <c r="E23" i="31"/>
  <c r="D23" i="31"/>
  <c r="C23" i="31"/>
  <c r="F14" i="31"/>
  <c r="E14" i="31"/>
  <c r="D14" i="31"/>
  <c r="C14" i="31"/>
  <c r="E34" i="29" l="1"/>
  <c r="C24" i="31"/>
  <c r="C34" i="27"/>
  <c r="E33" i="27"/>
  <c r="D34" i="27"/>
  <c r="Z29" i="57" s="1"/>
  <c r="E33" i="29"/>
  <c r="C34" i="30"/>
  <c r="K9" i="30" s="1"/>
  <c r="W21" i="57" s="1"/>
  <c r="X21" i="57" s="1"/>
  <c r="D33" i="30"/>
  <c r="D24" i="30"/>
  <c r="D33" i="31"/>
  <c r="F34" i="31"/>
  <c r="C33" i="30"/>
  <c r="D33" i="27"/>
  <c r="E34" i="27"/>
  <c r="C34" i="31"/>
  <c r="K9" i="31" s="1"/>
  <c r="W17" i="57" s="1"/>
  <c r="X17" i="57" s="1"/>
  <c r="F34" i="27"/>
  <c r="C34" i="29"/>
  <c r="C33" i="29"/>
  <c r="D24" i="27"/>
  <c r="D34" i="31"/>
  <c r="E34" i="31"/>
  <c r="D34" i="29"/>
  <c r="D33" i="29"/>
  <c r="E24" i="30"/>
  <c r="E33" i="31"/>
  <c r="D24" i="31"/>
  <c r="D34" i="30"/>
  <c r="F34" i="29"/>
  <c r="C33" i="27"/>
  <c r="E24" i="31"/>
  <c r="E34" i="30"/>
  <c r="E33" i="30"/>
  <c r="F34" i="30"/>
  <c r="E24" i="27"/>
  <c r="C33" i="31"/>
  <c r="C24" i="29"/>
  <c r="C24" i="27"/>
  <c r="C15" i="27"/>
  <c r="D15" i="27"/>
  <c r="E15" i="27"/>
  <c r="D24" i="29"/>
  <c r="D15" i="29"/>
  <c r="E24" i="29"/>
  <c r="C15" i="29"/>
  <c r="E15" i="29"/>
  <c r="C24" i="30"/>
  <c r="C15" i="30"/>
  <c r="D15" i="30"/>
  <c r="E15" i="30"/>
  <c r="C15" i="31"/>
  <c r="D15" i="31"/>
  <c r="E15" i="31"/>
  <c r="P13" i="45"/>
  <c r="Z29" i="46" l="1"/>
  <c r="W21" i="46"/>
  <c r="W17" i="46"/>
  <c r="X21" i="46" l="1"/>
  <c r="X17" i="46"/>
  <c r="P12" i="45" l="1"/>
  <c r="P11" i="45" l="1"/>
  <c r="P10" i="45"/>
  <c r="G42" i="30" l="1"/>
  <c r="I37" i="30" s="1"/>
  <c r="F42" i="30"/>
  <c r="AM11" i="57" l="1"/>
  <c r="A14" i="45" l="1"/>
  <c r="A15" i="45" s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P9" i="45" l="1"/>
  <c r="AM40" i="2" l="1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R10" i="46" l="1"/>
  <c r="BA10" i="46" s="1"/>
  <c r="C39" i="1" l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KQ41" i="1"/>
  <c r="KN41" i="1"/>
  <c r="KK41" i="1"/>
  <c r="KH41" i="1"/>
  <c r="KE41" i="1"/>
  <c r="KB41" i="1"/>
  <c r="JY41" i="1"/>
  <c r="JV41" i="1"/>
  <c r="JS41" i="1"/>
  <c r="JP41" i="1"/>
  <c r="JM41" i="1"/>
  <c r="JJ41" i="1"/>
  <c r="JG41" i="1"/>
  <c r="JD41" i="1"/>
  <c r="JA41" i="1"/>
  <c r="IX41" i="1"/>
  <c r="IU41" i="1"/>
  <c r="IR41" i="1"/>
  <c r="IO41" i="1"/>
  <c r="IL41" i="1"/>
  <c r="II41" i="1"/>
  <c r="IF41" i="1"/>
  <c r="IC41" i="1"/>
  <c r="HZ41" i="1"/>
  <c r="HW41" i="1"/>
  <c r="HT41" i="1"/>
  <c r="HQ41" i="1"/>
  <c r="HN41" i="1"/>
  <c r="HK41" i="1"/>
  <c r="HH41" i="1"/>
  <c r="HE41" i="1"/>
  <c r="HB41" i="1"/>
  <c r="GY41" i="1"/>
  <c r="GV41" i="1"/>
  <c r="GS41" i="1"/>
  <c r="GP41" i="1"/>
  <c r="GM41" i="1"/>
  <c r="GJ41" i="1"/>
  <c r="GG41" i="1"/>
  <c r="GD41" i="1"/>
  <c r="GA41" i="1"/>
  <c r="FX41" i="1"/>
  <c r="FU41" i="1"/>
  <c r="FR41" i="1"/>
  <c r="FO41" i="1"/>
  <c r="FL41" i="1"/>
  <c r="FI41" i="1"/>
  <c r="FF41" i="1"/>
  <c r="FC41" i="1"/>
  <c r="EZ41" i="1"/>
  <c r="EW41" i="1"/>
  <c r="ET41" i="1"/>
  <c r="EQ41" i="1"/>
  <c r="EN41" i="1"/>
  <c r="EK41" i="1"/>
  <c r="EH41" i="1"/>
  <c r="EE41" i="1"/>
  <c r="EB41" i="1"/>
  <c r="DY41" i="1"/>
  <c r="DV41" i="1"/>
  <c r="DS41" i="1"/>
  <c r="DP41" i="1"/>
  <c r="DM41" i="1"/>
  <c r="DJ41" i="1"/>
  <c r="DG41" i="1"/>
  <c r="DD41" i="1"/>
  <c r="DA41" i="1"/>
  <c r="CX41" i="1"/>
  <c r="CU41" i="1"/>
  <c r="CR41" i="1"/>
  <c r="CO41" i="1"/>
  <c r="CL41" i="1"/>
  <c r="CI41" i="1"/>
  <c r="CF41" i="1"/>
  <c r="CC41" i="1"/>
  <c r="BZ41" i="1"/>
  <c r="BW41" i="1"/>
  <c r="BT41" i="1"/>
  <c r="BQ41" i="1"/>
  <c r="BN41" i="1"/>
  <c r="BK41" i="1"/>
  <c r="BH41" i="1"/>
  <c r="BE41" i="1"/>
  <c r="BB41" i="1"/>
  <c r="AY41" i="1"/>
  <c r="AV41" i="1"/>
  <c r="AS41" i="1"/>
  <c r="AM41" i="1"/>
  <c r="AJ41" i="1"/>
  <c r="AG41" i="1"/>
  <c r="AD41" i="1"/>
  <c r="AA41" i="1"/>
  <c r="X41" i="1"/>
  <c r="U41" i="1"/>
  <c r="R41" i="1"/>
  <c r="O41" i="1"/>
  <c r="L41" i="1"/>
  <c r="I41" i="1"/>
  <c r="F41" i="1"/>
  <c r="KR39" i="1"/>
  <c r="KO39" i="1"/>
  <c r="KL39" i="1"/>
  <c r="KI39" i="1"/>
  <c r="KF39" i="1"/>
  <c r="KC39" i="1"/>
  <c r="JZ39" i="1"/>
  <c r="JW39" i="1"/>
  <c r="JT39" i="1"/>
  <c r="JQ39" i="1"/>
  <c r="JN39" i="1"/>
  <c r="JK39" i="1"/>
  <c r="JI39" i="1"/>
  <c r="JF39" i="1"/>
  <c r="JC39" i="1"/>
  <c r="IZ39" i="1"/>
  <c r="IW39" i="1"/>
  <c r="IT39" i="1"/>
  <c r="IQ39" i="1"/>
  <c r="IN39" i="1"/>
  <c r="IK39" i="1"/>
  <c r="IH39" i="1"/>
  <c r="IE39" i="1"/>
  <c r="IB39" i="1"/>
  <c r="HY39" i="1"/>
  <c r="HV39" i="1"/>
  <c r="HS39" i="1"/>
  <c r="HP39" i="1"/>
  <c r="HM39" i="1"/>
  <c r="HJ39" i="1"/>
  <c r="HG39" i="1"/>
  <c r="HD39" i="1"/>
  <c r="HA39" i="1"/>
  <c r="GX39" i="1"/>
  <c r="GU39" i="1"/>
  <c r="GR39" i="1"/>
  <c r="GO39" i="1"/>
  <c r="GL39" i="1"/>
  <c r="GI39" i="1"/>
  <c r="GF39" i="1"/>
  <c r="GC39" i="1"/>
  <c r="FZ39" i="1"/>
  <c r="FW39" i="1"/>
  <c r="FT39" i="1"/>
  <c r="FQ39" i="1"/>
  <c r="FN39" i="1"/>
  <c r="FK39" i="1"/>
  <c r="FH39" i="1"/>
  <c r="FE39" i="1"/>
  <c r="FB39" i="1"/>
  <c r="EY39" i="1"/>
  <c r="EV39" i="1"/>
  <c r="ES39" i="1"/>
  <c r="EP39" i="1"/>
  <c r="EM39" i="1"/>
  <c r="EJ39" i="1"/>
  <c r="EG39" i="1"/>
  <c r="ED39" i="1"/>
  <c r="EA39" i="1"/>
  <c r="DX39" i="1"/>
  <c r="DU39" i="1"/>
  <c r="DR39" i="1"/>
  <c r="DO39" i="1"/>
  <c r="DL39" i="1"/>
  <c r="DI39" i="1"/>
  <c r="DF39" i="1"/>
  <c r="DC39" i="1"/>
  <c r="CZ39" i="1"/>
  <c r="CW39" i="1"/>
  <c r="CT39" i="1"/>
  <c r="CQ39" i="1"/>
  <c r="CN39" i="1"/>
  <c r="CK39" i="1"/>
  <c r="CH39" i="1"/>
  <c r="CE39" i="1"/>
  <c r="CB39" i="1"/>
  <c r="BY39" i="1"/>
  <c r="BV39" i="1"/>
  <c r="BS39" i="1"/>
  <c r="BP39" i="1"/>
  <c r="BM39" i="1"/>
  <c r="BJ39" i="1"/>
  <c r="BG39" i="1"/>
  <c r="BD39" i="1"/>
  <c r="BA39" i="1"/>
  <c r="AX39" i="1"/>
  <c r="AU39" i="1"/>
  <c r="AR39" i="1"/>
  <c r="AO39" i="1"/>
  <c r="AL39" i="1"/>
  <c r="AI39" i="1"/>
  <c r="AF39" i="1"/>
  <c r="AC39" i="1"/>
  <c r="Z39" i="1"/>
  <c r="W39" i="1"/>
  <c r="T39" i="1"/>
  <c r="Q39" i="1"/>
  <c r="N39" i="1"/>
  <c r="K39" i="1"/>
  <c r="H39" i="1"/>
  <c r="KR38" i="1"/>
  <c r="KO38" i="1"/>
  <c r="KL38" i="1"/>
  <c r="KI38" i="1"/>
  <c r="KF38" i="1"/>
  <c r="KC38" i="1"/>
  <c r="JZ38" i="1"/>
  <c r="JW38" i="1"/>
  <c r="JT38" i="1"/>
  <c r="JQ38" i="1"/>
  <c r="JN38" i="1"/>
  <c r="JK38" i="1"/>
  <c r="JI38" i="1"/>
  <c r="JF38" i="1"/>
  <c r="JC38" i="1"/>
  <c r="IZ38" i="1"/>
  <c r="IW38" i="1"/>
  <c r="IT38" i="1"/>
  <c r="IQ38" i="1"/>
  <c r="IN38" i="1"/>
  <c r="IK38" i="1"/>
  <c r="IH38" i="1"/>
  <c r="IE38" i="1"/>
  <c r="IB38" i="1"/>
  <c r="HY38" i="1"/>
  <c r="HV38" i="1"/>
  <c r="HS38" i="1"/>
  <c r="HP38" i="1"/>
  <c r="HM38" i="1"/>
  <c r="HJ38" i="1"/>
  <c r="HG38" i="1"/>
  <c r="HD38" i="1"/>
  <c r="HA38" i="1"/>
  <c r="GX38" i="1"/>
  <c r="GU38" i="1"/>
  <c r="GR38" i="1"/>
  <c r="GO38" i="1"/>
  <c r="GL38" i="1"/>
  <c r="GI38" i="1"/>
  <c r="GF38" i="1"/>
  <c r="GC38" i="1"/>
  <c r="FZ38" i="1"/>
  <c r="FW38" i="1"/>
  <c r="FT38" i="1"/>
  <c r="FQ38" i="1"/>
  <c r="FN38" i="1"/>
  <c r="FK38" i="1"/>
  <c r="FH38" i="1"/>
  <c r="FE38" i="1"/>
  <c r="FB38" i="1"/>
  <c r="EY38" i="1"/>
  <c r="EV38" i="1"/>
  <c r="ES38" i="1"/>
  <c r="EP38" i="1"/>
  <c r="EM38" i="1"/>
  <c r="EJ38" i="1"/>
  <c r="EG38" i="1"/>
  <c r="ED38" i="1"/>
  <c r="EA38" i="1"/>
  <c r="DX38" i="1"/>
  <c r="DU38" i="1"/>
  <c r="DR38" i="1"/>
  <c r="DO38" i="1"/>
  <c r="DL38" i="1"/>
  <c r="DI38" i="1"/>
  <c r="DF38" i="1"/>
  <c r="DC38" i="1"/>
  <c r="CZ38" i="1"/>
  <c r="CW38" i="1"/>
  <c r="CT38" i="1"/>
  <c r="CQ38" i="1"/>
  <c r="CN38" i="1"/>
  <c r="CK38" i="1"/>
  <c r="CH38" i="1"/>
  <c r="CE38" i="1"/>
  <c r="CB38" i="1"/>
  <c r="BY38" i="1"/>
  <c r="BV38" i="1"/>
  <c r="BS38" i="1"/>
  <c r="BP38" i="1"/>
  <c r="BM38" i="1"/>
  <c r="BJ38" i="1"/>
  <c r="BG38" i="1"/>
  <c r="BD38" i="1"/>
  <c r="BA38" i="1"/>
  <c r="AX38" i="1"/>
  <c r="AU38" i="1"/>
  <c r="AR38" i="1"/>
  <c r="AO38" i="1"/>
  <c r="AL38" i="1"/>
  <c r="AI38" i="1"/>
  <c r="AF38" i="1"/>
  <c r="AC38" i="1"/>
  <c r="Z38" i="1"/>
  <c r="W38" i="1"/>
  <c r="T38" i="1"/>
  <c r="Q38" i="1"/>
  <c r="N38" i="1"/>
  <c r="K38" i="1"/>
  <c r="H38" i="1"/>
  <c r="KR37" i="1"/>
  <c r="KO37" i="1"/>
  <c r="KL37" i="1"/>
  <c r="KI37" i="1"/>
  <c r="KF37" i="1"/>
  <c r="KC37" i="1"/>
  <c r="JZ37" i="1"/>
  <c r="JW37" i="1"/>
  <c r="JT37" i="1"/>
  <c r="JQ37" i="1"/>
  <c r="JN37" i="1"/>
  <c r="JK37" i="1"/>
  <c r="JI37" i="1"/>
  <c r="JF37" i="1"/>
  <c r="JC37" i="1"/>
  <c r="IZ37" i="1"/>
  <c r="IW37" i="1"/>
  <c r="IT37" i="1"/>
  <c r="IQ37" i="1"/>
  <c r="IN37" i="1"/>
  <c r="IK37" i="1"/>
  <c r="IH37" i="1"/>
  <c r="IE37" i="1"/>
  <c r="IB37" i="1"/>
  <c r="HY37" i="1"/>
  <c r="HV37" i="1"/>
  <c r="HS37" i="1"/>
  <c r="HP37" i="1"/>
  <c r="HM37" i="1"/>
  <c r="HJ37" i="1"/>
  <c r="HG37" i="1"/>
  <c r="HD37" i="1"/>
  <c r="HA37" i="1"/>
  <c r="GX37" i="1"/>
  <c r="GU37" i="1"/>
  <c r="GR37" i="1"/>
  <c r="GO37" i="1"/>
  <c r="GL37" i="1"/>
  <c r="GI37" i="1"/>
  <c r="GF37" i="1"/>
  <c r="GC37" i="1"/>
  <c r="FZ37" i="1"/>
  <c r="FW37" i="1"/>
  <c r="FT37" i="1"/>
  <c r="FQ37" i="1"/>
  <c r="FN37" i="1"/>
  <c r="FK37" i="1"/>
  <c r="FH37" i="1"/>
  <c r="FE37" i="1"/>
  <c r="FB37" i="1"/>
  <c r="EY37" i="1"/>
  <c r="EV37" i="1"/>
  <c r="ES37" i="1"/>
  <c r="EP37" i="1"/>
  <c r="EM37" i="1"/>
  <c r="EJ37" i="1"/>
  <c r="EG37" i="1"/>
  <c r="ED37" i="1"/>
  <c r="EA37" i="1"/>
  <c r="DX37" i="1"/>
  <c r="DU37" i="1"/>
  <c r="DR37" i="1"/>
  <c r="DO37" i="1"/>
  <c r="DL37" i="1"/>
  <c r="DI37" i="1"/>
  <c r="DF37" i="1"/>
  <c r="DC37" i="1"/>
  <c r="CZ37" i="1"/>
  <c r="CW37" i="1"/>
  <c r="CT37" i="1"/>
  <c r="CQ37" i="1"/>
  <c r="CN37" i="1"/>
  <c r="CK37" i="1"/>
  <c r="CH37" i="1"/>
  <c r="CE37" i="1"/>
  <c r="CB37" i="1"/>
  <c r="BY37" i="1"/>
  <c r="BV37" i="1"/>
  <c r="BS37" i="1"/>
  <c r="BP37" i="1"/>
  <c r="BM37" i="1"/>
  <c r="BJ37" i="1"/>
  <c r="BG37" i="1"/>
  <c r="BD37" i="1"/>
  <c r="BA37" i="1"/>
  <c r="AX37" i="1"/>
  <c r="AU37" i="1"/>
  <c r="AR37" i="1"/>
  <c r="AO37" i="1"/>
  <c r="AL37" i="1"/>
  <c r="AI37" i="1"/>
  <c r="AF37" i="1"/>
  <c r="AC37" i="1"/>
  <c r="Z37" i="1"/>
  <c r="W37" i="1"/>
  <c r="T37" i="1"/>
  <c r="Q37" i="1"/>
  <c r="N37" i="1"/>
  <c r="K37" i="1"/>
  <c r="H37" i="1"/>
  <c r="KR36" i="1"/>
  <c r="KO36" i="1"/>
  <c r="KL36" i="1"/>
  <c r="KI36" i="1"/>
  <c r="KF36" i="1"/>
  <c r="KC36" i="1"/>
  <c r="JZ36" i="1"/>
  <c r="JW36" i="1"/>
  <c r="JT36" i="1"/>
  <c r="JQ36" i="1"/>
  <c r="JN36" i="1"/>
  <c r="JK36" i="1"/>
  <c r="JI36" i="1"/>
  <c r="JF36" i="1"/>
  <c r="JC36" i="1"/>
  <c r="IZ36" i="1"/>
  <c r="IW36" i="1"/>
  <c r="IT36" i="1"/>
  <c r="IQ36" i="1"/>
  <c r="IN36" i="1"/>
  <c r="IK36" i="1"/>
  <c r="IH36" i="1"/>
  <c r="IE36" i="1"/>
  <c r="IB36" i="1"/>
  <c r="HY36" i="1"/>
  <c r="HV36" i="1"/>
  <c r="HS36" i="1"/>
  <c r="HP36" i="1"/>
  <c r="HM36" i="1"/>
  <c r="HJ36" i="1"/>
  <c r="HG36" i="1"/>
  <c r="HD36" i="1"/>
  <c r="HA36" i="1"/>
  <c r="GX36" i="1"/>
  <c r="GU36" i="1"/>
  <c r="GR36" i="1"/>
  <c r="GO36" i="1"/>
  <c r="GL36" i="1"/>
  <c r="GI36" i="1"/>
  <c r="GF36" i="1"/>
  <c r="GC36" i="1"/>
  <c r="FZ36" i="1"/>
  <c r="FW36" i="1"/>
  <c r="FT36" i="1"/>
  <c r="FQ36" i="1"/>
  <c r="FN36" i="1"/>
  <c r="FK36" i="1"/>
  <c r="FH36" i="1"/>
  <c r="FE36" i="1"/>
  <c r="FB36" i="1"/>
  <c r="EY36" i="1"/>
  <c r="EV36" i="1"/>
  <c r="ES36" i="1"/>
  <c r="EP36" i="1"/>
  <c r="EM36" i="1"/>
  <c r="EJ36" i="1"/>
  <c r="EG36" i="1"/>
  <c r="ED36" i="1"/>
  <c r="EA36" i="1"/>
  <c r="DX36" i="1"/>
  <c r="DU36" i="1"/>
  <c r="DR36" i="1"/>
  <c r="DO36" i="1"/>
  <c r="DL36" i="1"/>
  <c r="DI36" i="1"/>
  <c r="DF36" i="1"/>
  <c r="DC36" i="1"/>
  <c r="CZ36" i="1"/>
  <c r="CW36" i="1"/>
  <c r="CT36" i="1"/>
  <c r="CQ36" i="1"/>
  <c r="CN36" i="1"/>
  <c r="CK36" i="1"/>
  <c r="CH36" i="1"/>
  <c r="CE36" i="1"/>
  <c r="CB36" i="1"/>
  <c r="BY36" i="1"/>
  <c r="BV36" i="1"/>
  <c r="BS36" i="1"/>
  <c r="BP36" i="1"/>
  <c r="BM36" i="1"/>
  <c r="BJ36" i="1"/>
  <c r="BG36" i="1"/>
  <c r="BD36" i="1"/>
  <c r="BA36" i="1"/>
  <c r="AX36" i="1"/>
  <c r="AU36" i="1"/>
  <c r="AR36" i="1"/>
  <c r="AO36" i="1"/>
  <c r="AL36" i="1"/>
  <c r="AI36" i="1"/>
  <c r="AF36" i="1"/>
  <c r="AC36" i="1"/>
  <c r="Z36" i="1"/>
  <c r="W36" i="1"/>
  <c r="T36" i="1"/>
  <c r="Q36" i="1"/>
  <c r="N36" i="1"/>
  <c r="K36" i="1"/>
  <c r="H36" i="1"/>
  <c r="KR35" i="1"/>
  <c r="KO35" i="1"/>
  <c r="KL35" i="1"/>
  <c r="KI35" i="1"/>
  <c r="KF35" i="1"/>
  <c r="KC35" i="1"/>
  <c r="JZ35" i="1"/>
  <c r="JW35" i="1"/>
  <c r="JT35" i="1"/>
  <c r="JQ35" i="1"/>
  <c r="JN35" i="1"/>
  <c r="JK35" i="1"/>
  <c r="JI35" i="1"/>
  <c r="JF35" i="1"/>
  <c r="JC35" i="1"/>
  <c r="IZ35" i="1"/>
  <c r="IW35" i="1"/>
  <c r="IT35" i="1"/>
  <c r="IQ35" i="1"/>
  <c r="IN35" i="1"/>
  <c r="IK35" i="1"/>
  <c r="IH35" i="1"/>
  <c r="IE35" i="1"/>
  <c r="IB35" i="1"/>
  <c r="HY35" i="1"/>
  <c r="HV35" i="1"/>
  <c r="HS35" i="1"/>
  <c r="HP35" i="1"/>
  <c r="HM35" i="1"/>
  <c r="HJ35" i="1"/>
  <c r="HG35" i="1"/>
  <c r="HD35" i="1"/>
  <c r="HA35" i="1"/>
  <c r="GX35" i="1"/>
  <c r="GU35" i="1"/>
  <c r="GR35" i="1"/>
  <c r="GO35" i="1"/>
  <c r="GL35" i="1"/>
  <c r="GI35" i="1"/>
  <c r="GF35" i="1"/>
  <c r="GC35" i="1"/>
  <c r="FZ35" i="1"/>
  <c r="FW35" i="1"/>
  <c r="FT35" i="1"/>
  <c r="FQ35" i="1"/>
  <c r="FN35" i="1"/>
  <c r="FK35" i="1"/>
  <c r="FH35" i="1"/>
  <c r="FE35" i="1"/>
  <c r="FB35" i="1"/>
  <c r="EY35" i="1"/>
  <c r="EV35" i="1"/>
  <c r="ES35" i="1"/>
  <c r="EP35" i="1"/>
  <c r="EM35" i="1"/>
  <c r="EJ35" i="1"/>
  <c r="EG35" i="1"/>
  <c r="ED35" i="1"/>
  <c r="EA35" i="1"/>
  <c r="DX35" i="1"/>
  <c r="DU35" i="1"/>
  <c r="DR35" i="1"/>
  <c r="DO35" i="1"/>
  <c r="DL35" i="1"/>
  <c r="DI35" i="1"/>
  <c r="DF35" i="1"/>
  <c r="DC35" i="1"/>
  <c r="CZ35" i="1"/>
  <c r="CW35" i="1"/>
  <c r="CT35" i="1"/>
  <c r="CQ35" i="1"/>
  <c r="CN35" i="1"/>
  <c r="CK35" i="1"/>
  <c r="CH35" i="1"/>
  <c r="CE35" i="1"/>
  <c r="CB35" i="1"/>
  <c r="BY35" i="1"/>
  <c r="BV35" i="1"/>
  <c r="BS35" i="1"/>
  <c r="BP35" i="1"/>
  <c r="BM35" i="1"/>
  <c r="BJ35" i="1"/>
  <c r="BG35" i="1"/>
  <c r="BD35" i="1"/>
  <c r="BA35" i="1"/>
  <c r="AX35" i="1"/>
  <c r="AU35" i="1"/>
  <c r="AR35" i="1"/>
  <c r="AO35" i="1"/>
  <c r="AL35" i="1"/>
  <c r="AI35" i="1"/>
  <c r="AF35" i="1"/>
  <c r="AC35" i="1"/>
  <c r="Z35" i="1"/>
  <c r="W35" i="1"/>
  <c r="T35" i="1"/>
  <c r="Q35" i="1"/>
  <c r="N35" i="1"/>
  <c r="K35" i="1"/>
  <c r="H35" i="1"/>
  <c r="KR34" i="1"/>
  <c r="KO34" i="1"/>
  <c r="KL34" i="1"/>
  <c r="KI34" i="1"/>
  <c r="KF34" i="1"/>
  <c r="KC34" i="1"/>
  <c r="JZ34" i="1"/>
  <c r="JW34" i="1"/>
  <c r="JT34" i="1"/>
  <c r="JQ34" i="1"/>
  <c r="JN34" i="1"/>
  <c r="JK34" i="1"/>
  <c r="JI34" i="1"/>
  <c r="JF34" i="1"/>
  <c r="JC34" i="1"/>
  <c r="IZ34" i="1"/>
  <c r="IW34" i="1"/>
  <c r="IT34" i="1"/>
  <c r="IQ34" i="1"/>
  <c r="IN34" i="1"/>
  <c r="IK34" i="1"/>
  <c r="IH34" i="1"/>
  <c r="IE34" i="1"/>
  <c r="IB34" i="1"/>
  <c r="HY34" i="1"/>
  <c r="HV34" i="1"/>
  <c r="HS34" i="1"/>
  <c r="HP34" i="1"/>
  <c r="HM34" i="1"/>
  <c r="HJ34" i="1"/>
  <c r="HG34" i="1"/>
  <c r="HD34" i="1"/>
  <c r="HA34" i="1"/>
  <c r="GX34" i="1"/>
  <c r="GU34" i="1"/>
  <c r="GR34" i="1"/>
  <c r="GO34" i="1"/>
  <c r="GL34" i="1"/>
  <c r="GI34" i="1"/>
  <c r="GF34" i="1"/>
  <c r="GC34" i="1"/>
  <c r="FZ34" i="1"/>
  <c r="FW34" i="1"/>
  <c r="FT34" i="1"/>
  <c r="FQ34" i="1"/>
  <c r="FN34" i="1"/>
  <c r="FK34" i="1"/>
  <c r="FH34" i="1"/>
  <c r="FE34" i="1"/>
  <c r="FB34" i="1"/>
  <c r="EY34" i="1"/>
  <c r="EV34" i="1"/>
  <c r="ES34" i="1"/>
  <c r="EP34" i="1"/>
  <c r="EM34" i="1"/>
  <c r="EJ34" i="1"/>
  <c r="EG34" i="1"/>
  <c r="ED34" i="1"/>
  <c r="EA34" i="1"/>
  <c r="DX34" i="1"/>
  <c r="DU34" i="1"/>
  <c r="DR34" i="1"/>
  <c r="DO34" i="1"/>
  <c r="DL34" i="1"/>
  <c r="DI34" i="1"/>
  <c r="DF34" i="1"/>
  <c r="DC34" i="1"/>
  <c r="CZ34" i="1"/>
  <c r="CW34" i="1"/>
  <c r="CT34" i="1"/>
  <c r="CQ34" i="1"/>
  <c r="CN34" i="1"/>
  <c r="CK34" i="1"/>
  <c r="CH34" i="1"/>
  <c r="CE34" i="1"/>
  <c r="CB34" i="1"/>
  <c r="BY34" i="1"/>
  <c r="BV34" i="1"/>
  <c r="BS34" i="1"/>
  <c r="BP34" i="1"/>
  <c r="BM34" i="1"/>
  <c r="BJ34" i="1"/>
  <c r="BG34" i="1"/>
  <c r="BD34" i="1"/>
  <c r="BA34" i="1"/>
  <c r="AX34" i="1"/>
  <c r="AU34" i="1"/>
  <c r="AR34" i="1"/>
  <c r="AO34" i="1"/>
  <c r="AL34" i="1"/>
  <c r="AI34" i="1"/>
  <c r="AF34" i="1"/>
  <c r="AC34" i="1"/>
  <c r="Z34" i="1"/>
  <c r="W34" i="1"/>
  <c r="T34" i="1"/>
  <c r="Q34" i="1"/>
  <c r="N34" i="1"/>
  <c r="K34" i="1"/>
  <c r="H34" i="1"/>
  <c r="KR33" i="1"/>
  <c r="KO33" i="1"/>
  <c r="KL33" i="1"/>
  <c r="KI33" i="1"/>
  <c r="KF33" i="1"/>
  <c r="KC33" i="1"/>
  <c r="JZ33" i="1"/>
  <c r="JW33" i="1"/>
  <c r="JT33" i="1"/>
  <c r="JQ33" i="1"/>
  <c r="JN33" i="1"/>
  <c r="JK33" i="1"/>
  <c r="JI33" i="1"/>
  <c r="JF33" i="1"/>
  <c r="JC33" i="1"/>
  <c r="IZ33" i="1"/>
  <c r="IW33" i="1"/>
  <c r="IT33" i="1"/>
  <c r="IQ33" i="1"/>
  <c r="IN33" i="1"/>
  <c r="IK33" i="1"/>
  <c r="IH33" i="1"/>
  <c r="IE33" i="1"/>
  <c r="IB33" i="1"/>
  <c r="HY33" i="1"/>
  <c r="HV33" i="1"/>
  <c r="HS33" i="1"/>
  <c r="HP33" i="1"/>
  <c r="HM33" i="1"/>
  <c r="HJ33" i="1"/>
  <c r="HG33" i="1"/>
  <c r="HD33" i="1"/>
  <c r="HA33" i="1"/>
  <c r="GX33" i="1"/>
  <c r="GU33" i="1"/>
  <c r="GR33" i="1"/>
  <c r="GO33" i="1"/>
  <c r="GL33" i="1"/>
  <c r="GI33" i="1"/>
  <c r="GF33" i="1"/>
  <c r="GC33" i="1"/>
  <c r="FZ33" i="1"/>
  <c r="FW33" i="1"/>
  <c r="FT33" i="1"/>
  <c r="FQ33" i="1"/>
  <c r="FN33" i="1"/>
  <c r="FK33" i="1"/>
  <c r="FH33" i="1"/>
  <c r="FE33" i="1"/>
  <c r="FB33" i="1"/>
  <c r="EY33" i="1"/>
  <c r="EV33" i="1"/>
  <c r="ES33" i="1"/>
  <c r="EP33" i="1"/>
  <c r="EM33" i="1"/>
  <c r="EJ33" i="1"/>
  <c r="EG33" i="1"/>
  <c r="ED33" i="1"/>
  <c r="EA33" i="1"/>
  <c r="DX33" i="1"/>
  <c r="DU33" i="1"/>
  <c r="DR33" i="1"/>
  <c r="DO33" i="1"/>
  <c r="DL33" i="1"/>
  <c r="DI33" i="1"/>
  <c r="DF33" i="1"/>
  <c r="DC33" i="1"/>
  <c r="CZ33" i="1"/>
  <c r="CW33" i="1"/>
  <c r="CT33" i="1"/>
  <c r="CQ33" i="1"/>
  <c r="CN33" i="1"/>
  <c r="CK33" i="1"/>
  <c r="CH33" i="1"/>
  <c r="CE33" i="1"/>
  <c r="CB33" i="1"/>
  <c r="BY33" i="1"/>
  <c r="BV33" i="1"/>
  <c r="BS33" i="1"/>
  <c r="BP33" i="1"/>
  <c r="BM33" i="1"/>
  <c r="BJ33" i="1"/>
  <c r="BG33" i="1"/>
  <c r="BD33" i="1"/>
  <c r="BA33" i="1"/>
  <c r="AX33" i="1"/>
  <c r="AU33" i="1"/>
  <c r="AR33" i="1"/>
  <c r="AO33" i="1"/>
  <c r="AL33" i="1"/>
  <c r="AI33" i="1"/>
  <c r="AF33" i="1"/>
  <c r="AC33" i="1"/>
  <c r="Z33" i="1"/>
  <c r="W33" i="1"/>
  <c r="T33" i="1"/>
  <c r="Q33" i="1"/>
  <c r="N33" i="1"/>
  <c r="K33" i="1"/>
  <c r="H33" i="1"/>
  <c r="KR32" i="1"/>
  <c r="KO32" i="1"/>
  <c r="KL32" i="1"/>
  <c r="KI32" i="1"/>
  <c r="KF32" i="1"/>
  <c r="KC32" i="1"/>
  <c r="JZ32" i="1"/>
  <c r="JW32" i="1"/>
  <c r="JT32" i="1"/>
  <c r="JQ32" i="1"/>
  <c r="JN32" i="1"/>
  <c r="JK32" i="1"/>
  <c r="JI32" i="1"/>
  <c r="JF32" i="1"/>
  <c r="JC32" i="1"/>
  <c r="IZ32" i="1"/>
  <c r="IW32" i="1"/>
  <c r="IT32" i="1"/>
  <c r="IQ32" i="1"/>
  <c r="IN32" i="1"/>
  <c r="IK32" i="1"/>
  <c r="IH32" i="1"/>
  <c r="IE32" i="1"/>
  <c r="IB32" i="1"/>
  <c r="HY32" i="1"/>
  <c r="HV32" i="1"/>
  <c r="HS32" i="1"/>
  <c r="HP32" i="1"/>
  <c r="HM32" i="1"/>
  <c r="HJ32" i="1"/>
  <c r="HG32" i="1"/>
  <c r="HD32" i="1"/>
  <c r="HA32" i="1"/>
  <c r="GX32" i="1"/>
  <c r="GU32" i="1"/>
  <c r="GR32" i="1"/>
  <c r="GO32" i="1"/>
  <c r="GL32" i="1"/>
  <c r="GI32" i="1"/>
  <c r="GF32" i="1"/>
  <c r="GC32" i="1"/>
  <c r="FZ32" i="1"/>
  <c r="FW32" i="1"/>
  <c r="FT32" i="1"/>
  <c r="FQ32" i="1"/>
  <c r="FN32" i="1"/>
  <c r="FK32" i="1"/>
  <c r="FH32" i="1"/>
  <c r="FE32" i="1"/>
  <c r="FB32" i="1"/>
  <c r="EY32" i="1"/>
  <c r="EV32" i="1"/>
  <c r="ES32" i="1"/>
  <c r="EP32" i="1"/>
  <c r="EM32" i="1"/>
  <c r="EJ32" i="1"/>
  <c r="EG32" i="1"/>
  <c r="ED32" i="1"/>
  <c r="EA32" i="1"/>
  <c r="DX32" i="1"/>
  <c r="DU32" i="1"/>
  <c r="DR32" i="1"/>
  <c r="DO32" i="1"/>
  <c r="DL32" i="1"/>
  <c r="DI32" i="1"/>
  <c r="DF32" i="1"/>
  <c r="DC32" i="1"/>
  <c r="CZ32" i="1"/>
  <c r="CW32" i="1"/>
  <c r="CT32" i="1"/>
  <c r="CQ32" i="1"/>
  <c r="CN32" i="1"/>
  <c r="CK32" i="1"/>
  <c r="CH32" i="1"/>
  <c r="CE32" i="1"/>
  <c r="CB32" i="1"/>
  <c r="BY32" i="1"/>
  <c r="BV32" i="1"/>
  <c r="BS32" i="1"/>
  <c r="BP32" i="1"/>
  <c r="BM32" i="1"/>
  <c r="BJ32" i="1"/>
  <c r="BG32" i="1"/>
  <c r="BD32" i="1"/>
  <c r="BA32" i="1"/>
  <c r="AX32" i="1"/>
  <c r="AU32" i="1"/>
  <c r="AR32" i="1"/>
  <c r="AO32" i="1"/>
  <c r="AL32" i="1"/>
  <c r="AI32" i="1"/>
  <c r="AF32" i="1"/>
  <c r="AC32" i="1"/>
  <c r="Z32" i="1"/>
  <c r="W32" i="1"/>
  <c r="T32" i="1"/>
  <c r="Q32" i="1"/>
  <c r="N32" i="1"/>
  <c r="K32" i="1"/>
  <c r="H32" i="1"/>
  <c r="KR31" i="1"/>
  <c r="KO31" i="1"/>
  <c r="KL31" i="1"/>
  <c r="KI31" i="1"/>
  <c r="KF31" i="1"/>
  <c r="KC31" i="1"/>
  <c r="JZ31" i="1"/>
  <c r="JW31" i="1"/>
  <c r="JT31" i="1"/>
  <c r="JQ31" i="1"/>
  <c r="JN31" i="1"/>
  <c r="JK31" i="1"/>
  <c r="JI31" i="1"/>
  <c r="JF31" i="1"/>
  <c r="JC31" i="1"/>
  <c r="IZ31" i="1"/>
  <c r="IW31" i="1"/>
  <c r="IT31" i="1"/>
  <c r="IQ31" i="1"/>
  <c r="IN31" i="1"/>
  <c r="IK31" i="1"/>
  <c r="IH31" i="1"/>
  <c r="IE31" i="1"/>
  <c r="IB31" i="1"/>
  <c r="HY31" i="1"/>
  <c r="HV31" i="1"/>
  <c r="HS31" i="1"/>
  <c r="HP31" i="1"/>
  <c r="HM31" i="1"/>
  <c r="HJ31" i="1"/>
  <c r="HG31" i="1"/>
  <c r="HD31" i="1"/>
  <c r="HA31" i="1"/>
  <c r="GX31" i="1"/>
  <c r="GU31" i="1"/>
  <c r="GR31" i="1"/>
  <c r="GO31" i="1"/>
  <c r="GL31" i="1"/>
  <c r="GI31" i="1"/>
  <c r="GF31" i="1"/>
  <c r="GC31" i="1"/>
  <c r="FZ31" i="1"/>
  <c r="FW31" i="1"/>
  <c r="FT31" i="1"/>
  <c r="FQ31" i="1"/>
  <c r="FN31" i="1"/>
  <c r="FK31" i="1"/>
  <c r="FH31" i="1"/>
  <c r="FE31" i="1"/>
  <c r="FB31" i="1"/>
  <c r="EY31" i="1"/>
  <c r="EV31" i="1"/>
  <c r="ES31" i="1"/>
  <c r="EP31" i="1"/>
  <c r="EM31" i="1"/>
  <c r="EJ31" i="1"/>
  <c r="EG31" i="1"/>
  <c r="ED31" i="1"/>
  <c r="EA31" i="1"/>
  <c r="DX31" i="1"/>
  <c r="DU31" i="1"/>
  <c r="DR31" i="1"/>
  <c r="DO31" i="1"/>
  <c r="DL31" i="1"/>
  <c r="DI31" i="1"/>
  <c r="DF31" i="1"/>
  <c r="DC31" i="1"/>
  <c r="CZ31" i="1"/>
  <c r="CW31" i="1"/>
  <c r="CT31" i="1"/>
  <c r="CQ31" i="1"/>
  <c r="CN31" i="1"/>
  <c r="CK31" i="1"/>
  <c r="CH31" i="1"/>
  <c r="CE31" i="1"/>
  <c r="CB31" i="1"/>
  <c r="BY31" i="1"/>
  <c r="BV31" i="1"/>
  <c r="BS31" i="1"/>
  <c r="BP31" i="1"/>
  <c r="BM31" i="1"/>
  <c r="BJ31" i="1"/>
  <c r="BG31" i="1"/>
  <c r="BD31" i="1"/>
  <c r="BA31" i="1"/>
  <c r="AX31" i="1"/>
  <c r="AU31" i="1"/>
  <c r="AR31" i="1"/>
  <c r="AO31" i="1"/>
  <c r="AL31" i="1"/>
  <c r="AI31" i="1"/>
  <c r="AF31" i="1"/>
  <c r="AC31" i="1"/>
  <c r="Z31" i="1"/>
  <c r="W31" i="1"/>
  <c r="T31" i="1"/>
  <c r="Q31" i="1"/>
  <c r="N31" i="1"/>
  <c r="K31" i="1"/>
  <c r="H31" i="1"/>
  <c r="KR30" i="1"/>
  <c r="KO30" i="1"/>
  <c r="KL30" i="1"/>
  <c r="KI30" i="1"/>
  <c r="KF30" i="1"/>
  <c r="KC30" i="1"/>
  <c r="JZ30" i="1"/>
  <c r="JW30" i="1"/>
  <c r="JT30" i="1"/>
  <c r="JQ30" i="1"/>
  <c r="JN30" i="1"/>
  <c r="JK30" i="1"/>
  <c r="JI30" i="1"/>
  <c r="JF30" i="1"/>
  <c r="JC30" i="1"/>
  <c r="IZ30" i="1"/>
  <c r="IW30" i="1"/>
  <c r="IT30" i="1"/>
  <c r="IQ30" i="1"/>
  <c r="IN30" i="1"/>
  <c r="IK30" i="1"/>
  <c r="IH30" i="1"/>
  <c r="IE30" i="1"/>
  <c r="IB30" i="1"/>
  <c r="HY30" i="1"/>
  <c r="HV30" i="1"/>
  <c r="HS30" i="1"/>
  <c r="HP30" i="1"/>
  <c r="HM30" i="1"/>
  <c r="HJ30" i="1"/>
  <c r="HG30" i="1"/>
  <c r="HD30" i="1"/>
  <c r="HA30" i="1"/>
  <c r="GX30" i="1"/>
  <c r="GU30" i="1"/>
  <c r="GR30" i="1"/>
  <c r="GO30" i="1"/>
  <c r="GL30" i="1"/>
  <c r="GI30" i="1"/>
  <c r="GF30" i="1"/>
  <c r="GC30" i="1"/>
  <c r="FZ30" i="1"/>
  <c r="FW30" i="1"/>
  <c r="FT30" i="1"/>
  <c r="FQ30" i="1"/>
  <c r="FN30" i="1"/>
  <c r="FK30" i="1"/>
  <c r="FH30" i="1"/>
  <c r="FE30" i="1"/>
  <c r="FB30" i="1"/>
  <c r="EY30" i="1"/>
  <c r="EV30" i="1"/>
  <c r="ES30" i="1"/>
  <c r="EP30" i="1"/>
  <c r="EM30" i="1"/>
  <c r="EJ30" i="1"/>
  <c r="EG30" i="1"/>
  <c r="ED30" i="1"/>
  <c r="EA30" i="1"/>
  <c r="DX30" i="1"/>
  <c r="DU30" i="1"/>
  <c r="DR30" i="1"/>
  <c r="DO30" i="1"/>
  <c r="DL30" i="1"/>
  <c r="DI30" i="1"/>
  <c r="DF30" i="1"/>
  <c r="DC30" i="1"/>
  <c r="CZ30" i="1"/>
  <c r="CW30" i="1"/>
  <c r="CT30" i="1"/>
  <c r="CQ30" i="1"/>
  <c r="CN30" i="1"/>
  <c r="CK30" i="1"/>
  <c r="CH30" i="1"/>
  <c r="CE30" i="1"/>
  <c r="CB30" i="1"/>
  <c r="BY30" i="1"/>
  <c r="BV30" i="1"/>
  <c r="BS30" i="1"/>
  <c r="BP30" i="1"/>
  <c r="BM30" i="1"/>
  <c r="BJ30" i="1"/>
  <c r="BG30" i="1"/>
  <c r="BD30" i="1"/>
  <c r="BA30" i="1"/>
  <c r="AX30" i="1"/>
  <c r="AU30" i="1"/>
  <c r="AR30" i="1"/>
  <c r="AO30" i="1"/>
  <c r="AL30" i="1"/>
  <c r="AI30" i="1"/>
  <c r="AF30" i="1"/>
  <c r="AC30" i="1"/>
  <c r="Z30" i="1"/>
  <c r="W30" i="1"/>
  <c r="T30" i="1"/>
  <c r="Q30" i="1"/>
  <c r="N30" i="1"/>
  <c r="K30" i="1"/>
  <c r="H30" i="1"/>
  <c r="KR29" i="1"/>
  <c r="KO29" i="1"/>
  <c r="KL29" i="1"/>
  <c r="KI29" i="1"/>
  <c r="KF29" i="1"/>
  <c r="KC29" i="1"/>
  <c r="JZ29" i="1"/>
  <c r="JW29" i="1"/>
  <c r="JT29" i="1"/>
  <c r="JQ29" i="1"/>
  <c r="JN29" i="1"/>
  <c r="JK29" i="1"/>
  <c r="JI29" i="1"/>
  <c r="JF29" i="1"/>
  <c r="JC29" i="1"/>
  <c r="IZ29" i="1"/>
  <c r="IW29" i="1"/>
  <c r="IT29" i="1"/>
  <c r="IQ29" i="1"/>
  <c r="IN29" i="1"/>
  <c r="IK29" i="1"/>
  <c r="IH29" i="1"/>
  <c r="IE29" i="1"/>
  <c r="IB29" i="1"/>
  <c r="HY29" i="1"/>
  <c r="HV29" i="1"/>
  <c r="HS29" i="1"/>
  <c r="HP29" i="1"/>
  <c r="HM29" i="1"/>
  <c r="HJ29" i="1"/>
  <c r="HG29" i="1"/>
  <c r="HD29" i="1"/>
  <c r="HA29" i="1"/>
  <c r="GX29" i="1"/>
  <c r="GU29" i="1"/>
  <c r="GR29" i="1"/>
  <c r="GO29" i="1"/>
  <c r="GL29" i="1"/>
  <c r="GI29" i="1"/>
  <c r="GF29" i="1"/>
  <c r="GC29" i="1"/>
  <c r="FZ29" i="1"/>
  <c r="FW29" i="1"/>
  <c r="FT29" i="1"/>
  <c r="FQ29" i="1"/>
  <c r="FN29" i="1"/>
  <c r="FK29" i="1"/>
  <c r="FH29" i="1"/>
  <c r="FE29" i="1"/>
  <c r="FB29" i="1"/>
  <c r="EY29" i="1"/>
  <c r="EV29" i="1"/>
  <c r="ES29" i="1"/>
  <c r="EP29" i="1"/>
  <c r="EM29" i="1"/>
  <c r="EJ29" i="1"/>
  <c r="EG29" i="1"/>
  <c r="ED29" i="1"/>
  <c r="EA29" i="1"/>
  <c r="DX29" i="1"/>
  <c r="DU29" i="1"/>
  <c r="DR29" i="1"/>
  <c r="DO29" i="1"/>
  <c r="DL29" i="1"/>
  <c r="DI29" i="1"/>
  <c r="DF29" i="1"/>
  <c r="DC29" i="1"/>
  <c r="CZ29" i="1"/>
  <c r="CW29" i="1"/>
  <c r="CT29" i="1"/>
  <c r="CQ29" i="1"/>
  <c r="CN29" i="1"/>
  <c r="CK29" i="1"/>
  <c r="CH29" i="1"/>
  <c r="CE29" i="1"/>
  <c r="CB29" i="1"/>
  <c r="BY29" i="1"/>
  <c r="BV29" i="1"/>
  <c r="BS29" i="1"/>
  <c r="BP29" i="1"/>
  <c r="BM29" i="1"/>
  <c r="BJ29" i="1"/>
  <c r="BG29" i="1"/>
  <c r="BD29" i="1"/>
  <c r="BA29" i="1"/>
  <c r="AX29" i="1"/>
  <c r="AU29" i="1"/>
  <c r="AR29" i="1"/>
  <c r="AO29" i="1"/>
  <c r="AL29" i="1"/>
  <c r="AI29" i="1"/>
  <c r="AF29" i="1"/>
  <c r="AC29" i="1"/>
  <c r="Z29" i="1"/>
  <c r="W29" i="1"/>
  <c r="T29" i="1"/>
  <c r="Q29" i="1"/>
  <c r="N29" i="1"/>
  <c r="K29" i="1"/>
  <c r="H29" i="1"/>
  <c r="KR28" i="1"/>
  <c r="KO28" i="1"/>
  <c r="KL28" i="1"/>
  <c r="KI28" i="1"/>
  <c r="KF28" i="1"/>
  <c r="KC28" i="1"/>
  <c r="JZ28" i="1"/>
  <c r="JW28" i="1"/>
  <c r="JT28" i="1"/>
  <c r="JQ28" i="1"/>
  <c r="JN28" i="1"/>
  <c r="JK28" i="1"/>
  <c r="JI28" i="1"/>
  <c r="JF28" i="1"/>
  <c r="JC28" i="1"/>
  <c r="IZ28" i="1"/>
  <c r="IW28" i="1"/>
  <c r="IT28" i="1"/>
  <c r="IQ28" i="1"/>
  <c r="IN28" i="1"/>
  <c r="IK28" i="1"/>
  <c r="IH28" i="1"/>
  <c r="IE28" i="1"/>
  <c r="IB28" i="1"/>
  <c r="HY28" i="1"/>
  <c r="HV28" i="1"/>
  <c r="HS28" i="1"/>
  <c r="HP28" i="1"/>
  <c r="HM28" i="1"/>
  <c r="HJ28" i="1"/>
  <c r="HG28" i="1"/>
  <c r="HD28" i="1"/>
  <c r="HA28" i="1"/>
  <c r="GX28" i="1"/>
  <c r="GU28" i="1"/>
  <c r="GR28" i="1"/>
  <c r="GO28" i="1"/>
  <c r="GL28" i="1"/>
  <c r="GI28" i="1"/>
  <c r="GF28" i="1"/>
  <c r="GC28" i="1"/>
  <c r="FZ28" i="1"/>
  <c r="FW28" i="1"/>
  <c r="FT28" i="1"/>
  <c r="FQ28" i="1"/>
  <c r="FN28" i="1"/>
  <c r="FK28" i="1"/>
  <c r="FH28" i="1"/>
  <c r="FE28" i="1"/>
  <c r="FB28" i="1"/>
  <c r="EY28" i="1"/>
  <c r="EV28" i="1"/>
  <c r="ES28" i="1"/>
  <c r="EP28" i="1"/>
  <c r="EM28" i="1"/>
  <c r="EJ28" i="1"/>
  <c r="EG28" i="1"/>
  <c r="ED28" i="1"/>
  <c r="EA28" i="1"/>
  <c r="DX28" i="1"/>
  <c r="DU28" i="1"/>
  <c r="DR28" i="1"/>
  <c r="DO28" i="1"/>
  <c r="DL28" i="1"/>
  <c r="DI28" i="1"/>
  <c r="DF28" i="1"/>
  <c r="DC28" i="1"/>
  <c r="CZ28" i="1"/>
  <c r="CW28" i="1"/>
  <c r="CT28" i="1"/>
  <c r="CQ28" i="1"/>
  <c r="CN28" i="1"/>
  <c r="CK28" i="1"/>
  <c r="CH28" i="1"/>
  <c r="CE28" i="1"/>
  <c r="CB28" i="1"/>
  <c r="BY28" i="1"/>
  <c r="BV28" i="1"/>
  <c r="BS28" i="1"/>
  <c r="BP28" i="1"/>
  <c r="BM28" i="1"/>
  <c r="BJ28" i="1"/>
  <c r="BG28" i="1"/>
  <c r="BD28" i="1"/>
  <c r="BA28" i="1"/>
  <c r="AX28" i="1"/>
  <c r="AU28" i="1"/>
  <c r="AR28" i="1"/>
  <c r="AO28" i="1"/>
  <c r="AL28" i="1"/>
  <c r="AI28" i="1"/>
  <c r="AF28" i="1"/>
  <c r="AC28" i="1"/>
  <c r="Z28" i="1"/>
  <c r="W28" i="1"/>
  <c r="T28" i="1"/>
  <c r="Q28" i="1"/>
  <c r="N28" i="1"/>
  <c r="K28" i="1"/>
  <c r="H28" i="1"/>
  <c r="KR27" i="1"/>
  <c r="KO27" i="1"/>
  <c r="KL27" i="1"/>
  <c r="KI27" i="1"/>
  <c r="KF27" i="1"/>
  <c r="KC27" i="1"/>
  <c r="JZ27" i="1"/>
  <c r="JW27" i="1"/>
  <c r="JT27" i="1"/>
  <c r="JQ27" i="1"/>
  <c r="JN27" i="1"/>
  <c r="JK27" i="1"/>
  <c r="JI27" i="1"/>
  <c r="JF27" i="1"/>
  <c r="JC27" i="1"/>
  <c r="IZ27" i="1"/>
  <c r="IW27" i="1"/>
  <c r="IT27" i="1"/>
  <c r="IQ27" i="1"/>
  <c r="IN27" i="1"/>
  <c r="IK27" i="1"/>
  <c r="IH27" i="1"/>
  <c r="IE27" i="1"/>
  <c r="IB27" i="1"/>
  <c r="HY27" i="1"/>
  <c r="HV27" i="1"/>
  <c r="HS27" i="1"/>
  <c r="HP27" i="1"/>
  <c r="HM27" i="1"/>
  <c r="HJ27" i="1"/>
  <c r="HG27" i="1"/>
  <c r="HD27" i="1"/>
  <c r="HA27" i="1"/>
  <c r="GX27" i="1"/>
  <c r="GU27" i="1"/>
  <c r="GR27" i="1"/>
  <c r="GO27" i="1"/>
  <c r="GL27" i="1"/>
  <c r="GI27" i="1"/>
  <c r="GF27" i="1"/>
  <c r="GC27" i="1"/>
  <c r="FZ27" i="1"/>
  <c r="FW27" i="1"/>
  <c r="FT27" i="1"/>
  <c r="FQ27" i="1"/>
  <c r="FN27" i="1"/>
  <c r="FK27" i="1"/>
  <c r="FH27" i="1"/>
  <c r="FE27" i="1"/>
  <c r="FB27" i="1"/>
  <c r="EY27" i="1"/>
  <c r="EV27" i="1"/>
  <c r="ES27" i="1"/>
  <c r="EP27" i="1"/>
  <c r="EM27" i="1"/>
  <c r="EJ27" i="1"/>
  <c r="EG27" i="1"/>
  <c r="ED27" i="1"/>
  <c r="EA27" i="1"/>
  <c r="DX27" i="1"/>
  <c r="DU27" i="1"/>
  <c r="DR27" i="1"/>
  <c r="DO27" i="1"/>
  <c r="DL27" i="1"/>
  <c r="DI27" i="1"/>
  <c r="DF27" i="1"/>
  <c r="DC27" i="1"/>
  <c r="CZ27" i="1"/>
  <c r="CW27" i="1"/>
  <c r="CT27" i="1"/>
  <c r="CQ27" i="1"/>
  <c r="CN27" i="1"/>
  <c r="CK27" i="1"/>
  <c r="CH27" i="1"/>
  <c r="CE27" i="1"/>
  <c r="CB27" i="1"/>
  <c r="BY27" i="1"/>
  <c r="BV27" i="1"/>
  <c r="BS27" i="1"/>
  <c r="BP27" i="1"/>
  <c r="BM27" i="1"/>
  <c r="BJ27" i="1"/>
  <c r="BG27" i="1"/>
  <c r="BD27" i="1"/>
  <c r="BA27" i="1"/>
  <c r="AX27" i="1"/>
  <c r="AU27" i="1"/>
  <c r="AR27" i="1"/>
  <c r="AO27" i="1"/>
  <c r="AL27" i="1"/>
  <c r="AI27" i="1"/>
  <c r="AF27" i="1"/>
  <c r="AC27" i="1"/>
  <c r="Z27" i="1"/>
  <c r="W27" i="1"/>
  <c r="T27" i="1"/>
  <c r="Q27" i="1"/>
  <c r="N27" i="1"/>
  <c r="K27" i="1"/>
  <c r="H27" i="1"/>
  <c r="KR26" i="1"/>
  <c r="KO26" i="1"/>
  <c r="KL26" i="1"/>
  <c r="KI26" i="1"/>
  <c r="KF26" i="1"/>
  <c r="KC26" i="1"/>
  <c r="JZ26" i="1"/>
  <c r="JW26" i="1"/>
  <c r="JT26" i="1"/>
  <c r="JQ26" i="1"/>
  <c r="JN26" i="1"/>
  <c r="JK26" i="1"/>
  <c r="JI26" i="1"/>
  <c r="JF26" i="1"/>
  <c r="JC26" i="1"/>
  <c r="IZ26" i="1"/>
  <c r="IW26" i="1"/>
  <c r="IT26" i="1"/>
  <c r="IQ26" i="1"/>
  <c r="IN26" i="1"/>
  <c r="IK26" i="1"/>
  <c r="IH26" i="1"/>
  <c r="IE26" i="1"/>
  <c r="IB26" i="1"/>
  <c r="HY26" i="1"/>
  <c r="HV26" i="1"/>
  <c r="HS26" i="1"/>
  <c r="HP26" i="1"/>
  <c r="HM26" i="1"/>
  <c r="HJ26" i="1"/>
  <c r="HG26" i="1"/>
  <c r="HD26" i="1"/>
  <c r="HA26" i="1"/>
  <c r="GX26" i="1"/>
  <c r="GU26" i="1"/>
  <c r="GR26" i="1"/>
  <c r="GO26" i="1"/>
  <c r="GL26" i="1"/>
  <c r="GI26" i="1"/>
  <c r="GF26" i="1"/>
  <c r="GC26" i="1"/>
  <c r="FZ26" i="1"/>
  <c r="FW26" i="1"/>
  <c r="FT26" i="1"/>
  <c r="FQ26" i="1"/>
  <c r="FN26" i="1"/>
  <c r="FK26" i="1"/>
  <c r="FH26" i="1"/>
  <c r="FE26" i="1"/>
  <c r="FB26" i="1"/>
  <c r="EY26" i="1"/>
  <c r="EV26" i="1"/>
  <c r="ES26" i="1"/>
  <c r="EP26" i="1"/>
  <c r="EM26" i="1"/>
  <c r="EJ26" i="1"/>
  <c r="EG26" i="1"/>
  <c r="ED26" i="1"/>
  <c r="EA26" i="1"/>
  <c r="DX26" i="1"/>
  <c r="DU26" i="1"/>
  <c r="DR26" i="1"/>
  <c r="DO26" i="1"/>
  <c r="DL26" i="1"/>
  <c r="DI26" i="1"/>
  <c r="DF26" i="1"/>
  <c r="DC26" i="1"/>
  <c r="CZ26" i="1"/>
  <c r="CW26" i="1"/>
  <c r="CT26" i="1"/>
  <c r="CQ26" i="1"/>
  <c r="CN26" i="1"/>
  <c r="CK26" i="1"/>
  <c r="CH26" i="1"/>
  <c r="CE26" i="1"/>
  <c r="CB26" i="1"/>
  <c r="BY26" i="1"/>
  <c r="BV26" i="1"/>
  <c r="BS26" i="1"/>
  <c r="BP26" i="1"/>
  <c r="BM26" i="1"/>
  <c r="BJ26" i="1"/>
  <c r="BG26" i="1"/>
  <c r="BD26" i="1"/>
  <c r="BA26" i="1"/>
  <c r="AX26" i="1"/>
  <c r="AU26" i="1"/>
  <c r="AR26" i="1"/>
  <c r="AO26" i="1"/>
  <c r="AL26" i="1"/>
  <c r="AI26" i="1"/>
  <c r="AF26" i="1"/>
  <c r="AC26" i="1"/>
  <c r="Z26" i="1"/>
  <c r="W26" i="1"/>
  <c r="T26" i="1"/>
  <c r="Q26" i="1"/>
  <c r="N26" i="1"/>
  <c r="K26" i="1"/>
  <c r="H26" i="1"/>
  <c r="KR25" i="1"/>
  <c r="KO25" i="1"/>
  <c r="KL25" i="1"/>
  <c r="KI25" i="1"/>
  <c r="KF25" i="1"/>
  <c r="KC25" i="1"/>
  <c r="JZ25" i="1"/>
  <c r="JW25" i="1"/>
  <c r="JT25" i="1"/>
  <c r="JQ25" i="1"/>
  <c r="JN25" i="1"/>
  <c r="JK25" i="1"/>
  <c r="JI25" i="1"/>
  <c r="JF25" i="1"/>
  <c r="JC25" i="1"/>
  <c r="IZ25" i="1"/>
  <c r="IW25" i="1"/>
  <c r="IT25" i="1"/>
  <c r="IQ25" i="1"/>
  <c r="IN25" i="1"/>
  <c r="IK25" i="1"/>
  <c r="IH25" i="1"/>
  <c r="IE25" i="1"/>
  <c r="IB25" i="1"/>
  <c r="HY25" i="1"/>
  <c r="HV25" i="1"/>
  <c r="HS25" i="1"/>
  <c r="HP25" i="1"/>
  <c r="HM25" i="1"/>
  <c r="HJ25" i="1"/>
  <c r="HG25" i="1"/>
  <c r="HD25" i="1"/>
  <c r="HA25" i="1"/>
  <c r="GX25" i="1"/>
  <c r="GU25" i="1"/>
  <c r="GR25" i="1"/>
  <c r="GO25" i="1"/>
  <c r="GL25" i="1"/>
  <c r="GI25" i="1"/>
  <c r="GF25" i="1"/>
  <c r="GC25" i="1"/>
  <c r="FZ25" i="1"/>
  <c r="FW25" i="1"/>
  <c r="FT25" i="1"/>
  <c r="FQ25" i="1"/>
  <c r="FN25" i="1"/>
  <c r="FK25" i="1"/>
  <c r="FH25" i="1"/>
  <c r="FE25" i="1"/>
  <c r="FB25" i="1"/>
  <c r="EY25" i="1"/>
  <c r="EV25" i="1"/>
  <c r="ES25" i="1"/>
  <c r="EP25" i="1"/>
  <c r="EM25" i="1"/>
  <c r="EJ25" i="1"/>
  <c r="EG25" i="1"/>
  <c r="ED25" i="1"/>
  <c r="EA25" i="1"/>
  <c r="DX25" i="1"/>
  <c r="DU25" i="1"/>
  <c r="DR25" i="1"/>
  <c r="DO25" i="1"/>
  <c r="DL25" i="1"/>
  <c r="DI25" i="1"/>
  <c r="DF25" i="1"/>
  <c r="DC25" i="1"/>
  <c r="CZ25" i="1"/>
  <c r="CW25" i="1"/>
  <c r="CT25" i="1"/>
  <c r="CQ25" i="1"/>
  <c r="CN25" i="1"/>
  <c r="CK25" i="1"/>
  <c r="CH25" i="1"/>
  <c r="CE25" i="1"/>
  <c r="CB25" i="1"/>
  <c r="BY25" i="1"/>
  <c r="BV25" i="1"/>
  <c r="BS25" i="1"/>
  <c r="BP25" i="1"/>
  <c r="BM25" i="1"/>
  <c r="BJ25" i="1"/>
  <c r="BG25" i="1"/>
  <c r="BD25" i="1"/>
  <c r="BA25" i="1"/>
  <c r="AX25" i="1"/>
  <c r="AU25" i="1"/>
  <c r="AR25" i="1"/>
  <c r="AO25" i="1"/>
  <c r="AL25" i="1"/>
  <c r="AI25" i="1"/>
  <c r="AF25" i="1"/>
  <c r="AC25" i="1"/>
  <c r="Z25" i="1"/>
  <c r="W25" i="1"/>
  <c r="T25" i="1"/>
  <c r="Q25" i="1"/>
  <c r="N25" i="1"/>
  <c r="K25" i="1"/>
  <c r="H25" i="1"/>
  <c r="KR24" i="1"/>
  <c r="KO24" i="1"/>
  <c r="KL24" i="1"/>
  <c r="KI24" i="1"/>
  <c r="KF24" i="1"/>
  <c r="KC24" i="1"/>
  <c r="JZ24" i="1"/>
  <c r="JW24" i="1"/>
  <c r="JT24" i="1"/>
  <c r="JQ24" i="1"/>
  <c r="JN24" i="1"/>
  <c r="JK24" i="1"/>
  <c r="JI24" i="1"/>
  <c r="JF24" i="1"/>
  <c r="JC24" i="1"/>
  <c r="IZ24" i="1"/>
  <c r="IW24" i="1"/>
  <c r="IT24" i="1"/>
  <c r="IQ24" i="1"/>
  <c r="IN24" i="1"/>
  <c r="IK24" i="1"/>
  <c r="IH24" i="1"/>
  <c r="IE24" i="1"/>
  <c r="IB24" i="1"/>
  <c r="HY24" i="1"/>
  <c r="HV24" i="1"/>
  <c r="HS24" i="1"/>
  <c r="HP24" i="1"/>
  <c r="HM24" i="1"/>
  <c r="HJ24" i="1"/>
  <c r="HG24" i="1"/>
  <c r="HD24" i="1"/>
  <c r="HA24" i="1"/>
  <c r="GX24" i="1"/>
  <c r="GU24" i="1"/>
  <c r="GR24" i="1"/>
  <c r="GO24" i="1"/>
  <c r="GL24" i="1"/>
  <c r="GI24" i="1"/>
  <c r="GF24" i="1"/>
  <c r="GC24" i="1"/>
  <c r="FZ24" i="1"/>
  <c r="FW24" i="1"/>
  <c r="FT24" i="1"/>
  <c r="FQ24" i="1"/>
  <c r="FN24" i="1"/>
  <c r="FK24" i="1"/>
  <c r="FH24" i="1"/>
  <c r="FE24" i="1"/>
  <c r="FB24" i="1"/>
  <c r="EY24" i="1"/>
  <c r="EV24" i="1"/>
  <c r="ES24" i="1"/>
  <c r="EP24" i="1"/>
  <c r="EM24" i="1"/>
  <c r="EJ24" i="1"/>
  <c r="EG24" i="1"/>
  <c r="ED24" i="1"/>
  <c r="EA24" i="1"/>
  <c r="DX24" i="1"/>
  <c r="DU24" i="1"/>
  <c r="DR24" i="1"/>
  <c r="DO24" i="1"/>
  <c r="DL24" i="1"/>
  <c r="DI24" i="1"/>
  <c r="DF24" i="1"/>
  <c r="DC24" i="1"/>
  <c r="CZ24" i="1"/>
  <c r="CW24" i="1"/>
  <c r="CT24" i="1"/>
  <c r="CQ24" i="1"/>
  <c r="CN24" i="1"/>
  <c r="CK24" i="1"/>
  <c r="CH24" i="1"/>
  <c r="CE24" i="1"/>
  <c r="CB24" i="1"/>
  <c r="BY24" i="1"/>
  <c r="BV24" i="1"/>
  <c r="BS24" i="1"/>
  <c r="BP24" i="1"/>
  <c r="BM24" i="1"/>
  <c r="BJ24" i="1"/>
  <c r="BG24" i="1"/>
  <c r="BD24" i="1"/>
  <c r="BA24" i="1"/>
  <c r="AX24" i="1"/>
  <c r="AU24" i="1"/>
  <c r="AR24" i="1"/>
  <c r="AO24" i="1"/>
  <c r="AL24" i="1"/>
  <c r="AI24" i="1"/>
  <c r="AF24" i="1"/>
  <c r="AC24" i="1"/>
  <c r="Z24" i="1"/>
  <c r="W24" i="1"/>
  <c r="T24" i="1"/>
  <c r="Q24" i="1"/>
  <c r="N24" i="1"/>
  <c r="K24" i="1"/>
  <c r="H24" i="1"/>
  <c r="KR23" i="1"/>
  <c r="KO23" i="1"/>
  <c r="KL23" i="1"/>
  <c r="KI23" i="1"/>
  <c r="KF23" i="1"/>
  <c r="KC23" i="1"/>
  <c r="JZ23" i="1"/>
  <c r="JW23" i="1"/>
  <c r="JT23" i="1"/>
  <c r="JQ23" i="1"/>
  <c r="JN23" i="1"/>
  <c r="JK23" i="1"/>
  <c r="JI23" i="1"/>
  <c r="JF23" i="1"/>
  <c r="JC23" i="1"/>
  <c r="IZ23" i="1"/>
  <c r="IW23" i="1"/>
  <c r="IT23" i="1"/>
  <c r="IQ23" i="1"/>
  <c r="IN23" i="1"/>
  <c r="IK23" i="1"/>
  <c r="IH23" i="1"/>
  <c r="IE23" i="1"/>
  <c r="IB23" i="1"/>
  <c r="HY23" i="1"/>
  <c r="HV23" i="1"/>
  <c r="HS23" i="1"/>
  <c r="HP23" i="1"/>
  <c r="HM23" i="1"/>
  <c r="HJ23" i="1"/>
  <c r="HG23" i="1"/>
  <c r="HD23" i="1"/>
  <c r="HA23" i="1"/>
  <c r="GX23" i="1"/>
  <c r="GU23" i="1"/>
  <c r="GR23" i="1"/>
  <c r="GO23" i="1"/>
  <c r="GL23" i="1"/>
  <c r="GI23" i="1"/>
  <c r="GF23" i="1"/>
  <c r="GC23" i="1"/>
  <c r="FZ23" i="1"/>
  <c r="FW23" i="1"/>
  <c r="FT23" i="1"/>
  <c r="FQ23" i="1"/>
  <c r="FN23" i="1"/>
  <c r="FK23" i="1"/>
  <c r="FH23" i="1"/>
  <c r="FE23" i="1"/>
  <c r="FB23" i="1"/>
  <c r="EY23" i="1"/>
  <c r="EV23" i="1"/>
  <c r="ES23" i="1"/>
  <c r="EP23" i="1"/>
  <c r="EM23" i="1"/>
  <c r="EJ23" i="1"/>
  <c r="EG23" i="1"/>
  <c r="ED23" i="1"/>
  <c r="EA23" i="1"/>
  <c r="DX23" i="1"/>
  <c r="DU23" i="1"/>
  <c r="DR23" i="1"/>
  <c r="DO23" i="1"/>
  <c r="DL23" i="1"/>
  <c r="DI23" i="1"/>
  <c r="DF23" i="1"/>
  <c r="DC23" i="1"/>
  <c r="CZ23" i="1"/>
  <c r="CW23" i="1"/>
  <c r="CT23" i="1"/>
  <c r="CQ23" i="1"/>
  <c r="CN23" i="1"/>
  <c r="CK23" i="1"/>
  <c r="CH23" i="1"/>
  <c r="CE23" i="1"/>
  <c r="CB23" i="1"/>
  <c r="BY23" i="1"/>
  <c r="BV23" i="1"/>
  <c r="BS23" i="1"/>
  <c r="BP23" i="1"/>
  <c r="BM23" i="1"/>
  <c r="BJ23" i="1"/>
  <c r="BG23" i="1"/>
  <c r="BD23" i="1"/>
  <c r="BA23" i="1"/>
  <c r="AX23" i="1"/>
  <c r="AU23" i="1"/>
  <c r="AR23" i="1"/>
  <c r="AO23" i="1"/>
  <c r="AL23" i="1"/>
  <c r="AI23" i="1"/>
  <c r="AF23" i="1"/>
  <c r="AC23" i="1"/>
  <c r="Z23" i="1"/>
  <c r="W23" i="1"/>
  <c r="T23" i="1"/>
  <c r="Q23" i="1"/>
  <c r="N23" i="1"/>
  <c r="K23" i="1"/>
  <c r="H23" i="1"/>
  <c r="KR22" i="1"/>
  <c r="KO22" i="1"/>
  <c r="KL22" i="1"/>
  <c r="KI22" i="1"/>
  <c r="KF22" i="1"/>
  <c r="KC22" i="1"/>
  <c r="JZ22" i="1"/>
  <c r="JW22" i="1"/>
  <c r="JT22" i="1"/>
  <c r="JQ22" i="1"/>
  <c r="JN22" i="1"/>
  <c r="JK22" i="1"/>
  <c r="JI22" i="1"/>
  <c r="JF22" i="1"/>
  <c r="JC22" i="1"/>
  <c r="IZ22" i="1"/>
  <c r="IW22" i="1"/>
  <c r="IT22" i="1"/>
  <c r="IQ22" i="1"/>
  <c r="IN22" i="1"/>
  <c r="IK22" i="1"/>
  <c r="IH22" i="1"/>
  <c r="IE22" i="1"/>
  <c r="IB22" i="1"/>
  <c r="HY22" i="1"/>
  <c r="HV22" i="1"/>
  <c r="HS22" i="1"/>
  <c r="HP22" i="1"/>
  <c r="HM22" i="1"/>
  <c r="HJ22" i="1"/>
  <c r="HG22" i="1"/>
  <c r="HD22" i="1"/>
  <c r="HA22" i="1"/>
  <c r="GX22" i="1"/>
  <c r="GU22" i="1"/>
  <c r="GR22" i="1"/>
  <c r="GO22" i="1"/>
  <c r="GL22" i="1"/>
  <c r="GI22" i="1"/>
  <c r="GF22" i="1"/>
  <c r="GC22" i="1"/>
  <c r="FZ22" i="1"/>
  <c r="FW22" i="1"/>
  <c r="FT22" i="1"/>
  <c r="FQ22" i="1"/>
  <c r="FN22" i="1"/>
  <c r="FK22" i="1"/>
  <c r="FH22" i="1"/>
  <c r="FE22" i="1"/>
  <c r="FB22" i="1"/>
  <c r="EY22" i="1"/>
  <c r="EV22" i="1"/>
  <c r="ES22" i="1"/>
  <c r="EP22" i="1"/>
  <c r="EM22" i="1"/>
  <c r="EJ22" i="1"/>
  <c r="EG22" i="1"/>
  <c r="ED22" i="1"/>
  <c r="EA22" i="1"/>
  <c r="DX22" i="1"/>
  <c r="DU22" i="1"/>
  <c r="DR22" i="1"/>
  <c r="DO22" i="1"/>
  <c r="DL22" i="1"/>
  <c r="DI22" i="1"/>
  <c r="DF22" i="1"/>
  <c r="DC22" i="1"/>
  <c r="CZ22" i="1"/>
  <c r="CW22" i="1"/>
  <c r="CT22" i="1"/>
  <c r="CQ22" i="1"/>
  <c r="CN22" i="1"/>
  <c r="CK22" i="1"/>
  <c r="CH22" i="1"/>
  <c r="CE22" i="1"/>
  <c r="CB22" i="1"/>
  <c r="BY22" i="1"/>
  <c r="BV22" i="1"/>
  <c r="BS22" i="1"/>
  <c r="BP22" i="1"/>
  <c r="BM22" i="1"/>
  <c r="BJ22" i="1"/>
  <c r="BG22" i="1"/>
  <c r="BD22" i="1"/>
  <c r="BA22" i="1"/>
  <c r="AX22" i="1"/>
  <c r="AU22" i="1"/>
  <c r="AR22" i="1"/>
  <c r="AO22" i="1"/>
  <c r="AL22" i="1"/>
  <c r="AI22" i="1"/>
  <c r="AF22" i="1"/>
  <c r="AC22" i="1"/>
  <c r="Z22" i="1"/>
  <c r="W22" i="1"/>
  <c r="T22" i="1"/>
  <c r="Q22" i="1"/>
  <c r="N22" i="1"/>
  <c r="K22" i="1"/>
  <c r="H22" i="1"/>
  <c r="KR21" i="1"/>
  <c r="KO21" i="1"/>
  <c r="KL21" i="1"/>
  <c r="KI21" i="1"/>
  <c r="KF21" i="1"/>
  <c r="KC21" i="1"/>
  <c r="JZ21" i="1"/>
  <c r="JW21" i="1"/>
  <c r="JT21" i="1"/>
  <c r="JQ21" i="1"/>
  <c r="JN21" i="1"/>
  <c r="JK21" i="1"/>
  <c r="JI21" i="1"/>
  <c r="JF21" i="1"/>
  <c r="JC21" i="1"/>
  <c r="IZ21" i="1"/>
  <c r="IW21" i="1"/>
  <c r="IT21" i="1"/>
  <c r="IQ21" i="1"/>
  <c r="IN21" i="1"/>
  <c r="IK21" i="1"/>
  <c r="IH21" i="1"/>
  <c r="IE21" i="1"/>
  <c r="IB21" i="1"/>
  <c r="HY21" i="1"/>
  <c r="HV21" i="1"/>
  <c r="HS21" i="1"/>
  <c r="HP21" i="1"/>
  <c r="HM21" i="1"/>
  <c r="HJ21" i="1"/>
  <c r="HG21" i="1"/>
  <c r="HD21" i="1"/>
  <c r="HA21" i="1"/>
  <c r="GX21" i="1"/>
  <c r="GU21" i="1"/>
  <c r="GR21" i="1"/>
  <c r="GO21" i="1"/>
  <c r="GL21" i="1"/>
  <c r="GI21" i="1"/>
  <c r="GF21" i="1"/>
  <c r="GC21" i="1"/>
  <c r="FZ21" i="1"/>
  <c r="FW21" i="1"/>
  <c r="FT21" i="1"/>
  <c r="FQ21" i="1"/>
  <c r="FN21" i="1"/>
  <c r="FK21" i="1"/>
  <c r="FH21" i="1"/>
  <c r="FE21" i="1"/>
  <c r="FB21" i="1"/>
  <c r="EY21" i="1"/>
  <c r="EV21" i="1"/>
  <c r="ES21" i="1"/>
  <c r="EP21" i="1"/>
  <c r="EM21" i="1"/>
  <c r="EJ21" i="1"/>
  <c r="EG21" i="1"/>
  <c r="ED21" i="1"/>
  <c r="EA21" i="1"/>
  <c r="DX21" i="1"/>
  <c r="DU21" i="1"/>
  <c r="DR21" i="1"/>
  <c r="DO21" i="1"/>
  <c r="DL21" i="1"/>
  <c r="DI21" i="1"/>
  <c r="DF21" i="1"/>
  <c r="DC21" i="1"/>
  <c r="CZ21" i="1"/>
  <c r="CW21" i="1"/>
  <c r="CT21" i="1"/>
  <c r="CQ21" i="1"/>
  <c r="CN21" i="1"/>
  <c r="CK21" i="1"/>
  <c r="CH21" i="1"/>
  <c r="CE21" i="1"/>
  <c r="CB21" i="1"/>
  <c r="BY21" i="1"/>
  <c r="BV21" i="1"/>
  <c r="BS21" i="1"/>
  <c r="BP21" i="1"/>
  <c r="BM21" i="1"/>
  <c r="BJ21" i="1"/>
  <c r="BG21" i="1"/>
  <c r="BD21" i="1"/>
  <c r="BA21" i="1"/>
  <c r="AX21" i="1"/>
  <c r="AU21" i="1"/>
  <c r="AR21" i="1"/>
  <c r="AO21" i="1"/>
  <c r="AL21" i="1"/>
  <c r="AI21" i="1"/>
  <c r="AF21" i="1"/>
  <c r="AC21" i="1"/>
  <c r="Z21" i="1"/>
  <c r="W21" i="1"/>
  <c r="T21" i="1"/>
  <c r="Q21" i="1"/>
  <c r="N21" i="1"/>
  <c r="K21" i="1"/>
  <c r="H21" i="1"/>
  <c r="KR20" i="1"/>
  <c r="KO20" i="1"/>
  <c r="KL20" i="1"/>
  <c r="KI20" i="1"/>
  <c r="KF20" i="1"/>
  <c r="KC20" i="1"/>
  <c r="JZ20" i="1"/>
  <c r="JW20" i="1"/>
  <c r="JT20" i="1"/>
  <c r="JQ20" i="1"/>
  <c r="JN20" i="1"/>
  <c r="JK20" i="1"/>
  <c r="JI20" i="1"/>
  <c r="JF20" i="1"/>
  <c r="JC20" i="1"/>
  <c r="IZ20" i="1"/>
  <c r="IW20" i="1"/>
  <c r="IT20" i="1"/>
  <c r="IQ20" i="1"/>
  <c r="IN20" i="1"/>
  <c r="IK20" i="1"/>
  <c r="IH20" i="1"/>
  <c r="IE20" i="1"/>
  <c r="IB20" i="1"/>
  <c r="HY20" i="1"/>
  <c r="HV20" i="1"/>
  <c r="HS20" i="1"/>
  <c r="HP20" i="1"/>
  <c r="HM20" i="1"/>
  <c r="HJ20" i="1"/>
  <c r="HG20" i="1"/>
  <c r="HD20" i="1"/>
  <c r="HA20" i="1"/>
  <c r="GX20" i="1"/>
  <c r="GU20" i="1"/>
  <c r="GR20" i="1"/>
  <c r="GO20" i="1"/>
  <c r="GL20" i="1"/>
  <c r="GI20" i="1"/>
  <c r="GF20" i="1"/>
  <c r="GC20" i="1"/>
  <c r="FZ20" i="1"/>
  <c r="FW20" i="1"/>
  <c r="FT20" i="1"/>
  <c r="FQ20" i="1"/>
  <c r="FN20" i="1"/>
  <c r="FK20" i="1"/>
  <c r="FH20" i="1"/>
  <c r="FE20" i="1"/>
  <c r="FB20" i="1"/>
  <c r="EY20" i="1"/>
  <c r="EV20" i="1"/>
  <c r="ES20" i="1"/>
  <c r="EP20" i="1"/>
  <c r="EM20" i="1"/>
  <c r="EJ20" i="1"/>
  <c r="EG20" i="1"/>
  <c r="ED20" i="1"/>
  <c r="EA20" i="1"/>
  <c r="DX20" i="1"/>
  <c r="DU20" i="1"/>
  <c r="DR20" i="1"/>
  <c r="DO20" i="1"/>
  <c r="DL20" i="1"/>
  <c r="DI20" i="1"/>
  <c r="DF20" i="1"/>
  <c r="DC20" i="1"/>
  <c r="CZ20" i="1"/>
  <c r="CW20" i="1"/>
  <c r="CT20" i="1"/>
  <c r="CQ20" i="1"/>
  <c r="CN20" i="1"/>
  <c r="CK20" i="1"/>
  <c r="CH20" i="1"/>
  <c r="CE20" i="1"/>
  <c r="CB20" i="1"/>
  <c r="BY20" i="1"/>
  <c r="BV20" i="1"/>
  <c r="BS20" i="1"/>
  <c r="BP20" i="1"/>
  <c r="BM20" i="1"/>
  <c r="BJ20" i="1"/>
  <c r="BG20" i="1"/>
  <c r="BD20" i="1"/>
  <c r="BA20" i="1"/>
  <c r="AX20" i="1"/>
  <c r="AU20" i="1"/>
  <c r="AR20" i="1"/>
  <c r="AO20" i="1"/>
  <c r="AL20" i="1"/>
  <c r="AI20" i="1"/>
  <c r="AF20" i="1"/>
  <c r="AC20" i="1"/>
  <c r="Z20" i="1"/>
  <c r="W20" i="1"/>
  <c r="T20" i="1"/>
  <c r="Q20" i="1"/>
  <c r="N20" i="1"/>
  <c r="K20" i="1"/>
  <c r="H20" i="1"/>
  <c r="KR19" i="1"/>
  <c r="KO19" i="1"/>
  <c r="KL19" i="1"/>
  <c r="KI19" i="1"/>
  <c r="KF19" i="1"/>
  <c r="KC19" i="1"/>
  <c r="JZ19" i="1"/>
  <c r="JW19" i="1"/>
  <c r="JT19" i="1"/>
  <c r="JQ19" i="1"/>
  <c r="JN19" i="1"/>
  <c r="JK19" i="1"/>
  <c r="JI19" i="1"/>
  <c r="JF19" i="1"/>
  <c r="JC19" i="1"/>
  <c r="IZ19" i="1"/>
  <c r="IW19" i="1"/>
  <c r="IT19" i="1"/>
  <c r="IQ19" i="1"/>
  <c r="IN19" i="1"/>
  <c r="IK19" i="1"/>
  <c r="IH19" i="1"/>
  <c r="IE19" i="1"/>
  <c r="IB19" i="1"/>
  <c r="HY19" i="1"/>
  <c r="HV19" i="1"/>
  <c r="HS19" i="1"/>
  <c r="HP19" i="1"/>
  <c r="HM19" i="1"/>
  <c r="HJ19" i="1"/>
  <c r="HG19" i="1"/>
  <c r="HD19" i="1"/>
  <c r="HA19" i="1"/>
  <c r="GX19" i="1"/>
  <c r="GU19" i="1"/>
  <c r="GR19" i="1"/>
  <c r="GO19" i="1"/>
  <c r="GL19" i="1"/>
  <c r="GI19" i="1"/>
  <c r="GF19" i="1"/>
  <c r="GC19" i="1"/>
  <c r="FZ19" i="1"/>
  <c r="FW19" i="1"/>
  <c r="FT19" i="1"/>
  <c r="FQ19" i="1"/>
  <c r="FN19" i="1"/>
  <c r="FK19" i="1"/>
  <c r="FH19" i="1"/>
  <c r="FE19" i="1"/>
  <c r="FB19" i="1"/>
  <c r="EY19" i="1"/>
  <c r="EV19" i="1"/>
  <c r="ES19" i="1"/>
  <c r="EP19" i="1"/>
  <c r="EM19" i="1"/>
  <c r="EJ19" i="1"/>
  <c r="EG19" i="1"/>
  <c r="ED19" i="1"/>
  <c r="EA19" i="1"/>
  <c r="DX19" i="1"/>
  <c r="DU19" i="1"/>
  <c r="DR19" i="1"/>
  <c r="DO19" i="1"/>
  <c r="DL19" i="1"/>
  <c r="DI19" i="1"/>
  <c r="DF19" i="1"/>
  <c r="DC19" i="1"/>
  <c r="CZ19" i="1"/>
  <c r="CW19" i="1"/>
  <c r="CT19" i="1"/>
  <c r="CQ19" i="1"/>
  <c r="CN19" i="1"/>
  <c r="CK19" i="1"/>
  <c r="CH19" i="1"/>
  <c r="CE19" i="1"/>
  <c r="CB19" i="1"/>
  <c r="BY19" i="1"/>
  <c r="BV19" i="1"/>
  <c r="BS19" i="1"/>
  <c r="BP19" i="1"/>
  <c r="BM19" i="1"/>
  <c r="BJ19" i="1"/>
  <c r="BG19" i="1"/>
  <c r="BD19" i="1"/>
  <c r="BA19" i="1"/>
  <c r="AX19" i="1"/>
  <c r="AU19" i="1"/>
  <c r="AR19" i="1"/>
  <c r="AO19" i="1"/>
  <c r="AL19" i="1"/>
  <c r="AI19" i="1"/>
  <c r="AF19" i="1"/>
  <c r="AC19" i="1"/>
  <c r="Z19" i="1"/>
  <c r="W19" i="1"/>
  <c r="T19" i="1"/>
  <c r="Q19" i="1"/>
  <c r="N19" i="1"/>
  <c r="K19" i="1"/>
  <c r="H19" i="1"/>
  <c r="KR18" i="1"/>
  <c r="KO18" i="1"/>
  <c r="KL18" i="1"/>
  <c r="KI18" i="1"/>
  <c r="KF18" i="1"/>
  <c r="KC18" i="1"/>
  <c r="JZ18" i="1"/>
  <c r="JW18" i="1"/>
  <c r="JT18" i="1"/>
  <c r="JQ18" i="1"/>
  <c r="JN18" i="1"/>
  <c r="JK18" i="1"/>
  <c r="JI18" i="1"/>
  <c r="JF18" i="1"/>
  <c r="JC18" i="1"/>
  <c r="IZ18" i="1"/>
  <c r="IW18" i="1"/>
  <c r="IT18" i="1"/>
  <c r="IQ18" i="1"/>
  <c r="IN18" i="1"/>
  <c r="IK18" i="1"/>
  <c r="IH18" i="1"/>
  <c r="IE18" i="1"/>
  <c r="IB18" i="1"/>
  <c r="HY18" i="1"/>
  <c r="HV18" i="1"/>
  <c r="HS18" i="1"/>
  <c r="HP18" i="1"/>
  <c r="HM18" i="1"/>
  <c r="HJ18" i="1"/>
  <c r="HG18" i="1"/>
  <c r="HD18" i="1"/>
  <c r="HA18" i="1"/>
  <c r="GX18" i="1"/>
  <c r="GU18" i="1"/>
  <c r="GR18" i="1"/>
  <c r="GO18" i="1"/>
  <c r="GL18" i="1"/>
  <c r="GI18" i="1"/>
  <c r="GF18" i="1"/>
  <c r="GC18" i="1"/>
  <c r="FZ18" i="1"/>
  <c r="FW18" i="1"/>
  <c r="FT18" i="1"/>
  <c r="FQ18" i="1"/>
  <c r="FN18" i="1"/>
  <c r="FK18" i="1"/>
  <c r="FH18" i="1"/>
  <c r="FE18" i="1"/>
  <c r="FB18" i="1"/>
  <c r="EY18" i="1"/>
  <c r="EV18" i="1"/>
  <c r="ES18" i="1"/>
  <c r="EP18" i="1"/>
  <c r="EM18" i="1"/>
  <c r="EJ18" i="1"/>
  <c r="EG18" i="1"/>
  <c r="ED18" i="1"/>
  <c r="EA18" i="1"/>
  <c r="DX18" i="1"/>
  <c r="DU18" i="1"/>
  <c r="DR18" i="1"/>
  <c r="DO18" i="1"/>
  <c r="DL18" i="1"/>
  <c r="DI18" i="1"/>
  <c r="DF18" i="1"/>
  <c r="DC18" i="1"/>
  <c r="CZ18" i="1"/>
  <c r="CW18" i="1"/>
  <c r="CT18" i="1"/>
  <c r="CQ18" i="1"/>
  <c r="CN18" i="1"/>
  <c r="CK18" i="1"/>
  <c r="CH18" i="1"/>
  <c r="CE18" i="1"/>
  <c r="CB18" i="1"/>
  <c r="BY18" i="1"/>
  <c r="BV18" i="1"/>
  <c r="BS18" i="1"/>
  <c r="BP18" i="1"/>
  <c r="BM18" i="1"/>
  <c r="BJ18" i="1"/>
  <c r="BG18" i="1"/>
  <c r="BD18" i="1"/>
  <c r="BA18" i="1"/>
  <c r="AX18" i="1"/>
  <c r="AU18" i="1"/>
  <c r="AR18" i="1"/>
  <c r="AO18" i="1"/>
  <c r="AL18" i="1"/>
  <c r="AI18" i="1"/>
  <c r="AF18" i="1"/>
  <c r="AC18" i="1"/>
  <c r="Z18" i="1"/>
  <c r="W18" i="1"/>
  <c r="T18" i="1"/>
  <c r="Q18" i="1"/>
  <c r="N18" i="1"/>
  <c r="K18" i="1"/>
  <c r="H18" i="1"/>
  <c r="KR17" i="1"/>
  <c r="KO17" i="1"/>
  <c r="KL17" i="1"/>
  <c r="KI17" i="1"/>
  <c r="KF17" i="1"/>
  <c r="KC17" i="1"/>
  <c r="JZ17" i="1"/>
  <c r="JW17" i="1"/>
  <c r="JT17" i="1"/>
  <c r="JQ17" i="1"/>
  <c r="JN17" i="1"/>
  <c r="JK17" i="1"/>
  <c r="JI17" i="1"/>
  <c r="JF17" i="1"/>
  <c r="JC17" i="1"/>
  <c r="IZ17" i="1"/>
  <c r="IW17" i="1"/>
  <c r="IT17" i="1"/>
  <c r="IQ17" i="1"/>
  <c r="IN17" i="1"/>
  <c r="IK17" i="1"/>
  <c r="IH17" i="1"/>
  <c r="IE17" i="1"/>
  <c r="IB17" i="1"/>
  <c r="HY17" i="1"/>
  <c r="HV17" i="1"/>
  <c r="HS17" i="1"/>
  <c r="HP17" i="1"/>
  <c r="HM17" i="1"/>
  <c r="HJ17" i="1"/>
  <c r="HG17" i="1"/>
  <c r="HD17" i="1"/>
  <c r="HA17" i="1"/>
  <c r="GX17" i="1"/>
  <c r="GU17" i="1"/>
  <c r="GR17" i="1"/>
  <c r="GO17" i="1"/>
  <c r="GL17" i="1"/>
  <c r="GI17" i="1"/>
  <c r="GF17" i="1"/>
  <c r="GC17" i="1"/>
  <c r="FZ17" i="1"/>
  <c r="FW17" i="1"/>
  <c r="FT17" i="1"/>
  <c r="FQ17" i="1"/>
  <c r="FN17" i="1"/>
  <c r="FK17" i="1"/>
  <c r="FH17" i="1"/>
  <c r="FE17" i="1"/>
  <c r="FB17" i="1"/>
  <c r="EY17" i="1"/>
  <c r="EV17" i="1"/>
  <c r="ES17" i="1"/>
  <c r="EP17" i="1"/>
  <c r="EM17" i="1"/>
  <c r="EJ17" i="1"/>
  <c r="EG17" i="1"/>
  <c r="ED17" i="1"/>
  <c r="EA17" i="1"/>
  <c r="DX17" i="1"/>
  <c r="DU17" i="1"/>
  <c r="DR17" i="1"/>
  <c r="DO17" i="1"/>
  <c r="DL17" i="1"/>
  <c r="DI17" i="1"/>
  <c r="DF17" i="1"/>
  <c r="DC17" i="1"/>
  <c r="CZ17" i="1"/>
  <c r="CW17" i="1"/>
  <c r="CT17" i="1"/>
  <c r="CQ17" i="1"/>
  <c r="CN17" i="1"/>
  <c r="CK17" i="1"/>
  <c r="CH17" i="1"/>
  <c r="CE17" i="1"/>
  <c r="CB17" i="1"/>
  <c r="BY17" i="1"/>
  <c r="BV17" i="1"/>
  <c r="BS17" i="1"/>
  <c r="BP17" i="1"/>
  <c r="BM17" i="1"/>
  <c r="BJ17" i="1"/>
  <c r="BG17" i="1"/>
  <c r="BD17" i="1"/>
  <c r="BA17" i="1"/>
  <c r="AX17" i="1"/>
  <c r="AU17" i="1"/>
  <c r="AR17" i="1"/>
  <c r="AO17" i="1"/>
  <c r="AL17" i="1"/>
  <c r="AI17" i="1"/>
  <c r="AF17" i="1"/>
  <c r="AC17" i="1"/>
  <c r="Z17" i="1"/>
  <c r="W17" i="1"/>
  <c r="T17" i="1"/>
  <c r="Q17" i="1"/>
  <c r="N17" i="1"/>
  <c r="K17" i="1"/>
  <c r="H17" i="1"/>
  <c r="KR16" i="1"/>
  <c r="KO16" i="1"/>
  <c r="KL16" i="1"/>
  <c r="KI16" i="1"/>
  <c r="KF16" i="1"/>
  <c r="KC16" i="1"/>
  <c r="JZ16" i="1"/>
  <c r="JW16" i="1"/>
  <c r="JT16" i="1"/>
  <c r="JQ16" i="1"/>
  <c r="JN16" i="1"/>
  <c r="JK16" i="1"/>
  <c r="JI16" i="1"/>
  <c r="JF16" i="1"/>
  <c r="JC16" i="1"/>
  <c r="IZ16" i="1"/>
  <c r="IW16" i="1"/>
  <c r="IT16" i="1"/>
  <c r="IQ16" i="1"/>
  <c r="IN16" i="1"/>
  <c r="IK16" i="1"/>
  <c r="IH16" i="1"/>
  <c r="IE16" i="1"/>
  <c r="IB16" i="1"/>
  <c r="HY16" i="1"/>
  <c r="HV16" i="1"/>
  <c r="HS16" i="1"/>
  <c r="HP16" i="1"/>
  <c r="HM16" i="1"/>
  <c r="HJ16" i="1"/>
  <c r="HG16" i="1"/>
  <c r="HD16" i="1"/>
  <c r="HA16" i="1"/>
  <c r="GX16" i="1"/>
  <c r="GU16" i="1"/>
  <c r="GR16" i="1"/>
  <c r="GO16" i="1"/>
  <c r="GL16" i="1"/>
  <c r="GI16" i="1"/>
  <c r="GF16" i="1"/>
  <c r="GC16" i="1"/>
  <c r="FZ16" i="1"/>
  <c r="FW16" i="1"/>
  <c r="FT16" i="1"/>
  <c r="FQ16" i="1"/>
  <c r="FN16" i="1"/>
  <c r="FK16" i="1"/>
  <c r="FH16" i="1"/>
  <c r="FE16" i="1"/>
  <c r="FB16" i="1"/>
  <c r="EY16" i="1"/>
  <c r="EV16" i="1"/>
  <c r="ES16" i="1"/>
  <c r="EP16" i="1"/>
  <c r="EM16" i="1"/>
  <c r="EJ16" i="1"/>
  <c r="EG16" i="1"/>
  <c r="ED16" i="1"/>
  <c r="EA16" i="1"/>
  <c r="DX16" i="1"/>
  <c r="DU16" i="1"/>
  <c r="DR16" i="1"/>
  <c r="DO16" i="1"/>
  <c r="DL16" i="1"/>
  <c r="DI16" i="1"/>
  <c r="DF16" i="1"/>
  <c r="DC16" i="1"/>
  <c r="CZ16" i="1"/>
  <c r="CW16" i="1"/>
  <c r="CT16" i="1"/>
  <c r="CQ16" i="1"/>
  <c r="CN16" i="1"/>
  <c r="CK16" i="1"/>
  <c r="CH16" i="1"/>
  <c r="CE16" i="1"/>
  <c r="CB16" i="1"/>
  <c r="BY16" i="1"/>
  <c r="BV16" i="1"/>
  <c r="BS16" i="1"/>
  <c r="BP16" i="1"/>
  <c r="BM16" i="1"/>
  <c r="BJ16" i="1"/>
  <c r="BG16" i="1"/>
  <c r="BD16" i="1"/>
  <c r="BA16" i="1"/>
  <c r="AX16" i="1"/>
  <c r="AU16" i="1"/>
  <c r="AR16" i="1"/>
  <c r="AO16" i="1"/>
  <c r="AL16" i="1"/>
  <c r="AI16" i="1"/>
  <c r="AF16" i="1"/>
  <c r="AC16" i="1"/>
  <c r="Z16" i="1"/>
  <c r="W16" i="1"/>
  <c r="T16" i="1"/>
  <c r="Q16" i="1"/>
  <c r="N16" i="1"/>
  <c r="K16" i="1"/>
  <c r="H16" i="1"/>
  <c r="KR15" i="1"/>
  <c r="KO15" i="1"/>
  <c r="KL15" i="1"/>
  <c r="KI15" i="1"/>
  <c r="KF15" i="1"/>
  <c r="KC15" i="1"/>
  <c r="JZ15" i="1"/>
  <c r="JW15" i="1"/>
  <c r="JT15" i="1"/>
  <c r="JQ15" i="1"/>
  <c r="JN15" i="1"/>
  <c r="JK15" i="1"/>
  <c r="JI15" i="1"/>
  <c r="JF15" i="1"/>
  <c r="JC15" i="1"/>
  <c r="IZ15" i="1"/>
  <c r="IW15" i="1"/>
  <c r="IT15" i="1"/>
  <c r="IQ15" i="1"/>
  <c r="IN15" i="1"/>
  <c r="IK15" i="1"/>
  <c r="IH15" i="1"/>
  <c r="IE15" i="1"/>
  <c r="IB15" i="1"/>
  <c r="HY15" i="1"/>
  <c r="HV15" i="1"/>
  <c r="HS15" i="1"/>
  <c r="HP15" i="1"/>
  <c r="HM15" i="1"/>
  <c r="HJ15" i="1"/>
  <c r="HG15" i="1"/>
  <c r="HD15" i="1"/>
  <c r="HA15" i="1"/>
  <c r="GX15" i="1"/>
  <c r="GU15" i="1"/>
  <c r="GR15" i="1"/>
  <c r="GO15" i="1"/>
  <c r="GL15" i="1"/>
  <c r="GI15" i="1"/>
  <c r="GF15" i="1"/>
  <c r="GC15" i="1"/>
  <c r="FZ15" i="1"/>
  <c r="FW15" i="1"/>
  <c r="FT15" i="1"/>
  <c r="FQ15" i="1"/>
  <c r="FN15" i="1"/>
  <c r="FK15" i="1"/>
  <c r="FH15" i="1"/>
  <c r="FE15" i="1"/>
  <c r="FB15" i="1"/>
  <c r="EY15" i="1"/>
  <c r="EV15" i="1"/>
  <c r="ES15" i="1"/>
  <c r="EP15" i="1"/>
  <c r="EM15" i="1"/>
  <c r="EJ15" i="1"/>
  <c r="EG15" i="1"/>
  <c r="ED15" i="1"/>
  <c r="EA15" i="1"/>
  <c r="DX15" i="1"/>
  <c r="DU15" i="1"/>
  <c r="DR15" i="1"/>
  <c r="DO15" i="1"/>
  <c r="DL15" i="1"/>
  <c r="DI15" i="1"/>
  <c r="DF15" i="1"/>
  <c r="DC15" i="1"/>
  <c r="CZ15" i="1"/>
  <c r="CW15" i="1"/>
  <c r="CT15" i="1"/>
  <c r="CQ15" i="1"/>
  <c r="CN15" i="1"/>
  <c r="CK15" i="1"/>
  <c r="CH15" i="1"/>
  <c r="CE15" i="1"/>
  <c r="CB15" i="1"/>
  <c r="BY15" i="1"/>
  <c r="BV15" i="1"/>
  <c r="BS15" i="1"/>
  <c r="BP15" i="1"/>
  <c r="BM15" i="1"/>
  <c r="BJ15" i="1"/>
  <c r="BG15" i="1"/>
  <c r="BD15" i="1"/>
  <c r="BA15" i="1"/>
  <c r="AX15" i="1"/>
  <c r="AU15" i="1"/>
  <c r="AO15" i="1"/>
  <c r="AL15" i="1"/>
  <c r="AI15" i="1"/>
  <c r="AF15" i="1"/>
  <c r="AC15" i="1"/>
  <c r="Z15" i="1"/>
  <c r="W15" i="1"/>
  <c r="T15" i="1"/>
  <c r="Q15" i="1"/>
  <c r="N15" i="1"/>
  <c r="K15" i="1"/>
  <c r="H15" i="1"/>
  <c r="KR14" i="1"/>
  <c r="KO14" i="1"/>
  <c r="KL14" i="1"/>
  <c r="KI14" i="1"/>
  <c r="KF14" i="1"/>
  <c r="KC14" i="1"/>
  <c r="JZ14" i="1"/>
  <c r="JW14" i="1"/>
  <c r="JT14" i="1"/>
  <c r="JQ14" i="1"/>
  <c r="JN14" i="1"/>
  <c r="JK14" i="1"/>
  <c r="JI14" i="1"/>
  <c r="JF14" i="1"/>
  <c r="JC14" i="1"/>
  <c r="IZ14" i="1"/>
  <c r="IW14" i="1"/>
  <c r="IT14" i="1"/>
  <c r="IQ14" i="1"/>
  <c r="IN14" i="1"/>
  <c r="IK14" i="1"/>
  <c r="IH14" i="1"/>
  <c r="IE14" i="1"/>
  <c r="IB14" i="1"/>
  <c r="HY14" i="1"/>
  <c r="HV14" i="1"/>
  <c r="HS14" i="1"/>
  <c r="HP14" i="1"/>
  <c r="HM14" i="1"/>
  <c r="HJ14" i="1"/>
  <c r="HG14" i="1"/>
  <c r="HD14" i="1"/>
  <c r="HA14" i="1"/>
  <c r="GX14" i="1"/>
  <c r="GU14" i="1"/>
  <c r="GR14" i="1"/>
  <c r="GO14" i="1"/>
  <c r="GL14" i="1"/>
  <c r="GI14" i="1"/>
  <c r="GF14" i="1"/>
  <c r="GC14" i="1"/>
  <c r="FZ14" i="1"/>
  <c r="FW14" i="1"/>
  <c r="FT14" i="1"/>
  <c r="FQ14" i="1"/>
  <c r="FN14" i="1"/>
  <c r="FK14" i="1"/>
  <c r="FH14" i="1"/>
  <c r="FE14" i="1"/>
  <c r="FB14" i="1"/>
  <c r="EY14" i="1"/>
  <c r="EV14" i="1"/>
  <c r="ES14" i="1"/>
  <c r="EP14" i="1"/>
  <c r="EM14" i="1"/>
  <c r="EJ14" i="1"/>
  <c r="EG14" i="1"/>
  <c r="ED14" i="1"/>
  <c r="EA14" i="1"/>
  <c r="DX14" i="1"/>
  <c r="DU14" i="1"/>
  <c r="DR14" i="1"/>
  <c r="DO14" i="1"/>
  <c r="DL14" i="1"/>
  <c r="DI14" i="1"/>
  <c r="DF14" i="1"/>
  <c r="DC14" i="1"/>
  <c r="CZ14" i="1"/>
  <c r="CW14" i="1"/>
  <c r="CT14" i="1"/>
  <c r="CQ14" i="1"/>
  <c r="CN14" i="1"/>
  <c r="CK14" i="1"/>
  <c r="CH14" i="1"/>
  <c r="CE14" i="1"/>
  <c r="CB14" i="1"/>
  <c r="BY14" i="1"/>
  <c r="BV14" i="1"/>
  <c r="BS14" i="1"/>
  <c r="BP14" i="1"/>
  <c r="BM14" i="1"/>
  <c r="BJ14" i="1"/>
  <c r="BG14" i="1"/>
  <c r="BD14" i="1"/>
  <c r="BA14" i="1"/>
  <c r="AX14" i="1"/>
  <c r="AU14" i="1"/>
  <c r="AR14" i="1"/>
  <c r="AO14" i="1"/>
  <c r="AL14" i="1"/>
  <c r="AI14" i="1"/>
  <c r="AF14" i="1"/>
  <c r="AC14" i="1"/>
  <c r="Z14" i="1"/>
  <c r="W14" i="1"/>
  <c r="T14" i="1"/>
  <c r="Q14" i="1"/>
  <c r="N14" i="1"/>
  <c r="K14" i="1"/>
  <c r="H14" i="1"/>
  <c r="KR13" i="1"/>
  <c r="KO13" i="1"/>
  <c r="KL13" i="1"/>
  <c r="KI13" i="1"/>
  <c r="KF13" i="1"/>
  <c r="KC13" i="1"/>
  <c r="JZ13" i="1"/>
  <c r="JW13" i="1"/>
  <c r="JT13" i="1"/>
  <c r="JQ13" i="1"/>
  <c r="JN13" i="1"/>
  <c r="JK13" i="1"/>
  <c r="JI13" i="1"/>
  <c r="JF13" i="1"/>
  <c r="JC13" i="1"/>
  <c r="IZ13" i="1"/>
  <c r="IW13" i="1"/>
  <c r="IT13" i="1"/>
  <c r="IQ13" i="1"/>
  <c r="IN13" i="1"/>
  <c r="IK13" i="1"/>
  <c r="IH13" i="1"/>
  <c r="IE13" i="1"/>
  <c r="IB13" i="1"/>
  <c r="HY13" i="1"/>
  <c r="HV13" i="1"/>
  <c r="HS13" i="1"/>
  <c r="HP13" i="1"/>
  <c r="HM13" i="1"/>
  <c r="HJ13" i="1"/>
  <c r="HG13" i="1"/>
  <c r="HD13" i="1"/>
  <c r="HA13" i="1"/>
  <c r="GX13" i="1"/>
  <c r="GU13" i="1"/>
  <c r="GR13" i="1"/>
  <c r="GO13" i="1"/>
  <c r="GL13" i="1"/>
  <c r="GI13" i="1"/>
  <c r="GF13" i="1"/>
  <c r="GC13" i="1"/>
  <c r="FZ13" i="1"/>
  <c r="FW13" i="1"/>
  <c r="FT13" i="1"/>
  <c r="FQ13" i="1"/>
  <c r="FN13" i="1"/>
  <c r="FK13" i="1"/>
  <c r="FH13" i="1"/>
  <c r="FE13" i="1"/>
  <c r="FB13" i="1"/>
  <c r="EY13" i="1"/>
  <c r="EV13" i="1"/>
  <c r="ES13" i="1"/>
  <c r="EP13" i="1"/>
  <c r="EM13" i="1"/>
  <c r="EJ13" i="1"/>
  <c r="EG13" i="1"/>
  <c r="ED13" i="1"/>
  <c r="EA13" i="1"/>
  <c r="DX13" i="1"/>
  <c r="DU13" i="1"/>
  <c r="DR13" i="1"/>
  <c r="DO13" i="1"/>
  <c r="DL13" i="1"/>
  <c r="DF13" i="1"/>
  <c r="DC13" i="1"/>
  <c r="CZ13" i="1"/>
  <c r="CW13" i="1"/>
  <c r="CT13" i="1"/>
  <c r="CQ13" i="1"/>
  <c r="CN13" i="1"/>
  <c r="CK13" i="1"/>
  <c r="CH13" i="1"/>
  <c r="CE13" i="1"/>
  <c r="CB13" i="1"/>
  <c r="BY13" i="1"/>
  <c r="BV13" i="1"/>
  <c r="BS13" i="1"/>
  <c r="BP13" i="1"/>
  <c r="BM13" i="1"/>
  <c r="BJ13" i="1"/>
  <c r="BG13" i="1"/>
  <c r="BD13" i="1"/>
  <c r="BA13" i="1"/>
  <c r="AX13" i="1"/>
  <c r="AU13" i="1"/>
  <c r="AR13" i="1"/>
  <c r="AO13" i="1"/>
  <c r="AL13" i="1"/>
  <c r="AI13" i="1"/>
  <c r="AF13" i="1"/>
  <c r="AC13" i="1"/>
  <c r="Z13" i="1"/>
  <c r="W13" i="1"/>
  <c r="T13" i="1"/>
  <c r="Q13" i="1"/>
  <c r="N13" i="1"/>
  <c r="K13" i="1"/>
  <c r="H13" i="1"/>
  <c r="KR12" i="1"/>
  <c r="KO12" i="1"/>
  <c r="KL12" i="1"/>
  <c r="KI12" i="1"/>
  <c r="KF12" i="1"/>
  <c r="KC12" i="1"/>
  <c r="JZ12" i="1"/>
  <c r="JX12" i="1"/>
  <c r="JW12" i="1"/>
  <c r="JT12" i="1"/>
  <c r="JQ12" i="1"/>
  <c r="JN12" i="1"/>
  <c r="JK12" i="1"/>
  <c r="JI12" i="1"/>
  <c r="JF12" i="1"/>
  <c r="JC12" i="1"/>
  <c r="IZ12" i="1"/>
  <c r="IW12" i="1"/>
  <c r="IT12" i="1"/>
  <c r="IQ12" i="1"/>
  <c r="IN12" i="1"/>
  <c r="IK12" i="1"/>
  <c r="IH12" i="1"/>
  <c r="IE12" i="1"/>
  <c r="IB12" i="1"/>
  <c r="HY12" i="1"/>
  <c r="HV12" i="1"/>
  <c r="HS12" i="1"/>
  <c r="HP12" i="1"/>
  <c r="HM12" i="1"/>
  <c r="HJ12" i="1"/>
  <c r="HG12" i="1"/>
  <c r="HD12" i="1"/>
  <c r="HA12" i="1"/>
  <c r="GX12" i="1"/>
  <c r="GU12" i="1"/>
  <c r="GR12" i="1"/>
  <c r="GO12" i="1"/>
  <c r="GL12" i="1"/>
  <c r="GI12" i="1"/>
  <c r="GF12" i="1"/>
  <c r="GC12" i="1"/>
  <c r="FZ12" i="1"/>
  <c r="FW12" i="1"/>
  <c r="FT12" i="1"/>
  <c r="FQ12" i="1"/>
  <c r="FN12" i="1"/>
  <c r="FK12" i="1"/>
  <c r="FH12" i="1"/>
  <c r="FE12" i="1"/>
  <c r="FB12" i="1"/>
  <c r="EY12" i="1"/>
  <c r="EV12" i="1"/>
  <c r="ES12" i="1"/>
  <c r="EP12" i="1"/>
  <c r="EM12" i="1"/>
  <c r="EJ12" i="1"/>
  <c r="EG12" i="1"/>
  <c r="ED12" i="1"/>
  <c r="EA12" i="1"/>
  <c r="DX12" i="1"/>
  <c r="DU12" i="1"/>
  <c r="DR12" i="1"/>
  <c r="DO12" i="1"/>
  <c r="DL12" i="1"/>
  <c r="DF12" i="1"/>
  <c r="DC12" i="1"/>
  <c r="CZ12" i="1"/>
  <c r="CW12" i="1"/>
  <c r="CT12" i="1"/>
  <c r="CQ12" i="1"/>
  <c r="CN12" i="1"/>
  <c r="CK12" i="1"/>
  <c r="CH12" i="1"/>
  <c r="CE12" i="1"/>
  <c r="CB12" i="1"/>
  <c r="BY12" i="1"/>
  <c r="BV12" i="1"/>
  <c r="BS12" i="1"/>
  <c r="BP12" i="1"/>
  <c r="BM12" i="1"/>
  <c r="BJ12" i="1"/>
  <c r="BG12" i="1"/>
  <c r="BD12" i="1"/>
  <c r="BA12" i="1"/>
  <c r="AX12" i="1"/>
  <c r="AU12" i="1"/>
  <c r="AR12" i="1"/>
  <c r="AO12" i="1"/>
  <c r="AL12" i="1"/>
  <c r="AI12" i="1"/>
  <c r="AF12" i="1"/>
  <c r="AC12" i="1"/>
  <c r="Z12" i="1"/>
  <c r="W12" i="1"/>
  <c r="T12" i="1"/>
  <c r="Q12" i="1"/>
  <c r="N12" i="1"/>
  <c r="K12" i="1"/>
  <c r="H12" i="1"/>
  <c r="KR11" i="1"/>
  <c r="KO11" i="1"/>
  <c r="KL11" i="1"/>
  <c r="KI11" i="1"/>
  <c r="KF11" i="1"/>
  <c r="KC11" i="1"/>
  <c r="KA11" i="1"/>
  <c r="JZ11" i="1"/>
  <c r="JW11" i="1"/>
  <c r="JT11" i="1"/>
  <c r="JQ11" i="1"/>
  <c r="JO11" i="1"/>
  <c r="JN11" i="1"/>
  <c r="JK11" i="1"/>
  <c r="JI11" i="1"/>
  <c r="JF11" i="1"/>
  <c r="JC11" i="1"/>
  <c r="IZ11" i="1"/>
  <c r="IW11" i="1"/>
  <c r="IT11" i="1"/>
  <c r="IQ11" i="1"/>
  <c r="IN11" i="1"/>
  <c r="IK11" i="1"/>
  <c r="IH11" i="1"/>
  <c r="IE11" i="1"/>
  <c r="IB11" i="1"/>
  <c r="HY11" i="1"/>
  <c r="HV11" i="1"/>
  <c r="HS11" i="1"/>
  <c r="HP11" i="1"/>
  <c r="HM11" i="1"/>
  <c r="HJ11" i="1"/>
  <c r="HG11" i="1"/>
  <c r="HD11" i="1"/>
  <c r="HA11" i="1"/>
  <c r="GX11" i="1"/>
  <c r="GU11" i="1"/>
  <c r="GR11" i="1"/>
  <c r="GO11" i="1"/>
  <c r="GL11" i="1"/>
  <c r="GI11" i="1"/>
  <c r="GF11" i="1"/>
  <c r="GC11" i="1"/>
  <c r="FZ11" i="1"/>
  <c r="FW11" i="1"/>
  <c r="FT11" i="1"/>
  <c r="FQ11" i="1"/>
  <c r="FN11" i="1"/>
  <c r="FK11" i="1"/>
  <c r="FH11" i="1"/>
  <c r="FE11" i="1"/>
  <c r="FB11" i="1"/>
  <c r="EY11" i="1"/>
  <c r="EV11" i="1"/>
  <c r="ES11" i="1"/>
  <c r="EP11" i="1"/>
  <c r="EM11" i="1"/>
  <c r="EJ11" i="1"/>
  <c r="EG11" i="1"/>
  <c r="ED11" i="1"/>
  <c r="EA11" i="1"/>
  <c r="DX11" i="1"/>
  <c r="DU11" i="1"/>
  <c r="DR11" i="1"/>
  <c r="DO11" i="1"/>
  <c r="DL11" i="1"/>
  <c r="DF11" i="1"/>
  <c r="DC11" i="1"/>
  <c r="CZ11" i="1"/>
  <c r="CW11" i="1"/>
  <c r="CT11" i="1"/>
  <c r="CQ11" i="1"/>
  <c r="CN11" i="1"/>
  <c r="CK11" i="1"/>
  <c r="CH11" i="1"/>
  <c r="CE11" i="1"/>
  <c r="CB11" i="1"/>
  <c r="BY11" i="1"/>
  <c r="BV11" i="1"/>
  <c r="BS11" i="1"/>
  <c r="BP11" i="1"/>
  <c r="BM11" i="1"/>
  <c r="BJ11" i="1"/>
  <c r="BG11" i="1"/>
  <c r="BD11" i="1"/>
  <c r="BA11" i="1"/>
  <c r="AX11" i="1"/>
  <c r="AU11" i="1"/>
  <c r="AR11" i="1"/>
  <c r="AO11" i="1"/>
  <c r="AL11" i="1"/>
  <c r="AI11" i="1"/>
  <c r="AF11" i="1"/>
  <c r="AC11" i="1"/>
  <c r="Z11" i="1"/>
  <c r="W11" i="1"/>
  <c r="T11" i="1"/>
  <c r="Q11" i="1"/>
  <c r="N11" i="1"/>
  <c r="K11" i="1"/>
  <c r="H11" i="1"/>
  <c r="KR10" i="1"/>
  <c r="KO10" i="1"/>
  <c r="KL10" i="1"/>
  <c r="KI10" i="1"/>
  <c r="KF10" i="1"/>
  <c r="KD10" i="1"/>
  <c r="KC10" i="1"/>
  <c r="KA10" i="1"/>
  <c r="JZ10" i="1"/>
  <c r="JW10" i="1"/>
  <c r="JT10" i="1"/>
  <c r="JQ10" i="1"/>
  <c r="JO10" i="1"/>
  <c r="JN10" i="1"/>
  <c r="JK10" i="1"/>
  <c r="JI10" i="1"/>
  <c r="JF10" i="1"/>
  <c r="JC10" i="1"/>
  <c r="IZ10" i="1"/>
  <c r="IW10" i="1"/>
  <c r="IT10" i="1"/>
  <c r="IQ10" i="1"/>
  <c r="IN10" i="1"/>
  <c r="IK10" i="1"/>
  <c r="IH10" i="1"/>
  <c r="IE10" i="1"/>
  <c r="IB10" i="1"/>
  <c r="HY10" i="1"/>
  <c r="HV10" i="1"/>
  <c r="HS10" i="1"/>
  <c r="HP10" i="1"/>
  <c r="HM10" i="1"/>
  <c r="HJ10" i="1"/>
  <c r="HG10" i="1"/>
  <c r="HD10" i="1"/>
  <c r="HA10" i="1"/>
  <c r="GX10" i="1"/>
  <c r="GU10" i="1"/>
  <c r="GR10" i="1"/>
  <c r="GO10" i="1"/>
  <c r="GL10" i="1"/>
  <c r="GI10" i="1"/>
  <c r="GF10" i="1"/>
  <c r="GC10" i="1"/>
  <c r="FZ10" i="1"/>
  <c r="FW10" i="1"/>
  <c r="FT10" i="1"/>
  <c r="FQ10" i="1"/>
  <c r="FN10" i="1"/>
  <c r="FK10" i="1"/>
  <c r="FH10" i="1"/>
  <c r="FE10" i="1"/>
  <c r="FB10" i="1"/>
  <c r="EY10" i="1"/>
  <c r="EV10" i="1"/>
  <c r="ES10" i="1"/>
  <c r="EP10" i="1"/>
  <c r="EM10" i="1"/>
  <c r="EJ10" i="1"/>
  <c r="EG10" i="1"/>
  <c r="ED10" i="1"/>
  <c r="EA10" i="1"/>
  <c r="DX10" i="1"/>
  <c r="DU10" i="1"/>
  <c r="DR10" i="1"/>
  <c r="DO10" i="1"/>
  <c r="DL10" i="1"/>
  <c r="DF10" i="1"/>
  <c r="DC10" i="1"/>
  <c r="CZ10" i="1"/>
  <c r="CW10" i="1"/>
  <c r="CT10" i="1"/>
  <c r="CQ10" i="1"/>
  <c r="CN10" i="1"/>
  <c r="CK10" i="1"/>
  <c r="CH10" i="1"/>
  <c r="CE10" i="1"/>
  <c r="CB10" i="1"/>
  <c r="BY10" i="1"/>
  <c r="BV10" i="1"/>
  <c r="BS10" i="1"/>
  <c r="BP10" i="1"/>
  <c r="BM10" i="1"/>
  <c r="BJ10" i="1"/>
  <c r="BG10" i="1"/>
  <c r="BD10" i="1"/>
  <c r="BA10" i="1"/>
  <c r="AX10" i="1"/>
  <c r="AU10" i="1"/>
  <c r="AR10" i="1"/>
  <c r="AO10" i="1"/>
  <c r="AL10" i="1"/>
  <c r="AI10" i="1"/>
  <c r="AF10" i="1"/>
  <c r="AC10" i="1"/>
  <c r="Z10" i="1"/>
  <c r="W10" i="1"/>
  <c r="T10" i="1"/>
  <c r="Q10" i="1"/>
  <c r="N10" i="1"/>
  <c r="K10" i="1"/>
  <c r="H10" i="1"/>
  <c r="KR9" i="1"/>
  <c r="KO9" i="1"/>
  <c r="KM9" i="1"/>
  <c r="KL9" i="1"/>
  <c r="KJ9" i="1"/>
  <c r="KI9" i="1"/>
  <c r="KF9" i="1"/>
  <c r="KC9" i="1"/>
  <c r="KA9" i="1"/>
  <c r="JZ9" i="1"/>
  <c r="JX9" i="1"/>
  <c r="JW9" i="1"/>
  <c r="JT9" i="1"/>
  <c r="JQ9" i="1"/>
  <c r="JO9" i="1"/>
  <c r="JN9" i="1"/>
  <c r="JL9" i="1"/>
  <c r="JK9" i="1"/>
  <c r="JI9" i="1"/>
  <c r="JF9" i="1"/>
  <c r="JC9" i="1"/>
  <c r="IZ9" i="1"/>
  <c r="IW9" i="1"/>
  <c r="IT9" i="1"/>
  <c r="IQ9" i="1"/>
  <c r="IN9" i="1"/>
  <c r="IK9" i="1"/>
  <c r="IH9" i="1"/>
  <c r="IE9" i="1"/>
  <c r="IB9" i="1"/>
  <c r="HY9" i="1"/>
  <c r="HV9" i="1"/>
  <c r="HS9" i="1"/>
  <c r="HP9" i="1"/>
  <c r="HM9" i="1"/>
  <c r="HJ9" i="1"/>
  <c r="HG9" i="1"/>
  <c r="HD9" i="1"/>
  <c r="HA9" i="1"/>
  <c r="GX9" i="1"/>
  <c r="GU9" i="1"/>
  <c r="GR9" i="1"/>
  <c r="GO9" i="1"/>
  <c r="GL9" i="1"/>
  <c r="GI9" i="1"/>
  <c r="GF9" i="1"/>
  <c r="GC9" i="1"/>
  <c r="FZ9" i="1"/>
  <c r="FW9" i="1"/>
  <c r="FT9" i="1"/>
  <c r="FQ9" i="1"/>
  <c r="FN9" i="1"/>
  <c r="FK9" i="1"/>
  <c r="FH9" i="1"/>
  <c r="FE9" i="1"/>
  <c r="FB9" i="1"/>
  <c r="EY9" i="1"/>
  <c r="EV9" i="1"/>
  <c r="ES9" i="1"/>
  <c r="EP9" i="1"/>
  <c r="EM9" i="1"/>
  <c r="EJ9" i="1"/>
  <c r="EG9" i="1"/>
  <c r="ED9" i="1"/>
  <c r="EA9" i="1"/>
  <c r="DX9" i="1"/>
  <c r="DU9" i="1"/>
  <c r="DR9" i="1"/>
  <c r="DO9" i="1"/>
  <c r="DL9" i="1"/>
  <c r="DF9" i="1"/>
  <c r="DC9" i="1"/>
  <c r="CZ9" i="1"/>
  <c r="CW9" i="1"/>
  <c r="CT9" i="1"/>
  <c r="CQ9" i="1"/>
  <c r="CN9" i="1"/>
  <c r="CK9" i="1"/>
  <c r="CH9" i="1"/>
  <c r="CE9" i="1"/>
  <c r="CB9" i="1"/>
  <c r="BY9" i="1"/>
  <c r="BV9" i="1"/>
  <c r="BS9" i="1"/>
  <c r="BP9" i="1"/>
  <c r="BM9" i="1"/>
  <c r="BJ9" i="1"/>
  <c r="BG9" i="1"/>
  <c r="BD9" i="1"/>
  <c r="BA9" i="1"/>
  <c r="AX9" i="1"/>
  <c r="AU9" i="1"/>
  <c r="AR9" i="1"/>
  <c r="AO9" i="1"/>
  <c r="AL9" i="1"/>
  <c r="AI9" i="1"/>
  <c r="AF9" i="1"/>
  <c r="AC9" i="1"/>
  <c r="Z9" i="1"/>
  <c r="W9" i="1"/>
  <c r="T9" i="1"/>
  <c r="Q9" i="1"/>
  <c r="N9" i="1"/>
  <c r="K9" i="1"/>
  <c r="H9" i="1"/>
  <c r="KM11" i="1"/>
  <c r="KJ12" i="1"/>
  <c r="KD12" i="1"/>
  <c r="JR9" i="1"/>
  <c r="JO12" i="1"/>
  <c r="JL11" i="1"/>
  <c r="M39" i="55"/>
  <c r="D39" i="55"/>
  <c r="M38" i="55"/>
  <c r="D38" i="55"/>
  <c r="M37" i="55"/>
  <c r="D37" i="55"/>
  <c r="M36" i="55"/>
  <c r="D36" i="55"/>
  <c r="M35" i="55"/>
  <c r="D35" i="55"/>
  <c r="M34" i="55"/>
  <c r="D34" i="55"/>
  <c r="M33" i="55"/>
  <c r="D33" i="55"/>
  <c r="M32" i="55"/>
  <c r="D32" i="55"/>
  <c r="M31" i="55"/>
  <c r="D31" i="55"/>
  <c r="M30" i="55"/>
  <c r="D30" i="55"/>
  <c r="M29" i="55"/>
  <c r="D29" i="55"/>
  <c r="M28" i="55"/>
  <c r="D28" i="55"/>
  <c r="M27" i="55"/>
  <c r="D27" i="55"/>
  <c r="M26" i="55"/>
  <c r="D26" i="55"/>
  <c r="M25" i="55"/>
  <c r="D25" i="55"/>
  <c r="M24" i="55"/>
  <c r="D24" i="55"/>
  <c r="M23" i="55"/>
  <c r="D23" i="55"/>
  <c r="M22" i="55"/>
  <c r="D22" i="55"/>
  <c r="M21" i="55"/>
  <c r="D21" i="55"/>
  <c r="M20" i="55"/>
  <c r="D20" i="55"/>
  <c r="M19" i="55"/>
  <c r="D19" i="55"/>
  <c r="M18" i="55"/>
  <c r="D18" i="55"/>
  <c r="M17" i="55"/>
  <c r="D17" i="55"/>
  <c r="M16" i="55"/>
  <c r="D16" i="55"/>
  <c r="M11" i="55"/>
  <c r="D11" i="55"/>
  <c r="M10" i="55"/>
  <c r="D10" i="55"/>
  <c r="M9" i="55"/>
  <c r="D9" i="55"/>
  <c r="M8" i="55"/>
  <c r="D8" i="55"/>
  <c r="M7" i="55"/>
  <c r="D7" i="55"/>
  <c r="M6" i="55"/>
  <c r="D6" i="55"/>
  <c r="M5" i="55"/>
  <c r="D5" i="55"/>
  <c r="M4" i="55"/>
  <c r="D4" i="55"/>
  <c r="E3" i="55"/>
  <c r="F3" i="55" s="1"/>
  <c r="G3" i="55" s="1"/>
  <c r="H3" i="55" s="1"/>
  <c r="M3" i="55" s="1"/>
  <c r="N3" i="55" s="1"/>
  <c r="O3" i="55" s="1"/>
  <c r="P3" i="55" s="1"/>
  <c r="Q3" i="55" s="1"/>
  <c r="KF41" i="1" l="1"/>
  <c r="Q41" i="1"/>
  <c r="T41" i="1"/>
  <c r="W41" i="1"/>
  <c r="K41" i="1"/>
  <c r="DH41" i="1"/>
  <c r="EG41" i="1"/>
  <c r="FE41" i="1"/>
  <c r="GC41" i="1"/>
  <c r="HA41" i="1"/>
  <c r="HY41" i="1"/>
  <c r="IW41" i="1"/>
  <c r="P41" i="1"/>
  <c r="M41" i="1"/>
  <c r="KT38" i="1"/>
  <c r="KT13" i="1"/>
  <c r="N41" i="1"/>
  <c r="AI41" i="1"/>
  <c r="BG41" i="1"/>
  <c r="CE41" i="1"/>
  <c r="DC41" i="1"/>
  <c r="EA41" i="1"/>
  <c r="EY41" i="1"/>
  <c r="FW41" i="1"/>
  <c r="GU41" i="1"/>
  <c r="HS41" i="1"/>
  <c r="IQ41" i="1"/>
  <c r="KT17" i="1"/>
  <c r="KT10" i="1"/>
  <c r="KT14" i="1"/>
  <c r="KT9" i="1"/>
  <c r="KT16" i="1"/>
  <c r="KT11" i="1"/>
  <c r="KT22" i="1"/>
  <c r="KT12" i="1"/>
  <c r="KT19" i="1"/>
  <c r="KT27" i="1"/>
  <c r="KT18" i="1"/>
  <c r="KT20" i="1"/>
  <c r="KT24" i="1"/>
  <c r="KT28" i="1"/>
  <c r="KT21" i="1"/>
  <c r="KT26" i="1"/>
  <c r="KT25" i="1"/>
  <c r="KT23" i="1"/>
  <c r="AL41" i="1"/>
  <c r="BJ41" i="1"/>
  <c r="CH41" i="1"/>
  <c r="DF41" i="1"/>
  <c r="ED41" i="1"/>
  <c r="FB41" i="1"/>
  <c r="FZ41" i="1"/>
  <c r="GX41" i="1"/>
  <c r="HV41" i="1"/>
  <c r="IT41" i="1"/>
  <c r="CM41" i="1"/>
  <c r="DK41" i="1"/>
  <c r="EI41" i="1"/>
  <c r="V41" i="1"/>
  <c r="AU41" i="1"/>
  <c r="BS41" i="1"/>
  <c r="CQ41" i="1"/>
  <c r="DO41" i="1"/>
  <c r="EM41" i="1"/>
  <c r="FK41" i="1"/>
  <c r="ID41" i="1"/>
  <c r="JB41" i="1"/>
  <c r="JZ41" i="1"/>
  <c r="KT39" i="1"/>
  <c r="Z41" i="1"/>
  <c r="AX41" i="1"/>
  <c r="BV41" i="1"/>
  <c r="CT41" i="1"/>
  <c r="DR41" i="1"/>
  <c r="EP41" i="1"/>
  <c r="FN41" i="1"/>
  <c r="GL41" i="1"/>
  <c r="HJ41" i="1"/>
  <c r="IH41" i="1"/>
  <c r="JF41" i="1"/>
  <c r="KT36" i="1"/>
  <c r="AB41" i="1"/>
  <c r="AZ41" i="1"/>
  <c r="BY41" i="1"/>
  <c r="CW41" i="1"/>
  <c r="DU41" i="1"/>
  <c r="ES41" i="1"/>
  <c r="FP41" i="1"/>
  <c r="GO41" i="1"/>
  <c r="HM41" i="1"/>
  <c r="AF41" i="1"/>
  <c r="BD41" i="1"/>
  <c r="CB41" i="1"/>
  <c r="CZ41" i="1"/>
  <c r="DX41" i="1"/>
  <c r="EV41" i="1"/>
  <c r="FT41" i="1"/>
  <c r="GR41" i="1"/>
  <c r="HP41" i="1"/>
  <c r="IN41" i="1"/>
  <c r="KP39" i="1"/>
  <c r="KP38" i="1"/>
  <c r="KP37" i="1"/>
  <c r="KP36" i="1"/>
  <c r="KP32" i="1"/>
  <c r="KP34" i="1"/>
  <c r="KP33" i="1"/>
  <c r="KP30" i="1"/>
  <c r="KP28" i="1"/>
  <c r="KP27" i="1"/>
  <c r="KP26" i="1"/>
  <c r="KP35" i="1"/>
  <c r="KP31" i="1"/>
  <c r="KP25" i="1"/>
  <c r="KP24" i="1"/>
  <c r="KP23" i="1"/>
  <c r="KP22" i="1"/>
  <c r="KP21" i="1"/>
  <c r="KP20" i="1"/>
  <c r="KP19" i="1"/>
  <c r="KP18" i="1"/>
  <c r="KP17" i="1"/>
  <c r="KP16" i="1"/>
  <c r="KP15" i="1"/>
  <c r="KP14" i="1"/>
  <c r="KP13" i="1"/>
  <c r="KP29" i="1"/>
  <c r="JR11" i="1"/>
  <c r="KP10" i="1"/>
  <c r="JL12" i="1"/>
  <c r="KP12" i="1"/>
  <c r="KS39" i="1"/>
  <c r="KS38" i="1"/>
  <c r="KS37" i="1"/>
  <c r="KS36" i="1"/>
  <c r="KS35" i="1"/>
  <c r="KS34" i="1"/>
  <c r="KS33" i="1"/>
  <c r="KS32" i="1"/>
  <c r="KS30" i="1"/>
  <c r="KS31" i="1"/>
  <c r="KS29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11" i="1"/>
  <c r="KS10" i="1"/>
  <c r="KS9" i="1"/>
  <c r="KS28" i="1"/>
  <c r="KS26" i="1"/>
  <c r="KS27" i="1"/>
  <c r="JU39" i="1"/>
  <c r="JU38" i="1"/>
  <c r="JU37" i="1"/>
  <c r="JU35" i="1"/>
  <c r="JU34" i="1"/>
  <c r="JU33" i="1"/>
  <c r="JU32" i="1"/>
  <c r="JU36" i="1"/>
  <c r="JU30" i="1"/>
  <c r="JU29" i="1"/>
  <c r="JU31" i="1"/>
  <c r="JU26" i="1"/>
  <c r="JU25" i="1"/>
  <c r="JU24" i="1"/>
  <c r="JU23" i="1"/>
  <c r="JU22" i="1"/>
  <c r="JU21" i="1"/>
  <c r="JU20" i="1"/>
  <c r="JU19" i="1"/>
  <c r="JU18" i="1"/>
  <c r="JU17" i="1"/>
  <c r="JU16" i="1"/>
  <c r="JU15" i="1"/>
  <c r="JU14" i="1"/>
  <c r="JU13" i="1"/>
  <c r="JU12" i="1"/>
  <c r="JU11" i="1"/>
  <c r="JU10" i="1"/>
  <c r="JU27" i="1"/>
  <c r="JU28" i="1"/>
  <c r="JX41" i="1"/>
  <c r="JX39" i="1"/>
  <c r="JX38" i="1"/>
  <c r="JX37" i="1"/>
  <c r="JX36" i="1"/>
  <c r="JX35" i="1"/>
  <c r="JX34" i="1"/>
  <c r="JX33" i="1"/>
  <c r="JX32" i="1"/>
  <c r="JX31" i="1"/>
  <c r="JX28" i="1"/>
  <c r="JX27" i="1"/>
  <c r="JX26" i="1"/>
  <c r="JX30" i="1"/>
  <c r="JX29" i="1"/>
  <c r="JX25" i="1"/>
  <c r="JX24" i="1"/>
  <c r="JX23" i="1"/>
  <c r="JX22" i="1"/>
  <c r="JX21" i="1"/>
  <c r="JX20" i="1"/>
  <c r="JX19" i="1"/>
  <c r="JX18" i="1"/>
  <c r="JX17" i="1"/>
  <c r="JX16" i="1"/>
  <c r="JX15" i="1"/>
  <c r="JX14" i="1"/>
  <c r="JX13" i="1"/>
  <c r="KJ11" i="1"/>
  <c r="KA41" i="1"/>
  <c r="KA39" i="1"/>
  <c r="KA38" i="1"/>
  <c r="KA37" i="1"/>
  <c r="KA36" i="1"/>
  <c r="KA35" i="1"/>
  <c r="KA34" i="1"/>
  <c r="KA33" i="1"/>
  <c r="KA32" i="1"/>
  <c r="KA31" i="1"/>
  <c r="KA30" i="1"/>
  <c r="KA29" i="1"/>
  <c r="KA28" i="1"/>
  <c r="KA25" i="1"/>
  <c r="KA24" i="1"/>
  <c r="KA23" i="1"/>
  <c r="KA22" i="1"/>
  <c r="KA21" i="1"/>
  <c r="KA20" i="1"/>
  <c r="KA19" i="1"/>
  <c r="KA18" i="1"/>
  <c r="KA17" i="1"/>
  <c r="KA16" i="1"/>
  <c r="KA15" i="1"/>
  <c r="KA14" i="1"/>
  <c r="KA13" i="1"/>
  <c r="KA12" i="1"/>
  <c r="KA26" i="1"/>
  <c r="KA27" i="1"/>
  <c r="JR10" i="1"/>
  <c r="JX11" i="1"/>
  <c r="KD39" i="1"/>
  <c r="KD38" i="1"/>
  <c r="KD37" i="1"/>
  <c r="KD36" i="1"/>
  <c r="KD35" i="1"/>
  <c r="KD33" i="1"/>
  <c r="KD31" i="1"/>
  <c r="KD28" i="1"/>
  <c r="KD27" i="1"/>
  <c r="KD26" i="1"/>
  <c r="KD32" i="1"/>
  <c r="KD34" i="1"/>
  <c r="KD29" i="1"/>
  <c r="KD25" i="1"/>
  <c r="KD24" i="1"/>
  <c r="KD23" i="1"/>
  <c r="KD22" i="1"/>
  <c r="KD21" i="1"/>
  <c r="KD20" i="1"/>
  <c r="KD19" i="1"/>
  <c r="KD18" i="1"/>
  <c r="KD17" i="1"/>
  <c r="KD16" i="1"/>
  <c r="KD15" i="1"/>
  <c r="KD14" i="1"/>
  <c r="KD13" i="1"/>
  <c r="KD30" i="1"/>
  <c r="KD9" i="1"/>
  <c r="KP9" i="1"/>
  <c r="JR39" i="1"/>
  <c r="JR38" i="1"/>
  <c r="JR37" i="1"/>
  <c r="JR36" i="1"/>
  <c r="JR35" i="1"/>
  <c r="JR31" i="1"/>
  <c r="JR34" i="1"/>
  <c r="JR30" i="1"/>
  <c r="JR33" i="1"/>
  <c r="JR32" i="1"/>
  <c r="JR28" i="1"/>
  <c r="JR27" i="1"/>
  <c r="JR26" i="1"/>
  <c r="JR29" i="1"/>
  <c r="JR25" i="1"/>
  <c r="JR24" i="1"/>
  <c r="JR23" i="1"/>
  <c r="JR22" i="1"/>
  <c r="JR21" i="1"/>
  <c r="JR20" i="1"/>
  <c r="JR19" i="1"/>
  <c r="JR18" i="1"/>
  <c r="JR17" i="1"/>
  <c r="JR16" i="1"/>
  <c r="JR15" i="1"/>
  <c r="JR14" i="1"/>
  <c r="JR13" i="1"/>
  <c r="KJ10" i="1"/>
  <c r="JR12" i="1"/>
  <c r="KG39" i="1"/>
  <c r="KG38" i="1"/>
  <c r="KG37" i="1"/>
  <c r="KG41" i="1"/>
  <c r="KG35" i="1"/>
  <c r="KG34" i="1"/>
  <c r="KG33" i="1"/>
  <c r="KG32" i="1"/>
  <c r="KG36" i="1"/>
  <c r="KG30" i="1"/>
  <c r="KG29" i="1"/>
  <c r="KG25" i="1"/>
  <c r="KG24" i="1"/>
  <c r="KG23" i="1"/>
  <c r="KG22" i="1"/>
  <c r="KG21" i="1"/>
  <c r="KG20" i="1"/>
  <c r="KG19" i="1"/>
  <c r="KG18" i="1"/>
  <c r="KG17" i="1"/>
  <c r="KG16" i="1"/>
  <c r="KG15" i="1"/>
  <c r="KG14" i="1"/>
  <c r="KG13" i="1"/>
  <c r="KG12" i="1"/>
  <c r="KG11" i="1"/>
  <c r="KG10" i="1"/>
  <c r="KG26" i="1"/>
  <c r="KG27" i="1"/>
  <c r="KG31" i="1"/>
  <c r="KG28" i="1"/>
  <c r="JL39" i="1"/>
  <c r="JL38" i="1"/>
  <c r="JL37" i="1"/>
  <c r="JL36" i="1"/>
  <c r="JL35" i="1"/>
  <c r="JL34" i="1"/>
  <c r="JL33" i="1"/>
  <c r="JL32" i="1"/>
  <c r="JL28" i="1"/>
  <c r="JL27" i="1"/>
  <c r="JL26" i="1"/>
  <c r="JL30" i="1"/>
  <c r="JL31" i="1"/>
  <c r="JL29" i="1"/>
  <c r="JL25" i="1"/>
  <c r="JL24" i="1"/>
  <c r="JL23" i="1"/>
  <c r="JL22" i="1"/>
  <c r="JL21" i="1"/>
  <c r="JL20" i="1"/>
  <c r="JL19" i="1"/>
  <c r="JL18" i="1"/>
  <c r="JL17" i="1"/>
  <c r="JL16" i="1"/>
  <c r="JL15" i="1"/>
  <c r="JL14" i="1"/>
  <c r="JL13" i="1"/>
  <c r="JU9" i="1"/>
  <c r="KP11" i="1"/>
  <c r="KJ39" i="1"/>
  <c r="KJ38" i="1"/>
  <c r="KJ37" i="1"/>
  <c r="KJ36" i="1"/>
  <c r="KJ35" i="1"/>
  <c r="KJ34" i="1"/>
  <c r="KJ33" i="1"/>
  <c r="KJ32" i="1"/>
  <c r="KJ31" i="1"/>
  <c r="KJ28" i="1"/>
  <c r="KJ27" i="1"/>
  <c r="KJ26" i="1"/>
  <c r="KJ30" i="1"/>
  <c r="KJ25" i="1"/>
  <c r="KJ24" i="1"/>
  <c r="KJ23" i="1"/>
  <c r="KJ22" i="1"/>
  <c r="KJ21" i="1"/>
  <c r="KJ20" i="1"/>
  <c r="KJ19" i="1"/>
  <c r="KJ18" i="1"/>
  <c r="KJ17" i="1"/>
  <c r="KJ16" i="1"/>
  <c r="KJ15" i="1"/>
  <c r="KJ14" i="1"/>
  <c r="KJ13" i="1"/>
  <c r="KJ29" i="1"/>
  <c r="KG9" i="1"/>
  <c r="JX10" i="1"/>
  <c r="JO39" i="1"/>
  <c r="JO38" i="1"/>
  <c r="JO37" i="1"/>
  <c r="JO36" i="1"/>
  <c r="JO35" i="1"/>
  <c r="JO34" i="1"/>
  <c r="JO33" i="1"/>
  <c r="JO32" i="1"/>
  <c r="JO31" i="1"/>
  <c r="JO30" i="1"/>
  <c r="JO29" i="1"/>
  <c r="JO28" i="1"/>
  <c r="JO26" i="1"/>
  <c r="JO25" i="1"/>
  <c r="JO24" i="1"/>
  <c r="JO23" i="1"/>
  <c r="JO22" i="1"/>
  <c r="JO21" i="1"/>
  <c r="JO20" i="1"/>
  <c r="JO19" i="1"/>
  <c r="JO18" i="1"/>
  <c r="JO17" i="1"/>
  <c r="JO16" i="1"/>
  <c r="JO15" i="1"/>
  <c r="JO14" i="1"/>
  <c r="JO13" i="1"/>
  <c r="JO27" i="1"/>
  <c r="KM39" i="1"/>
  <c r="KM38" i="1"/>
  <c r="KM37" i="1"/>
  <c r="KM36" i="1"/>
  <c r="KM35" i="1"/>
  <c r="KM34" i="1"/>
  <c r="KM33" i="1"/>
  <c r="KM32" i="1"/>
  <c r="KM31" i="1"/>
  <c r="KM30" i="1"/>
  <c r="KM29" i="1"/>
  <c r="KM27" i="1"/>
  <c r="KM28" i="1"/>
  <c r="KM25" i="1"/>
  <c r="KM24" i="1"/>
  <c r="KM23" i="1"/>
  <c r="KM22" i="1"/>
  <c r="KM21" i="1"/>
  <c r="KM20" i="1"/>
  <c r="KM19" i="1"/>
  <c r="KM18" i="1"/>
  <c r="KM17" i="1"/>
  <c r="KM16" i="1"/>
  <c r="KM15" i="1"/>
  <c r="KM14" i="1"/>
  <c r="KM13" i="1"/>
  <c r="KM12" i="1"/>
  <c r="KM26" i="1"/>
  <c r="JL10" i="1"/>
  <c r="KM10" i="1"/>
  <c r="KD11" i="1"/>
  <c r="KT32" i="1"/>
  <c r="KT31" i="1"/>
  <c r="KT29" i="1"/>
  <c r="KT30" i="1"/>
  <c r="KT35" i="1"/>
  <c r="KT33" i="1"/>
  <c r="KT34" i="1"/>
  <c r="KD41" i="1"/>
  <c r="JL41" i="1"/>
  <c r="KJ41" i="1"/>
  <c r="JO41" i="1"/>
  <c r="KM41" i="1"/>
  <c r="KT37" i="1"/>
  <c r="JR41" i="1"/>
  <c r="KP41" i="1"/>
  <c r="JU41" i="1"/>
  <c r="KS41" i="1"/>
  <c r="AC41" i="1"/>
  <c r="AK41" i="1"/>
  <c r="BA41" i="1"/>
  <c r="BI41" i="1"/>
  <c r="CG41" i="1"/>
  <c r="DE41" i="1"/>
  <c r="EC41" i="1"/>
  <c r="FA41" i="1"/>
  <c r="FQ41" i="1"/>
  <c r="FY41" i="1"/>
  <c r="GW41" i="1"/>
  <c r="HU41" i="1"/>
  <c r="IK41" i="1"/>
  <c r="IS41" i="1"/>
  <c r="JI41" i="1"/>
  <c r="JQ41" i="1"/>
  <c r="KO41" i="1"/>
  <c r="AT41" i="1"/>
  <c r="BR41" i="1"/>
  <c r="CP41" i="1"/>
  <c r="DN41" i="1"/>
  <c r="EL41" i="1"/>
  <c r="FJ41" i="1"/>
  <c r="GH41" i="1"/>
  <c r="HF41" i="1"/>
  <c r="G41" i="1"/>
  <c r="AE41" i="1"/>
  <c r="BC41" i="1"/>
  <c r="CA41" i="1"/>
  <c r="CY41" i="1"/>
  <c r="DW41" i="1"/>
  <c r="EU41" i="1"/>
  <c r="FS41" i="1"/>
  <c r="GI41" i="1"/>
  <c r="GQ41" i="1"/>
  <c r="HG41" i="1"/>
  <c r="HO41" i="1"/>
  <c r="IE41" i="1"/>
  <c r="IM41" i="1"/>
  <c r="JC41" i="1"/>
  <c r="JK41" i="1"/>
  <c r="KI41" i="1"/>
  <c r="H41" i="1"/>
  <c r="AN41" i="1"/>
  <c r="BL41" i="1"/>
  <c r="CJ41" i="1"/>
  <c r="EF41" i="1"/>
  <c r="FD41" i="1"/>
  <c r="GB41" i="1"/>
  <c r="GZ41" i="1"/>
  <c r="HX41" i="1"/>
  <c r="IV41" i="1"/>
  <c r="JT41" i="1"/>
  <c r="KR41" i="1"/>
  <c r="Y41" i="1"/>
  <c r="AO41" i="1"/>
  <c r="AW41" i="1"/>
  <c r="BM41" i="1"/>
  <c r="BU41" i="1"/>
  <c r="CK41" i="1"/>
  <c r="CS41" i="1"/>
  <c r="DI41" i="1"/>
  <c r="DQ41" i="1"/>
  <c r="EO41" i="1"/>
  <c r="FM41" i="1"/>
  <c r="GK41" i="1"/>
  <c r="HI41" i="1"/>
  <c r="IG41" i="1"/>
  <c r="JE41" i="1"/>
  <c r="KC41" i="1"/>
  <c r="J41" i="1"/>
  <c r="AH41" i="1"/>
  <c r="BF41" i="1"/>
  <c r="CD41" i="1"/>
  <c r="DB41" i="1"/>
  <c r="DZ41" i="1"/>
  <c r="EX41" i="1"/>
  <c r="FV41" i="1"/>
  <c r="GT41" i="1"/>
  <c r="HR41" i="1"/>
  <c r="IP41" i="1"/>
  <c r="JN41" i="1"/>
  <c r="KL41" i="1"/>
  <c r="S41" i="1"/>
  <c r="BO41" i="1"/>
  <c r="FG41" i="1"/>
  <c r="GE41" i="1"/>
  <c r="HC41" i="1"/>
  <c r="IA41" i="1"/>
  <c r="IY41" i="1"/>
  <c r="JW41" i="1"/>
  <c r="BP41" i="1"/>
  <c r="BX41" i="1"/>
  <c r="CN41" i="1"/>
  <c r="CV41" i="1"/>
  <c r="DL41" i="1"/>
  <c r="DT41" i="1"/>
  <c r="EJ41" i="1"/>
  <c r="ER41" i="1"/>
  <c r="FH41" i="1"/>
  <c r="GF41" i="1"/>
  <c r="GN41" i="1"/>
  <c r="HD41" i="1"/>
  <c r="HL41" i="1"/>
  <c r="IB41" i="1"/>
  <c r="IJ41" i="1"/>
  <c r="IZ41" i="1"/>
  <c r="JH41" i="1"/>
  <c r="M40" i="55"/>
  <c r="D40" i="55"/>
  <c r="KU36" i="1" l="1"/>
  <c r="KU15" i="1"/>
  <c r="KU35" i="1"/>
  <c r="KU14" i="1"/>
  <c r="KU31" i="1"/>
  <c r="KU39" i="1"/>
  <c r="KU13" i="1"/>
  <c r="KU21" i="1"/>
  <c r="KU26" i="1"/>
  <c r="KU37" i="1"/>
  <c r="KU38" i="1"/>
  <c r="KU10" i="1"/>
  <c r="KU27" i="1"/>
  <c r="KU33" i="1"/>
  <c r="KU32" i="1"/>
  <c r="KU16" i="1"/>
  <c r="KU34" i="1"/>
  <c r="KU28" i="1"/>
  <c r="KU23" i="1"/>
  <c r="KU22" i="1"/>
  <c r="KU24" i="1"/>
  <c r="KU30" i="1"/>
  <c r="KU17" i="1"/>
  <c r="KU25" i="1"/>
  <c r="KU18" i="1"/>
  <c r="KU12" i="1"/>
  <c r="KU19" i="1"/>
  <c r="KU9" i="1"/>
  <c r="KU20" i="1"/>
  <c r="KU29" i="1"/>
  <c r="KU11" i="1"/>
  <c r="KU41" i="1"/>
  <c r="F32" i="37" l="1"/>
  <c r="E32" i="37"/>
  <c r="D32" i="37"/>
  <c r="C32" i="37"/>
  <c r="F23" i="37"/>
  <c r="E23" i="37"/>
  <c r="D23" i="37"/>
  <c r="C23" i="37"/>
  <c r="F14" i="37"/>
  <c r="E14" i="37"/>
  <c r="D14" i="37"/>
  <c r="C14" i="37"/>
  <c r="F32" i="6"/>
  <c r="E32" i="6"/>
  <c r="D32" i="6"/>
  <c r="C32" i="6"/>
  <c r="F23" i="6"/>
  <c r="E23" i="6"/>
  <c r="D23" i="6"/>
  <c r="C23" i="6"/>
  <c r="F14" i="6"/>
  <c r="E14" i="6"/>
  <c r="D14" i="6"/>
  <c r="C14" i="6"/>
  <c r="F32" i="7"/>
  <c r="E32" i="7"/>
  <c r="D32" i="7"/>
  <c r="C32" i="7"/>
  <c r="F23" i="7"/>
  <c r="E23" i="7"/>
  <c r="D23" i="7"/>
  <c r="C23" i="7"/>
  <c r="F14" i="7"/>
  <c r="E14" i="7"/>
  <c r="D14" i="7"/>
  <c r="C14" i="7"/>
  <c r="F32" i="8"/>
  <c r="E32" i="8"/>
  <c r="D32" i="8"/>
  <c r="C32" i="8"/>
  <c r="F23" i="8"/>
  <c r="E23" i="8"/>
  <c r="D23" i="8"/>
  <c r="C23" i="8"/>
  <c r="F14" i="8"/>
  <c r="E14" i="8"/>
  <c r="D14" i="8"/>
  <c r="D34" i="8" s="1"/>
  <c r="C14" i="8"/>
  <c r="F32" i="9"/>
  <c r="E32" i="9"/>
  <c r="D32" i="9"/>
  <c r="C32" i="9"/>
  <c r="F23" i="9"/>
  <c r="E23" i="9"/>
  <c r="D23" i="9"/>
  <c r="C23" i="9"/>
  <c r="F14" i="9"/>
  <c r="E14" i="9"/>
  <c r="D14" i="9"/>
  <c r="C14" i="9"/>
  <c r="F32" i="10"/>
  <c r="E32" i="10"/>
  <c r="D32" i="10"/>
  <c r="C32" i="10"/>
  <c r="F23" i="10"/>
  <c r="E23" i="10"/>
  <c r="D23" i="10"/>
  <c r="C23" i="10"/>
  <c r="F14" i="10"/>
  <c r="E14" i="10"/>
  <c r="D14" i="10"/>
  <c r="D34" i="10" s="1"/>
  <c r="C14" i="10"/>
  <c r="F32" i="11"/>
  <c r="E32" i="11"/>
  <c r="D32" i="11"/>
  <c r="C32" i="11"/>
  <c r="F23" i="11"/>
  <c r="E23" i="11"/>
  <c r="D23" i="11"/>
  <c r="C23" i="11"/>
  <c r="F14" i="11"/>
  <c r="E14" i="11"/>
  <c r="D14" i="11"/>
  <c r="C14" i="11"/>
  <c r="F32" i="12"/>
  <c r="E32" i="12"/>
  <c r="D32" i="12"/>
  <c r="C32" i="12"/>
  <c r="F23" i="12"/>
  <c r="E23" i="12"/>
  <c r="D23" i="12"/>
  <c r="C23" i="12"/>
  <c r="F14" i="12"/>
  <c r="E14" i="12"/>
  <c r="D14" i="12"/>
  <c r="C14" i="12"/>
  <c r="F32" i="13"/>
  <c r="E32" i="13"/>
  <c r="D32" i="13"/>
  <c r="C32" i="13"/>
  <c r="F23" i="13"/>
  <c r="E23" i="13"/>
  <c r="D23" i="13"/>
  <c r="C23" i="13"/>
  <c r="F14" i="13"/>
  <c r="E14" i="13"/>
  <c r="D14" i="13"/>
  <c r="C14" i="13"/>
  <c r="F32" i="14"/>
  <c r="E32" i="14"/>
  <c r="D32" i="14"/>
  <c r="C32" i="14"/>
  <c r="F23" i="14"/>
  <c r="E23" i="14"/>
  <c r="D23" i="14"/>
  <c r="C23" i="14"/>
  <c r="F14" i="14"/>
  <c r="E14" i="14"/>
  <c r="D14" i="14"/>
  <c r="D34" i="14" s="1"/>
  <c r="C14" i="14"/>
  <c r="F32" i="15"/>
  <c r="E32" i="15"/>
  <c r="D32" i="15"/>
  <c r="C32" i="15"/>
  <c r="F23" i="15"/>
  <c r="E23" i="15"/>
  <c r="D23" i="15"/>
  <c r="C23" i="15"/>
  <c r="F14" i="15"/>
  <c r="E14" i="15"/>
  <c r="D14" i="15"/>
  <c r="C14" i="15"/>
  <c r="F32" i="16"/>
  <c r="E32" i="16"/>
  <c r="D32" i="16"/>
  <c r="Z104" i="57" s="1"/>
  <c r="C32" i="16"/>
  <c r="F23" i="16"/>
  <c r="E23" i="16"/>
  <c r="D23" i="16"/>
  <c r="Z95" i="57" s="1"/>
  <c r="C23" i="16"/>
  <c r="F14" i="16"/>
  <c r="E14" i="16"/>
  <c r="D14" i="16"/>
  <c r="C14" i="16"/>
  <c r="F32" i="17"/>
  <c r="E32" i="17"/>
  <c r="D32" i="17"/>
  <c r="C32" i="17"/>
  <c r="F23" i="17"/>
  <c r="E23" i="17"/>
  <c r="D23" i="17"/>
  <c r="C23" i="17"/>
  <c r="F14" i="17"/>
  <c r="E14" i="17"/>
  <c r="D14" i="17"/>
  <c r="C14" i="17"/>
  <c r="F32" i="18"/>
  <c r="E32" i="18"/>
  <c r="D32" i="18"/>
  <c r="C32" i="18"/>
  <c r="F23" i="18"/>
  <c r="E23" i="18"/>
  <c r="D23" i="18"/>
  <c r="C23" i="18"/>
  <c r="F14" i="18"/>
  <c r="E14" i="18"/>
  <c r="D14" i="18"/>
  <c r="C14" i="18"/>
  <c r="F32" i="19"/>
  <c r="E32" i="19"/>
  <c r="D32" i="19"/>
  <c r="C32" i="19"/>
  <c r="F23" i="19"/>
  <c r="E23" i="19"/>
  <c r="D23" i="19"/>
  <c r="C23" i="19"/>
  <c r="F14" i="19"/>
  <c r="E14" i="19"/>
  <c r="D14" i="19"/>
  <c r="C14" i="19"/>
  <c r="F32" i="20"/>
  <c r="E32" i="20"/>
  <c r="D32" i="20"/>
  <c r="C32" i="20"/>
  <c r="E23" i="20"/>
  <c r="D23" i="20"/>
  <c r="C23" i="20"/>
  <c r="F14" i="20"/>
  <c r="E14" i="20"/>
  <c r="D14" i="20"/>
  <c r="C14" i="20"/>
  <c r="F32" i="22"/>
  <c r="E32" i="22"/>
  <c r="D32" i="22"/>
  <c r="C32" i="22"/>
  <c r="F23" i="22"/>
  <c r="E23" i="22"/>
  <c r="D23" i="22"/>
  <c r="C23" i="22"/>
  <c r="F14" i="22"/>
  <c r="E14" i="22"/>
  <c r="D14" i="22"/>
  <c r="C14" i="22"/>
  <c r="F32" i="21"/>
  <c r="E32" i="21"/>
  <c r="D32" i="21"/>
  <c r="C32" i="21"/>
  <c r="F23" i="21"/>
  <c r="E23" i="21"/>
  <c r="D23" i="21"/>
  <c r="C23" i="21"/>
  <c r="F14" i="21"/>
  <c r="E14" i="21"/>
  <c r="D14" i="21"/>
  <c r="C14" i="21"/>
  <c r="F32" i="23"/>
  <c r="E32" i="23"/>
  <c r="D32" i="23"/>
  <c r="C32" i="23"/>
  <c r="F23" i="23"/>
  <c r="E23" i="23"/>
  <c r="D23" i="23"/>
  <c r="C23" i="23"/>
  <c r="F14" i="23"/>
  <c r="E14" i="23"/>
  <c r="D14" i="23"/>
  <c r="C14" i="23"/>
  <c r="F32" i="24"/>
  <c r="E32" i="24"/>
  <c r="D32" i="24"/>
  <c r="C32" i="24"/>
  <c r="F23" i="24"/>
  <c r="E23" i="24"/>
  <c r="D23" i="24"/>
  <c r="C23" i="24"/>
  <c r="F14" i="24"/>
  <c r="E14" i="24"/>
  <c r="D14" i="24"/>
  <c r="C14" i="24"/>
  <c r="F32" i="25"/>
  <c r="E32" i="25"/>
  <c r="D32" i="25"/>
  <c r="C32" i="25"/>
  <c r="F23" i="25"/>
  <c r="E23" i="25"/>
  <c r="D23" i="25"/>
  <c r="C23" i="25"/>
  <c r="F14" i="25"/>
  <c r="E14" i="25"/>
  <c r="D14" i="25"/>
  <c r="C14" i="25"/>
  <c r="F32" i="26"/>
  <c r="E32" i="26"/>
  <c r="D32" i="26"/>
  <c r="C32" i="26"/>
  <c r="F23" i="26"/>
  <c r="E23" i="26"/>
  <c r="D23" i="26"/>
  <c r="C23" i="26"/>
  <c r="F14" i="26"/>
  <c r="E14" i="26"/>
  <c r="D14" i="26"/>
  <c r="C14" i="26"/>
  <c r="F32" i="28"/>
  <c r="E32" i="28"/>
  <c r="D32" i="28"/>
  <c r="C32" i="28"/>
  <c r="F23" i="28"/>
  <c r="E23" i="28"/>
  <c r="D23" i="28"/>
  <c r="C23" i="28"/>
  <c r="F14" i="28"/>
  <c r="E14" i="28"/>
  <c r="D14" i="28"/>
  <c r="C14" i="28"/>
  <c r="F32" i="32"/>
  <c r="E32" i="32"/>
  <c r="D32" i="32"/>
  <c r="C32" i="32"/>
  <c r="F23" i="32"/>
  <c r="E23" i="32"/>
  <c r="D23" i="32"/>
  <c r="C23" i="32"/>
  <c r="F14" i="32"/>
  <c r="E14" i="32"/>
  <c r="D14" i="32"/>
  <c r="C14" i="3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D34" i="12" l="1"/>
  <c r="F34" i="8"/>
  <c r="E34" i="18"/>
  <c r="E34" i="14"/>
  <c r="E34" i="10"/>
  <c r="D34" i="21"/>
  <c r="C33" i="17"/>
  <c r="C24" i="14"/>
  <c r="Z104" i="46"/>
  <c r="F34" i="10"/>
  <c r="C34" i="8"/>
  <c r="K14" i="8" s="1"/>
  <c r="W113" i="57" s="1"/>
  <c r="X113" i="57" s="1"/>
  <c r="C33" i="15"/>
  <c r="AA95" i="57"/>
  <c r="AB95" i="57" s="1"/>
  <c r="Z95" i="46"/>
  <c r="AA95" i="46" s="1"/>
  <c r="AB95" i="46" s="1"/>
  <c r="F34" i="12"/>
  <c r="F34" i="14"/>
  <c r="C34" i="25"/>
  <c r="K11" i="25" s="1"/>
  <c r="W41" i="57" s="1"/>
  <c r="X41" i="57" s="1"/>
  <c r="C33" i="22"/>
  <c r="C24" i="20"/>
  <c r="D33" i="9"/>
  <c r="D34" i="20"/>
  <c r="D24" i="11"/>
  <c r="D34" i="24"/>
  <c r="C33" i="23"/>
  <c r="C33" i="11"/>
  <c r="D15" i="16"/>
  <c r="Z87" i="57" s="1"/>
  <c r="D33" i="17"/>
  <c r="D33" i="15"/>
  <c r="D24" i="14"/>
  <c r="E24" i="16"/>
  <c r="C34" i="18"/>
  <c r="K8" i="18" s="1"/>
  <c r="W71" i="57" s="1"/>
  <c r="X71" i="57" s="1"/>
  <c r="C15" i="16"/>
  <c r="C34" i="14"/>
  <c r="C33" i="6"/>
  <c r="D34" i="25"/>
  <c r="D34" i="23"/>
  <c r="D34" i="22"/>
  <c r="F34" i="28"/>
  <c r="F34" i="11"/>
  <c r="E15" i="12"/>
  <c r="C15" i="23"/>
  <c r="C34" i="22"/>
  <c r="F34" i="18"/>
  <c r="C15" i="11"/>
  <c r="E34" i="28"/>
  <c r="E15" i="25"/>
  <c r="E15" i="23"/>
  <c r="E34" i="22"/>
  <c r="D34" i="19"/>
  <c r="D24" i="18"/>
  <c r="D24" i="12"/>
  <c r="E33" i="13"/>
  <c r="D33" i="7"/>
  <c r="C24" i="28"/>
  <c r="E33" i="26"/>
  <c r="C24" i="25"/>
  <c r="E33" i="24"/>
  <c r="C24" i="23"/>
  <c r="C33" i="21"/>
  <c r="C24" i="22"/>
  <c r="E33" i="20"/>
  <c r="D33" i="26"/>
  <c r="D33" i="24"/>
  <c r="D24" i="23"/>
  <c r="D33" i="20"/>
  <c r="C15" i="12"/>
  <c r="C15" i="19"/>
  <c r="C33" i="19"/>
  <c r="C24" i="12"/>
  <c r="E33" i="25"/>
  <c r="D34" i="11"/>
  <c r="F34" i="25"/>
  <c r="F34" i="23"/>
  <c r="F34" i="22"/>
  <c r="E24" i="18"/>
  <c r="E24" i="12"/>
  <c r="E34" i="11"/>
  <c r="C33" i="9"/>
  <c r="C34" i="6"/>
  <c r="C34" i="37"/>
  <c r="D33" i="28"/>
  <c r="C34" i="24"/>
  <c r="K11" i="24" s="1"/>
  <c r="W45" i="57" s="1"/>
  <c r="X45" i="57" s="1"/>
  <c r="F34" i="17"/>
  <c r="F34" i="13"/>
  <c r="D34" i="9"/>
  <c r="C33" i="16"/>
  <c r="C33" i="12"/>
  <c r="E33" i="9"/>
  <c r="D24" i="19"/>
  <c r="D34" i="18"/>
  <c r="C24" i="11"/>
  <c r="D33" i="10"/>
  <c r="F34" i="9"/>
  <c r="F34" i="7"/>
  <c r="C34" i="32"/>
  <c r="E33" i="32"/>
  <c r="D24" i="20"/>
  <c r="D33" i="16"/>
  <c r="D33" i="14"/>
  <c r="D24" i="13"/>
  <c r="D15" i="11"/>
  <c r="E24" i="21"/>
  <c r="E15" i="15"/>
  <c r="E33" i="11"/>
  <c r="E24" i="37"/>
  <c r="E34" i="19"/>
  <c r="E34" i="9"/>
  <c r="C34" i="21"/>
  <c r="K11" i="21" s="1"/>
  <c r="W53" i="57" s="1"/>
  <c r="X53" i="57" s="1"/>
  <c r="C15" i="20"/>
  <c r="C34" i="15"/>
  <c r="C34" i="11"/>
  <c r="K14" i="11" s="1"/>
  <c r="W99" i="57" s="1"/>
  <c r="X99" i="57" s="1"/>
  <c r="C33" i="37"/>
  <c r="C24" i="26"/>
  <c r="C33" i="26"/>
  <c r="D33" i="21"/>
  <c r="D15" i="20"/>
  <c r="D34" i="16"/>
  <c r="E15" i="9"/>
  <c r="E24" i="8"/>
  <c r="C24" i="19"/>
  <c r="E24" i="14"/>
  <c r="C24" i="9"/>
  <c r="D35" i="30"/>
  <c r="C24" i="17"/>
  <c r="E24" i="11"/>
  <c r="C33" i="8"/>
  <c r="E33" i="6"/>
  <c r="E34" i="32"/>
  <c r="F34" i="32"/>
  <c r="E24" i="26"/>
  <c r="E24" i="28"/>
  <c r="E34" i="25"/>
  <c r="E34" i="21"/>
  <c r="E24" i="17"/>
  <c r="E24" i="32"/>
  <c r="D24" i="25"/>
  <c r="D33" i="23"/>
  <c r="F34" i="21"/>
  <c r="D33" i="19"/>
  <c r="E34" i="16"/>
  <c r="D24" i="16"/>
  <c r="D34" i="15"/>
  <c r="C15" i="13"/>
  <c r="E15" i="11"/>
  <c r="D33" i="11"/>
  <c r="D24" i="9"/>
  <c r="E24" i="6"/>
  <c r="D15" i="37"/>
  <c r="E33" i="18"/>
  <c r="E24" i="13"/>
  <c r="D33" i="12"/>
  <c r="D34" i="7"/>
  <c r="E33" i="12"/>
  <c r="C15" i="28"/>
  <c r="C33" i="28"/>
  <c r="E34" i="26"/>
  <c r="D24" i="26"/>
  <c r="E24" i="25"/>
  <c r="D15" i="24"/>
  <c r="E34" i="23"/>
  <c r="D15" i="21"/>
  <c r="E15" i="20"/>
  <c r="E15" i="19"/>
  <c r="E34" i="15"/>
  <c r="E33" i="15"/>
  <c r="D34" i="13"/>
  <c r="C34" i="12"/>
  <c r="C34" i="10"/>
  <c r="E24" i="9"/>
  <c r="C24" i="7"/>
  <c r="C34" i="7"/>
  <c r="K14" i="7" s="1"/>
  <c r="W117" i="57" s="1"/>
  <c r="X117" i="57" s="1"/>
  <c r="E34" i="37"/>
  <c r="D33" i="37"/>
  <c r="C34" i="26"/>
  <c r="K11" i="26" s="1"/>
  <c r="W37" i="57" s="1"/>
  <c r="X37" i="57" s="1"/>
  <c r="D34" i="28"/>
  <c r="F34" i="26"/>
  <c r="E34" i="24"/>
  <c r="E15" i="21"/>
  <c r="F34" i="20"/>
  <c r="D34" i="17"/>
  <c r="F34" i="15"/>
  <c r="E34" i="13"/>
  <c r="C34" i="9"/>
  <c r="E34" i="8"/>
  <c r="E35" i="8" s="1"/>
  <c r="E33" i="8"/>
  <c r="F34" i="37"/>
  <c r="E33" i="37"/>
  <c r="D24" i="28"/>
  <c r="E33" i="14"/>
  <c r="D34" i="26"/>
  <c r="D34" i="32"/>
  <c r="E15" i="28"/>
  <c r="E33" i="28"/>
  <c r="C15" i="26"/>
  <c r="C33" i="25"/>
  <c r="F34" i="24"/>
  <c r="E33" i="23"/>
  <c r="C24" i="21"/>
  <c r="E34" i="17"/>
  <c r="D24" i="15"/>
  <c r="C24" i="10"/>
  <c r="D15" i="9"/>
  <c r="E34" i="7"/>
  <c r="D34" i="6"/>
  <c r="E15" i="37"/>
  <c r="E24" i="24"/>
  <c r="D33" i="22"/>
  <c r="F34" i="19"/>
  <c r="F34" i="16"/>
  <c r="E15" i="32"/>
  <c r="D15" i="26"/>
  <c r="D33" i="25"/>
  <c r="D24" i="24"/>
  <c r="C33" i="24"/>
  <c r="C34" i="23"/>
  <c r="K11" i="23" s="1"/>
  <c r="W49" i="57" s="1"/>
  <c r="X49" i="57" s="1"/>
  <c r="C34" i="19"/>
  <c r="C24" i="16"/>
  <c r="C33" i="14"/>
  <c r="C24" i="13"/>
  <c r="E34" i="6"/>
  <c r="C24" i="37"/>
  <c r="D34" i="37"/>
  <c r="E15" i="8"/>
  <c r="C33" i="7"/>
  <c r="F34" i="6"/>
  <c r="D24" i="37"/>
  <c r="C15" i="37"/>
  <c r="D24" i="6"/>
  <c r="C24" i="6"/>
  <c r="D33" i="6"/>
  <c r="C15" i="6"/>
  <c r="D15" i="6"/>
  <c r="E15" i="6"/>
  <c r="C15" i="7"/>
  <c r="D24" i="7"/>
  <c r="E33" i="7"/>
  <c r="D15" i="7"/>
  <c r="E24" i="7"/>
  <c r="E15" i="7"/>
  <c r="C15" i="8"/>
  <c r="D24" i="8"/>
  <c r="C24" i="8"/>
  <c r="D33" i="8"/>
  <c r="D15" i="8"/>
  <c r="C15" i="9"/>
  <c r="C15" i="10"/>
  <c r="D24" i="10"/>
  <c r="E33" i="10"/>
  <c r="D15" i="10"/>
  <c r="E24" i="10"/>
  <c r="E15" i="10"/>
  <c r="C33" i="10"/>
  <c r="D15" i="12"/>
  <c r="E34" i="12"/>
  <c r="C33" i="13"/>
  <c r="D33" i="13"/>
  <c r="D15" i="13"/>
  <c r="C34" i="13"/>
  <c r="E15" i="13"/>
  <c r="C15" i="14"/>
  <c r="D15" i="14"/>
  <c r="E15" i="14"/>
  <c r="C15" i="15"/>
  <c r="C24" i="15"/>
  <c r="D15" i="15"/>
  <c r="E24" i="15"/>
  <c r="E33" i="16"/>
  <c r="C34" i="16"/>
  <c r="E15" i="16"/>
  <c r="C15" i="17"/>
  <c r="D24" i="17"/>
  <c r="E33" i="17"/>
  <c r="D15" i="17"/>
  <c r="C34" i="17"/>
  <c r="K8" i="17" s="1"/>
  <c r="W75" i="57" s="1"/>
  <c r="X75" i="57" s="1"/>
  <c r="E15" i="17"/>
  <c r="C33" i="18"/>
  <c r="C24" i="18"/>
  <c r="D33" i="18"/>
  <c r="C15" i="18"/>
  <c r="D15" i="18"/>
  <c r="E15" i="18"/>
  <c r="E33" i="19"/>
  <c r="D15" i="19"/>
  <c r="E24" i="19"/>
  <c r="C33" i="20"/>
  <c r="E24" i="20"/>
  <c r="C34" i="20"/>
  <c r="E34" i="20"/>
  <c r="C15" i="22"/>
  <c r="D24" i="22"/>
  <c r="E33" i="22"/>
  <c r="D15" i="22"/>
  <c r="E24" i="22"/>
  <c r="E15" i="22"/>
  <c r="C15" i="21"/>
  <c r="D24" i="21"/>
  <c r="E33" i="21"/>
  <c r="D15" i="23"/>
  <c r="E24" i="23"/>
  <c r="C24" i="24"/>
  <c r="C15" i="24"/>
  <c r="E15" i="24"/>
  <c r="C15" i="25"/>
  <c r="D15" i="25"/>
  <c r="E15" i="26"/>
  <c r="D15" i="28"/>
  <c r="C34" i="28"/>
  <c r="E35" i="30"/>
  <c r="C35" i="30"/>
  <c r="C33" i="32"/>
  <c r="C24" i="32"/>
  <c r="D33" i="32"/>
  <c r="C15" i="32"/>
  <c r="D24" i="32"/>
  <c r="D15" i="32"/>
  <c r="W117" i="46" l="1"/>
  <c r="W113" i="46"/>
  <c r="W99" i="46"/>
  <c r="D35" i="10"/>
  <c r="K14" i="10"/>
  <c r="W104" i="57" s="1"/>
  <c r="X104" i="57" s="1"/>
  <c r="W41" i="46"/>
  <c r="AA75" i="57"/>
  <c r="AB75" i="57" s="1"/>
  <c r="Z87" i="46"/>
  <c r="D35" i="14"/>
  <c r="K7" i="14"/>
  <c r="W87" i="57" s="1"/>
  <c r="X87" i="57" s="1"/>
  <c r="W75" i="46"/>
  <c r="W71" i="46"/>
  <c r="W49" i="46"/>
  <c r="W45" i="46"/>
  <c r="X45" i="46" s="1"/>
  <c r="W53" i="46"/>
  <c r="E35" i="21"/>
  <c r="C35" i="24"/>
  <c r="W37" i="46"/>
  <c r="D35" i="7"/>
  <c r="D35" i="22"/>
  <c r="E35" i="18"/>
  <c r="D35" i="24"/>
  <c r="E35" i="24"/>
  <c r="C35" i="8"/>
  <c r="E35" i="22"/>
  <c r="C35" i="22"/>
  <c r="C35" i="14"/>
  <c r="E35" i="15"/>
  <c r="E35" i="14"/>
  <c r="C35" i="18"/>
  <c r="C35" i="27"/>
  <c r="K8" i="27"/>
  <c r="W29" i="57" s="1"/>
  <c r="X29" i="57" s="1"/>
  <c r="E35" i="27"/>
  <c r="D35" i="18"/>
  <c r="C35" i="19"/>
  <c r="D35" i="27"/>
  <c r="C35" i="6"/>
  <c r="D35" i="11"/>
  <c r="E35" i="23"/>
  <c r="D35" i="21"/>
  <c r="E35" i="11"/>
  <c r="D35" i="8"/>
  <c r="E35" i="31"/>
  <c r="C35" i="21"/>
  <c r="C35" i="16"/>
  <c r="D35" i="23"/>
  <c r="C35" i="23"/>
  <c r="C35" i="11"/>
  <c r="C35" i="10"/>
  <c r="D35" i="26"/>
  <c r="C35" i="9"/>
  <c r="D35" i="15"/>
  <c r="E35" i="10"/>
  <c r="C35" i="15"/>
  <c r="D35" i="9"/>
  <c r="C35" i="26"/>
  <c r="E35" i="9"/>
  <c r="C35" i="31"/>
  <c r="C35" i="12"/>
  <c r="E35" i="7"/>
  <c r="D35" i="31"/>
  <c r="E35" i="6"/>
  <c r="E35" i="20"/>
  <c r="E35" i="19"/>
  <c r="D35" i="6"/>
  <c r="C35" i="17"/>
  <c r="E35" i="12"/>
  <c r="E35" i="26"/>
  <c r="D35" i="19"/>
  <c r="C35" i="7"/>
  <c r="D35" i="12"/>
  <c r="D35" i="16"/>
  <c r="E35" i="16"/>
  <c r="D35" i="17"/>
  <c r="E35" i="17"/>
  <c r="C35" i="20"/>
  <c r="D35" i="20"/>
  <c r="X113" i="46" l="1"/>
  <c r="X117" i="46"/>
  <c r="W104" i="46"/>
  <c r="X99" i="46"/>
  <c r="AA99" i="46"/>
  <c r="AB99" i="46" s="1"/>
  <c r="AA99" i="57"/>
  <c r="AB99" i="57" s="1"/>
  <c r="W87" i="46"/>
  <c r="X75" i="46"/>
  <c r="AA75" i="46"/>
  <c r="AB75" i="46" s="1"/>
  <c r="X71" i="46"/>
  <c r="AA71" i="46"/>
  <c r="AB71" i="46" s="1"/>
  <c r="AA71" i="57"/>
  <c r="AB71" i="57" s="1"/>
  <c r="AA53" i="57"/>
  <c r="AB53" i="57" s="1"/>
  <c r="AA53" i="46"/>
  <c r="AB53" i="46" s="1"/>
  <c r="X53" i="46"/>
  <c r="AA49" i="57"/>
  <c r="AB49" i="57" s="1"/>
  <c r="AA49" i="46"/>
  <c r="AB49" i="46" s="1"/>
  <c r="X49" i="46"/>
  <c r="X37" i="46"/>
  <c r="X41" i="46"/>
  <c r="W29" i="46"/>
  <c r="P36" i="45"/>
  <c r="AE39" i="54"/>
  <c r="AF39" i="54"/>
  <c r="AD39" i="54"/>
  <c r="AA104" i="46" l="1"/>
  <c r="AB104" i="46" s="1"/>
  <c r="X104" i="46"/>
  <c r="AA104" i="57"/>
  <c r="AB104" i="57" s="1"/>
  <c r="X87" i="46"/>
  <c r="AA87" i="46"/>
  <c r="AB87" i="46" s="1"/>
  <c r="AA87" i="57"/>
  <c r="AB87" i="57" s="1"/>
  <c r="X29" i="46"/>
  <c r="G42" i="37"/>
  <c r="I37" i="37" s="1"/>
  <c r="F42" i="37"/>
  <c r="P35" i="45" l="1"/>
  <c r="BC138" i="57" l="1"/>
  <c r="BB138" i="57"/>
  <c r="C35" i="2" l="1"/>
  <c r="P33" i="45" l="1"/>
  <c r="P32" i="45"/>
  <c r="P31" i="45" l="1"/>
  <c r="P29" i="45" l="1"/>
  <c r="P30" i="45"/>
  <c r="P28" i="45" l="1"/>
  <c r="P27" i="45" l="1"/>
  <c r="P25" i="45" l="1"/>
  <c r="P26" i="45"/>
  <c r="P24" i="45" l="1"/>
  <c r="P23" i="45" l="1"/>
  <c r="P22" i="45" l="1"/>
  <c r="P21" i="45" l="1"/>
  <c r="W78" i="20" l="1"/>
  <c r="P20" i="45" l="1"/>
  <c r="P19" i="45" l="1"/>
  <c r="P18" i="45"/>
  <c r="P17" i="45" l="1"/>
  <c r="C38" i="24" l="1"/>
  <c r="C39" i="24"/>
  <c r="P16" i="45" l="1"/>
  <c r="P15" i="45"/>
  <c r="P14" i="45"/>
  <c r="C43" i="26"/>
  <c r="G42" i="26"/>
  <c r="I37" i="26" s="1"/>
  <c r="F42" i="26"/>
  <c r="R7" i="43" l="1"/>
  <c r="U7" i="43" s="1"/>
  <c r="R8" i="43"/>
  <c r="S8" i="43"/>
  <c r="U8" i="43" l="1"/>
  <c r="AR9" i="46" l="1"/>
  <c r="BA9" i="46" s="1"/>
  <c r="AM9" i="46"/>
  <c r="AD9" i="46" l="1"/>
  <c r="Z6" i="46" l="1"/>
  <c r="AM11" i="46" l="1"/>
  <c r="AM10" i="46"/>
  <c r="AD10" i="46" s="1"/>
  <c r="AZ138" i="57"/>
  <c r="AY138" i="57"/>
  <c r="AX138" i="57"/>
  <c r="AW138" i="57"/>
  <c r="AV138" i="57"/>
  <c r="AU138" i="57"/>
  <c r="AT138" i="57"/>
  <c r="AS138" i="57"/>
  <c r="AQ138" i="57"/>
  <c r="AP138" i="57"/>
  <c r="AO138" i="57"/>
  <c r="AN138" i="57"/>
  <c r="AL138" i="57"/>
  <c r="AK138" i="57"/>
  <c r="AJ138" i="57"/>
  <c r="AI138" i="57"/>
  <c r="AH138" i="57"/>
  <c r="AG138" i="57"/>
  <c r="AF138" i="57"/>
  <c r="S138" i="57"/>
  <c r="R138" i="57"/>
  <c r="Q138" i="57"/>
  <c r="Q139" i="57" s="1"/>
  <c r="AR137" i="57"/>
  <c r="AM137" i="57"/>
  <c r="AC137" i="57"/>
  <c r="AA137" i="57"/>
  <c r="S140" i="57" l="1"/>
  <c r="AZ143" i="57"/>
  <c r="AZ145" i="57" s="1"/>
  <c r="BE140" i="57"/>
  <c r="BD140" i="57"/>
  <c r="BF140" i="57"/>
  <c r="BB140" i="57"/>
  <c r="BC140" i="57"/>
  <c r="R139" i="57"/>
  <c r="S139" i="57"/>
  <c r="AR138" i="57"/>
  <c r="BA138" i="57"/>
  <c r="R140" i="57" s="1"/>
  <c r="AM138" i="57"/>
  <c r="AZ138" i="46"/>
  <c r="AY138" i="46"/>
  <c r="AX138" i="46"/>
  <c r="AW138" i="46"/>
  <c r="AV138" i="46"/>
  <c r="AU138" i="46"/>
  <c r="AT138" i="46"/>
  <c r="AS138" i="46"/>
  <c r="AQ138" i="46"/>
  <c r="AP138" i="46"/>
  <c r="AO138" i="46"/>
  <c r="AN138" i="46"/>
  <c r="AL138" i="46"/>
  <c r="AK138" i="46"/>
  <c r="AJ138" i="46"/>
  <c r="AI138" i="46"/>
  <c r="AH138" i="46"/>
  <c r="AG138" i="46"/>
  <c r="AF138" i="46"/>
  <c r="AR137" i="46"/>
  <c r="AM137" i="46"/>
  <c r="AR8" i="46"/>
  <c r="BA8" i="46" s="1"/>
  <c r="AM8" i="46"/>
  <c r="AR7" i="46"/>
  <c r="BA7" i="46" s="1"/>
  <c r="AM7" i="46"/>
  <c r="AR6" i="46"/>
  <c r="AM6" i="46"/>
  <c r="S140" i="46" l="1"/>
  <c r="AY143" i="57"/>
  <c r="AY145" i="57" s="1"/>
  <c r="AZ146" i="57" s="1"/>
  <c r="AD7" i="46"/>
  <c r="AD8" i="46"/>
  <c r="AM138" i="46"/>
  <c r="AR138" i="46"/>
  <c r="AD138" i="57"/>
  <c r="T9" i="56" s="1"/>
  <c r="BA6" i="46"/>
  <c r="AD6" i="46" s="1"/>
  <c r="AD138" i="46" s="1"/>
  <c r="BA138" i="46" l="1"/>
  <c r="E40" i="45"/>
  <c r="I40" i="45"/>
  <c r="M40" i="45"/>
  <c r="I46" i="16" l="1"/>
  <c r="I46" i="18"/>
  <c r="I46" i="20"/>
  <c r="I46" i="21"/>
  <c r="I46" i="24"/>
  <c r="I46" i="26"/>
  <c r="I46" i="27"/>
  <c r="I46" i="30"/>
  <c r="I46" i="32"/>
  <c r="L8" i="45"/>
  <c r="L9" i="45" s="1"/>
  <c r="L10" i="45" s="1"/>
  <c r="L11" i="45" s="1"/>
  <c r="L12" i="45" s="1"/>
  <c r="L13" i="45" s="1"/>
  <c r="H8" i="45"/>
  <c r="H9" i="45" s="1"/>
  <c r="H10" i="45" s="1"/>
  <c r="H11" i="45" s="1"/>
  <c r="H12" i="45" s="1"/>
  <c r="H13" i="45" s="1"/>
  <c r="P8" i="45"/>
  <c r="I46" i="33" s="1"/>
  <c r="D8" i="45"/>
  <c r="D9" i="45" s="1"/>
  <c r="D10" i="45" s="1"/>
  <c r="D11" i="45" s="1"/>
  <c r="D12" i="45" s="1"/>
  <c r="D13" i="45" s="1"/>
  <c r="A7" i="45" l="1"/>
  <c r="I46" i="28"/>
  <c r="I46" i="22"/>
  <c r="I46" i="17"/>
  <c r="I46" i="14"/>
  <c r="I46" i="13"/>
  <c r="I46" i="12"/>
  <c r="I46" i="11"/>
  <c r="I46" i="10"/>
  <c r="I46" i="9"/>
  <c r="I46" i="8"/>
  <c r="P34" i="45"/>
  <c r="I46" i="7" s="1"/>
  <c r="I46" i="6"/>
  <c r="I46" i="37"/>
  <c r="P37" i="45"/>
  <c r="P38" i="45"/>
  <c r="P40" i="45"/>
  <c r="I46" i="43" l="1"/>
  <c r="I46" i="4"/>
  <c r="I46" i="15"/>
  <c r="I46" i="19"/>
  <c r="I46" i="23"/>
  <c r="I46" i="25"/>
  <c r="I46" i="29"/>
  <c r="I46" i="31"/>
  <c r="Q138" i="46" l="1"/>
  <c r="Q139" i="46" s="1"/>
  <c r="AC137" i="46"/>
  <c r="AA137" i="46"/>
  <c r="BB140" i="46" l="1"/>
  <c r="BC140" i="46"/>
  <c r="BE140" i="46"/>
  <c r="BD140" i="46"/>
  <c r="BF140" i="46"/>
  <c r="R139" i="46"/>
  <c r="S139" i="46"/>
  <c r="H14" i="45" l="1"/>
  <c r="H15" i="45" s="1"/>
  <c r="H16" i="45" s="1"/>
  <c r="L14" i="45"/>
  <c r="L15" i="45" s="1"/>
  <c r="L16" i="45" s="1"/>
  <c r="D14" i="45"/>
  <c r="D15" i="45" s="1"/>
  <c r="D16" i="45" s="1"/>
  <c r="I9" i="56"/>
  <c r="R140" i="46"/>
  <c r="D17" i="45" l="1"/>
  <c r="L17" i="45"/>
  <c r="H17" i="45"/>
  <c r="H18" i="45" l="1"/>
  <c r="H19" i="45" s="1"/>
  <c r="L18" i="45"/>
  <c r="L19" i="45" s="1"/>
  <c r="D18" i="45"/>
  <c r="D19" i="45" s="1"/>
  <c r="L20" i="45" l="1"/>
  <c r="D20" i="45"/>
  <c r="D21" i="45" s="1"/>
  <c r="D22" i="45" s="1"/>
  <c r="D23" i="45" s="1"/>
  <c r="D24" i="45" s="1"/>
  <c r="D25" i="45" s="1"/>
  <c r="D26" i="45" s="1"/>
  <c r="D27" i="45" s="1"/>
  <c r="D28" i="45" s="1"/>
  <c r="D29" i="45" s="1"/>
  <c r="D30" i="45" s="1"/>
  <c r="D31" i="45" s="1"/>
  <c r="D32" i="45" s="1"/>
  <c r="D33" i="45" s="1"/>
  <c r="H20" i="45"/>
  <c r="H21" i="45" l="1"/>
  <c r="L21" i="45"/>
  <c r="D34" i="45"/>
  <c r="AO13" i="48"/>
  <c r="AO14" i="48"/>
  <c r="AO15" i="48"/>
  <c r="AO16" i="48"/>
  <c r="AO17" i="48"/>
  <c r="AO18" i="48"/>
  <c r="AO19" i="48"/>
  <c r="AO20" i="48"/>
  <c r="AO21" i="48"/>
  <c r="AO22" i="48"/>
  <c r="AO23" i="48"/>
  <c r="AO24" i="48"/>
  <c r="AO25" i="48"/>
  <c r="AO26" i="48"/>
  <c r="AO27" i="48"/>
  <c r="AO28" i="48"/>
  <c r="AO29" i="48"/>
  <c r="AO30" i="48"/>
  <c r="AR30" i="48" s="1"/>
  <c r="AO31" i="48"/>
  <c r="AR31" i="48" s="1"/>
  <c r="AO32" i="48"/>
  <c r="AO33" i="48"/>
  <c r="AO34" i="48"/>
  <c r="AO35" i="48"/>
  <c r="AO36" i="48"/>
  <c r="AO37" i="48"/>
  <c r="AO38" i="48"/>
  <c r="AO39" i="48"/>
  <c r="AO12" i="48"/>
  <c r="AO10" i="48"/>
  <c r="AO11" i="48"/>
  <c r="AO9" i="48"/>
  <c r="L9" i="48" l="1"/>
  <c r="D35" i="45"/>
  <c r="L22" i="45"/>
  <c r="H22" i="45"/>
  <c r="AS39" i="48"/>
  <c r="AR39" i="48"/>
  <c r="AR38" i="48"/>
  <c r="AS38" i="48"/>
  <c r="K138" i="57" l="1"/>
  <c r="T138" i="57"/>
  <c r="P138" i="57"/>
  <c r="O138" i="57" s="1"/>
  <c r="U138" i="57"/>
  <c r="V138" i="57"/>
  <c r="T10" i="56" s="1"/>
  <c r="D36" i="45"/>
  <c r="D37" i="45" s="1"/>
  <c r="D38" i="45" s="1"/>
  <c r="H23" i="45"/>
  <c r="L23" i="45"/>
  <c r="C138" i="57"/>
  <c r="AT38" i="48"/>
  <c r="AT39" i="48"/>
  <c r="P6" i="46"/>
  <c r="P138" i="46" s="1"/>
  <c r="O138" i="46" s="1"/>
  <c r="V6" i="46"/>
  <c r="V138" i="46" s="1"/>
  <c r="I10" i="56" s="1"/>
  <c r="T6" i="46"/>
  <c r="T138" i="46" s="1"/>
  <c r="U6" i="46"/>
  <c r="U138" i="46" s="1"/>
  <c r="N9" i="48"/>
  <c r="K138" i="46"/>
  <c r="C46" i="30"/>
  <c r="AC138" i="57" l="1"/>
  <c r="AC139" i="57" s="1"/>
  <c r="X148" i="57" s="1"/>
  <c r="E9" i="55"/>
  <c r="E8" i="55"/>
  <c r="E20" i="55"/>
  <c r="E18" i="55"/>
  <c r="E27" i="55"/>
  <c r="E7" i="55"/>
  <c r="E5" i="55"/>
  <c r="E35" i="55"/>
  <c r="E34" i="55"/>
  <c r="E32" i="55"/>
  <c r="E23" i="55"/>
  <c r="E31" i="55"/>
  <c r="E39" i="55"/>
  <c r="E16" i="55"/>
  <c r="E33" i="55"/>
  <c r="E36" i="55"/>
  <c r="E26" i="55"/>
  <c r="E29" i="55"/>
  <c r="E11" i="55"/>
  <c r="E6" i="55"/>
  <c r="E38" i="55"/>
  <c r="E24" i="55"/>
  <c r="E10" i="55"/>
  <c r="E17" i="55"/>
  <c r="E21" i="55"/>
  <c r="E37" i="55"/>
  <c r="E30" i="55"/>
  <c r="E25" i="55"/>
  <c r="E4" i="55"/>
  <c r="E19" i="55"/>
  <c r="E28" i="55"/>
  <c r="E22" i="55"/>
  <c r="N28" i="55"/>
  <c r="N20" i="55"/>
  <c r="N23" i="55"/>
  <c r="N6" i="55"/>
  <c r="N16" i="55"/>
  <c r="N26" i="55"/>
  <c r="N10" i="55"/>
  <c r="N39" i="55"/>
  <c r="N25" i="55"/>
  <c r="N27" i="55"/>
  <c r="N22" i="55"/>
  <c r="N31" i="55"/>
  <c r="N7" i="55"/>
  <c r="N17" i="55"/>
  <c r="N11" i="55"/>
  <c r="N18" i="55"/>
  <c r="N8" i="55"/>
  <c r="N34" i="55"/>
  <c r="N37" i="55"/>
  <c r="N5" i="55"/>
  <c r="N19" i="55"/>
  <c r="N30" i="55"/>
  <c r="N33" i="55"/>
  <c r="N38" i="55"/>
  <c r="N4" i="55"/>
  <c r="N36" i="55"/>
  <c r="N29" i="55"/>
  <c r="N32" i="55"/>
  <c r="N24" i="55"/>
  <c r="N35" i="55"/>
  <c r="N9" i="55"/>
  <c r="N21" i="55"/>
  <c r="L24" i="45"/>
  <c r="H24" i="45"/>
  <c r="V139" i="57"/>
  <c r="AM139" i="57" s="1"/>
  <c r="I8" i="56"/>
  <c r="AH4" i="54"/>
  <c r="AH3" i="54"/>
  <c r="T8" i="56"/>
  <c r="BA41" i="48"/>
  <c r="BB9" i="48"/>
  <c r="BB10" i="48" s="1"/>
  <c r="BB11" i="48" s="1"/>
  <c r="BB12" i="48" s="1"/>
  <c r="BB13" i="48" s="1"/>
  <c r="BB14" i="48" s="1"/>
  <c r="BB15" i="48" s="1"/>
  <c r="BB16" i="48" s="1"/>
  <c r="BB17" i="48" s="1"/>
  <c r="BB18" i="48" s="1"/>
  <c r="BB19" i="48" s="1"/>
  <c r="BB20" i="48" s="1"/>
  <c r="BB21" i="48" s="1"/>
  <c r="BB22" i="48" s="1"/>
  <c r="BB23" i="48" s="1"/>
  <c r="BB24" i="48" s="1"/>
  <c r="BB25" i="48" s="1"/>
  <c r="BB26" i="48" s="1"/>
  <c r="BB27" i="48" s="1"/>
  <c r="BB28" i="48" s="1"/>
  <c r="BB29" i="48" s="1"/>
  <c r="BB30" i="48" s="1"/>
  <c r="BB31" i="48" s="1"/>
  <c r="BB32" i="48" s="1"/>
  <c r="BB33" i="48" s="1"/>
  <c r="BB34" i="48" s="1"/>
  <c r="BB35" i="48" s="1"/>
  <c r="BB36" i="48" s="1"/>
  <c r="BB37" i="48" s="1"/>
  <c r="BB38" i="48" s="1"/>
  <c r="BB39" i="48" s="1"/>
  <c r="AC6" i="46"/>
  <c r="AC138" i="46" s="1"/>
  <c r="C138" i="46"/>
  <c r="V139" i="46"/>
  <c r="AW139" i="57" l="1"/>
  <c r="X165" i="57" s="1"/>
  <c r="BA139" i="57"/>
  <c r="AJ139" i="57"/>
  <c r="X155" i="57" s="1"/>
  <c r="AG139" i="57"/>
  <c r="X152" i="57" s="1"/>
  <c r="AH139" i="57"/>
  <c r="X153" i="57" s="1"/>
  <c r="AR139" i="57"/>
  <c r="AX139" i="57"/>
  <c r="AQ139" i="57"/>
  <c r="X161" i="57" s="1"/>
  <c r="AF139" i="57"/>
  <c r="X151" i="57" s="1"/>
  <c r="AN139" i="57"/>
  <c r="X158" i="57" s="1"/>
  <c r="AV139" i="57"/>
  <c r="X166" i="57" s="1"/>
  <c r="AY139" i="57"/>
  <c r="AZ139" i="57"/>
  <c r="X168" i="57" s="1"/>
  <c r="H25" i="45"/>
  <c r="H26" i="45" s="1"/>
  <c r="L25" i="45"/>
  <c r="L26" i="45" s="1"/>
  <c r="AS139" i="57"/>
  <c r="X162" i="57" s="1"/>
  <c r="AI139" i="57"/>
  <c r="X154" i="57" s="1"/>
  <c r="AT139" i="57"/>
  <c r="X163" i="57" s="1"/>
  <c r="AO139" i="57"/>
  <c r="X159" i="57" s="1"/>
  <c r="AL139" i="57"/>
  <c r="X157" i="57" s="1"/>
  <c r="AK139" i="57"/>
  <c r="X156" i="57" s="1"/>
  <c r="AU139" i="57"/>
  <c r="X164" i="57" s="1"/>
  <c r="AP139" i="57"/>
  <c r="X160" i="57" s="1"/>
  <c r="T5" i="56"/>
  <c r="N15" i="55" s="1"/>
  <c r="T11" i="56"/>
  <c r="AJ139" i="46"/>
  <c r="X155" i="46" s="1"/>
  <c r="AX139" i="46"/>
  <c r="AI139" i="46"/>
  <c r="X154" i="46" s="1"/>
  <c r="AL139" i="46"/>
  <c r="X157" i="46" s="1"/>
  <c r="AR139" i="46"/>
  <c r="AK139" i="46"/>
  <c r="X156" i="46" s="1"/>
  <c r="AO139" i="46"/>
  <c r="X159" i="46" s="1"/>
  <c r="AG139" i="46"/>
  <c r="X152" i="46" s="1"/>
  <c r="AM139" i="46"/>
  <c r="AQ139" i="46"/>
  <c r="X161" i="46" s="1"/>
  <c r="AT139" i="46"/>
  <c r="X163" i="46" s="1"/>
  <c r="AF139" i="46"/>
  <c r="X151" i="46" s="1"/>
  <c r="AP139" i="46"/>
  <c r="X160" i="46" s="1"/>
  <c r="AZ139" i="46"/>
  <c r="X168" i="46" s="1"/>
  <c r="AW139" i="46"/>
  <c r="X165" i="46" s="1"/>
  <c r="AY139" i="46"/>
  <c r="AN139" i="46"/>
  <c r="X158" i="46" s="1"/>
  <c r="AV139" i="46"/>
  <c r="X166" i="46" s="1"/>
  <c r="AH139" i="46"/>
  <c r="X153" i="46" s="1"/>
  <c r="AU139" i="46"/>
  <c r="X164" i="46" s="1"/>
  <c r="AS139" i="46"/>
  <c r="X162" i="46" s="1"/>
  <c r="BA139" i="46"/>
  <c r="AC139" i="46"/>
  <c r="X148" i="46" s="1"/>
  <c r="I5" i="56"/>
  <c r="E15" i="55" s="1"/>
  <c r="F15" i="55" s="1"/>
  <c r="G15" i="55" s="1"/>
  <c r="X167" i="57" l="1"/>
  <c r="O11" i="55"/>
  <c r="P11" i="55" s="1"/>
  <c r="O30" i="55"/>
  <c r="O24" i="55"/>
  <c r="O8" i="55"/>
  <c r="P8" i="55" s="1"/>
  <c r="O31" i="55"/>
  <c r="O26" i="55"/>
  <c r="O28" i="55"/>
  <c r="O20" i="55"/>
  <c r="O38" i="55"/>
  <c r="O19" i="55"/>
  <c r="O17" i="55"/>
  <c r="O22" i="55"/>
  <c r="O39" i="55"/>
  <c r="O7" i="55"/>
  <c r="P7" i="55" s="1"/>
  <c r="O33" i="55"/>
  <c r="O21" i="55"/>
  <c r="O18" i="55"/>
  <c r="P18" i="55" s="1"/>
  <c r="O37" i="55"/>
  <c r="O23" i="55"/>
  <c r="O5" i="55"/>
  <c r="P5" i="55" s="1"/>
  <c r="O35" i="55"/>
  <c r="O32" i="55"/>
  <c r="O9" i="55"/>
  <c r="P9" i="55" s="1"/>
  <c r="O25" i="55"/>
  <c r="O6" i="55"/>
  <c r="P6" i="55" s="1"/>
  <c r="O10" i="55"/>
  <c r="P10" i="55" s="1"/>
  <c r="O36" i="55"/>
  <c r="O4" i="55"/>
  <c r="O27" i="55"/>
  <c r="O34" i="55"/>
  <c r="O29" i="55"/>
  <c r="O16" i="55"/>
  <c r="L27" i="45"/>
  <c r="H27" i="45"/>
  <c r="U5" i="56"/>
  <c r="O15" i="55" s="1"/>
  <c r="P15" i="55" s="1"/>
  <c r="X167" i="46"/>
  <c r="AC39" i="54"/>
  <c r="AB39" i="54"/>
  <c r="AA39" i="54"/>
  <c r="Z39" i="54"/>
  <c r="Y39" i="54"/>
  <c r="X39" i="54"/>
  <c r="W39" i="54"/>
  <c r="V39" i="54"/>
  <c r="U39" i="54"/>
  <c r="T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AG37" i="54"/>
  <c r="AG36" i="54"/>
  <c r="Y45" i="57" s="1"/>
  <c r="AG35" i="54"/>
  <c r="AG34" i="54"/>
  <c r="AG33" i="54"/>
  <c r="AG32" i="54"/>
  <c r="Y41" i="57" s="1"/>
  <c r="AG31" i="54"/>
  <c r="AG30" i="54"/>
  <c r="AG29" i="54"/>
  <c r="AG28" i="54"/>
  <c r="Y37" i="57" s="1"/>
  <c r="AG27" i="54"/>
  <c r="AG26" i="54"/>
  <c r="AG25" i="54"/>
  <c r="AG24" i="54"/>
  <c r="Y33" i="57" s="1"/>
  <c r="AG23" i="54"/>
  <c r="AG22" i="54"/>
  <c r="AG21" i="54"/>
  <c r="AG20" i="54"/>
  <c r="Y29" i="57" s="1"/>
  <c r="AG19" i="54"/>
  <c r="AG18" i="54"/>
  <c r="AG17" i="54"/>
  <c r="AG16" i="54"/>
  <c r="AG15" i="54"/>
  <c r="AG14" i="54"/>
  <c r="AG13" i="54"/>
  <c r="AG12" i="54"/>
  <c r="AG11" i="54"/>
  <c r="AG10" i="54"/>
  <c r="AG9" i="54"/>
  <c r="AG8" i="54"/>
  <c r="Y17" i="57" s="1"/>
  <c r="AG7" i="54"/>
  <c r="AG6" i="54"/>
  <c r="AA29" i="57" l="1"/>
  <c r="AB29" i="57" s="1"/>
  <c r="Y45" i="46"/>
  <c r="Y41" i="46"/>
  <c r="Y33" i="46"/>
  <c r="AA33" i="46" s="1"/>
  <c r="AB33" i="46" s="1"/>
  <c r="Y37" i="46"/>
  <c r="Y29" i="46"/>
  <c r="AA29" i="46" s="1"/>
  <c r="AB29" i="46" s="1"/>
  <c r="AA17" i="57"/>
  <c r="AB17" i="57" s="1"/>
  <c r="Y17" i="46"/>
  <c r="AA17" i="46" s="1"/>
  <c r="AB17" i="46" s="1"/>
  <c r="P36" i="55"/>
  <c r="P16" i="55"/>
  <c r="P33" i="55"/>
  <c r="P31" i="55"/>
  <c r="P4" i="55"/>
  <c r="P24" i="55"/>
  <c r="P19" i="55"/>
  <c r="P38" i="55"/>
  <c r="Q38" i="55" s="1"/>
  <c r="H28" i="45"/>
  <c r="L28" i="45"/>
  <c r="AI3" i="54"/>
  <c r="AG39" i="54"/>
  <c r="Y138" i="46" l="1"/>
  <c r="Y140" i="46" s="1"/>
  <c r="Y138" i="57"/>
  <c r="Y140" i="57" s="1"/>
  <c r="Q24" i="55"/>
  <c r="Q4" i="55"/>
  <c r="L29" i="45"/>
  <c r="L30" i="45" s="1"/>
  <c r="H29" i="45"/>
  <c r="H30" i="45" s="1"/>
  <c r="AH7" i="54"/>
  <c r="AH38" i="54"/>
  <c r="AH37" i="54"/>
  <c r="AH20" i="54"/>
  <c r="AH36" i="54"/>
  <c r="AH12" i="54"/>
  <c r="AH14" i="54"/>
  <c r="AH9" i="54"/>
  <c r="AH13" i="54"/>
  <c r="AH17" i="54"/>
  <c r="AH28" i="54"/>
  <c r="AH27" i="54"/>
  <c r="AH34" i="54"/>
  <c r="AH11" i="54"/>
  <c r="AH18" i="54"/>
  <c r="AH6" i="54"/>
  <c r="AH10" i="54"/>
  <c r="AH30" i="54"/>
  <c r="AH29" i="54"/>
  <c r="AH16" i="54"/>
  <c r="AH15" i="54"/>
  <c r="AH35" i="54"/>
  <c r="AH32" i="54"/>
  <c r="AH24" i="54"/>
  <c r="AH8" i="54"/>
  <c r="AH26" i="54"/>
  <c r="AH21" i="54"/>
  <c r="AH31" i="54"/>
  <c r="AH25" i="54"/>
  <c r="AH23" i="54"/>
  <c r="AH22" i="54"/>
  <c r="AH33" i="54"/>
  <c r="AH19" i="54"/>
  <c r="Y139" i="46" l="1"/>
  <c r="X146" i="46" s="1"/>
  <c r="Y139" i="57"/>
  <c r="X146" i="57" s="1"/>
  <c r="H31" i="45"/>
  <c r="L31" i="45"/>
  <c r="AH39" i="54"/>
  <c r="AP41" i="48"/>
  <c r="AQ39" i="48"/>
  <c r="AQ38" i="48"/>
  <c r="AQ37" i="48"/>
  <c r="AR37" i="48"/>
  <c r="AQ36" i="48"/>
  <c r="AR36" i="48"/>
  <c r="AQ35" i="48"/>
  <c r="AS35" i="48"/>
  <c r="AQ34" i="48"/>
  <c r="AS34" i="48"/>
  <c r="AQ33" i="48"/>
  <c r="AR33" i="48"/>
  <c r="AQ32" i="48"/>
  <c r="AS32" i="48"/>
  <c r="AQ31" i="48"/>
  <c r="AS31" i="48"/>
  <c r="AS25" i="48"/>
  <c r="AR24" i="48"/>
  <c r="AS23" i="48"/>
  <c r="AS22" i="48"/>
  <c r="AS21" i="48"/>
  <c r="AS20" i="48"/>
  <c r="AS19" i="48"/>
  <c r="AS18" i="48"/>
  <c r="AS17" i="48"/>
  <c r="AQ16" i="48"/>
  <c r="AS15" i="48"/>
  <c r="AR13" i="48"/>
  <c r="AQ13" i="48"/>
  <c r="AS13" i="48"/>
  <c r="AS12" i="48"/>
  <c r="AR12" i="48"/>
  <c r="AQ12" i="48"/>
  <c r="AS11" i="48"/>
  <c r="AR11" i="48"/>
  <c r="AQ11" i="48"/>
  <c r="AS10" i="48"/>
  <c r="AR10" i="48"/>
  <c r="AQ10" i="48"/>
  <c r="AS9" i="48"/>
  <c r="AR9" i="48"/>
  <c r="AQ9" i="48"/>
  <c r="L32" i="45" l="1"/>
  <c r="L33" i="45" s="1"/>
  <c r="L34" i="45" s="1"/>
  <c r="H32" i="45"/>
  <c r="H33" i="45" s="1"/>
  <c r="H34" i="45" s="1"/>
  <c r="AV38" i="48"/>
  <c r="AY38" i="48" s="1"/>
  <c r="AU38" i="48"/>
  <c r="AX38" i="48" s="1"/>
  <c r="T38" i="48" s="1"/>
  <c r="AW38" i="48"/>
  <c r="AZ38" i="48" s="1"/>
  <c r="AV39" i="48"/>
  <c r="AY39" i="48" s="1"/>
  <c r="AU39" i="48"/>
  <c r="AX39" i="48" s="1"/>
  <c r="T39" i="48" s="1"/>
  <c r="AW39" i="48"/>
  <c r="AZ39" i="48" s="1"/>
  <c r="AV32" i="48"/>
  <c r="AY32" i="48" s="1"/>
  <c r="AV13" i="48"/>
  <c r="AY13" i="48" s="1"/>
  <c r="AV12" i="48"/>
  <c r="AY12" i="48" s="1"/>
  <c r="AV9" i="48"/>
  <c r="AY9" i="48" s="1"/>
  <c r="AV34" i="48"/>
  <c r="AY34" i="48" s="1"/>
  <c r="AT11" i="48"/>
  <c r="AW11" i="48" s="1"/>
  <c r="AV31" i="48"/>
  <c r="AY31" i="48" s="1"/>
  <c r="AT13" i="48"/>
  <c r="AW13" i="48" s="1"/>
  <c r="AV35" i="48"/>
  <c r="AY35" i="48" s="1"/>
  <c r="AV10" i="48"/>
  <c r="AY10" i="48" s="1"/>
  <c r="AU10" i="48"/>
  <c r="AX10" i="48" s="1"/>
  <c r="T10" i="48" s="1"/>
  <c r="AV11" i="48"/>
  <c r="AY11" i="48" s="1"/>
  <c r="AS14" i="48"/>
  <c r="AR14" i="48"/>
  <c r="AS28" i="48"/>
  <c r="AR28" i="48"/>
  <c r="AQ28" i="48"/>
  <c r="AU36" i="48"/>
  <c r="AX36" i="48" s="1"/>
  <c r="T36" i="48" s="1"/>
  <c r="AT10" i="48"/>
  <c r="AW10" i="48" s="1"/>
  <c r="AU12" i="48"/>
  <c r="AX12" i="48" s="1"/>
  <c r="T12" i="48" s="1"/>
  <c r="AT12" i="48"/>
  <c r="AW12" i="48" s="1"/>
  <c r="AQ14" i="48"/>
  <c r="AU37" i="48"/>
  <c r="AX37" i="48" s="1"/>
  <c r="T37" i="48" s="1"/>
  <c r="AU9" i="48"/>
  <c r="AX9" i="48" s="1"/>
  <c r="T9" i="48" s="1"/>
  <c r="AR18" i="48"/>
  <c r="AQ18" i="48"/>
  <c r="AV18" i="48" s="1"/>
  <c r="AY18" i="48" s="1"/>
  <c r="AR22" i="48"/>
  <c r="AQ22" i="48"/>
  <c r="AV22" i="48" s="1"/>
  <c r="AY22" i="48" s="1"/>
  <c r="AQ25" i="48"/>
  <c r="AV25" i="48" s="1"/>
  <c r="AY25" i="48" s="1"/>
  <c r="AR25" i="48"/>
  <c r="AU13" i="48"/>
  <c r="AX13" i="48" s="1"/>
  <c r="T13" i="48" s="1"/>
  <c r="AR17" i="48"/>
  <c r="AQ17" i="48"/>
  <c r="AV17" i="48" s="1"/>
  <c r="AY17" i="48" s="1"/>
  <c r="AQ21" i="48"/>
  <c r="AV21" i="48" s="1"/>
  <c r="AY21" i="48" s="1"/>
  <c r="AR21" i="48"/>
  <c r="AS24" i="48"/>
  <c r="AT24" i="48" s="1"/>
  <c r="AQ24" i="48"/>
  <c r="AU24" i="48" s="1"/>
  <c r="AX24" i="48" s="1"/>
  <c r="T24" i="48" s="1"/>
  <c r="AQ15" i="48"/>
  <c r="AV15" i="48" s="1"/>
  <c r="AY15" i="48" s="1"/>
  <c r="AR15" i="48"/>
  <c r="AT9" i="48"/>
  <c r="AW9" i="48" s="1"/>
  <c r="AZ9" i="48" s="1"/>
  <c r="AU11" i="48"/>
  <c r="AX11" i="48" s="1"/>
  <c r="T11" i="48" s="1"/>
  <c r="AR16" i="48"/>
  <c r="AS16" i="48"/>
  <c r="AV16" i="48" s="1"/>
  <c r="AY16" i="48" s="1"/>
  <c r="AR19" i="48"/>
  <c r="AQ19" i="48"/>
  <c r="AV19" i="48" s="1"/>
  <c r="AY19" i="48" s="1"/>
  <c r="AR23" i="48"/>
  <c r="AQ23" i="48"/>
  <c r="AV23" i="48" s="1"/>
  <c r="AY23" i="48" s="1"/>
  <c r="AS30" i="48"/>
  <c r="AQ30" i="48"/>
  <c r="AU33" i="48"/>
  <c r="AX33" i="48" s="1"/>
  <c r="T33" i="48" s="1"/>
  <c r="AS26" i="48"/>
  <c r="AR26" i="48"/>
  <c r="AQ26" i="48"/>
  <c r="AS27" i="48"/>
  <c r="AR27" i="48"/>
  <c r="AQ27" i="48"/>
  <c r="AS29" i="48"/>
  <c r="AR29" i="48"/>
  <c r="AQ29" i="48"/>
  <c r="AR20" i="48"/>
  <c r="AQ20" i="48"/>
  <c r="AV20" i="48" s="1"/>
  <c r="AY20" i="48" s="1"/>
  <c r="AR32" i="48"/>
  <c r="AR34" i="48"/>
  <c r="AR35" i="48"/>
  <c r="AS33" i="48"/>
  <c r="AV33" i="48" s="1"/>
  <c r="AY33" i="48" s="1"/>
  <c r="AS36" i="48"/>
  <c r="AV36" i="48" s="1"/>
  <c r="AY36" i="48" s="1"/>
  <c r="AS37" i="48"/>
  <c r="AV37" i="48" s="1"/>
  <c r="AY37" i="48" s="1"/>
  <c r="H35" i="45" l="1"/>
  <c r="L35" i="45"/>
  <c r="AZ12" i="48"/>
  <c r="AW24" i="48"/>
  <c r="AZ13" i="48"/>
  <c r="AZ11" i="48"/>
  <c r="AZ10" i="48"/>
  <c r="AV30" i="48"/>
  <c r="AY30" i="48" s="1"/>
  <c r="AV14" i="48"/>
  <c r="AY14" i="48" s="1"/>
  <c r="AV24" i="48"/>
  <c r="AY24" i="48" s="1"/>
  <c r="AV27" i="48"/>
  <c r="AY27" i="48" s="1"/>
  <c r="AT30" i="48"/>
  <c r="AW30" i="48" s="1"/>
  <c r="AU30" i="48"/>
  <c r="AT18" i="48"/>
  <c r="AW18" i="48" s="1"/>
  <c r="AU18" i="48"/>
  <c r="AT36" i="48"/>
  <c r="AW36" i="48" s="1"/>
  <c r="AU16" i="48"/>
  <c r="AX16" i="48" s="1"/>
  <c r="T16" i="48" s="1"/>
  <c r="AT16" i="48"/>
  <c r="AW16" i="48" s="1"/>
  <c r="AT26" i="48"/>
  <c r="AW26" i="48" s="1"/>
  <c r="AU26" i="48"/>
  <c r="AX26" i="48" s="1"/>
  <c r="T26" i="48" s="1"/>
  <c r="AV26" i="48"/>
  <c r="AY26" i="48" s="1"/>
  <c r="AT15" i="48"/>
  <c r="AW15" i="48" s="1"/>
  <c r="AU15" i="48"/>
  <c r="AX15" i="48" s="1"/>
  <c r="T15" i="48" s="1"/>
  <c r="AT37" i="48"/>
  <c r="AW37" i="48" s="1"/>
  <c r="AU32" i="48"/>
  <c r="AX32" i="48" s="1"/>
  <c r="T32" i="48" s="1"/>
  <c r="AT32" i="48"/>
  <c r="AW32" i="48" s="1"/>
  <c r="AT21" i="48"/>
  <c r="AW21" i="48" s="1"/>
  <c r="AU21" i="48"/>
  <c r="AX21" i="48" s="1"/>
  <c r="T21" i="48" s="1"/>
  <c r="AU31" i="48"/>
  <c r="AX31" i="48" s="1"/>
  <c r="T31" i="48" s="1"/>
  <c r="AT31" i="48"/>
  <c r="AW31" i="48" s="1"/>
  <c r="AT20" i="48"/>
  <c r="AW20" i="48" s="1"/>
  <c r="AU20" i="48"/>
  <c r="AX20" i="48" s="1"/>
  <c r="T20" i="48" s="1"/>
  <c r="AT19" i="48"/>
  <c r="AW19" i="48" s="1"/>
  <c r="AU19" i="48"/>
  <c r="AX19" i="48" s="1"/>
  <c r="T19" i="48" s="1"/>
  <c r="AT25" i="48"/>
  <c r="AW25" i="48" s="1"/>
  <c r="AU25" i="48"/>
  <c r="AX25" i="48" s="1"/>
  <c r="T25" i="48" s="1"/>
  <c r="AU28" i="48"/>
  <c r="AX28" i="48" s="1"/>
  <c r="T28" i="48" s="1"/>
  <c r="AT28" i="48"/>
  <c r="AW28" i="48" s="1"/>
  <c r="AU35" i="48"/>
  <c r="AX35" i="48" s="1"/>
  <c r="T35" i="48" s="1"/>
  <c r="AT35" i="48"/>
  <c r="AW35" i="48" s="1"/>
  <c r="AV29" i="48"/>
  <c r="AY29" i="48" s="1"/>
  <c r="AV28" i="48"/>
  <c r="AY28" i="48" s="1"/>
  <c r="AT27" i="48"/>
  <c r="AW27" i="48" s="1"/>
  <c r="AU27" i="48"/>
  <c r="AX27" i="48" s="1"/>
  <c r="T27" i="48" s="1"/>
  <c r="AT22" i="48"/>
  <c r="AW22" i="48" s="1"/>
  <c r="AU22" i="48"/>
  <c r="AX22" i="48" s="1"/>
  <c r="T22" i="48" s="1"/>
  <c r="AT23" i="48"/>
  <c r="AW23" i="48" s="1"/>
  <c r="AU23" i="48"/>
  <c r="AX23" i="48" s="1"/>
  <c r="T23" i="48" s="1"/>
  <c r="AT17" i="48"/>
  <c r="AW17" i="48" s="1"/>
  <c r="AU17" i="48"/>
  <c r="AX17" i="48" s="1"/>
  <c r="T17" i="48" s="1"/>
  <c r="AT29" i="48"/>
  <c r="AW29" i="48" s="1"/>
  <c r="AU29" i="48"/>
  <c r="AX29" i="48" s="1"/>
  <c r="T29" i="48" s="1"/>
  <c r="AT33" i="48"/>
  <c r="AW33" i="48" s="1"/>
  <c r="AU34" i="48"/>
  <c r="AX34" i="48" s="1"/>
  <c r="T34" i="48" s="1"/>
  <c r="AT34" i="48"/>
  <c r="AW34" i="48" s="1"/>
  <c r="AU14" i="48"/>
  <c r="AX14" i="48" s="1"/>
  <c r="T14" i="48" s="1"/>
  <c r="AT14" i="48"/>
  <c r="AW14" i="48" s="1"/>
  <c r="L36" i="45" l="1"/>
  <c r="L37" i="45" s="1"/>
  <c r="L38" i="45" s="1"/>
  <c r="H36" i="45"/>
  <c r="H37" i="45" s="1"/>
  <c r="H38" i="45" s="1"/>
  <c r="AX18" i="48"/>
  <c r="T18" i="48" s="1"/>
  <c r="AX30" i="48"/>
  <c r="T30" i="48" s="1"/>
  <c r="AZ29" i="48"/>
  <c r="AZ23" i="48"/>
  <c r="AZ27" i="48"/>
  <c r="AZ25" i="48"/>
  <c r="AZ20" i="48"/>
  <c r="AZ21" i="48"/>
  <c r="AZ26" i="48"/>
  <c r="AZ30" i="48"/>
  <c r="AZ28" i="48"/>
  <c r="AZ31" i="48"/>
  <c r="AZ32" i="48"/>
  <c r="AZ15" i="48"/>
  <c r="AZ16" i="48"/>
  <c r="AZ18" i="48"/>
  <c r="AZ24" i="48"/>
  <c r="AZ34" i="48"/>
  <c r="AZ33" i="48"/>
  <c r="AZ17" i="48"/>
  <c r="AZ22" i="48"/>
  <c r="AZ19" i="48"/>
  <c r="AZ14" i="48"/>
  <c r="AZ35" i="48"/>
  <c r="AZ37" i="48"/>
  <c r="AZ36" i="48"/>
  <c r="AZ41" i="48" l="1"/>
  <c r="AX41" i="48"/>
  <c r="AY41" i="48"/>
  <c r="AY43" i="48" l="1"/>
  <c r="I43" i="33" l="1"/>
  <c r="I43" i="31"/>
  <c r="C36" i="2"/>
  <c r="BG42" i="2" l="1"/>
  <c r="AY42" i="2"/>
  <c r="AQ42" i="2"/>
  <c r="W42" i="2"/>
  <c r="K42" i="2"/>
  <c r="BC40" i="2"/>
  <c r="BC39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AE42" i="2"/>
  <c r="BC17" i="2"/>
  <c r="BC16" i="2"/>
  <c r="BC15" i="2"/>
  <c r="BC14" i="2"/>
  <c r="BC13" i="2"/>
  <c r="BC12" i="2"/>
  <c r="BC11" i="2"/>
  <c r="BI10" i="2"/>
  <c r="BI11" i="2" s="1"/>
  <c r="BA10" i="2"/>
  <c r="BA11" i="2" s="1"/>
  <c r="BA12" i="2" s="1"/>
  <c r="AU10" i="2"/>
  <c r="AU42" i="2" s="1"/>
  <c r="AS10" i="2"/>
  <c r="AS11" i="2" s="1"/>
  <c r="AI42" i="2"/>
  <c r="AG10" i="2"/>
  <c r="AG11" i="2" s="1"/>
  <c r="Y10" i="2"/>
  <c r="Q10" i="2"/>
  <c r="Q11" i="2" s="1"/>
  <c r="M10" i="2"/>
  <c r="M11" i="2" s="1"/>
  <c r="G42" i="2"/>
  <c r="X42" i="2" l="1"/>
  <c r="BK38" i="2"/>
  <c r="AZ38" i="2" s="1"/>
  <c r="BK39" i="2"/>
  <c r="AR39" i="2" s="1"/>
  <c r="BK22" i="2"/>
  <c r="T22" i="2" s="1"/>
  <c r="BK36" i="2"/>
  <c r="BK12" i="2"/>
  <c r="BK15" i="2"/>
  <c r="AF15" i="2" s="1"/>
  <c r="BK17" i="2"/>
  <c r="M12" i="2"/>
  <c r="AS12" i="2"/>
  <c r="Q12" i="2"/>
  <c r="AG12" i="2"/>
  <c r="BI12" i="2"/>
  <c r="BA13" i="2"/>
  <c r="I10" i="2"/>
  <c r="I11" i="2" s="1"/>
  <c r="AW10" i="2"/>
  <c r="AA42" i="2"/>
  <c r="AC10" i="2"/>
  <c r="BC10" i="2"/>
  <c r="BK20" i="2"/>
  <c r="AN20" i="2" s="1"/>
  <c r="AK10" i="2"/>
  <c r="BK14" i="2"/>
  <c r="AF14" i="2" s="1"/>
  <c r="BK24" i="2"/>
  <c r="AN24" i="2" s="1"/>
  <c r="BK27" i="2"/>
  <c r="BK28" i="2"/>
  <c r="BK23" i="2"/>
  <c r="BK26" i="2"/>
  <c r="BK31" i="2"/>
  <c r="BK32" i="2"/>
  <c r="AF32" i="2" s="1"/>
  <c r="BK33" i="2"/>
  <c r="BK34" i="2"/>
  <c r="BK29" i="2"/>
  <c r="BK35" i="2"/>
  <c r="BK37" i="2"/>
  <c r="BK40" i="2"/>
  <c r="T38" i="2" l="1"/>
  <c r="P17" i="2"/>
  <c r="AF17" i="2"/>
  <c r="AJ12" i="2"/>
  <c r="AF12" i="2"/>
  <c r="AZ36" i="2"/>
  <c r="AB36" i="2"/>
  <c r="T36" i="2"/>
  <c r="BD39" i="2"/>
  <c r="L22" i="2"/>
  <c r="AR22" i="2"/>
  <c r="AF22" i="2"/>
  <c r="BD22" i="2"/>
  <c r="AV38" i="2"/>
  <c r="BH38" i="2"/>
  <c r="AF39" i="2"/>
  <c r="AV39" i="2"/>
  <c r="BD38" i="2"/>
  <c r="BH39" i="2"/>
  <c r="AR38" i="2"/>
  <c r="AN39" i="2"/>
  <c r="AJ39" i="2"/>
  <c r="H38" i="2"/>
  <c r="AN38" i="2"/>
  <c r="AJ38" i="2"/>
  <c r="L38" i="2"/>
  <c r="T39" i="2"/>
  <c r="P38" i="2"/>
  <c r="AF38" i="2"/>
  <c r="AB38" i="2"/>
  <c r="AB22" i="2"/>
  <c r="AV22" i="2"/>
  <c r="H22" i="2"/>
  <c r="AV36" i="2"/>
  <c r="AJ36" i="2"/>
  <c r="AR36" i="2"/>
  <c r="BD36" i="2"/>
  <c r="BH36" i="2"/>
  <c r="AN36" i="2"/>
  <c r="AF36" i="2"/>
  <c r="L12" i="2"/>
  <c r="AN12" i="2"/>
  <c r="AR12" i="2"/>
  <c r="AV12" i="2"/>
  <c r="AZ12" i="2"/>
  <c r="BD12" i="2"/>
  <c r="H12" i="2"/>
  <c r="P12" i="2"/>
  <c r="AN17" i="2"/>
  <c r="BH17" i="2"/>
  <c r="T17" i="2"/>
  <c r="AJ17" i="2"/>
  <c r="BH12" i="2"/>
  <c r="AZ17" i="2"/>
  <c r="T12" i="2"/>
  <c r="AB12" i="2"/>
  <c r="AN33" i="2"/>
  <c r="T28" i="2"/>
  <c r="AN34" i="2"/>
  <c r="T32" i="2"/>
  <c r="T20" i="2"/>
  <c r="L36" i="2"/>
  <c r="T37" i="2"/>
  <c r="BD31" i="2"/>
  <c r="T24" i="2"/>
  <c r="AN22" i="2"/>
  <c r="T23" i="2"/>
  <c r="T26" i="2"/>
  <c r="H15" i="2"/>
  <c r="AB15" i="2"/>
  <c r="AJ15" i="2"/>
  <c r="AN29" i="2"/>
  <c r="BD28" i="2"/>
  <c r="T33" i="2"/>
  <c r="BD26" i="2"/>
  <c r="P39" i="2"/>
  <c r="H39" i="2"/>
  <c r="L39" i="2"/>
  <c r="AB39" i="2"/>
  <c r="AZ39" i="2"/>
  <c r="BD37" i="2"/>
  <c r="BD33" i="2"/>
  <c r="AV15" i="2"/>
  <c r="BD15" i="2"/>
  <c r="P15" i="2"/>
  <c r="AZ15" i="2"/>
  <c r="AN28" i="2"/>
  <c r="BH15" i="2"/>
  <c r="AR15" i="2"/>
  <c r="T15" i="2"/>
  <c r="L15" i="2"/>
  <c r="AN15" i="2"/>
  <c r="AN31" i="2"/>
  <c r="AN26" i="2"/>
  <c r="AF20" i="2"/>
  <c r="BH22" i="2"/>
  <c r="P22" i="2"/>
  <c r="AJ22" i="2"/>
  <c r="AZ22" i="2"/>
  <c r="L17" i="2"/>
  <c r="AV17" i="2"/>
  <c r="AB17" i="2"/>
  <c r="AR17" i="2"/>
  <c r="BD17" i="2"/>
  <c r="H17" i="2"/>
  <c r="H36" i="2"/>
  <c r="P36" i="2"/>
  <c r="BD23" i="2"/>
  <c r="AF27" i="2"/>
  <c r="AN27" i="2"/>
  <c r="T27" i="2"/>
  <c r="AZ14" i="2"/>
  <c r="AR14" i="2"/>
  <c r="AJ14" i="2"/>
  <c r="P14" i="2"/>
  <c r="AV14" i="2"/>
  <c r="T14" i="2"/>
  <c r="H14" i="2"/>
  <c r="BH14" i="2"/>
  <c r="L14" i="2"/>
  <c r="BD14" i="2"/>
  <c r="AB14" i="2"/>
  <c r="I12" i="2"/>
  <c r="AZ40" i="2"/>
  <c r="AR40" i="2"/>
  <c r="AJ40" i="2"/>
  <c r="AB40" i="2"/>
  <c r="L40" i="2"/>
  <c r="BH40" i="2"/>
  <c r="AN40" i="2"/>
  <c r="AF40" i="2"/>
  <c r="P40" i="2"/>
  <c r="AV40" i="2"/>
  <c r="H40" i="2"/>
  <c r="BH35" i="2"/>
  <c r="AV35" i="2"/>
  <c r="AN35" i="2"/>
  <c r="AF35" i="2"/>
  <c r="P35" i="2"/>
  <c r="H35" i="2"/>
  <c r="AZ35" i="2"/>
  <c r="AR35" i="2"/>
  <c r="AJ35" i="2"/>
  <c r="AB35" i="2"/>
  <c r="L35" i="2"/>
  <c r="BD34" i="2"/>
  <c r="AZ34" i="2"/>
  <c r="AR34" i="2"/>
  <c r="AJ34" i="2"/>
  <c r="L34" i="2"/>
  <c r="BH34" i="2"/>
  <c r="AV34" i="2"/>
  <c r="AB34" i="2"/>
  <c r="P34" i="2"/>
  <c r="H34" i="2"/>
  <c r="BD32" i="2"/>
  <c r="AZ32" i="2"/>
  <c r="AR32" i="2"/>
  <c r="AJ32" i="2"/>
  <c r="BH32" i="2"/>
  <c r="AV32" i="2"/>
  <c r="AB32" i="2"/>
  <c r="P32" i="2"/>
  <c r="H32" i="2"/>
  <c r="L32" i="2"/>
  <c r="BD29" i="2"/>
  <c r="T40" i="2"/>
  <c r="AZ37" i="2"/>
  <c r="AR37" i="2"/>
  <c r="AJ37" i="2"/>
  <c r="AB37" i="2"/>
  <c r="L37" i="2"/>
  <c r="AV37" i="2"/>
  <c r="H37" i="2"/>
  <c r="BH37" i="2"/>
  <c r="AN37" i="2"/>
  <c r="AF37" i="2"/>
  <c r="P37" i="2"/>
  <c r="BD35" i="2"/>
  <c r="AF34" i="2"/>
  <c r="AN32" i="2"/>
  <c r="BK30" i="2"/>
  <c r="BH33" i="2"/>
  <c r="AV33" i="2"/>
  <c r="AF33" i="2"/>
  <c r="AB33" i="2"/>
  <c r="P33" i="2"/>
  <c r="H33" i="2"/>
  <c r="AZ33" i="2"/>
  <c r="AR33" i="2"/>
  <c r="AJ33" i="2"/>
  <c r="L33" i="2"/>
  <c r="BH26" i="2"/>
  <c r="AV26" i="2"/>
  <c r="AF26" i="2"/>
  <c r="AB26" i="2"/>
  <c r="AZ26" i="2"/>
  <c r="AR26" i="2"/>
  <c r="AJ26" i="2"/>
  <c r="L26" i="2"/>
  <c r="P26" i="2"/>
  <c r="H26" i="2"/>
  <c r="BK25" i="2"/>
  <c r="AZ23" i="2"/>
  <c r="AR23" i="2"/>
  <c r="AJ23" i="2"/>
  <c r="AV23" i="2"/>
  <c r="AF23" i="2"/>
  <c r="L23" i="2"/>
  <c r="BH23" i="2"/>
  <c r="AB23" i="2"/>
  <c r="P23" i="2"/>
  <c r="BH28" i="2"/>
  <c r="AV28" i="2"/>
  <c r="AF28" i="2"/>
  <c r="AB28" i="2"/>
  <c r="P28" i="2"/>
  <c r="H28" i="2"/>
  <c r="AZ28" i="2"/>
  <c r="AR28" i="2"/>
  <c r="AJ28" i="2"/>
  <c r="L28" i="2"/>
  <c r="BH24" i="2"/>
  <c r="AV24" i="2"/>
  <c r="AB24" i="2"/>
  <c r="L24" i="2"/>
  <c r="BD24" i="2"/>
  <c r="AR24" i="2"/>
  <c r="H24" i="2"/>
  <c r="AZ24" i="2"/>
  <c r="AJ24" i="2"/>
  <c r="P24" i="2"/>
  <c r="AF24" i="2"/>
  <c r="AN23" i="2"/>
  <c r="H23" i="2"/>
  <c r="BK16" i="2"/>
  <c r="AF16" i="2" s="1"/>
  <c r="BK13" i="2"/>
  <c r="AF13" i="2" s="1"/>
  <c r="BK11" i="2"/>
  <c r="AM42" i="2"/>
  <c r="AO10" i="2"/>
  <c r="S42" i="2"/>
  <c r="U10" i="2"/>
  <c r="U11" i="2" s="1"/>
  <c r="BK10" i="2"/>
  <c r="AN10" i="2" s="1"/>
  <c r="AW11" i="2"/>
  <c r="BI13" i="2"/>
  <c r="AG13" i="2"/>
  <c r="AS13" i="2"/>
  <c r="BD40" i="2"/>
  <c r="T35" i="2"/>
  <c r="AZ29" i="2"/>
  <c r="AR29" i="2"/>
  <c r="AJ29" i="2"/>
  <c r="AV29" i="2"/>
  <c r="AF29" i="2"/>
  <c r="L29" i="2"/>
  <c r="BH29" i="2"/>
  <c r="AB29" i="2"/>
  <c r="P29" i="2"/>
  <c r="H29" i="2"/>
  <c r="T34" i="2"/>
  <c r="AZ31" i="2"/>
  <c r="AR31" i="2"/>
  <c r="AJ31" i="2"/>
  <c r="L31" i="2"/>
  <c r="BH31" i="2"/>
  <c r="AB31" i="2"/>
  <c r="T31" i="2"/>
  <c r="P31" i="2"/>
  <c r="AV31" i="2"/>
  <c r="AF31" i="2"/>
  <c r="H31" i="2"/>
  <c r="T29" i="2"/>
  <c r="BD27" i="2"/>
  <c r="AZ27" i="2"/>
  <c r="AR27" i="2"/>
  <c r="AJ27" i="2"/>
  <c r="L27" i="2"/>
  <c r="BH27" i="2"/>
  <c r="AV27" i="2"/>
  <c r="AB27" i="2"/>
  <c r="P27" i="2"/>
  <c r="H27" i="2"/>
  <c r="BK21" i="2"/>
  <c r="BK19" i="2"/>
  <c r="BK18" i="2"/>
  <c r="T18" i="2" s="1"/>
  <c r="AN14" i="2"/>
  <c r="AK11" i="2"/>
  <c r="BD20" i="2"/>
  <c r="AZ20" i="2"/>
  <c r="AR20" i="2"/>
  <c r="AJ20" i="2"/>
  <c r="P20" i="2"/>
  <c r="H20" i="2"/>
  <c r="BH20" i="2"/>
  <c r="AV20" i="2"/>
  <c r="AB20" i="2"/>
  <c r="L20" i="2"/>
  <c r="BC42" i="2"/>
  <c r="BE10" i="2"/>
  <c r="BA14" i="2"/>
  <c r="Q13" i="2"/>
  <c r="AC11" i="2"/>
  <c r="M13" i="2"/>
  <c r="T11" i="2" l="1"/>
  <c r="AF11" i="2"/>
  <c r="T25" i="2"/>
  <c r="AN13" i="2"/>
  <c r="AN16" i="2"/>
  <c r="T30" i="2"/>
  <c r="T19" i="2"/>
  <c r="BD10" i="2"/>
  <c r="T13" i="2"/>
  <c r="T16" i="2"/>
  <c r="Q14" i="2"/>
  <c r="AK12" i="2"/>
  <c r="BH21" i="2"/>
  <c r="AV21" i="2"/>
  <c r="AF21" i="2"/>
  <c r="AB21" i="2"/>
  <c r="L21" i="2"/>
  <c r="AZ21" i="2"/>
  <c r="AR21" i="2"/>
  <c r="AJ21" i="2"/>
  <c r="P21" i="2"/>
  <c r="AN21" i="2"/>
  <c r="BD21" i="2"/>
  <c r="H21" i="2"/>
  <c r="M14" i="2"/>
  <c r="BE11" i="2"/>
  <c r="BD18" i="2"/>
  <c r="AZ18" i="2"/>
  <c r="AR18" i="2"/>
  <c r="AJ18" i="2"/>
  <c r="L18" i="2"/>
  <c r="BH18" i="2"/>
  <c r="AV18" i="2"/>
  <c r="P18" i="2"/>
  <c r="AN18" i="2"/>
  <c r="AF18" i="2"/>
  <c r="H18" i="2"/>
  <c r="AB18" i="2"/>
  <c r="BH19" i="2"/>
  <c r="AV19" i="2"/>
  <c r="AF19" i="2"/>
  <c r="AB19" i="2"/>
  <c r="L19" i="2"/>
  <c r="AZ19" i="2"/>
  <c r="AR19" i="2"/>
  <c r="AJ19" i="2"/>
  <c r="P19" i="2"/>
  <c r="AN19" i="2"/>
  <c r="BD19" i="2"/>
  <c r="H19" i="2"/>
  <c r="T21" i="2"/>
  <c r="T10" i="2"/>
  <c r="AZ11" i="2"/>
  <c r="AR11" i="2"/>
  <c r="AJ11" i="2"/>
  <c r="P11" i="2"/>
  <c r="BH11" i="2"/>
  <c r="AV11" i="2"/>
  <c r="L11" i="2"/>
  <c r="H11" i="2"/>
  <c r="AB11" i="2"/>
  <c r="BD11" i="2"/>
  <c r="AN11" i="2"/>
  <c r="BH13" i="2"/>
  <c r="AV13" i="2"/>
  <c r="L13" i="2"/>
  <c r="AZ13" i="2"/>
  <c r="AR13" i="2"/>
  <c r="AJ13" i="2"/>
  <c r="P13" i="2"/>
  <c r="H13" i="2"/>
  <c r="AB13" i="2"/>
  <c r="BD13" i="2"/>
  <c r="AZ16" i="2"/>
  <c r="AR16" i="2"/>
  <c r="AJ16" i="2"/>
  <c r="P16" i="2"/>
  <c r="BH16" i="2"/>
  <c r="AV16" i="2"/>
  <c r="L16" i="2"/>
  <c r="H16" i="2"/>
  <c r="AB16" i="2"/>
  <c r="BD16" i="2"/>
  <c r="AZ25" i="2"/>
  <c r="AR25" i="2"/>
  <c r="AJ25" i="2"/>
  <c r="P25" i="2"/>
  <c r="BH25" i="2"/>
  <c r="AB25" i="2"/>
  <c r="L25" i="2"/>
  <c r="AV25" i="2"/>
  <c r="AF25" i="2"/>
  <c r="H25" i="2"/>
  <c r="AN25" i="2"/>
  <c r="BD25" i="2"/>
  <c r="AC12" i="2"/>
  <c r="BA15" i="2"/>
  <c r="AS14" i="2"/>
  <c r="AG14" i="2"/>
  <c r="BI14" i="2"/>
  <c r="AW12" i="2"/>
  <c r="BK42" i="2"/>
  <c r="T42" i="2" s="1"/>
  <c r="AZ10" i="2"/>
  <c r="AB10" i="2"/>
  <c r="BL10" i="2"/>
  <c r="V10" i="2" s="1"/>
  <c r="BH10" i="2"/>
  <c r="AR10" i="2"/>
  <c r="AF10" i="2"/>
  <c r="X10" i="2"/>
  <c r="P10" i="2"/>
  <c r="L10" i="2"/>
  <c r="H10" i="2"/>
  <c r="AJ10" i="2"/>
  <c r="AV10" i="2"/>
  <c r="U12" i="2"/>
  <c r="AO11" i="2"/>
  <c r="BH30" i="2"/>
  <c r="AV30" i="2"/>
  <c r="AB30" i="2"/>
  <c r="P30" i="2"/>
  <c r="H30" i="2"/>
  <c r="AZ30" i="2"/>
  <c r="AJ30" i="2"/>
  <c r="L30" i="2"/>
  <c r="BD30" i="2"/>
  <c r="AR30" i="2"/>
  <c r="AN30" i="2"/>
  <c r="AF30" i="2"/>
  <c r="I13" i="2"/>
  <c r="AP10" i="2" l="1"/>
  <c r="AC13" i="2"/>
  <c r="I14" i="2"/>
  <c r="U13" i="2"/>
  <c r="N10" i="2"/>
  <c r="BB10" i="2"/>
  <c r="Z10" i="2"/>
  <c r="AT10" i="2"/>
  <c r="R10" i="2"/>
  <c r="AH10" i="2"/>
  <c r="BJ10" i="2"/>
  <c r="AD10" i="2"/>
  <c r="AX10" i="2"/>
  <c r="AL10" i="2"/>
  <c r="J10" i="2"/>
  <c r="BL42" i="2"/>
  <c r="AV42" i="2"/>
  <c r="AZ42" i="2"/>
  <c r="AR42" i="2"/>
  <c r="AJ42" i="2"/>
  <c r="H42" i="2"/>
  <c r="AF42" i="2"/>
  <c r="BH42" i="2"/>
  <c r="AB42" i="2"/>
  <c r="AW13" i="2"/>
  <c r="BI15" i="2"/>
  <c r="AG15" i="2"/>
  <c r="AS15" i="2"/>
  <c r="BA16" i="2"/>
  <c r="BL11" i="2"/>
  <c r="BF11" i="2" s="1"/>
  <c r="BD42" i="2"/>
  <c r="BF10" i="2"/>
  <c r="M15" i="2"/>
  <c r="AO12" i="2"/>
  <c r="BE12" i="2"/>
  <c r="AK13" i="2"/>
  <c r="Q15" i="2"/>
  <c r="AP11" i="2" l="1"/>
  <c r="Q16" i="2"/>
  <c r="AK14" i="2"/>
  <c r="M16" i="2"/>
  <c r="BI16" i="2"/>
  <c r="BE13" i="2"/>
  <c r="AO13" i="2"/>
  <c r="AT11" i="2"/>
  <c r="AH11" i="2"/>
  <c r="BJ11" i="2"/>
  <c r="BL12" i="2"/>
  <c r="BB11" i="2"/>
  <c r="N11" i="2"/>
  <c r="R11" i="2"/>
  <c r="J11" i="2"/>
  <c r="V11" i="2"/>
  <c r="AL11" i="2"/>
  <c r="AD11" i="2"/>
  <c r="AX11" i="2"/>
  <c r="BA17" i="2"/>
  <c r="AS16" i="2"/>
  <c r="AG16" i="2"/>
  <c r="AW14" i="2"/>
  <c r="U14" i="2"/>
  <c r="I15" i="2"/>
  <c r="AC14" i="2"/>
  <c r="AC15" i="2" l="1"/>
  <c r="I16" i="2"/>
  <c r="U15" i="2"/>
  <c r="AO14" i="2"/>
  <c r="BE14" i="2"/>
  <c r="Q17" i="2"/>
  <c r="AW15" i="2"/>
  <c r="AG17" i="2"/>
  <c r="AS17" i="2"/>
  <c r="BA18" i="2"/>
  <c r="BB12" i="2"/>
  <c r="N12" i="2"/>
  <c r="BJ12" i="2"/>
  <c r="AH12" i="2"/>
  <c r="AT12" i="2"/>
  <c r="R12" i="2"/>
  <c r="BL13" i="2"/>
  <c r="J12" i="2"/>
  <c r="AL12" i="2"/>
  <c r="AD12" i="2"/>
  <c r="V12" i="2"/>
  <c r="AX12" i="2"/>
  <c r="AP12" i="2"/>
  <c r="BF12" i="2"/>
  <c r="BI17" i="2"/>
  <c r="M17" i="2"/>
  <c r="AK15" i="2"/>
  <c r="AK16" i="2" l="1"/>
  <c r="BI18" i="2"/>
  <c r="M18" i="2"/>
  <c r="BL14" i="2"/>
  <c r="AP14" i="2" s="1"/>
  <c r="BB13" i="2"/>
  <c r="N13" i="2"/>
  <c r="R13" i="2"/>
  <c r="AT13" i="2"/>
  <c r="AH13" i="2"/>
  <c r="BJ13" i="2"/>
  <c r="J13" i="2"/>
  <c r="AL13" i="2"/>
  <c r="AX13" i="2"/>
  <c r="V13" i="2"/>
  <c r="AD13" i="2"/>
  <c r="BA19" i="2"/>
  <c r="BF13" i="2"/>
  <c r="AO15" i="2"/>
  <c r="AC16" i="2"/>
  <c r="AS18" i="2"/>
  <c r="AG18" i="2"/>
  <c r="AW16" i="2"/>
  <c r="Q18" i="2"/>
  <c r="BE15" i="2"/>
  <c r="AP13" i="2"/>
  <c r="U16" i="2"/>
  <c r="I17" i="2"/>
  <c r="BF14" i="2" l="1"/>
  <c r="I18" i="2"/>
  <c r="U17" i="2"/>
  <c r="Q19" i="2"/>
  <c r="AW17" i="2"/>
  <c r="AC17" i="2"/>
  <c r="AO16" i="2"/>
  <c r="BL15" i="2"/>
  <c r="AP15" i="2" s="1"/>
  <c r="BB14" i="2"/>
  <c r="BJ14" i="2"/>
  <c r="N14" i="2"/>
  <c r="R14" i="2"/>
  <c r="AH14" i="2"/>
  <c r="AT14" i="2"/>
  <c r="J14" i="2"/>
  <c r="AD14" i="2"/>
  <c r="V14" i="2"/>
  <c r="AX14" i="2"/>
  <c r="AL14" i="2"/>
  <c r="BE16" i="2"/>
  <c r="AG19" i="2"/>
  <c r="AS19" i="2"/>
  <c r="BA20" i="2"/>
  <c r="M19" i="2"/>
  <c r="BI19" i="2"/>
  <c r="AK17" i="2"/>
  <c r="BF15" i="2" l="1"/>
  <c r="AK18" i="2"/>
  <c r="AS20" i="2"/>
  <c r="M20" i="2"/>
  <c r="AG20" i="2"/>
  <c r="BE17" i="2"/>
  <c r="BL16" i="2"/>
  <c r="BF16" i="2" s="1"/>
  <c r="BB15" i="2"/>
  <c r="R15" i="2"/>
  <c r="N15" i="2"/>
  <c r="BJ15" i="2"/>
  <c r="AT15" i="2"/>
  <c r="AH15" i="2"/>
  <c r="J15" i="2"/>
  <c r="AD15" i="2"/>
  <c r="AX15" i="2"/>
  <c r="V15" i="2"/>
  <c r="AL15" i="2"/>
  <c r="AO17" i="2"/>
  <c r="AC18" i="2"/>
  <c r="U18" i="2"/>
  <c r="I19" i="2"/>
  <c r="BI20" i="2"/>
  <c r="BA21" i="2"/>
  <c r="AW18" i="2"/>
  <c r="Q20" i="2"/>
  <c r="AP16" i="2" l="1"/>
  <c r="Q21" i="2"/>
  <c r="BA22" i="2"/>
  <c r="BI21" i="2"/>
  <c r="I20" i="2"/>
  <c r="U19" i="2"/>
  <c r="AC19" i="2"/>
  <c r="AO18" i="2"/>
  <c r="BL17" i="2"/>
  <c r="AP17" i="2" s="1"/>
  <c r="BB16" i="2"/>
  <c r="R16" i="2"/>
  <c r="AH16" i="2"/>
  <c r="AT16" i="2"/>
  <c r="BJ16" i="2"/>
  <c r="N16" i="2"/>
  <c r="J16" i="2"/>
  <c r="V16" i="2"/>
  <c r="AD16" i="2"/>
  <c r="AX16" i="2"/>
  <c r="AL16" i="2"/>
  <c r="BE18" i="2"/>
  <c r="AG21" i="2"/>
  <c r="AK19" i="2"/>
  <c r="AW19" i="2"/>
  <c r="M21" i="2"/>
  <c r="AS21" i="2"/>
  <c r="BF17" i="2" l="1"/>
  <c r="AS22" i="2"/>
  <c r="AG22" i="2"/>
  <c r="BE19" i="2"/>
  <c r="BL18" i="2"/>
  <c r="BF18" i="2" s="1"/>
  <c r="BB17" i="2"/>
  <c r="BJ17" i="2"/>
  <c r="N17" i="2"/>
  <c r="AT17" i="2"/>
  <c r="AH17" i="2"/>
  <c r="R17" i="2"/>
  <c r="J17" i="2"/>
  <c r="AL17" i="2"/>
  <c r="AD17" i="2"/>
  <c r="V17" i="2"/>
  <c r="AX17" i="2"/>
  <c r="AO19" i="2"/>
  <c r="U20" i="2"/>
  <c r="I21" i="2"/>
  <c r="M22" i="2"/>
  <c r="AW20" i="2"/>
  <c r="AK20" i="2"/>
  <c r="AC20" i="2"/>
  <c r="BI22" i="2"/>
  <c r="BA23" i="2"/>
  <c r="Q22" i="2"/>
  <c r="AP18" i="2" l="1"/>
  <c r="Q23" i="2"/>
  <c r="BA24" i="2"/>
  <c r="AC21" i="2"/>
  <c r="AW21" i="2"/>
  <c r="M23" i="2"/>
  <c r="I22" i="2"/>
  <c r="U21" i="2"/>
  <c r="AO20" i="2"/>
  <c r="BL19" i="2"/>
  <c r="BF19" i="2" s="1"/>
  <c r="BB18" i="2"/>
  <c r="R18" i="2"/>
  <c r="AT18" i="2"/>
  <c r="BJ18" i="2"/>
  <c r="AH18" i="2"/>
  <c r="N18" i="2"/>
  <c r="J18" i="2"/>
  <c r="V18" i="2"/>
  <c r="AD18" i="2"/>
  <c r="AL18" i="2"/>
  <c r="AX18" i="2"/>
  <c r="BE20" i="2"/>
  <c r="AG23" i="2"/>
  <c r="BI23" i="2"/>
  <c r="AK21" i="2"/>
  <c r="AS23" i="2"/>
  <c r="AP19" i="2" l="1"/>
  <c r="AK22" i="2"/>
  <c r="AS24" i="2"/>
  <c r="AG24" i="2"/>
  <c r="BE21" i="2"/>
  <c r="BL20" i="2"/>
  <c r="BF20" i="2" s="1"/>
  <c r="BB19" i="2"/>
  <c r="AH19" i="2"/>
  <c r="AT19" i="2"/>
  <c r="N19" i="2"/>
  <c r="BJ19" i="2"/>
  <c r="R19" i="2"/>
  <c r="J19" i="2"/>
  <c r="V19" i="2"/>
  <c r="AX19" i="2"/>
  <c r="AL19" i="2"/>
  <c r="AD19" i="2"/>
  <c r="AO21" i="2"/>
  <c r="U22" i="2"/>
  <c r="I23" i="2"/>
  <c r="BI24" i="2"/>
  <c r="M24" i="2"/>
  <c r="AW22" i="2"/>
  <c r="AC22" i="2"/>
  <c r="BA25" i="2"/>
  <c r="Q24" i="2"/>
  <c r="AP20" i="2" l="1"/>
  <c r="AC23" i="2"/>
  <c r="AW23" i="2"/>
  <c r="M25" i="2"/>
  <c r="BA26" i="2"/>
  <c r="I24" i="2"/>
  <c r="U23" i="2"/>
  <c r="AO22" i="2"/>
  <c r="BL21" i="2"/>
  <c r="AP21" i="2" s="1"/>
  <c r="BB20" i="2"/>
  <c r="AH20" i="2"/>
  <c r="R20" i="2"/>
  <c r="BJ20" i="2"/>
  <c r="N20" i="2"/>
  <c r="AT20" i="2"/>
  <c r="J20" i="2"/>
  <c r="V20" i="2"/>
  <c r="AD20" i="2"/>
  <c r="AX20" i="2"/>
  <c r="AL20" i="2"/>
  <c r="BE22" i="2"/>
  <c r="Q25" i="2"/>
  <c r="BI25" i="2"/>
  <c r="AG25" i="2"/>
  <c r="AS25" i="2"/>
  <c r="AK23" i="2"/>
  <c r="BF21" i="2" l="1"/>
  <c r="BI26" i="2"/>
  <c r="AG26" i="2"/>
  <c r="BE23" i="2"/>
  <c r="BL22" i="2"/>
  <c r="AP22" i="2" s="1"/>
  <c r="BB21" i="2"/>
  <c r="AH21" i="2"/>
  <c r="AT21" i="2"/>
  <c r="N21" i="2"/>
  <c r="BJ21" i="2"/>
  <c r="R21" i="2"/>
  <c r="J21" i="2"/>
  <c r="V21" i="2"/>
  <c r="AL21" i="2"/>
  <c r="AX21" i="2"/>
  <c r="AD21" i="2"/>
  <c r="AO23" i="2"/>
  <c r="U24" i="2"/>
  <c r="I25" i="2"/>
  <c r="AK24" i="2"/>
  <c r="AS26" i="2"/>
  <c r="Q26" i="2"/>
  <c r="BA27" i="2"/>
  <c r="M26" i="2"/>
  <c r="AW24" i="2"/>
  <c r="AC24" i="2"/>
  <c r="I26" i="2" l="1"/>
  <c r="AO24" i="2"/>
  <c r="BL23" i="2"/>
  <c r="BF23" i="2" s="1"/>
  <c r="BB22" i="2"/>
  <c r="AH22" i="2"/>
  <c r="R22" i="2"/>
  <c r="N22" i="2"/>
  <c r="BJ22" i="2"/>
  <c r="AT22" i="2"/>
  <c r="J22" i="2"/>
  <c r="V22" i="2"/>
  <c r="AD22" i="2"/>
  <c r="AX22" i="2"/>
  <c r="AL22" i="2"/>
  <c r="BF22" i="2"/>
  <c r="AG27" i="2"/>
  <c r="AC25" i="2"/>
  <c r="AW25" i="2"/>
  <c r="M27" i="2"/>
  <c r="BA28" i="2"/>
  <c r="Q27" i="2"/>
  <c r="AS27" i="2"/>
  <c r="AK25" i="2"/>
  <c r="U25" i="2"/>
  <c r="BE24" i="2"/>
  <c r="BI27" i="2"/>
  <c r="BI28" i="2" l="1"/>
  <c r="AS28" i="2"/>
  <c r="Q28" i="2"/>
  <c r="BA29" i="2"/>
  <c r="M28" i="2"/>
  <c r="AW26" i="2"/>
  <c r="AC26" i="2"/>
  <c r="BL24" i="2"/>
  <c r="AP24" i="2" s="1"/>
  <c r="BB23" i="2"/>
  <c r="AT23" i="2"/>
  <c r="AH23" i="2"/>
  <c r="BJ23" i="2"/>
  <c r="N23" i="2"/>
  <c r="R23" i="2"/>
  <c r="J23" i="2"/>
  <c r="V23" i="2"/>
  <c r="AL23" i="2"/>
  <c r="AX23" i="2"/>
  <c r="AD23" i="2"/>
  <c r="AO25" i="2"/>
  <c r="I27" i="2"/>
  <c r="BE25" i="2"/>
  <c r="U26" i="2"/>
  <c r="AK26" i="2"/>
  <c r="AG28" i="2"/>
  <c r="AP23" i="2"/>
  <c r="BF24" i="2" l="1"/>
  <c r="AK27" i="2"/>
  <c r="I28" i="2"/>
  <c r="AG29" i="2"/>
  <c r="U27" i="2"/>
  <c r="BE26" i="2"/>
  <c r="AO26" i="2"/>
  <c r="BL25" i="2"/>
  <c r="BB24" i="2"/>
  <c r="N24" i="2"/>
  <c r="R24" i="2"/>
  <c r="BJ24" i="2"/>
  <c r="AT24" i="2"/>
  <c r="AH24" i="2"/>
  <c r="J24" i="2"/>
  <c r="AD24" i="2"/>
  <c r="AX24" i="2"/>
  <c r="AL24" i="2"/>
  <c r="V24" i="2"/>
  <c r="AC27" i="2"/>
  <c r="AW27" i="2"/>
  <c r="M29" i="2"/>
  <c r="BA30" i="2"/>
  <c r="Q29" i="2"/>
  <c r="AS29" i="2"/>
  <c r="BI29" i="2"/>
  <c r="BI30" i="2" l="1"/>
  <c r="BL26" i="2"/>
  <c r="AP26" i="2" s="1"/>
  <c r="BB25" i="2"/>
  <c r="AH25" i="2"/>
  <c r="BJ25" i="2"/>
  <c r="AT25" i="2"/>
  <c r="R25" i="2"/>
  <c r="N25" i="2"/>
  <c r="J25" i="2"/>
  <c r="V25" i="2"/>
  <c r="AX25" i="2"/>
  <c r="AD25" i="2"/>
  <c r="AL25" i="2"/>
  <c r="AO27" i="2"/>
  <c r="BE27" i="2"/>
  <c r="U28" i="2"/>
  <c r="AG30" i="2"/>
  <c r="AS30" i="2"/>
  <c r="Q30" i="2"/>
  <c r="BA31" i="2"/>
  <c r="M30" i="2"/>
  <c r="AW28" i="2"/>
  <c r="AC28" i="2"/>
  <c r="AP25" i="2"/>
  <c r="BF25" i="2"/>
  <c r="I29" i="2"/>
  <c r="AK28" i="2"/>
  <c r="BF26" i="2" l="1"/>
  <c r="AK29" i="2"/>
  <c r="AG31" i="2"/>
  <c r="U29" i="2"/>
  <c r="BE28" i="2"/>
  <c r="AO28" i="2"/>
  <c r="BL27" i="2"/>
  <c r="BB26" i="2"/>
  <c r="N26" i="2"/>
  <c r="R26" i="2"/>
  <c r="AT26" i="2"/>
  <c r="BJ26" i="2"/>
  <c r="AH26" i="2"/>
  <c r="J26" i="2"/>
  <c r="V26" i="2"/>
  <c r="AL26" i="2"/>
  <c r="AD26" i="2"/>
  <c r="AX26" i="2"/>
  <c r="BI31" i="2"/>
  <c r="I30" i="2"/>
  <c r="AC29" i="2"/>
  <c r="AW29" i="2"/>
  <c r="M31" i="2"/>
  <c r="BA32" i="2"/>
  <c r="Q31" i="2"/>
  <c r="AS31" i="2"/>
  <c r="BL28" i="2" l="1"/>
  <c r="AP28" i="2" s="1"/>
  <c r="BB27" i="2"/>
  <c r="BJ27" i="2"/>
  <c r="AT27" i="2"/>
  <c r="R27" i="2"/>
  <c r="N27" i="2"/>
  <c r="AH27" i="2"/>
  <c r="J27" i="2"/>
  <c r="V27" i="2"/>
  <c r="AX27" i="2"/>
  <c r="AD27" i="2"/>
  <c r="AL27" i="2"/>
  <c r="AO29" i="2"/>
  <c r="BE29" i="2"/>
  <c r="U30" i="2"/>
  <c r="AG32" i="2"/>
  <c r="AS32" i="2"/>
  <c r="Q32" i="2"/>
  <c r="BA33" i="2"/>
  <c r="M32" i="2"/>
  <c r="AW30" i="2"/>
  <c r="AC30" i="2"/>
  <c r="I31" i="2"/>
  <c r="BI32" i="2"/>
  <c r="AP27" i="2"/>
  <c r="BF27" i="2"/>
  <c r="AK30" i="2"/>
  <c r="BF28" i="2" l="1"/>
  <c r="AK31" i="2"/>
  <c r="I32" i="2"/>
  <c r="M33" i="2"/>
  <c r="AC31" i="2"/>
  <c r="AG33" i="2"/>
  <c r="U31" i="2"/>
  <c r="AO30" i="2"/>
  <c r="BL29" i="2"/>
  <c r="BF29" i="2" s="1"/>
  <c r="BB28" i="2"/>
  <c r="AH28" i="2"/>
  <c r="N28" i="2"/>
  <c r="R28" i="2"/>
  <c r="AT28" i="2"/>
  <c r="BJ28" i="2"/>
  <c r="J28" i="2"/>
  <c r="V28" i="2"/>
  <c r="AL28" i="2"/>
  <c r="AD28" i="2"/>
  <c r="AX28" i="2"/>
  <c r="BI33" i="2"/>
  <c r="AW31" i="2"/>
  <c r="BA34" i="2"/>
  <c r="Q33" i="2"/>
  <c r="AS33" i="2"/>
  <c r="BE30" i="2"/>
  <c r="BE31" i="2" l="1"/>
  <c r="BL30" i="2"/>
  <c r="AP30" i="2" s="1"/>
  <c r="BB29" i="2"/>
  <c r="BJ29" i="2"/>
  <c r="AH29" i="2"/>
  <c r="AT29" i="2"/>
  <c r="R29" i="2"/>
  <c r="N29" i="2"/>
  <c r="J29" i="2"/>
  <c r="V29" i="2"/>
  <c r="AX29" i="2"/>
  <c r="AL29" i="2"/>
  <c r="AD29" i="2"/>
  <c r="AO31" i="2"/>
  <c r="U32" i="2"/>
  <c r="AG34" i="2"/>
  <c r="AS34" i="2"/>
  <c r="Q34" i="2"/>
  <c r="BA35" i="2"/>
  <c r="AW32" i="2"/>
  <c r="BI34" i="2"/>
  <c r="AP29" i="2"/>
  <c r="AC32" i="2"/>
  <c r="M34" i="2"/>
  <c r="I33" i="2"/>
  <c r="AK32" i="2"/>
  <c r="AK33" i="2" l="1"/>
  <c r="I34" i="2"/>
  <c r="M35" i="2"/>
  <c r="AC33" i="2"/>
  <c r="AG35" i="2"/>
  <c r="U33" i="2"/>
  <c r="AO32" i="2"/>
  <c r="BL31" i="2"/>
  <c r="AP31" i="2" s="1"/>
  <c r="BB30" i="2"/>
  <c r="AH30" i="2"/>
  <c r="BJ30" i="2"/>
  <c r="N30" i="2"/>
  <c r="R30" i="2"/>
  <c r="AT30" i="2"/>
  <c r="J30" i="2"/>
  <c r="V30" i="2"/>
  <c r="AL30" i="2"/>
  <c r="AD30" i="2"/>
  <c r="AX30" i="2"/>
  <c r="BE32" i="2"/>
  <c r="BI35" i="2"/>
  <c r="AW33" i="2"/>
  <c r="BA36" i="2"/>
  <c r="Q35" i="2"/>
  <c r="AS35" i="2"/>
  <c r="BF30" i="2"/>
  <c r="BF31" i="2" l="1"/>
  <c r="BE33" i="2"/>
  <c r="BL32" i="2"/>
  <c r="AP32" i="2" s="1"/>
  <c r="BB31" i="2"/>
  <c r="AH31" i="2"/>
  <c r="AT31" i="2"/>
  <c r="R31" i="2"/>
  <c r="N31" i="2"/>
  <c r="BJ31" i="2"/>
  <c r="J31" i="2"/>
  <c r="V31" i="2"/>
  <c r="AX31" i="2"/>
  <c r="AD31" i="2"/>
  <c r="AL31" i="2"/>
  <c r="AO33" i="2"/>
  <c r="U34" i="2"/>
  <c r="AS36" i="2"/>
  <c r="Q36" i="2"/>
  <c r="BA37" i="2"/>
  <c r="AW34" i="2"/>
  <c r="BI36" i="2"/>
  <c r="AG36" i="2"/>
  <c r="AC34" i="2"/>
  <c r="M36" i="2"/>
  <c r="I35" i="2"/>
  <c r="AK34" i="2"/>
  <c r="I36" i="2" l="1"/>
  <c r="AC35" i="2"/>
  <c r="U35" i="2"/>
  <c r="AO34" i="2"/>
  <c r="BL33" i="2"/>
  <c r="BB32" i="2"/>
  <c r="AH32" i="2"/>
  <c r="N32" i="2"/>
  <c r="BJ32" i="2"/>
  <c r="R32" i="2"/>
  <c r="AT32" i="2"/>
  <c r="J32" i="2"/>
  <c r="V32" i="2"/>
  <c r="AL32" i="2"/>
  <c r="AD32" i="2"/>
  <c r="AX32" i="2"/>
  <c r="BE34" i="2"/>
  <c r="AK35" i="2"/>
  <c r="M37" i="2"/>
  <c r="AG37" i="2"/>
  <c r="BI37" i="2"/>
  <c r="AW35" i="2"/>
  <c r="BA38" i="2"/>
  <c r="Q37" i="2"/>
  <c r="AS37" i="2"/>
  <c r="BF32" i="2"/>
  <c r="AS38" i="2" l="1"/>
  <c r="BE35" i="2"/>
  <c r="BL34" i="2"/>
  <c r="BB33" i="2"/>
  <c r="AH33" i="2"/>
  <c r="AT33" i="2"/>
  <c r="R33" i="2"/>
  <c r="BJ33" i="2"/>
  <c r="N33" i="2"/>
  <c r="J33" i="2"/>
  <c r="V33" i="2"/>
  <c r="AX33" i="2"/>
  <c r="AD33" i="2"/>
  <c r="AL33" i="2"/>
  <c r="AO35" i="2"/>
  <c r="U36" i="2"/>
  <c r="Q38" i="2"/>
  <c r="BA39" i="2"/>
  <c r="AW36" i="2"/>
  <c r="BI38" i="2"/>
  <c r="AG38" i="2"/>
  <c r="M38" i="2"/>
  <c r="AK36" i="2"/>
  <c r="BF33" i="2"/>
  <c r="AP33" i="2"/>
  <c r="AC36" i="2"/>
  <c r="I37" i="2"/>
  <c r="AG39" i="2" l="1"/>
  <c r="BI39" i="2"/>
  <c r="U37" i="2"/>
  <c r="AO36" i="2"/>
  <c r="BL35" i="2"/>
  <c r="BB34" i="2"/>
  <c r="N34" i="2"/>
  <c r="AH34" i="2"/>
  <c r="BJ34" i="2"/>
  <c r="R34" i="2"/>
  <c r="AT34" i="2"/>
  <c r="J34" i="2"/>
  <c r="V34" i="2"/>
  <c r="AD34" i="2"/>
  <c r="AL34" i="2"/>
  <c r="AX34" i="2"/>
  <c r="BE36" i="2"/>
  <c r="I38" i="2"/>
  <c r="AC37" i="2"/>
  <c r="AK37" i="2"/>
  <c r="M39" i="2"/>
  <c r="AW37" i="2"/>
  <c r="BA40" i="2"/>
  <c r="Q39" i="2"/>
  <c r="AP34" i="2"/>
  <c r="BF34" i="2"/>
  <c r="AS39" i="2"/>
  <c r="AK38" i="2" l="1"/>
  <c r="BE37" i="2"/>
  <c r="BL36" i="2"/>
  <c r="BB35" i="2"/>
  <c r="AT35" i="2"/>
  <c r="R35" i="2"/>
  <c r="BJ35" i="2"/>
  <c r="AH35" i="2"/>
  <c r="N35" i="2"/>
  <c r="J35" i="2"/>
  <c r="V35" i="2"/>
  <c r="AX35" i="2"/>
  <c r="AL35" i="2"/>
  <c r="AD35" i="2"/>
  <c r="AO37" i="2"/>
  <c r="AS40" i="2"/>
  <c r="Q40" i="2"/>
  <c r="AW38" i="2"/>
  <c r="M40" i="2"/>
  <c r="AC38" i="2"/>
  <c r="I39" i="2"/>
  <c r="BF35" i="2"/>
  <c r="AP35" i="2"/>
  <c r="U38" i="2"/>
  <c r="BI40" i="2"/>
  <c r="AG40" i="2"/>
  <c r="I40" i="2" l="1"/>
  <c r="AC39" i="2"/>
  <c r="AO38" i="2"/>
  <c r="BL37" i="2"/>
  <c r="BF37" i="2" s="1"/>
  <c r="BB36" i="2"/>
  <c r="AT36" i="2"/>
  <c r="N36" i="2"/>
  <c r="AH36" i="2"/>
  <c r="BJ36" i="2"/>
  <c r="R36" i="2"/>
  <c r="J36" i="2"/>
  <c r="AL36" i="2"/>
  <c r="V36" i="2"/>
  <c r="AD36" i="2"/>
  <c r="AX36" i="2"/>
  <c r="BF36" i="2"/>
  <c r="U39" i="2"/>
  <c r="AW39" i="2"/>
  <c r="AP36" i="2"/>
  <c r="BE38" i="2"/>
  <c r="AK39" i="2"/>
  <c r="BE39" i="2" l="1"/>
  <c r="U40" i="2"/>
  <c r="AO39" i="2"/>
  <c r="AK40" i="2"/>
  <c r="AW40" i="2"/>
  <c r="BL38" i="2"/>
  <c r="BB37" i="2"/>
  <c r="BJ37" i="2"/>
  <c r="AH37" i="2"/>
  <c r="AT37" i="2"/>
  <c r="R37" i="2"/>
  <c r="N37" i="2"/>
  <c r="J37" i="2"/>
  <c r="AD37" i="2"/>
  <c r="AL37" i="2"/>
  <c r="AX37" i="2"/>
  <c r="V37" i="2"/>
  <c r="AP37" i="2"/>
  <c r="AC40" i="2"/>
  <c r="BL39" i="2" l="1"/>
  <c r="AP39" i="2" s="1"/>
  <c r="BB38" i="2"/>
  <c r="AH38" i="2"/>
  <c r="BJ38" i="2"/>
  <c r="N38" i="2"/>
  <c r="R38" i="2"/>
  <c r="AT38" i="2"/>
  <c r="J38" i="2"/>
  <c r="V38" i="2"/>
  <c r="AD38" i="2"/>
  <c r="AX38" i="2"/>
  <c r="AL38" i="2"/>
  <c r="AO40" i="2"/>
  <c r="BE40" i="2"/>
  <c r="AP38" i="2"/>
  <c r="BF38" i="2"/>
  <c r="BF39" i="2" l="1"/>
  <c r="BL40" i="2"/>
  <c r="BF40" i="2" s="1"/>
  <c r="BB39" i="2"/>
  <c r="R39" i="2"/>
  <c r="N39" i="2"/>
  <c r="BJ39" i="2"/>
  <c r="AH39" i="2"/>
  <c r="AT39" i="2"/>
  <c r="J39" i="2"/>
  <c r="AD39" i="2"/>
  <c r="V39" i="2"/>
  <c r="AL39" i="2"/>
  <c r="AX39" i="2"/>
  <c r="BB40" i="2" l="1"/>
  <c r="AH40" i="2"/>
  <c r="N40" i="2"/>
  <c r="AT40" i="2"/>
  <c r="BJ40" i="2"/>
  <c r="R40" i="2"/>
  <c r="J40" i="2"/>
  <c r="AD40" i="2"/>
  <c r="AL40" i="2"/>
  <c r="V40" i="2"/>
  <c r="AX40" i="2"/>
  <c r="AP40" i="2"/>
  <c r="G42" i="16" l="1"/>
  <c r="I37" i="16" s="1"/>
  <c r="F42" i="16"/>
  <c r="C43" i="16"/>
  <c r="C43" i="18" l="1"/>
  <c r="C43" i="19" l="1"/>
  <c r="C40" i="24" l="1"/>
  <c r="C43" i="27" l="1"/>
  <c r="C43" i="29" l="1"/>
  <c r="C43" i="30" l="1"/>
  <c r="G42" i="31" l="1"/>
  <c r="I37" i="31" s="1"/>
  <c r="F42" i="31"/>
  <c r="I49" i="4" l="1"/>
  <c r="I49" i="6"/>
  <c r="I49" i="43" l="1"/>
  <c r="I49" i="37"/>
  <c r="C43" i="33" l="1"/>
  <c r="F23" i="33" l="1"/>
  <c r="C38" i="43"/>
  <c r="R24" i="43"/>
  <c r="U24" i="43" s="1"/>
  <c r="R15" i="43"/>
  <c r="U15" i="43" s="1"/>
  <c r="R24" i="4"/>
  <c r="U24" i="4" s="1"/>
  <c r="R15" i="4"/>
  <c r="U15" i="4" s="1"/>
  <c r="S8" i="4"/>
  <c r="R8" i="4"/>
  <c r="R7" i="4"/>
  <c r="U7" i="4" s="1"/>
  <c r="R24" i="37"/>
  <c r="U24" i="37" s="1"/>
  <c r="R15" i="37"/>
  <c r="U15" i="37" s="1"/>
  <c r="S8" i="37"/>
  <c r="R8" i="37"/>
  <c r="R7" i="37"/>
  <c r="U7" i="37" s="1"/>
  <c r="R24" i="6"/>
  <c r="U24" i="6" s="1"/>
  <c r="R15" i="6"/>
  <c r="U15" i="6" s="1"/>
  <c r="S8" i="6"/>
  <c r="R8" i="6"/>
  <c r="R7" i="6"/>
  <c r="U7" i="6" s="1"/>
  <c r="R24" i="13"/>
  <c r="U24" i="13" s="1"/>
  <c r="R15" i="13"/>
  <c r="U15" i="13" s="1"/>
  <c r="S8" i="13"/>
  <c r="R8" i="13"/>
  <c r="R7" i="13"/>
  <c r="U7" i="13" s="1"/>
  <c r="I43" i="30"/>
  <c r="C38" i="30"/>
  <c r="C38" i="31"/>
  <c r="C38" i="32"/>
  <c r="C38" i="33"/>
  <c r="U8" i="6" l="1"/>
  <c r="U8" i="37"/>
  <c r="U8" i="4"/>
  <c r="U8" i="13"/>
  <c r="D39" i="48" l="1"/>
  <c r="G42" i="4"/>
  <c r="I37" i="4" s="1"/>
  <c r="F42" i="4"/>
  <c r="D38" i="48" s="1"/>
  <c r="E35" i="48"/>
  <c r="D35" i="48"/>
  <c r="D37" i="48"/>
  <c r="G42" i="6"/>
  <c r="I37" i="6" s="1"/>
  <c r="F42" i="6"/>
  <c r="D36" i="48" s="1"/>
  <c r="D34" i="48"/>
  <c r="D33" i="48"/>
  <c r="E32" i="48"/>
  <c r="D32" i="48"/>
  <c r="D31" i="48"/>
  <c r="D30" i="48"/>
  <c r="E29" i="48"/>
  <c r="D29" i="48"/>
  <c r="D12" i="48"/>
  <c r="E12" i="48"/>
  <c r="D13" i="48"/>
  <c r="D17" i="48"/>
  <c r="E17" i="48"/>
  <c r="D25" i="48"/>
  <c r="E25" i="48"/>
  <c r="D28" i="48"/>
  <c r="D27" i="48"/>
  <c r="D26" i="48"/>
  <c r="G42" i="18"/>
  <c r="I37" i="18" s="1"/>
  <c r="F42" i="18"/>
  <c r="D24" i="48" s="1"/>
  <c r="G42" i="19"/>
  <c r="I37" i="19" s="1"/>
  <c r="F42" i="19"/>
  <c r="D23" i="48" s="1"/>
  <c r="D22" i="48"/>
  <c r="D21" i="48"/>
  <c r="D20" i="48"/>
  <c r="I43" i="43"/>
  <c r="I44" i="43" s="1"/>
  <c r="I43" i="4"/>
  <c r="I43" i="37"/>
  <c r="I44" i="37" s="1"/>
  <c r="I43" i="6"/>
  <c r="I44" i="6" s="1"/>
  <c r="I43" i="7"/>
  <c r="I43" i="8"/>
  <c r="I44" i="8" s="1"/>
  <c r="I43" i="9"/>
  <c r="I44" i="9" s="1"/>
  <c r="I43" i="10"/>
  <c r="I44" i="10" s="1"/>
  <c r="I43" i="11"/>
  <c r="I44" i="11" s="1"/>
  <c r="I43" i="12"/>
  <c r="I44" i="12" s="1"/>
  <c r="I43" i="13"/>
  <c r="I44" i="13" s="1"/>
  <c r="I43" i="14"/>
  <c r="I44" i="14" s="1"/>
  <c r="I43" i="15"/>
  <c r="I44" i="15" s="1"/>
  <c r="I43" i="16"/>
  <c r="I44" i="16" s="1"/>
  <c r="I43" i="17"/>
  <c r="I44" i="17" s="1"/>
  <c r="I43" i="18"/>
  <c r="I43" i="19"/>
  <c r="I43" i="20"/>
  <c r="I44" i="20" s="1"/>
  <c r="I43" i="22"/>
  <c r="I44" i="22" s="1"/>
  <c r="I43" i="21"/>
  <c r="I44" i="21" s="1"/>
  <c r="I43" i="23"/>
  <c r="I43" i="24"/>
  <c r="I44" i="24" s="1"/>
  <c r="I43" i="25"/>
  <c r="I44" i="25" s="1"/>
  <c r="I43" i="26"/>
  <c r="I44" i="26" s="1"/>
  <c r="I43" i="28"/>
  <c r="I44" i="28" s="1"/>
  <c r="I43" i="27"/>
  <c r="I44" i="27" s="1"/>
  <c r="I43" i="29"/>
  <c r="I44" i="29" s="1"/>
  <c r="I44" i="30"/>
  <c r="I43" i="32"/>
  <c r="I44" i="32" s="1"/>
  <c r="J43" i="33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7" i="2" s="1"/>
  <c r="C38" i="2" s="1"/>
  <c r="C39" i="2" s="1"/>
  <c r="C40" i="2" s="1"/>
  <c r="C10" i="2" s="1"/>
  <c r="B11" i="2" s="1"/>
  <c r="B12" i="2" s="1"/>
  <c r="B13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6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10" i="2" s="1"/>
  <c r="P39" i="48"/>
  <c r="D39" i="1" s="1"/>
  <c r="P38" i="48"/>
  <c r="D38" i="1" s="1"/>
  <c r="P37" i="48"/>
  <c r="P36" i="48"/>
  <c r="P35" i="48"/>
  <c r="P34" i="48"/>
  <c r="P33" i="48"/>
  <c r="AB33" i="48" s="1"/>
  <c r="P32" i="48"/>
  <c r="G32" i="48" s="1"/>
  <c r="P31" i="48"/>
  <c r="P30" i="48"/>
  <c r="P29" i="48"/>
  <c r="P28" i="48"/>
  <c r="P27" i="48"/>
  <c r="P26" i="48"/>
  <c r="P25" i="48"/>
  <c r="P24" i="48"/>
  <c r="P23" i="48"/>
  <c r="P22" i="48"/>
  <c r="P21" i="48"/>
  <c r="P20" i="48"/>
  <c r="P19" i="48"/>
  <c r="H19" i="48" s="1"/>
  <c r="P18" i="48"/>
  <c r="P17" i="48"/>
  <c r="P16" i="48"/>
  <c r="P15" i="48"/>
  <c r="P14" i="48"/>
  <c r="B13" i="45" s="1"/>
  <c r="P13" i="48"/>
  <c r="B12" i="45" s="1"/>
  <c r="P12" i="48"/>
  <c r="B11" i="45" s="1"/>
  <c r="P11" i="48"/>
  <c r="B10" i="45" s="1"/>
  <c r="P10" i="48"/>
  <c r="B9" i="45" s="1"/>
  <c r="AA9" i="48"/>
  <c r="AA10" i="48" s="1"/>
  <c r="AA11" i="48" s="1"/>
  <c r="AA12" i="48" s="1"/>
  <c r="AA13" i="48" s="1"/>
  <c r="AA14" i="48" s="1"/>
  <c r="AA15" i="48" s="1"/>
  <c r="AA16" i="48" s="1"/>
  <c r="AA17" i="48" s="1"/>
  <c r="AA18" i="48" s="1"/>
  <c r="AA19" i="48" s="1"/>
  <c r="AA20" i="48" s="1"/>
  <c r="AA21" i="48" s="1"/>
  <c r="AA22" i="48" s="1"/>
  <c r="AA23" i="48" s="1"/>
  <c r="AA24" i="48" s="1"/>
  <c r="AA25" i="48" s="1"/>
  <c r="AA26" i="48" s="1"/>
  <c r="AA27" i="48" s="1"/>
  <c r="AA28" i="48" s="1"/>
  <c r="AA29" i="48" s="1"/>
  <c r="AA30" i="48" s="1"/>
  <c r="AA31" i="48" s="1"/>
  <c r="AA32" i="48" s="1"/>
  <c r="AA33" i="48" s="1"/>
  <c r="AA34" i="48" s="1"/>
  <c r="AA35" i="48" s="1"/>
  <c r="AA36" i="48" s="1"/>
  <c r="AA37" i="48" s="1"/>
  <c r="AA38" i="48" s="1"/>
  <c r="AA39" i="48" s="1"/>
  <c r="A10" i="48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A38" i="48" s="1"/>
  <c r="A39" i="48" s="1"/>
  <c r="D19" i="48"/>
  <c r="D18" i="48"/>
  <c r="D16" i="48"/>
  <c r="D15" i="48"/>
  <c r="G42" i="27"/>
  <c r="I37" i="27" s="1"/>
  <c r="F42" i="27"/>
  <c r="D14" i="48" s="1"/>
  <c r="E13" i="48"/>
  <c r="D11" i="48"/>
  <c r="P9" i="48"/>
  <c r="D38" i="33"/>
  <c r="L34" i="26"/>
  <c r="D10" i="48"/>
  <c r="D9" i="48"/>
  <c r="I47" i="29"/>
  <c r="H4" i="43"/>
  <c r="C14" i="43"/>
  <c r="V7" i="43" s="1"/>
  <c r="W7" i="43" s="1"/>
  <c r="D14" i="43"/>
  <c r="E14" i="43"/>
  <c r="F14" i="43"/>
  <c r="C23" i="43"/>
  <c r="V15" i="43" s="1"/>
  <c r="W15" i="43" s="1"/>
  <c r="D23" i="43"/>
  <c r="E23" i="43"/>
  <c r="F23" i="43"/>
  <c r="C32" i="43"/>
  <c r="V24" i="43" s="1"/>
  <c r="W24" i="43" s="1"/>
  <c r="D32" i="43"/>
  <c r="E32" i="43"/>
  <c r="F32" i="43"/>
  <c r="L34" i="43"/>
  <c r="C39" i="43"/>
  <c r="C40" i="43"/>
  <c r="C41" i="43"/>
  <c r="C42" i="43"/>
  <c r="C43" i="43"/>
  <c r="C44" i="43"/>
  <c r="C45" i="43"/>
  <c r="C46" i="43"/>
  <c r="C47" i="43"/>
  <c r="C48" i="43"/>
  <c r="C49" i="43"/>
  <c r="C50" i="43"/>
  <c r="C51" i="43"/>
  <c r="H4" i="4"/>
  <c r="C14" i="4"/>
  <c r="V7" i="4" s="1"/>
  <c r="W7" i="4" s="1"/>
  <c r="D14" i="4"/>
  <c r="E14" i="4"/>
  <c r="C23" i="4"/>
  <c r="D23" i="4"/>
  <c r="E23" i="4"/>
  <c r="C32" i="4"/>
  <c r="V24" i="4" s="1"/>
  <c r="W24" i="4" s="1"/>
  <c r="D32" i="4"/>
  <c r="E32" i="4"/>
  <c r="F32" i="4"/>
  <c r="K34" i="4"/>
  <c r="L34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I50" i="4"/>
  <c r="C51" i="4"/>
  <c r="H4" i="37"/>
  <c r="V24" i="37"/>
  <c r="W24" i="37" s="1"/>
  <c r="L34" i="37"/>
  <c r="C38" i="37"/>
  <c r="C39" i="37"/>
  <c r="C40" i="37"/>
  <c r="C41" i="37"/>
  <c r="C42" i="37"/>
  <c r="C43" i="37"/>
  <c r="C44" i="37"/>
  <c r="C45" i="37"/>
  <c r="C46" i="37"/>
  <c r="C47" i="37"/>
  <c r="C48" i="37"/>
  <c r="C49" i="37"/>
  <c r="C50" i="37"/>
  <c r="C51" i="37"/>
  <c r="H4" i="6"/>
  <c r="V7" i="6"/>
  <c r="W7" i="6" s="1"/>
  <c r="V15" i="6"/>
  <c r="W15" i="6" s="1"/>
  <c r="V24" i="6"/>
  <c r="W24" i="6" s="1"/>
  <c r="L34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I50" i="6"/>
  <c r="C51" i="6"/>
  <c r="H4" i="7"/>
  <c r="L34" i="7"/>
  <c r="C38" i="7"/>
  <c r="C39" i="7"/>
  <c r="C40" i="7"/>
  <c r="C41" i="7"/>
  <c r="C42" i="7"/>
  <c r="C43" i="7"/>
  <c r="C44" i="7"/>
  <c r="I44" i="7"/>
  <c r="C45" i="7"/>
  <c r="C46" i="7"/>
  <c r="C47" i="7"/>
  <c r="C48" i="7"/>
  <c r="C49" i="7"/>
  <c r="C50" i="7"/>
  <c r="C51" i="7"/>
  <c r="H4" i="8"/>
  <c r="L34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H4" i="9"/>
  <c r="L34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H4" i="10"/>
  <c r="K34" i="10"/>
  <c r="L34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H4" i="11"/>
  <c r="L34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H4" i="12"/>
  <c r="L34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H4" i="13"/>
  <c r="V7" i="13"/>
  <c r="W7" i="13" s="1"/>
  <c r="V15" i="13"/>
  <c r="W15" i="13" s="1"/>
  <c r="V24" i="13"/>
  <c r="W24" i="13" s="1"/>
  <c r="L34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H4" i="14"/>
  <c r="L34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H4" i="15"/>
  <c r="L34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H4" i="16"/>
  <c r="L34" i="16"/>
  <c r="C38" i="16"/>
  <c r="C39" i="16"/>
  <c r="C40" i="16"/>
  <c r="C41" i="16"/>
  <c r="C42" i="16"/>
  <c r="C44" i="16"/>
  <c r="C45" i="16"/>
  <c r="C46" i="16"/>
  <c r="C47" i="16"/>
  <c r="C48" i="16"/>
  <c r="C49" i="16"/>
  <c r="C50" i="16"/>
  <c r="C51" i="16"/>
  <c r="H4" i="17"/>
  <c r="L34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H4" i="18"/>
  <c r="K34" i="18"/>
  <c r="L34" i="18"/>
  <c r="C38" i="18"/>
  <c r="C39" i="18"/>
  <c r="C40" i="18"/>
  <c r="C41" i="18"/>
  <c r="C42" i="18"/>
  <c r="C44" i="18"/>
  <c r="C45" i="18"/>
  <c r="C46" i="18"/>
  <c r="C47" i="18"/>
  <c r="C48" i="18"/>
  <c r="C49" i="18"/>
  <c r="C50" i="18"/>
  <c r="C51" i="18"/>
  <c r="H4" i="19"/>
  <c r="L34" i="19"/>
  <c r="C38" i="19"/>
  <c r="C39" i="19"/>
  <c r="C40" i="19"/>
  <c r="C41" i="19"/>
  <c r="C42" i="19"/>
  <c r="C44" i="19"/>
  <c r="I44" i="19"/>
  <c r="C45" i="19"/>
  <c r="C46" i="19"/>
  <c r="C47" i="19"/>
  <c r="C48" i="19"/>
  <c r="C49" i="19"/>
  <c r="C50" i="19"/>
  <c r="C51" i="19"/>
  <c r="H4" i="20"/>
  <c r="K34" i="20"/>
  <c r="L34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H4" i="22"/>
  <c r="K34" i="22"/>
  <c r="L34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H4" i="21"/>
  <c r="J32" i="21"/>
  <c r="J32" i="22" s="1"/>
  <c r="J32" i="20" s="1"/>
  <c r="J32" i="19" s="1"/>
  <c r="J32" i="18" s="1"/>
  <c r="J32" i="17" s="1"/>
  <c r="J32" i="16" s="1"/>
  <c r="J32" i="15" s="1"/>
  <c r="J32" i="14" s="1"/>
  <c r="J32" i="13" s="1"/>
  <c r="J32" i="12" s="1"/>
  <c r="J32" i="11" s="1"/>
  <c r="J32" i="10" s="1"/>
  <c r="J32" i="9" s="1"/>
  <c r="J32" i="8" s="1"/>
  <c r="J32" i="7" s="1"/>
  <c r="J32" i="6" s="1"/>
  <c r="J32" i="37" s="1"/>
  <c r="J32" i="4" s="1"/>
  <c r="J32" i="43" s="1"/>
  <c r="L34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H4" i="23"/>
  <c r="L34" i="23"/>
  <c r="C38" i="23"/>
  <c r="C39" i="23"/>
  <c r="C40" i="23"/>
  <c r="C41" i="23"/>
  <c r="C42" i="23"/>
  <c r="C43" i="23"/>
  <c r="C44" i="23"/>
  <c r="I44" i="23"/>
  <c r="C45" i="23"/>
  <c r="C46" i="23"/>
  <c r="C47" i="23"/>
  <c r="C48" i="23"/>
  <c r="C49" i="23"/>
  <c r="C50" i="23"/>
  <c r="C51" i="23"/>
  <c r="H4" i="24"/>
  <c r="L34" i="24"/>
  <c r="C41" i="24"/>
  <c r="C42" i="24"/>
  <c r="C43" i="24"/>
  <c r="C44" i="24"/>
  <c r="C45" i="24"/>
  <c r="C46" i="24"/>
  <c r="C47" i="24"/>
  <c r="C48" i="24"/>
  <c r="C49" i="24"/>
  <c r="C50" i="24"/>
  <c r="C51" i="24"/>
  <c r="H4" i="25"/>
  <c r="L34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H4" i="26"/>
  <c r="C38" i="26"/>
  <c r="C39" i="26"/>
  <c r="C40" i="26"/>
  <c r="C41" i="26"/>
  <c r="C42" i="26"/>
  <c r="C44" i="26"/>
  <c r="C45" i="26"/>
  <c r="C46" i="26"/>
  <c r="C47" i="26"/>
  <c r="C48" i="26"/>
  <c r="C49" i="26"/>
  <c r="C50" i="26"/>
  <c r="C51" i="26"/>
  <c r="H4" i="28"/>
  <c r="L34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H4" i="27"/>
  <c r="L34" i="27"/>
  <c r="C38" i="27"/>
  <c r="C39" i="27"/>
  <c r="C40" i="27"/>
  <c r="C41" i="27"/>
  <c r="C42" i="27"/>
  <c r="C44" i="27"/>
  <c r="C45" i="27"/>
  <c r="C46" i="27"/>
  <c r="C47" i="27"/>
  <c r="C48" i="27"/>
  <c r="C49" i="27"/>
  <c r="C50" i="27"/>
  <c r="C51" i="27"/>
  <c r="H4" i="29"/>
  <c r="L34" i="29"/>
  <c r="C38" i="29"/>
  <c r="C39" i="29"/>
  <c r="C40" i="29"/>
  <c r="C41" i="29"/>
  <c r="C42" i="29"/>
  <c r="C44" i="29"/>
  <c r="C45" i="29"/>
  <c r="C46" i="29"/>
  <c r="C47" i="29"/>
  <c r="C48" i="29"/>
  <c r="C49" i="29"/>
  <c r="C50" i="29"/>
  <c r="C51" i="29"/>
  <c r="H4" i="30"/>
  <c r="L34" i="30"/>
  <c r="C39" i="30"/>
  <c r="C40" i="30"/>
  <c r="C41" i="30"/>
  <c r="C42" i="30"/>
  <c r="C44" i="30"/>
  <c r="C45" i="30"/>
  <c r="C47" i="30"/>
  <c r="C48" i="30"/>
  <c r="C49" i="30"/>
  <c r="C50" i="30"/>
  <c r="C51" i="30"/>
  <c r="H4" i="31"/>
  <c r="L34" i="31"/>
  <c r="C39" i="31"/>
  <c r="C40" i="31"/>
  <c r="C41" i="31"/>
  <c r="C42" i="31"/>
  <c r="C43" i="31"/>
  <c r="C44" i="31"/>
  <c r="I44" i="31"/>
  <c r="C45" i="31"/>
  <c r="C46" i="31"/>
  <c r="C47" i="31"/>
  <c r="C48" i="31"/>
  <c r="C49" i="31"/>
  <c r="C50" i="31"/>
  <c r="C51" i="31"/>
  <c r="H4" i="32"/>
  <c r="J7" i="32"/>
  <c r="J7" i="31" s="1"/>
  <c r="J8" i="32"/>
  <c r="J8" i="31" s="1"/>
  <c r="J10" i="32"/>
  <c r="J10" i="31" s="1"/>
  <c r="J11" i="32"/>
  <c r="J11" i="31" s="1"/>
  <c r="J12" i="32"/>
  <c r="J12" i="31" s="1"/>
  <c r="J13" i="32"/>
  <c r="J13" i="31" s="1"/>
  <c r="J14" i="32"/>
  <c r="J14" i="31" s="1"/>
  <c r="J15" i="32"/>
  <c r="J15" i="31" s="1"/>
  <c r="J16" i="32"/>
  <c r="J16" i="31" s="1"/>
  <c r="J17" i="32"/>
  <c r="J17" i="31" s="1"/>
  <c r="J18" i="32"/>
  <c r="J18" i="31" s="1"/>
  <c r="J19" i="32"/>
  <c r="J19" i="31" s="1"/>
  <c r="J20" i="32"/>
  <c r="J20" i="31" s="1"/>
  <c r="J21" i="32"/>
  <c r="J21" i="31" s="1"/>
  <c r="J22" i="32"/>
  <c r="J22" i="31" s="1"/>
  <c r="J23" i="32"/>
  <c r="J23" i="31" s="1"/>
  <c r="J24" i="32"/>
  <c r="J25" i="32"/>
  <c r="J26" i="32"/>
  <c r="J27" i="32"/>
  <c r="J28" i="32"/>
  <c r="J29" i="32"/>
  <c r="J30" i="32"/>
  <c r="J31" i="32"/>
  <c r="J32" i="32"/>
  <c r="L34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M8" i="33"/>
  <c r="M9" i="33"/>
  <c r="M9" i="32" s="1"/>
  <c r="M9" i="31" s="1"/>
  <c r="M9" i="30" s="1"/>
  <c r="M9" i="29" s="1"/>
  <c r="M9" i="27" s="1"/>
  <c r="M9" i="28" s="1"/>
  <c r="M10" i="33"/>
  <c r="M10" i="32" s="1"/>
  <c r="M10" i="31" s="1"/>
  <c r="M10" i="30" s="1"/>
  <c r="M10" i="29" s="1"/>
  <c r="M10" i="27" s="1"/>
  <c r="M10" i="28" s="1"/>
  <c r="M10" i="26" s="1"/>
  <c r="M10" i="25" s="1"/>
  <c r="M10" i="24" s="1"/>
  <c r="M10" i="23" s="1"/>
  <c r="M11" i="33"/>
  <c r="M11" i="32" s="1"/>
  <c r="M11" i="31" s="1"/>
  <c r="M11" i="30" s="1"/>
  <c r="M11" i="29" s="1"/>
  <c r="M11" i="27" s="1"/>
  <c r="M11" i="28" s="1"/>
  <c r="M11" i="26" s="1"/>
  <c r="M11" i="25" s="1"/>
  <c r="M11" i="24" s="1"/>
  <c r="M11" i="23" s="1"/>
  <c r="M11" i="21" s="1"/>
  <c r="M11" i="22" s="1"/>
  <c r="M11" i="20" s="1"/>
  <c r="M11" i="19" s="1"/>
  <c r="M11" i="18" s="1"/>
  <c r="M11" i="17" s="1"/>
  <c r="M11" i="16" s="1"/>
  <c r="M11" i="15" s="1"/>
  <c r="M11" i="14" s="1"/>
  <c r="M11" i="13" s="1"/>
  <c r="M11" i="12" s="1"/>
  <c r="M11" i="11" s="1"/>
  <c r="M11" i="10" s="1"/>
  <c r="M11" i="9" s="1"/>
  <c r="M11" i="8" s="1"/>
  <c r="M11" i="7" s="1"/>
  <c r="M11" i="6" s="1"/>
  <c r="M11" i="37" s="1"/>
  <c r="M11" i="4" s="1"/>
  <c r="M11" i="43" s="1"/>
  <c r="M12" i="33"/>
  <c r="M12" i="32" s="1"/>
  <c r="M12" i="31" s="1"/>
  <c r="M12" i="30" s="1"/>
  <c r="M12" i="29" s="1"/>
  <c r="M12" i="27" s="1"/>
  <c r="M12" i="28" s="1"/>
  <c r="M12" i="26" s="1"/>
  <c r="M12" i="25" s="1"/>
  <c r="M12" i="24" s="1"/>
  <c r="M12" i="23" s="1"/>
  <c r="M12" i="21" s="1"/>
  <c r="M12" i="22" s="1"/>
  <c r="M12" i="20" s="1"/>
  <c r="M12" i="19" s="1"/>
  <c r="M12" i="18" s="1"/>
  <c r="M12" i="17" s="1"/>
  <c r="M12" i="16" s="1"/>
  <c r="M12" i="15" s="1"/>
  <c r="M12" i="14" s="1"/>
  <c r="M12" i="13" s="1"/>
  <c r="M12" i="12" s="1"/>
  <c r="M12" i="11" s="1"/>
  <c r="M12" i="10" s="1"/>
  <c r="M12" i="9" s="1"/>
  <c r="M12" i="8" s="1"/>
  <c r="M12" i="7" s="1"/>
  <c r="M12" i="6" s="1"/>
  <c r="M12" i="37" s="1"/>
  <c r="M12" i="4" s="1"/>
  <c r="M12" i="43" s="1"/>
  <c r="M13" i="33"/>
  <c r="M13" i="32" s="1"/>
  <c r="M13" i="31" s="1"/>
  <c r="M13" i="30" s="1"/>
  <c r="M13" i="29" s="1"/>
  <c r="M13" i="27" s="1"/>
  <c r="M13" i="28" s="1"/>
  <c r="M13" i="26" s="1"/>
  <c r="M13" i="25" s="1"/>
  <c r="M13" i="24" s="1"/>
  <c r="M13" i="23" s="1"/>
  <c r="M13" i="21" s="1"/>
  <c r="M13" i="22" s="1"/>
  <c r="M13" i="20" s="1"/>
  <c r="M13" i="19" s="1"/>
  <c r="M13" i="18" s="1"/>
  <c r="M13" i="17" s="1"/>
  <c r="M13" i="16" s="1"/>
  <c r="M13" i="15" s="1"/>
  <c r="M13" i="14" s="1"/>
  <c r="M13" i="13" s="1"/>
  <c r="M13" i="12" s="1"/>
  <c r="M13" i="11" s="1"/>
  <c r="M13" i="10" s="1"/>
  <c r="M13" i="9" s="1"/>
  <c r="M13" i="8" s="1"/>
  <c r="M13" i="7" s="1"/>
  <c r="M13" i="6" s="1"/>
  <c r="M13" i="37" s="1"/>
  <c r="M13" i="4" s="1"/>
  <c r="M13" i="43" s="1"/>
  <c r="C14" i="33"/>
  <c r="D14" i="33"/>
  <c r="E14" i="33"/>
  <c r="F14" i="33"/>
  <c r="M14" i="33"/>
  <c r="M14" i="32" s="1"/>
  <c r="M14" i="31" s="1"/>
  <c r="M14" i="30" s="1"/>
  <c r="M14" i="29" s="1"/>
  <c r="M14" i="27" s="1"/>
  <c r="M14" i="28" s="1"/>
  <c r="M14" i="26" s="1"/>
  <c r="M14" i="25" s="1"/>
  <c r="M14" i="24" s="1"/>
  <c r="M14" i="23" s="1"/>
  <c r="M14" i="21" s="1"/>
  <c r="M14" i="22" s="1"/>
  <c r="M14" i="20" s="1"/>
  <c r="M14" i="19" s="1"/>
  <c r="M14" i="18" s="1"/>
  <c r="M14" i="17" s="1"/>
  <c r="M14" i="16" s="1"/>
  <c r="M14" i="15" s="1"/>
  <c r="M14" i="14" s="1"/>
  <c r="M14" i="13" s="1"/>
  <c r="M14" i="12" s="1"/>
  <c r="M14" i="11" s="1"/>
  <c r="M14" i="10" s="1"/>
  <c r="M14" i="9" s="1"/>
  <c r="M14" i="8" s="1"/>
  <c r="M14" i="7" s="1"/>
  <c r="M14" i="6" s="1"/>
  <c r="M14" i="37" s="1"/>
  <c r="M14" i="4" s="1"/>
  <c r="M14" i="43" s="1"/>
  <c r="M15" i="33"/>
  <c r="M15" i="32" s="1"/>
  <c r="M15" i="31" s="1"/>
  <c r="M15" i="30" s="1"/>
  <c r="M15" i="29" s="1"/>
  <c r="M15" i="27" s="1"/>
  <c r="M15" i="28" s="1"/>
  <c r="M15" i="26" s="1"/>
  <c r="M15" i="25" s="1"/>
  <c r="M15" i="24" s="1"/>
  <c r="M15" i="23" s="1"/>
  <c r="M15" i="21" s="1"/>
  <c r="M15" i="22" s="1"/>
  <c r="M15" i="20" s="1"/>
  <c r="M15" i="19" s="1"/>
  <c r="M15" i="18" s="1"/>
  <c r="M15" i="17" s="1"/>
  <c r="M15" i="16" s="1"/>
  <c r="M15" i="15" s="1"/>
  <c r="M15" i="14" s="1"/>
  <c r="M15" i="13" s="1"/>
  <c r="M15" i="12" s="1"/>
  <c r="M15" i="11" s="1"/>
  <c r="M15" i="10" s="1"/>
  <c r="M15" i="9" s="1"/>
  <c r="M15" i="8" s="1"/>
  <c r="M15" i="7" s="1"/>
  <c r="M15" i="6" s="1"/>
  <c r="M15" i="37" s="1"/>
  <c r="M15" i="4" s="1"/>
  <c r="M16" i="33"/>
  <c r="M16" i="32" s="1"/>
  <c r="M16" i="31" s="1"/>
  <c r="M16" i="30" s="1"/>
  <c r="M16" i="29" s="1"/>
  <c r="M16" i="27" s="1"/>
  <c r="M16" i="28" s="1"/>
  <c r="M16" i="26" s="1"/>
  <c r="M16" i="25" s="1"/>
  <c r="M16" i="24" s="1"/>
  <c r="M16" i="23" s="1"/>
  <c r="M16" i="21" s="1"/>
  <c r="M16" i="22" s="1"/>
  <c r="M16" i="20" s="1"/>
  <c r="M16" i="19" s="1"/>
  <c r="M16" i="18" s="1"/>
  <c r="M16" i="17" s="1"/>
  <c r="M16" i="16" s="1"/>
  <c r="M16" i="15" s="1"/>
  <c r="M16" i="14" s="1"/>
  <c r="M16" i="13" s="1"/>
  <c r="M16" i="12" s="1"/>
  <c r="M16" i="11" s="1"/>
  <c r="M16" i="10" s="1"/>
  <c r="M16" i="9" s="1"/>
  <c r="M16" i="8" s="1"/>
  <c r="M16" i="7" s="1"/>
  <c r="M16" i="6" s="1"/>
  <c r="M16" i="37" s="1"/>
  <c r="M16" i="4" s="1"/>
  <c r="M16" i="43" s="1"/>
  <c r="M17" i="33"/>
  <c r="M17" i="32" s="1"/>
  <c r="M17" i="31" s="1"/>
  <c r="M17" i="30" s="1"/>
  <c r="M17" i="29" s="1"/>
  <c r="M17" i="27" s="1"/>
  <c r="M17" i="28" s="1"/>
  <c r="M17" i="26" s="1"/>
  <c r="M17" i="25" s="1"/>
  <c r="M17" i="24" s="1"/>
  <c r="M17" i="23" s="1"/>
  <c r="M17" i="21" s="1"/>
  <c r="M17" i="22" s="1"/>
  <c r="M17" i="20" s="1"/>
  <c r="M17" i="19" s="1"/>
  <c r="M17" i="18" s="1"/>
  <c r="M17" i="17" s="1"/>
  <c r="M17" i="16" s="1"/>
  <c r="M17" i="15" s="1"/>
  <c r="M17" i="14" s="1"/>
  <c r="M17" i="13" s="1"/>
  <c r="M17" i="12" s="1"/>
  <c r="M17" i="11" s="1"/>
  <c r="M17" i="10" s="1"/>
  <c r="M17" i="9" s="1"/>
  <c r="M17" i="8" s="1"/>
  <c r="M17" i="7" s="1"/>
  <c r="M17" i="6" s="1"/>
  <c r="M17" i="37" s="1"/>
  <c r="M17" i="4" s="1"/>
  <c r="M17" i="43" s="1"/>
  <c r="M18" i="33"/>
  <c r="M18" i="32" s="1"/>
  <c r="M18" i="31" s="1"/>
  <c r="M18" i="30" s="1"/>
  <c r="M18" i="29" s="1"/>
  <c r="M18" i="27" s="1"/>
  <c r="M18" i="28" s="1"/>
  <c r="M18" i="26" s="1"/>
  <c r="M18" i="25" s="1"/>
  <c r="M18" i="24" s="1"/>
  <c r="M18" i="23" s="1"/>
  <c r="M18" i="21" s="1"/>
  <c r="M18" i="22" s="1"/>
  <c r="M18" i="20" s="1"/>
  <c r="M18" i="19" s="1"/>
  <c r="M18" i="18" s="1"/>
  <c r="M18" i="17" s="1"/>
  <c r="M18" i="16" s="1"/>
  <c r="M18" i="15" s="1"/>
  <c r="M18" i="14" s="1"/>
  <c r="M18" i="13" s="1"/>
  <c r="M18" i="12" s="1"/>
  <c r="M18" i="11" s="1"/>
  <c r="M18" i="10" s="1"/>
  <c r="M18" i="9" s="1"/>
  <c r="M18" i="8" s="1"/>
  <c r="M18" i="7" s="1"/>
  <c r="M18" i="6" s="1"/>
  <c r="M18" i="37" s="1"/>
  <c r="M18" i="4" s="1"/>
  <c r="M18" i="43" s="1"/>
  <c r="M19" i="33"/>
  <c r="M19" i="32" s="1"/>
  <c r="M19" i="31" s="1"/>
  <c r="M19" i="30" s="1"/>
  <c r="M19" i="29" s="1"/>
  <c r="M19" i="27" s="1"/>
  <c r="M19" i="28" s="1"/>
  <c r="M19" i="26" s="1"/>
  <c r="M19" i="25" s="1"/>
  <c r="M19" i="24" s="1"/>
  <c r="M19" i="23" s="1"/>
  <c r="M19" i="21" s="1"/>
  <c r="M19" i="22" s="1"/>
  <c r="M19" i="20" s="1"/>
  <c r="M19" i="19" s="1"/>
  <c r="M19" i="18" s="1"/>
  <c r="M19" i="17" s="1"/>
  <c r="M19" i="16" s="1"/>
  <c r="M19" i="15" s="1"/>
  <c r="M19" i="14" s="1"/>
  <c r="M19" i="13" s="1"/>
  <c r="M19" i="12" s="1"/>
  <c r="M19" i="11" s="1"/>
  <c r="M19" i="10" s="1"/>
  <c r="M19" i="9" s="1"/>
  <c r="M19" i="8" s="1"/>
  <c r="M19" i="7" s="1"/>
  <c r="M19" i="6" s="1"/>
  <c r="M19" i="37" s="1"/>
  <c r="M19" i="4" s="1"/>
  <c r="M19" i="43" s="1"/>
  <c r="M20" i="33"/>
  <c r="M20" i="32" s="1"/>
  <c r="M20" i="31" s="1"/>
  <c r="M20" i="30" s="1"/>
  <c r="M20" i="29" s="1"/>
  <c r="M20" i="27" s="1"/>
  <c r="M20" i="28" s="1"/>
  <c r="M20" i="26" s="1"/>
  <c r="M20" i="25" s="1"/>
  <c r="M20" i="24" s="1"/>
  <c r="M20" i="23" s="1"/>
  <c r="M20" i="21" s="1"/>
  <c r="M20" i="22" s="1"/>
  <c r="M20" i="20" s="1"/>
  <c r="M20" i="19" s="1"/>
  <c r="M20" i="18" s="1"/>
  <c r="M20" i="17" s="1"/>
  <c r="M20" i="16" s="1"/>
  <c r="M20" i="15" s="1"/>
  <c r="M20" i="14" s="1"/>
  <c r="M20" i="13" s="1"/>
  <c r="M20" i="12" s="1"/>
  <c r="M21" i="33"/>
  <c r="M21" i="32" s="1"/>
  <c r="M21" i="31" s="1"/>
  <c r="M21" i="30" s="1"/>
  <c r="M21" i="29" s="1"/>
  <c r="M21" i="27" s="1"/>
  <c r="M21" i="28" s="1"/>
  <c r="M21" i="26" s="1"/>
  <c r="M21" i="25" s="1"/>
  <c r="M21" i="24" s="1"/>
  <c r="M21" i="23" s="1"/>
  <c r="M21" i="21" s="1"/>
  <c r="M21" i="22" s="1"/>
  <c r="M21" i="20" s="1"/>
  <c r="M21" i="19" s="1"/>
  <c r="M21" i="18" s="1"/>
  <c r="M21" i="17" s="1"/>
  <c r="M21" i="16" s="1"/>
  <c r="M21" i="15" s="1"/>
  <c r="M21" i="14" s="1"/>
  <c r="M21" i="13" s="1"/>
  <c r="M21" i="12" s="1"/>
  <c r="M21" i="11" s="1"/>
  <c r="M21" i="10" s="1"/>
  <c r="M21" i="9" s="1"/>
  <c r="M21" i="8" s="1"/>
  <c r="M21" i="7" s="1"/>
  <c r="M21" i="6" s="1"/>
  <c r="M21" i="37" s="1"/>
  <c r="M21" i="4" s="1"/>
  <c r="M21" i="43" s="1"/>
  <c r="M22" i="33"/>
  <c r="M22" i="32" s="1"/>
  <c r="M22" i="31" s="1"/>
  <c r="M22" i="30" s="1"/>
  <c r="M22" i="29" s="1"/>
  <c r="M22" i="27" s="1"/>
  <c r="M22" i="28" s="1"/>
  <c r="M22" i="26" s="1"/>
  <c r="M22" i="25" s="1"/>
  <c r="M22" i="24" s="1"/>
  <c r="M22" i="23" s="1"/>
  <c r="M22" i="21" s="1"/>
  <c r="M22" i="22" s="1"/>
  <c r="M22" i="20" s="1"/>
  <c r="M22" i="19" s="1"/>
  <c r="M22" i="18" s="1"/>
  <c r="M22" i="17" s="1"/>
  <c r="M22" i="16" s="1"/>
  <c r="M22" i="15" s="1"/>
  <c r="M22" i="14" s="1"/>
  <c r="M22" i="13" s="1"/>
  <c r="M22" i="12" s="1"/>
  <c r="M22" i="11" s="1"/>
  <c r="M22" i="10" s="1"/>
  <c r="M22" i="9" s="1"/>
  <c r="M22" i="8" s="1"/>
  <c r="M22" i="7" s="1"/>
  <c r="M22" i="6" s="1"/>
  <c r="M22" i="37" s="1"/>
  <c r="M22" i="4" s="1"/>
  <c r="M22" i="43" s="1"/>
  <c r="C23" i="33"/>
  <c r="D23" i="33"/>
  <c r="E23" i="33"/>
  <c r="M23" i="33"/>
  <c r="M23" i="32" s="1"/>
  <c r="M23" i="31" s="1"/>
  <c r="M23" i="30" s="1"/>
  <c r="M23" i="29" s="1"/>
  <c r="M23" i="27" s="1"/>
  <c r="M23" i="28" s="1"/>
  <c r="M23" i="26" s="1"/>
  <c r="M23" i="25" s="1"/>
  <c r="M23" i="24" s="1"/>
  <c r="M23" i="23" s="1"/>
  <c r="M23" i="21" s="1"/>
  <c r="M23" i="22" s="1"/>
  <c r="M23" i="20" s="1"/>
  <c r="M23" i="19" s="1"/>
  <c r="M23" i="18" s="1"/>
  <c r="M23" i="17" s="1"/>
  <c r="M23" i="16" s="1"/>
  <c r="M23" i="15" s="1"/>
  <c r="M23" i="14" s="1"/>
  <c r="M23" i="13" s="1"/>
  <c r="M23" i="12" s="1"/>
  <c r="M23" i="11" s="1"/>
  <c r="M23" i="10" s="1"/>
  <c r="M23" i="9" s="1"/>
  <c r="M23" i="8" s="1"/>
  <c r="M23" i="7" s="1"/>
  <c r="M23" i="6" s="1"/>
  <c r="M23" i="37" s="1"/>
  <c r="M23" i="4" s="1"/>
  <c r="M23" i="43" s="1"/>
  <c r="M24" i="33"/>
  <c r="M24" i="32" s="1"/>
  <c r="M24" i="31" s="1"/>
  <c r="M24" i="30" s="1"/>
  <c r="M24" i="29" s="1"/>
  <c r="M24" i="27" s="1"/>
  <c r="M24" i="28" s="1"/>
  <c r="M24" i="26" s="1"/>
  <c r="M24" i="25" s="1"/>
  <c r="M24" i="24" s="1"/>
  <c r="M24" i="23" s="1"/>
  <c r="M24" i="21" s="1"/>
  <c r="M24" i="22" s="1"/>
  <c r="M24" i="20" s="1"/>
  <c r="M24" i="19" s="1"/>
  <c r="M24" i="18" s="1"/>
  <c r="M24" i="17" s="1"/>
  <c r="M24" i="16" s="1"/>
  <c r="M24" i="15" s="1"/>
  <c r="M24" i="14" s="1"/>
  <c r="M24" i="13" s="1"/>
  <c r="M24" i="12" s="1"/>
  <c r="M24" i="11" s="1"/>
  <c r="M24" i="10" s="1"/>
  <c r="M24" i="9" s="1"/>
  <c r="M24" i="8" s="1"/>
  <c r="M24" i="7" s="1"/>
  <c r="M24" i="6" s="1"/>
  <c r="M24" i="37" s="1"/>
  <c r="M24" i="4" s="1"/>
  <c r="M24" i="43" s="1"/>
  <c r="M25" i="33"/>
  <c r="M25" i="32" s="1"/>
  <c r="M25" i="31" s="1"/>
  <c r="M25" i="30" s="1"/>
  <c r="M25" i="29" s="1"/>
  <c r="M25" i="27" s="1"/>
  <c r="M25" i="28" s="1"/>
  <c r="M25" i="26" s="1"/>
  <c r="M25" i="25" s="1"/>
  <c r="M25" i="24" s="1"/>
  <c r="M25" i="23" s="1"/>
  <c r="M25" i="21" s="1"/>
  <c r="M25" i="22" s="1"/>
  <c r="M25" i="20" s="1"/>
  <c r="M25" i="19" s="1"/>
  <c r="M25" i="18" s="1"/>
  <c r="M25" i="17" s="1"/>
  <c r="M25" i="16" s="1"/>
  <c r="M25" i="15" s="1"/>
  <c r="M25" i="14" s="1"/>
  <c r="M25" i="13" s="1"/>
  <c r="M25" i="12" s="1"/>
  <c r="M25" i="11" s="1"/>
  <c r="M25" i="10" s="1"/>
  <c r="M25" i="9" s="1"/>
  <c r="M25" i="8" s="1"/>
  <c r="M25" i="7" s="1"/>
  <c r="M25" i="6" s="1"/>
  <c r="M25" i="37" s="1"/>
  <c r="M25" i="4" s="1"/>
  <c r="M25" i="43" s="1"/>
  <c r="M26" i="33"/>
  <c r="M26" i="32" s="1"/>
  <c r="M26" i="31" s="1"/>
  <c r="M26" i="30" s="1"/>
  <c r="M26" i="29" s="1"/>
  <c r="M26" i="27" s="1"/>
  <c r="M26" i="28" s="1"/>
  <c r="M26" i="26" s="1"/>
  <c r="M26" i="25" s="1"/>
  <c r="M26" i="24" s="1"/>
  <c r="M26" i="23" s="1"/>
  <c r="M26" i="21" s="1"/>
  <c r="M26" i="22" s="1"/>
  <c r="M26" i="20" s="1"/>
  <c r="M26" i="19" s="1"/>
  <c r="M26" i="18" s="1"/>
  <c r="M26" i="17" s="1"/>
  <c r="M26" i="16" s="1"/>
  <c r="M26" i="15" s="1"/>
  <c r="M26" i="14" s="1"/>
  <c r="M26" i="13" s="1"/>
  <c r="M26" i="12" s="1"/>
  <c r="M26" i="11" s="1"/>
  <c r="M26" i="10" s="1"/>
  <c r="M26" i="9" s="1"/>
  <c r="M26" i="8" s="1"/>
  <c r="M26" i="7" s="1"/>
  <c r="M26" i="6" s="1"/>
  <c r="M26" i="37" s="1"/>
  <c r="M26" i="4" s="1"/>
  <c r="M26" i="43" s="1"/>
  <c r="M27" i="33"/>
  <c r="M27" i="32" s="1"/>
  <c r="M27" i="31" s="1"/>
  <c r="M27" i="30" s="1"/>
  <c r="M27" i="29" s="1"/>
  <c r="M27" i="27" s="1"/>
  <c r="M27" i="28" s="1"/>
  <c r="M27" i="26" s="1"/>
  <c r="M27" i="25" s="1"/>
  <c r="M27" i="24" s="1"/>
  <c r="M27" i="23" s="1"/>
  <c r="M27" i="21" s="1"/>
  <c r="M27" i="22" s="1"/>
  <c r="M27" i="20" s="1"/>
  <c r="M27" i="19" s="1"/>
  <c r="M27" i="18" s="1"/>
  <c r="M27" i="17" s="1"/>
  <c r="M27" i="16" s="1"/>
  <c r="M27" i="15" s="1"/>
  <c r="M27" i="14" s="1"/>
  <c r="M27" i="13" s="1"/>
  <c r="M27" i="12" s="1"/>
  <c r="M27" i="11" s="1"/>
  <c r="M27" i="10" s="1"/>
  <c r="M27" i="9" s="1"/>
  <c r="M27" i="8" s="1"/>
  <c r="M27" i="7" s="1"/>
  <c r="M27" i="6" s="1"/>
  <c r="M27" i="37" s="1"/>
  <c r="M27" i="4" s="1"/>
  <c r="M27" i="43" s="1"/>
  <c r="M28" i="33"/>
  <c r="M28" i="32" s="1"/>
  <c r="M28" i="31" s="1"/>
  <c r="M28" i="30" s="1"/>
  <c r="M28" i="29" s="1"/>
  <c r="M28" i="27" s="1"/>
  <c r="M28" i="28" s="1"/>
  <c r="M28" i="26" s="1"/>
  <c r="M28" i="25" s="1"/>
  <c r="M28" i="24" s="1"/>
  <c r="M28" i="23" s="1"/>
  <c r="M28" i="21" s="1"/>
  <c r="M28" i="22" s="1"/>
  <c r="M28" i="20" s="1"/>
  <c r="M28" i="19" s="1"/>
  <c r="M28" i="18" s="1"/>
  <c r="M28" i="17" s="1"/>
  <c r="M28" i="16" s="1"/>
  <c r="M28" i="15" s="1"/>
  <c r="M28" i="14" s="1"/>
  <c r="M28" i="13" s="1"/>
  <c r="M28" i="12" s="1"/>
  <c r="M28" i="11" s="1"/>
  <c r="M28" i="10" s="1"/>
  <c r="M28" i="9" s="1"/>
  <c r="M28" i="8" s="1"/>
  <c r="M28" i="7" s="1"/>
  <c r="M28" i="6" s="1"/>
  <c r="M28" i="37" s="1"/>
  <c r="M28" i="4" s="1"/>
  <c r="M28" i="43" s="1"/>
  <c r="M29" i="33"/>
  <c r="M29" i="32" s="1"/>
  <c r="M29" i="31" s="1"/>
  <c r="M29" i="30" s="1"/>
  <c r="M29" i="29" s="1"/>
  <c r="M29" i="27" s="1"/>
  <c r="M29" i="28" s="1"/>
  <c r="M29" i="26" s="1"/>
  <c r="M29" i="25" s="1"/>
  <c r="M29" i="24" s="1"/>
  <c r="M29" i="23" s="1"/>
  <c r="M29" i="21" s="1"/>
  <c r="M29" i="22" s="1"/>
  <c r="M29" i="20" s="1"/>
  <c r="M29" i="19" s="1"/>
  <c r="M29" i="18" s="1"/>
  <c r="M29" i="17" s="1"/>
  <c r="M29" i="16" s="1"/>
  <c r="M29" i="15" s="1"/>
  <c r="M29" i="14" s="1"/>
  <c r="M29" i="13" s="1"/>
  <c r="M29" i="12" s="1"/>
  <c r="M29" i="11" s="1"/>
  <c r="M29" i="10" s="1"/>
  <c r="M29" i="9" s="1"/>
  <c r="M29" i="8" s="1"/>
  <c r="M29" i="7" s="1"/>
  <c r="M29" i="6" s="1"/>
  <c r="M29" i="37" s="1"/>
  <c r="M29" i="4" s="1"/>
  <c r="M29" i="43" s="1"/>
  <c r="M30" i="33"/>
  <c r="M30" i="32" s="1"/>
  <c r="M30" i="31" s="1"/>
  <c r="M30" i="30" s="1"/>
  <c r="M30" i="29" s="1"/>
  <c r="M30" i="27" s="1"/>
  <c r="M30" i="28" s="1"/>
  <c r="M30" i="26" s="1"/>
  <c r="M30" i="25" s="1"/>
  <c r="M30" i="24" s="1"/>
  <c r="M30" i="23" s="1"/>
  <c r="M30" i="21" s="1"/>
  <c r="M30" i="22" s="1"/>
  <c r="M30" i="20" s="1"/>
  <c r="M30" i="19" s="1"/>
  <c r="M30" i="18" s="1"/>
  <c r="M30" i="17" s="1"/>
  <c r="M30" i="16" s="1"/>
  <c r="M30" i="15" s="1"/>
  <c r="M30" i="14" s="1"/>
  <c r="M30" i="13" s="1"/>
  <c r="M30" i="12" s="1"/>
  <c r="M30" i="11" s="1"/>
  <c r="M30" i="10" s="1"/>
  <c r="M30" i="9" s="1"/>
  <c r="M30" i="8" s="1"/>
  <c r="M30" i="7" s="1"/>
  <c r="M30" i="6" s="1"/>
  <c r="M30" i="37" s="1"/>
  <c r="M30" i="4" s="1"/>
  <c r="M30" i="43" s="1"/>
  <c r="M31" i="33"/>
  <c r="M31" i="32" s="1"/>
  <c r="M31" i="31" s="1"/>
  <c r="M31" i="30" s="1"/>
  <c r="M31" i="29" s="1"/>
  <c r="M31" i="27" s="1"/>
  <c r="M31" i="28" s="1"/>
  <c r="M31" i="26" s="1"/>
  <c r="M31" i="25" s="1"/>
  <c r="M31" i="24" s="1"/>
  <c r="M31" i="23" s="1"/>
  <c r="M31" i="21" s="1"/>
  <c r="M31" i="22" s="1"/>
  <c r="M31" i="20" s="1"/>
  <c r="M31" i="19" s="1"/>
  <c r="M31" i="18" s="1"/>
  <c r="M31" i="17" s="1"/>
  <c r="M31" i="16" s="1"/>
  <c r="M31" i="15" s="1"/>
  <c r="M31" i="14" s="1"/>
  <c r="M31" i="13" s="1"/>
  <c r="M31" i="12" s="1"/>
  <c r="M31" i="11" s="1"/>
  <c r="M31" i="10" s="1"/>
  <c r="M31" i="9" s="1"/>
  <c r="M31" i="8" s="1"/>
  <c r="M31" i="7" s="1"/>
  <c r="M31" i="6" s="1"/>
  <c r="M31" i="37" s="1"/>
  <c r="M31" i="4" s="1"/>
  <c r="M31" i="43" s="1"/>
  <c r="C32" i="33"/>
  <c r="D32" i="33"/>
  <c r="E32" i="33"/>
  <c r="F32" i="33"/>
  <c r="M32" i="33"/>
  <c r="M32" i="32" s="1"/>
  <c r="M32" i="31" s="1"/>
  <c r="M32" i="30" s="1"/>
  <c r="M32" i="29" s="1"/>
  <c r="M32" i="27" s="1"/>
  <c r="M32" i="28" s="1"/>
  <c r="M32" i="26" s="1"/>
  <c r="M32" i="25" s="1"/>
  <c r="M32" i="24" s="1"/>
  <c r="M32" i="23" s="1"/>
  <c r="M32" i="21" s="1"/>
  <c r="M32" i="22" s="1"/>
  <c r="M32" i="20" s="1"/>
  <c r="M32" i="19" s="1"/>
  <c r="M32" i="18" s="1"/>
  <c r="M32" i="17" s="1"/>
  <c r="M32" i="16" s="1"/>
  <c r="M32" i="15" s="1"/>
  <c r="M32" i="14" s="1"/>
  <c r="M32" i="13" s="1"/>
  <c r="M32" i="12" s="1"/>
  <c r="M32" i="11" s="1"/>
  <c r="M32" i="10" s="1"/>
  <c r="M32" i="9" s="1"/>
  <c r="M32" i="8" s="1"/>
  <c r="M32" i="7" s="1"/>
  <c r="M32" i="6" s="1"/>
  <c r="M32" i="37" s="1"/>
  <c r="M32" i="4" s="1"/>
  <c r="M32" i="43" s="1"/>
  <c r="L34" i="33"/>
  <c r="J38" i="33"/>
  <c r="J38" i="32" s="1"/>
  <c r="C39" i="33"/>
  <c r="D39" i="33" s="1"/>
  <c r="E39" i="33" s="1"/>
  <c r="C40" i="33"/>
  <c r="D40" i="33" s="1"/>
  <c r="Z21" i="57" s="1"/>
  <c r="C41" i="33"/>
  <c r="D41" i="33" s="1"/>
  <c r="C42" i="33"/>
  <c r="D42" i="33" s="1"/>
  <c r="E42" i="33" s="1"/>
  <c r="D43" i="33"/>
  <c r="C44" i="33"/>
  <c r="D44" i="33" s="1"/>
  <c r="Z25" i="57" s="1"/>
  <c r="C45" i="33"/>
  <c r="D45" i="33" s="1"/>
  <c r="C46" i="33"/>
  <c r="D46" i="33" s="1"/>
  <c r="C47" i="33"/>
  <c r="D47" i="33" s="1"/>
  <c r="C48" i="33"/>
  <c r="D48" i="33" s="1"/>
  <c r="E48" i="33" s="1"/>
  <c r="C49" i="33"/>
  <c r="D49" i="33" s="1"/>
  <c r="C50" i="33"/>
  <c r="D50" i="33" s="1"/>
  <c r="C51" i="33"/>
  <c r="D51" i="33" s="1"/>
  <c r="A10" i="2"/>
  <c r="J46" i="33"/>
  <c r="I47" i="32"/>
  <c r="AF11" i="48"/>
  <c r="I47" i="27"/>
  <c r="AF15" i="48"/>
  <c r="AF16" i="48"/>
  <c r="AF17" i="48"/>
  <c r="AF19" i="48"/>
  <c r="I47" i="21"/>
  <c r="AF21" i="48"/>
  <c r="AF24" i="48"/>
  <c r="I47" i="17"/>
  <c r="I47" i="16"/>
  <c r="I47" i="15"/>
  <c r="AF29" i="48"/>
  <c r="AF30" i="48"/>
  <c r="AF33" i="48"/>
  <c r="I47" i="43"/>
  <c r="I50" i="37"/>
  <c r="I50" i="43"/>
  <c r="AF18" i="48"/>
  <c r="AB14" i="48"/>
  <c r="AB15" i="48"/>
  <c r="Q9" i="48"/>
  <c r="Z41" i="48"/>
  <c r="AB9" i="48"/>
  <c r="AB17" i="48"/>
  <c r="AB23" i="48"/>
  <c r="I44" i="33"/>
  <c r="AB21" i="48"/>
  <c r="H21" i="48"/>
  <c r="AB30" i="48"/>
  <c r="AB31" i="48"/>
  <c r="G15" i="48"/>
  <c r="G31" i="48"/>
  <c r="H15" i="48"/>
  <c r="H29" i="48"/>
  <c r="G33" i="48"/>
  <c r="AB37" i="48"/>
  <c r="G37" i="48"/>
  <c r="G29" i="48"/>
  <c r="G23" i="48"/>
  <c r="G17" i="48"/>
  <c r="H37" i="48"/>
  <c r="AB39" i="48"/>
  <c r="H39" i="48"/>
  <c r="E28" i="48"/>
  <c r="G21" i="48"/>
  <c r="E18" i="48"/>
  <c r="F18" i="48" s="1"/>
  <c r="E15" i="48"/>
  <c r="AF36" i="48"/>
  <c r="AF34" i="48"/>
  <c r="E30" i="48"/>
  <c r="F30" i="48" s="1"/>
  <c r="I40" i="10" l="1"/>
  <c r="C34" i="4"/>
  <c r="E36" i="48"/>
  <c r="AH17" i="48"/>
  <c r="AH16" i="48"/>
  <c r="AH29" i="48"/>
  <c r="AH21" i="48"/>
  <c r="AH24" i="48"/>
  <c r="AH33" i="48"/>
  <c r="AH30" i="48"/>
  <c r="C24" i="4"/>
  <c r="F34" i="43"/>
  <c r="AA25" i="57"/>
  <c r="AB25" i="57" s="1"/>
  <c r="Z25" i="46"/>
  <c r="AA25" i="46" s="1"/>
  <c r="AB25" i="46" s="1"/>
  <c r="AA21" i="57"/>
  <c r="AB21" i="57" s="1"/>
  <c r="Z21" i="46"/>
  <c r="AA21" i="46" s="1"/>
  <c r="AB21" i="46" s="1"/>
  <c r="J32" i="31"/>
  <c r="J32" i="30" s="1"/>
  <c r="J24" i="31"/>
  <c r="J24" i="30" s="1"/>
  <c r="J31" i="31"/>
  <c r="J31" i="30" s="1"/>
  <c r="J30" i="31"/>
  <c r="J30" i="30" s="1"/>
  <c r="J29" i="31"/>
  <c r="J29" i="30" s="1"/>
  <c r="J28" i="31"/>
  <c r="J28" i="30" s="1"/>
  <c r="J27" i="31"/>
  <c r="J27" i="30" s="1"/>
  <c r="J26" i="31"/>
  <c r="J26" i="30" s="1"/>
  <c r="J25" i="31"/>
  <c r="J25" i="30" s="1"/>
  <c r="AB32" i="48"/>
  <c r="E33" i="43"/>
  <c r="N12" i="45"/>
  <c r="F12" i="45"/>
  <c r="J12" i="45"/>
  <c r="Q12" i="45"/>
  <c r="N13" i="45"/>
  <c r="J13" i="45"/>
  <c r="F13" i="45"/>
  <c r="Q13" i="45"/>
  <c r="E46" i="33"/>
  <c r="F10" i="45"/>
  <c r="N10" i="45"/>
  <c r="J10" i="45"/>
  <c r="Q10" i="45"/>
  <c r="F11" i="45"/>
  <c r="J11" i="45"/>
  <c r="N11" i="45"/>
  <c r="Q11" i="45"/>
  <c r="F13" i="48"/>
  <c r="F9" i="45"/>
  <c r="J9" i="45"/>
  <c r="N9" i="45"/>
  <c r="Q9" i="45"/>
  <c r="F17" i="48"/>
  <c r="D11" i="1"/>
  <c r="B18" i="45"/>
  <c r="Q18" i="45" s="1"/>
  <c r="D19" i="1"/>
  <c r="B26" i="45"/>
  <c r="Q26" i="45" s="1"/>
  <c r="D27" i="1"/>
  <c r="B34" i="45"/>
  <c r="Q34" i="45" s="1"/>
  <c r="D35" i="1"/>
  <c r="D12" i="1"/>
  <c r="D13" i="2" s="1"/>
  <c r="B19" i="45"/>
  <c r="Q19" i="45" s="1"/>
  <c r="D20" i="1"/>
  <c r="B27" i="45"/>
  <c r="Q27" i="45" s="1"/>
  <c r="D28" i="1"/>
  <c r="B35" i="45"/>
  <c r="Q35" i="45" s="1"/>
  <c r="D36" i="1"/>
  <c r="B33" i="45"/>
  <c r="Q33" i="45" s="1"/>
  <c r="D34" i="1"/>
  <c r="D13" i="1"/>
  <c r="B20" i="45"/>
  <c r="Q20" i="45" s="1"/>
  <c r="D21" i="1"/>
  <c r="B28" i="45"/>
  <c r="Q28" i="45" s="1"/>
  <c r="D29" i="1"/>
  <c r="B36" i="45"/>
  <c r="Q36" i="45" s="1"/>
  <c r="D37" i="1"/>
  <c r="D10" i="1"/>
  <c r="B8" i="45"/>
  <c r="Q8" i="45" s="1"/>
  <c r="D9" i="1"/>
  <c r="D14" i="1"/>
  <c r="B21" i="45"/>
  <c r="Q21" i="45" s="1"/>
  <c r="D22" i="1"/>
  <c r="B29" i="45"/>
  <c r="Q29" i="45" s="1"/>
  <c r="D30" i="1"/>
  <c r="F12" i="48"/>
  <c r="B25" i="45"/>
  <c r="Q25" i="45" s="1"/>
  <c r="D26" i="1"/>
  <c r="D24" i="4"/>
  <c r="B14" i="45"/>
  <c r="Q14" i="45" s="1"/>
  <c r="D15" i="1"/>
  <c r="B22" i="45"/>
  <c r="Q22" i="45" s="1"/>
  <c r="D23" i="1"/>
  <c r="B30" i="45"/>
  <c r="Q30" i="45" s="1"/>
  <c r="D31" i="1"/>
  <c r="B15" i="45"/>
  <c r="Q15" i="45" s="1"/>
  <c r="D16" i="1"/>
  <c r="B23" i="45"/>
  <c r="Q23" i="45" s="1"/>
  <c r="D24" i="1"/>
  <c r="B31" i="45"/>
  <c r="Q31" i="45" s="1"/>
  <c r="D32" i="1"/>
  <c r="B17" i="45"/>
  <c r="Q17" i="45" s="1"/>
  <c r="D18" i="1"/>
  <c r="B16" i="45"/>
  <c r="Q16" i="45" s="1"/>
  <c r="D17" i="1"/>
  <c r="B24" i="45"/>
  <c r="Q24" i="45" s="1"/>
  <c r="D25" i="1"/>
  <c r="B32" i="45"/>
  <c r="Q32" i="45" s="1"/>
  <c r="D33" i="1"/>
  <c r="AB35" i="48"/>
  <c r="AB11" i="48"/>
  <c r="K34" i="6"/>
  <c r="I40" i="6" s="1"/>
  <c r="I48" i="6" s="1"/>
  <c r="G19" i="48"/>
  <c r="AB19" i="48"/>
  <c r="AH19" i="48"/>
  <c r="K34" i="8"/>
  <c r="H18" i="48"/>
  <c r="AH34" i="48"/>
  <c r="AB34" i="48"/>
  <c r="AB27" i="48"/>
  <c r="C52" i="37"/>
  <c r="C53" i="37" s="1"/>
  <c r="C33" i="4"/>
  <c r="D34" i="4"/>
  <c r="H27" i="48"/>
  <c r="G27" i="48"/>
  <c r="G11" i="48"/>
  <c r="G35" i="48"/>
  <c r="K34" i="17"/>
  <c r="E33" i="4"/>
  <c r="AB28" i="48"/>
  <c r="AB24" i="48"/>
  <c r="E23" i="48"/>
  <c r="F23" i="48" s="1"/>
  <c r="I40" i="22"/>
  <c r="R21" i="48" s="1"/>
  <c r="E21" i="1" s="1"/>
  <c r="C33" i="43"/>
  <c r="N15" i="45"/>
  <c r="M9" i="26"/>
  <c r="J22" i="30"/>
  <c r="J14" i="30"/>
  <c r="J9" i="30"/>
  <c r="J21" i="30"/>
  <c r="J8" i="30"/>
  <c r="J20" i="30"/>
  <c r="J7" i="30"/>
  <c r="J7" i="29" s="1"/>
  <c r="J7" i="27" s="1"/>
  <c r="J7" i="28" s="1"/>
  <c r="J7" i="26" s="1"/>
  <c r="J7" i="25" s="1"/>
  <c r="J7" i="24" s="1"/>
  <c r="J7" i="23" s="1"/>
  <c r="J7" i="21" s="1"/>
  <c r="J7" i="22" s="1"/>
  <c r="J7" i="20" s="1"/>
  <c r="J7" i="19" s="1"/>
  <c r="J7" i="18" s="1"/>
  <c r="J7" i="17" s="1"/>
  <c r="J7" i="16" s="1"/>
  <c r="J7" i="15" s="1"/>
  <c r="J7" i="14" s="1"/>
  <c r="J7" i="13" s="1"/>
  <c r="J7" i="12" s="1"/>
  <c r="J7" i="11" s="1"/>
  <c r="J7" i="10" s="1"/>
  <c r="J7" i="9" s="1"/>
  <c r="J7" i="8" s="1"/>
  <c r="J7" i="7" s="1"/>
  <c r="J7" i="6" s="1"/>
  <c r="J7" i="37" s="1"/>
  <c r="J7" i="4" s="1"/>
  <c r="J7" i="43" s="1"/>
  <c r="J23" i="30"/>
  <c r="J19" i="30"/>
  <c r="J18" i="30"/>
  <c r="J13" i="30"/>
  <c r="J17" i="30"/>
  <c r="J12" i="30"/>
  <c r="J16" i="30"/>
  <c r="J11" i="30"/>
  <c r="J15" i="30"/>
  <c r="J10" i="30"/>
  <c r="J10" i="27" s="1"/>
  <c r="J10" i="28" s="1"/>
  <c r="J10" i="26" s="1"/>
  <c r="J10" i="25" s="1"/>
  <c r="J10" i="24" s="1"/>
  <c r="AB13" i="48"/>
  <c r="H13" i="48"/>
  <c r="G13" i="48"/>
  <c r="D15" i="33"/>
  <c r="C52" i="6"/>
  <c r="C53" i="6" s="1"/>
  <c r="F34" i="4"/>
  <c r="F29" i="48"/>
  <c r="C52" i="13"/>
  <c r="C53" i="13" s="1"/>
  <c r="C52" i="9"/>
  <c r="C53" i="9" s="1"/>
  <c r="E24" i="33"/>
  <c r="C34" i="43"/>
  <c r="K15" i="43" s="1"/>
  <c r="W133" i="57" s="1"/>
  <c r="H28" i="48"/>
  <c r="E15" i="43"/>
  <c r="J57" i="23"/>
  <c r="G20" i="48"/>
  <c r="D24" i="43"/>
  <c r="E24" i="43"/>
  <c r="C24" i="43"/>
  <c r="D15" i="43"/>
  <c r="E34" i="4"/>
  <c r="E15" i="33"/>
  <c r="D33" i="4"/>
  <c r="B37" i="45"/>
  <c r="B38" i="45"/>
  <c r="Q38" i="45" s="1"/>
  <c r="E34" i="33"/>
  <c r="J57" i="33" s="1"/>
  <c r="AB25" i="48"/>
  <c r="C24" i="33"/>
  <c r="D24" i="33"/>
  <c r="B27" i="2"/>
  <c r="B29" i="2"/>
  <c r="B25" i="2"/>
  <c r="AH36" i="48"/>
  <c r="V37" i="48"/>
  <c r="B28" i="2"/>
  <c r="B14" i="2"/>
  <c r="AB10" i="48"/>
  <c r="F32" i="48"/>
  <c r="C52" i="7"/>
  <c r="C53" i="7" s="1"/>
  <c r="H31" i="48"/>
  <c r="R32" i="48"/>
  <c r="E33" i="48"/>
  <c r="C52" i="10"/>
  <c r="C53" i="10" s="1"/>
  <c r="C52" i="11"/>
  <c r="C53" i="11" s="1"/>
  <c r="I47" i="18"/>
  <c r="G30" i="48"/>
  <c r="C52" i="14"/>
  <c r="C53" i="14" s="1"/>
  <c r="E27" i="48"/>
  <c r="C52" i="15"/>
  <c r="C53" i="15" s="1"/>
  <c r="AB26" i="48"/>
  <c r="I47" i="24"/>
  <c r="I40" i="18"/>
  <c r="R24" i="48" s="1"/>
  <c r="F25" i="48"/>
  <c r="H25" i="48"/>
  <c r="G25" i="48"/>
  <c r="C52" i="17"/>
  <c r="C53" i="17" s="1"/>
  <c r="I47" i="26"/>
  <c r="C52" i="19"/>
  <c r="C53" i="19" s="1"/>
  <c r="C52" i="20"/>
  <c r="C53" i="20" s="1"/>
  <c r="H22" i="48"/>
  <c r="G22" i="48"/>
  <c r="I47" i="25"/>
  <c r="K34" i="21"/>
  <c r="C52" i="21"/>
  <c r="C53" i="21" s="1"/>
  <c r="C52" i="23"/>
  <c r="C53" i="23" s="1"/>
  <c r="I47" i="28"/>
  <c r="AH18" i="48"/>
  <c r="I47" i="33"/>
  <c r="G16" i="48"/>
  <c r="C52" i="26"/>
  <c r="C53" i="26" s="1"/>
  <c r="C52" i="28"/>
  <c r="C53" i="28" s="1"/>
  <c r="AF9" i="48"/>
  <c r="C52" i="27"/>
  <c r="C53" i="27" s="1"/>
  <c r="AF10" i="48"/>
  <c r="C34" i="33"/>
  <c r="D12" i="2"/>
  <c r="G10" i="48"/>
  <c r="E33" i="33"/>
  <c r="C52" i="29"/>
  <c r="C53" i="29" s="1"/>
  <c r="AF13" i="48"/>
  <c r="C15" i="33"/>
  <c r="J38" i="31"/>
  <c r="J47" i="33"/>
  <c r="D51" i="32"/>
  <c r="D51" i="31" s="1"/>
  <c r="D49" i="32"/>
  <c r="D49" i="31" s="1"/>
  <c r="E49" i="31" s="1"/>
  <c r="D47" i="32"/>
  <c r="E47" i="32" s="1"/>
  <c r="D45" i="32"/>
  <c r="E49" i="33"/>
  <c r="H10" i="48"/>
  <c r="C52" i="31"/>
  <c r="C53" i="31" s="1"/>
  <c r="J46" i="32"/>
  <c r="J47" i="32" s="1"/>
  <c r="D44" i="32"/>
  <c r="E44" i="32" s="1"/>
  <c r="D40" i="32"/>
  <c r="D34" i="33"/>
  <c r="C33" i="33"/>
  <c r="C52" i="32"/>
  <c r="C53" i="32" s="1"/>
  <c r="F15" i="48"/>
  <c r="F36" i="48"/>
  <c r="C52" i="22"/>
  <c r="C53" i="22" s="1"/>
  <c r="C52" i="18"/>
  <c r="C53" i="18" s="1"/>
  <c r="C52" i="16"/>
  <c r="C53" i="16" s="1"/>
  <c r="C52" i="12"/>
  <c r="C53" i="12" s="1"/>
  <c r="C52" i="8"/>
  <c r="C53" i="8" s="1"/>
  <c r="V15" i="37"/>
  <c r="W15" i="37" s="1"/>
  <c r="V7" i="37"/>
  <c r="W7" i="37" s="1"/>
  <c r="C52" i="4"/>
  <c r="C53" i="4" s="1"/>
  <c r="E24" i="4"/>
  <c r="E15" i="4"/>
  <c r="D15" i="4"/>
  <c r="C52" i="43"/>
  <c r="C53" i="43" s="1"/>
  <c r="E16" i="48"/>
  <c r="AB12" i="48"/>
  <c r="G12" i="48"/>
  <c r="G14" i="48"/>
  <c r="H14" i="48"/>
  <c r="AB18" i="48"/>
  <c r="G18" i="48"/>
  <c r="AB20" i="48"/>
  <c r="H20" i="48"/>
  <c r="AB22" i="48"/>
  <c r="G28" i="48"/>
  <c r="H30" i="48"/>
  <c r="H34" i="48"/>
  <c r="G34" i="48"/>
  <c r="V36" i="48"/>
  <c r="AB36" i="48"/>
  <c r="V38" i="48"/>
  <c r="AB38" i="48"/>
  <c r="G38" i="48"/>
  <c r="H38" i="48"/>
  <c r="J44" i="33"/>
  <c r="J43" i="32"/>
  <c r="I44" i="18"/>
  <c r="I45" i="10"/>
  <c r="I44" i="4"/>
  <c r="C52" i="25"/>
  <c r="C53" i="25" s="1"/>
  <c r="C52" i="30"/>
  <c r="C53" i="30" s="1"/>
  <c r="C52" i="24"/>
  <c r="C53" i="24" s="1"/>
  <c r="D43" i="32"/>
  <c r="D43" i="31" s="1"/>
  <c r="D41" i="32"/>
  <c r="E41" i="32" s="1"/>
  <c r="F34" i="33"/>
  <c r="D33" i="33"/>
  <c r="I40" i="20"/>
  <c r="I48" i="20" s="1"/>
  <c r="E34" i="43"/>
  <c r="C15" i="43"/>
  <c r="V39" i="48"/>
  <c r="G39" i="48"/>
  <c r="E21" i="48"/>
  <c r="E22" i="48"/>
  <c r="E24" i="48"/>
  <c r="E39" i="48"/>
  <c r="I40" i="4"/>
  <c r="I48" i="4" s="1"/>
  <c r="C15" i="4"/>
  <c r="V15" i="4"/>
  <c r="W15" i="4" s="1"/>
  <c r="D33" i="43"/>
  <c r="D34" i="43"/>
  <c r="E20" i="48"/>
  <c r="E9" i="48"/>
  <c r="J37" i="33"/>
  <c r="E38" i="33"/>
  <c r="D38" i="32"/>
  <c r="E38" i="32" s="1"/>
  <c r="P41" i="48"/>
  <c r="E41" i="33"/>
  <c r="E45" i="33"/>
  <c r="D39" i="32"/>
  <c r="E39" i="32" s="1"/>
  <c r="E43" i="33"/>
  <c r="E47" i="33"/>
  <c r="E44" i="33"/>
  <c r="C52" i="33"/>
  <c r="C53" i="33" s="1"/>
  <c r="E50" i="33"/>
  <c r="D50" i="32"/>
  <c r="E40" i="33"/>
  <c r="D48" i="32"/>
  <c r="E48" i="32" s="1"/>
  <c r="D52" i="33"/>
  <c r="D53" i="33" s="1"/>
  <c r="D42" i="32"/>
  <c r="D46" i="32"/>
  <c r="E51" i="33"/>
  <c r="A11" i="2"/>
  <c r="M20" i="11"/>
  <c r="M20" i="10" s="1"/>
  <c r="M20" i="9" s="1"/>
  <c r="M20" i="8" s="1"/>
  <c r="M20" i="7" s="1"/>
  <c r="M20" i="6" s="1"/>
  <c r="M20" i="37" s="1"/>
  <c r="M20" i="4" s="1"/>
  <c r="M20" i="43" s="1"/>
  <c r="E10" i="48"/>
  <c r="E11" i="48"/>
  <c r="E14" i="48"/>
  <c r="E19" i="48"/>
  <c r="E26" i="48"/>
  <c r="E34" i="48"/>
  <c r="E37" i="48"/>
  <c r="E38" i="48"/>
  <c r="E31" i="48"/>
  <c r="F35" i="48"/>
  <c r="G36" i="48"/>
  <c r="AH15" i="48"/>
  <c r="AB29" i="48"/>
  <c r="F28" i="48"/>
  <c r="H35" i="48"/>
  <c r="H33" i="48"/>
  <c r="H23" i="48"/>
  <c r="G26" i="48"/>
  <c r="H11" i="48"/>
  <c r="Q10" i="48"/>
  <c r="AC9" i="48"/>
  <c r="I47" i="4"/>
  <c r="AF38" i="48"/>
  <c r="I47" i="37"/>
  <c r="AF37" i="48"/>
  <c r="I47" i="6"/>
  <c r="AF35" i="48"/>
  <c r="I47" i="8"/>
  <c r="I47" i="9"/>
  <c r="AF32" i="48"/>
  <c r="I48" i="10"/>
  <c r="AF31" i="48"/>
  <c r="I47" i="12"/>
  <c r="I47" i="13"/>
  <c r="AF28" i="48"/>
  <c r="AF27" i="48"/>
  <c r="AF26" i="48"/>
  <c r="I47" i="19"/>
  <c r="AF23" i="48"/>
  <c r="AF22" i="48"/>
  <c r="I47" i="23"/>
  <c r="I47" i="30"/>
  <c r="AF12" i="48"/>
  <c r="H36" i="48"/>
  <c r="H32" i="48"/>
  <c r="H12" i="48"/>
  <c r="H17" i="48"/>
  <c r="G24" i="48"/>
  <c r="H24" i="48"/>
  <c r="I47" i="22"/>
  <c r="AF25" i="48"/>
  <c r="AF14" i="48"/>
  <c r="AF20" i="48"/>
  <c r="I47" i="20"/>
  <c r="I47" i="14"/>
  <c r="AF39" i="48"/>
  <c r="I47" i="10"/>
  <c r="I47" i="11"/>
  <c r="I47" i="7"/>
  <c r="AH11" i="48"/>
  <c r="I47" i="31"/>
  <c r="AB16" i="48"/>
  <c r="H16" i="48"/>
  <c r="H26" i="48"/>
  <c r="J23" i="45" l="1"/>
  <c r="D29" i="2"/>
  <c r="X133" i="57"/>
  <c r="AA133" i="57"/>
  <c r="AB133" i="57" s="1"/>
  <c r="W133" i="46"/>
  <c r="K34" i="43"/>
  <c r="I40" i="43" s="1"/>
  <c r="M15" i="43"/>
  <c r="D23" i="2"/>
  <c r="D35" i="4"/>
  <c r="D11" i="2"/>
  <c r="F34" i="45"/>
  <c r="J17" i="45"/>
  <c r="AH10" i="48"/>
  <c r="AH13" i="48"/>
  <c r="AG9" i="48"/>
  <c r="AG10" i="48" s="1"/>
  <c r="AG11" i="48" s="1"/>
  <c r="AG12" i="48" s="1"/>
  <c r="AG13" i="48" s="1"/>
  <c r="AG14" i="48" s="1"/>
  <c r="AG15" i="48" s="1"/>
  <c r="AG16" i="48" s="1"/>
  <c r="AG17" i="48" s="1"/>
  <c r="AG18" i="48" s="1"/>
  <c r="AG19" i="48" s="1"/>
  <c r="AG20" i="48" s="1"/>
  <c r="AG21" i="48" s="1"/>
  <c r="AG22" i="48" s="1"/>
  <c r="AG23" i="48" s="1"/>
  <c r="AG24" i="48" s="1"/>
  <c r="AG25" i="48" s="1"/>
  <c r="AG26" i="48" s="1"/>
  <c r="AG27" i="48" s="1"/>
  <c r="AG28" i="48" s="1"/>
  <c r="AG29" i="48" s="1"/>
  <c r="AG30" i="48" s="1"/>
  <c r="AG31" i="48" s="1"/>
  <c r="AG32" i="48" s="1"/>
  <c r="AG33" i="48" s="1"/>
  <c r="AG34" i="48" s="1"/>
  <c r="AG35" i="48" s="1"/>
  <c r="AG36" i="48" s="1"/>
  <c r="AG37" i="48" s="1"/>
  <c r="AG38" i="48" s="1"/>
  <c r="AG39" i="48" s="1"/>
  <c r="AH12" i="48"/>
  <c r="F21" i="45"/>
  <c r="J21" i="45"/>
  <c r="N19" i="45"/>
  <c r="F19" i="45"/>
  <c r="J19" i="45"/>
  <c r="J12" i="29"/>
  <c r="J12" i="27" s="1"/>
  <c r="J12" i="28" s="1"/>
  <c r="J12" i="26" s="1"/>
  <c r="J12" i="25" s="1"/>
  <c r="J12" i="24" s="1"/>
  <c r="J12" i="23" s="1"/>
  <c r="J12" i="21" s="1"/>
  <c r="J12" i="20" s="1"/>
  <c r="J8" i="29"/>
  <c r="J8" i="27" s="1"/>
  <c r="J8" i="28" s="1"/>
  <c r="J8" i="26" s="1"/>
  <c r="J8" i="25" s="1"/>
  <c r="J8" i="24" s="1"/>
  <c r="J8" i="23" s="1"/>
  <c r="J8" i="21" s="1"/>
  <c r="J8" i="22" s="1"/>
  <c r="J8" i="20" s="1"/>
  <c r="J31" i="29"/>
  <c r="J31" i="27" s="1"/>
  <c r="J31" i="28" s="1"/>
  <c r="J31" i="26" s="1"/>
  <c r="J17" i="29"/>
  <c r="J17" i="27" s="1"/>
  <c r="J17" i="28" s="1"/>
  <c r="J17" i="26" s="1"/>
  <c r="J17" i="25" s="1"/>
  <c r="J17" i="24" s="1"/>
  <c r="J17" i="23" s="1"/>
  <c r="J17" i="21" s="1"/>
  <c r="J17" i="22" s="1"/>
  <c r="J17" i="20" s="1"/>
  <c r="J21" i="29"/>
  <c r="J21" i="27" s="1"/>
  <c r="J21" i="28" s="1"/>
  <c r="J21" i="26" s="1"/>
  <c r="J21" i="25" s="1"/>
  <c r="J21" i="24" s="1"/>
  <c r="J21" i="23" s="1"/>
  <c r="J21" i="21" s="1"/>
  <c r="J21" i="22" s="1"/>
  <c r="J21" i="20" s="1"/>
  <c r="J24" i="29"/>
  <c r="J24" i="27" s="1"/>
  <c r="J24" i="28" s="1"/>
  <c r="J24" i="26" s="1"/>
  <c r="J13" i="29"/>
  <c r="J13" i="27" s="1"/>
  <c r="J13" i="28" s="1"/>
  <c r="J13" i="26" s="1"/>
  <c r="J13" i="25" s="1"/>
  <c r="J13" i="24" s="1"/>
  <c r="J13" i="23" s="1"/>
  <c r="J13" i="21" s="1"/>
  <c r="J13" i="22" s="1"/>
  <c r="J13" i="20" s="1"/>
  <c r="J9" i="29"/>
  <c r="J9" i="27" s="1"/>
  <c r="J9" i="28" s="1"/>
  <c r="J9" i="26" s="1"/>
  <c r="J9" i="25" s="1"/>
  <c r="J9" i="24" s="1"/>
  <c r="J9" i="23" s="1"/>
  <c r="J9" i="21" s="1"/>
  <c r="J9" i="22" s="1"/>
  <c r="J9" i="20" s="1"/>
  <c r="J25" i="29"/>
  <c r="J25" i="27" s="1"/>
  <c r="J25" i="28" s="1"/>
  <c r="J25" i="26" s="1"/>
  <c r="J32" i="29"/>
  <c r="J32" i="27" s="1"/>
  <c r="J32" i="28" s="1"/>
  <c r="J32" i="26" s="1"/>
  <c r="J18" i="29"/>
  <c r="J18" i="27" s="1"/>
  <c r="J18" i="28" s="1"/>
  <c r="J18" i="26" s="1"/>
  <c r="J18" i="25" s="1"/>
  <c r="J18" i="24" s="1"/>
  <c r="J18" i="23" s="1"/>
  <c r="J18" i="21" s="1"/>
  <c r="J18" i="22" s="1"/>
  <c r="J18" i="20" s="1"/>
  <c r="J14" i="29"/>
  <c r="J14" i="27" s="1"/>
  <c r="J14" i="28" s="1"/>
  <c r="J14" i="26" s="1"/>
  <c r="J14" i="25" s="1"/>
  <c r="J14" i="24" s="1"/>
  <c r="J14" i="23" s="1"/>
  <c r="J14" i="21" s="1"/>
  <c r="J14" i="22" s="1"/>
  <c r="J14" i="20" s="1"/>
  <c r="J26" i="29"/>
  <c r="J26" i="27" s="1"/>
  <c r="J26" i="28" s="1"/>
  <c r="J26" i="26" s="1"/>
  <c r="J19" i="29"/>
  <c r="J19" i="27" s="1"/>
  <c r="J19" i="28" s="1"/>
  <c r="J19" i="26" s="1"/>
  <c r="J19" i="25" s="1"/>
  <c r="J19" i="24" s="1"/>
  <c r="J19" i="23" s="1"/>
  <c r="J19" i="21" s="1"/>
  <c r="J19" i="22" s="1"/>
  <c r="J19" i="20" s="1"/>
  <c r="J22" i="29"/>
  <c r="J22" i="27" s="1"/>
  <c r="J22" i="28" s="1"/>
  <c r="J22" i="26" s="1"/>
  <c r="J22" i="25" s="1"/>
  <c r="J22" i="24" s="1"/>
  <c r="J22" i="23" s="1"/>
  <c r="J22" i="21" s="1"/>
  <c r="J22" i="22" s="1"/>
  <c r="J22" i="20" s="1"/>
  <c r="J27" i="29"/>
  <c r="J27" i="27" s="1"/>
  <c r="J27" i="28" s="1"/>
  <c r="J27" i="26" s="1"/>
  <c r="J15" i="29"/>
  <c r="J15" i="27" s="1"/>
  <c r="J15" i="28" s="1"/>
  <c r="J15" i="26" s="1"/>
  <c r="J15" i="25" s="1"/>
  <c r="J15" i="24" s="1"/>
  <c r="J15" i="23" s="1"/>
  <c r="J15" i="21" s="1"/>
  <c r="J15" i="22" s="1"/>
  <c r="J15" i="20" s="1"/>
  <c r="J23" i="29"/>
  <c r="J23" i="27" s="1"/>
  <c r="J23" i="28" s="1"/>
  <c r="J23" i="26" s="1"/>
  <c r="J23" i="25" s="1"/>
  <c r="J23" i="24" s="1"/>
  <c r="J23" i="23" s="1"/>
  <c r="J23" i="21" s="1"/>
  <c r="J23" i="22" s="1"/>
  <c r="J23" i="20" s="1"/>
  <c r="J28" i="29"/>
  <c r="J28" i="27" s="1"/>
  <c r="J28" i="28" s="1"/>
  <c r="J28" i="26" s="1"/>
  <c r="J29" i="29"/>
  <c r="J29" i="27" s="1"/>
  <c r="J29" i="28" s="1"/>
  <c r="J29" i="26" s="1"/>
  <c r="J11" i="29"/>
  <c r="J11" i="27" s="1"/>
  <c r="J11" i="26" s="1"/>
  <c r="J11" i="25" s="1"/>
  <c r="J11" i="24" s="1"/>
  <c r="J11" i="23" s="1"/>
  <c r="J11" i="21" s="1"/>
  <c r="J11" i="22" s="1"/>
  <c r="J11" i="20" s="1"/>
  <c r="J16" i="29"/>
  <c r="J16" i="27" s="1"/>
  <c r="J16" i="28" s="1"/>
  <c r="J16" i="26" s="1"/>
  <c r="J16" i="25" s="1"/>
  <c r="J16" i="24" s="1"/>
  <c r="J16" i="23" s="1"/>
  <c r="J16" i="21" s="1"/>
  <c r="J16" i="22" s="1"/>
  <c r="J16" i="20" s="1"/>
  <c r="J20" i="29"/>
  <c r="J20" i="27" s="1"/>
  <c r="J20" i="28" s="1"/>
  <c r="J20" i="26" s="1"/>
  <c r="J20" i="25" s="1"/>
  <c r="J20" i="24" s="1"/>
  <c r="J20" i="23" s="1"/>
  <c r="J20" i="21" s="1"/>
  <c r="J20" i="22" s="1"/>
  <c r="J20" i="20" s="1"/>
  <c r="F30" i="45"/>
  <c r="J30" i="29"/>
  <c r="J30" i="27" s="1"/>
  <c r="J30" i="28" s="1"/>
  <c r="J30" i="26" s="1"/>
  <c r="J30" i="25" s="1"/>
  <c r="J15" i="45"/>
  <c r="D27" i="2"/>
  <c r="N20" i="45"/>
  <c r="D21" i="2"/>
  <c r="F18" i="45"/>
  <c r="J18" i="45"/>
  <c r="N18" i="45"/>
  <c r="N16" i="45"/>
  <c r="N17" i="45"/>
  <c r="J30" i="45"/>
  <c r="J28" i="45"/>
  <c r="N14" i="45"/>
  <c r="N26" i="45"/>
  <c r="D28" i="2"/>
  <c r="F14" i="45"/>
  <c r="F17" i="45"/>
  <c r="F26" i="45"/>
  <c r="J14" i="45"/>
  <c r="J26" i="45"/>
  <c r="D16" i="2"/>
  <c r="D26" i="2"/>
  <c r="D25" i="2" s="1"/>
  <c r="N21" i="45"/>
  <c r="F24" i="45"/>
  <c r="J27" i="45"/>
  <c r="D20" i="2"/>
  <c r="F36" i="45"/>
  <c r="D22" i="2"/>
  <c r="N36" i="45"/>
  <c r="F33" i="45"/>
  <c r="N33" i="45"/>
  <c r="D24" i="2"/>
  <c r="D33" i="2"/>
  <c r="J33" i="45"/>
  <c r="N29" i="45"/>
  <c r="J36" i="45"/>
  <c r="D31" i="2"/>
  <c r="N23" i="45"/>
  <c r="N24" i="45"/>
  <c r="D32" i="2"/>
  <c r="J25" i="45"/>
  <c r="D38" i="2"/>
  <c r="J20" i="45"/>
  <c r="F22" i="45"/>
  <c r="F27" i="45"/>
  <c r="J29" i="45"/>
  <c r="J22" i="45"/>
  <c r="F31" i="45"/>
  <c r="D35" i="2"/>
  <c r="N22" i="45"/>
  <c r="J31" i="45"/>
  <c r="E45" i="32"/>
  <c r="F25" i="45"/>
  <c r="N31" i="45"/>
  <c r="D19" i="2"/>
  <c r="N25" i="45"/>
  <c r="F32" i="45"/>
  <c r="D10" i="2"/>
  <c r="F20" i="45"/>
  <c r="N27" i="45"/>
  <c r="J34" i="45"/>
  <c r="N28" i="45"/>
  <c r="J24" i="45"/>
  <c r="N35" i="45"/>
  <c r="F35" i="45"/>
  <c r="N34" i="45"/>
  <c r="F23" i="45"/>
  <c r="F28" i="45"/>
  <c r="M7" i="33"/>
  <c r="M34" i="33" s="1"/>
  <c r="J40" i="33" s="1"/>
  <c r="J48" i="33" s="1"/>
  <c r="N8" i="45"/>
  <c r="F8" i="45"/>
  <c r="J8" i="45"/>
  <c r="D39" i="2" s="1"/>
  <c r="D17" i="2"/>
  <c r="D30" i="2"/>
  <c r="D36" i="2"/>
  <c r="D41" i="1"/>
  <c r="C23" i="45"/>
  <c r="K23" i="45" s="1"/>
  <c r="E24" i="1"/>
  <c r="D37" i="2"/>
  <c r="D18" i="2"/>
  <c r="F16" i="45"/>
  <c r="N30" i="45"/>
  <c r="J35" i="45"/>
  <c r="D15" i="2"/>
  <c r="D40" i="2"/>
  <c r="Q37" i="45"/>
  <c r="J16" i="45"/>
  <c r="JE21" i="1"/>
  <c r="IS21" i="1"/>
  <c r="IG21" i="1"/>
  <c r="HU21" i="1"/>
  <c r="HI21" i="1"/>
  <c r="GW21" i="1"/>
  <c r="GK21" i="1"/>
  <c r="FY21" i="1"/>
  <c r="FM21" i="1"/>
  <c r="FA21" i="1"/>
  <c r="EO21" i="1"/>
  <c r="EC21" i="1"/>
  <c r="DQ21" i="1"/>
  <c r="DE21" i="1"/>
  <c r="CS21" i="1"/>
  <c r="CG21" i="1"/>
  <c r="BU21" i="1"/>
  <c r="BI21" i="1"/>
  <c r="AW21" i="1"/>
  <c r="AK21" i="1"/>
  <c r="Y21" i="1"/>
  <c r="M21" i="1"/>
  <c r="JB21" i="1"/>
  <c r="IA21" i="1"/>
  <c r="GZ21" i="1"/>
  <c r="FJ21" i="1"/>
  <c r="EI21" i="1"/>
  <c r="DH21" i="1"/>
  <c r="BR21" i="1"/>
  <c r="AQ21" i="1"/>
  <c r="P21" i="1"/>
  <c r="IM21" i="1"/>
  <c r="HL21" i="1"/>
  <c r="FV21" i="1"/>
  <c r="EU21" i="1"/>
  <c r="DT21" i="1"/>
  <c r="CD21" i="1"/>
  <c r="BC21" i="1"/>
  <c r="AB21" i="1"/>
  <c r="IY21" i="1"/>
  <c r="HX21" i="1"/>
  <c r="GH21" i="1"/>
  <c r="FG21" i="1"/>
  <c r="EF21" i="1"/>
  <c r="CP21" i="1"/>
  <c r="BO21" i="1"/>
  <c r="AN21" i="1"/>
  <c r="IJ21" i="1"/>
  <c r="GT21" i="1"/>
  <c r="FS21" i="1"/>
  <c r="ER21" i="1"/>
  <c r="DB21" i="1"/>
  <c r="CA21" i="1"/>
  <c r="AZ21" i="1"/>
  <c r="J21" i="1"/>
  <c r="IV21" i="1"/>
  <c r="HF21" i="1"/>
  <c r="GE21" i="1"/>
  <c r="FD21" i="1"/>
  <c r="DN21" i="1"/>
  <c r="CM21" i="1"/>
  <c r="BL21" i="1"/>
  <c r="V21" i="1"/>
  <c r="ID21" i="1"/>
  <c r="HC21" i="1"/>
  <c r="GB21" i="1"/>
  <c r="EL21" i="1"/>
  <c r="DK21" i="1"/>
  <c r="CJ21" i="1"/>
  <c r="AT21" i="1"/>
  <c r="S21" i="1"/>
  <c r="FP21" i="1"/>
  <c r="DZ21" i="1"/>
  <c r="AE21" i="1"/>
  <c r="IP21" i="1"/>
  <c r="G21" i="1"/>
  <c r="JH21" i="1"/>
  <c r="HR21" i="1"/>
  <c r="DW21" i="1"/>
  <c r="CY21" i="1"/>
  <c r="HO21" i="1"/>
  <c r="BX21" i="1"/>
  <c r="AH21" i="1"/>
  <c r="GQ21" i="1"/>
  <c r="EX21" i="1"/>
  <c r="GN21" i="1"/>
  <c r="BF21" i="1"/>
  <c r="CV21" i="1"/>
  <c r="F29" i="45"/>
  <c r="J32" i="45"/>
  <c r="C31" i="45"/>
  <c r="D34" i="2" s="1"/>
  <c r="E32" i="1"/>
  <c r="F15" i="45"/>
  <c r="N32" i="45"/>
  <c r="K34" i="37"/>
  <c r="I40" i="37" s="1"/>
  <c r="I48" i="37" s="1"/>
  <c r="J57" i="21"/>
  <c r="J57" i="22" s="1"/>
  <c r="J57" i="20" s="1"/>
  <c r="J57" i="19" s="1"/>
  <c r="J57" i="18" s="1"/>
  <c r="I40" i="8"/>
  <c r="K34" i="7"/>
  <c r="K34" i="9"/>
  <c r="I45" i="22"/>
  <c r="K34" i="12"/>
  <c r="K34" i="11"/>
  <c r="J57" i="32"/>
  <c r="J57" i="31" s="1"/>
  <c r="C35" i="13"/>
  <c r="I48" i="22"/>
  <c r="K34" i="16"/>
  <c r="K34" i="13"/>
  <c r="K34" i="14"/>
  <c r="I40" i="17"/>
  <c r="I48" i="17" s="1"/>
  <c r="K34" i="15"/>
  <c r="K34" i="19"/>
  <c r="C35" i="4"/>
  <c r="M9" i="25"/>
  <c r="M9" i="24" s="1"/>
  <c r="M9" i="23" s="1"/>
  <c r="M9" i="21" s="1"/>
  <c r="M9" i="22" s="1"/>
  <c r="M9" i="20" s="1"/>
  <c r="M9" i="19" s="1"/>
  <c r="M9" i="18" s="1"/>
  <c r="M9" i="17" s="1"/>
  <c r="M9" i="16" s="1"/>
  <c r="M9" i="15" s="1"/>
  <c r="M9" i="14" s="1"/>
  <c r="M9" i="13" s="1"/>
  <c r="M9" i="12" s="1"/>
  <c r="M9" i="11" s="1"/>
  <c r="M9" i="10" s="1"/>
  <c r="M9" i="9" s="1"/>
  <c r="M9" i="8" s="1"/>
  <c r="M9" i="7" s="1"/>
  <c r="M9" i="6" s="1"/>
  <c r="M9" i="37" s="1"/>
  <c r="M9" i="4" s="1"/>
  <c r="M9" i="43" s="1"/>
  <c r="J10" i="23"/>
  <c r="J10" i="21" s="1"/>
  <c r="J10" i="22" s="1"/>
  <c r="J10" i="20" s="1"/>
  <c r="I40" i="21"/>
  <c r="R20" i="48" s="1"/>
  <c r="E20" i="1" s="1"/>
  <c r="K34" i="23"/>
  <c r="BC21" i="48"/>
  <c r="C20" i="45"/>
  <c r="K34" i="24"/>
  <c r="E35" i="4"/>
  <c r="K34" i="25"/>
  <c r="K34" i="26"/>
  <c r="C35" i="25"/>
  <c r="K34" i="28"/>
  <c r="D40" i="31"/>
  <c r="D40" i="30" s="1"/>
  <c r="K34" i="29"/>
  <c r="K34" i="30"/>
  <c r="E35" i="37"/>
  <c r="BC24" i="48"/>
  <c r="BC32" i="48"/>
  <c r="C35" i="37"/>
  <c r="D35" i="37"/>
  <c r="I51" i="43"/>
  <c r="R39" i="48"/>
  <c r="I45" i="43"/>
  <c r="I48" i="43"/>
  <c r="I32" i="48"/>
  <c r="I51" i="6"/>
  <c r="I45" i="6"/>
  <c r="R36" i="48"/>
  <c r="E36" i="1" s="1"/>
  <c r="F38" i="45"/>
  <c r="J38" i="45"/>
  <c r="N38" i="45"/>
  <c r="J37" i="45"/>
  <c r="N37" i="45"/>
  <c r="F37" i="45"/>
  <c r="B40" i="45"/>
  <c r="J32" i="48"/>
  <c r="AD32" i="48"/>
  <c r="J56" i="33"/>
  <c r="J56" i="32" s="1"/>
  <c r="J56" i="31" s="1"/>
  <c r="E35" i="33"/>
  <c r="D35" i="13"/>
  <c r="C35" i="32"/>
  <c r="E35" i="28"/>
  <c r="M10" i="21"/>
  <c r="M10" i="22" s="1"/>
  <c r="M10" i="20" s="1"/>
  <c r="M10" i="19" s="1"/>
  <c r="M10" i="18" s="1"/>
  <c r="M10" i="17" s="1"/>
  <c r="M10" i="16" s="1"/>
  <c r="M10" i="15" s="1"/>
  <c r="M10" i="14" s="1"/>
  <c r="M10" i="13" s="1"/>
  <c r="M10" i="12" s="1"/>
  <c r="M10" i="11" s="1"/>
  <c r="M10" i="10" s="1"/>
  <c r="M10" i="9" s="1"/>
  <c r="M10" i="8" s="1"/>
  <c r="M10" i="7" s="1"/>
  <c r="M10" i="6" s="1"/>
  <c r="M10" i="37" s="1"/>
  <c r="M10" i="4" s="1"/>
  <c r="M10" i="43" s="1"/>
  <c r="J24" i="48"/>
  <c r="F33" i="48"/>
  <c r="F27" i="48"/>
  <c r="AJ24" i="48"/>
  <c r="I45" i="18"/>
  <c r="I48" i="18"/>
  <c r="AD24" i="48"/>
  <c r="I24" i="48"/>
  <c r="AD21" i="48"/>
  <c r="D35" i="25"/>
  <c r="E35" i="25"/>
  <c r="J46" i="31"/>
  <c r="J47" i="31" s="1"/>
  <c r="E35" i="32"/>
  <c r="J38" i="30"/>
  <c r="J38" i="29" s="1"/>
  <c r="J38" i="27" s="1"/>
  <c r="J38" i="28" s="1"/>
  <c r="J38" i="26" s="1"/>
  <c r="J38" i="25" s="1"/>
  <c r="J38" i="24" s="1"/>
  <c r="J38" i="23" s="1"/>
  <c r="J38" i="21" s="1"/>
  <c r="J38" i="22" s="1"/>
  <c r="J38" i="20" s="1"/>
  <c r="J38" i="19" s="1"/>
  <c r="J38" i="18" s="1"/>
  <c r="J38" i="17" s="1"/>
  <c r="J38" i="16" s="1"/>
  <c r="J38" i="15" s="1"/>
  <c r="J38" i="14" s="1"/>
  <c r="J38" i="13" s="1"/>
  <c r="J38" i="12" s="1"/>
  <c r="J38" i="11" s="1"/>
  <c r="J38" i="10" s="1"/>
  <c r="J38" i="9" s="1"/>
  <c r="J38" i="8" s="1"/>
  <c r="J38" i="7" s="1"/>
  <c r="J38" i="6" s="1"/>
  <c r="J38" i="37" s="1"/>
  <c r="J38" i="4" s="1"/>
  <c r="J38" i="43" s="1"/>
  <c r="D47" i="31"/>
  <c r="D47" i="30" s="1"/>
  <c r="D47" i="29" s="1"/>
  <c r="D45" i="31"/>
  <c r="D45" i="30" s="1"/>
  <c r="E45" i="30" s="1"/>
  <c r="E49" i="32"/>
  <c r="D35" i="32"/>
  <c r="M8" i="32"/>
  <c r="C35" i="33"/>
  <c r="E51" i="32"/>
  <c r="D39" i="31"/>
  <c r="D39" i="30" s="1"/>
  <c r="E39" i="30" s="1"/>
  <c r="E40" i="32"/>
  <c r="D41" i="31"/>
  <c r="E41" i="31" s="1"/>
  <c r="D44" i="31"/>
  <c r="D44" i="30" s="1"/>
  <c r="D44" i="29" s="1"/>
  <c r="D49" i="30"/>
  <c r="D49" i="29" s="1"/>
  <c r="AB41" i="48"/>
  <c r="E43" i="32"/>
  <c r="D35" i="33"/>
  <c r="E43" i="31"/>
  <c r="D43" i="30"/>
  <c r="D43" i="29" s="1"/>
  <c r="E43" i="29" s="1"/>
  <c r="F24" i="48"/>
  <c r="F22" i="48"/>
  <c r="F21" i="48"/>
  <c r="R22" i="48"/>
  <c r="E22" i="1" s="1"/>
  <c r="D35" i="28"/>
  <c r="C35" i="29"/>
  <c r="D35" i="29"/>
  <c r="I45" i="20"/>
  <c r="F39" i="48"/>
  <c r="C35" i="28"/>
  <c r="I21" i="48"/>
  <c r="AJ21" i="48"/>
  <c r="J21" i="48"/>
  <c r="E35" i="29"/>
  <c r="F20" i="48"/>
  <c r="D35" i="43"/>
  <c r="C35" i="43"/>
  <c r="I51" i="4"/>
  <c r="R38" i="48"/>
  <c r="E38" i="1" s="1"/>
  <c r="E35" i="43"/>
  <c r="E35" i="13"/>
  <c r="I45" i="4"/>
  <c r="J44" i="32"/>
  <c r="J43" i="31"/>
  <c r="F16" i="48"/>
  <c r="D48" i="31"/>
  <c r="E48" i="31" s="1"/>
  <c r="D52" i="32"/>
  <c r="D38" i="31"/>
  <c r="D38" i="30" s="1"/>
  <c r="E50" i="32"/>
  <c r="D50" i="31"/>
  <c r="E52" i="33"/>
  <c r="E53" i="33" s="1"/>
  <c r="D42" i="31"/>
  <c r="E42" i="32"/>
  <c r="D46" i="31"/>
  <c r="E46" i="32"/>
  <c r="E51" i="31"/>
  <c r="D51" i="30"/>
  <c r="A12" i="2"/>
  <c r="F38" i="48"/>
  <c r="F34" i="48"/>
  <c r="F19" i="48"/>
  <c r="F14" i="48"/>
  <c r="F10" i="48"/>
  <c r="J39" i="33"/>
  <c r="J37" i="32"/>
  <c r="F31" i="48"/>
  <c r="F37" i="48"/>
  <c r="F26" i="48"/>
  <c r="F11" i="48"/>
  <c r="F9" i="48"/>
  <c r="AH39" i="48"/>
  <c r="AH14" i="48"/>
  <c r="AF41" i="48"/>
  <c r="AH26" i="48"/>
  <c r="AJ32" i="48"/>
  <c r="AH32" i="48"/>
  <c r="AH35" i="48"/>
  <c r="Q11" i="48"/>
  <c r="AC10" i="48"/>
  <c r="AH20" i="48"/>
  <c r="AH25" i="48"/>
  <c r="AH22" i="48"/>
  <c r="AH27" i="48"/>
  <c r="AH28" i="48"/>
  <c r="AH31" i="48"/>
  <c r="AH37" i="48"/>
  <c r="AH23" i="48"/>
  <c r="AH38" i="48"/>
  <c r="X133" i="46" l="1"/>
  <c r="AA133" i="46"/>
  <c r="AB133" i="46" s="1"/>
  <c r="K31" i="45"/>
  <c r="J27" i="25"/>
  <c r="J27" i="24"/>
  <c r="J27" i="23" s="1"/>
  <c r="J27" i="21" s="1"/>
  <c r="J27" i="22" s="1"/>
  <c r="J27" i="20" s="1"/>
  <c r="J26" i="25"/>
  <c r="J26" i="24"/>
  <c r="J26" i="23" s="1"/>
  <c r="J26" i="21" s="1"/>
  <c r="J26" i="22" s="1"/>
  <c r="J26" i="20" s="1"/>
  <c r="J26" i="19" s="1"/>
  <c r="J26" i="18" s="1"/>
  <c r="J26" i="17" s="1"/>
  <c r="J24" i="25"/>
  <c r="J24" i="24"/>
  <c r="J24" i="23" s="1"/>
  <c r="J24" i="21" s="1"/>
  <c r="J24" i="22" s="1"/>
  <c r="J24" i="20" s="1"/>
  <c r="J24" i="19" s="1"/>
  <c r="J24" i="18" s="1"/>
  <c r="J24" i="17" s="1"/>
  <c r="J29" i="24"/>
  <c r="J29" i="23" s="1"/>
  <c r="J29" i="21" s="1"/>
  <c r="J29" i="22" s="1"/>
  <c r="J29" i="20" s="1"/>
  <c r="J29" i="19" s="1"/>
  <c r="J29" i="18" s="1"/>
  <c r="J29" i="17" s="1"/>
  <c r="J29" i="25"/>
  <c r="J28" i="25"/>
  <c r="J28" i="24"/>
  <c r="J28" i="23" s="1"/>
  <c r="J28" i="21" s="1"/>
  <c r="J28" i="22" s="1"/>
  <c r="J28" i="20" s="1"/>
  <c r="J31" i="24"/>
  <c r="J31" i="23" s="1"/>
  <c r="J31" i="21" s="1"/>
  <c r="J31" i="22" s="1"/>
  <c r="J31" i="20" s="1"/>
  <c r="J31" i="25"/>
  <c r="J32" i="24"/>
  <c r="J32" i="23" s="1"/>
  <c r="J32" i="25"/>
  <c r="J25" i="25"/>
  <c r="J25" i="24"/>
  <c r="J30" i="24"/>
  <c r="J30" i="23" s="1"/>
  <c r="J30" i="21" s="1"/>
  <c r="J30" i="22" s="1"/>
  <c r="J30" i="20" s="1"/>
  <c r="G23" i="45"/>
  <c r="X6" i="46"/>
  <c r="K34" i="33"/>
  <c r="I40" i="33" s="1"/>
  <c r="R9" i="48" s="1"/>
  <c r="AJ9" i="48" s="1"/>
  <c r="R23" i="45"/>
  <c r="O23" i="45"/>
  <c r="O31" i="45"/>
  <c r="I45" i="37"/>
  <c r="R37" i="48"/>
  <c r="E37" i="1" s="1"/>
  <c r="HX32" i="1"/>
  <c r="DN32" i="1"/>
  <c r="CV32" i="1"/>
  <c r="CD32" i="1"/>
  <c r="ID32" i="1"/>
  <c r="HL32" i="1"/>
  <c r="GT32" i="1"/>
  <c r="AT32" i="1"/>
  <c r="AB32" i="1"/>
  <c r="J32" i="1"/>
  <c r="FJ32" i="1"/>
  <c r="ER32" i="1"/>
  <c r="DZ32" i="1"/>
  <c r="IP32" i="1"/>
  <c r="CP32" i="1"/>
  <c r="BX32" i="1"/>
  <c r="BF32" i="1"/>
  <c r="IS32" i="1"/>
  <c r="HF32" i="1"/>
  <c r="GN32" i="1"/>
  <c r="FV32" i="1"/>
  <c r="V32" i="1"/>
  <c r="JB32" i="1"/>
  <c r="IJ32" i="1"/>
  <c r="HR32" i="1"/>
  <c r="BR32" i="1"/>
  <c r="AZ32" i="1"/>
  <c r="AH32" i="1"/>
  <c r="DT32" i="1"/>
  <c r="EL32" i="1"/>
  <c r="EX32" i="1"/>
  <c r="FP32" i="1"/>
  <c r="DB32" i="1"/>
  <c r="GH32" i="1"/>
  <c r="DH32" i="1"/>
  <c r="FD32" i="1"/>
  <c r="GZ32" i="1"/>
  <c r="AW32" i="1"/>
  <c r="EO32" i="1"/>
  <c r="IG32" i="1"/>
  <c r="BC32" i="1"/>
  <c r="EU32" i="1"/>
  <c r="IM32" i="1"/>
  <c r="IV32" i="1"/>
  <c r="AN32" i="1"/>
  <c r="CJ32" i="1"/>
  <c r="P32" i="1"/>
  <c r="GB32" i="1"/>
  <c r="BU32" i="1"/>
  <c r="FY32" i="1"/>
  <c r="JE32" i="1"/>
  <c r="AQ32" i="1"/>
  <c r="FG32" i="1"/>
  <c r="CG32" i="1"/>
  <c r="GK32" i="1"/>
  <c r="BO32" i="1"/>
  <c r="FS32" i="1"/>
  <c r="CS32" i="1"/>
  <c r="GW32" i="1"/>
  <c r="CA32" i="1"/>
  <c r="GE32" i="1"/>
  <c r="DE32" i="1"/>
  <c r="HI32" i="1"/>
  <c r="CM32" i="1"/>
  <c r="GQ32" i="1"/>
  <c r="EF32" i="1"/>
  <c r="M32" i="1"/>
  <c r="DQ32" i="1"/>
  <c r="HU32" i="1"/>
  <c r="CY32" i="1"/>
  <c r="HC32" i="1"/>
  <c r="BI32" i="1"/>
  <c r="S32" i="1"/>
  <c r="EC32" i="1"/>
  <c r="AE32" i="1"/>
  <c r="FA32" i="1"/>
  <c r="DK32" i="1"/>
  <c r="FM32" i="1"/>
  <c r="DW32" i="1"/>
  <c r="EI32" i="1"/>
  <c r="BL32" i="1"/>
  <c r="Y32" i="1"/>
  <c r="JH32" i="1"/>
  <c r="IA32" i="1"/>
  <c r="AK32" i="1"/>
  <c r="G32" i="1"/>
  <c r="IY32" i="1"/>
  <c r="HO32" i="1"/>
  <c r="HU24" i="1"/>
  <c r="GT24" i="1"/>
  <c r="FS24" i="1"/>
  <c r="EC24" i="1"/>
  <c r="DB24" i="1"/>
  <c r="CA24" i="1"/>
  <c r="IG24" i="1"/>
  <c r="HF24" i="1"/>
  <c r="GE24" i="1"/>
  <c r="EO24" i="1"/>
  <c r="DN24" i="1"/>
  <c r="CM24" i="1"/>
  <c r="AW24" i="1"/>
  <c r="AK24" i="1"/>
  <c r="Y24" i="1"/>
  <c r="M24" i="1"/>
  <c r="IS24" i="1"/>
  <c r="HR24" i="1"/>
  <c r="GQ24" i="1"/>
  <c r="FA24" i="1"/>
  <c r="DZ24" i="1"/>
  <c r="CY24" i="1"/>
  <c r="BI24" i="1"/>
  <c r="JE24" i="1"/>
  <c r="ID24" i="1"/>
  <c r="HC24" i="1"/>
  <c r="FM24" i="1"/>
  <c r="EL24" i="1"/>
  <c r="DK24" i="1"/>
  <c r="BU24" i="1"/>
  <c r="AT24" i="1"/>
  <c r="AH24" i="1"/>
  <c r="V24" i="1"/>
  <c r="J24" i="1"/>
  <c r="IP24" i="1"/>
  <c r="HO24" i="1"/>
  <c r="FY24" i="1"/>
  <c r="EX24" i="1"/>
  <c r="DW24" i="1"/>
  <c r="CG24" i="1"/>
  <c r="BF24" i="1"/>
  <c r="JB24" i="1"/>
  <c r="IA24" i="1"/>
  <c r="GK24" i="1"/>
  <c r="FJ24" i="1"/>
  <c r="EI24" i="1"/>
  <c r="CS24" i="1"/>
  <c r="BR24" i="1"/>
  <c r="AQ24" i="1"/>
  <c r="AE24" i="1"/>
  <c r="S24" i="1"/>
  <c r="G24" i="1"/>
  <c r="BO24" i="1"/>
  <c r="AB24" i="1"/>
  <c r="IM24" i="1"/>
  <c r="GW24" i="1"/>
  <c r="JH24" i="1"/>
  <c r="FG24" i="1"/>
  <c r="DQ24" i="1"/>
  <c r="CD24" i="1"/>
  <c r="AN24" i="1"/>
  <c r="IY24" i="1"/>
  <c r="HI24" i="1"/>
  <c r="FV24" i="1"/>
  <c r="EU24" i="1"/>
  <c r="P24" i="1"/>
  <c r="GH24" i="1"/>
  <c r="BC24" i="1"/>
  <c r="DE24" i="1"/>
  <c r="CP24" i="1"/>
  <c r="AZ24" i="1"/>
  <c r="ER24" i="1"/>
  <c r="IJ24" i="1"/>
  <c r="BL24" i="1"/>
  <c r="FD24" i="1"/>
  <c r="IV24" i="1"/>
  <c r="CJ24" i="1"/>
  <c r="GB24" i="1"/>
  <c r="CV24" i="1"/>
  <c r="HX24" i="1"/>
  <c r="DH24" i="1"/>
  <c r="DT24" i="1"/>
  <c r="EF24" i="1"/>
  <c r="FP24" i="1"/>
  <c r="GZ24" i="1"/>
  <c r="BX24" i="1"/>
  <c r="HL24" i="1"/>
  <c r="GN24" i="1"/>
  <c r="I51" i="37"/>
  <c r="G38" i="1"/>
  <c r="JB38" i="1"/>
  <c r="AW38" i="1"/>
  <c r="EO38" i="1"/>
  <c r="IG38" i="1"/>
  <c r="CJ38" i="1"/>
  <c r="GB38" i="1"/>
  <c r="CM38" i="1"/>
  <c r="GE38" i="1"/>
  <c r="BR38" i="1"/>
  <c r="FJ38" i="1"/>
  <c r="BU38" i="1"/>
  <c r="FM38" i="1"/>
  <c r="JE38" i="1"/>
  <c r="CG38" i="1"/>
  <c r="FY38" i="1"/>
  <c r="AB38" i="1"/>
  <c r="DT38" i="1"/>
  <c r="HL38" i="1"/>
  <c r="AK38" i="1"/>
  <c r="GW38" i="1"/>
  <c r="CV38" i="1"/>
  <c r="HX38" i="1"/>
  <c r="DK38" i="1"/>
  <c r="HO38" i="1"/>
  <c r="AT38" i="1"/>
  <c r="EX38" i="1"/>
  <c r="BI38" i="1"/>
  <c r="HI38" i="1"/>
  <c r="DH38" i="1"/>
  <c r="IJ38" i="1"/>
  <c r="S38" i="1"/>
  <c r="DW38" i="1"/>
  <c r="IA38" i="1"/>
  <c r="BF38" i="1"/>
  <c r="FV38" i="1"/>
  <c r="GH38" i="1"/>
  <c r="CS38" i="1"/>
  <c r="HU38" i="1"/>
  <c r="EF38" i="1"/>
  <c r="IV38" i="1"/>
  <c r="AE38" i="1"/>
  <c r="EI38" i="1"/>
  <c r="IM38" i="1"/>
  <c r="CD38" i="1"/>
  <c r="DE38" i="1"/>
  <c r="IS38" i="1"/>
  <c r="P38" i="1"/>
  <c r="ER38" i="1"/>
  <c r="EU38" i="1"/>
  <c r="CP38" i="1"/>
  <c r="GT38" i="1"/>
  <c r="JH38" i="1"/>
  <c r="AQ38" i="1"/>
  <c r="IY38" i="1"/>
  <c r="DQ38" i="1"/>
  <c r="AN38" i="1"/>
  <c r="FD38" i="1"/>
  <c r="BC38" i="1"/>
  <c r="FG38" i="1"/>
  <c r="DB38" i="1"/>
  <c r="HF38" i="1"/>
  <c r="M38" i="1"/>
  <c r="FA38" i="1"/>
  <c r="BL38" i="1"/>
  <c r="GN38" i="1"/>
  <c r="CA38" i="1"/>
  <c r="GQ38" i="1"/>
  <c r="V38" i="1"/>
  <c r="DZ38" i="1"/>
  <c r="ID38" i="1"/>
  <c r="Y38" i="1"/>
  <c r="GK38" i="1"/>
  <c r="BX38" i="1"/>
  <c r="GZ38" i="1"/>
  <c r="CY38" i="1"/>
  <c r="HC38" i="1"/>
  <c r="FP38" i="1"/>
  <c r="FS38" i="1"/>
  <c r="HR38" i="1"/>
  <c r="IP38" i="1"/>
  <c r="EC38" i="1"/>
  <c r="BO38" i="1"/>
  <c r="AZ38" i="1"/>
  <c r="J38" i="1"/>
  <c r="AH38" i="1"/>
  <c r="EL38" i="1"/>
  <c r="DN38" i="1"/>
  <c r="JH22" i="1"/>
  <c r="IV22" i="1"/>
  <c r="IJ22" i="1"/>
  <c r="HX22" i="1"/>
  <c r="HL22" i="1"/>
  <c r="GZ22" i="1"/>
  <c r="GN22" i="1"/>
  <c r="GB22" i="1"/>
  <c r="FP22" i="1"/>
  <c r="FD22" i="1"/>
  <c r="ER22" i="1"/>
  <c r="EF22" i="1"/>
  <c r="DT22" i="1"/>
  <c r="DH22" i="1"/>
  <c r="CV22" i="1"/>
  <c r="CJ22" i="1"/>
  <c r="BX22" i="1"/>
  <c r="BL22" i="1"/>
  <c r="AZ22" i="1"/>
  <c r="AN22" i="1"/>
  <c r="AB22" i="1"/>
  <c r="P22" i="1"/>
  <c r="JE22" i="1"/>
  <c r="IS22" i="1"/>
  <c r="IG22" i="1"/>
  <c r="HU22" i="1"/>
  <c r="HI22" i="1"/>
  <c r="GW22" i="1"/>
  <c r="GK22" i="1"/>
  <c r="FY22" i="1"/>
  <c r="FM22" i="1"/>
  <c r="FA22" i="1"/>
  <c r="EO22" i="1"/>
  <c r="EC22" i="1"/>
  <c r="DQ22" i="1"/>
  <c r="DE22" i="1"/>
  <c r="CS22" i="1"/>
  <c r="CG22" i="1"/>
  <c r="BU22" i="1"/>
  <c r="BI22" i="1"/>
  <c r="AW22" i="1"/>
  <c r="AK22" i="1"/>
  <c r="Y22" i="1"/>
  <c r="M22" i="1"/>
  <c r="JB22" i="1"/>
  <c r="IP22" i="1"/>
  <c r="ID22" i="1"/>
  <c r="HR22" i="1"/>
  <c r="HF22" i="1"/>
  <c r="GT22" i="1"/>
  <c r="GH22" i="1"/>
  <c r="FV22" i="1"/>
  <c r="FJ22" i="1"/>
  <c r="EX22" i="1"/>
  <c r="EL22" i="1"/>
  <c r="DZ22" i="1"/>
  <c r="DN22" i="1"/>
  <c r="DB22" i="1"/>
  <c r="CP22" i="1"/>
  <c r="CD22" i="1"/>
  <c r="BR22" i="1"/>
  <c r="BF22" i="1"/>
  <c r="AT22" i="1"/>
  <c r="AH22" i="1"/>
  <c r="V22" i="1"/>
  <c r="J22" i="1"/>
  <c r="FS22" i="1"/>
  <c r="CA22" i="1"/>
  <c r="HC22" i="1"/>
  <c r="DK22" i="1"/>
  <c r="S22" i="1"/>
  <c r="IM22" i="1"/>
  <c r="EU22" i="1"/>
  <c r="BC22" i="1"/>
  <c r="GE22" i="1"/>
  <c r="CM22" i="1"/>
  <c r="HO22" i="1"/>
  <c r="DW22" i="1"/>
  <c r="AE22" i="1"/>
  <c r="GQ22" i="1"/>
  <c r="CY22" i="1"/>
  <c r="G22" i="1"/>
  <c r="IY22" i="1"/>
  <c r="IA22" i="1"/>
  <c r="FG22" i="1"/>
  <c r="BO22" i="1"/>
  <c r="EI22" i="1"/>
  <c r="AQ22" i="1"/>
  <c r="IY20" i="1"/>
  <c r="IM20" i="1"/>
  <c r="IA20" i="1"/>
  <c r="HO20" i="1"/>
  <c r="HC20" i="1"/>
  <c r="GQ20" i="1"/>
  <c r="GE20" i="1"/>
  <c r="FS20" i="1"/>
  <c r="FG20" i="1"/>
  <c r="EU20" i="1"/>
  <c r="EI20" i="1"/>
  <c r="DW20" i="1"/>
  <c r="DK20" i="1"/>
  <c r="CY20" i="1"/>
  <c r="CM20" i="1"/>
  <c r="CA20" i="1"/>
  <c r="BO20" i="1"/>
  <c r="BC20" i="1"/>
  <c r="AQ20" i="1"/>
  <c r="AE20" i="1"/>
  <c r="S20" i="1"/>
  <c r="G20" i="1"/>
  <c r="JH20" i="1"/>
  <c r="IV20" i="1"/>
  <c r="IJ20" i="1"/>
  <c r="HX20" i="1"/>
  <c r="HL20" i="1"/>
  <c r="GZ20" i="1"/>
  <c r="GN20" i="1"/>
  <c r="GB20" i="1"/>
  <c r="FP20" i="1"/>
  <c r="FD20" i="1"/>
  <c r="ER20" i="1"/>
  <c r="EF20" i="1"/>
  <c r="DT20" i="1"/>
  <c r="DH20" i="1"/>
  <c r="JE20" i="1"/>
  <c r="IS20" i="1"/>
  <c r="IG20" i="1"/>
  <c r="HU20" i="1"/>
  <c r="HI20" i="1"/>
  <c r="GW20" i="1"/>
  <c r="GK20" i="1"/>
  <c r="FY20" i="1"/>
  <c r="FM20" i="1"/>
  <c r="FA20" i="1"/>
  <c r="EO20" i="1"/>
  <c r="EC20" i="1"/>
  <c r="DQ20" i="1"/>
  <c r="DE20" i="1"/>
  <c r="ID20" i="1"/>
  <c r="EL20" i="1"/>
  <c r="BX20" i="1"/>
  <c r="AW20" i="1"/>
  <c r="V20" i="1"/>
  <c r="FV20" i="1"/>
  <c r="CJ20" i="1"/>
  <c r="BI20" i="1"/>
  <c r="AH20" i="1"/>
  <c r="HF20" i="1"/>
  <c r="DN20" i="1"/>
  <c r="CV20" i="1"/>
  <c r="BU20" i="1"/>
  <c r="AT20" i="1"/>
  <c r="IP20" i="1"/>
  <c r="EX20" i="1"/>
  <c r="CG20" i="1"/>
  <c r="BF20" i="1"/>
  <c r="P20" i="1"/>
  <c r="GH20" i="1"/>
  <c r="CS20" i="1"/>
  <c r="BR20" i="1"/>
  <c r="AB20" i="1"/>
  <c r="JB20" i="1"/>
  <c r="FJ20" i="1"/>
  <c r="CP20" i="1"/>
  <c r="AZ20" i="1"/>
  <c r="Y20" i="1"/>
  <c r="DZ20" i="1"/>
  <c r="DB20" i="1"/>
  <c r="BL20" i="1"/>
  <c r="CD20" i="1"/>
  <c r="AN20" i="1"/>
  <c r="AK20" i="1"/>
  <c r="HR20" i="1"/>
  <c r="GT20" i="1"/>
  <c r="M20" i="1"/>
  <c r="J20" i="1"/>
  <c r="R31" i="45"/>
  <c r="GT36" i="1"/>
  <c r="AT36" i="1"/>
  <c r="AE36" i="1"/>
  <c r="HR36" i="1"/>
  <c r="FJ36" i="1"/>
  <c r="EL36" i="1"/>
  <c r="CD36" i="1"/>
  <c r="AQ36" i="1"/>
  <c r="JB36" i="1"/>
  <c r="Y36" i="1"/>
  <c r="J36" i="1"/>
  <c r="ID36" i="1"/>
  <c r="FV36" i="1"/>
  <c r="DN36" i="1"/>
  <c r="HF36" i="1"/>
  <c r="CP36" i="1"/>
  <c r="BR36" i="1"/>
  <c r="IY36" i="1"/>
  <c r="DZ36" i="1"/>
  <c r="V36" i="1"/>
  <c r="GH36" i="1"/>
  <c r="AK36" i="1"/>
  <c r="S36" i="1"/>
  <c r="BF36" i="1"/>
  <c r="G36" i="1"/>
  <c r="EX36" i="1"/>
  <c r="AH36" i="1"/>
  <c r="IP36" i="1"/>
  <c r="DB36" i="1"/>
  <c r="DE36" i="1"/>
  <c r="GW36" i="1"/>
  <c r="CV36" i="1"/>
  <c r="GN36" i="1"/>
  <c r="M36" i="1"/>
  <c r="DQ36" i="1"/>
  <c r="HI36" i="1"/>
  <c r="P36" i="1"/>
  <c r="DH36" i="1"/>
  <c r="GZ36" i="1"/>
  <c r="BO36" i="1"/>
  <c r="FG36" i="1"/>
  <c r="EC36" i="1"/>
  <c r="HU36" i="1"/>
  <c r="DT36" i="1"/>
  <c r="HL36" i="1"/>
  <c r="AW36" i="1"/>
  <c r="EO36" i="1"/>
  <c r="IG36" i="1"/>
  <c r="AN36" i="1"/>
  <c r="EF36" i="1"/>
  <c r="HX36" i="1"/>
  <c r="CM36" i="1"/>
  <c r="GE36" i="1"/>
  <c r="BI36" i="1"/>
  <c r="FA36" i="1"/>
  <c r="IS36" i="1"/>
  <c r="AZ36" i="1"/>
  <c r="ER36" i="1"/>
  <c r="IJ36" i="1"/>
  <c r="CY36" i="1"/>
  <c r="GQ36" i="1"/>
  <c r="BU36" i="1"/>
  <c r="IV36" i="1"/>
  <c r="FS36" i="1"/>
  <c r="CG36" i="1"/>
  <c r="AB36" i="1"/>
  <c r="JH36" i="1"/>
  <c r="HC36" i="1"/>
  <c r="CS36" i="1"/>
  <c r="BL36" i="1"/>
  <c r="BC36" i="1"/>
  <c r="HO36" i="1"/>
  <c r="FM36" i="1"/>
  <c r="BX36" i="1"/>
  <c r="CA36" i="1"/>
  <c r="IA36" i="1"/>
  <c r="FY36" i="1"/>
  <c r="CJ36" i="1"/>
  <c r="DK36" i="1"/>
  <c r="IM36" i="1"/>
  <c r="JE36" i="1"/>
  <c r="FP36" i="1"/>
  <c r="EI36" i="1"/>
  <c r="GB36" i="1"/>
  <c r="EU36" i="1"/>
  <c r="FD36" i="1"/>
  <c r="GK36" i="1"/>
  <c r="DW36" i="1"/>
  <c r="BC39" i="48"/>
  <c r="E39" i="1"/>
  <c r="G31" i="45"/>
  <c r="BC37" i="48"/>
  <c r="I40" i="9"/>
  <c r="I48" i="9" s="1"/>
  <c r="R34" i="48"/>
  <c r="E34" i="1" s="1"/>
  <c r="I45" i="8"/>
  <c r="I48" i="8"/>
  <c r="I40" i="7"/>
  <c r="BC36" i="48"/>
  <c r="C35" i="45"/>
  <c r="E40" i="31"/>
  <c r="I45" i="17"/>
  <c r="I48" i="21"/>
  <c r="R25" i="48"/>
  <c r="AD25" i="48" s="1"/>
  <c r="I45" i="21"/>
  <c r="I40" i="13"/>
  <c r="I40" i="12"/>
  <c r="AJ39" i="48"/>
  <c r="I40" i="11"/>
  <c r="I40" i="19"/>
  <c r="I40" i="16"/>
  <c r="I40" i="15"/>
  <c r="I40" i="14"/>
  <c r="J15" i="19"/>
  <c r="J15" i="18" s="1"/>
  <c r="J15" i="17" s="1"/>
  <c r="J17" i="19"/>
  <c r="J17" i="18" s="1"/>
  <c r="J17" i="17" s="1"/>
  <c r="J30" i="19"/>
  <c r="J30" i="18" s="1"/>
  <c r="J30" i="17" s="1"/>
  <c r="J18" i="19"/>
  <c r="J18" i="18" s="1"/>
  <c r="J18" i="17" s="1"/>
  <c r="J14" i="19"/>
  <c r="J14" i="18" s="1"/>
  <c r="J14" i="17" s="1"/>
  <c r="J28" i="19"/>
  <c r="J28" i="18" s="1"/>
  <c r="J28" i="17" s="1"/>
  <c r="J27" i="19"/>
  <c r="J27" i="18" s="1"/>
  <c r="J27" i="17" s="1"/>
  <c r="J20" i="19"/>
  <c r="J20" i="18" s="1"/>
  <c r="J20" i="17" s="1"/>
  <c r="J9" i="19"/>
  <c r="J9" i="18" s="1"/>
  <c r="J9" i="17" s="1"/>
  <c r="J19" i="19"/>
  <c r="J19" i="18" s="1"/>
  <c r="J19" i="17" s="1"/>
  <c r="J21" i="19"/>
  <c r="J21" i="18" s="1"/>
  <c r="J21" i="17" s="1"/>
  <c r="J23" i="19"/>
  <c r="J23" i="18" s="1"/>
  <c r="J23" i="17" s="1"/>
  <c r="J10" i="19"/>
  <c r="J10" i="18" s="1"/>
  <c r="J10" i="17" s="1"/>
  <c r="J11" i="19"/>
  <c r="J11" i="18" s="1"/>
  <c r="J11" i="17" s="1"/>
  <c r="J16" i="19"/>
  <c r="J16" i="18" s="1"/>
  <c r="J16" i="17" s="1"/>
  <c r="K57" i="33"/>
  <c r="J45" i="33"/>
  <c r="J13" i="19"/>
  <c r="J13" i="18" s="1"/>
  <c r="J13" i="17" s="1"/>
  <c r="J8" i="19"/>
  <c r="J8" i="18" s="1"/>
  <c r="J8" i="17" s="1"/>
  <c r="J31" i="19"/>
  <c r="J31" i="18" s="1"/>
  <c r="J31" i="17" s="1"/>
  <c r="J12" i="19"/>
  <c r="J12" i="18" s="1"/>
  <c r="J12" i="17" s="1"/>
  <c r="J41" i="33"/>
  <c r="J22" i="19"/>
  <c r="J22" i="18" s="1"/>
  <c r="J22" i="17" s="1"/>
  <c r="I40" i="24"/>
  <c r="R18" i="48" s="1"/>
  <c r="C17" i="45" s="1"/>
  <c r="I40" i="23"/>
  <c r="I40" i="25"/>
  <c r="K56" i="33"/>
  <c r="BC20" i="48"/>
  <c r="C19" i="45"/>
  <c r="BC22" i="48"/>
  <c r="C21" i="45"/>
  <c r="K20" i="45"/>
  <c r="O20" i="45"/>
  <c r="G20" i="45"/>
  <c r="R20" i="45"/>
  <c r="AD20" i="48"/>
  <c r="I40" i="26"/>
  <c r="K34" i="27"/>
  <c r="I40" i="28"/>
  <c r="I40" i="29"/>
  <c r="I40" i="30"/>
  <c r="W138" i="57"/>
  <c r="K34" i="31"/>
  <c r="AJ37" i="48"/>
  <c r="AA6" i="46"/>
  <c r="AB6" i="46" s="1"/>
  <c r="E25" i="2"/>
  <c r="BM25" i="2" s="1"/>
  <c r="E33" i="2"/>
  <c r="BM33" i="2" s="1"/>
  <c r="AJ38" i="48"/>
  <c r="BC38" i="48"/>
  <c r="I39" i="48"/>
  <c r="AD39" i="48"/>
  <c r="C38" i="45"/>
  <c r="X39" i="48"/>
  <c r="J39" i="48"/>
  <c r="M7" i="32"/>
  <c r="M7" i="31" s="1"/>
  <c r="M7" i="30" s="1"/>
  <c r="M7" i="29" s="1"/>
  <c r="M7" i="27" s="1"/>
  <c r="D53" i="32"/>
  <c r="J46" i="30"/>
  <c r="J46" i="29" s="1"/>
  <c r="K34" i="32"/>
  <c r="J40" i="45"/>
  <c r="N40" i="45"/>
  <c r="F40" i="45"/>
  <c r="Q40" i="45"/>
  <c r="AJ20" i="48"/>
  <c r="I36" i="48"/>
  <c r="AD36" i="48"/>
  <c r="AJ36" i="48"/>
  <c r="J36" i="48"/>
  <c r="X36" i="48"/>
  <c r="C37" i="45"/>
  <c r="J37" i="48"/>
  <c r="E22" i="2"/>
  <c r="BM22" i="2" s="1"/>
  <c r="AJ22" i="48"/>
  <c r="I49" i="33"/>
  <c r="J20" i="48"/>
  <c r="I20" i="48"/>
  <c r="E45" i="31"/>
  <c r="D45" i="29"/>
  <c r="D45" i="27" s="1"/>
  <c r="E45" i="27" s="1"/>
  <c r="E47" i="31"/>
  <c r="E47" i="30"/>
  <c r="D39" i="29"/>
  <c r="D39" i="27" s="1"/>
  <c r="E39" i="27" s="1"/>
  <c r="M8" i="31"/>
  <c r="E39" i="31"/>
  <c r="E44" i="31"/>
  <c r="D43" i="27"/>
  <c r="E43" i="27" s="1"/>
  <c r="E43" i="30"/>
  <c r="D41" i="30"/>
  <c r="E41" i="30" s="1"/>
  <c r="E44" i="30"/>
  <c r="E49" i="30"/>
  <c r="D48" i="30"/>
  <c r="E48" i="30" s="1"/>
  <c r="J56" i="30"/>
  <c r="I38" i="48"/>
  <c r="J38" i="48"/>
  <c r="X38" i="48"/>
  <c r="AD38" i="48"/>
  <c r="J43" i="30"/>
  <c r="J44" i="31"/>
  <c r="I22" i="48"/>
  <c r="J22" i="48"/>
  <c r="AD22" i="48"/>
  <c r="L41" i="48"/>
  <c r="H41" i="48" s="1"/>
  <c r="E38" i="31"/>
  <c r="E38" i="30"/>
  <c r="D38" i="29"/>
  <c r="E50" i="31"/>
  <c r="D50" i="30"/>
  <c r="D47" i="27"/>
  <c r="E47" i="29"/>
  <c r="D42" i="30"/>
  <c r="E42" i="31"/>
  <c r="D52" i="31"/>
  <c r="D53" i="31" s="1"/>
  <c r="E46" i="31"/>
  <c r="D46" i="30"/>
  <c r="E52" i="32"/>
  <c r="E53" i="32" s="1"/>
  <c r="D44" i="27"/>
  <c r="E44" i="29"/>
  <c r="D40" i="29"/>
  <c r="E40" i="30"/>
  <c r="D51" i="29"/>
  <c r="E51" i="30"/>
  <c r="A13" i="2" s="1"/>
  <c r="J57" i="30"/>
  <c r="J37" i="31"/>
  <c r="J39" i="32"/>
  <c r="D49" i="27"/>
  <c r="E49" i="29"/>
  <c r="AH41" i="48"/>
  <c r="J57" i="17"/>
  <c r="AC11" i="48"/>
  <c r="Q12" i="48"/>
  <c r="S9" i="48" l="1"/>
  <c r="BD9" i="48" s="1"/>
  <c r="I45" i="33"/>
  <c r="I48" i="33"/>
  <c r="I9" i="48"/>
  <c r="C8" i="45"/>
  <c r="O8" i="45" s="1"/>
  <c r="E9" i="1"/>
  <c r="DN9" i="1" s="1"/>
  <c r="AD9" i="48"/>
  <c r="BC9" i="48"/>
  <c r="D14" i="2"/>
  <c r="D42" i="2" s="1"/>
  <c r="J25" i="23"/>
  <c r="J25" i="21" s="1"/>
  <c r="J25" i="22" s="1"/>
  <c r="J25" i="20" s="1"/>
  <c r="J25" i="19" s="1"/>
  <c r="J25" i="18" s="1"/>
  <c r="J25" i="17" s="1"/>
  <c r="X37" i="48"/>
  <c r="AD37" i="48"/>
  <c r="I37" i="48"/>
  <c r="I45" i="9"/>
  <c r="C36" i="45"/>
  <c r="G36" i="45" s="1"/>
  <c r="AJ25" i="48"/>
  <c r="J25" i="48"/>
  <c r="I25" i="48"/>
  <c r="R33" i="48"/>
  <c r="E33" i="1" s="1"/>
  <c r="C24" i="45"/>
  <c r="O24" i="45" s="1"/>
  <c r="E25" i="1"/>
  <c r="JB9" i="1"/>
  <c r="HF9" i="1"/>
  <c r="FJ9" i="1"/>
  <c r="IJ9" i="1"/>
  <c r="FD9" i="1"/>
  <c r="BF9" i="1"/>
  <c r="AN9" i="1"/>
  <c r="HR9" i="1"/>
  <c r="GZ9" i="1"/>
  <c r="EL9" i="1"/>
  <c r="DB9" i="1"/>
  <c r="CJ9" i="1"/>
  <c r="V9" i="1"/>
  <c r="IY9" i="1"/>
  <c r="IP9" i="1"/>
  <c r="GB9" i="1"/>
  <c r="GN9" i="1"/>
  <c r="IV9" i="1"/>
  <c r="GH9" i="1"/>
  <c r="DT9" i="1"/>
  <c r="BR9" i="1"/>
  <c r="ID9" i="1"/>
  <c r="FP9" i="1"/>
  <c r="EX9" i="1"/>
  <c r="AH9" i="1"/>
  <c r="BL9" i="1"/>
  <c r="DZ9" i="1"/>
  <c r="BX9" i="1"/>
  <c r="J9" i="1"/>
  <c r="HL9" i="1"/>
  <c r="GT9" i="1"/>
  <c r="EF9" i="1"/>
  <c r="CD9" i="1"/>
  <c r="P9" i="1"/>
  <c r="JH9" i="1"/>
  <c r="AT9" i="1"/>
  <c r="HX9" i="1"/>
  <c r="ER9" i="1"/>
  <c r="DH9" i="1"/>
  <c r="CP9" i="1"/>
  <c r="AB9" i="1"/>
  <c r="BU9" i="1"/>
  <c r="FM9" i="1"/>
  <c r="JE9" i="1"/>
  <c r="AE9" i="1"/>
  <c r="DW9" i="1"/>
  <c r="HO9" i="1"/>
  <c r="CG9" i="1"/>
  <c r="FY9" i="1"/>
  <c r="AQ9" i="1"/>
  <c r="EI9" i="1"/>
  <c r="IA9" i="1"/>
  <c r="CS9" i="1"/>
  <c r="GK9" i="1"/>
  <c r="BC9" i="1"/>
  <c r="EU9" i="1"/>
  <c r="IM9" i="1"/>
  <c r="M9" i="1"/>
  <c r="DE9" i="1"/>
  <c r="GW9" i="1"/>
  <c r="BO9" i="1"/>
  <c r="FG9" i="1"/>
  <c r="Y9" i="1"/>
  <c r="DQ9" i="1"/>
  <c r="HI9" i="1"/>
  <c r="CA9" i="1"/>
  <c r="FS9" i="1"/>
  <c r="AW9" i="1"/>
  <c r="EO9" i="1"/>
  <c r="IG9" i="1"/>
  <c r="G9" i="1"/>
  <c r="CY9" i="1"/>
  <c r="GQ9" i="1"/>
  <c r="HU9" i="1"/>
  <c r="DK9" i="1"/>
  <c r="IS9" i="1"/>
  <c r="GE9" i="1"/>
  <c r="HC9" i="1"/>
  <c r="AK9" i="1"/>
  <c r="EC9" i="1"/>
  <c r="S9" i="1"/>
  <c r="CM9" i="1"/>
  <c r="BI9" i="1"/>
  <c r="FA9" i="1"/>
  <c r="BC18" i="48"/>
  <c r="E18" i="1"/>
  <c r="JB39" i="1"/>
  <c r="BU39" i="1"/>
  <c r="FM39" i="1"/>
  <c r="JE39" i="1"/>
  <c r="P39" i="1"/>
  <c r="DH39" i="1"/>
  <c r="GZ39" i="1"/>
  <c r="S39" i="1"/>
  <c r="DK39" i="1"/>
  <c r="HC39" i="1"/>
  <c r="J39" i="1"/>
  <c r="DB39" i="1"/>
  <c r="GT39" i="1"/>
  <c r="CS39" i="1"/>
  <c r="GK39" i="1"/>
  <c r="M39" i="1"/>
  <c r="DE39" i="1"/>
  <c r="GW39" i="1"/>
  <c r="AZ39" i="1"/>
  <c r="ER39" i="1"/>
  <c r="CG39" i="1"/>
  <c r="IG39" i="1"/>
  <c r="CJ39" i="1"/>
  <c r="HL39" i="1"/>
  <c r="BO39" i="1"/>
  <c r="FS39" i="1"/>
  <c r="V39" i="1"/>
  <c r="DZ39" i="1"/>
  <c r="ID39" i="1"/>
  <c r="DQ39" i="1"/>
  <c r="IS39" i="1"/>
  <c r="CV39" i="1"/>
  <c r="HX39" i="1"/>
  <c r="CA39" i="1"/>
  <c r="GE39" i="1"/>
  <c r="AH39" i="1"/>
  <c r="EL39" i="1"/>
  <c r="IP39" i="1"/>
  <c r="CY39" i="1"/>
  <c r="EC39" i="1"/>
  <c r="DT39" i="1"/>
  <c r="IJ39" i="1"/>
  <c r="CM39" i="1"/>
  <c r="GQ39" i="1"/>
  <c r="AT39" i="1"/>
  <c r="EX39" i="1"/>
  <c r="EF39" i="1"/>
  <c r="IV39" i="1"/>
  <c r="HO39" i="1"/>
  <c r="FJ39" i="1"/>
  <c r="EO39" i="1"/>
  <c r="BF39" i="1"/>
  <c r="Y39" i="1"/>
  <c r="FA39" i="1"/>
  <c r="AB39" i="1"/>
  <c r="FD39" i="1"/>
  <c r="JH39" i="1"/>
  <c r="G39" i="1"/>
  <c r="DW39" i="1"/>
  <c r="IA39" i="1"/>
  <c r="BR39" i="1"/>
  <c r="FV39" i="1"/>
  <c r="AW39" i="1"/>
  <c r="HI39" i="1"/>
  <c r="BL39" i="1"/>
  <c r="GB39" i="1"/>
  <c r="AQ39" i="1"/>
  <c r="EU39" i="1"/>
  <c r="IY39" i="1"/>
  <c r="CP39" i="1"/>
  <c r="HF39" i="1"/>
  <c r="BI39" i="1"/>
  <c r="HU39" i="1"/>
  <c r="BX39" i="1"/>
  <c r="GN39" i="1"/>
  <c r="AN39" i="1"/>
  <c r="AE39" i="1"/>
  <c r="BC39" i="1"/>
  <c r="CD39" i="1"/>
  <c r="IM39" i="1"/>
  <c r="FP39" i="1"/>
  <c r="EI39" i="1"/>
  <c r="DN39" i="1"/>
  <c r="FY39" i="1"/>
  <c r="HR39" i="1"/>
  <c r="AK39" i="1"/>
  <c r="FG39" i="1"/>
  <c r="GH39" i="1"/>
  <c r="IP34" i="1"/>
  <c r="HR34" i="1"/>
  <c r="GE34" i="1"/>
  <c r="EX34" i="1"/>
  <c r="EI34" i="1"/>
  <c r="DB34" i="1"/>
  <c r="CM34" i="1"/>
  <c r="BF34" i="1"/>
  <c r="AQ34" i="1"/>
  <c r="J34" i="1"/>
  <c r="JB34" i="1"/>
  <c r="FJ34" i="1"/>
  <c r="EU34" i="1"/>
  <c r="DN34" i="1"/>
  <c r="CY34" i="1"/>
  <c r="BR34" i="1"/>
  <c r="BC34" i="1"/>
  <c r="V34" i="1"/>
  <c r="G34" i="1"/>
  <c r="ID34" i="1"/>
  <c r="IY34" i="1"/>
  <c r="HF34" i="1"/>
  <c r="DW34" i="1"/>
  <c r="AE34" i="1"/>
  <c r="FG34" i="1"/>
  <c r="EL34" i="1"/>
  <c r="BO34" i="1"/>
  <c r="AT34" i="1"/>
  <c r="FV34" i="1"/>
  <c r="CD34" i="1"/>
  <c r="FS34" i="1"/>
  <c r="CA34" i="1"/>
  <c r="GH34" i="1"/>
  <c r="DK34" i="1"/>
  <c r="CP34" i="1"/>
  <c r="S34" i="1"/>
  <c r="DZ34" i="1"/>
  <c r="AH34" i="1"/>
  <c r="GT34" i="1"/>
  <c r="CS34" i="1"/>
  <c r="GK34" i="1"/>
  <c r="AZ34" i="1"/>
  <c r="ER34" i="1"/>
  <c r="IJ34" i="1"/>
  <c r="M34" i="1"/>
  <c r="DE34" i="1"/>
  <c r="GW34" i="1"/>
  <c r="BL34" i="1"/>
  <c r="FD34" i="1"/>
  <c r="IV34" i="1"/>
  <c r="GQ34" i="1"/>
  <c r="Y34" i="1"/>
  <c r="DQ34" i="1"/>
  <c r="HI34" i="1"/>
  <c r="BX34" i="1"/>
  <c r="FP34" i="1"/>
  <c r="JH34" i="1"/>
  <c r="AK34" i="1"/>
  <c r="EC34" i="1"/>
  <c r="HU34" i="1"/>
  <c r="CJ34" i="1"/>
  <c r="GB34" i="1"/>
  <c r="HO34" i="1"/>
  <c r="AW34" i="1"/>
  <c r="EO34" i="1"/>
  <c r="IG34" i="1"/>
  <c r="CV34" i="1"/>
  <c r="GN34" i="1"/>
  <c r="IA34" i="1"/>
  <c r="JE34" i="1"/>
  <c r="AB34" i="1"/>
  <c r="BI34" i="1"/>
  <c r="AN34" i="1"/>
  <c r="HC34" i="1"/>
  <c r="BU34" i="1"/>
  <c r="DH34" i="1"/>
  <c r="IM34" i="1"/>
  <c r="DT34" i="1"/>
  <c r="CG34" i="1"/>
  <c r="FA34" i="1"/>
  <c r="EF34" i="1"/>
  <c r="FY34" i="1"/>
  <c r="HL34" i="1"/>
  <c r="IS34" i="1"/>
  <c r="P34" i="1"/>
  <c r="HX34" i="1"/>
  <c r="FM34" i="1"/>
  <c r="GZ34" i="1"/>
  <c r="JH33" i="1"/>
  <c r="ID33" i="1"/>
  <c r="HO33" i="1"/>
  <c r="GH33" i="1"/>
  <c r="FS33" i="1"/>
  <c r="EL33" i="1"/>
  <c r="DW33" i="1"/>
  <c r="CP33" i="1"/>
  <c r="CA33" i="1"/>
  <c r="AT33" i="1"/>
  <c r="AE33" i="1"/>
  <c r="IP33" i="1"/>
  <c r="IA33" i="1"/>
  <c r="GT33" i="1"/>
  <c r="GE33" i="1"/>
  <c r="EX33" i="1"/>
  <c r="EI33" i="1"/>
  <c r="DB33" i="1"/>
  <c r="CM33" i="1"/>
  <c r="BF33" i="1"/>
  <c r="AQ33" i="1"/>
  <c r="J33" i="1"/>
  <c r="HC33" i="1"/>
  <c r="DK33" i="1"/>
  <c r="S33" i="1"/>
  <c r="IM33" i="1"/>
  <c r="HR33" i="1"/>
  <c r="EU33" i="1"/>
  <c r="DZ33" i="1"/>
  <c r="BC33" i="1"/>
  <c r="AH33" i="1"/>
  <c r="JB33" i="1"/>
  <c r="FJ33" i="1"/>
  <c r="BR33" i="1"/>
  <c r="IY33" i="1"/>
  <c r="FG33" i="1"/>
  <c r="BO33" i="1"/>
  <c r="GQ33" i="1"/>
  <c r="FV33" i="1"/>
  <c r="CY33" i="1"/>
  <c r="CD33" i="1"/>
  <c r="G33" i="1"/>
  <c r="V33" i="1"/>
  <c r="HF33" i="1"/>
  <c r="DN33" i="1"/>
  <c r="AK33" i="1"/>
  <c r="BU33" i="1"/>
  <c r="FM33" i="1"/>
  <c r="JE33" i="1"/>
  <c r="P33" i="1"/>
  <c r="DH33" i="1"/>
  <c r="GZ33" i="1"/>
  <c r="CG33" i="1"/>
  <c r="FY33" i="1"/>
  <c r="AB33" i="1"/>
  <c r="DT33" i="1"/>
  <c r="HL33" i="1"/>
  <c r="CS33" i="1"/>
  <c r="GK33" i="1"/>
  <c r="AN33" i="1"/>
  <c r="EF33" i="1"/>
  <c r="HX33" i="1"/>
  <c r="DE33" i="1"/>
  <c r="GW33" i="1"/>
  <c r="AZ33" i="1"/>
  <c r="ER33" i="1"/>
  <c r="IJ33" i="1"/>
  <c r="M33" i="1"/>
  <c r="DQ33" i="1"/>
  <c r="HI33" i="1"/>
  <c r="BL33" i="1"/>
  <c r="FD33" i="1"/>
  <c r="IV33" i="1"/>
  <c r="Y33" i="1"/>
  <c r="IS33" i="1"/>
  <c r="CV33" i="1"/>
  <c r="AW33" i="1"/>
  <c r="BX33" i="1"/>
  <c r="BI33" i="1"/>
  <c r="CJ33" i="1"/>
  <c r="EC33" i="1"/>
  <c r="EO33" i="1"/>
  <c r="FP33" i="1"/>
  <c r="HU33" i="1"/>
  <c r="GN33" i="1"/>
  <c r="IG33" i="1"/>
  <c r="FA33" i="1"/>
  <c r="GB33" i="1"/>
  <c r="FJ37" i="1"/>
  <c r="DB37" i="1"/>
  <c r="AT37" i="1"/>
  <c r="HF37" i="1"/>
  <c r="BI37" i="1"/>
  <c r="V37" i="1"/>
  <c r="EI37" i="1"/>
  <c r="BX37" i="1"/>
  <c r="EX37" i="1"/>
  <c r="CM37" i="1"/>
  <c r="AK37" i="1"/>
  <c r="M37" i="1"/>
  <c r="BR37" i="1"/>
  <c r="J37" i="1"/>
  <c r="AH37" i="1"/>
  <c r="Y37" i="1"/>
  <c r="AW37" i="1"/>
  <c r="CY37" i="1"/>
  <c r="AB37" i="1"/>
  <c r="IY37" i="1"/>
  <c r="FG37" i="1"/>
  <c r="GB37" i="1"/>
  <c r="CJ37" i="1"/>
  <c r="FY37" i="1"/>
  <c r="CG37" i="1"/>
  <c r="DN37" i="1"/>
  <c r="AN37" i="1"/>
  <c r="IM37" i="1"/>
  <c r="JH37" i="1"/>
  <c r="FP37" i="1"/>
  <c r="JE37" i="1"/>
  <c r="FM37" i="1"/>
  <c r="BU37" i="1"/>
  <c r="G37" i="1"/>
  <c r="BF37" i="1"/>
  <c r="EU37" i="1"/>
  <c r="AZ37" i="1"/>
  <c r="IA37" i="1"/>
  <c r="IV37" i="1"/>
  <c r="FD37" i="1"/>
  <c r="IS37" i="1"/>
  <c r="FA37" i="1"/>
  <c r="CA37" i="1"/>
  <c r="BL37" i="1"/>
  <c r="HO37" i="1"/>
  <c r="IJ37" i="1"/>
  <c r="ER37" i="1"/>
  <c r="IG37" i="1"/>
  <c r="EO37" i="1"/>
  <c r="CP37" i="1"/>
  <c r="AE37" i="1"/>
  <c r="JB37" i="1"/>
  <c r="HC37" i="1"/>
  <c r="HX37" i="1"/>
  <c r="EF37" i="1"/>
  <c r="HU37" i="1"/>
  <c r="EC37" i="1"/>
  <c r="DW37" i="1"/>
  <c r="AQ37" i="1"/>
  <c r="CD37" i="1"/>
  <c r="FS37" i="1"/>
  <c r="GW37" i="1"/>
  <c r="IP37" i="1"/>
  <c r="HL37" i="1"/>
  <c r="GK37" i="1"/>
  <c r="P37" i="1"/>
  <c r="GZ37" i="1"/>
  <c r="DQ37" i="1"/>
  <c r="GN37" i="1"/>
  <c r="DE37" i="1"/>
  <c r="ID37" i="1"/>
  <c r="DT37" i="1"/>
  <c r="CS37" i="1"/>
  <c r="GQ37" i="1"/>
  <c r="CV37" i="1"/>
  <c r="FV37" i="1"/>
  <c r="BC37" i="1"/>
  <c r="DZ37" i="1"/>
  <c r="GH37" i="1"/>
  <c r="GE37" i="1"/>
  <c r="HI37" i="1"/>
  <c r="BO37" i="1"/>
  <c r="GT37" i="1"/>
  <c r="S37" i="1"/>
  <c r="HR37" i="1"/>
  <c r="DH37" i="1"/>
  <c r="EL37" i="1"/>
  <c r="DK37" i="1"/>
  <c r="BC25" i="48"/>
  <c r="R24" i="45"/>
  <c r="G24" i="45"/>
  <c r="K24" i="45"/>
  <c r="C33" i="45"/>
  <c r="I34" i="48"/>
  <c r="J34" i="48"/>
  <c r="BC34" i="48"/>
  <c r="AD34" i="48"/>
  <c r="AJ34" i="48"/>
  <c r="O35" i="45"/>
  <c r="G35" i="45"/>
  <c r="K35" i="45"/>
  <c r="R35" i="45"/>
  <c r="R35" i="48"/>
  <c r="E35" i="1" s="1"/>
  <c r="I48" i="7"/>
  <c r="I45" i="7"/>
  <c r="I48" i="24"/>
  <c r="BC33" i="48"/>
  <c r="C32" i="45"/>
  <c r="AJ33" i="48"/>
  <c r="AD33" i="48"/>
  <c r="I33" i="48"/>
  <c r="J33" i="48"/>
  <c r="I48" i="11"/>
  <c r="I45" i="11"/>
  <c r="R31" i="48"/>
  <c r="E31" i="1" s="1"/>
  <c r="I45" i="13"/>
  <c r="R29" i="48"/>
  <c r="E29" i="1" s="1"/>
  <c r="I48" i="13"/>
  <c r="I48" i="12"/>
  <c r="I45" i="12"/>
  <c r="R30" i="48"/>
  <c r="E30" i="1" s="1"/>
  <c r="W138" i="46"/>
  <c r="X138" i="46" s="1"/>
  <c r="F41" i="55" s="1"/>
  <c r="G41" i="55" s="1"/>
  <c r="H41" i="55" s="1"/>
  <c r="J10" i="16"/>
  <c r="J10" i="15" s="1"/>
  <c r="J10" i="14" s="1"/>
  <c r="J10" i="13" s="1"/>
  <c r="J10" i="12" s="1"/>
  <c r="J25" i="16"/>
  <c r="J25" i="15" s="1"/>
  <c r="J25" i="14" s="1"/>
  <c r="J25" i="13" s="1"/>
  <c r="J25" i="12" s="1"/>
  <c r="J25" i="11" s="1"/>
  <c r="J25" i="10" s="1"/>
  <c r="J23" i="16"/>
  <c r="J23" i="15" s="1"/>
  <c r="J23" i="14" s="1"/>
  <c r="J23" i="13" s="1"/>
  <c r="J23" i="12" s="1"/>
  <c r="J23" i="11" s="1"/>
  <c r="J23" i="10" s="1"/>
  <c r="J14" i="16"/>
  <c r="J14" i="15" s="1"/>
  <c r="J14" i="14" s="1"/>
  <c r="J14" i="13" s="1"/>
  <c r="J28" i="16"/>
  <c r="J28" i="15" s="1"/>
  <c r="J28" i="14" s="1"/>
  <c r="J28" i="13" s="1"/>
  <c r="J28" i="12" s="1"/>
  <c r="J28" i="11" s="1"/>
  <c r="J28" i="10" s="1"/>
  <c r="J28" i="9" s="1"/>
  <c r="J28" i="8" s="1"/>
  <c r="J28" i="7" s="1"/>
  <c r="J28" i="6" s="1"/>
  <c r="J28" i="37" s="1"/>
  <c r="J28" i="4" s="1"/>
  <c r="J28" i="43" s="1"/>
  <c r="J24" i="16"/>
  <c r="J24" i="15" s="1"/>
  <c r="J24" i="14" s="1"/>
  <c r="J24" i="13" s="1"/>
  <c r="J24" i="12" s="1"/>
  <c r="J24" i="11" s="1"/>
  <c r="J24" i="10" s="1"/>
  <c r="J21" i="16"/>
  <c r="J21" i="15" s="1"/>
  <c r="J21" i="14" s="1"/>
  <c r="J21" i="13" s="1"/>
  <c r="J21" i="12" s="1"/>
  <c r="J21" i="11" s="1"/>
  <c r="J21" i="10" s="1"/>
  <c r="J18" i="16"/>
  <c r="J18" i="15" s="1"/>
  <c r="J18" i="14" s="1"/>
  <c r="J18" i="13" s="1"/>
  <c r="J18" i="12" s="1"/>
  <c r="I45" i="16"/>
  <c r="I48" i="16"/>
  <c r="R26" i="48"/>
  <c r="E26" i="1" s="1"/>
  <c r="J31" i="16"/>
  <c r="J31" i="15" s="1"/>
  <c r="J31" i="14" s="1"/>
  <c r="J31" i="13" s="1"/>
  <c r="J31" i="12" s="1"/>
  <c r="J31" i="11" s="1"/>
  <c r="J31" i="10" s="1"/>
  <c r="J31" i="9" s="1"/>
  <c r="J31" i="8" s="1"/>
  <c r="J31" i="7" s="1"/>
  <c r="J31" i="6" s="1"/>
  <c r="J31" i="37" s="1"/>
  <c r="J31" i="4" s="1"/>
  <c r="J31" i="43" s="1"/>
  <c r="J13" i="15"/>
  <c r="J13" i="14" s="1"/>
  <c r="J13" i="13" s="1"/>
  <c r="J13" i="12" s="1"/>
  <c r="J19" i="16"/>
  <c r="J19" i="15" s="1"/>
  <c r="J19" i="14" s="1"/>
  <c r="J19" i="13" s="1"/>
  <c r="J19" i="12" s="1"/>
  <c r="J30" i="16"/>
  <c r="J30" i="15" s="1"/>
  <c r="J30" i="14" s="1"/>
  <c r="J30" i="13" s="1"/>
  <c r="J30" i="12" s="1"/>
  <c r="J30" i="11" s="1"/>
  <c r="J30" i="10" s="1"/>
  <c r="J30" i="9" s="1"/>
  <c r="J30" i="8" s="1"/>
  <c r="J30" i="7" s="1"/>
  <c r="J30" i="6" s="1"/>
  <c r="J30" i="37" s="1"/>
  <c r="J30" i="4" s="1"/>
  <c r="J30" i="43" s="1"/>
  <c r="J22" i="16"/>
  <c r="J22" i="15" s="1"/>
  <c r="J22" i="14" s="1"/>
  <c r="J22" i="13" s="1"/>
  <c r="J22" i="12" s="1"/>
  <c r="J22" i="11" s="1"/>
  <c r="J22" i="10" s="1"/>
  <c r="J26" i="16"/>
  <c r="J26" i="15" s="1"/>
  <c r="J26" i="14" s="1"/>
  <c r="J26" i="13" s="1"/>
  <c r="J26" i="12" s="1"/>
  <c r="J26" i="11" s="1"/>
  <c r="J26" i="10" s="1"/>
  <c r="J26" i="9" s="1"/>
  <c r="J26" i="8" s="1"/>
  <c r="J26" i="7" s="1"/>
  <c r="J26" i="6" s="1"/>
  <c r="J26" i="37" s="1"/>
  <c r="J26" i="4" s="1"/>
  <c r="J26" i="43" s="1"/>
  <c r="J29" i="16"/>
  <c r="J29" i="15" s="1"/>
  <c r="J29" i="14" s="1"/>
  <c r="J29" i="13" s="1"/>
  <c r="J29" i="12" s="1"/>
  <c r="J29" i="11" s="1"/>
  <c r="J29" i="10" s="1"/>
  <c r="J29" i="9" s="1"/>
  <c r="J29" i="8" s="1"/>
  <c r="J29" i="7" s="1"/>
  <c r="J29" i="6" s="1"/>
  <c r="J29" i="37" s="1"/>
  <c r="J29" i="4" s="1"/>
  <c r="J29" i="43" s="1"/>
  <c r="J8" i="16"/>
  <c r="J8" i="15" s="1"/>
  <c r="J8" i="14" s="1"/>
  <c r="J8" i="13" s="1"/>
  <c r="J8" i="12" s="1"/>
  <c r="J8" i="11" s="1"/>
  <c r="J8" i="10" s="1"/>
  <c r="J9" i="16"/>
  <c r="J9" i="15" s="1"/>
  <c r="J9" i="14" s="1"/>
  <c r="J9" i="13" s="1"/>
  <c r="J9" i="12" s="1"/>
  <c r="J9" i="11" s="1"/>
  <c r="J9" i="10" s="1"/>
  <c r="J17" i="16"/>
  <c r="J17" i="15" s="1"/>
  <c r="J17" i="14" s="1"/>
  <c r="J17" i="13" s="1"/>
  <c r="J17" i="12" s="1"/>
  <c r="I48" i="19"/>
  <c r="R23" i="48"/>
  <c r="E23" i="1" s="1"/>
  <c r="I45" i="19"/>
  <c r="J16" i="16"/>
  <c r="J16" i="15" s="1"/>
  <c r="J16" i="14" s="1"/>
  <c r="J16" i="13" s="1"/>
  <c r="J16" i="12" s="1"/>
  <c r="J20" i="16"/>
  <c r="J20" i="15" s="1"/>
  <c r="J20" i="14" s="1"/>
  <c r="J20" i="13" s="1"/>
  <c r="J20" i="12" s="1"/>
  <c r="J20" i="11" s="1"/>
  <c r="J20" i="10" s="1"/>
  <c r="J15" i="16"/>
  <c r="J15" i="15" s="1"/>
  <c r="J15" i="14" s="1"/>
  <c r="J15" i="13" s="1"/>
  <c r="J15" i="12" s="1"/>
  <c r="I45" i="15"/>
  <c r="R27" i="48"/>
  <c r="E27" i="1" s="1"/>
  <c r="I48" i="15"/>
  <c r="J12" i="16"/>
  <c r="J12" i="15" s="1"/>
  <c r="J12" i="14" s="1"/>
  <c r="J12" i="13" s="1"/>
  <c r="J12" i="12" s="1"/>
  <c r="J11" i="16"/>
  <c r="J11" i="15" s="1"/>
  <c r="J11" i="14" s="1"/>
  <c r="J11" i="13" s="1"/>
  <c r="J11" i="12" s="1"/>
  <c r="J27" i="16"/>
  <c r="J27" i="15" s="1"/>
  <c r="J27" i="14" s="1"/>
  <c r="J27" i="13" s="1"/>
  <c r="J27" i="12" s="1"/>
  <c r="J27" i="11" s="1"/>
  <c r="J27" i="10" s="1"/>
  <c r="J27" i="9" s="1"/>
  <c r="J27" i="8" s="1"/>
  <c r="J27" i="7" s="1"/>
  <c r="J27" i="6" s="1"/>
  <c r="J27" i="37" s="1"/>
  <c r="J27" i="4" s="1"/>
  <c r="J27" i="43" s="1"/>
  <c r="I48" i="14"/>
  <c r="R28" i="48"/>
  <c r="E28" i="1" s="1"/>
  <c r="I45" i="14"/>
  <c r="I45" i="24"/>
  <c r="R17" i="48"/>
  <c r="I45" i="25"/>
  <c r="I48" i="25"/>
  <c r="G19" i="45"/>
  <c r="O19" i="45"/>
  <c r="K19" i="45"/>
  <c r="R19" i="45"/>
  <c r="AD18" i="48"/>
  <c r="J18" i="48"/>
  <c r="I18" i="48"/>
  <c r="AJ18" i="48"/>
  <c r="R19" i="48"/>
  <c r="E19" i="1" s="1"/>
  <c r="I45" i="23"/>
  <c r="I48" i="23"/>
  <c r="E21" i="2"/>
  <c r="BM21" i="2" s="1"/>
  <c r="O21" i="45"/>
  <c r="G21" i="45"/>
  <c r="K21" i="45"/>
  <c r="R21" i="45"/>
  <c r="O17" i="45"/>
  <c r="K17" i="45"/>
  <c r="G17" i="45"/>
  <c r="R17" i="45"/>
  <c r="I48" i="26"/>
  <c r="R16" i="48"/>
  <c r="E16" i="1" s="1"/>
  <c r="I45" i="26"/>
  <c r="R15" i="48"/>
  <c r="I45" i="28"/>
  <c r="I48" i="28"/>
  <c r="I40" i="27"/>
  <c r="I40" i="32"/>
  <c r="I45" i="32" s="1"/>
  <c r="I40" i="31"/>
  <c r="R11" i="48" s="1"/>
  <c r="I45" i="29"/>
  <c r="R13" i="48"/>
  <c r="I48" i="29"/>
  <c r="I48" i="30"/>
  <c r="R12" i="48"/>
  <c r="I45" i="30"/>
  <c r="M34" i="32"/>
  <c r="AK9" i="48"/>
  <c r="X143" i="57"/>
  <c r="X141" i="57"/>
  <c r="X138" i="57"/>
  <c r="O41" i="55" s="1"/>
  <c r="P41" i="55" s="1"/>
  <c r="Q41" i="55" s="1"/>
  <c r="AE9" i="48"/>
  <c r="J47" i="30"/>
  <c r="E10" i="2"/>
  <c r="F10" i="2" s="1"/>
  <c r="BN10" i="2" s="1"/>
  <c r="E26" i="2"/>
  <c r="BM26" i="2" s="1"/>
  <c r="E23" i="2"/>
  <c r="BM23" i="2" s="1"/>
  <c r="E40" i="2"/>
  <c r="BM40" i="2" s="1"/>
  <c r="E39" i="2"/>
  <c r="BM39" i="2" s="1"/>
  <c r="R38" i="45"/>
  <c r="G38" i="45"/>
  <c r="O38" i="45"/>
  <c r="K38" i="45"/>
  <c r="G8" i="45"/>
  <c r="R8" i="45"/>
  <c r="K8" i="45"/>
  <c r="E37" i="2"/>
  <c r="BM37" i="2" s="1"/>
  <c r="E38" i="2"/>
  <c r="BM38" i="2" s="1"/>
  <c r="G37" i="45"/>
  <c r="O37" i="45"/>
  <c r="K37" i="45"/>
  <c r="R37" i="45"/>
  <c r="H9" i="48"/>
  <c r="I50" i="33"/>
  <c r="J49" i="33"/>
  <c r="I51" i="33"/>
  <c r="U9" i="48"/>
  <c r="V9" i="48"/>
  <c r="X9" i="48"/>
  <c r="I49" i="31"/>
  <c r="E45" i="29"/>
  <c r="M9" i="48"/>
  <c r="K9" i="48" s="1"/>
  <c r="J9" i="48"/>
  <c r="AH9" i="48"/>
  <c r="J5" i="56"/>
  <c r="I49" i="8"/>
  <c r="I49" i="17"/>
  <c r="I49" i="18"/>
  <c r="I49" i="28"/>
  <c r="I49" i="29"/>
  <c r="D45" i="28"/>
  <c r="D45" i="26" s="1"/>
  <c r="I49" i="30"/>
  <c r="E39" i="29"/>
  <c r="D39" i="28"/>
  <c r="E39" i="28" s="1"/>
  <c r="D43" i="28"/>
  <c r="E43" i="28" s="1"/>
  <c r="M8" i="30"/>
  <c r="M34" i="31"/>
  <c r="D48" i="29"/>
  <c r="E48" i="29" s="1"/>
  <c r="D41" i="29"/>
  <c r="J43" i="29"/>
  <c r="J44" i="30"/>
  <c r="J56" i="29"/>
  <c r="O9" i="48"/>
  <c r="O10" i="48" s="1"/>
  <c r="O11" i="48" s="1"/>
  <c r="O12" i="48" s="1"/>
  <c r="O13" i="48" s="1"/>
  <c r="O14" i="48" s="1"/>
  <c r="O15" i="48" s="1"/>
  <c r="O16" i="48" s="1"/>
  <c r="O17" i="48" s="1"/>
  <c r="O18" i="48" s="1"/>
  <c r="O19" i="48" s="1"/>
  <c r="O20" i="48" s="1"/>
  <c r="O21" i="48" s="1"/>
  <c r="O22" i="48" s="1"/>
  <c r="O23" i="48" s="1"/>
  <c r="O24" i="48" s="1"/>
  <c r="O25" i="48" s="1"/>
  <c r="O26" i="48" s="1"/>
  <c r="O27" i="48" s="1"/>
  <c r="O28" i="48" s="1"/>
  <c r="O29" i="48" s="1"/>
  <c r="O30" i="48" s="1"/>
  <c r="O31" i="48" s="1"/>
  <c r="O32" i="48" s="1"/>
  <c r="O33" i="48" s="1"/>
  <c r="O34" i="48" s="1"/>
  <c r="O35" i="48" s="1"/>
  <c r="O36" i="48" s="1"/>
  <c r="O37" i="48" s="1"/>
  <c r="O38" i="48" s="1"/>
  <c r="O39" i="48" s="1"/>
  <c r="G9" i="48"/>
  <c r="N41" i="48"/>
  <c r="G41" i="48" s="1"/>
  <c r="E52" i="31"/>
  <c r="E53" i="31" s="1"/>
  <c r="D38" i="27"/>
  <c r="AA33" i="57" s="1"/>
  <c r="AB33" i="57" s="1"/>
  <c r="E38" i="29"/>
  <c r="D50" i="29"/>
  <c r="E50" i="30"/>
  <c r="D42" i="29"/>
  <c r="E42" i="30"/>
  <c r="D47" i="28"/>
  <c r="E47" i="27"/>
  <c r="D52" i="30"/>
  <c r="D53" i="30" s="1"/>
  <c r="D46" i="29"/>
  <c r="E46" i="30"/>
  <c r="D51" i="27"/>
  <c r="E51" i="29"/>
  <c r="D40" i="27"/>
  <c r="E40" i="29"/>
  <c r="E44" i="27"/>
  <c r="D44" i="28"/>
  <c r="A14" i="2" s="1"/>
  <c r="J39" i="31"/>
  <c r="J37" i="30"/>
  <c r="J57" i="29"/>
  <c r="D49" i="28"/>
  <c r="E49" i="27"/>
  <c r="J57" i="16"/>
  <c r="M7" i="28"/>
  <c r="AC12" i="48"/>
  <c r="Q13" i="48"/>
  <c r="J47" i="29"/>
  <c r="J46" i="27"/>
  <c r="FV9" i="1" l="1"/>
  <c r="AZ9" i="1"/>
  <c r="CV9" i="1"/>
  <c r="R36" i="45"/>
  <c r="K36" i="45"/>
  <c r="O36" i="45"/>
  <c r="E17" i="1"/>
  <c r="GB17" i="1" s="1"/>
  <c r="E13" i="1"/>
  <c r="C12" i="45"/>
  <c r="E12" i="1"/>
  <c r="CP12" i="1" s="1"/>
  <c r="C11" i="45"/>
  <c r="E11" i="1"/>
  <c r="CY11" i="1" s="1"/>
  <c r="C10" i="45"/>
  <c r="JE16" i="1"/>
  <c r="IS16" i="1"/>
  <c r="IG16" i="1"/>
  <c r="HU16" i="1"/>
  <c r="HI16" i="1"/>
  <c r="GW16" i="1"/>
  <c r="GK16" i="1"/>
  <c r="FY16" i="1"/>
  <c r="FM16" i="1"/>
  <c r="FA16" i="1"/>
  <c r="EO16" i="1"/>
  <c r="EC16" i="1"/>
  <c r="DQ16" i="1"/>
  <c r="DE16" i="1"/>
  <c r="CS16" i="1"/>
  <c r="CG16" i="1"/>
  <c r="BU16" i="1"/>
  <c r="BI16" i="1"/>
  <c r="AW16" i="1"/>
  <c r="AK16" i="1"/>
  <c r="Y16" i="1"/>
  <c r="M16" i="1"/>
  <c r="JB16" i="1"/>
  <c r="IP16" i="1"/>
  <c r="ID16" i="1"/>
  <c r="HR16" i="1"/>
  <c r="HF16" i="1"/>
  <c r="GT16" i="1"/>
  <c r="GH16" i="1"/>
  <c r="FV16" i="1"/>
  <c r="FJ16" i="1"/>
  <c r="EX16" i="1"/>
  <c r="EL16" i="1"/>
  <c r="DZ16" i="1"/>
  <c r="DN16" i="1"/>
  <c r="DB16" i="1"/>
  <c r="CP16" i="1"/>
  <c r="CD16" i="1"/>
  <c r="BR16" i="1"/>
  <c r="BF16" i="1"/>
  <c r="AT16" i="1"/>
  <c r="AH16" i="1"/>
  <c r="V16" i="1"/>
  <c r="J16" i="1"/>
  <c r="IY16" i="1"/>
  <c r="IM16" i="1"/>
  <c r="IA16" i="1"/>
  <c r="HO16" i="1"/>
  <c r="HC16" i="1"/>
  <c r="GQ16" i="1"/>
  <c r="GE16" i="1"/>
  <c r="FS16" i="1"/>
  <c r="FG16" i="1"/>
  <c r="EU16" i="1"/>
  <c r="EI16" i="1"/>
  <c r="DW16" i="1"/>
  <c r="DK16" i="1"/>
  <c r="CY16" i="1"/>
  <c r="CM16" i="1"/>
  <c r="CA16" i="1"/>
  <c r="BO16" i="1"/>
  <c r="BC16" i="1"/>
  <c r="AQ16" i="1"/>
  <c r="AE16" i="1"/>
  <c r="S16" i="1"/>
  <c r="G16" i="1"/>
  <c r="GN16" i="1"/>
  <c r="CV16" i="1"/>
  <c r="HX16" i="1"/>
  <c r="EF16" i="1"/>
  <c r="AN16" i="1"/>
  <c r="JH16" i="1"/>
  <c r="FP16" i="1"/>
  <c r="BX16" i="1"/>
  <c r="GZ16" i="1"/>
  <c r="DH16" i="1"/>
  <c r="P16" i="1"/>
  <c r="IJ16" i="1"/>
  <c r="ER16" i="1"/>
  <c r="AZ16" i="1"/>
  <c r="HL16" i="1"/>
  <c r="DT16" i="1"/>
  <c r="AB16" i="1"/>
  <c r="GB16" i="1"/>
  <c r="FD16" i="1"/>
  <c r="CJ16" i="1"/>
  <c r="BL16" i="1"/>
  <c r="IV16" i="1"/>
  <c r="JB23" i="1"/>
  <c r="IA23" i="1"/>
  <c r="GK23" i="1"/>
  <c r="FJ23" i="1"/>
  <c r="IM23" i="1"/>
  <c r="GW23" i="1"/>
  <c r="FV23" i="1"/>
  <c r="EU23" i="1"/>
  <c r="EI23" i="1"/>
  <c r="DW23" i="1"/>
  <c r="DK23" i="1"/>
  <c r="CY23" i="1"/>
  <c r="CM23" i="1"/>
  <c r="CA23" i="1"/>
  <c r="BO23" i="1"/>
  <c r="BC23" i="1"/>
  <c r="AQ23" i="1"/>
  <c r="AE23" i="1"/>
  <c r="S23" i="1"/>
  <c r="G23" i="1"/>
  <c r="IY23" i="1"/>
  <c r="HI23" i="1"/>
  <c r="GH23" i="1"/>
  <c r="FG23" i="1"/>
  <c r="HU23" i="1"/>
  <c r="GT23" i="1"/>
  <c r="FS23" i="1"/>
  <c r="ER23" i="1"/>
  <c r="EF23" i="1"/>
  <c r="DT23" i="1"/>
  <c r="DH23" i="1"/>
  <c r="CV23" i="1"/>
  <c r="CJ23" i="1"/>
  <c r="BX23" i="1"/>
  <c r="BL23" i="1"/>
  <c r="AZ23" i="1"/>
  <c r="AN23" i="1"/>
  <c r="AB23" i="1"/>
  <c r="P23" i="1"/>
  <c r="IG23" i="1"/>
  <c r="HF23" i="1"/>
  <c r="GE23" i="1"/>
  <c r="IS23" i="1"/>
  <c r="HR23" i="1"/>
  <c r="GQ23" i="1"/>
  <c r="FA23" i="1"/>
  <c r="EO23" i="1"/>
  <c r="EC23" i="1"/>
  <c r="DQ23" i="1"/>
  <c r="DE23" i="1"/>
  <c r="CS23" i="1"/>
  <c r="CG23" i="1"/>
  <c r="BU23" i="1"/>
  <c r="BI23" i="1"/>
  <c r="AW23" i="1"/>
  <c r="AK23" i="1"/>
  <c r="Y23" i="1"/>
  <c r="M23" i="1"/>
  <c r="BR23" i="1"/>
  <c r="JE23" i="1"/>
  <c r="DB23" i="1"/>
  <c r="J23" i="1"/>
  <c r="HO23" i="1"/>
  <c r="FY23" i="1"/>
  <c r="EL23" i="1"/>
  <c r="AT23" i="1"/>
  <c r="CD23" i="1"/>
  <c r="JH23" i="1"/>
  <c r="ID23" i="1"/>
  <c r="DN23" i="1"/>
  <c r="V23" i="1"/>
  <c r="CP23" i="1"/>
  <c r="IP23" i="1"/>
  <c r="EX23" i="1"/>
  <c r="FM23" i="1"/>
  <c r="BF23" i="1"/>
  <c r="DZ23" i="1"/>
  <c r="AH23" i="1"/>
  <c r="HC23" i="1"/>
  <c r="FD23" i="1"/>
  <c r="IV23" i="1"/>
  <c r="FP23" i="1"/>
  <c r="GB23" i="1"/>
  <c r="GZ23" i="1"/>
  <c r="GN23" i="1"/>
  <c r="HL23" i="1"/>
  <c r="IJ23" i="1"/>
  <c r="HX23" i="1"/>
  <c r="JB30" i="1"/>
  <c r="DN30" i="1"/>
  <c r="HL30" i="1"/>
  <c r="AB30" i="1"/>
  <c r="BR30" i="1"/>
  <c r="GN30" i="1"/>
  <c r="HF30" i="1"/>
  <c r="V30" i="1"/>
  <c r="FJ30" i="1"/>
  <c r="DT30" i="1"/>
  <c r="CV30" i="1"/>
  <c r="GW30" i="1"/>
  <c r="DE30" i="1"/>
  <c r="M30" i="1"/>
  <c r="FS30" i="1"/>
  <c r="CA30" i="1"/>
  <c r="GB30" i="1"/>
  <c r="AH30" i="1"/>
  <c r="GT30" i="1"/>
  <c r="GK30" i="1"/>
  <c r="CS30" i="1"/>
  <c r="IY30" i="1"/>
  <c r="FG30" i="1"/>
  <c r="BO30" i="1"/>
  <c r="EF30" i="1"/>
  <c r="IV30" i="1"/>
  <c r="EX30" i="1"/>
  <c r="FY30" i="1"/>
  <c r="CG30" i="1"/>
  <c r="IM30" i="1"/>
  <c r="EU30" i="1"/>
  <c r="BC30" i="1"/>
  <c r="CJ30" i="1"/>
  <c r="GZ30" i="1"/>
  <c r="DB30" i="1"/>
  <c r="FP30" i="1"/>
  <c r="IS30" i="1"/>
  <c r="FA30" i="1"/>
  <c r="BI30" i="1"/>
  <c r="HO30" i="1"/>
  <c r="DW30" i="1"/>
  <c r="AE30" i="1"/>
  <c r="HR30" i="1"/>
  <c r="DH30" i="1"/>
  <c r="J30" i="1"/>
  <c r="AZ30" i="1"/>
  <c r="HU30" i="1"/>
  <c r="EC30" i="1"/>
  <c r="AK30" i="1"/>
  <c r="GQ30" i="1"/>
  <c r="CY30" i="1"/>
  <c r="G30" i="1"/>
  <c r="DZ30" i="1"/>
  <c r="P30" i="1"/>
  <c r="EL30" i="1"/>
  <c r="IG30" i="1"/>
  <c r="IA30" i="1"/>
  <c r="HX30" i="1"/>
  <c r="AT30" i="1"/>
  <c r="ER30" i="1"/>
  <c r="HI30" i="1"/>
  <c r="HC30" i="1"/>
  <c r="AN30" i="1"/>
  <c r="ID30" i="1"/>
  <c r="IJ30" i="1"/>
  <c r="FM30" i="1"/>
  <c r="GE30" i="1"/>
  <c r="FV30" i="1"/>
  <c r="BX30" i="1"/>
  <c r="EO30" i="1"/>
  <c r="EI30" i="1"/>
  <c r="CD30" i="1"/>
  <c r="JH30" i="1"/>
  <c r="DQ30" i="1"/>
  <c r="DK30" i="1"/>
  <c r="FD30" i="1"/>
  <c r="AW30" i="1"/>
  <c r="AQ30" i="1"/>
  <c r="IP30" i="1"/>
  <c r="GH30" i="1"/>
  <c r="JE30" i="1"/>
  <c r="BU30" i="1"/>
  <c r="Y30" i="1"/>
  <c r="CM30" i="1"/>
  <c r="S30" i="1"/>
  <c r="BF30" i="1"/>
  <c r="CP30" i="1"/>
  <c r="BL30" i="1"/>
  <c r="IV17" i="1"/>
  <c r="IJ17" i="1"/>
  <c r="HX17" i="1"/>
  <c r="HL17" i="1"/>
  <c r="GZ17" i="1"/>
  <c r="GN17" i="1"/>
  <c r="FD17" i="1"/>
  <c r="ER17" i="1"/>
  <c r="EF17" i="1"/>
  <c r="DT17" i="1"/>
  <c r="DH17" i="1"/>
  <c r="CV17" i="1"/>
  <c r="BL17" i="1"/>
  <c r="AZ17" i="1"/>
  <c r="AN17" i="1"/>
  <c r="AB17" i="1"/>
  <c r="P17" i="1"/>
  <c r="IY17" i="1"/>
  <c r="FG17" i="1"/>
  <c r="DQ17" i="1"/>
  <c r="CP17" i="1"/>
  <c r="BO17" i="1"/>
  <c r="Y17" i="1"/>
  <c r="HU17" i="1"/>
  <c r="FS17" i="1"/>
  <c r="EC17" i="1"/>
  <c r="DB17" i="1"/>
  <c r="CA17" i="1"/>
  <c r="AK17" i="1"/>
  <c r="J17" i="1"/>
  <c r="IG17" i="1"/>
  <c r="HF17" i="1"/>
  <c r="GE17" i="1"/>
  <c r="EO17" i="1"/>
  <c r="DN17" i="1"/>
  <c r="CM17" i="1"/>
  <c r="AW17" i="1"/>
  <c r="V17" i="1"/>
  <c r="IS17" i="1"/>
  <c r="HR17" i="1"/>
  <c r="GQ17" i="1"/>
  <c r="FA17" i="1"/>
  <c r="DZ17" i="1"/>
  <c r="CY17" i="1"/>
  <c r="BI17" i="1"/>
  <c r="AH17" i="1"/>
  <c r="G17" i="1"/>
  <c r="JE17" i="1"/>
  <c r="ID17" i="1"/>
  <c r="HC17" i="1"/>
  <c r="FM17" i="1"/>
  <c r="EL17" i="1"/>
  <c r="DK17" i="1"/>
  <c r="BU17" i="1"/>
  <c r="AT17" i="1"/>
  <c r="S17" i="1"/>
  <c r="JB17" i="1"/>
  <c r="IA17" i="1"/>
  <c r="GK17" i="1"/>
  <c r="FJ17" i="1"/>
  <c r="EI17" i="1"/>
  <c r="CS17" i="1"/>
  <c r="BR17" i="1"/>
  <c r="AQ17" i="1"/>
  <c r="BF17" i="1"/>
  <c r="FV17" i="1"/>
  <c r="EX17" i="1"/>
  <c r="BC17" i="1"/>
  <c r="M17" i="1"/>
  <c r="DW17" i="1"/>
  <c r="AE17" i="1"/>
  <c r="IP17" i="1"/>
  <c r="EU17" i="1"/>
  <c r="DE17" i="1"/>
  <c r="CG17" i="1"/>
  <c r="IM17" i="1"/>
  <c r="GW17" i="1"/>
  <c r="HO17" i="1"/>
  <c r="FY17" i="1"/>
  <c r="CD17" i="1"/>
  <c r="C14" i="45"/>
  <c r="G14" i="45" s="1"/>
  <c r="E15" i="1"/>
  <c r="CM27" i="1"/>
  <c r="V27" i="1"/>
  <c r="IG27" i="1"/>
  <c r="HO27" i="1"/>
  <c r="EO27" i="1"/>
  <c r="DW27" i="1"/>
  <c r="BR27" i="1"/>
  <c r="GQ27" i="1"/>
  <c r="FY27" i="1"/>
  <c r="CY27" i="1"/>
  <c r="AH27" i="1"/>
  <c r="CG27" i="1"/>
  <c r="AW27" i="1"/>
  <c r="HU27" i="1"/>
  <c r="EU27" i="1"/>
  <c r="EC27" i="1"/>
  <c r="AQ27" i="1"/>
  <c r="G27" i="1"/>
  <c r="AE27" i="1"/>
  <c r="FS27" i="1"/>
  <c r="BI27" i="1"/>
  <c r="GK27" i="1"/>
  <c r="BF27" i="1"/>
  <c r="CS27" i="1"/>
  <c r="IV27" i="1"/>
  <c r="FD27" i="1"/>
  <c r="BL27" i="1"/>
  <c r="HR27" i="1"/>
  <c r="DZ27" i="1"/>
  <c r="IY27" i="1"/>
  <c r="J27" i="1"/>
  <c r="IJ27" i="1"/>
  <c r="ER27" i="1"/>
  <c r="AZ27" i="1"/>
  <c r="HF27" i="1"/>
  <c r="DN27" i="1"/>
  <c r="AK27" i="1"/>
  <c r="HX27" i="1"/>
  <c r="EF27" i="1"/>
  <c r="AN27" i="1"/>
  <c r="GT27" i="1"/>
  <c r="S27" i="1"/>
  <c r="CA27" i="1"/>
  <c r="EI27" i="1"/>
  <c r="DE27" i="1"/>
  <c r="GZ27" i="1"/>
  <c r="DH27" i="1"/>
  <c r="P27" i="1"/>
  <c r="FV27" i="1"/>
  <c r="BU27" i="1"/>
  <c r="DQ27" i="1"/>
  <c r="GB27" i="1"/>
  <c r="CJ27" i="1"/>
  <c r="IP27" i="1"/>
  <c r="EX27" i="1"/>
  <c r="FG27" i="1"/>
  <c r="IM27" i="1"/>
  <c r="HI27" i="1"/>
  <c r="DT27" i="1"/>
  <c r="EL27" i="1"/>
  <c r="DB27" i="1"/>
  <c r="Y27" i="1"/>
  <c r="IS27" i="1"/>
  <c r="CV27" i="1"/>
  <c r="AT27" i="1"/>
  <c r="FM27" i="1"/>
  <c r="BO27" i="1"/>
  <c r="BX27" i="1"/>
  <c r="DK27" i="1"/>
  <c r="JE27" i="1"/>
  <c r="CP27" i="1"/>
  <c r="M27" i="1"/>
  <c r="AB27" i="1"/>
  <c r="HC27" i="1"/>
  <c r="GE27" i="1"/>
  <c r="BC27" i="1"/>
  <c r="JH27" i="1"/>
  <c r="JB27" i="1"/>
  <c r="IA27" i="1"/>
  <c r="CD27" i="1"/>
  <c r="GN27" i="1"/>
  <c r="GH27" i="1"/>
  <c r="GW27" i="1"/>
  <c r="HL27" i="1"/>
  <c r="FP27" i="1"/>
  <c r="FJ27" i="1"/>
  <c r="FA27" i="1"/>
  <c r="ID27" i="1"/>
  <c r="JB18" i="1"/>
  <c r="IP18" i="1"/>
  <c r="ID18" i="1"/>
  <c r="HR18" i="1"/>
  <c r="HF18" i="1"/>
  <c r="GT18" i="1"/>
  <c r="GH18" i="1"/>
  <c r="FV18" i="1"/>
  <c r="FJ18" i="1"/>
  <c r="EX18" i="1"/>
  <c r="EL18" i="1"/>
  <c r="DZ18" i="1"/>
  <c r="DN18" i="1"/>
  <c r="DB18" i="1"/>
  <c r="CP18" i="1"/>
  <c r="CD18" i="1"/>
  <c r="BR18" i="1"/>
  <c r="BF18" i="1"/>
  <c r="AT18" i="1"/>
  <c r="AH18" i="1"/>
  <c r="V18" i="1"/>
  <c r="J18" i="1"/>
  <c r="IY18" i="1"/>
  <c r="IM18" i="1"/>
  <c r="IA18" i="1"/>
  <c r="HO18" i="1"/>
  <c r="HC18" i="1"/>
  <c r="GQ18" i="1"/>
  <c r="GE18" i="1"/>
  <c r="FS18" i="1"/>
  <c r="FG18" i="1"/>
  <c r="EU18" i="1"/>
  <c r="EI18" i="1"/>
  <c r="DW18" i="1"/>
  <c r="DK18" i="1"/>
  <c r="CY18" i="1"/>
  <c r="CM18" i="1"/>
  <c r="CA18" i="1"/>
  <c r="BO18" i="1"/>
  <c r="BC18" i="1"/>
  <c r="AQ18" i="1"/>
  <c r="AE18" i="1"/>
  <c r="S18" i="1"/>
  <c r="G18" i="1"/>
  <c r="JH18" i="1"/>
  <c r="IV18" i="1"/>
  <c r="IJ18" i="1"/>
  <c r="HX18" i="1"/>
  <c r="HL18" i="1"/>
  <c r="GZ18" i="1"/>
  <c r="GN18" i="1"/>
  <c r="GB18" i="1"/>
  <c r="FP18" i="1"/>
  <c r="FD18" i="1"/>
  <c r="ER18" i="1"/>
  <c r="EF18" i="1"/>
  <c r="DT18" i="1"/>
  <c r="DH18" i="1"/>
  <c r="CV18" i="1"/>
  <c r="CJ18" i="1"/>
  <c r="BX18" i="1"/>
  <c r="BL18" i="1"/>
  <c r="AZ18" i="1"/>
  <c r="AN18" i="1"/>
  <c r="AB18" i="1"/>
  <c r="P18" i="1"/>
  <c r="JE18" i="1"/>
  <c r="IS18" i="1"/>
  <c r="IG18" i="1"/>
  <c r="HU18" i="1"/>
  <c r="HI18" i="1"/>
  <c r="GW18" i="1"/>
  <c r="GK18" i="1"/>
  <c r="FY18" i="1"/>
  <c r="FM18" i="1"/>
  <c r="FA18" i="1"/>
  <c r="EO18" i="1"/>
  <c r="EC18" i="1"/>
  <c r="DQ18" i="1"/>
  <c r="DE18" i="1"/>
  <c r="CS18" i="1"/>
  <c r="CG18" i="1"/>
  <c r="BU18" i="1"/>
  <c r="BI18" i="1"/>
  <c r="AW18" i="1"/>
  <c r="AK18" i="1"/>
  <c r="Y18" i="1"/>
  <c r="M18" i="1"/>
  <c r="DB12" i="1"/>
  <c r="AQ12" i="1"/>
  <c r="GE12" i="1"/>
  <c r="IS12" i="1"/>
  <c r="HI12" i="1"/>
  <c r="JH13" i="1"/>
  <c r="IV13" i="1"/>
  <c r="IJ13" i="1"/>
  <c r="HX13" i="1"/>
  <c r="HL13" i="1"/>
  <c r="GZ13" i="1"/>
  <c r="GN13" i="1"/>
  <c r="GB13" i="1"/>
  <c r="FP13" i="1"/>
  <c r="FD13" i="1"/>
  <c r="ER13" i="1"/>
  <c r="EF13" i="1"/>
  <c r="DT13" i="1"/>
  <c r="DE13" i="1"/>
  <c r="CS13" i="1"/>
  <c r="CG13" i="1"/>
  <c r="BU13" i="1"/>
  <c r="BI13" i="1"/>
  <c r="AW13" i="1"/>
  <c r="AK13" i="1"/>
  <c r="Y13" i="1"/>
  <c r="M13" i="1"/>
  <c r="JE13" i="1"/>
  <c r="IS13" i="1"/>
  <c r="IG13" i="1"/>
  <c r="HU13" i="1"/>
  <c r="HI13" i="1"/>
  <c r="GW13" i="1"/>
  <c r="GK13" i="1"/>
  <c r="FY13" i="1"/>
  <c r="FM13" i="1"/>
  <c r="FA13" i="1"/>
  <c r="EO13" i="1"/>
  <c r="EC13" i="1"/>
  <c r="DQ13" i="1"/>
  <c r="DB13" i="1"/>
  <c r="CP13" i="1"/>
  <c r="CD13" i="1"/>
  <c r="BR13" i="1"/>
  <c r="BF13" i="1"/>
  <c r="AT13" i="1"/>
  <c r="AH13" i="1"/>
  <c r="V13" i="1"/>
  <c r="J13" i="1"/>
  <c r="JB13" i="1"/>
  <c r="IP13" i="1"/>
  <c r="ID13" i="1"/>
  <c r="HR13" i="1"/>
  <c r="HF13" i="1"/>
  <c r="GT13" i="1"/>
  <c r="GH13" i="1"/>
  <c r="FV13" i="1"/>
  <c r="FJ13" i="1"/>
  <c r="EX13" i="1"/>
  <c r="EL13" i="1"/>
  <c r="DZ13" i="1"/>
  <c r="DN13" i="1"/>
  <c r="IY13" i="1"/>
  <c r="IM13" i="1"/>
  <c r="IA13" i="1"/>
  <c r="HO13" i="1"/>
  <c r="HC13" i="1"/>
  <c r="GQ13" i="1"/>
  <c r="GE13" i="1"/>
  <c r="FS13" i="1"/>
  <c r="FG13" i="1"/>
  <c r="EU13" i="1"/>
  <c r="EI13" i="1"/>
  <c r="DW13" i="1"/>
  <c r="DK13" i="1"/>
  <c r="CY13" i="1"/>
  <c r="CJ13" i="1"/>
  <c r="BC13" i="1"/>
  <c r="AN13" i="1"/>
  <c r="G13" i="1"/>
  <c r="CV13" i="1"/>
  <c r="BO13" i="1"/>
  <c r="AZ13" i="1"/>
  <c r="S13" i="1"/>
  <c r="DH13" i="1"/>
  <c r="CA13" i="1"/>
  <c r="BL13" i="1"/>
  <c r="AE13" i="1"/>
  <c r="P13" i="1"/>
  <c r="CM13" i="1"/>
  <c r="BX13" i="1"/>
  <c r="AQ13" i="1"/>
  <c r="AB13" i="1"/>
  <c r="JH31" i="1"/>
  <c r="GT31" i="1"/>
  <c r="GB31" i="1"/>
  <c r="FJ31" i="1"/>
  <c r="J31" i="1"/>
  <c r="DZ31" i="1"/>
  <c r="DH31" i="1"/>
  <c r="CP31" i="1"/>
  <c r="IP31" i="1"/>
  <c r="HX31" i="1"/>
  <c r="HF31" i="1"/>
  <c r="BF31" i="1"/>
  <c r="AN31" i="1"/>
  <c r="V31" i="1"/>
  <c r="JE31" i="1"/>
  <c r="FV31" i="1"/>
  <c r="FD31" i="1"/>
  <c r="EL31" i="1"/>
  <c r="JB31" i="1"/>
  <c r="DB31" i="1"/>
  <c r="CJ31" i="1"/>
  <c r="BR31" i="1"/>
  <c r="EX31" i="1"/>
  <c r="EF31" i="1"/>
  <c r="DN31" i="1"/>
  <c r="AT31" i="1"/>
  <c r="BL31" i="1"/>
  <c r="ID31" i="1"/>
  <c r="CD31" i="1"/>
  <c r="IV31" i="1"/>
  <c r="P31" i="1"/>
  <c r="GH31" i="1"/>
  <c r="AH31" i="1"/>
  <c r="GZ31" i="1"/>
  <c r="HR31" i="1"/>
  <c r="DT31" i="1"/>
  <c r="AZ31" i="1"/>
  <c r="FP31" i="1"/>
  <c r="CV31" i="1"/>
  <c r="HL31" i="1"/>
  <c r="S31" i="1"/>
  <c r="DK31" i="1"/>
  <c r="HC31" i="1"/>
  <c r="Y31" i="1"/>
  <c r="DQ31" i="1"/>
  <c r="HI31" i="1"/>
  <c r="ER31" i="1"/>
  <c r="GN31" i="1"/>
  <c r="AB31" i="1"/>
  <c r="CY31" i="1"/>
  <c r="HO31" i="1"/>
  <c r="CG31" i="1"/>
  <c r="GK31" i="1"/>
  <c r="G31" i="1"/>
  <c r="DW31" i="1"/>
  <c r="IA31" i="1"/>
  <c r="CS31" i="1"/>
  <c r="GW31" i="1"/>
  <c r="AE31" i="1"/>
  <c r="EI31" i="1"/>
  <c r="IM31" i="1"/>
  <c r="DE31" i="1"/>
  <c r="HU31" i="1"/>
  <c r="BX31" i="1"/>
  <c r="AQ31" i="1"/>
  <c r="EU31" i="1"/>
  <c r="IY31" i="1"/>
  <c r="M31" i="1"/>
  <c r="EC31" i="1"/>
  <c r="IG31" i="1"/>
  <c r="BC31" i="1"/>
  <c r="FG31" i="1"/>
  <c r="AK31" i="1"/>
  <c r="EO31" i="1"/>
  <c r="IS31" i="1"/>
  <c r="IJ31" i="1"/>
  <c r="BO31" i="1"/>
  <c r="BU31" i="1"/>
  <c r="CA31" i="1"/>
  <c r="AW31" i="1"/>
  <c r="CM31" i="1"/>
  <c r="BI31" i="1"/>
  <c r="FS31" i="1"/>
  <c r="GE31" i="1"/>
  <c r="FA31" i="1"/>
  <c r="FY31" i="1"/>
  <c r="FM31" i="1"/>
  <c r="GQ31" i="1"/>
  <c r="EI28" i="1"/>
  <c r="IM28" i="1"/>
  <c r="G28" i="1"/>
  <c r="GQ28" i="1"/>
  <c r="CM28" i="1"/>
  <c r="EU28" i="1"/>
  <c r="AQ28" i="1"/>
  <c r="CY28" i="1"/>
  <c r="BC28" i="1"/>
  <c r="IV28" i="1"/>
  <c r="FD28" i="1"/>
  <c r="BL28" i="1"/>
  <c r="HR28" i="1"/>
  <c r="DZ28" i="1"/>
  <c r="AH28" i="1"/>
  <c r="GE28" i="1"/>
  <c r="BI28" i="1"/>
  <c r="AE28" i="1"/>
  <c r="IJ28" i="1"/>
  <c r="ER28" i="1"/>
  <c r="AZ28" i="1"/>
  <c r="HF28" i="1"/>
  <c r="DN28" i="1"/>
  <c r="V28" i="1"/>
  <c r="Y28" i="1"/>
  <c r="IA28" i="1"/>
  <c r="DE28" i="1"/>
  <c r="CA28" i="1"/>
  <c r="HX28" i="1"/>
  <c r="EF28" i="1"/>
  <c r="AN28" i="1"/>
  <c r="GT28" i="1"/>
  <c r="DB28" i="1"/>
  <c r="J28" i="1"/>
  <c r="BU28" i="1"/>
  <c r="FA28" i="1"/>
  <c r="DW28" i="1"/>
  <c r="FG28" i="1"/>
  <c r="HL28" i="1"/>
  <c r="DT28" i="1"/>
  <c r="AB28" i="1"/>
  <c r="GH28" i="1"/>
  <c r="CP28" i="1"/>
  <c r="AK28" i="1"/>
  <c r="GZ28" i="1"/>
  <c r="DH28" i="1"/>
  <c r="P28" i="1"/>
  <c r="FV28" i="1"/>
  <c r="CD28" i="1"/>
  <c r="CG28" i="1"/>
  <c r="FM28" i="1"/>
  <c r="IS28" i="1"/>
  <c r="HO28" i="1"/>
  <c r="GB28" i="1"/>
  <c r="CJ28" i="1"/>
  <c r="IP28" i="1"/>
  <c r="EX28" i="1"/>
  <c r="BF28" i="1"/>
  <c r="FY28" i="1"/>
  <c r="JE28" i="1"/>
  <c r="FP28" i="1"/>
  <c r="AT28" i="1"/>
  <c r="GK28" i="1"/>
  <c r="CV28" i="1"/>
  <c r="EC28" i="1"/>
  <c r="IG28" i="1"/>
  <c r="S28" i="1"/>
  <c r="BX28" i="1"/>
  <c r="HU28" i="1"/>
  <c r="BO28" i="1"/>
  <c r="JB28" i="1"/>
  <c r="FS28" i="1"/>
  <c r="DK28" i="1"/>
  <c r="ID28" i="1"/>
  <c r="DQ28" i="1"/>
  <c r="M28" i="1"/>
  <c r="HC28" i="1"/>
  <c r="JH28" i="1"/>
  <c r="EL28" i="1"/>
  <c r="CS28" i="1"/>
  <c r="GN28" i="1"/>
  <c r="FJ28" i="1"/>
  <c r="IY28" i="1"/>
  <c r="BR28" i="1"/>
  <c r="EO28" i="1"/>
  <c r="HI28" i="1"/>
  <c r="GW28" i="1"/>
  <c r="AW28" i="1"/>
  <c r="IY26" i="1"/>
  <c r="IG26" i="1"/>
  <c r="DN26" i="1"/>
  <c r="AK26" i="1"/>
  <c r="V26" i="1"/>
  <c r="G26" i="1"/>
  <c r="GE26" i="1"/>
  <c r="FJ26" i="1"/>
  <c r="BO26" i="1"/>
  <c r="IP26" i="1"/>
  <c r="HI26" i="1"/>
  <c r="GQ26" i="1"/>
  <c r="DZ26" i="1"/>
  <c r="CS26" i="1"/>
  <c r="CD26" i="1"/>
  <c r="AW26" i="1"/>
  <c r="AH26" i="1"/>
  <c r="DQ26" i="1"/>
  <c r="CY26" i="1"/>
  <c r="J26" i="1"/>
  <c r="FA26" i="1"/>
  <c r="EI26" i="1"/>
  <c r="Y26" i="1"/>
  <c r="HF26" i="1"/>
  <c r="GK26" i="1"/>
  <c r="BI26" i="1"/>
  <c r="AQ26" i="1"/>
  <c r="IS26" i="1"/>
  <c r="GH26" i="1"/>
  <c r="CP26" i="1"/>
  <c r="BC26" i="1"/>
  <c r="HR26" i="1"/>
  <c r="CM26" i="1"/>
  <c r="BR26" i="1"/>
  <c r="DE26" i="1"/>
  <c r="EO26" i="1"/>
  <c r="FG26" i="1"/>
  <c r="M26" i="1"/>
  <c r="CA26" i="1"/>
  <c r="DB26" i="1"/>
  <c r="EC26" i="1"/>
  <c r="EU26" i="1"/>
  <c r="CG26" i="1"/>
  <c r="IJ26" i="1"/>
  <c r="ER26" i="1"/>
  <c r="AZ26" i="1"/>
  <c r="EL26" i="1"/>
  <c r="FS26" i="1"/>
  <c r="GW26" i="1"/>
  <c r="HU26" i="1"/>
  <c r="IA26" i="1"/>
  <c r="IV26" i="1"/>
  <c r="EF26" i="1"/>
  <c r="AB26" i="1"/>
  <c r="ID26" i="1"/>
  <c r="HX26" i="1"/>
  <c r="DT26" i="1"/>
  <c r="P26" i="1"/>
  <c r="JE26" i="1"/>
  <c r="FV26" i="1"/>
  <c r="AE26" i="1"/>
  <c r="HL26" i="1"/>
  <c r="DH26" i="1"/>
  <c r="S26" i="1"/>
  <c r="GT26" i="1"/>
  <c r="IM26" i="1"/>
  <c r="BF26" i="1"/>
  <c r="GZ26" i="1"/>
  <c r="CV26" i="1"/>
  <c r="AT26" i="1"/>
  <c r="DW26" i="1"/>
  <c r="GN26" i="1"/>
  <c r="CJ26" i="1"/>
  <c r="BU26" i="1"/>
  <c r="FY26" i="1"/>
  <c r="FP26" i="1"/>
  <c r="BL26" i="1"/>
  <c r="FM26" i="1"/>
  <c r="JH26" i="1"/>
  <c r="JB26" i="1"/>
  <c r="GB26" i="1"/>
  <c r="FD26" i="1"/>
  <c r="EX26" i="1"/>
  <c r="BX26" i="1"/>
  <c r="HO26" i="1"/>
  <c r="AN26" i="1"/>
  <c r="HC26" i="1"/>
  <c r="DK26" i="1"/>
  <c r="JH29" i="1"/>
  <c r="M29" i="1"/>
  <c r="BO29" i="1"/>
  <c r="AW29" i="1"/>
  <c r="GN29" i="1"/>
  <c r="DZ29" i="1"/>
  <c r="FP29" i="1"/>
  <c r="FV29" i="1"/>
  <c r="BI29" i="1"/>
  <c r="AQ29" i="1"/>
  <c r="S29" i="1"/>
  <c r="HR29" i="1"/>
  <c r="CV29" i="1"/>
  <c r="CA29" i="1"/>
  <c r="HU29" i="1"/>
  <c r="EC29" i="1"/>
  <c r="HC29" i="1"/>
  <c r="DK29" i="1"/>
  <c r="GB29" i="1"/>
  <c r="P29" i="1"/>
  <c r="DH29" i="1"/>
  <c r="AK29" i="1"/>
  <c r="EX29" i="1"/>
  <c r="HI29" i="1"/>
  <c r="DQ29" i="1"/>
  <c r="GQ29" i="1"/>
  <c r="CY29" i="1"/>
  <c r="EF29" i="1"/>
  <c r="JB29" i="1"/>
  <c r="CD29" i="1"/>
  <c r="CG29" i="1"/>
  <c r="IP29" i="1"/>
  <c r="GW29" i="1"/>
  <c r="DE29" i="1"/>
  <c r="GE29" i="1"/>
  <c r="CM29" i="1"/>
  <c r="CJ29" i="1"/>
  <c r="HF29" i="1"/>
  <c r="BR29" i="1"/>
  <c r="DT29" i="1"/>
  <c r="G29" i="1"/>
  <c r="FY29" i="1"/>
  <c r="IY29" i="1"/>
  <c r="FG29" i="1"/>
  <c r="GH29" i="1"/>
  <c r="BL29" i="1"/>
  <c r="DN29" i="1"/>
  <c r="AT29" i="1"/>
  <c r="IS29" i="1"/>
  <c r="FA29" i="1"/>
  <c r="IA29" i="1"/>
  <c r="EI29" i="1"/>
  <c r="EO29" i="1"/>
  <c r="EL29" i="1"/>
  <c r="IV29" i="1"/>
  <c r="ER29" i="1"/>
  <c r="CS29" i="1"/>
  <c r="CP29" i="1"/>
  <c r="GZ29" i="1"/>
  <c r="IJ29" i="1"/>
  <c r="IM29" i="1"/>
  <c r="HX29" i="1"/>
  <c r="FD29" i="1"/>
  <c r="BC29" i="1"/>
  <c r="HO29" i="1"/>
  <c r="BX29" i="1"/>
  <c r="BF29" i="1"/>
  <c r="DB29" i="1"/>
  <c r="JE29" i="1"/>
  <c r="FS29" i="1"/>
  <c r="AZ29" i="1"/>
  <c r="AH29" i="1"/>
  <c r="GT29" i="1"/>
  <c r="AE29" i="1"/>
  <c r="GK29" i="1"/>
  <c r="DW29" i="1"/>
  <c r="AB29" i="1"/>
  <c r="J29" i="1"/>
  <c r="V29" i="1"/>
  <c r="HL29" i="1"/>
  <c r="IG29" i="1"/>
  <c r="Y29" i="1"/>
  <c r="FM29" i="1"/>
  <c r="BU29" i="1"/>
  <c r="EU29" i="1"/>
  <c r="AN29" i="1"/>
  <c r="FJ29" i="1"/>
  <c r="ID29" i="1"/>
  <c r="IS25" i="1"/>
  <c r="HR25" i="1"/>
  <c r="GQ25" i="1"/>
  <c r="FA25" i="1"/>
  <c r="DZ25" i="1"/>
  <c r="CY25" i="1"/>
  <c r="JE25" i="1"/>
  <c r="ID25" i="1"/>
  <c r="HC25" i="1"/>
  <c r="FM25" i="1"/>
  <c r="EL25" i="1"/>
  <c r="DK25" i="1"/>
  <c r="BU25" i="1"/>
  <c r="AT25" i="1"/>
  <c r="S25" i="1"/>
  <c r="GW25" i="1"/>
  <c r="GH25" i="1"/>
  <c r="EO25" i="1"/>
  <c r="CS25" i="1"/>
  <c r="BC25" i="1"/>
  <c r="Y25" i="1"/>
  <c r="J25" i="1"/>
  <c r="IP25" i="1"/>
  <c r="IA25" i="1"/>
  <c r="FS25" i="1"/>
  <c r="DW25" i="1"/>
  <c r="CD25" i="1"/>
  <c r="BO25" i="1"/>
  <c r="AK25" i="1"/>
  <c r="HI25" i="1"/>
  <c r="GT25" i="1"/>
  <c r="GE25" i="1"/>
  <c r="DE25" i="1"/>
  <c r="CP25" i="1"/>
  <c r="V25" i="1"/>
  <c r="G25" i="1"/>
  <c r="JB25" i="1"/>
  <c r="IM25" i="1"/>
  <c r="EX25" i="1"/>
  <c r="EI25" i="1"/>
  <c r="CA25" i="1"/>
  <c r="AW25" i="1"/>
  <c r="AH25" i="1"/>
  <c r="JH25" i="1"/>
  <c r="HU25" i="1"/>
  <c r="HF25" i="1"/>
  <c r="DQ25" i="1"/>
  <c r="DB25" i="1"/>
  <c r="CM25" i="1"/>
  <c r="BI25" i="1"/>
  <c r="IY25" i="1"/>
  <c r="FY25" i="1"/>
  <c r="FJ25" i="1"/>
  <c r="EU25" i="1"/>
  <c r="AE25" i="1"/>
  <c r="HO25" i="1"/>
  <c r="DN25" i="1"/>
  <c r="M25" i="1"/>
  <c r="IG25" i="1"/>
  <c r="FV25" i="1"/>
  <c r="EC25" i="1"/>
  <c r="BR25" i="1"/>
  <c r="GK25" i="1"/>
  <c r="CG25" i="1"/>
  <c r="FG25" i="1"/>
  <c r="AQ25" i="1"/>
  <c r="BF25" i="1"/>
  <c r="CJ25" i="1"/>
  <c r="CV25" i="1"/>
  <c r="GN25" i="1"/>
  <c r="AB25" i="1"/>
  <c r="EF25" i="1"/>
  <c r="IJ25" i="1"/>
  <c r="P25" i="1"/>
  <c r="ER25" i="1"/>
  <c r="IV25" i="1"/>
  <c r="AN25" i="1"/>
  <c r="FD25" i="1"/>
  <c r="AZ25" i="1"/>
  <c r="FP25" i="1"/>
  <c r="BL25" i="1"/>
  <c r="GB25" i="1"/>
  <c r="DH25" i="1"/>
  <c r="HL25" i="1"/>
  <c r="DT25" i="1"/>
  <c r="GZ25" i="1"/>
  <c r="HX25" i="1"/>
  <c r="BX25" i="1"/>
  <c r="JE19" i="1"/>
  <c r="IS19" i="1"/>
  <c r="IG19" i="1"/>
  <c r="HU19" i="1"/>
  <c r="HI19" i="1"/>
  <c r="GW19" i="1"/>
  <c r="GK19" i="1"/>
  <c r="FY19" i="1"/>
  <c r="FM19" i="1"/>
  <c r="FA19" i="1"/>
  <c r="EO19" i="1"/>
  <c r="EC19" i="1"/>
  <c r="DQ19" i="1"/>
  <c r="DE19" i="1"/>
  <c r="CS19" i="1"/>
  <c r="CG19" i="1"/>
  <c r="BU19" i="1"/>
  <c r="BI19" i="1"/>
  <c r="AW19" i="1"/>
  <c r="AK19" i="1"/>
  <c r="Y19" i="1"/>
  <c r="M19" i="1"/>
  <c r="ID19" i="1"/>
  <c r="HC19" i="1"/>
  <c r="GB19" i="1"/>
  <c r="EL19" i="1"/>
  <c r="DK19" i="1"/>
  <c r="CJ19" i="1"/>
  <c r="AT19" i="1"/>
  <c r="S19" i="1"/>
  <c r="IP19" i="1"/>
  <c r="HO19" i="1"/>
  <c r="GN19" i="1"/>
  <c r="EX19" i="1"/>
  <c r="DW19" i="1"/>
  <c r="CV19" i="1"/>
  <c r="BF19" i="1"/>
  <c r="AE19" i="1"/>
  <c r="JB19" i="1"/>
  <c r="IA19" i="1"/>
  <c r="GZ19" i="1"/>
  <c r="FJ19" i="1"/>
  <c r="EI19" i="1"/>
  <c r="DH19" i="1"/>
  <c r="BR19" i="1"/>
  <c r="AQ19" i="1"/>
  <c r="P19" i="1"/>
  <c r="IM19" i="1"/>
  <c r="HL19" i="1"/>
  <c r="FV19" i="1"/>
  <c r="EU19" i="1"/>
  <c r="DT19" i="1"/>
  <c r="CD19" i="1"/>
  <c r="BC19" i="1"/>
  <c r="AB19" i="1"/>
  <c r="IY19" i="1"/>
  <c r="HX19" i="1"/>
  <c r="GH19" i="1"/>
  <c r="FG19" i="1"/>
  <c r="EF19" i="1"/>
  <c r="CP19" i="1"/>
  <c r="BO19" i="1"/>
  <c r="AN19" i="1"/>
  <c r="IV19" i="1"/>
  <c r="HF19" i="1"/>
  <c r="GE19" i="1"/>
  <c r="FD19" i="1"/>
  <c r="DN19" i="1"/>
  <c r="CM19" i="1"/>
  <c r="BL19" i="1"/>
  <c r="V19" i="1"/>
  <c r="AZ19" i="1"/>
  <c r="J19" i="1"/>
  <c r="FP19" i="1"/>
  <c r="DZ19" i="1"/>
  <c r="ER19" i="1"/>
  <c r="DB19" i="1"/>
  <c r="G19" i="1"/>
  <c r="JH19" i="1"/>
  <c r="HR19" i="1"/>
  <c r="IJ19" i="1"/>
  <c r="GT19" i="1"/>
  <c r="CY19" i="1"/>
  <c r="CA19" i="1"/>
  <c r="GQ19" i="1"/>
  <c r="FS19" i="1"/>
  <c r="BX19" i="1"/>
  <c r="AH19" i="1"/>
  <c r="GH35" i="1"/>
  <c r="DN35" i="1"/>
  <c r="CY35" i="1"/>
  <c r="BR35" i="1"/>
  <c r="BC35" i="1"/>
  <c r="HF35" i="1"/>
  <c r="EX35" i="1"/>
  <c r="G35" i="1"/>
  <c r="DZ35" i="1"/>
  <c r="DK35" i="1"/>
  <c r="CD35" i="1"/>
  <c r="BO35" i="1"/>
  <c r="AH35" i="1"/>
  <c r="S35" i="1"/>
  <c r="IY35" i="1"/>
  <c r="IP35" i="1"/>
  <c r="HR35" i="1"/>
  <c r="FJ35" i="1"/>
  <c r="DW35" i="1"/>
  <c r="CP35" i="1"/>
  <c r="CA35" i="1"/>
  <c r="AT35" i="1"/>
  <c r="AE35" i="1"/>
  <c r="JB35" i="1"/>
  <c r="GT35" i="1"/>
  <c r="DB35" i="1"/>
  <c r="CM35" i="1"/>
  <c r="BF35" i="1"/>
  <c r="AQ35" i="1"/>
  <c r="FV35" i="1"/>
  <c r="M35" i="1"/>
  <c r="J35" i="1"/>
  <c r="Y35" i="1"/>
  <c r="ID35" i="1"/>
  <c r="EL35" i="1"/>
  <c r="AW35" i="1"/>
  <c r="EO35" i="1"/>
  <c r="IG35" i="1"/>
  <c r="BX35" i="1"/>
  <c r="FP35" i="1"/>
  <c r="JH35" i="1"/>
  <c r="BI35" i="1"/>
  <c r="FA35" i="1"/>
  <c r="IS35" i="1"/>
  <c r="CJ35" i="1"/>
  <c r="GB35" i="1"/>
  <c r="FS35" i="1"/>
  <c r="BU35" i="1"/>
  <c r="FM35" i="1"/>
  <c r="JE35" i="1"/>
  <c r="CV35" i="1"/>
  <c r="GN35" i="1"/>
  <c r="CG35" i="1"/>
  <c r="FY35" i="1"/>
  <c r="P35" i="1"/>
  <c r="DH35" i="1"/>
  <c r="GZ35" i="1"/>
  <c r="GQ35" i="1"/>
  <c r="CS35" i="1"/>
  <c r="GK35" i="1"/>
  <c r="AB35" i="1"/>
  <c r="DT35" i="1"/>
  <c r="HL35" i="1"/>
  <c r="HC35" i="1"/>
  <c r="AN35" i="1"/>
  <c r="IV35" i="1"/>
  <c r="IA35" i="1"/>
  <c r="EI35" i="1"/>
  <c r="AK35" i="1"/>
  <c r="AZ35" i="1"/>
  <c r="IM35" i="1"/>
  <c r="DE35" i="1"/>
  <c r="BL35" i="1"/>
  <c r="DQ35" i="1"/>
  <c r="EF35" i="1"/>
  <c r="EC35" i="1"/>
  <c r="ER35" i="1"/>
  <c r="EU35" i="1"/>
  <c r="HI35" i="1"/>
  <c r="HX35" i="1"/>
  <c r="GE35" i="1"/>
  <c r="V35" i="1"/>
  <c r="HU35" i="1"/>
  <c r="IJ35" i="1"/>
  <c r="HO35" i="1"/>
  <c r="FG35" i="1"/>
  <c r="GW35" i="1"/>
  <c r="FD35" i="1"/>
  <c r="BC35" i="48"/>
  <c r="I35" i="48"/>
  <c r="AJ35" i="48"/>
  <c r="AD35" i="48"/>
  <c r="C34" i="45"/>
  <c r="J35" i="48"/>
  <c r="E35" i="2"/>
  <c r="BM35" i="2" s="1"/>
  <c r="K33" i="45"/>
  <c r="O33" i="45"/>
  <c r="R33" i="45"/>
  <c r="G33" i="45"/>
  <c r="X143" i="46"/>
  <c r="K32" i="45"/>
  <c r="O32" i="45"/>
  <c r="G32" i="45"/>
  <c r="R32" i="45"/>
  <c r="E34" i="2"/>
  <c r="BM34" i="2" s="1"/>
  <c r="J20" i="9"/>
  <c r="J20" i="8" s="1"/>
  <c r="J9" i="9"/>
  <c r="J9" i="8" s="1"/>
  <c r="J23" i="9"/>
  <c r="J23" i="8" s="1"/>
  <c r="J23" i="7" s="1"/>
  <c r="J23" i="6" s="1"/>
  <c r="J23" i="37" s="1"/>
  <c r="J23" i="4" s="1"/>
  <c r="J23" i="43" s="1"/>
  <c r="R10" i="48"/>
  <c r="C9" i="45" s="1"/>
  <c r="J8" i="9"/>
  <c r="J8" i="8" s="1"/>
  <c r="J22" i="9"/>
  <c r="J22" i="8" s="1"/>
  <c r="J22" i="7" s="1"/>
  <c r="J22" i="6" s="1"/>
  <c r="J22" i="37" s="1"/>
  <c r="J22" i="4" s="1"/>
  <c r="J22" i="43" s="1"/>
  <c r="J25" i="9"/>
  <c r="J25" i="8" s="1"/>
  <c r="J25" i="7" s="1"/>
  <c r="J25" i="6" s="1"/>
  <c r="J25" i="37" s="1"/>
  <c r="J25" i="4" s="1"/>
  <c r="J25" i="43" s="1"/>
  <c r="J40" i="32"/>
  <c r="K57" i="32" s="1"/>
  <c r="I48" i="32"/>
  <c r="J21" i="9"/>
  <c r="J21" i="8" s="1"/>
  <c r="J24" i="9"/>
  <c r="J24" i="8" s="1"/>
  <c r="J24" i="7" s="1"/>
  <c r="J24" i="6" s="1"/>
  <c r="J24" i="37" s="1"/>
  <c r="J24" i="4" s="1"/>
  <c r="J24" i="43" s="1"/>
  <c r="X141" i="46"/>
  <c r="AJ29" i="48"/>
  <c r="I29" i="48"/>
  <c r="BC29" i="48"/>
  <c r="AD29" i="48"/>
  <c r="C28" i="45"/>
  <c r="J29" i="48"/>
  <c r="AJ30" i="48"/>
  <c r="J30" i="48"/>
  <c r="I30" i="48"/>
  <c r="AD30" i="48"/>
  <c r="BC30" i="48"/>
  <c r="C29" i="45"/>
  <c r="AJ31" i="48"/>
  <c r="I31" i="48"/>
  <c r="AD31" i="48"/>
  <c r="J31" i="48"/>
  <c r="C30" i="45"/>
  <c r="BC31" i="48"/>
  <c r="J19" i="11"/>
  <c r="J19" i="10" s="1"/>
  <c r="J18" i="11"/>
  <c r="J18" i="10" s="1"/>
  <c r="J15" i="11"/>
  <c r="J15" i="10" s="1"/>
  <c r="J17" i="11"/>
  <c r="J17" i="10" s="1"/>
  <c r="J14" i="11"/>
  <c r="J14" i="10" s="1"/>
  <c r="J11" i="11"/>
  <c r="J11" i="10" s="1"/>
  <c r="J12" i="11"/>
  <c r="J12" i="10" s="1"/>
  <c r="J16" i="11"/>
  <c r="J16" i="10" s="1"/>
  <c r="J10" i="11"/>
  <c r="J10" i="10" s="1"/>
  <c r="AJ27" i="48"/>
  <c r="I27" i="48"/>
  <c r="C26" i="45"/>
  <c r="BC27" i="48"/>
  <c r="J27" i="48"/>
  <c r="AD27" i="48"/>
  <c r="C22" i="45"/>
  <c r="AD23" i="48"/>
  <c r="BC23" i="48"/>
  <c r="AJ23" i="48"/>
  <c r="I23" i="48"/>
  <c r="J23" i="48"/>
  <c r="C25" i="45"/>
  <c r="J26" i="48"/>
  <c r="I26" i="48"/>
  <c r="AJ26" i="48"/>
  <c r="BC26" i="48"/>
  <c r="AD26" i="48"/>
  <c r="J13" i="11"/>
  <c r="J13" i="10" s="1"/>
  <c r="BC28" i="48"/>
  <c r="C27" i="45"/>
  <c r="J28" i="48"/>
  <c r="AJ28" i="48"/>
  <c r="I28" i="48"/>
  <c r="AD28" i="48"/>
  <c r="E19" i="2"/>
  <c r="BM19" i="2" s="1"/>
  <c r="C18" i="45"/>
  <c r="I19" i="48"/>
  <c r="AD19" i="48"/>
  <c r="AJ19" i="48"/>
  <c r="J19" i="48"/>
  <c r="BC19" i="48"/>
  <c r="C16" i="45"/>
  <c r="BC17" i="48"/>
  <c r="AD17" i="48"/>
  <c r="J17" i="48"/>
  <c r="I17" i="48"/>
  <c r="AJ17" i="48"/>
  <c r="BC16" i="48"/>
  <c r="C15" i="45"/>
  <c r="AJ16" i="48"/>
  <c r="I16" i="48"/>
  <c r="AD16" i="48"/>
  <c r="J16" i="48"/>
  <c r="I45" i="31"/>
  <c r="I48" i="31"/>
  <c r="I48" i="27"/>
  <c r="I45" i="27"/>
  <c r="R14" i="48"/>
  <c r="C13" i="45" s="1"/>
  <c r="BC15" i="48"/>
  <c r="AJ15" i="48"/>
  <c r="I15" i="48"/>
  <c r="J15" i="48"/>
  <c r="AD15" i="48"/>
  <c r="BC13" i="48"/>
  <c r="J13" i="48"/>
  <c r="I13" i="48"/>
  <c r="AD13" i="48"/>
  <c r="AJ13" i="48"/>
  <c r="I12" i="48"/>
  <c r="AJ12" i="48"/>
  <c r="J12" i="48"/>
  <c r="BC12" i="48"/>
  <c r="AD12" i="48"/>
  <c r="BC11" i="48"/>
  <c r="AD11" i="48"/>
  <c r="I11" i="48"/>
  <c r="AJ11" i="48"/>
  <c r="J11" i="48"/>
  <c r="BM10" i="2"/>
  <c r="AI9" i="48"/>
  <c r="M10" i="48"/>
  <c r="I50" i="18"/>
  <c r="I51" i="18"/>
  <c r="I50" i="28"/>
  <c r="I51" i="28"/>
  <c r="I50" i="17"/>
  <c r="I51" i="17"/>
  <c r="I50" i="8"/>
  <c r="I51" i="8"/>
  <c r="I50" i="29"/>
  <c r="I51" i="29"/>
  <c r="I50" i="30"/>
  <c r="I51" i="30"/>
  <c r="J50" i="33"/>
  <c r="J51" i="33"/>
  <c r="I50" i="31"/>
  <c r="I51" i="31"/>
  <c r="W9" i="48"/>
  <c r="Y9" i="48"/>
  <c r="I49" i="32"/>
  <c r="I51" i="32" s="1"/>
  <c r="V11" i="48"/>
  <c r="X11" i="48"/>
  <c r="I49" i="7"/>
  <c r="I11" i="56"/>
  <c r="V34" i="48"/>
  <c r="X34" i="48"/>
  <c r="V25" i="48"/>
  <c r="X25" i="48"/>
  <c r="X24" i="48"/>
  <c r="V24" i="48"/>
  <c r="I49" i="22"/>
  <c r="X15" i="48"/>
  <c r="V15" i="48"/>
  <c r="V13" i="48"/>
  <c r="X13" i="48"/>
  <c r="D43" i="26"/>
  <c r="D43" i="25" s="1"/>
  <c r="E45" i="28"/>
  <c r="V12" i="48"/>
  <c r="X12" i="48"/>
  <c r="D39" i="26"/>
  <c r="D39" i="25" s="1"/>
  <c r="D48" i="27"/>
  <c r="E48" i="27" s="1"/>
  <c r="M8" i="29"/>
  <c r="M34" i="30"/>
  <c r="E41" i="29"/>
  <c r="D41" i="27"/>
  <c r="J43" i="27"/>
  <c r="J44" i="29"/>
  <c r="J56" i="27"/>
  <c r="D38" i="28"/>
  <c r="E38" i="27"/>
  <c r="D52" i="29"/>
  <c r="D53" i="29" s="1"/>
  <c r="E50" i="29"/>
  <c r="D50" i="27"/>
  <c r="Z45" i="57" s="1"/>
  <c r="E52" i="30"/>
  <c r="E53" i="30" s="1"/>
  <c r="E46" i="29"/>
  <c r="D46" i="27"/>
  <c r="Z41" i="57" s="1"/>
  <c r="D47" i="26"/>
  <c r="E47" i="28"/>
  <c r="E42" i="29"/>
  <c r="D42" i="27"/>
  <c r="Z37" i="57" s="1"/>
  <c r="E45" i="26"/>
  <c r="D45" i="25"/>
  <c r="D51" i="28"/>
  <c r="E51" i="27"/>
  <c r="E44" i="28"/>
  <c r="D44" i="26"/>
  <c r="E40" i="27"/>
  <c r="D40" i="28"/>
  <c r="A15" i="2" s="1"/>
  <c r="E49" i="28"/>
  <c r="D49" i="26"/>
  <c r="J57" i="27"/>
  <c r="J37" i="29"/>
  <c r="J39" i="30"/>
  <c r="J47" i="27"/>
  <c r="J46" i="28"/>
  <c r="AC13" i="48"/>
  <c r="Q14" i="48"/>
  <c r="M7" i="26"/>
  <c r="J57" i="15"/>
  <c r="GH17" i="1" l="1"/>
  <c r="BX17" i="1"/>
  <c r="FP17" i="1"/>
  <c r="JH17" i="1"/>
  <c r="GT17" i="1"/>
  <c r="HI17" i="1"/>
  <c r="CJ17" i="1"/>
  <c r="FJ11" i="1"/>
  <c r="DE11" i="1"/>
  <c r="AA45" i="57"/>
  <c r="AB45" i="57" s="1"/>
  <c r="Z45" i="46"/>
  <c r="AA45" i="46" s="1"/>
  <c r="AB45" i="46" s="1"/>
  <c r="DN11" i="1"/>
  <c r="HI11" i="1"/>
  <c r="CA11" i="1"/>
  <c r="EC11" i="1"/>
  <c r="AK11" i="1"/>
  <c r="AA41" i="57"/>
  <c r="AB41" i="57" s="1"/>
  <c r="Z41" i="46"/>
  <c r="AA41" i="46" s="1"/>
  <c r="AB41" i="46" s="1"/>
  <c r="EO11" i="1"/>
  <c r="DT11" i="1"/>
  <c r="IG11" i="1"/>
  <c r="EF11" i="1"/>
  <c r="FA11" i="1"/>
  <c r="EX11" i="1"/>
  <c r="HX11" i="1"/>
  <c r="GW11" i="1"/>
  <c r="FM11" i="1"/>
  <c r="IJ11" i="1"/>
  <c r="Z37" i="46"/>
  <c r="BF11" i="1"/>
  <c r="GT11" i="1"/>
  <c r="BO11" i="1"/>
  <c r="O14" i="45"/>
  <c r="GZ12" i="1"/>
  <c r="AB12" i="1"/>
  <c r="HF12" i="1"/>
  <c r="K14" i="45"/>
  <c r="HU12" i="1"/>
  <c r="CV12" i="1"/>
  <c r="HR12" i="1"/>
  <c r="IJ12" i="1"/>
  <c r="FG12" i="1"/>
  <c r="V12" i="1"/>
  <c r="HL12" i="1"/>
  <c r="IM12" i="1"/>
  <c r="R14" i="45"/>
  <c r="AK12" i="1"/>
  <c r="CA12" i="1"/>
  <c r="P12" i="1"/>
  <c r="DZ12" i="1"/>
  <c r="AZ11" i="1"/>
  <c r="BL11" i="1"/>
  <c r="AW11" i="1"/>
  <c r="BX11" i="1"/>
  <c r="ER11" i="1"/>
  <c r="CJ11" i="1"/>
  <c r="GK11" i="1"/>
  <c r="ID11" i="1"/>
  <c r="M11" i="1"/>
  <c r="GZ11" i="1"/>
  <c r="EI11" i="1"/>
  <c r="CP11" i="1"/>
  <c r="P11" i="1"/>
  <c r="Y11" i="1"/>
  <c r="HL11" i="1"/>
  <c r="EU11" i="1"/>
  <c r="FG11" i="1"/>
  <c r="FS11" i="1"/>
  <c r="IM11" i="1"/>
  <c r="IA11" i="1"/>
  <c r="IY11" i="1"/>
  <c r="G11" i="1"/>
  <c r="DB11" i="1"/>
  <c r="IS11" i="1"/>
  <c r="FY11" i="1"/>
  <c r="V11" i="1"/>
  <c r="IP11" i="1"/>
  <c r="BI11" i="1"/>
  <c r="FD11" i="1"/>
  <c r="IV11" i="1"/>
  <c r="CV11" i="1"/>
  <c r="GE11" i="1"/>
  <c r="S11" i="1"/>
  <c r="GH11" i="1"/>
  <c r="AH11" i="1"/>
  <c r="HF11" i="1"/>
  <c r="FV11" i="1"/>
  <c r="JE11" i="1"/>
  <c r="BU11" i="1"/>
  <c r="FP11" i="1"/>
  <c r="JH11" i="1"/>
  <c r="DH11" i="1"/>
  <c r="GQ11" i="1"/>
  <c r="AE11" i="1"/>
  <c r="BR11" i="1"/>
  <c r="DZ11" i="1"/>
  <c r="HU11" i="1"/>
  <c r="CD11" i="1"/>
  <c r="J11" i="1"/>
  <c r="CG11" i="1"/>
  <c r="GB11" i="1"/>
  <c r="AB11" i="1"/>
  <c r="DK11" i="1"/>
  <c r="HC11" i="1"/>
  <c r="AQ11" i="1"/>
  <c r="EL11" i="1"/>
  <c r="HR11" i="1"/>
  <c r="JB11" i="1"/>
  <c r="DQ11" i="1"/>
  <c r="AT11" i="1"/>
  <c r="CS11" i="1"/>
  <c r="GN11" i="1"/>
  <c r="AN11" i="1"/>
  <c r="DW11" i="1"/>
  <c r="HO11" i="1"/>
  <c r="BC11" i="1"/>
  <c r="CM11" i="1"/>
  <c r="O13" i="45"/>
  <c r="R13" i="45"/>
  <c r="K13" i="45"/>
  <c r="G13" i="45"/>
  <c r="O12" i="45"/>
  <c r="G12" i="45"/>
  <c r="K12" i="45"/>
  <c r="R12" i="45"/>
  <c r="EO12" i="1"/>
  <c r="DQ12" i="1"/>
  <c r="M12" i="1"/>
  <c r="BL12" i="1"/>
  <c r="GQ12" i="1"/>
  <c r="CM12" i="1"/>
  <c r="ID12" i="1"/>
  <c r="GK12" i="1"/>
  <c r="GB12" i="1"/>
  <c r="Y12" i="1"/>
  <c r="BX12" i="1"/>
  <c r="HC12" i="1"/>
  <c r="DN12" i="1"/>
  <c r="J12" i="1"/>
  <c r="IG12" i="1"/>
  <c r="JE12" i="1"/>
  <c r="BU12" i="1"/>
  <c r="DH12" i="1"/>
  <c r="IY12" i="1"/>
  <c r="EL12" i="1"/>
  <c r="AT12" i="1"/>
  <c r="ER12" i="1"/>
  <c r="DT12" i="1"/>
  <c r="CG12" i="1"/>
  <c r="DK12" i="1"/>
  <c r="S12" i="1"/>
  <c r="FV12" i="1"/>
  <c r="BF12" i="1"/>
  <c r="FY12" i="1"/>
  <c r="FA12" i="1"/>
  <c r="DE12" i="1"/>
  <c r="EU12" i="1"/>
  <c r="AE12" i="1"/>
  <c r="GH12" i="1"/>
  <c r="BR12" i="1"/>
  <c r="FD12" i="1"/>
  <c r="GN12" i="1"/>
  <c r="HX12" i="1"/>
  <c r="JH12" i="1"/>
  <c r="CS12" i="1"/>
  <c r="CJ12" i="1"/>
  <c r="FS12" i="1"/>
  <c r="G12" i="1"/>
  <c r="CY12" i="1"/>
  <c r="GT12" i="1"/>
  <c r="AH12" i="1"/>
  <c r="IV12" i="1"/>
  <c r="EF12" i="1"/>
  <c r="FP12" i="1"/>
  <c r="AW12" i="1"/>
  <c r="AN12" i="1"/>
  <c r="DW12" i="1"/>
  <c r="HO12" i="1"/>
  <c r="BC12" i="1"/>
  <c r="EX12" i="1"/>
  <c r="IP12" i="1"/>
  <c r="CD12" i="1"/>
  <c r="EC12" i="1"/>
  <c r="FM12" i="1"/>
  <c r="GW12" i="1"/>
  <c r="BI12" i="1"/>
  <c r="AZ12" i="1"/>
  <c r="EI12" i="1"/>
  <c r="IA12" i="1"/>
  <c r="BO12" i="1"/>
  <c r="FJ12" i="1"/>
  <c r="JB12" i="1"/>
  <c r="O11" i="45"/>
  <c r="G11" i="45"/>
  <c r="K11" i="45"/>
  <c r="R11" i="45"/>
  <c r="O10" i="45"/>
  <c r="G10" i="45"/>
  <c r="K10" i="45"/>
  <c r="R10" i="45"/>
  <c r="K9" i="45"/>
  <c r="O9" i="45"/>
  <c r="G9" i="45"/>
  <c r="R9" i="45"/>
  <c r="R41" i="48"/>
  <c r="BC41" i="48" s="1"/>
  <c r="E14" i="1"/>
  <c r="E15" i="2" s="1"/>
  <c r="BM15" i="2" s="1"/>
  <c r="F5" i="55"/>
  <c r="G5" i="55" s="1"/>
  <c r="F4" i="55"/>
  <c r="F32" i="55"/>
  <c r="F18" i="55"/>
  <c r="G18" i="55" s="1"/>
  <c r="F27" i="55"/>
  <c r="F29" i="55"/>
  <c r="F7" i="55"/>
  <c r="G7" i="55" s="1"/>
  <c r="F23" i="55"/>
  <c r="F16" i="55"/>
  <c r="F39" i="55"/>
  <c r="F24" i="55"/>
  <c r="F36" i="55"/>
  <c r="F20" i="55"/>
  <c r="F38" i="55"/>
  <c r="F9" i="55"/>
  <c r="G9" i="55" s="1"/>
  <c r="F28" i="55"/>
  <c r="F21" i="55"/>
  <c r="F10" i="55"/>
  <c r="G10" i="55" s="1"/>
  <c r="F17" i="55"/>
  <c r="F6" i="55"/>
  <c r="G6" i="55" s="1"/>
  <c r="F25" i="55"/>
  <c r="F19" i="55"/>
  <c r="F31" i="55"/>
  <c r="F30" i="55"/>
  <c r="F35" i="55"/>
  <c r="F34" i="55"/>
  <c r="F37" i="55"/>
  <c r="F8" i="55"/>
  <c r="G8" i="55" s="1"/>
  <c r="F11" i="55"/>
  <c r="G11" i="55" s="1"/>
  <c r="F26" i="55"/>
  <c r="F33" i="55"/>
  <c r="F22" i="55"/>
  <c r="IY15" i="1"/>
  <c r="IM15" i="1"/>
  <c r="IA15" i="1"/>
  <c r="HO15" i="1"/>
  <c r="HC15" i="1"/>
  <c r="GQ15" i="1"/>
  <c r="GE15" i="1"/>
  <c r="FS15" i="1"/>
  <c r="FG15" i="1"/>
  <c r="EU15" i="1"/>
  <c r="EI15" i="1"/>
  <c r="DW15" i="1"/>
  <c r="DK15" i="1"/>
  <c r="CY15" i="1"/>
  <c r="IP15" i="1"/>
  <c r="GZ15" i="1"/>
  <c r="FY15" i="1"/>
  <c r="EX15" i="1"/>
  <c r="DH15" i="1"/>
  <c r="JB15" i="1"/>
  <c r="HL15" i="1"/>
  <c r="GK15" i="1"/>
  <c r="FJ15" i="1"/>
  <c r="DT15" i="1"/>
  <c r="CS15" i="1"/>
  <c r="CG15" i="1"/>
  <c r="BU15" i="1"/>
  <c r="BI15" i="1"/>
  <c r="AW15" i="1"/>
  <c r="AK15" i="1"/>
  <c r="Y15" i="1"/>
  <c r="M15" i="1"/>
  <c r="HX15" i="1"/>
  <c r="GW15" i="1"/>
  <c r="FV15" i="1"/>
  <c r="EF15" i="1"/>
  <c r="DE15" i="1"/>
  <c r="IJ15" i="1"/>
  <c r="HI15" i="1"/>
  <c r="GH15" i="1"/>
  <c r="ER15" i="1"/>
  <c r="DQ15" i="1"/>
  <c r="CP15" i="1"/>
  <c r="CD15" i="1"/>
  <c r="BR15" i="1"/>
  <c r="BF15" i="1"/>
  <c r="AT15" i="1"/>
  <c r="AH15" i="1"/>
  <c r="V15" i="1"/>
  <c r="J15" i="1"/>
  <c r="IV15" i="1"/>
  <c r="HU15" i="1"/>
  <c r="GT15" i="1"/>
  <c r="FD15" i="1"/>
  <c r="EC15" i="1"/>
  <c r="DB15" i="1"/>
  <c r="IS15" i="1"/>
  <c r="HR15" i="1"/>
  <c r="GB15" i="1"/>
  <c r="FA15" i="1"/>
  <c r="DZ15" i="1"/>
  <c r="IG15" i="1"/>
  <c r="EL15" i="1"/>
  <c r="CV15" i="1"/>
  <c r="BO15" i="1"/>
  <c r="AZ15" i="1"/>
  <c r="S15" i="1"/>
  <c r="DN15" i="1"/>
  <c r="FM15" i="1"/>
  <c r="JE15" i="1"/>
  <c r="ID15" i="1"/>
  <c r="GN15" i="1"/>
  <c r="CA15" i="1"/>
  <c r="BL15" i="1"/>
  <c r="AE15" i="1"/>
  <c r="P15" i="1"/>
  <c r="JH15" i="1"/>
  <c r="HF15" i="1"/>
  <c r="FP15" i="1"/>
  <c r="CM15" i="1"/>
  <c r="BX15" i="1"/>
  <c r="AB15" i="1"/>
  <c r="EO15" i="1"/>
  <c r="CJ15" i="1"/>
  <c r="BC15" i="1"/>
  <c r="AN15" i="1"/>
  <c r="G15" i="1"/>
  <c r="I10" i="48"/>
  <c r="E10" i="1"/>
  <c r="E11" i="2" s="1"/>
  <c r="BM11" i="2" s="1"/>
  <c r="G34" i="45"/>
  <c r="K34" i="45"/>
  <c r="R34" i="45"/>
  <c r="O34" i="45"/>
  <c r="E36" i="2"/>
  <c r="BM36" i="2" s="1"/>
  <c r="J20" i="7"/>
  <c r="J20" i="6" s="1"/>
  <c r="J20" i="37" s="1"/>
  <c r="J20" i="4" s="1"/>
  <c r="J20" i="43" s="1"/>
  <c r="K56" i="32"/>
  <c r="J8" i="7"/>
  <c r="J8" i="6" s="1"/>
  <c r="J8" i="37" s="1"/>
  <c r="J8" i="4" s="1"/>
  <c r="J8" i="43" s="1"/>
  <c r="J41" i="32"/>
  <c r="J21" i="7"/>
  <c r="J21" i="6" s="1"/>
  <c r="J21" i="37" s="1"/>
  <c r="J21" i="4" s="1"/>
  <c r="J21" i="43" s="1"/>
  <c r="J9" i="7"/>
  <c r="J9" i="6" s="1"/>
  <c r="J9" i="37" s="1"/>
  <c r="J9" i="4" s="1"/>
  <c r="J9" i="43" s="1"/>
  <c r="J18" i="9"/>
  <c r="J18" i="8" s="1"/>
  <c r="J18" i="7" s="1"/>
  <c r="J18" i="6" s="1"/>
  <c r="J18" i="37" s="1"/>
  <c r="J18" i="4" s="1"/>
  <c r="J18" i="43" s="1"/>
  <c r="J16" i="9"/>
  <c r="J16" i="8" s="1"/>
  <c r="J16" i="7" s="1"/>
  <c r="J16" i="6" s="1"/>
  <c r="J16" i="37" s="1"/>
  <c r="J16" i="4" s="1"/>
  <c r="J16" i="43" s="1"/>
  <c r="J12" i="9"/>
  <c r="J12" i="8" s="1"/>
  <c r="J12" i="7" s="1"/>
  <c r="J12" i="6" s="1"/>
  <c r="J12" i="37" s="1"/>
  <c r="J12" i="4" s="1"/>
  <c r="J12" i="43" s="1"/>
  <c r="J40" i="31"/>
  <c r="J40" i="30" s="1"/>
  <c r="J45" i="30" s="1"/>
  <c r="AJ10" i="48"/>
  <c r="BC10" i="48"/>
  <c r="J11" i="9"/>
  <c r="J11" i="8" s="1"/>
  <c r="J11" i="7" s="1"/>
  <c r="J11" i="6" s="1"/>
  <c r="J11" i="37" s="1"/>
  <c r="J11" i="4" s="1"/>
  <c r="J11" i="43" s="1"/>
  <c r="J19" i="9"/>
  <c r="J19" i="8" s="1"/>
  <c r="J19" i="7" s="1"/>
  <c r="J19" i="6" s="1"/>
  <c r="J19" i="37" s="1"/>
  <c r="J19" i="4" s="1"/>
  <c r="J19" i="43" s="1"/>
  <c r="AD10" i="48"/>
  <c r="J48" i="32"/>
  <c r="J14" i="9"/>
  <c r="J14" i="8" s="1"/>
  <c r="J14" i="7" s="1"/>
  <c r="J14" i="6" s="1"/>
  <c r="J14" i="37" s="1"/>
  <c r="J14" i="4" s="1"/>
  <c r="J14" i="43" s="1"/>
  <c r="J17" i="9"/>
  <c r="J17" i="8" s="1"/>
  <c r="J17" i="7" s="1"/>
  <c r="J17" i="6" s="1"/>
  <c r="J17" i="37" s="1"/>
  <c r="J17" i="4" s="1"/>
  <c r="J17" i="43" s="1"/>
  <c r="S10" i="48"/>
  <c r="BD10" i="48" s="1"/>
  <c r="J15" i="9"/>
  <c r="J15" i="8" s="1"/>
  <c r="J15" i="7" s="1"/>
  <c r="J15" i="6" s="1"/>
  <c r="J15" i="37" s="1"/>
  <c r="J15" i="43" s="1"/>
  <c r="J45" i="32"/>
  <c r="J10" i="48"/>
  <c r="J13" i="9"/>
  <c r="J13" i="8" s="1"/>
  <c r="J13" i="7" s="1"/>
  <c r="J13" i="6" s="1"/>
  <c r="J13" i="37" s="1"/>
  <c r="J13" i="4" s="1"/>
  <c r="J13" i="43" s="1"/>
  <c r="J10" i="9"/>
  <c r="J10" i="8" s="1"/>
  <c r="J10" i="7" s="1"/>
  <c r="J10" i="6" s="1"/>
  <c r="J10" i="37" s="1"/>
  <c r="J10" i="4" s="1"/>
  <c r="J10" i="43" s="1"/>
  <c r="E30" i="2"/>
  <c r="BM30" i="2" s="1"/>
  <c r="G28" i="45"/>
  <c r="K28" i="45"/>
  <c r="R28" i="45"/>
  <c r="O28" i="45"/>
  <c r="G30" i="45"/>
  <c r="O30" i="45"/>
  <c r="K30" i="45"/>
  <c r="R30" i="45"/>
  <c r="E32" i="2"/>
  <c r="BM32" i="2" s="1"/>
  <c r="E31" i="2"/>
  <c r="BM31" i="2" s="1"/>
  <c r="R29" i="45"/>
  <c r="G29" i="45"/>
  <c r="O29" i="45"/>
  <c r="K29" i="45"/>
  <c r="K26" i="45"/>
  <c r="R26" i="45"/>
  <c r="O26" i="45"/>
  <c r="G26" i="45"/>
  <c r="O25" i="45"/>
  <c r="G25" i="45"/>
  <c r="K25" i="45"/>
  <c r="R25" i="45"/>
  <c r="R22" i="45"/>
  <c r="O22" i="45"/>
  <c r="G22" i="45"/>
  <c r="K22" i="45"/>
  <c r="E24" i="2"/>
  <c r="BM24" i="2" s="1"/>
  <c r="E28" i="2"/>
  <c r="BM28" i="2" s="1"/>
  <c r="E27" i="2"/>
  <c r="BM27" i="2" s="1"/>
  <c r="G27" i="45"/>
  <c r="K27" i="45"/>
  <c r="O27" i="45"/>
  <c r="R27" i="45"/>
  <c r="E29" i="2"/>
  <c r="BM29" i="2" s="1"/>
  <c r="G16" i="45"/>
  <c r="K16" i="45"/>
  <c r="O16" i="45"/>
  <c r="R16" i="45"/>
  <c r="K18" i="45"/>
  <c r="G18" i="45"/>
  <c r="O18" i="45"/>
  <c r="R18" i="45"/>
  <c r="E20" i="2"/>
  <c r="BM20" i="2" s="1"/>
  <c r="E18" i="2"/>
  <c r="BM18" i="2" s="1"/>
  <c r="E17" i="2"/>
  <c r="BM17" i="2" s="1"/>
  <c r="K15" i="45"/>
  <c r="G15" i="45"/>
  <c r="O15" i="45"/>
  <c r="R15" i="45"/>
  <c r="E16" i="2"/>
  <c r="BM16" i="2" s="1"/>
  <c r="C40" i="45"/>
  <c r="G40" i="45" s="1"/>
  <c r="BC14" i="48"/>
  <c r="J14" i="48"/>
  <c r="AJ14" i="48"/>
  <c r="AD14" i="48"/>
  <c r="I14" i="48"/>
  <c r="E14" i="2"/>
  <c r="BM14" i="2" s="1"/>
  <c r="E13" i="2"/>
  <c r="BM13" i="2" s="1"/>
  <c r="E12" i="2"/>
  <c r="BM12" i="2" s="1"/>
  <c r="AI10" i="48"/>
  <c r="M11" i="48"/>
  <c r="M12" i="48" s="1"/>
  <c r="J49" i="32"/>
  <c r="J50" i="32" s="1"/>
  <c r="I50" i="22"/>
  <c r="I51" i="22"/>
  <c r="I50" i="7"/>
  <c r="I51" i="7"/>
  <c r="U10" i="48"/>
  <c r="W10" i="48" s="1"/>
  <c r="V10" i="48"/>
  <c r="X10" i="48"/>
  <c r="V35" i="48"/>
  <c r="X35" i="48"/>
  <c r="V21" i="48"/>
  <c r="X21" i="48"/>
  <c r="E43" i="26"/>
  <c r="E39" i="26"/>
  <c r="D48" i="28"/>
  <c r="E48" i="28" s="1"/>
  <c r="M8" i="27"/>
  <c r="M8" i="28" s="1"/>
  <c r="M34" i="29"/>
  <c r="D41" i="28"/>
  <c r="E41" i="28" s="1"/>
  <c r="E41" i="27"/>
  <c r="J56" i="28"/>
  <c r="J56" i="26" s="1"/>
  <c r="J43" i="28"/>
  <c r="J44" i="28" s="1"/>
  <c r="J44" i="27"/>
  <c r="D38" i="26"/>
  <c r="D38" i="25" s="1"/>
  <c r="E38" i="28"/>
  <c r="E52" i="29"/>
  <c r="E53" i="29" s="1"/>
  <c r="E50" i="27"/>
  <c r="D50" i="28"/>
  <c r="E50" i="28" s="1"/>
  <c r="D43" i="24"/>
  <c r="E43" i="24" s="1"/>
  <c r="E43" i="25"/>
  <c r="E42" i="27"/>
  <c r="D42" i="28"/>
  <c r="D42" i="26" s="1"/>
  <c r="D52" i="27"/>
  <c r="D53" i="27" s="1"/>
  <c r="D47" i="25"/>
  <c r="D47" i="24" s="1"/>
  <c r="E47" i="26"/>
  <c r="E46" i="27"/>
  <c r="D46" i="28"/>
  <c r="E46" i="28" s="1"/>
  <c r="D51" i="26"/>
  <c r="E51" i="26" s="1"/>
  <c r="E51" i="28"/>
  <c r="D40" i="26"/>
  <c r="D40" i="25" s="1"/>
  <c r="E40" i="28"/>
  <c r="D44" i="25"/>
  <c r="E44" i="25" s="1"/>
  <c r="E44" i="26"/>
  <c r="D45" i="24"/>
  <c r="D45" i="23" s="1"/>
  <c r="E45" i="25"/>
  <c r="A16" i="2" s="1"/>
  <c r="J37" i="27"/>
  <c r="J39" i="27" s="1"/>
  <c r="J39" i="29"/>
  <c r="J57" i="28"/>
  <c r="J57" i="26" s="1"/>
  <c r="D49" i="25"/>
  <c r="E49" i="25" s="1"/>
  <c r="E49" i="26"/>
  <c r="D39" i="24"/>
  <c r="E39" i="24" s="1"/>
  <c r="E39" i="25"/>
  <c r="M7" i="25"/>
  <c r="M7" i="24" s="1"/>
  <c r="J47" i="28"/>
  <c r="J46" i="26"/>
  <c r="J47" i="26" s="1"/>
  <c r="J57" i="14"/>
  <c r="J57" i="13" s="1"/>
  <c r="AC14" i="48"/>
  <c r="Q15" i="48"/>
  <c r="AC15" i="48" s="1"/>
  <c r="AA37" i="46" l="1"/>
  <c r="AA37" i="57"/>
  <c r="J41" i="31"/>
  <c r="AI11" i="48"/>
  <c r="J43" i="26"/>
  <c r="J44" i="26" s="1"/>
  <c r="D48" i="26"/>
  <c r="D48" i="25" s="1"/>
  <c r="D48" i="24" s="1"/>
  <c r="D48" i="23" s="1"/>
  <c r="J37" i="28"/>
  <c r="J37" i="26" s="1"/>
  <c r="J37" i="25" s="1"/>
  <c r="AE10" i="48"/>
  <c r="AJ41" i="48"/>
  <c r="I41" i="48"/>
  <c r="AD41" i="48"/>
  <c r="J41" i="48"/>
  <c r="J48" i="30"/>
  <c r="J41" i="30"/>
  <c r="K56" i="31"/>
  <c r="J45" i="31"/>
  <c r="K57" i="30"/>
  <c r="D43" i="23"/>
  <c r="E43" i="23" s="1"/>
  <c r="J40" i="29"/>
  <c r="J41" i="29" s="1"/>
  <c r="K57" i="31"/>
  <c r="K56" i="30"/>
  <c r="J48" i="31"/>
  <c r="D46" i="26"/>
  <c r="E46" i="26" s="1"/>
  <c r="D51" i="25"/>
  <c r="E51" i="25" s="1"/>
  <c r="AK10" i="48"/>
  <c r="S11" i="48"/>
  <c r="K11" i="48" s="1"/>
  <c r="K10" i="48"/>
  <c r="J46" i="25"/>
  <c r="J46" i="24" s="1"/>
  <c r="J47" i="24" s="1"/>
  <c r="Y10" i="48"/>
  <c r="G33" i="55"/>
  <c r="G38" i="55"/>
  <c r="H38" i="55" s="1"/>
  <c r="G36" i="55"/>
  <c r="G31" i="55"/>
  <c r="U11" i="48"/>
  <c r="W11" i="48" s="1"/>
  <c r="E47" i="25"/>
  <c r="E38" i="26"/>
  <c r="D49" i="24"/>
  <c r="E49" i="24" s="1"/>
  <c r="R40" i="45"/>
  <c r="G19" i="55"/>
  <c r="D44" i="24"/>
  <c r="A17" i="2" s="1"/>
  <c r="G24" i="55"/>
  <c r="J49" i="31"/>
  <c r="J51" i="31" s="1"/>
  <c r="IY10" i="1"/>
  <c r="IM10" i="1"/>
  <c r="IA10" i="1"/>
  <c r="HO10" i="1"/>
  <c r="HC10" i="1"/>
  <c r="GQ10" i="1"/>
  <c r="GE10" i="1"/>
  <c r="FS10" i="1"/>
  <c r="FG10" i="1"/>
  <c r="EU10" i="1"/>
  <c r="EI10" i="1"/>
  <c r="DW10" i="1"/>
  <c r="DK10" i="1"/>
  <c r="DE10" i="1"/>
  <c r="CS10" i="1"/>
  <c r="CG10" i="1"/>
  <c r="BU10" i="1"/>
  <c r="BI10" i="1"/>
  <c r="AW10" i="1"/>
  <c r="AK10" i="1"/>
  <c r="Y10" i="1"/>
  <c r="JE10" i="1"/>
  <c r="IS10" i="1"/>
  <c r="IG10" i="1"/>
  <c r="HU10" i="1"/>
  <c r="HR10" i="1"/>
  <c r="GB10" i="1"/>
  <c r="FA10" i="1"/>
  <c r="DZ10" i="1"/>
  <c r="CV10" i="1"/>
  <c r="BF10" i="1"/>
  <c r="AE10" i="1"/>
  <c r="DN10" i="1"/>
  <c r="AT10" i="1"/>
  <c r="G10" i="1"/>
  <c r="IV10" i="1"/>
  <c r="GN10" i="1"/>
  <c r="FM10" i="1"/>
  <c r="EL10" i="1"/>
  <c r="DH10" i="1"/>
  <c r="BR10" i="1"/>
  <c r="AQ10" i="1"/>
  <c r="P10" i="1"/>
  <c r="HX10" i="1"/>
  <c r="J10" i="1"/>
  <c r="FP10" i="1"/>
  <c r="ID10" i="1"/>
  <c r="GZ10" i="1"/>
  <c r="FY10" i="1"/>
  <c r="EX10" i="1"/>
  <c r="CD10" i="1"/>
  <c r="BC10" i="1"/>
  <c r="AB10" i="1"/>
  <c r="HI10" i="1"/>
  <c r="ER10" i="1"/>
  <c r="CM10" i="1"/>
  <c r="V10" i="1"/>
  <c r="JH10" i="1"/>
  <c r="HL10" i="1"/>
  <c r="GK10" i="1"/>
  <c r="FJ10" i="1"/>
  <c r="DT10" i="1"/>
  <c r="CP10" i="1"/>
  <c r="BO10" i="1"/>
  <c r="AN10" i="1"/>
  <c r="M10" i="1"/>
  <c r="BL10" i="1"/>
  <c r="IP10" i="1"/>
  <c r="GW10" i="1"/>
  <c r="FV10" i="1"/>
  <c r="EF10" i="1"/>
  <c r="DB10" i="1"/>
  <c r="CA10" i="1"/>
  <c r="AZ10" i="1"/>
  <c r="GH10" i="1"/>
  <c r="DQ10" i="1"/>
  <c r="IJ10" i="1"/>
  <c r="HF10" i="1"/>
  <c r="CJ10" i="1"/>
  <c r="S10" i="1"/>
  <c r="JB10" i="1"/>
  <c r="GT10" i="1"/>
  <c r="FD10" i="1"/>
  <c r="EC10" i="1"/>
  <c r="CY10" i="1"/>
  <c r="BX10" i="1"/>
  <c r="AH10" i="1"/>
  <c r="EO10" i="1"/>
  <c r="G4" i="55"/>
  <c r="O40" i="45"/>
  <c r="K40" i="45"/>
  <c r="Q16" i="48"/>
  <c r="Q17" i="48" s="1"/>
  <c r="E45" i="24"/>
  <c r="D41" i="26"/>
  <c r="D41" i="25" s="1"/>
  <c r="J51" i="32"/>
  <c r="E52" i="27"/>
  <c r="E53" i="27" s="1"/>
  <c r="G16" i="55"/>
  <c r="D39" i="23"/>
  <c r="D39" i="21" s="1"/>
  <c r="E39" i="21" s="1"/>
  <c r="D50" i="26"/>
  <c r="D50" i="25" s="1"/>
  <c r="E50" i="25" s="1"/>
  <c r="M34" i="27"/>
  <c r="JH14" i="1"/>
  <c r="IV14" i="1"/>
  <c r="IJ14" i="1"/>
  <c r="HX14" i="1"/>
  <c r="HL14" i="1"/>
  <c r="GZ14" i="1"/>
  <c r="GN14" i="1"/>
  <c r="GB14" i="1"/>
  <c r="FP14" i="1"/>
  <c r="FD14" i="1"/>
  <c r="ER14" i="1"/>
  <c r="EF14" i="1"/>
  <c r="DT14" i="1"/>
  <c r="JB14" i="1"/>
  <c r="IP14" i="1"/>
  <c r="ID14" i="1"/>
  <c r="HR14" i="1"/>
  <c r="HF14" i="1"/>
  <c r="GT14" i="1"/>
  <c r="GH14" i="1"/>
  <c r="FV14" i="1"/>
  <c r="FJ14" i="1"/>
  <c r="EX14" i="1"/>
  <c r="EL14" i="1"/>
  <c r="DZ14" i="1"/>
  <c r="DN14" i="1"/>
  <c r="IY14" i="1"/>
  <c r="HC14" i="1"/>
  <c r="FG14" i="1"/>
  <c r="DK14" i="1"/>
  <c r="CY14" i="1"/>
  <c r="CM14" i="1"/>
  <c r="CA14" i="1"/>
  <c r="BO14" i="1"/>
  <c r="BC14" i="1"/>
  <c r="AQ14" i="1"/>
  <c r="AE14" i="1"/>
  <c r="S14" i="1"/>
  <c r="G14" i="1"/>
  <c r="IG14" i="1"/>
  <c r="GK14" i="1"/>
  <c r="EO14" i="1"/>
  <c r="HO14" i="1"/>
  <c r="FS14" i="1"/>
  <c r="DW14" i="1"/>
  <c r="DH14" i="1"/>
  <c r="CV14" i="1"/>
  <c r="CJ14" i="1"/>
  <c r="BX14" i="1"/>
  <c r="BL14" i="1"/>
  <c r="AZ14" i="1"/>
  <c r="AN14" i="1"/>
  <c r="AB14" i="1"/>
  <c r="P14" i="1"/>
  <c r="IS14" i="1"/>
  <c r="GW14" i="1"/>
  <c r="FA14" i="1"/>
  <c r="IA14" i="1"/>
  <c r="GE14" i="1"/>
  <c r="EI14" i="1"/>
  <c r="DE14" i="1"/>
  <c r="CS14" i="1"/>
  <c r="CG14" i="1"/>
  <c r="BU14" i="1"/>
  <c r="BI14" i="1"/>
  <c r="AW14" i="1"/>
  <c r="AK14" i="1"/>
  <c r="Y14" i="1"/>
  <c r="M14" i="1"/>
  <c r="IM14" i="1"/>
  <c r="GQ14" i="1"/>
  <c r="EU14" i="1"/>
  <c r="DB14" i="1"/>
  <c r="CP14" i="1"/>
  <c r="CD14" i="1"/>
  <c r="BR14" i="1"/>
  <c r="BF14" i="1"/>
  <c r="AT14" i="1"/>
  <c r="AH14" i="1"/>
  <c r="V14" i="1"/>
  <c r="J14" i="1"/>
  <c r="HI14" i="1"/>
  <c r="FY14" i="1"/>
  <c r="FM14" i="1"/>
  <c r="HU14" i="1"/>
  <c r="EC14" i="1"/>
  <c r="DQ14" i="1"/>
  <c r="JE14" i="1"/>
  <c r="E40" i="26"/>
  <c r="E42" i="28"/>
  <c r="E52" i="28" s="1"/>
  <c r="E53" i="28" s="1"/>
  <c r="D52" i="28"/>
  <c r="D53" i="28" s="1"/>
  <c r="F11" i="2"/>
  <c r="BN11" i="2" s="1"/>
  <c r="E42" i="2"/>
  <c r="BM42" i="2" s="1"/>
  <c r="AI12" i="48"/>
  <c r="M13" i="48"/>
  <c r="AI13" i="48" s="1"/>
  <c r="M8" i="26"/>
  <c r="M8" i="25" s="1"/>
  <c r="M34" i="28"/>
  <c r="J56" i="25"/>
  <c r="J56" i="24" s="1"/>
  <c r="D38" i="24"/>
  <c r="E38" i="24" s="1"/>
  <c r="E38" i="25"/>
  <c r="E42" i="26"/>
  <c r="D42" i="25"/>
  <c r="D42" i="24" s="1"/>
  <c r="D47" i="23"/>
  <c r="E47" i="23" s="1"/>
  <c r="E47" i="24"/>
  <c r="D40" i="24"/>
  <c r="E40" i="24" s="1"/>
  <c r="E40" i="25"/>
  <c r="E45" i="23"/>
  <c r="D45" i="21"/>
  <c r="A18" i="2" s="1"/>
  <c r="J57" i="25"/>
  <c r="M7" i="23"/>
  <c r="M7" i="21" s="1"/>
  <c r="J57" i="12"/>
  <c r="J57" i="11" s="1"/>
  <c r="J43" i="25" l="1"/>
  <c r="J43" i="24" s="1"/>
  <c r="AB37" i="57"/>
  <c r="AB37" i="46"/>
  <c r="E48" i="25"/>
  <c r="E48" i="26"/>
  <c r="J39" i="28"/>
  <c r="D44" i="23"/>
  <c r="D44" i="21" s="1"/>
  <c r="D44" i="22" s="1"/>
  <c r="E44" i="24"/>
  <c r="D51" i="24"/>
  <c r="E51" i="24" s="1"/>
  <c r="D43" i="21"/>
  <c r="D43" i="22" s="1"/>
  <c r="E43" i="22" s="1"/>
  <c r="K56" i="29"/>
  <c r="K57" i="29"/>
  <c r="J40" i="27"/>
  <c r="J45" i="27" s="1"/>
  <c r="J48" i="29"/>
  <c r="J45" i="29"/>
  <c r="M34" i="26"/>
  <c r="D46" i="25"/>
  <c r="E46" i="25" s="1"/>
  <c r="J47" i="25"/>
  <c r="BD11" i="48"/>
  <c r="AK11" i="48"/>
  <c r="S12" i="48"/>
  <c r="AE11" i="48"/>
  <c r="Y11" i="48"/>
  <c r="E39" i="23"/>
  <c r="D49" i="23"/>
  <c r="E49" i="23" s="1"/>
  <c r="J46" i="23"/>
  <c r="J47" i="23" s="1"/>
  <c r="F12" i="2"/>
  <c r="BN12" i="2" s="1"/>
  <c r="J49" i="30"/>
  <c r="J51" i="30" s="1"/>
  <c r="U12" i="48"/>
  <c r="J50" i="31"/>
  <c r="J44" i="25"/>
  <c r="H24" i="55"/>
  <c r="D45" i="22"/>
  <c r="E45" i="22" s="1"/>
  <c r="E48" i="24"/>
  <c r="E41" i="26"/>
  <c r="D47" i="21"/>
  <c r="D47" i="22" s="1"/>
  <c r="E42" i="25"/>
  <c r="Q18" i="48"/>
  <c r="AC18" i="48" s="1"/>
  <c r="AC17" i="48"/>
  <c r="AC16" i="48"/>
  <c r="G145" i="56" s="1"/>
  <c r="J39" i="26"/>
  <c r="D52" i="26"/>
  <c r="D53" i="26" s="1"/>
  <c r="E50" i="26"/>
  <c r="E41" i="25"/>
  <c r="D41" i="24"/>
  <c r="D41" i="23" s="1"/>
  <c r="D50" i="24"/>
  <c r="E50" i="24" s="1"/>
  <c r="D38" i="23"/>
  <c r="E38" i="23" s="1"/>
  <c r="M14" i="48"/>
  <c r="M15" i="48" s="1"/>
  <c r="H4" i="55"/>
  <c r="E45" i="21"/>
  <c r="D40" i="23"/>
  <c r="D40" i="21" s="1"/>
  <c r="D39" i="22"/>
  <c r="D39" i="20" s="1"/>
  <c r="M8" i="24"/>
  <c r="M34" i="25"/>
  <c r="J56" i="23"/>
  <c r="J44" i="24"/>
  <c r="J43" i="23"/>
  <c r="E42" i="24"/>
  <c r="D42" i="23"/>
  <c r="E48" i="23"/>
  <c r="D48" i="21"/>
  <c r="J37" i="24"/>
  <c r="J39" i="25"/>
  <c r="M7" i="22"/>
  <c r="J57" i="10"/>
  <c r="E44" i="21" l="1"/>
  <c r="A20" i="2" s="1"/>
  <c r="E44" i="23"/>
  <c r="A19" i="2" s="1"/>
  <c r="D51" i="23"/>
  <c r="E51" i="23" s="1"/>
  <c r="Q19" i="48"/>
  <c r="Q20" i="48" s="1"/>
  <c r="J48" i="27"/>
  <c r="D43" i="20"/>
  <c r="D43" i="19" s="1"/>
  <c r="E43" i="21"/>
  <c r="D52" i="25"/>
  <c r="D53" i="25" s="1"/>
  <c r="D49" i="21"/>
  <c r="D49" i="22" s="1"/>
  <c r="E49" i="22" s="1"/>
  <c r="D46" i="24"/>
  <c r="D46" i="23" s="1"/>
  <c r="E46" i="23" s="1"/>
  <c r="Y12" i="48"/>
  <c r="K56" i="27"/>
  <c r="J41" i="27"/>
  <c r="J40" i="28"/>
  <c r="J45" i="28" s="1"/>
  <c r="K57" i="27"/>
  <c r="E52" i="25"/>
  <c r="E53" i="25" s="1"/>
  <c r="F13" i="2"/>
  <c r="F14" i="2" s="1"/>
  <c r="BN14" i="2" s="1"/>
  <c r="BD12" i="48"/>
  <c r="AE12" i="48"/>
  <c r="AK12" i="48"/>
  <c r="S13" i="48"/>
  <c r="K12" i="48"/>
  <c r="D50" i="23"/>
  <c r="D45" i="20"/>
  <c r="E45" i="20" s="1"/>
  <c r="E52" i="26"/>
  <c r="E53" i="26" s="1"/>
  <c r="E47" i="21"/>
  <c r="D38" i="21"/>
  <c r="D38" i="22" s="1"/>
  <c r="J49" i="29"/>
  <c r="J51" i="29" s="1"/>
  <c r="J50" i="30"/>
  <c r="J46" i="21"/>
  <c r="J47" i="21" s="1"/>
  <c r="U13" i="48"/>
  <c r="W12" i="48"/>
  <c r="AI14" i="48"/>
  <c r="E39" i="22"/>
  <c r="E41" i="24"/>
  <c r="E40" i="23"/>
  <c r="AI15" i="48"/>
  <c r="M16" i="48"/>
  <c r="M8" i="23"/>
  <c r="M34" i="24"/>
  <c r="E41" i="23"/>
  <c r="D41" i="21"/>
  <c r="J44" i="23"/>
  <c r="J43" i="21"/>
  <c r="J56" i="21"/>
  <c r="D47" i="20"/>
  <c r="E47" i="22"/>
  <c r="E48" i="21"/>
  <c r="D48" i="22"/>
  <c r="D42" i="21"/>
  <c r="E42" i="23"/>
  <c r="D44" i="20"/>
  <c r="E44" i="22"/>
  <c r="D40" i="22"/>
  <c r="E40" i="21"/>
  <c r="A21" i="2" s="1"/>
  <c r="J39" i="24"/>
  <c r="J37" i="23"/>
  <c r="E39" i="20"/>
  <c r="D39" i="19"/>
  <c r="J57" i="9"/>
  <c r="M7" i="20"/>
  <c r="AC19" i="48" l="1"/>
  <c r="D51" i="21"/>
  <c r="D51" i="22" s="1"/>
  <c r="E51" i="22" s="1"/>
  <c r="A22" i="2" s="1"/>
  <c r="E43" i="20"/>
  <c r="D49" i="20"/>
  <c r="D49" i="19" s="1"/>
  <c r="E49" i="21"/>
  <c r="D46" i="21"/>
  <c r="D46" i="22" s="1"/>
  <c r="D52" i="24"/>
  <c r="D53" i="24" s="1"/>
  <c r="E46" i="24"/>
  <c r="E52" i="24" s="1"/>
  <c r="E53" i="24" s="1"/>
  <c r="D52" i="23"/>
  <c r="D53" i="23" s="1"/>
  <c r="K56" i="28"/>
  <c r="J48" i="28"/>
  <c r="J41" i="28"/>
  <c r="J40" i="26"/>
  <c r="J40" i="25" s="1"/>
  <c r="K57" i="28"/>
  <c r="F15" i="2"/>
  <c r="F16" i="2" s="1"/>
  <c r="BN13" i="2"/>
  <c r="Y13" i="48"/>
  <c r="E50" i="23"/>
  <c r="E52" i="23" s="1"/>
  <c r="E53" i="23" s="1"/>
  <c r="D50" i="21"/>
  <c r="D50" i="22" s="1"/>
  <c r="D45" i="19"/>
  <c r="E45" i="19" s="1"/>
  <c r="W13" i="48"/>
  <c r="BD13" i="48"/>
  <c r="AE13" i="48"/>
  <c r="S14" i="48"/>
  <c r="K13" i="48"/>
  <c r="AK13" i="48"/>
  <c r="J50" i="29"/>
  <c r="E38" i="21"/>
  <c r="J46" i="22"/>
  <c r="J47" i="22" s="1"/>
  <c r="AI16" i="48"/>
  <c r="M17" i="48"/>
  <c r="M18" i="48" s="1"/>
  <c r="M19" i="48" s="1"/>
  <c r="M8" i="21"/>
  <c r="M34" i="23"/>
  <c r="D41" i="22"/>
  <c r="E41" i="21"/>
  <c r="J56" i="22"/>
  <c r="J43" i="22"/>
  <c r="J44" i="21"/>
  <c r="E38" i="22"/>
  <c r="D38" i="20"/>
  <c r="E43" i="19"/>
  <c r="D43" i="18"/>
  <c r="E48" i="22"/>
  <c r="D48" i="20"/>
  <c r="D47" i="19"/>
  <c r="E47" i="20"/>
  <c r="E42" i="21"/>
  <c r="D42" i="22"/>
  <c r="E40" i="22"/>
  <c r="D40" i="20"/>
  <c r="D44" i="19"/>
  <c r="E44" i="20"/>
  <c r="J37" i="21"/>
  <c r="J39" i="23"/>
  <c r="M7" i="19"/>
  <c r="J57" i="8"/>
  <c r="Q21" i="48"/>
  <c r="AC20" i="48"/>
  <c r="D39" i="18"/>
  <c r="E39" i="19"/>
  <c r="E49" i="20" l="1"/>
  <c r="D51" i="20"/>
  <c r="E51" i="21"/>
  <c r="E50" i="21"/>
  <c r="E46" i="21"/>
  <c r="BN15" i="2"/>
  <c r="J48" i="26"/>
  <c r="D45" i="18"/>
  <c r="E45" i="18" s="1"/>
  <c r="K57" i="26"/>
  <c r="J45" i="26"/>
  <c r="J48" i="25"/>
  <c r="K57" i="25"/>
  <c r="J41" i="25"/>
  <c r="J45" i="25"/>
  <c r="J40" i="24"/>
  <c r="J41" i="24" s="1"/>
  <c r="K56" i="25"/>
  <c r="K56" i="26"/>
  <c r="J41" i="26"/>
  <c r="D52" i="21"/>
  <c r="D53" i="21" s="1"/>
  <c r="BD14" i="48"/>
  <c r="AK14" i="48"/>
  <c r="S15" i="48"/>
  <c r="AE14" i="48"/>
  <c r="K14" i="48"/>
  <c r="J46" i="20"/>
  <c r="J47" i="20" s="1"/>
  <c r="AI18" i="48"/>
  <c r="AI17" i="48"/>
  <c r="BN16" i="2"/>
  <c r="F17" i="2"/>
  <c r="M8" i="22"/>
  <c r="M34" i="21"/>
  <c r="E41" i="22"/>
  <c r="D41" i="20"/>
  <c r="J43" i="20"/>
  <c r="J44" i="22"/>
  <c r="J56" i="20"/>
  <c r="E38" i="20"/>
  <c r="D38" i="19"/>
  <c r="E50" i="22"/>
  <c r="D50" i="20"/>
  <c r="D43" i="17"/>
  <c r="E43" i="18"/>
  <c r="E42" i="22"/>
  <c r="D42" i="20"/>
  <c r="E46" i="22"/>
  <c r="D46" i="20"/>
  <c r="E47" i="19"/>
  <c r="D47" i="18"/>
  <c r="D52" i="22"/>
  <c r="D53" i="22" s="1"/>
  <c r="D48" i="19"/>
  <c r="E48" i="20"/>
  <c r="D44" i="18"/>
  <c r="E44" i="19"/>
  <c r="D40" i="19"/>
  <c r="E40" i="20"/>
  <c r="E51" i="20"/>
  <c r="D51" i="19"/>
  <c r="D49" i="18"/>
  <c r="E49" i="19"/>
  <c r="J39" i="21"/>
  <c r="J37" i="22"/>
  <c r="D39" i="17"/>
  <c r="E39" i="18"/>
  <c r="Q22" i="48"/>
  <c r="AC21" i="48"/>
  <c r="M20" i="48"/>
  <c r="AI19" i="48"/>
  <c r="M7" i="18"/>
  <c r="J57" i="7"/>
  <c r="E52" i="21" l="1"/>
  <c r="E53" i="21" s="1"/>
  <c r="K56" i="24"/>
  <c r="K57" i="24"/>
  <c r="J48" i="24"/>
  <c r="J45" i="24"/>
  <c r="J40" i="23"/>
  <c r="J45" i="23" s="1"/>
  <c r="D45" i="17"/>
  <c r="A23" i="2" s="1"/>
  <c r="J46" i="19"/>
  <c r="J47" i="19" s="1"/>
  <c r="AK15" i="48"/>
  <c r="K15" i="48"/>
  <c r="BD15" i="48"/>
  <c r="S16" i="48"/>
  <c r="AE15" i="48"/>
  <c r="BN17" i="2"/>
  <c r="F18" i="2"/>
  <c r="D52" i="20"/>
  <c r="D53" i="20" s="1"/>
  <c r="M8" i="20"/>
  <c r="M34" i="22"/>
  <c r="D41" i="19"/>
  <c r="E41" i="20"/>
  <c r="J56" i="19"/>
  <c r="J43" i="19"/>
  <c r="J44" i="20"/>
  <c r="E38" i="19"/>
  <c r="D38" i="18"/>
  <c r="E52" i="22"/>
  <c r="E53" i="22" s="1"/>
  <c r="E50" i="20"/>
  <c r="D50" i="19"/>
  <c r="D43" i="16"/>
  <c r="E43" i="17"/>
  <c r="D48" i="18"/>
  <c r="E48" i="19"/>
  <c r="D47" i="17"/>
  <c r="E47" i="18"/>
  <c r="D46" i="19"/>
  <c r="E46" i="20"/>
  <c r="D42" i="19"/>
  <c r="E42" i="20"/>
  <c r="D51" i="18"/>
  <c r="E51" i="19"/>
  <c r="D40" i="18"/>
  <c r="E40" i="19"/>
  <c r="D44" i="17"/>
  <c r="E44" i="18"/>
  <c r="A24" i="2" s="1"/>
  <c r="J39" i="22"/>
  <c r="J37" i="20"/>
  <c r="D49" i="17"/>
  <c r="E49" i="18"/>
  <c r="Q23" i="48"/>
  <c r="AC22" i="48"/>
  <c r="J57" i="6"/>
  <c r="M7" i="17"/>
  <c r="M21" i="48"/>
  <c r="AI20" i="48"/>
  <c r="D39" i="16"/>
  <c r="E39" i="17"/>
  <c r="J40" i="21" l="1"/>
  <c r="J40" i="22" s="1"/>
  <c r="K56" i="23"/>
  <c r="K57" i="23"/>
  <c r="J48" i="23"/>
  <c r="D45" i="16"/>
  <c r="Z117" i="57" s="1"/>
  <c r="J41" i="23"/>
  <c r="E45" i="17"/>
  <c r="J46" i="18"/>
  <c r="J47" i="18" s="1"/>
  <c r="BD16" i="48"/>
  <c r="AK16" i="48"/>
  <c r="K16" i="48"/>
  <c r="S17" i="48"/>
  <c r="AE16" i="48"/>
  <c r="F19" i="2"/>
  <c r="BN18" i="2"/>
  <c r="J48" i="21"/>
  <c r="J45" i="21"/>
  <c r="K56" i="21"/>
  <c r="M8" i="19"/>
  <c r="M34" i="20"/>
  <c r="D41" i="18"/>
  <c r="E41" i="19"/>
  <c r="J44" i="19"/>
  <c r="J43" i="18"/>
  <c r="J56" i="18"/>
  <c r="E38" i="18"/>
  <c r="D38" i="17"/>
  <c r="D52" i="19"/>
  <c r="E52" i="20"/>
  <c r="E53" i="20" s="1"/>
  <c r="D50" i="18"/>
  <c r="E50" i="19"/>
  <c r="E43" i="16"/>
  <c r="D43" i="15"/>
  <c r="E42" i="19"/>
  <c r="D42" i="18"/>
  <c r="D46" i="18"/>
  <c r="E46" i="19"/>
  <c r="D47" i="16"/>
  <c r="E47" i="17"/>
  <c r="D48" i="17"/>
  <c r="E48" i="18"/>
  <c r="D40" i="17"/>
  <c r="E40" i="18"/>
  <c r="D51" i="17"/>
  <c r="E51" i="18"/>
  <c r="D44" i="16"/>
  <c r="E44" i="17"/>
  <c r="A25" i="2" s="1"/>
  <c r="J37" i="19"/>
  <c r="J39" i="20"/>
  <c r="E49" i="17"/>
  <c r="D49" i="16"/>
  <c r="J57" i="37"/>
  <c r="D39" i="15"/>
  <c r="E39" i="16"/>
  <c r="AI21" i="48"/>
  <c r="M22" i="48"/>
  <c r="M7" i="16"/>
  <c r="Q24" i="48"/>
  <c r="AC23" i="48"/>
  <c r="AA121" i="57" l="1"/>
  <c r="AB121" i="57" s="1"/>
  <c r="AA121" i="46"/>
  <c r="AB121" i="46" s="1"/>
  <c r="D45" i="15"/>
  <c r="AA117" i="57"/>
  <c r="AB117" i="57" s="1"/>
  <c r="Z117" i="46"/>
  <c r="AA117" i="46" s="1"/>
  <c r="AB117" i="46" s="1"/>
  <c r="D53" i="19"/>
  <c r="J41" i="21"/>
  <c r="K57" i="21"/>
  <c r="E45" i="16"/>
  <c r="J46" i="17"/>
  <c r="J47" i="17" s="1"/>
  <c r="AK17" i="48"/>
  <c r="K17" i="48"/>
  <c r="BD17" i="48"/>
  <c r="S18" i="48"/>
  <c r="AE17" i="48"/>
  <c r="J48" i="22"/>
  <c r="J45" i="22"/>
  <c r="K57" i="22"/>
  <c r="J41" i="22"/>
  <c r="K56" i="22"/>
  <c r="J40" i="20"/>
  <c r="BN19" i="2"/>
  <c r="F20" i="2"/>
  <c r="M8" i="18"/>
  <c r="M34" i="19"/>
  <c r="D41" i="17"/>
  <c r="E41" i="18"/>
  <c r="J56" i="17"/>
  <c r="J43" i="17"/>
  <c r="J44" i="18"/>
  <c r="E52" i="19"/>
  <c r="E53" i="19" s="1"/>
  <c r="E38" i="17"/>
  <c r="D38" i="16"/>
  <c r="E50" i="18"/>
  <c r="D50" i="17"/>
  <c r="D43" i="14"/>
  <c r="E43" i="15"/>
  <c r="D48" i="16"/>
  <c r="E48" i="17"/>
  <c r="E47" i="16"/>
  <c r="D47" i="15"/>
  <c r="E46" i="18"/>
  <c r="D46" i="17"/>
  <c r="D52" i="18"/>
  <c r="D53" i="18" s="1"/>
  <c r="E42" i="18"/>
  <c r="D42" i="17"/>
  <c r="D45" i="14"/>
  <c r="E45" i="15"/>
  <c r="E40" i="17"/>
  <c r="D40" i="16"/>
  <c r="E44" i="16"/>
  <c r="D44" i="15"/>
  <c r="D51" i="16"/>
  <c r="E51" i="17"/>
  <c r="A26" i="2" s="1"/>
  <c r="D49" i="15"/>
  <c r="E49" i="16"/>
  <c r="J37" i="18"/>
  <c r="J39" i="19"/>
  <c r="Q25" i="48"/>
  <c r="AC24" i="48"/>
  <c r="M7" i="15"/>
  <c r="E39" i="15"/>
  <c r="D39" i="14"/>
  <c r="J57" i="4"/>
  <c r="AI22" i="48"/>
  <c r="M23" i="48"/>
  <c r="J46" i="16" l="1"/>
  <c r="J46" i="15" s="1"/>
  <c r="S19" i="48"/>
  <c r="BD18" i="48"/>
  <c r="AK18" i="48"/>
  <c r="AE18" i="48"/>
  <c r="K18" i="48"/>
  <c r="J48" i="20"/>
  <c r="J45" i="20"/>
  <c r="K57" i="20"/>
  <c r="K56" i="20"/>
  <c r="J40" i="19"/>
  <c r="J41" i="20"/>
  <c r="F21" i="2"/>
  <c r="BN20" i="2"/>
  <c r="M8" i="17"/>
  <c r="M34" i="18"/>
  <c r="E41" i="17"/>
  <c r="D41" i="16"/>
  <c r="Z113" i="57" s="1"/>
  <c r="J43" i="16"/>
  <c r="J44" i="17"/>
  <c r="J56" i="16"/>
  <c r="D38" i="15"/>
  <c r="E38" i="16"/>
  <c r="E50" i="17"/>
  <c r="D50" i="16"/>
  <c r="E52" i="18"/>
  <c r="E53" i="18" s="1"/>
  <c r="E43" i="14"/>
  <c r="D43" i="13"/>
  <c r="E42" i="17"/>
  <c r="D42" i="16"/>
  <c r="D48" i="15"/>
  <c r="E48" i="16"/>
  <c r="D52" i="17"/>
  <c r="D53" i="17" s="1"/>
  <c r="E46" i="17"/>
  <c r="D46" i="16"/>
  <c r="E47" i="15"/>
  <c r="D47" i="14"/>
  <c r="E44" i="15"/>
  <c r="D44" i="14"/>
  <c r="D45" i="13"/>
  <c r="E45" i="14"/>
  <c r="E51" i="16"/>
  <c r="D51" i="15"/>
  <c r="D40" i="15"/>
  <c r="E40" i="16"/>
  <c r="A27" i="2" s="1"/>
  <c r="J37" i="17"/>
  <c r="J39" i="18"/>
  <c r="D49" i="14"/>
  <c r="E49" i="15"/>
  <c r="J57" i="43"/>
  <c r="E39" i="14"/>
  <c r="D39" i="13"/>
  <c r="Q26" i="48"/>
  <c r="AC25" i="48"/>
  <c r="AI23" i="48"/>
  <c r="M24" i="48"/>
  <c r="M7" i="14"/>
  <c r="Z113" i="46" l="1"/>
  <c r="J47" i="16"/>
  <c r="AK19" i="48"/>
  <c r="K19" i="48"/>
  <c r="S20" i="48"/>
  <c r="BD19" i="48"/>
  <c r="AE19" i="48"/>
  <c r="BN21" i="2"/>
  <c r="F22" i="2"/>
  <c r="J48" i="19"/>
  <c r="K56" i="19"/>
  <c r="J41" i="19"/>
  <c r="J40" i="18"/>
  <c r="K57" i="19"/>
  <c r="J45" i="19"/>
  <c r="M8" i="16"/>
  <c r="M34" i="17"/>
  <c r="D41" i="15"/>
  <c r="E41" i="16"/>
  <c r="J56" i="15"/>
  <c r="J43" i="15"/>
  <c r="J44" i="16"/>
  <c r="E38" i="15"/>
  <c r="D38" i="14"/>
  <c r="D52" i="16"/>
  <c r="D53" i="16" s="1"/>
  <c r="Z125" i="57" s="1"/>
  <c r="E52" i="17"/>
  <c r="E53" i="17" s="1"/>
  <c r="D50" i="15"/>
  <c r="E50" i="16"/>
  <c r="D43" i="12"/>
  <c r="E43" i="13"/>
  <c r="E47" i="14"/>
  <c r="D47" i="13"/>
  <c r="D46" i="15"/>
  <c r="E46" i="16"/>
  <c r="E48" i="15"/>
  <c r="D48" i="14"/>
  <c r="E42" i="16"/>
  <c r="D42" i="15"/>
  <c r="E51" i="15"/>
  <c r="D51" i="14"/>
  <c r="E40" i="15"/>
  <c r="D40" i="14"/>
  <c r="D45" i="12"/>
  <c r="E45" i="13"/>
  <c r="E44" i="14"/>
  <c r="D44" i="13"/>
  <c r="A28" i="2" s="1"/>
  <c r="J39" i="17"/>
  <c r="J37" i="16"/>
  <c r="E49" i="14"/>
  <c r="D49" i="13"/>
  <c r="M7" i="13"/>
  <c r="M25" i="48"/>
  <c r="AI24" i="48"/>
  <c r="D39" i="12"/>
  <c r="E39" i="13"/>
  <c r="AC26" i="48"/>
  <c r="Q27" i="48"/>
  <c r="J47" i="15"/>
  <c r="J46" i="14"/>
  <c r="AA125" i="57" l="1"/>
  <c r="AB125" i="57" s="1"/>
  <c r="Z125" i="46"/>
  <c r="AA125" i="46" s="1"/>
  <c r="AB125" i="46" s="1"/>
  <c r="AA113" i="46"/>
  <c r="Z138" i="46"/>
  <c r="AA113" i="57"/>
  <c r="Z138" i="57"/>
  <c r="BD20" i="48"/>
  <c r="AK20" i="48"/>
  <c r="AE20" i="48"/>
  <c r="K20" i="48"/>
  <c r="S21" i="48"/>
  <c r="J48" i="18"/>
  <c r="J41" i="18"/>
  <c r="K56" i="18"/>
  <c r="J45" i="18"/>
  <c r="K57" i="18"/>
  <c r="J40" i="17"/>
  <c r="F23" i="2"/>
  <c r="BN22" i="2"/>
  <c r="M8" i="15"/>
  <c r="M34" i="16"/>
  <c r="D41" i="14"/>
  <c r="E41" i="15"/>
  <c r="J43" i="14"/>
  <c r="J44" i="15"/>
  <c r="J56" i="14"/>
  <c r="D52" i="15"/>
  <c r="D53" i="15" s="1"/>
  <c r="E38" i="14"/>
  <c r="D38" i="13"/>
  <c r="E52" i="16"/>
  <c r="E53" i="16" s="1"/>
  <c r="D50" i="14"/>
  <c r="E50" i="15"/>
  <c r="E43" i="12"/>
  <c r="D43" i="11"/>
  <c r="E42" i="15"/>
  <c r="D42" i="14"/>
  <c r="E46" i="15"/>
  <c r="D46" i="14"/>
  <c r="E48" i="14"/>
  <c r="D48" i="13"/>
  <c r="D47" i="12"/>
  <c r="E47" i="13"/>
  <c r="D45" i="11"/>
  <c r="E45" i="12"/>
  <c r="D40" i="13"/>
  <c r="E40" i="14"/>
  <c r="D51" i="13"/>
  <c r="E51" i="14"/>
  <c r="E44" i="13"/>
  <c r="D44" i="12"/>
  <c r="A29" i="2" s="1"/>
  <c r="D49" i="12"/>
  <c r="E49" i="13"/>
  <c r="J37" i="15"/>
  <c r="J39" i="16"/>
  <c r="J47" i="14"/>
  <c r="J46" i="13"/>
  <c r="D39" i="11"/>
  <c r="E39" i="12"/>
  <c r="M26" i="48"/>
  <c r="AI25" i="48"/>
  <c r="AC27" i="48"/>
  <c r="Q28" i="48"/>
  <c r="M7" i="12"/>
  <c r="T2" i="56" l="1"/>
  <c r="Z139" i="57"/>
  <c r="X147" i="57" s="1"/>
  <c r="AB113" i="57"/>
  <c r="AB138" i="57" s="1"/>
  <c r="AA138" i="57"/>
  <c r="Z139" i="46"/>
  <c r="X147" i="46" s="1"/>
  <c r="I2" i="56"/>
  <c r="AB113" i="46"/>
  <c r="AB138" i="46" s="1"/>
  <c r="AA138" i="46"/>
  <c r="AK21" i="48"/>
  <c r="BD21" i="48"/>
  <c r="K21" i="48"/>
  <c r="AE21" i="48"/>
  <c r="S22" i="48"/>
  <c r="J48" i="17"/>
  <c r="J45" i="17"/>
  <c r="J41" i="17"/>
  <c r="K57" i="17"/>
  <c r="J40" i="16"/>
  <c r="K56" i="17"/>
  <c r="BN23" i="2"/>
  <c r="F24" i="2"/>
  <c r="M8" i="14"/>
  <c r="M34" i="15"/>
  <c r="D41" i="13"/>
  <c r="E41" i="14"/>
  <c r="J56" i="13"/>
  <c r="J43" i="13"/>
  <c r="J44" i="14"/>
  <c r="E38" i="13"/>
  <c r="D38" i="12"/>
  <c r="E52" i="15"/>
  <c r="E53" i="15" s="1"/>
  <c r="E50" i="14"/>
  <c r="D50" i="13"/>
  <c r="D43" i="10"/>
  <c r="E43" i="11"/>
  <c r="E48" i="13"/>
  <c r="D48" i="12"/>
  <c r="E46" i="14"/>
  <c r="D46" i="13"/>
  <c r="D42" i="13"/>
  <c r="E42" i="14"/>
  <c r="D52" i="14"/>
  <c r="D53" i="14" s="1"/>
  <c r="D47" i="11"/>
  <c r="E47" i="12"/>
  <c r="E51" i="13"/>
  <c r="D51" i="12"/>
  <c r="E44" i="12"/>
  <c r="D44" i="11"/>
  <c r="D40" i="12"/>
  <c r="E40" i="13"/>
  <c r="D45" i="10"/>
  <c r="E45" i="11"/>
  <c r="A30" i="2" s="1"/>
  <c r="J39" i="15"/>
  <c r="J37" i="14"/>
  <c r="D49" i="11"/>
  <c r="E49" i="12"/>
  <c r="M7" i="11"/>
  <c r="AC28" i="48"/>
  <c r="Q29" i="48"/>
  <c r="M27" i="48"/>
  <c r="AI26" i="48"/>
  <c r="E39" i="11"/>
  <c r="D39" i="10"/>
  <c r="J47" i="13"/>
  <c r="J46" i="12"/>
  <c r="I4" i="56" l="1"/>
  <c r="AB139" i="46"/>
  <c r="X150" i="46" s="1"/>
  <c r="T3" i="56"/>
  <c r="AA139" i="57"/>
  <c r="X149" i="57" s="1"/>
  <c r="AA139" i="46"/>
  <c r="X149" i="46" s="1"/>
  <c r="I3" i="56"/>
  <c r="T4" i="56"/>
  <c r="AB139" i="57"/>
  <c r="X150" i="57" s="1"/>
  <c r="E12" i="55"/>
  <c r="J2" i="56"/>
  <c r="N12" i="55"/>
  <c r="U2" i="56"/>
  <c r="O12" i="55" s="1"/>
  <c r="S23" i="48"/>
  <c r="K22" i="48"/>
  <c r="AK22" i="48"/>
  <c r="BD22" i="48"/>
  <c r="AE22" i="48"/>
  <c r="BN24" i="2"/>
  <c r="F25" i="2"/>
  <c r="J48" i="16"/>
  <c r="K56" i="16"/>
  <c r="K57" i="16"/>
  <c r="J45" i="16"/>
  <c r="J41" i="16"/>
  <c r="J40" i="15"/>
  <c r="M8" i="13"/>
  <c r="M34" i="14"/>
  <c r="E41" i="13"/>
  <c r="D41" i="12"/>
  <c r="J56" i="12"/>
  <c r="J44" i="13"/>
  <c r="J43" i="12"/>
  <c r="E38" i="12"/>
  <c r="D38" i="11"/>
  <c r="E50" i="13"/>
  <c r="D50" i="12"/>
  <c r="D52" i="13"/>
  <c r="D53" i="13" s="1"/>
  <c r="E43" i="10"/>
  <c r="D43" i="9"/>
  <c r="E52" i="14"/>
  <c r="E53" i="14" s="1"/>
  <c r="D47" i="10"/>
  <c r="E47" i="11"/>
  <c r="D46" i="12"/>
  <c r="E46" i="13"/>
  <c r="E48" i="12"/>
  <c r="D48" i="11"/>
  <c r="E42" i="13"/>
  <c r="D42" i="12"/>
  <c r="E45" i="10"/>
  <c r="D45" i="9"/>
  <c r="E44" i="11"/>
  <c r="D44" i="10"/>
  <c r="D51" i="11"/>
  <c r="E51" i="12"/>
  <c r="D40" i="11"/>
  <c r="E40" i="12"/>
  <c r="A31" i="2" s="1"/>
  <c r="D49" i="10"/>
  <c r="E49" i="11"/>
  <c r="J37" i="13"/>
  <c r="J39" i="14"/>
  <c r="J47" i="12"/>
  <c r="J46" i="11"/>
  <c r="M28" i="48"/>
  <c r="AI27" i="48"/>
  <c r="D39" i="9"/>
  <c r="E39" i="10"/>
  <c r="AC29" i="48"/>
  <c r="Q30" i="48"/>
  <c r="M7" i="10"/>
  <c r="X169" i="46" l="1"/>
  <c r="X172" i="46" s="1"/>
  <c r="X169" i="57"/>
  <c r="X172" i="57" s="1"/>
  <c r="E13" i="55"/>
  <c r="F13" i="55" s="1"/>
  <c r="G13" i="55" s="1"/>
  <c r="J3" i="56"/>
  <c r="R144" i="56" s="1"/>
  <c r="N13" i="55"/>
  <c r="U3" i="56"/>
  <c r="O13" i="55" s="1"/>
  <c r="P13" i="55" s="1"/>
  <c r="N14" i="55"/>
  <c r="U4" i="56"/>
  <c r="O14" i="55" s="1"/>
  <c r="P14" i="55" s="1"/>
  <c r="Q14" i="55" s="1"/>
  <c r="P12" i="55"/>
  <c r="F12" i="55"/>
  <c r="J4" i="56"/>
  <c r="E14" i="55"/>
  <c r="F14" i="55" s="1"/>
  <c r="G14" i="55" s="1"/>
  <c r="H14" i="55" s="1"/>
  <c r="BD23" i="48"/>
  <c r="S24" i="48"/>
  <c r="AE23" i="48"/>
  <c r="K23" i="48"/>
  <c r="AK23" i="48"/>
  <c r="BN25" i="2"/>
  <c r="F26" i="2"/>
  <c r="J48" i="15"/>
  <c r="J45" i="15"/>
  <c r="J40" i="14"/>
  <c r="J41" i="15"/>
  <c r="K57" i="15"/>
  <c r="K56" i="15"/>
  <c r="M8" i="12"/>
  <c r="M34" i="13"/>
  <c r="E41" i="12"/>
  <c r="D41" i="11"/>
  <c r="J44" i="12"/>
  <c r="J43" i="11"/>
  <c r="J56" i="11"/>
  <c r="D38" i="10"/>
  <c r="E38" i="11"/>
  <c r="E52" i="13"/>
  <c r="E53" i="13" s="1"/>
  <c r="E50" i="12"/>
  <c r="D50" i="11"/>
  <c r="D43" i="8"/>
  <c r="E43" i="9"/>
  <c r="E42" i="12"/>
  <c r="D42" i="11"/>
  <c r="E46" i="12"/>
  <c r="D46" i="11"/>
  <c r="D47" i="9"/>
  <c r="E47" i="10"/>
  <c r="D52" i="12"/>
  <c r="D53" i="12" s="1"/>
  <c r="E48" i="11"/>
  <c r="D48" i="10"/>
  <c r="D44" i="9"/>
  <c r="E44" i="10"/>
  <c r="E45" i="9"/>
  <c r="D45" i="8"/>
  <c r="D40" i="10"/>
  <c r="E40" i="11"/>
  <c r="D51" i="10"/>
  <c r="E51" i="11"/>
  <c r="A32" i="2" s="1"/>
  <c r="J39" i="13"/>
  <c r="J37" i="12"/>
  <c r="E49" i="10"/>
  <c r="D49" i="9"/>
  <c r="Q31" i="48"/>
  <c r="AC30" i="48"/>
  <c r="D39" i="8"/>
  <c r="E39" i="9"/>
  <c r="M29" i="48"/>
  <c r="AI28" i="48"/>
  <c r="M7" i="9"/>
  <c r="J47" i="11"/>
  <c r="J46" i="10"/>
  <c r="N40" i="55" l="1"/>
  <c r="E40" i="55"/>
  <c r="Q12" i="55"/>
  <c r="Q40" i="55" s="1"/>
  <c r="Q42" i="55" s="1"/>
  <c r="R15" i="56" s="1"/>
  <c r="P40" i="55"/>
  <c r="P42" i="55" s="1"/>
  <c r="G12" i="55"/>
  <c r="F40" i="55"/>
  <c r="F42" i="55" s="1"/>
  <c r="O40" i="55"/>
  <c r="O42" i="55" s="1"/>
  <c r="AK24" i="48"/>
  <c r="S25" i="48"/>
  <c r="K24" i="48"/>
  <c r="BD24" i="48"/>
  <c r="AE24" i="48"/>
  <c r="F27" i="2"/>
  <c r="BN26" i="2"/>
  <c r="J48" i="14"/>
  <c r="J41" i="14"/>
  <c r="K56" i="14"/>
  <c r="J45" i="14"/>
  <c r="K57" i="14"/>
  <c r="J40" i="13"/>
  <c r="M8" i="11"/>
  <c r="M34" i="12"/>
  <c r="D41" i="10"/>
  <c r="E41" i="11"/>
  <c r="J44" i="11"/>
  <c r="J43" i="10"/>
  <c r="J56" i="10"/>
  <c r="D38" i="9"/>
  <c r="E38" i="10"/>
  <c r="E52" i="12"/>
  <c r="E53" i="12" s="1"/>
  <c r="D52" i="11"/>
  <c r="D53" i="11" s="1"/>
  <c r="E50" i="11"/>
  <c r="D50" i="10"/>
  <c r="E43" i="8"/>
  <c r="D43" i="7"/>
  <c r="E46" i="11"/>
  <c r="D46" i="10"/>
  <c r="D42" i="10"/>
  <c r="E42" i="11"/>
  <c r="E48" i="10"/>
  <c r="D48" i="9"/>
  <c r="D47" i="8"/>
  <c r="E47" i="9"/>
  <c r="D40" i="9"/>
  <c r="E40" i="10"/>
  <c r="D44" i="8"/>
  <c r="E44" i="9"/>
  <c r="E51" i="10"/>
  <c r="D51" i="9"/>
  <c r="D45" i="7"/>
  <c r="E45" i="8"/>
  <c r="A33" i="2" s="1"/>
  <c r="D49" i="8"/>
  <c r="E49" i="9"/>
  <c r="J37" i="11"/>
  <c r="J39" i="12"/>
  <c r="J47" i="10"/>
  <c r="J46" i="9"/>
  <c r="M30" i="48"/>
  <c r="AI29" i="48"/>
  <c r="M7" i="8"/>
  <c r="D39" i="7"/>
  <c r="E39" i="8"/>
  <c r="Q32" i="48"/>
  <c r="AC31" i="48"/>
  <c r="G40" i="55" l="1"/>
  <c r="G42" i="55" s="1"/>
  <c r="H12" i="55"/>
  <c r="H40" i="55" s="1"/>
  <c r="H42" i="55" s="1"/>
  <c r="G15" i="56" s="1"/>
  <c r="AE25" i="48"/>
  <c r="AK25" i="48"/>
  <c r="S26" i="48"/>
  <c r="K25" i="48"/>
  <c r="BD25" i="48"/>
  <c r="BN27" i="2"/>
  <c r="F28" i="2"/>
  <c r="J48" i="13"/>
  <c r="K56" i="13"/>
  <c r="K57" i="13"/>
  <c r="J40" i="12"/>
  <c r="J41" i="13"/>
  <c r="J45" i="13"/>
  <c r="M8" i="10"/>
  <c r="M34" i="11"/>
  <c r="E41" i="10"/>
  <c r="D41" i="9"/>
  <c r="J56" i="9"/>
  <c r="J43" i="9"/>
  <c r="J44" i="10"/>
  <c r="E38" i="9"/>
  <c r="D38" i="8"/>
  <c r="D52" i="10"/>
  <c r="D53" i="10" s="1"/>
  <c r="E50" i="10"/>
  <c r="D50" i="9"/>
  <c r="D43" i="6"/>
  <c r="E43" i="7"/>
  <c r="E52" i="11"/>
  <c r="E53" i="11" s="1"/>
  <c r="E47" i="8"/>
  <c r="D47" i="7"/>
  <c r="E42" i="10"/>
  <c r="D42" i="9"/>
  <c r="D48" i="8"/>
  <c r="E48" i="9"/>
  <c r="D46" i="9"/>
  <c r="E46" i="10"/>
  <c r="D45" i="6"/>
  <c r="E45" i="7"/>
  <c r="E51" i="9"/>
  <c r="D51" i="8"/>
  <c r="D40" i="8"/>
  <c r="E40" i="9"/>
  <c r="D44" i="7"/>
  <c r="E44" i="8"/>
  <c r="A34" i="2" s="1"/>
  <c r="J39" i="11"/>
  <c r="J37" i="10"/>
  <c r="E49" i="8"/>
  <c r="D49" i="7"/>
  <c r="D39" i="6"/>
  <c r="E39" i="7"/>
  <c r="M7" i="7"/>
  <c r="J47" i="9"/>
  <c r="J46" i="8"/>
  <c r="Q33" i="48"/>
  <c r="AC32" i="48"/>
  <c r="M31" i="48"/>
  <c r="AI30" i="48"/>
  <c r="AK26" i="48" l="1"/>
  <c r="BD26" i="48"/>
  <c r="S27" i="48"/>
  <c r="K26" i="48"/>
  <c r="AE26" i="48"/>
  <c r="F29" i="2"/>
  <c r="BN28" i="2"/>
  <c r="J48" i="12"/>
  <c r="J41" i="12"/>
  <c r="J40" i="11"/>
  <c r="K56" i="12"/>
  <c r="J45" i="12"/>
  <c r="K57" i="12"/>
  <c r="M8" i="9"/>
  <c r="M34" i="10"/>
  <c r="D41" i="8"/>
  <c r="E41" i="9"/>
  <c r="J56" i="8"/>
  <c r="J43" i="8"/>
  <c r="J44" i="9"/>
  <c r="D52" i="9"/>
  <c r="D53" i="9" s="1"/>
  <c r="D38" i="7"/>
  <c r="E38" i="8"/>
  <c r="E52" i="10"/>
  <c r="E53" i="10" s="1"/>
  <c r="E50" i="9"/>
  <c r="D50" i="8"/>
  <c r="D43" i="37"/>
  <c r="E43" i="6"/>
  <c r="D46" i="8"/>
  <c r="E46" i="9"/>
  <c r="D48" i="7"/>
  <c r="E48" i="8"/>
  <c r="E42" i="9"/>
  <c r="D42" i="8"/>
  <c r="E47" i="7"/>
  <c r="D47" i="6"/>
  <c r="D40" i="7"/>
  <c r="E40" i="8"/>
  <c r="E45" i="6"/>
  <c r="D45" i="37"/>
  <c r="E44" i="7"/>
  <c r="D44" i="6"/>
  <c r="E51" i="8"/>
  <c r="D51" i="7"/>
  <c r="A35" i="2" s="1"/>
  <c r="D49" i="6"/>
  <c r="E49" i="7"/>
  <c r="J37" i="9"/>
  <c r="J39" i="10"/>
  <c r="M32" i="48"/>
  <c r="AI31" i="48"/>
  <c r="Q34" i="48"/>
  <c r="AC33" i="48"/>
  <c r="J47" i="8"/>
  <c r="J46" i="7"/>
  <c r="D39" i="37"/>
  <c r="E39" i="6"/>
  <c r="M7" i="6"/>
  <c r="S28" i="48" l="1"/>
  <c r="K27" i="48"/>
  <c r="BD27" i="48"/>
  <c r="AE27" i="48"/>
  <c r="AK27" i="48"/>
  <c r="BN29" i="2"/>
  <c r="F30" i="2"/>
  <c r="J48" i="11"/>
  <c r="K56" i="11"/>
  <c r="J40" i="10"/>
  <c r="K57" i="11"/>
  <c r="J41" i="11"/>
  <c r="J45" i="11"/>
  <c r="M8" i="8"/>
  <c r="M34" i="9"/>
  <c r="D41" i="7"/>
  <c r="E41" i="8"/>
  <c r="J56" i="7"/>
  <c r="J43" i="7"/>
  <c r="J44" i="8"/>
  <c r="D52" i="8"/>
  <c r="D53" i="8" s="1"/>
  <c r="D38" i="6"/>
  <c r="E38" i="7"/>
  <c r="E52" i="9"/>
  <c r="E53" i="9" s="1"/>
  <c r="D50" i="7"/>
  <c r="E50" i="8"/>
  <c r="D43" i="4"/>
  <c r="E43" i="37"/>
  <c r="D48" i="6"/>
  <c r="E48" i="7"/>
  <c r="D46" i="7"/>
  <c r="E46" i="8"/>
  <c r="E47" i="6"/>
  <c r="D47" i="37"/>
  <c r="E42" i="8"/>
  <c r="D42" i="7"/>
  <c r="D51" i="6"/>
  <c r="E51" i="7"/>
  <c r="D44" i="37"/>
  <c r="E44" i="6"/>
  <c r="D45" i="4"/>
  <c r="E45" i="37"/>
  <c r="D40" i="6"/>
  <c r="E40" i="7"/>
  <c r="A36" i="2" s="1"/>
  <c r="J39" i="9"/>
  <c r="J37" i="8"/>
  <c r="D49" i="37"/>
  <c r="E49" i="6"/>
  <c r="J47" i="7"/>
  <c r="J46" i="6"/>
  <c r="AC34" i="48"/>
  <c r="Q35" i="48"/>
  <c r="M7" i="37"/>
  <c r="E39" i="37"/>
  <c r="D39" i="4"/>
  <c r="M33" i="48"/>
  <c r="AI32" i="48"/>
  <c r="AE28" i="48" l="1"/>
  <c r="AK28" i="48"/>
  <c r="S29" i="48"/>
  <c r="K28" i="48"/>
  <c r="BD28" i="48"/>
  <c r="BN30" i="2"/>
  <c r="F31" i="2"/>
  <c r="J48" i="10"/>
  <c r="J40" i="9"/>
  <c r="K57" i="10"/>
  <c r="J41" i="10"/>
  <c r="J45" i="10"/>
  <c r="K56" i="10"/>
  <c r="M8" i="7"/>
  <c r="M34" i="8"/>
  <c r="E41" i="7"/>
  <c r="D41" i="6"/>
  <c r="J56" i="6"/>
  <c r="J43" i="6"/>
  <c r="J44" i="7"/>
  <c r="D38" i="37"/>
  <c r="E38" i="6"/>
  <c r="E52" i="8"/>
  <c r="E53" i="8" s="1"/>
  <c r="E50" i="7"/>
  <c r="D50" i="6"/>
  <c r="E43" i="4"/>
  <c r="D43" i="43"/>
  <c r="E43" i="43" s="1"/>
  <c r="E42" i="7"/>
  <c r="D42" i="6"/>
  <c r="E47" i="37"/>
  <c r="D47" i="4"/>
  <c r="E46" i="7"/>
  <c r="D46" i="6"/>
  <c r="D48" i="37"/>
  <c r="E48" i="6"/>
  <c r="D52" i="7"/>
  <c r="D53" i="7" s="1"/>
  <c r="E51" i="6"/>
  <c r="D51" i="37"/>
  <c r="D40" i="37"/>
  <c r="E40" i="6"/>
  <c r="E45" i="4"/>
  <c r="D45" i="43"/>
  <c r="E45" i="43" s="1"/>
  <c r="D44" i="4"/>
  <c r="E44" i="37"/>
  <c r="A37" i="2" s="1"/>
  <c r="E49" i="37"/>
  <c r="D49" i="4"/>
  <c r="J39" i="8"/>
  <c r="J37" i="7"/>
  <c r="M34" i="48"/>
  <c r="AI33" i="48"/>
  <c r="J47" i="6"/>
  <c r="J46" i="37"/>
  <c r="D39" i="43"/>
  <c r="E39" i="43" s="1"/>
  <c r="E39" i="4"/>
  <c r="M7" i="4"/>
  <c r="Q36" i="48"/>
  <c r="AC35" i="48"/>
  <c r="AE29" i="48" l="1"/>
  <c r="AK29" i="48"/>
  <c r="BD29" i="48"/>
  <c r="K29" i="48"/>
  <c r="S30" i="48"/>
  <c r="BN31" i="2"/>
  <c r="F32" i="2"/>
  <c r="J48" i="9"/>
  <c r="K57" i="9"/>
  <c r="J45" i="9"/>
  <c r="J40" i="8"/>
  <c r="K56" i="9"/>
  <c r="J41" i="9"/>
  <c r="D52" i="6"/>
  <c r="D53" i="6" s="1"/>
  <c r="M8" i="6"/>
  <c r="M34" i="7"/>
  <c r="D41" i="37"/>
  <c r="E41" i="6"/>
  <c r="J44" i="6"/>
  <c r="J43" i="37"/>
  <c r="J56" i="37"/>
  <c r="E38" i="37"/>
  <c r="D38" i="4"/>
  <c r="D50" i="37"/>
  <c r="E50" i="6"/>
  <c r="E52" i="7"/>
  <c r="E53" i="7" s="1"/>
  <c r="D46" i="37"/>
  <c r="E46" i="6"/>
  <c r="E47" i="4"/>
  <c r="D47" i="43"/>
  <c r="E47" i="43" s="1"/>
  <c r="E42" i="6"/>
  <c r="D42" i="37"/>
  <c r="E48" i="37"/>
  <c r="D48" i="4"/>
  <c r="D40" i="4"/>
  <c r="E40" i="37"/>
  <c r="D44" i="43"/>
  <c r="E44" i="43" s="1"/>
  <c r="E44" i="4"/>
  <c r="E51" i="37"/>
  <c r="D51" i="4"/>
  <c r="A38" i="2" s="1"/>
  <c r="J39" i="7"/>
  <c r="J37" i="6"/>
  <c r="D49" i="43"/>
  <c r="E49" i="43" s="1"/>
  <c r="E49" i="4"/>
  <c r="M7" i="43"/>
  <c r="M35" i="48"/>
  <c r="AI34" i="48"/>
  <c r="AC36" i="48"/>
  <c r="Q37" i="48"/>
  <c r="J47" i="37"/>
  <c r="J46" i="4"/>
  <c r="AK30" i="48" l="1"/>
  <c r="BD30" i="48"/>
  <c r="K30" i="48"/>
  <c r="S31" i="48"/>
  <c r="AE30" i="48"/>
  <c r="J48" i="8"/>
  <c r="K57" i="8"/>
  <c r="J41" i="8"/>
  <c r="J40" i="7"/>
  <c r="K56" i="8"/>
  <c r="J45" i="8"/>
  <c r="BN32" i="2"/>
  <c r="F33" i="2"/>
  <c r="M8" i="37"/>
  <c r="M34" i="6"/>
  <c r="E41" i="37"/>
  <c r="D41" i="4"/>
  <c r="J43" i="4"/>
  <c r="J44" i="37"/>
  <c r="J56" i="4"/>
  <c r="E38" i="4"/>
  <c r="D38" i="43"/>
  <c r="E38" i="43" s="1"/>
  <c r="D52" i="37"/>
  <c r="D53" i="37" s="1"/>
  <c r="E50" i="37"/>
  <c r="D50" i="4"/>
  <c r="E52" i="6"/>
  <c r="E53" i="6" s="1"/>
  <c r="D46" i="4"/>
  <c r="E46" i="37"/>
  <c r="D48" i="43"/>
  <c r="E48" i="43" s="1"/>
  <c r="E48" i="4"/>
  <c r="E42" i="37"/>
  <c r="D42" i="4"/>
  <c r="E40" i="4"/>
  <c r="D40" i="43"/>
  <c r="D51" i="43"/>
  <c r="E51" i="43" s="1"/>
  <c r="E51" i="4"/>
  <c r="A39" i="2" s="1"/>
  <c r="J39" i="6"/>
  <c r="J37" i="37"/>
  <c r="M36" i="48"/>
  <c r="AI35" i="48"/>
  <c r="J47" i="4"/>
  <c r="J46" i="43"/>
  <c r="AC37" i="48"/>
  <c r="Q38" i="48"/>
  <c r="AK31" i="48" l="1"/>
  <c r="AE31" i="48"/>
  <c r="K31" i="48"/>
  <c r="S32" i="48"/>
  <c r="BD31" i="48"/>
  <c r="J48" i="7"/>
  <c r="K56" i="7"/>
  <c r="J41" i="7"/>
  <c r="J40" i="6"/>
  <c r="J45" i="7"/>
  <c r="K57" i="7"/>
  <c r="BN33" i="2"/>
  <c r="F34" i="2"/>
  <c r="M8" i="4"/>
  <c r="M34" i="37"/>
  <c r="D41" i="43"/>
  <c r="E41" i="43" s="1"/>
  <c r="E41" i="4"/>
  <c r="J56" i="43"/>
  <c r="AA142" i="46" s="1"/>
  <c r="J43" i="43"/>
  <c r="J44" i="4"/>
  <c r="D52" i="4"/>
  <c r="D53" i="4" s="1"/>
  <c r="E52" i="37"/>
  <c r="E53" i="37" s="1"/>
  <c r="E50" i="4"/>
  <c r="D50" i="43"/>
  <c r="E50" i="43" s="1"/>
  <c r="D46" i="43"/>
  <c r="E46" i="43" s="1"/>
  <c r="E46" i="4"/>
  <c r="D42" i="43"/>
  <c r="E42" i="43" s="1"/>
  <c r="E42" i="4"/>
  <c r="E40" i="43"/>
  <c r="A40" i="2" s="1"/>
  <c r="J37" i="4"/>
  <c r="J39" i="37"/>
  <c r="Q39" i="48"/>
  <c r="AC38" i="48"/>
  <c r="J47" i="43"/>
  <c r="M37" i="48"/>
  <c r="AI36" i="48"/>
  <c r="AK32" i="48" l="1"/>
  <c r="K32" i="48"/>
  <c r="S33" i="48"/>
  <c r="BD32" i="48"/>
  <c r="AE32" i="48"/>
  <c r="J48" i="6"/>
  <c r="J41" i="6"/>
  <c r="K57" i="6"/>
  <c r="K56" i="6"/>
  <c r="J45" i="6"/>
  <c r="J40" i="37"/>
  <c r="BN34" i="2"/>
  <c r="F35" i="2"/>
  <c r="M8" i="43"/>
  <c r="M34" i="43" s="1"/>
  <c r="M34" i="4"/>
  <c r="J44" i="43"/>
  <c r="E52" i="43"/>
  <c r="E53" i="43" s="1"/>
  <c r="E52" i="4"/>
  <c r="E53" i="4" s="1"/>
  <c r="D52" i="43"/>
  <c r="AD143" i="46" s="1"/>
  <c r="J37" i="43"/>
  <c r="J39" i="43" s="1"/>
  <c r="J39" i="4"/>
  <c r="M38" i="48"/>
  <c r="AI37" i="48"/>
  <c r="AC39" i="48"/>
  <c r="AK33" i="48" l="1"/>
  <c r="K33" i="48"/>
  <c r="BD33" i="48"/>
  <c r="S34" i="48"/>
  <c r="AE33" i="48"/>
  <c r="D53" i="43"/>
  <c r="F36" i="2"/>
  <c r="BN35" i="2"/>
  <c r="J48" i="37"/>
  <c r="K57" i="37"/>
  <c r="J40" i="4"/>
  <c r="K56" i="37"/>
  <c r="J41" i="37"/>
  <c r="J45" i="37"/>
  <c r="M39" i="48"/>
  <c r="AI38" i="48"/>
  <c r="BD34" i="48" l="1"/>
  <c r="AE34" i="48"/>
  <c r="S35" i="48"/>
  <c r="AK34" i="48"/>
  <c r="K34" i="48"/>
  <c r="J48" i="4"/>
  <c r="K57" i="4"/>
  <c r="J41" i="4"/>
  <c r="J40" i="43"/>
  <c r="K56" i="4"/>
  <c r="J45" i="4"/>
  <c r="BN36" i="2"/>
  <c r="F37" i="2"/>
  <c r="AI39" i="48"/>
  <c r="AE35" i="48" l="1"/>
  <c r="S36" i="48"/>
  <c r="K35" i="48"/>
  <c r="AK35" i="48"/>
  <c r="BD35" i="48"/>
  <c r="BN37" i="2"/>
  <c r="F38" i="2"/>
  <c r="J48" i="43"/>
  <c r="J45" i="43"/>
  <c r="J41" i="43"/>
  <c r="K56" i="43"/>
  <c r="K57" i="43"/>
  <c r="I49" i="27"/>
  <c r="AK36" i="48" l="1"/>
  <c r="S37" i="48"/>
  <c r="K36" i="48"/>
  <c r="BD36" i="48"/>
  <c r="AE36" i="48"/>
  <c r="BN38" i="2"/>
  <c r="F39" i="2"/>
  <c r="I50" i="27"/>
  <c r="I51" i="27"/>
  <c r="J49" i="27"/>
  <c r="X14" i="48"/>
  <c r="V14" i="48"/>
  <c r="U14" i="48"/>
  <c r="AK37" i="48" l="1"/>
  <c r="S38" i="48"/>
  <c r="K37" i="48"/>
  <c r="BD37" i="48"/>
  <c r="AE37" i="48"/>
  <c r="BN39" i="2"/>
  <c r="F40" i="2"/>
  <c r="BN40" i="2" s="1"/>
  <c r="J50" i="27"/>
  <c r="J49" i="28"/>
  <c r="J51" i="27"/>
  <c r="Y14" i="48"/>
  <c r="W14" i="48"/>
  <c r="U15" i="48"/>
  <c r="K38" i="48" l="1"/>
  <c r="AE38" i="48"/>
  <c r="AK38" i="48"/>
  <c r="BD38" i="48"/>
  <c r="S39" i="48"/>
  <c r="J50" i="28"/>
  <c r="J51" i="28"/>
  <c r="Y15" i="48"/>
  <c r="W15" i="48"/>
  <c r="AK39" i="48" l="1"/>
  <c r="K39" i="48"/>
  <c r="AE39" i="48"/>
  <c r="BD39" i="48"/>
  <c r="I49" i="26"/>
  <c r="I50" i="26" l="1"/>
  <c r="I51" i="26"/>
  <c r="J49" i="26"/>
  <c r="X16" i="48"/>
  <c r="V16" i="48"/>
  <c r="U16" i="48"/>
  <c r="J50" i="26" l="1"/>
  <c r="J51" i="26"/>
  <c r="Y16" i="48"/>
  <c r="W16" i="48"/>
  <c r="I49" i="24" l="1"/>
  <c r="I49" i="25"/>
  <c r="I50" i="25" l="1"/>
  <c r="I51" i="25"/>
  <c r="J49" i="25"/>
  <c r="J49" i="24" s="1"/>
  <c r="I50" i="24"/>
  <c r="I51" i="24"/>
  <c r="X18" i="48"/>
  <c r="V18" i="48"/>
  <c r="X17" i="48"/>
  <c r="V17" i="48"/>
  <c r="U17" i="48"/>
  <c r="J50" i="25" l="1"/>
  <c r="J51" i="25"/>
  <c r="J50" i="24"/>
  <c r="J51" i="24"/>
  <c r="W17" i="48"/>
  <c r="U18" i="48"/>
  <c r="Y17" i="48"/>
  <c r="W18" i="48" l="1"/>
  <c r="Y18" i="48"/>
  <c r="I49" i="23" l="1"/>
  <c r="I50" i="23" l="1"/>
  <c r="I51" i="23"/>
  <c r="J49" i="23"/>
  <c r="X19" i="48"/>
  <c r="V19" i="48"/>
  <c r="U19" i="48"/>
  <c r="J50" i="23" l="1"/>
  <c r="J51" i="23"/>
  <c r="W19" i="48"/>
  <c r="Y19" i="48"/>
  <c r="I49" i="21" l="1"/>
  <c r="I50" i="21" l="1"/>
  <c r="I51" i="21"/>
  <c r="J49" i="21"/>
  <c r="X20" i="48"/>
  <c r="V20" i="48"/>
  <c r="U20" i="48"/>
  <c r="J49" i="22" l="1"/>
  <c r="J50" i="21"/>
  <c r="J51" i="21"/>
  <c r="W20" i="48"/>
  <c r="Y20" i="48"/>
  <c r="U21" i="48"/>
  <c r="J50" i="22" l="1"/>
  <c r="J51" i="22"/>
  <c r="W21" i="48"/>
  <c r="Y21" i="48"/>
  <c r="I49" i="20" l="1"/>
  <c r="I50" i="20" l="1"/>
  <c r="I51" i="20"/>
  <c r="J49" i="20"/>
  <c r="X22" i="48"/>
  <c r="V22" i="48"/>
  <c r="U22" i="48"/>
  <c r="J50" i="20" l="1"/>
  <c r="J51" i="20"/>
  <c r="W22" i="48"/>
  <c r="Y22" i="48"/>
  <c r="I49" i="19" l="1"/>
  <c r="I50" i="19" l="1"/>
  <c r="I51" i="19"/>
  <c r="J49" i="19"/>
  <c r="X23" i="48"/>
  <c r="V23" i="48"/>
  <c r="U23" i="48"/>
  <c r="J50" i="19" l="1"/>
  <c r="J49" i="18"/>
  <c r="J51" i="19"/>
  <c r="W23" i="48"/>
  <c r="Y23" i="48"/>
  <c r="U24" i="48"/>
  <c r="J49" i="17" l="1"/>
  <c r="J50" i="18"/>
  <c r="J51" i="18"/>
  <c r="U25" i="48"/>
  <c r="W24" i="48"/>
  <c r="Y24" i="48"/>
  <c r="J50" i="17" l="1"/>
  <c r="J51" i="17"/>
  <c r="W25" i="48"/>
  <c r="Y25" i="48"/>
  <c r="I49" i="16" l="1"/>
  <c r="I50" i="16" l="1"/>
  <c r="I51" i="16"/>
  <c r="J49" i="16"/>
  <c r="V26" i="48"/>
  <c r="X26" i="48"/>
  <c r="U26" i="48"/>
  <c r="J50" i="16" l="1"/>
  <c r="J51" i="16"/>
  <c r="W26" i="48"/>
  <c r="Y26" i="48"/>
  <c r="I49" i="15" l="1"/>
  <c r="I50" i="15" l="1"/>
  <c r="I51" i="15"/>
  <c r="J49" i="15"/>
  <c r="V27" i="48"/>
  <c r="X27" i="48"/>
  <c r="U27" i="48"/>
  <c r="J50" i="15" l="1"/>
  <c r="J51" i="15"/>
  <c r="W27" i="48"/>
  <c r="Y27" i="48"/>
  <c r="I49" i="14" l="1"/>
  <c r="I50" i="14" l="1"/>
  <c r="I51" i="14"/>
  <c r="J49" i="14"/>
  <c r="X28" i="48"/>
  <c r="V28" i="48"/>
  <c r="U28" i="48"/>
  <c r="J50" i="14" l="1"/>
  <c r="J51" i="14"/>
  <c r="Y28" i="48"/>
  <c r="W28" i="48"/>
  <c r="I49" i="13" l="1"/>
  <c r="I50" i="13" l="1"/>
  <c r="I51" i="13"/>
  <c r="J49" i="13"/>
  <c r="V29" i="48"/>
  <c r="X29" i="48"/>
  <c r="U29" i="48"/>
  <c r="J50" i="13" l="1"/>
  <c r="J51" i="13"/>
  <c r="W29" i="48"/>
  <c r="Y29" i="48"/>
  <c r="I49" i="12" l="1"/>
  <c r="I50" i="12" l="1"/>
  <c r="I51" i="12"/>
  <c r="J49" i="12"/>
  <c r="V30" i="48"/>
  <c r="X30" i="48"/>
  <c r="U30" i="48"/>
  <c r="J50" i="12" l="1"/>
  <c r="J51" i="12"/>
  <c r="W30" i="48"/>
  <c r="Y30" i="48"/>
  <c r="I49" i="10" l="1"/>
  <c r="I50" i="10" l="1"/>
  <c r="I51" i="10"/>
  <c r="V32" i="48"/>
  <c r="X32" i="48"/>
  <c r="I49" i="11"/>
  <c r="I50" i="11" l="1"/>
  <c r="I51" i="11"/>
  <c r="J49" i="11"/>
  <c r="X31" i="48"/>
  <c r="V31" i="48"/>
  <c r="U31" i="48"/>
  <c r="J50" i="11" l="1"/>
  <c r="J51" i="11"/>
  <c r="J49" i="10"/>
  <c r="W31" i="48"/>
  <c r="U32" i="48"/>
  <c r="Y31" i="48"/>
  <c r="J50" i="10" l="1"/>
  <c r="J51" i="10"/>
  <c r="W32" i="48"/>
  <c r="Y32" i="48"/>
  <c r="I49" i="9" l="1"/>
  <c r="I50" i="9" l="1"/>
  <c r="I51" i="9"/>
  <c r="J49" i="9"/>
  <c r="V33" i="48"/>
  <c r="X33" i="48"/>
  <c r="T41" i="48"/>
  <c r="U33" i="48"/>
  <c r="J49" i="8" l="1"/>
  <c r="J50" i="9"/>
  <c r="J51" i="9"/>
  <c r="U34" i="48"/>
  <c r="Y33" i="48"/>
  <c r="W33" i="48"/>
  <c r="X41" i="48"/>
  <c r="V41" i="48"/>
  <c r="J50" i="8" l="1"/>
  <c r="J49" i="7"/>
  <c r="J51" i="8"/>
  <c r="W34" i="48"/>
  <c r="Y34" i="48"/>
  <c r="U35" i="48"/>
  <c r="J50" i="7" l="1"/>
  <c r="J49" i="6"/>
  <c r="J51" i="7"/>
  <c r="Y35" i="48"/>
  <c r="U36" i="48"/>
  <c r="W35" i="48"/>
  <c r="J49" i="37" l="1"/>
  <c r="J50" i="6"/>
  <c r="J51" i="6"/>
  <c r="U37" i="48"/>
  <c r="Y36" i="48"/>
  <c r="W36" i="48"/>
  <c r="J49" i="4" l="1"/>
  <c r="J50" i="37"/>
  <c r="J51" i="37"/>
  <c r="U38" i="48"/>
  <c r="Y37" i="48"/>
  <c r="W37" i="48"/>
  <c r="J49" i="43" l="1"/>
  <c r="J50" i="4"/>
  <c r="J51" i="4"/>
  <c r="U39" i="48"/>
  <c r="Y38" i="48"/>
  <c r="W38" i="48"/>
  <c r="J50" i="43" l="1"/>
  <c r="J51" i="43"/>
  <c r="W39" i="48"/>
  <c r="Y39" i="48"/>
  <c r="KV15" i="1" l="1"/>
  <c r="AP41" i="1"/>
  <c r="KV41" i="1" s="1"/>
  <c r="AR15" i="1"/>
  <c r="KT15" i="1" s="1"/>
  <c r="AQ15" i="1"/>
  <c r="AR41" i="1" l="1"/>
  <c r="KT41" i="1" s="1"/>
  <c r="AQ41" i="1"/>
</calcChain>
</file>

<file path=xl/comments1.xml><?xml version="1.0" encoding="utf-8"?>
<comments xmlns="http://schemas.openxmlformats.org/spreadsheetml/2006/main">
  <authors>
    <author>win10</author>
  </authors>
  <commentList>
    <comment ref="U12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trail rewinder suzhou 3ply</t>
        </r>
      </text>
    </comment>
  </commentList>
</comments>
</file>

<file path=xl/comments2.xml><?xml version="1.0" encoding="utf-8"?>
<comments xmlns="http://schemas.openxmlformats.org/spreadsheetml/2006/main">
  <authors>
    <author>win10</author>
  </authors>
  <commentList>
    <comment ref="J8" authorId="0">
      <text>
        <r>
          <rPr>
            <b/>
            <sz val="9"/>
            <color indexed="81"/>
            <rFont val="Tahoma"/>
            <family val="2"/>
          </rPr>
          <t>win10:</t>
        </r>
        <r>
          <rPr>
            <sz val="9"/>
            <color indexed="81"/>
            <rFont val="Tahoma"/>
            <family val="2"/>
          </rPr>
          <t xml:space="preserve">
HB</t>
        </r>
      </text>
    </comment>
  </commentList>
</comments>
</file>

<file path=xl/sharedStrings.xml><?xml version="1.0" encoding="utf-8"?>
<sst xmlns="http://schemas.openxmlformats.org/spreadsheetml/2006/main" count="5903" uniqueCount="690">
  <si>
    <t xml:space="preserve"> </t>
  </si>
  <si>
    <t>Efficiency</t>
  </si>
  <si>
    <t>Total</t>
  </si>
  <si>
    <t>PRODUCTION DAILY REPORT</t>
  </si>
  <si>
    <t>GRADE</t>
  </si>
  <si>
    <t>GSM</t>
  </si>
  <si>
    <t>LOSS</t>
  </si>
  <si>
    <t>Facial</t>
  </si>
  <si>
    <t>Date</t>
  </si>
  <si>
    <t>Grade</t>
  </si>
  <si>
    <t>Reject</t>
  </si>
  <si>
    <t>%</t>
  </si>
  <si>
    <t>Process</t>
  </si>
  <si>
    <t>Cleaning</t>
  </si>
  <si>
    <t>Start Up</t>
  </si>
  <si>
    <t>Mekanik</t>
  </si>
  <si>
    <t>Instrument</t>
  </si>
  <si>
    <t>PLN</t>
  </si>
  <si>
    <t>Boiler</t>
  </si>
  <si>
    <t>Steam</t>
  </si>
  <si>
    <t>Others</t>
  </si>
  <si>
    <t>MACHINE POWER CONSUMPTION (PER PANEL)</t>
  </si>
  <si>
    <t>PM          (TON)</t>
  </si>
  <si>
    <t>FINSHED GOODS (TON)</t>
  </si>
  <si>
    <t>KWH</t>
  </si>
  <si>
    <t>Consumption</t>
  </si>
  <si>
    <t>/TON PM</t>
  </si>
  <si>
    <t>/TON FG</t>
  </si>
  <si>
    <t>TOTAL</t>
  </si>
  <si>
    <t>DATE</t>
  </si>
  <si>
    <t>PM PROD  Timbangan                       (TON)</t>
  </si>
  <si>
    <t>GAS HOOD</t>
  </si>
  <si>
    <t>STEAM (TON)</t>
  </si>
  <si>
    <t>POWER (kWh)</t>
  </si>
  <si>
    <t>/TON PM.</t>
  </si>
  <si>
    <t>/TON FG.</t>
  </si>
  <si>
    <t>CONSUMPTION</t>
  </si>
  <si>
    <t>TODAY</t>
  </si>
  <si>
    <t>TODATE</t>
  </si>
  <si>
    <t>REW PROD (TON)</t>
  </si>
  <si>
    <t>Kg/ton</t>
  </si>
  <si>
    <t>REEL PROD (TON)</t>
  </si>
  <si>
    <t>NBKP Albacell</t>
  </si>
  <si>
    <t>TOTAL NBKP</t>
  </si>
  <si>
    <t>BROKE FROM OUTSIDE</t>
  </si>
  <si>
    <t>SUB TOTAL PULP+BROKE</t>
  </si>
  <si>
    <t>PULP TO PAPER RATIO</t>
  </si>
  <si>
    <t>SHIFT</t>
  </si>
  <si>
    <t>ACCEPTED</t>
  </si>
  <si>
    <t>REJECT</t>
  </si>
  <si>
    <t>RMG</t>
  </si>
  <si>
    <t>D.Time</t>
  </si>
  <si>
    <t>POST DT.</t>
  </si>
  <si>
    <t>Reason for Down time</t>
  </si>
  <si>
    <t>Speed Yankee/Reel</t>
  </si>
  <si>
    <t>Today prod</t>
  </si>
  <si>
    <t>Todate prod</t>
  </si>
  <si>
    <t>Grand Total</t>
  </si>
  <si>
    <t>Down Time Min</t>
  </si>
  <si>
    <t>Today (mnt)</t>
  </si>
  <si>
    <t>Todate (mnt)</t>
  </si>
  <si>
    <t>Todate (hrs)</t>
  </si>
  <si>
    <t>REEL PRODUCTION ( Scanner )</t>
  </si>
  <si>
    <t>MT</t>
  </si>
  <si>
    <t>REEL PRODUCTION ( Timbangan )</t>
  </si>
  <si>
    <t>AVG - REEL PRODUCTION ACCEPTED ( Scanner )</t>
  </si>
  <si>
    <t>Mechanical</t>
  </si>
  <si>
    <t>FINISHED PRODUCTION</t>
  </si>
  <si>
    <t>Electrical</t>
  </si>
  <si>
    <t>AVG FINISHED PRODUCTION</t>
  </si>
  <si>
    <t>AVG SPEED YANKEE/REEL</t>
  </si>
  <si>
    <t>Meter/Min</t>
  </si>
  <si>
    <t>Water</t>
  </si>
  <si>
    <t xml:space="preserve">Steam consumption </t>
  </si>
  <si>
    <t xml:space="preserve">Steam per ton paper Reel </t>
  </si>
  <si>
    <t>Steam per ton paper Accepted PHP</t>
  </si>
  <si>
    <t>Gas</t>
  </si>
  <si>
    <t>Power consumption</t>
  </si>
  <si>
    <t>KW</t>
  </si>
  <si>
    <t>Power Plant</t>
  </si>
  <si>
    <t xml:space="preserve">Power per tonpaper Reel </t>
  </si>
  <si>
    <t xml:space="preserve">Power per tonpaper Accepted PHP </t>
  </si>
  <si>
    <t>M3</t>
  </si>
  <si>
    <t xml:space="preserve">Gas ConsumptionHood per ton paper </t>
  </si>
  <si>
    <t>Planned shut</t>
  </si>
  <si>
    <t>Gas Hood per ton paper Accepted PHP</t>
  </si>
  <si>
    <t>Remarks :</t>
  </si>
  <si>
    <t>Reject =</t>
  </si>
  <si>
    <t>RMG =</t>
  </si>
  <si>
    <t>TOTAL LBKP</t>
  </si>
  <si>
    <t>TOTAL EBKP</t>
  </si>
  <si>
    <t>Colour</t>
  </si>
  <si>
    <t>gsm</t>
  </si>
  <si>
    <t>Ply</t>
  </si>
  <si>
    <t>Standard</t>
  </si>
  <si>
    <t>Real Running</t>
  </si>
  <si>
    <t>Trim Rewinder (cm)</t>
  </si>
  <si>
    <t>Available Time (mnt)</t>
  </si>
  <si>
    <t>Down Time (mnt)</t>
  </si>
  <si>
    <t>Loss Time (mnt)</t>
  </si>
  <si>
    <t>Teori (ton) with Available Time</t>
  </si>
  <si>
    <t>Real Eff dr Target Eff</t>
  </si>
  <si>
    <t>Reject Rewinder (ton)</t>
  </si>
  <si>
    <t>Unschedule Shut Down (mnt)</t>
  </si>
  <si>
    <t>Schedule Shut Down</t>
  </si>
  <si>
    <t>Total Down Time</t>
  </si>
  <si>
    <t>Freq. Sheets Break (X)</t>
  </si>
  <si>
    <t>Freq. Change Blade (X)</t>
  </si>
  <si>
    <t>Trim Rewinder x Running Time</t>
  </si>
  <si>
    <t>Down Time Produksi</t>
  </si>
  <si>
    <t>Electrical &amp; Instrument</t>
  </si>
  <si>
    <t>Total Unschedule Shut Down</t>
  </si>
  <si>
    <t xml:space="preserve"> Yankee Speed (mpm)</t>
  </si>
  <si>
    <t>Max % Creeping</t>
  </si>
  <si>
    <t>Target Eff</t>
  </si>
  <si>
    <t xml:space="preserve">Kapasitas PM-Teori (ton) </t>
  </si>
  <si>
    <t>Yankee Speed (mpm)</t>
  </si>
  <si>
    <t>Popereel Speed (mpm)</t>
  </si>
  <si>
    <t>% Creeping</t>
  </si>
  <si>
    <t>Eff Prod dihitung dari real speed &amp; dipotong down time &amp; loss time =</t>
  </si>
  <si>
    <t>Tgl</t>
  </si>
  <si>
    <t>Kombinasi Pot.</t>
  </si>
  <si>
    <t>Lebar Trim</t>
  </si>
  <si>
    <t>Jml Turunan</t>
  </si>
  <si>
    <t>Lebar x Turunan</t>
  </si>
  <si>
    <t>Rata-rata</t>
  </si>
  <si>
    <t>Downtime/ Losstime</t>
  </si>
  <si>
    <t>Reason of Downtime / Losstime</t>
  </si>
  <si>
    <t>Loss Time</t>
  </si>
  <si>
    <t>Total Losstime</t>
  </si>
  <si>
    <t>EXT FACTOR</t>
  </si>
  <si>
    <t>Proses</t>
  </si>
  <si>
    <t>Electric &amp; Instrument</t>
  </si>
  <si>
    <t>DOWN TIME</t>
  </si>
  <si>
    <t>Pemakaian</t>
  </si>
  <si>
    <t>Selisih</t>
  </si>
  <si>
    <t>Qty</t>
  </si>
  <si>
    <t>Note:</t>
  </si>
  <si>
    <t xml:space="preserve">- Pemakaian </t>
  </si>
  <si>
    <t>- Budget</t>
  </si>
  <si>
    <t xml:space="preserve">- Selisih </t>
  </si>
  <si>
    <t>= Hasil pengurangan dari pemakaian dengan target ( + = under budget, (-) = over budget)</t>
  </si>
  <si>
    <t>Today RMG</t>
  </si>
  <si>
    <t>PHP</t>
  </si>
  <si>
    <t>Accepted (ton)</t>
  </si>
  <si>
    <t>= Target pemakaian chemical per off rewinder sesuai dengan Budget Chemical 2012</t>
  </si>
  <si>
    <t>= Pemakaian daily tiap chemical PM 11</t>
  </si>
  <si>
    <t>Reject Rewinder</t>
  </si>
  <si>
    <t>Loss speed</t>
  </si>
  <si>
    <t>Reject masuk broke plant</t>
  </si>
  <si>
    <t>Down time proses</t>
  </si>
  <si>
    <t>Down time electric</t>
  </si>
  <si>
    <t>Real Speed &amp; Real Creepe Ratio setelah dipotong DT &amp; LT (ton)</t>
  </si>
  <si>
    <t>Real Speed &amp; Real Creepe Ratio with Available Time (ton)</t>
  </si>
  <si>
    <t>Loss tonase akibat  DT + LT dari hitungan Teori with available time (ton)</t>
  </si>
  <si>
    <t>Estimasi Reject to Broke Plant (ton)</t>
  </si>
  <si>
    <t>Loss time mekanik</t>
  </si>
  <si>
    <t>Loss time boiler</t>
  </si>
  <si>
    <t>Loss time electric</t>
  </si>
  <si>
    <t>Down time boiler</t>
  </si>
  <si>
    <t>Down time mekanik</t>
  </si>
  <si>
    <t>PLN &amp; efek PLN</t>
  </si>
  <si>
    <t>Scd. Shut down</t>
  </si>
  <si>
    <t>(-) = estimasi over BW</t>
  </si>
  <si>
    <t>Loss Opportunity in Speed (ton)</t>
  </si>
  <si>
    <t xml:space="preserve">Estimasi Faktor BW </t>
  </si>
  <si>
    <t>Estimasi Faktor BW (ton)</t>
  </si>
  <si>
    <t>Per long shift =</t>
  </si>
  <si>
    <t>MIN TARGET</t>
  </si>
  <si>
    <t>Off Reel</t>
  </si>
  <si>
    <t>Off Rewinder</t>
  </si>
  <si>
    <t>LBKP RAPP ACACIA XP</t>
  </si>
  <si>
    <t>Real Eff PM ( % )</t>
  </si>
  <si>
    <t>Creep ( % )</t>
  </si>
  <si>
    <t>Real Eff PM vs Target (%)</t>
  </si>
  <si>
    <t>Real Eff FG vs Real Eff PM (%)</t>
  </si>
  <si>
    <t>Speed yankee (mpm)</t>
  </si>
  <si>
    <t>Speed reel (mpm)</t>
  </si>
  <si>
    <t xml:space="preserve">Kapasitas Target (ton) </t>
  </si>
  <si>
    <t>Eff FG vs Target (%)</t>
  </si>
  <si>
    <t xml:space="preserve">Kapasitas Teori Real (ton) </t>
  </si>
  <si>
    <t>Speed real (ton) with Available Time</t>
  </si>
  <si>
    <t>TISSUE MACHINE 14</t>
  </si>
  <si>
    <t>PAPER MACHINE 14 DAILY REPORT 1</t>
  </si>
  <si>
    <t>Total PM14</t>
  </si>
  <si>
    <t>PM 14</t>
  </si>
  <si>
    <t xml:space="preserve">PM14 Efficiency Report </t>
  </si>
  <si>
    <t>trim</t>
  </si>
  <si>
    <t>Eff</t>
  </si>
  <si>
    <t>yankee</t>
  </si>
  <si>
    <t>reel</t>
  </si>
  <si>
    <t>creeping</t>
  </si>
  <si>
    <t>time</t>
  </si>
  <si>
    <t>Teori</t>
  </si>
  <si>
    <t>Accept</t>
  </si>
  <si>
    <t>Baklog</t>
  </si>
  <si>
    <t>Sisa spool popereel</t>
  </si>
  <si>
    <t xml:space="preserve">Sisa Spool seset </t>
  </si>
  <si>
    <t>Pending</t>
  </si>
  <si>
    <t>Ngelokor</t>
  </si>
  <si>
    <t>Keriput</t>
  </si>
  <si>
    <t>Start up</t>
  </si>
  <si>
    <t>Potongan jelek</t>
  </si>
  <si>
    <t>Hole</t>
  </si>
  <si>
    <t>Trim</t>
  </si>
  <si>
    <t>Kertas sobek pinggir</t>
  </si>
  <si>
    <t>Joint</t>
  </si>
  <si>
    <t>Formasi jelek</t>
  </si>
  <si>
    <t>Lembab</t>
  </si>
  <si>
    <t>Diameter &lt; std</t>
  </si>
  <si>
    <t>Gelembung</t>
  </si>
  <si>
    <t>soping</t>
  </si>
  <si>
    <t>Bw &lt; std</t>
  </si>
  <si>
    <t>crushing</t>
  </si>
  <si>
    <t>White spot</t>
  </si>
  <si>
    <t>Thickness &lt; std</t>
  </si>
  <si>
    <t>Bulky &lt; std</t>
  </si>
  <si>
    <t>Bw &gt; std</t>
  </si>
  <si>
    <t>Kertas melipat</t>
  </si>
  <si>
    <t>Sisa Spool rewinder</t>
  </si>
  <si>
    <t>Change Grade</t>
  </si>
  <si>
    <t>Loss time sheet break</t>
  </si>
  <si>
    <t>Loss time change blade</t>
  </si>
  <si>
    <t>Loss time change grade</t>
  </si>
  <si>
    <t>NGR 900</t>
  </si>
  <si>
    <t>total</t>
  </si>
  <si>
    <t>LBKP CAKRAWALA</t>
  </si>
  <si>
    <t>-</t>
  </si>
  <si>
    <t>Category</t>
  </si>
  <si>
    <t>Problem Category</t>
  </si>
  <si>
    <t>Detailed Problem</t>
  </si>
  <si>
    <t>LT/DT in Mins</t>
  </si>
  <si>
    <t>LT/DT in Ton</t>
  </si>
  <si>
    <t>Percentage LT/DT</t>
  </si>
  <si>
    <t>Total Percentage</t>
  </si>
  <si>
    <t>Actual Percentage</t>
  </si>
  <si>
    <t>X-Factor</t>
  </si>
  <si>
    <t>Down Time Marketing</t>
  </si>
  <si>
    <t>Estimasi RBP &amp; Backlog</t>
  </si>
  <si>
    <t>Reject Broke Plant</t>
  </si>
  <si>
    <t>Basic Weight Estimation</t>
  </si>
  <si>
    <t>Loss Speed</t>
  </si>
  <si>
    <t>Down Time Process</t>
  </si>
  <si>
    <t>Loss Time Change Grade</t>
  </si>
  <si>
    <t>Loss Time Process</t>
  </si>
  <si>
    <t>Change Blade</t>
  </si>
  <si>
    <t>Change Spool</t>
  </si>
  <si>
    <t>Sheet Breaks</t>
  </si>
  <si>
    <t>Maintenance</t>
  </si>
  <si>
    <t>Down Time EID</t>
  </si>
  <si>
    <t>Down Time Mekanik</t>
  </si>
  <si>
    <t>Loss Time EID</t>
  </si>
  <si>
    <t>Loss Time Mekanik</t>
  </si>
  <si>
    <t>Scheduled Shut Down</t>
  </si>
  <si>
    <t>Tonase</t>
  </si>
  <si>
    <t>Prosentase</t>
  </si>
  <si>
    <t>Downtime / Losstime</t>
  </si>
  <si>
    <t>Klasifikasi Detail</t>
  </si>
  <si>
    <t>Klasifikasi Awal</t>
  </si>
  <si>
    <t>Jenis Reject</t>
  </si>
  <si>
    <t>Reject in Ton</t>
  </si>
  <si>
    <t>Reject Percentage</t>
  </si>
  <si>
    <t>Estimasi Basic Weight</t>
  </si>
  <si>
    <t>Theory with Available Time (ton)</t>
  </si>
  <si>
    <t>Total LT/DT (mins)</t>
  </si>
  <si>
    <t>Total LT/DT (ton)</t>
  </si>
  <si>
    <t>LT/DT Percentage</t>
  </si>
  <si>
    <t>PM 14 Summary</t>
  </si>
  <si>
    <t>Gas ConsumptionHood PM 14</t>
  </si>
  <si>
    <t>Gas ConsumptionHood PM14</t>
  </si>
  <si>
    <t>Gas based on report DCS</t>
  </si>
  <si>
    <t>Flowmeter</t>
  </si>
  <si>
    <t>% pengali</t>
  </si>
  <si>
    <t>Adjust</t>
  </si>
  <si>
    <t>PGN</t>
  </si>
  <si>
    <t>Total Prosentase</t>
  </si>
  <si>
    <t>creeping mark</t>
  </si>
  <si>
    <t>Warisan</t>
  </si>
  <si>
    <t>Dirt</t>
  </si>
  <si>
    <t>kertas lembab</t>
  </si>
  <si>
    <t>Seset Change Grade</t>
  </si>
  <si>
    <t>potongan lari lari</t>
  </si>
  <si>
    <t>Potongan serabut</t>
  </si>
  <si>
    <t>UNKNOWN</t>
  </si>
  <si>
    <t>Sinergy</t>
  </si>
  <si>
    <t>MDT rendah</t>
  </si>
  <si>
    <t>PEMAKAIAN GAS</t>
  </si>
  <si>
    <t>PULP AND BROKE DAILY REPORT PM 14</t>
  </si>
  <si>
    <t>CHEMICAL DAILY REPORT PM 14</t>
  </si>
  <si>
    <t>Marketing</t>
  </si>
  <si>
    <t>Loss time</t>
  </si>
  <si>
    <t>Down Time</t>
  </si>
  <si>
    <t>SINERGY</t>
  </si>
  <si>
    <t>Backlog</t>
  </si>
  <si>
    <t>sheet break</t>
  </si>
  <si>
    <t>change blade</t>
  </si>
  <si>
    <t>change spool</t>
  </si>
  <si>
    <t>awal bulan produksi MG mengikuti real speed karea usia felt sudah 7minggu</t>
  </si>
  <si>
    <t>NB : info pak hartono untuk napkin + towel speed 1600mpm, gsm tinggi 92ton(&gt;17)</t>
  </si>
  <si>
    <t>Loss time change spool</t>
  </si>
  <si>
    <t>Loss Time Marketing</t>
  </si>
  <si>
    <t>VP OW</t>
  </si>
  <si>
    <t>Trafo (2500 A)</t>
  </si>
  <si>
    <t>Trafo (2500 B)</t>
  </si>
  <si>
    <t>Kehilangan Effisiensi PM 14 terdiri dari:</t>
  </si>
  <si>
    <t>MANAGEMENT</t>
  </si>
  <si>
    <t>Down Time Sinergy</t>
  </si>
  <si>
    <t>Loss Time Sinergy</t>
  </si>
  <si>
    <t>Paper Mill's Chemicals</t>
  </si>
  <si>
    <t>Deinking's Chemicals</t>
  </si>
  <si>
    <t>Paper mill's Chemicals</t>
  </si>
  <si>
    <t>AMIBOND DS 947</t>
  </si>
  <si>
    <t>AMIBOND WS 418</t>
  </si>
  <si>
    <t>WSR RESIN P-5500</t>
  </si>
  <si>
    <t>AMICIDE BX 9127</t>
  </si>
  <si>
    <t>AMICIDE BX 9160</t>
  </si>
  <si>
    <t>AMICIDE BX 9193</t>
  </si>
  <si>
    <t>AMICIDE BX 9226</t>
  </si>
  <si>
    <t>AMICIDE BX 9347</t>
  </si>
  <si>
    <t>AMICLEAN AP 1797</t>
  </si>
  <si>
    <t>AMICLEAN AP 1817</t>
  </si>
  <si>
    <t>AMICLEAN AP 2048</t>
  </si>
  <si>
    <t>AMICOAT TC 6101</t>
  </si>
  <si>
    <t>AMICOAT TC 6218</t>
  </si>
  <si>
    <t>AMICOAT TC 6407</t>
  </si>
  <si>
    <t>AMICOAT TM 6123</t>
  </si>
  <si>
    <t>AMICOAT TR 6112</t>
  </si>
  <si>
    <t>AMICOAT TR 6113</t>
  </si>
  <si>
    <t>AMICOAT TR 6159</t>
  </si>
  <si>
    <t>AMICOAT TR 6248</t>
  </si>
  <si>
    <t>AMIFLOC 737</t>
  </si>
  <si>
    <t>AMIPAC AP 8511</t>
  </si>
  <si>
    <t>AMISOFT 6538</t>
  </si>
  <si>
    <t>AMISPERSE AP 8826</t>
  </si>
  <si>
    <t>ANEDIR BLUE 2R LIQ</t>
  </si>
  <si>
    <t>CAUSTIC SODA CAIR 48%</t>
  </si>
  <si>
    <t>DEKATOGEN SDC-60</t>
  </si>
  <si>
    <t>FENNOPOL K 9952</t>
  </si>
  <si>
    <t>HIDROGEN PEROXIDE</t>
  </si>
  <si>
    <t>INDOSIZE CR 835</t>
  </si>
  <si>
    <t>KAPORIT 60%</t>
  </si>
  <si>
    <t>KAPORIT 65%</t>
  </si>
  <si>
    <t>NGR MULTIPAC 120</t>
  </si>
  <si>
    <t>PAC - 280SP</t>
  </si>
  <si>
    <t>PAPYRASE LIL</t>
  </si>
  <si>
    <t>PERGASOL VIOLET BN LIQ</t>
  </si>
  <si>
    <t>PEWARNA MAKANAN PINK</t>
  </si>
  <si>
    <t>SODIUM TIO SULPHATE</t>
  </si>
  <si>
    <t>SOLSA SPRAY 550</t>
  </si>
  <si>
    <t>SUCOLITE SP 210</t>
  </si>
  <si>
    <t>TCCA POWDER</t>
  </si>
  <si>
    <t>XYLENE</t>
  </si>
  <si>
    <t>PAPYRASE IL</t>
  </si>
  <si>
    <t>DEKAINK</t>
  </si>
  <si>
    <t>DI 370/DKF 250</t>
  </si>
  <si>
    <t>ELTEXIN</t>
  </si>
  <si>
    <t>ELTEBRIGHT BL 1000</t>
  </si>
  <si>
    <t>SOLMIX  L40</t>
  </si>
  <si>
    <t>CHEMBRIGHT C LIQUID</t>
  </si>
  <si>
    <t>K-Bright Liquid</t>
  </si>
  <si>
    <t>NGR 200</t>
  </si>
  <si>
    <t>ANEDIR YELLOW BKL</t>
  </si>
  <si>
    <t>ANEDIR RED BKL</t>
  </si>
  <si>
    <t>ANEDIR BLACK L LIQ</t>
  </si>
  <si>
    <t>ANEDIR BROWN CC-04 LIQ</t>
  </si>
  <si>
    <t>Anedir Brown cc-03</t>
  </si>
  <si>
    <t>DEKAWET NA30</t>
  </si>
  <si>
    <t>Burstrong Fixing Agent</t>
  </si>
  <si>
    <t>DI N40</t>
  </si>
  <si>
    <t>CHROMACLEAR</t>
  </si>
  <si>
    <t>Price</t>
  </si>
  <si>
    <t>Running</t>
  </si>
  <si>
    <t>PM 14 Running Time</t>
  </si>
  <si>
    <t>Down Time PLN</t>
  </si>
  <si>
    <t xml:space="preserve">Kapasitas Running (ton) </t>
  </si>
  <si>
    <t>Eff FG vs Target  Running(%)</t>
  </si>
  <si>
    <t>SCA</t>
  </si>
  <si>
    <t>Sample QC</t>
  </si>
  <si>
    <t>Change Grade/Cleaning</t>
  </si>
  <si>
    <t>TEL PELITA</t>
  </si>
  <si>
    <t>EPOSTRONG</t>
  </si>
  <si>
    <t>DFR 810S</t>
  </si>
  <si>
    <t>0</t>
  </si>
  <si>
    <t>- Sheet Breaks (0x)</t>
  </si>
  <si>
    <t>- Change Spool (8x)</t>
  </si>
  <si>
    <t>- Change Blade (5x)</t>
  </si>
  <si>
    <t>F 12 VP OW</t>
  </si>
  <si>
    <t>SUZANO</t>
  </si>
  <si>
    <t>SS</t>
  </si>
  <si>
    <t>PHP PM</t>
  </si>
  <si>
    <t>Steam, &amp; gangguan sinergy (X)</t>
  </si>
  <si>
    <t>Freq, Trip PLN (X)</t>
  </si>
  <si>
    <t>Cleaning Holes (X)</t>
  </si>
  <si>
    <t>Per hari</t>
  </si>
  <si>
    <t>- Sheet Breaks (3x)</t>
  </si>
  <si>
    <t>.07.25</t>
  </si>
  <si>
    <t>- Awal Shift PM Produksi 15:00 Awal shift pm stop, pessure steam boiler drop/off
- drain dan cleaning couchpit tank
- cek wire
- yankee stop , EID cek karbon brush motor yankee
- nunggu info boiler
15:56 pressure steam mulai naik , pm persiapan jalan , turbo vacuum belum ready , di dcs on , di lapangan off cek EID
16:26 turbo vacuum oke, pm start up 16:28 onreel, produksi T12,5
Speed 1100mpm /-23%</t>
  </si>
  <si>
    <t>17:11 Speed up sampai 1220mpm
20:44 Wsr on 200ml/mnt
20:54 Change gride F13
           Speed 1210mpm/-23%</t>
  </si>
  <si>
    <t>- Awal Shift PM Produksi F 13
Speed  1210/23%</t>
  </si>
  <si>
    <t xml:space="preserve">- Awal Shift PM Produksi T12,5
Speed 1230 mpm / 23%  </t>
  </si>
  <si>
    <t>09:50 steam boiler drop 11 bar (speed turun 1170 mpm)
10:52 steam mulai normal (speed up perlahan)
12:20 steam boiler drop 10 bar (speed turun 1000 mpm)
12:40 steam mulai normal (speed up perlahan)
14:00 PM stop (steam boiler off)</t>
  </si>
  <si>
    <t>T 12,5</t>
  </si>
  <si>
    <t>STOP</t>
  </si>
  <si>
    <t>1165,71/897,6</t>
  </si>
  <si>
    <t>F 13</t>
  </si>
  <si>
    <t>1203,1/926,384</t>
  </si>
  <si>
    <t>1230/947,1</t>
  </si>
  <si>
    <t>1200,94/924,73</t>
  </si>
  <si>
    <t>- Change Blade (0x)</t>
  </si>
  <si>
    <t>- Change Spool (11x)</t>
  </si>
  <si>
    <t>Toilet/Facial</t>
  </si>
  <si>
    <t>12,5/13</t>
  </si>
  <si>
    <t>Toilet</t>
  </si>
  <si>
    <t>- Sheet Breaks (6x)</t>
  </si>
  <si>
    <t>- Change Spool (27x)</t>
  </si>
  <si>
    <t>- 14:00 PM stop (steam boiler off)</t>
  </si>
  <si>
    <t>- Steam drop</t>
  </si>
  <si>
    <t>NBKP CANFOR</t>
  </si>
  <si>
    <t>CAKRAWALA</t>
  </si>
  <si>
    <t>257*1</t>
  </si>
  <si>
    <t>68*3+47,5</t>
  </si>
  <si>
    <t>Ariko P</t>
  </si>
  <si>
    <t>Agus K</t>
  </si>
  <si>
    <t>Erwin R</t>
  </si>
  <si>
    <t>T 12,5 VP OW</t>
  </si>
  <si>
    <t>F 13 VP OW</t>
  </si>
  <si>
    <t>Sisa</t>
  </si>
  <si>
    <t>Keluar</t>
  </si>
  <si>
    <t>SODIUM HYPOCHLORID</t>
  </si>
  <si>
    <t>CHEMZYME CL</t>
  </si>
  <si>
    <t>Detac DC779F</t>
  </si>
  <si>
    <t xml:space="preserve">- Awal Shift PM Produksi F13 Speed 1230 mpm / 23%  </t>
  </si>
  <si>
    <t>11:25 steam boiler drop
11:40 PM stop steam off
- cleaning area pm
- drain couch pit
12:10 steam mulai masuk
12:40 PM start up
13:05 PM onreel produksi F13 speed 1100 mpm (speed naik perlahan)
14:25 speed capai target
14:50 PM stop change power to synergi</t>
  </si>
  <si>
    <t xml:space="preserve">- Awal Shift PM Produksi F 13
Speed 1230/-23% </t>
  </si>
  <si>
    <t>Awal shift pm stop change power. 
15:15 power on
15:27 pm start up
15:42 pm on reel SU F 13 speed 1100 / 23%
Pm naik speed perlahan
16:10 pm speed 1230/-23%
#steam drop 3x</t>
  </si>
  <si>
    <t>- Awal Shift PM Produksi F 13 Speed 1230/23%</t>
  </si>
  <si>
    <t>04:12 change grade F 12</t>
  </si>
  <si>
    <t>F 12</t>
  </si>
  <si>
    <t>1194,55/919,8</t>
  </si>
  <si>
    <t>1221,69/940,7</t>
  </si>
  <si>
    <t>1216,73/936,88</t>
  </si>
  <si>
    <t>- Change Spool (7x)</t>
  </si>
  <si>
    <t>- Change Spool (10x)</t>
  </si>
  <si>
    <t>13/12</t>
  </si>
  <si>
    <t>- Change Spool (28x)</t>
  </si>
  <si>
    <t>Hadi F</t>
  </si>
  <si>
    <t>120+126</t>
  </si>
  <si>
    <t>- 11:40 PM stop steam off</t>
  </si>
  <si>
    <t>- Awal Shift PM Produksi  F 12 Speed 1230/23%</t>
  </si>
  <si>
    <t xml:space="preserve">- Awal Shift PM Produksi  F12 Speed 1230 mpm / 23%  </t>
  </si>
  <si>
    <t>07:20 steam boiler drop
10:20 steam boiler drop
10:54 Valve condensat to boiler error, drain flash tank
11:50 steam boiler drop
12:30 steam boiler drop
13:40 steam boiler drop</t>
  </si>
  <si>
    <t xml:space="preserve">- Awal Shift PM Produksi  F 12
Speed 1230/-23% </t>
  </si>
  <si>
    <t>1230/947</t>
  </si>
  <si>
    <t>- Change Spool (9x)</t>
  </si>
  <si>
    <t>- Sheet Breaks (5x)</t>
  </si>
  <si>
    <t>12</t>
  </si>
  <si>
    <t>- Change Spool (29x)</t>
  </si>
  <si>
    <t>133*2</t>
  </si>
  <si>
    <t>126+140</t>
  </si>
  <si>
    <t>- Change Blade (4x)</t>
  </si>
  <si>
    <t>- Change Blade (9x)</t>
  </si>
  <si>
    <t>- Awal Shift PM Produksi  F13
Speed target 1230mpm /-23%
Speed aktual 1200mpm/-23%</t>
  </si>
  <si>
    <t xml:space="preserve">- Awal Shift PM Produksi   F 13 Speed 1230/-23% </t>
  </si>
  <si>
    <t xml:space="preserve">- Awal Shift PM Produksi   F13 Speed 1230 mpm / 23%  </t>
  </si>
  <si>
    <t xml:space="preserve">- Tiap ganti blade muncul hole garis DS, length +- 2000 hole hilang
06:13 change kertas putus putus hole garis, steam boiler hunting, (turun kan temperatur, hole </t>
  </si>
  <si>
    <t xml:space="preserve">- Awal Shift PM Produksi F 12,5 Speed 1230/-23% </t>
  </si>
  <si>
    <t>19:40 change grade F13 speed 1200/-22%</t>
  </si>
  <si>
    <t>- Awal Shift PM Produksi   F12
Speed 1230mpm/-23%</t>
  </si>
  <si>
    <t>Pm
10:15 Change grade F12,5
           Speed 1230mpm/-23%</t>
  </si>
  <si>
    <t>F 12,5</t>
  </si>
  <si>
    <t>- Sheet Breaks (4x)</t>
  </si>
  <si>
    <t>- Sheet Breaks (8x)</t>
  </si>
  <si>
    <t>12/12,5/13</t>
  </si>
  <si>
    <t>13</t>
  </si>
  <si>
    <t>- Sheet Breaks (15x)</t>
  </si>
  <si>
    <t>129*2</t>
  </si>
  <si>
    <t>72*3+47.5</t>
  </si>
  <si>
    <t>F 12,5 VP OW</t>
  </si>
  <si>
    <t>- Awal Shift PM Produksi  F 13 12"
Speed 1230/-23% 
Actually speed 1200. Losst speed 30mpm 2%</t>
  </si>
  <si>
    <t>Awal shift hood dry off. Repair med (ducting ada bocor) dan eid
15:10 hood dry on. Pm naik speed perlahan sampai 1200 mpm</t>
  </si>
  <si>
    <t>1164,98/897,034</t>
  </si>
  <si>
    <t>1195,83/920,792</t>
  </si>
  <si>
    <t>T 13</t>
  </si>
  <si>
    <t>11:53 Speed down 910mpm , area fan circulation hood dry ada bara api , motor burner dry off, proses pemadaman dg apar.
11:55 Change grade T13
12:58 Burner hood oke , Speed up perlahan sampai 1180mpm
13:47 Buner hood dry off lagi , masih ada bara api dibawah motor sirkulasi fan hood, Speed down 1000mpm dan water trim on gulung offreel deckle 256.5 cm.
Akhir shift msh speed 1000mpm.</t>
  </si>
  <si>
    <t>- Awal Shift PM Produksi T13
Speed 1230/-23% 
Actually speed 1200. Losst speed 30mpm 2%
Kap PM : 15159 kg</t>
  </si>
  <si>
    <t xml:space="preserve">- Awal Shift PM Produksi T13 Speed 1230 mpm / 23%  </t>
  </si>
  <si>
    <t>1196,94/921,64</t>
  </si>
  <si>
    <t>- Change Spool (12x)</t>
  </si>
  <si>
    <t>- Sheet Breaks (10x)</t>
  </si>
  <si>
    <t>Facial/Toilet</t>
  </si>
  <si>
    <t>13/13</t>
  </si>
  <si>
    <t>- Sheet Breaks (18x)</t>
  </si>
  <si>
    <t>- Change Spool (30x)</t>
  </si>
  <si>
    <t>256,5*1</t>
  </si>
  <si>
    <t>T 13 VP OW</t>
  </si>
  <si>
    <t>03:24 steam drop
04:00 steam drop
05:32 steam drop
06:49 steam drop</t>
  </si>
  <si>
    <t xml:space="preserve">- Awal Shift PM Produksi  T13 Speed 1230 mpm / 20%  </t>
  </si>
  <si>
    <t>07:24 jumbo roll turun deckle 258cm , target orderan 256,5 cm +- 1cm
- adjust water trim cutter dan geser wire
- seset dipopereel +-500kg untuk ukur/setting deckle
08:41 mulai gulung , sering putus dan nyelilit bagian Ts
- setting temperatur hood
- geser wire
10:17 pm mulai lancar</t>
  </si>
  <si>
    <t>- Awal Shift PM Produksi  T13
Speed target 1230 mpm/-20%
Speed aktual 1200mpm/-20%
Lost speed 30mpm(2,4%)</t>
  </si>
  <si>
    <t>1200/960</t>
  </si>
  <si>
    <t xml:space="preserve">- Awal Shift PM Produksi T13 Speed 1230 mpm / 20%  </t>
  </si>
  <si>
    <t>1230/984</t>
  </si>
  <si>
    <t>1220/976</t>
  </si>
  <si>
    <t>- Change Blade (6x)</t>
  </si>
  <si>
    <t>- Sheet Breaks (13x)</t>
  </si>
  <si>
    <t>- Awal Shift PM Produksi T13
Speed target 1230mpm/-20%
Speed aktual 1200mpm/-20%</t>
  </si>
  <si>
    <t>- Awal Shift PM Produksi  T 13 ( off reel )
Speed target 1230/20%
Speed aktual 1200/20%</t>
  </si>
  <si>
    <t xml:space="preserve">- Awal Shift PM Produksi  T13
Speed 1230 mpm / 20%  </t>
  </si>
  <si>
    <t>23:02 awal shift kertas sering putus putus (cleaning area)
00:17 kertas putus putus setting temp, chemical</t>
  </si>
  <si>
    <t>1200/924</t>
  </si>
  <si>
    <t>1210/931,7</t>
  </si>
  <si>
    <t>- Change Blade (10x)</t>
  </si>
  <si>
    <t>250*1</t>
  </si>
  <si>
    <t>133+114</t>
  </si>
  <si>
    <t>Awal shift valve UTM depan error. Di dcs valve nutup di lapangan masih nyala. Cek Eid
10:57 valve UTM oke
10:00 Crane 8t off, repair preventif vendor
13:00 crane 8t oke</t>
  </si>
  <si>
    <t>- Awal Shift PM Produksi  T 13 ( off reel )
Spèed 1210/23%</t>
  </si>
  <si>
    <t xml:space="preserve">- Awal Shift PM Produksi  T13 Speed 1230 mpm / 23%  </t>
  </si>
  <si>
    <t>23:00 awal shift JR turun hole acak (hPP up 20 bar)
23:11 speed turun 1150 mpm (nyalakan amiclean &amp; sikat felt)
00:03 JR turun hole acak  berkurang
01:01 JR turun hole acak minim
01:11 PM sering putus putus dari FS (setting tempat &amp; damper)
01:02 PM putus putus
- setting temp hood &amp; yankee pm msih sering putus
- pompa release masuk angin (drum release nge gel)
01:27 flow release normal, PM mulai lancar</t>
  </si>
  <si>
    <t>- Awal Shift PM Produksi  T 13
Speed 1230/-23% 
Actually speed 1200. Losst speed 30mpm 2%</t>
  </si>
  <si>
    <t>1151,38/886,559</t>
  </si>
  <si>
    <t>1187,13/926,09</t>
  </si>
  <si>
    <t>- Change Blade (8x)</t>
  </si>
  <si>
    <t>- Awal Shift PM Produksi  T 13 ( off reel ) Speed 1200 /23%</t>
  </si>
  <si>
    <t>- 15:17 kertas geser stop pop reel seset ( indikasi wire geser )</t>
  </si>
  <si>
    <t>- Awal Shift PM Produksi  T 13
Speed 1230/-23% 
Actually speed 1150. Losst speed 80mpm 7%</t>
  </si>
  <si>
    <t>Awal shift speed 1150 kertas pin hole jarum 
8:30 pm naik speed 20mpm
Turunkan Hpp 10 bar, pihole membaik
10:33 pm naik speed 10mpm, felt di kocor air
11:20 kertas muncul hole bagian ds. Matikan air utk kocor felt, kertas ok</t>
  </si>
  <si>
    <t>1200,6/924,47</t>
  </si>
  <si>
    <t>1171,81/902,296</t>
  </si>
  <si>
    <t>- Sheet Breaks (28x)</t>
  </si>
  <si>
    <t>- Awal Shift PM Produksi  T 13 ( off reel )
Speed 1200/23%</t>
  </si>
  <si>
    <t>- Awal Shift PM Produksi  T13 offreel
Speed target 1230mpm /-21%
Speed aktual 1200mpm/-21%
Lost Speed 30mpm(2,4%)</t>
  </si>
  <si>
    <t>awal shift temperatur hod drop ( tim EID ganti relay open close) 
15:03 seting potongan trim felt 
15:21 potongan trim sesuai deckle
15:26 temperatu hod wed mulai normal</t>
  </si>
  <si>
    <t>Planned Shut</t>
  </si>
  <si>
    <t>00:50 Change gride F11,5
            Speed 1220mpm/-23%
05:07 pm stop , ganti felt
- drin couch pit tank 
- drin silo tank
- drin bak coating release
- flushing jalur all buburan
- potong felt lama
- buka breast roll
- cleaning area pm
- cek permukaan yankee dan amplas yankee</t>
  </si>
  <si>
    <t>1200/948</t>
  </si>
  <si>
    <t>1200/932</t>
  </si>
  <si>
    <t>F 11,5</t>
  </si>
  <si>
    <t>1214,005/941,9777</t>
  </si>
  <si>
    <t>1225,58/945,68</t>
  </si>
  <si>
    <t>13/11,5</t>
  </si>
  <si>
    <t>- Ganti Felt</t>
  </si>
  <si>
    <t>F 11,5 VP OW</t>
  </si>
  <si>
    <t>122,5*2</t>
  </si>
  <si>
    <t>Awal shift PM stop revisi dan ganti felt 
# cleaning area &amp; pasang felt ke forming roll
- 8:20 med ganti SPR 
- cleaning couchpit, water tray, silo, crofta &amp; isi air selesai
- cleaning area pulper
- ganti shower HPP felt  selesai
- 11:30 med selesai ganti SPR, lanjut pasang felt 
- 15:15 pasang felt selesai</t>
  </si>
  <si>
    <t>- Awal Shift PM Produksi  F12
Speed target 1230mpm /-23%
Speed aktual 900mpm/-23%(felt baru)
Lost Speed 330mpm(26,8%)</t>
  </si>
  <si>
    <t xml:space="preserve">Awal shift speed 900 mpm ,Speed up perlahan sampai 1060mpm
04:44 Burner hood dry mati , motor combustion trip , speed down 900mpm
05:58 Burner hood dry oke , speed up 1060mpm
Nb: 
- jumbo roll masih ada pin hole jarum kecil-kecil
- speed suction press dg forming  roll tidak sesuai setpoint selisih 12 -15 mpm
</t>
  </si>
  <si>
    <t>- Awal shift PM 14 stop ganti felt
15:15 pasang felt selesai
- lanjut amplas yankee
19:40 amplas yankee selesai bagian DS dan lap pakai release, lanjut spray MAP +- 15menit
20:23 spray yankee selesai , lanjut blank run +-1jam
21:26 Blank run selesai , pm start up
21:47 onreel, produksi F12
Speed 850mpm/-23%</t>
  </si>
  <si>
    <t>21:49 jumbo roll turun ada keriput bagian DS 50 cm dr Ds
- setting temperatur hood dan pressure steam
- setting damper hood wet
- setting vacuum zone spr
- speed up 900mpm
22:50 kriput mulai hilang</t>
  </si>
  <si>
    <t>898,63/691,945</t>
  </si>
  <si>
    <t>978/753,06</t>
  </si>
  <si>
    <t>967,52/744,99</t>
  </si>
  <si>
    <t>- Change Spool (0x)</t>
  </si>
  <si>
    <t>- Change Spool (2x)</t>
  </si>
  <si>
    <t>- Change Spool (13x)</t>
  </si>
  <si>
    <t>Steam drop</t>
  </si>
  <si>
    <t>Ganti Felt</t>
  </si>
  <si>
    <t xml:space="preserve">- Awal Shift PM Produksi F12
Speed 1230/23% </t>
  </si>
  <si>
    <t>- Awal Shift PM Produksi F13
Speed target 1230mpm /-23%
Speed aktual 1160mpm/-23%
Lost Speed 70mpm(5,6%)</t>
  </si>
  <si>
    <t>15:00 awal shift jumbo roll gripis bagian Ds
- setting temperatur hood
- setting pressure steam
16:21 gripis mulai hilang
16:54 speed up 1200mpm</t>
  </si>
  <si>
    <t>- Awal Shift PM Produksi  F13
Speed target 1230mpm /-23%
Speed aktual 1200mpm/-23%
Lost Speed 30mpm(2,4%)</t>
  </si>
  <si>
    <t>23:01 speed up 1210mpm
Akhir shift speed 1220 mpm</t>
  </si>
  <si>
    <t>#Awal shift speed 1050 mpm, speed up bertahap, akhir 1160 mpm
08.30 Change Grade F 13
08.52 Combustion Dry Hood trip, speed turun 50 mpm
09.24 hood nyala
09.54 Exhaust Fan Hood trip, trun speed lagi 100 mpm
10.25 ex hood on
Speed up bertahap</t>
  </si>
  <si>
    <t>F13</t>
  </si>
  <si>
    <t>1045,08/804,714</t>
  </si>
  <si>
    <t>1190,5/916,685</t>
  </si>
  <si>
    <t>1205/927,85</t>
  </si>
  <si>
    <t>1146,86/883,08</t>
  </si>
  <si>
    <t>12/13</t>
  </si>
  <si>
    <t>- Sheet Breaks (12x)</t>
  </si>
  <si>
    <t>40*3+45*3</t>
  </si>
  <si>
    <t>128,5*2</t>
  </si>
  <si>
    <t>Hadi F dan Agus K</t>
  </si>
  <si>
    <t>Hadi F &amp; Agus K</t>
  </si>
  <si>
    <t>- Awal Shift PM Produksi  F 13
Speed 1230/23%</t>
  </si>
  <si>
    <t>- Awal Shift PM Produksi   F13
Speed 1230mpm /-23%</t>
  </si>
  <si>
    <t>- Change Spool (32x)</t>
  </si>
  <si>
    <t>Erwin R dan Agus K</t>
  </si>
  <si>
    <t>Refiner kadang lama loadnya....Valve flow outlet dimanual</t>
  </si>
  <si>
    <t xml:space="preserve">- Awal Shift PM Produksi   F 13
Speed 1230/-23% </t>
  </si>
  <si>
    <t>T 15</t>
  </si>
  <si>
    <t>13/15</t>
  </si>
  <si>
    <t>19:30 change grade T15, speed 1180/-23%</t>
  </si>
  <si>
    <t>1208,13/930,256</t>
  </si>
  <si>
    <t xml:space="preserve">- Awal Shift PM Produksi  T 15
Speed 1180/-23% </t>
  </si>
  <si>
    <t>1180/908,6</t>
  </si>
  <si>
    <t>1206,04/928,65</t>
  </si>
  <si>
    <t>- Change Blade (13x)</t>
  </si>
  <si>
    <t>- Change Spool (31x)</t>
  </si>
  <si>
    <t>253*1</t>
  </si>
  <si>
    <t>Erwin R dan Hadi F</t>
  </si>
  <si>
    <t>T 15 VP OW</t>
  </si>
  <si>
    <t xml:space="preserve">- Awal Shift PM Produksi  T 12,5
Speed 1230/-23% </t>
  </si>
  <si>
    <t>- Awal Shift PM Produksi   T12,5
Speed 1230mpm /-23%</t>
  </si>
  <si>
    <t xml:space="preserve">- Awal Shift PM Produksi  T 12,5 Speed 1230/-23% </t>
  </si>
  <si>
    <t xml:space="preserve">- Awal Shift PM Produksi  T 15 Speed 1160/-21% </t>
  </si>
  <si>
    <t>- 20:10 change grade T12,5. Speed 1230/-23%</t>
  </si>
  <si>
    <t>- Awal Shift PM Produksi  T 15
Speed 1160/-23%</t>
  </si>
  <si>
    <t>1160/893,2</t>
  </si>
  <si>
    <t>1184,79/927,273</t>
  </si>
  <si>
    <t>1191,6/922,52</t>
  </si>
  <si>
    <t>15/12,5</t>
  </si>
  <si>
    <t>12,5</t>
  </si>
  <si>
    <t>- Change Blade (12x)</t>
  </si>
  <si>
    <t>- Sheet Breaks (9x)</t>
  </si>
  <si>
    <t>Agus K dan Hadi F</t>
  </si>
  <si>
    <t>11:55 Change grade F11,5 speed 1230/-23
           Speed 1230mpm/-23%</t>
  </si>
  <si>
    <t xml:space="preserve">- Awal Shift PM Produksi  F 11,5
Speed 1230/-23% </t>
  </si>
  <si>
    <t>12,5/11,5</t>
  </si>
  <si>
    <t>140+122,5</t>
  </si>
  <si>
    <t>05:28 presure steam drop 9 bar info boiler 
05:34 pm turun speed 1120 tunggu presure steam stabil
05:54 speed up 1180 
06:10 speed up 1200</t>
  </si>
  <si>
    <t>08:05 amisoft on 8kg
08:30 Change grade F14
           Speed 1180 mpm/-25%
09:35 Speed up 1200mpm
09:41 kertas kriput dan nglokor
- setting temperatur hood
- setting flow Coating release
- ganti blade no.2, 90°
10:57 kertas mulai membaik
12:02 Speed up 1220mpm
- coba ganti ceramic blade
12:30 jumbo roll muncul hole garis bagian DS
- ganti blade allow 
13:01 hole garis hilang
13.40 Jr ACC Idm 00</t>
  </si>
  <si>
    <t>F 14</t>
  </si>
  <si>
    <t>- Awal Shift PM Produksi   F 14 Speed 1230/25%</t>
  </si>
  <si>
    <t>- Awal Shift PM Produksi  F 14 Speed 1230/25%</t>
  </si>
  <si>
    <t>1200,42/904,925</t>
  </si>
  <si>
    <t>1230/922,5</t>
  </si>
  <si>
    <t>1220,63/915,469</t>
  </si>
  <si>
    <t>1217,01/914,3</t>
  </si>
  <si>
    <t>11,5/14</t>
  </si>
  <si>
    <t>- Sheet Breaks (7x)</t>
  </si>
  <si>
    <t>- Change Spool (33x)</t>
  </si>
  <si>
    <t>140+120</t>
  </si>
  <si>
    <t>F 14 VP OW</t>
  </si>
  <si>
    <t>Agus K dan Erwin R</t>
  </si>
  <si>
    <t>- awal shift pm stop EID ganti motor SPR
-cleaning area pm 
-drain couch pit + riject tank ganti air baru
-flashing jalur dump chest ,broke dump, machine chest
- bantu eid bongkar mtr spr</t>
  </si>
  <si>
    <t>- 20:00 pm trip ( motor spr short ) info EID</t>
  </si>
  <si>
    <t>- Change Blade (1x)</t>
  </si>
  <si>
    <t>14</t>
  </si>
  <si>
    <t>- Change Spool (21x)</t>
  </si>
  <si>
    <t>#seset SU 1 330 kg dirt
#seset su 2 300 kg dirt</t>
  </si>
  <si>
    <t>Awal shift pm persiapan jalan,
7:20 vacum on setelah 3x start. Pm start up
7:40 pm on reel SU F14. Speed 1100/-25% gulung  ke bg kertas kurang soft, 
9:05 pm naik speed 1220 mpm, kertas putus2 mdt drop, load rifainer
10:18 pm mulai lancar
Rewind jalan pelan, gulung kertas awal shift banyak joint mdt drop</t>
  </si>
  <si>
    <t>1196,82/897,614</t>
  </si>
  <si>
    <t>1219,57/914,68</t>
  </si>
  <si>
    <t xml:space="preserve">- 7:40 pm on reel SU F14. Speed 1100/-25% gulung  ke bg kertas kurang soft, </t>
  </si>
  <si>
    <t>Hadi F dan Erwin R</t>
  </si>
  <si>
    <t>7:36 ganti blade kertas, muncul hole garis ds
#Pm turun speed 1180 mpm, ganti blade naikan flow Release,  hole hilang
Speed up 1220 mpm
#10:33 ganti blade hole ds muncul lagi, pm turun speed 1200 mpm setting add on coating realease, ganti blde hole hilang
#Counter length sering error, kertas putus length tetap baca, info eid</t>
  </si>
  <si>
    <t>- Awal Shift PM Produksi  F 14 Speed 1200/25%</t>
  </si>
  <si>
    <t>1200/900</t>
  </si>
  <si>
    <t>1208,75/906,56</t>
  </si>
  <si>
    <t>- Change Blade (11x)</t>
  </si>
  <si>
    <t>- Change Blade (27x)</t>
  </si>
  <si>
    <t>EID Ganti motor</t>
  </si>
  <si>
    <t>- Awal Shift PM Produksi  F14
Speed target 1230mpm /-25%
Speed aktual 1210mpm/-25%
Lost speed 20mpm(1,6%)</t>
  </si>
  <si>
    <t>05:56 amisoft off
06:07 Change gride F12
           Speed 1230mpm/-23%
Nb: sensor paper length error , length jalan terus saat kertas putus</t>
  </si>
  <si>
    <t>- Awal Shift PM Produksi  F14
Speed target 1230mpm /-25%
Speed aktual 1200mpm/-25%
Lost speed 30mpm(2,4%)</t>
  </si>
  <si>
    <t>17:40 pulper off , EID ganti contaktor agitator pulper
18:00 EID selesai ganti contaktor agitator pulper
Nb: sensor paper length error , length jalan terus saat kertas putus</t>
  </si>
  <si>
    <t xml:space="preserve">- Awal Shift PM Produksi  F 14 Speed 1230/-25% </t>
  </si>
  <si>
    <t>7:56 ganti blade kertas brosot bagian Ds
8:15 kertas oke
#Counter lenght masih error, tissu putus masih baca terus</t>
  </si>
  <si>
    <t>- counter lenght baca pas kertas putus.</t>
  </si>
  <si>
    <t>- Awal Shift PM Produksi  F 14 Speed target 1230/-25%
Speed actual 1200 mpm
Loss speed 30 mpm/2,4%</t>
  </si>
  <si>
    <t>- Awal Shift PM Produksi    F 14
Speed 1220/-25% 
Actuall speed 1200</t>
  </si>
  <si>
    <t>- 8:00 pm naik speed 20mpm
- 10:00 jumbo turun kertas mulai kurang soft (taruh tengah). Pm turun speed 20mpm
- coba Setting Coating release. 
- 13:11 jumbo turun masih kurang soft (taruh tengah)
- pm turun speed 20mpm
- 14:40 pm naik speed 20mpm</t>
  </si>
  <si>
    <t>1210/961,95</t>
  </si>
  <si>
    <t>1201,29/900,97</t>
  </si>
  <si>
    <t>1203,76/920,97</t>
  </si>
  <si>
    <t>1212,21/911,873</t>
  </si>
  <si>
    <t>1204,07/903,96</t>
  </si>
  <si>
    <t>14/12</t>
  </si>
  <si>
    <t>- Change Blade (18x)</t>
  </si>
  <si>
    <t>- Change Spool (35x)</t>
  </si>
  <si>
    <t>- Sheet Breaks (11x)</t>
  </si>
  <si>
    <t>Agus K &amp; Hadi F</t>
  </si>
  <si>
    <t>255*1</t>
  </si>
  <si>
    <t>- Awal Shift PM Produksi  F 14 Speed 1230/26%</t>
  </si>
  <si>
    <t>- Awal Shift PM Produksi  F 14 Speed 1200/26%</t>
  </si>
  <si>
    <t>1203,75/890,775</t>
  </si>
  <si>
    <t>1200/888</t>
  </si>
  <si>
    <t>1222,5/913,875</t>
  </si>
  <si>
    <t>- Awal Shift PM Produksi F12
Speed 1230mpm /-23%</t>
  </si>
  <si>
    <t>- Awal Shift PM Produksi  F 12/4 ply
Speed 1230/23%</t>
  </si>
  <si>
    <t>- Awal Shift PM Produksi   F12
Speed 1230mpm /-23%</t>
  </si>
  <si>
    <t>- Change Blade (2x)</t>
  </si>
  <si>
    <t>- Change Blade (7x)</t>
  </si>
  <si>
    <t>120+135</t>
  </si>
  <si>
    <t xml:space="preserve">Agus K </t>
  </si>
  <si>
    <t>Erwin R &amp; Agus K</t>
  </si>
  <si>
    <t>- Awal Shift PM Produksi   F13 Speed 1230mpm /-23%</t>
  </si>
  <si>
    <t>- Awal Shift PM Produksi F12 Speed 1230mpm /-23%</t>
  </si>
  <si>
    <t>21:31 Change grade F13
            Speed 1230mpm/-23%</t>
  </si>
  <si>
    <t>47,5+107,5*2</t>
  </si>
  <si>
    <t xml:space="preserve">- Awal Shift PM Produksi  T 13 Speed 1230/-23% </t>
  </si>
  <si>
    <t>5.30 crane 8 ton tdk bisa arah barat saat pasang jumbo, riset ok
06.00 crane 8 ton error lagi, info eid 06.15 ok</t>
  </si>
  <si>
    <t xml:space="preserve">- Awal Shift PM Produksi T 13 Speed 1230/-23% </t>
  </si>
  <si>
    <t>Nb : awal shift keriput bag ds, hole garis saat change blade
19.30 keriput mulai hilang</t>
  </si>
  <si>
    <t>- 09.55 change grade ke T13</t>
  </si>
  <si>
    <t>Erwin R &amp; Hadi F</t>
  </si>
  <si>
    <t>129+140</t>
  </si>
  <si>
    <t>- Awal Shift PM Produksi  T 13 Speed : 1230 mpm/23%</t>
  </si>
  <si>
    <t>- Change Blade (3x)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</si>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</sst>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_(* #,##0_);_(* \(#,##0\);_(* &quot;-&quot;??_);_(@_)"/>
    <numFmt numFmtId="168" formatCode="#,##0.0"/>
    <numFmt numFmtId="169" formatCode="[$-409]d\-mmm;@"/>
    <numFmt numFmtId="170" formatCode="0.0000"/>
    <numFmt numFmtId="171" formatCode="#,##0.000"/>
    <numFmt numFmtId="172" formatCode="_(* #,##0.0_);_(* \(#,##0.0\);_(* &quot;-&quot;??_);_(@_)"/>
    <numFmt numFmtId="173" formatCode="[$-409]d\-mmm\-yy;@"/>
    <numFmt numFmtId="174" formatCode="_(* #,##0.000_);_(* \(#,##0.000\);_(* &quot;-&quot;??_);_(@_)"/>
    <numFmt numFmtId="175" formatCode="#,##0.000_);\(#,##0.000\)"/>
    <numFmt numFmtId="176" formatCode="0.0"/>
    <numFmt numFmtId="177" formatCode="0_);[Red]\(0\)"/>
    <numFmt numFmtId="178" formatCode="_(* #,##0.00_);_(* \(#,##0.00\);_(* &quot;-&quot;_);_(@_)"/>
    <numFmt numFmtId="179" formatCode="[$-409]mmm\-yy;@"/>
    <numFmt numFmtId="180" formatCode="_(* #,##0.000_);_(* \(#,##0.000\);_(* &quot;-&quot;_);_(@_)"/>
    <numFmt numFmtId="181" formatCode="_(* #,##0.0_);_(* \(#,##0.0\);_(* &quot;-&quot;_);_(@_)"/>
  </numFmts>
  <fonts count="6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2"/>
      <name val="Copperplate Gothic Bold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Lucida Console"/>
      <family val="3"/>
    </font>
    <font>
      <sz val="8"/>
      <name val="Arial"/>
      <family val="2"/>
    </font>
    <font>
      <sz val="8"/>
      <name val="Bodoni"/>
    </font>
    <font>
      <b/>
      <sz val="8"/>
      <name val="Arial"/>
      <family val="2"/>
    </font>
    <font>
      <sz val="10"/>
      <name val="Times New Roman"/>
      <family val="1"/>
    </font>
    <font>
      <b/>
      <sz val="16"/>
      <name val="Lucida Console"/>
      <family val="3"/>
    </font>
    <font>
      <b/>
      <sz val="9"/>
      <name val="Arial"/>
      <family val="2"/>
    </font>
    <font>
      <b/>
      <sz val="8"/>
      <name val="Bodoni"/>
    </font>
    <font>
      <b/>
      <sz val="10"/>
      <name val="Bodoni"/>
    </font>
    <font>
      <sz val="9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u val="singleAccounting"/>
      <sz val="9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9"/>
      <color indexed="8"/>
      <name val="Arial"/>
      <family val="2"/>
    </font>
    <font>
      <sz val="10"/>
      <color indexed="12"/>
      <name val="Arial"/>
      <family val="2"/>
    </font>
    <font>
      <b/>
      <u val="singleAccounting"/>
      <sz val="9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C3441"/>
        <bgColor indexed="64"/>
      </patternFill>
    </fill>
    <fill>
      <patternFill patternType="solid">
        <fgColor rgb="FFC41F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</fills>
  <borders count="8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12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1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0" fillId="3" borderId="0" applyNumberFormat="0" applyBorder="0" applyAlignment="0" applyProtection="0"/>
    <xf numFmtId="0" fontId="13" fillId="20" borderId="1" applyNumberFormat="0" applyAlignment="0" applyProtection="0"/>
    <xf numFmtId="0" fontId="18" fillId="21" borderId="2" applyNumberFormat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165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9" fillId="0" borderId="6" applyNumberFormat="0" applyFill="0" applyAlignment="0" applyProtection="0"/>
    <xf numFmtId="0" fontId="4" fillId="22" borderId="0" applyNumberFormat="0" applyBorder="0" applyAlignment="0" applyProtection="0"/>
    <xf numFmtId="0" fontId="49" fillId="0" borderId="0"/>
    <xf numFmtId="0" fontId="49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23" borderId="7" applyNumberFormat="0" applyFont="0" applyAlignment="0" applyProtection="0"/>
    <xf numFmtId="0" fontId="14" fillId="20" borderId="8" applyNumberFormat="0" applyAlignment="0" applyProtection="0"/>
    <xf numFmtId="9" fontId="46" fillId="0" borderId="0" applyFont="0" applyFill="0" applyBorder="0" applyAlignment="0" applyProtection="0"/>
    <xf numFmtId="9" fontId="5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8" fillId="0" borderId="0" applyNumberFormat="0" applyFill="0" applyBorder="0" applyAlignment="0" applyProtection="0"/>
    <xf numFmtId="0" fontId="46" fillId="0" borderId="0"/>
    <xf numFmtId="0" fontId="46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782">
    <xf numFmtId="0" fontId="0" fillId="0" borderId="0" xfId="0"/>
    <xf numFmtId="0" fontId="0" fillId="0" borderId="0" xfId="0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2" fontId="0" fillId="0" borderId="0" xfId="0" applyNumberFormat="1"/>
    <xf numFmtId="4" fontId="0" fillId="0" borderId="0" xfId="0" applyNumberFormat="1"/>
    <xf numFmtId="0" fontId="0" fillId="0" borderId="11" xfId="0" applyBorder="1"/>
    <xf numFmtId="2" fontId="0" fillId="0" borderId="11" xfId="0" applyNumberFormat="1" applyBorder="1"/>
    <xf numFmtId="165" fontId="0" fillId="0" borderId="11" xfId="0" applyNumberFormat="1" applyBorder="1"/>
    <xf numFmtId="0" fontId="29" fillId="0" borderId="16" xfId="0" applyFont="1" applyBorder="1" applyAlignment="1">
      <alignment horizontal="center" vertical="center" wrapText="1"/>
    </xf>
    <xf numFmtId="165" fontId="0" fillId="0" borderId="11" xfId="28" applyFont="1" applyBorder="1"/>
    <xf numFmtId="0" fontId="29" fillId="0" borderId="18" xfId="0" applyFont="1" applyBorder="1"/>
    <xf numFmtId="165" fontId="29" fillId="0" borderId="18" xfId="28" applyFont="1" applyBorder="1"/>
    <xf numFmtId="4" fontId="0" fillId="0" borderId="11" xfId="0" applyNumberFormat="1" applyBorder="1"/>
    <xf numFmtId="165" fontId="0" fillId="0" borderId="0" xfId="0" applyNumberFormat="1"/>
    <xf numFmtId="2" fontId="0" fillId="0" borderId="11" xfId="28" applyNumberFormat="1" applyFont="1" applyBorder="1"/>
    <xf numFmtId="16" fontId="0" fillId="0" borderId="11" xfId="0" applyNumberFormat="1" applyBorder="1"/>
    <xf numFmtId="2" fontId="29" fillId="0" borderId="11" xfId="0" applyNumberFormat="1" applyFont="1" applyBorder="1"/>
    <xf numFmtId="165" fontId="29" fillId="0" borderId="18" xfId="28" applyFont="1" applyFill="1" applyBorder="1"/>
    <xf numFmtId="0" fontId="29" fillId="0" borderId="0" xfId="0" applyFont="1"/>
    <xf numFmtId="0" fontId="29" fillId="0" borderId="18" xfId="28" applyNumberFormat="1" applyFont="1" applyBorder="1"/>
    <xf numFmtId="0" fontId="28" fillId="24" borderId="11" xfId="0" quotePrefix="1" applyFont="1" applyFill="1" applyBorder="1"/>
    <xf numFmtId="0" fontId="42" fillId="0" borderId="0" xfId="0" applyFont="1"/>
    <xf numFmtId="0" fontId="43" fillId="0" borderId="0" xfId="0" applyFont="1" applyAlignment="1">
      <alignment horizontal="center" vertical="center" wrapText="1"/>
    </xf>
    <xf numFmtId="164" fontId="43" fillId="0" borderId="0" xfId="29" applyFont="1" applyFill="1" applyBorder="1" applyAlignment="1">
      <alignment horizontal="center" vertical="center" wrapText="1"/>
    </xf>
    <xf numFmtId="177" fontId="43" fillId="0" borderId="0" xfId="0" applyNumberFormat="1" applyFont="1" applyAlignment="1">
      <alignment horizontal="center" vertical="center" wrapText="1"/>
    </xf>
    <xf numFmtId="178" fontId="43" fillId="0" borderId="0" xfId="29" applyNumberFormat="1" applyFont="1" applyFill="1" applyBorder="1" applyAlignment="1">
      <alignment horizontal="center" vertical="center" wrapText="1"/>
    </xf>
    <xf numFmtId="166" fontId="43" fillId="0" borderId="0" xfId="50" applyNumberFormat="1" applyFont="1" applyFill="1" applyBorder="1" applyAlignment="1">
      <alignment horizontal="center" vertical="center" wrapText="1"/>
    </xf>
    <xf numFmtId="0" fontId="44" fillId="0" borderId="0" xfId="0" applyFont="1"/>
    <xf numFmtId="178" fontId="43" fillId="0" borderId="11" xfId="29" applyNumberFormat="1" applyFont="1" applyFill="1" applyBorder="1" applyAlignment="1">
      <alignment horizontal="center"/>
    </xf>
    <xf numFmtId="0" fontId="43" fillId="0" borderId="0" xfId="0" applyFont="1"/>
    <xf numFmtId="0" fontId="44" fillId="25" borderId="14" xfId="0" applyFont="1" applyFill="1" applyBorder="1" applyAlignment="1">
      <alignment horizontal="center" vertical="center" wrapText="1"/>
    </xf>
    <xf numFmtId="177" fontId="44" fillId="0" borderId="14" xfId="0" applyNumberFormat="1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43" fillId="0" borderId="11" xfId="0" applyFont="1" applyBorder="1"/>
    <xf numFmtId="164" fontId="43" fillId="0" borderId="11" xfId="29" applyFont="1" applyFill="1" applyBorder="1" applyAlignment="1">
      <alignment vertical="center"/>
    </xf>
    <xf numFmtId="177" fontId="43" fillId="0" borderId="11" xfId="0" applyNumberFormat="1" applyFont="1" applyBorder="1"/>
    <xf numFmtId="164" fontId="43" fillId="0" borderId="11" xfId="29" applyFont="1" applyFill="1" applyBorder="1" applyAlignment="1">
      <alignment horizontal="center"/>
    </xf>
    <xf numFmtId="178" fontId="43" fillId="0" borderId="11" xfId="29" applyNumberFormat="1" applyFont="1" applyFill="1" applyBorder="1" applyAlignment="1">
      <alignment vertical="center"/>
    </xf>
    <xf numFmtId="166" fontId="43" fillId="0" borderId="11" xfId="50" applyNumberFormat="1" applyFont="1" applyFill="1" applyBorder="1" applyAlignment="1">
      <alignment vertical="center"/>
    </xf>
    <xf numFmtId="0" fontId="43" fillId="0" borderId="11" xfId="0" applyFont="1" applyBorder="1" applyAlignment="1">
      <alignment wrapText="1"/>
    </xf>
    <xf numFmtId="173" fontId="40" fillId="0" borderId="11" xfId="44" applyNumberFormat="1" applyFont="1" applyBorder="1" applyAlignment="1">
      <alignment horizontal="center"/>
    </xf>
    <xf numFmtId="0" fontId="40" fillId="0" borderId="11" xfId="44" applyFont="1" applyBorder="1" applyAlignment="1">
      <alignment horizontal="center"/>
    </xf>
    <xf numFmtId="0" fontId="40" fillId="0" borderId="11" xfId="31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 vertical="center" wrapText="1"/>
    </xf>
    <xf numFmtId="9" fontId="43" fillId="0" borderId="11" xfId="0" applyNumberFormat="1" applyFont="1" applyBorder="1" applyAlignment="1">
      <alignment horizontal="center" vertical="center" wrapText="1"/>
    </xf>
    <xf numFmtId="9" fontId="43" fillId="0" borderId="11" xfId="29" applyNumberFormat="1" applyFont="1" applyFill="1" applyBorder="1" applyAlignment="1">
      <alignment vertical="center"/>
    </xf>
    <xf numFmtId="9" fontId="43" fillId="0" borderId="11" xfId="50" applyFont="1" applyFill="1" applyBorder="1" applyAlignment="1">
      <alignment vertical="center"/>
    </xf>
    <xf numFmtId="164" fontId="40" fillId="0" borderId="11" xfId="29" applyFont="1" applyFill="1" applyBorder="1" applyAlignment="1">
      <alignment horizontal="center"/>
    </xf>
    <xf numFmtId="178" fontId="40" fillId="0" borderId="11" xfId="29" applyNumberFormat="1" applyFont="1" applyFill="1" applyBorder="1" applyAlignment="1">
      <alignment horizontal="center"/>
    </xf>
    <xf numFmtId="178" fontId="43" fillId="0" borderId="11" xfId="29" applyNumberFormat="1" applyFont="1" applyBorder="1" applyAlignment="1">
      <alignment vertical="center"/>
    </xf>
    <xf numFmtId="2" fontId="43" fillId="0" borderId="11" xfId="0" applyNumberFormat="1" applyFont="1" applyBorder="1"/>
    <xf numFmtId="2" fontId="40" fillId="0" borderId="11" xfId="46" applyNumberFormat="1" applyFont="1" applyBorder="1"/>
    <xf numFmtId="178" fontId="44" fillId="0" borderId="11" xfId="29" applyNumberFormat="1" applyFont="1" applyFill="1" applyBorder="1" applyAlignment="1">
      <alignment vertical="center"/>
    </xf>
    <xf numFmtId="178" fontId="43" fillId="0" borderId="0" xfId="29" applyNumberFormat="1" applyFont="1" applyFill="1" applyBorder="1" applyAlignment="1">
      <alignment vertical="center"/>
    </xf>
    <xf numFmtId="0" fontId="43" fillId="0" borderId="0" xfId="0" applyFont="1" applyAlignment="1">
      <alignment horizontal="center"/>
    </xf>
    <xf numFmtId="177" fontId="43" fillId="0" borderId="0" xfId="0" applyNumberFormat="1" applyFont="1"/>
    <xf numFmtId="173" fontId="40" fillId="0" borderId="11" xfId="43" applyNumberFormat="1" applyFont="1" applyBorder="1" applyAlignment="1">
      <alignment horizontal="center"/>
    </xf>
    <xf numFmtId="0" fontId="40" fillId="0" borderId="11" xfId="43" applyFont="1" applyBorder="1" applyAlignment="1">
      <alignment horizontal="center"/>
    </xf>
    <xf numFmtId="0" fontId="40" fillId="0" borderId="11" xfId="30" applyNumberFormat="1" applyFont="1" applyFill="1" applyBorder="1" applyAlignment="1">
      <alignment horizontal="center"/>
    </xf>
    <xf numFmtId="164" fontId="44" fillId="0" borderId="11" xfId="29" applyFont="1" applyFill="1" applyBorder="1" applyAlignment="1">
      <alignment vertical="center"/>
    </xf>
    <xf numFmtId="9" fontId="44" fillId="25" borderId="11" xfId="29" applyNumberFormat="1" applyFont="1" applyFill="1" applyBorder="1" applyAlignment="1">
      <alignment vertical="center"/>
    </xf>
    <xf numFmtId="178" fontId="44" fillId="25" borderId="11" xfId="29" applyNumberFormat="1" applyFont="1" applyFill="1" applyBorder="1" applyAlignment="1">
      <alignment vertical="center"/>
    </xf>
    <xf numFmtId="177" fontId="44" fillId="0" borderId="11" xfId="0" applyNumberFormat="1" applyFont="1" applyBorder="1"/>
    <xf numFmtId="0" fontId="44" fillId="0" borderId="11" xfId="0" applyFont="1" applyBorder="1"/>
    <xf numFmtId="164" fontId="44" fillId="25" borderId="11" xfId="29" applyFont="1" applyFill="1" applyBorder="1" applyAlignment="1">
      <alignment horizontal="center"/>
    </xf>
    <xf numFmtId="0" fontId="43" fillId="0" borderId="11" xfId="47" applyFont="1" applyBorder="1"/>
    <xf numFmtId="10" fontId="44" fillId="25" borderId="11" xfId="50" applyNumberFormat="1" applyFont="1" applyFill="1" applyBorder="1" applyAlignment="1">
      <alignment vertical="center"/>
    </xf>
    <xf numFmtId="166" fontId="44" fillId="25" borderId="11" xfId="50" applyNumberFormat="1" applyFont="1" applyFill="1" applyBorder="1" applyAlignment="1">
      <alignment vertical="center"/>
    </xf>
    <xf numFmtId="165" fontId="44" fillId="0" borderId="11" xfId="0" applyNumberFormat="1" applyFont="1" applyBorder="1" applyAlignment="1">
      <alignment horizontal="right"/>
    </xf>
    <xf numFmtId="173" fontId="40" fillId="0" borderId="0" xfId="43" applyNumberFormat="1" applyFont="1" applyAlignment="1">
      <alignment horizontal="center"/>
    </xf>
    <xf numFmtId="0" fontId="40" fillId="0" borderId="0" xfId="43" applyFont="1" applyAlignment="1">
      <alignment horizontal="center"/>
    </xf>
    <xf numFmtId="0" fontId="40" fillId="0" borderId="0" xfId="30" applyNumberFormat="1" applyFont="1" applyFill="1" applyBorder="1" applyAlignment="1">
      <alignment horizontal="center"/>
    </xf>
    <xf numFmtId="164" fontId="43" fillId="0" borderId="0" xfId="29" applyFont="1" applyFill="1" applyBorder="1" applyAlignment="1">
      <alignment vertical="center"/>
    </xf>
    <xf numFmtId="164" fontId="43" fillId="0" borderId="0" xfId="29" applyFont="1" applyFill="1" applyBorder="1" applyAlignment="1">
      <alignment horizontal="center"/>
    </xf>
    <xf numFmtId="178" fontId="43" fillId="0" borderId="0" xfId="29" applyNumberFormat="1" applyFont="1" applyFill="1" applyBorder="1" applyAlignment="1">
      <alignment horizontal="center"/>
    </xf>
    <xf numFmtId="165" fontId="44" fillId="0" borderId="0" xfId="0" applyNumberFormat="1" applyFont="1" applyAlignment="1">
      <alignment horizontal="right"/>
    </xf>
    <xf numFmtId="178" fontId="44" fillId="0" borderId="0" xfId="29" applyNumberFormat="1" applyFont="1" applyFill="1" applyBorder="1" applyAlignment="1">
      <alignment horizontal="right"/>
    </xf>
    <xf numFmtId="166" fontId="44" fillId="0" borderId="0" xfId="50" applyNumberFormat="1" applyFont="1" applyFill="1" applyBorder="1" applyAlignment="1">
      <alignment vertical="center"/>
    </xf>
    <xf numFmtId="0" fontId="43" fillId="0" borderId="0" xfId="0" applyFont="1" applyAlignment="1">
      <alignment wrapText="1"/>
    </xf>
    <xf numFmtId="0" fontId="44" fillId="0" borderId="0" xfId="50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horizontal="center" vertical="center" wrapText="1"/>
    </xf>
    <xf numFmtId="165" fontId="44" fillId="0" borderId="14" xfId="0" applyNumberFormat="1" applyFont="1" applyBorder="1" applyAlignment="1">
      <alignment horizontal="center" vertical="center" wrapText="1"/>
    </xf>
    <xf numFmtId="165" fontId="43" fillId="0" borderId="11" xfId="29" applyNumberFormat="1" applyFont="1" applyFill="1" applyBorder="1" applyAlignment="1">
      <alignment vertical="center"/>
    </xf>
    <xf numFmtId="165" fontId="43" fillId="0" borderId="0" xfId="0" applyNumberFormat="1" applyFont="1"/>
    <xf numFmtId="165" fontId="44" fillId="25" borderId="11" xfId="29" applyNumberFormat="1" applyFont="1" applyFill="1" applyBorder="1" applyAlignment="1">
      <alignment vertical="center"/>
    </xf>
    <xf numFmtId="165" fontId="44" fillId="0" borderId="11" xfId="29" applyNumberFormat="1" applyFont="1" applyFill="1" applyBorder="1" applyAlignment="1">
      <alignment vertical="center"/>
    </xf>
    <xf numFmtId="165" fontId="43" fillId="0" borderId="0" xfId="29" applyNumberFormat="1" applyFont="1" applyFill="1" applyBorder="1" applyAlignment="1">
      <alignment vertical="center"/>
    </xf>
    <xf numFmtId="165" fontId="0" fillId="0" borderId="11" xfId="28" applyFont="1" applyFill="1" applyBorder="1"/>
    <xf numFmtId="2" fontId="0" fillId="0" borderId="11" xfId="28" applyNumberFormat="1" applyFont="1" applyFill="1" applyBorder="1"/>
    <xf numFmtId="10" fontId="43" fillId="0" borderId="0" xfId="0" applyNumberFormat="1" applyFont="1"/>
    <xf numFmtId="15" fontId="44" fillId="0" borderId="0" xfId="0" applyNumberFormat="1" applyFont="1"/>
    <xf numFmtId="173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67" fontId="0" fillId="0" borderId="0" xfId="28" applyNumberFormat="1" applyFont="1"/>
    <xf numFmtId="1" fontId="0" fillId="0" borderId="0" xfId="0" applyNumberFormat="1" applyAlignment="1">
      <alignment horizontal="center" vertical="center"/>
    </xf>
    <xf numFmtId="4" fontId="0" fillId="0" borderId="11" xfId="0" applyNumberFormat="1" applyBorder="1" applyAlignment="1" applyProtection="1">
      <alignment vertical="justify" wrapText="1"/>
      <protection locked="0"/>
    </xf>
    <xf numFmtId="165" fontId="0" fillId="0" borderId="11" xfId="28" applyFont="1" applyBorder="1" applyProtection="1">
      <protection locked="0"/>
    </xf>
    <xf numFmtId="165" fontId="0" fillId="0" borderId="11" xfId="28" applyFont="1" applyFill="1" applyBorder="1" applyProtection="1">
      <protection locked="0"/>
    </xf>
    <xf numFmtId="167" fontId="0" fillId="0" borderId="11" xfId="28" applyNumberFormat="1" applyFont="1" applyBorder="1" applyAlignment="1" applyProtection="1">
      <alignment vertical="center"/>
      <protection locked="0"/>
    </xf>
    <xf numFmtId="165" fontId="28" fillId="24" borderId="32" xfId="28" applyFont="1" applyFill="1" applyBorder="1" applyAlignment="1" applyProtection="1">
      <alignment horizontal="center" vertical="center"/>
    </xf>
    <xf numFmtId="165" fontId="28" fillId="24" borderId="33" xfId="28" applyFont="1" applyFill="1" applyBorder="1" applyAlignment="1" applyProtection="1">
      <alignment horizontal="center" vertical="center"/>
    </xf>
    <xf numFmtId="165" fontId="28" fillId="24" borderId="34" xfId="28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 vertical="center"/>
    </xf>
    <xf numFmtId="166" fontId="28" fillId="24" borderId="36" xfId="50" applyNumberFormat="1" applyFont="1" applyFill="1" applyBorder="1" applyAlignment="1" applyProtection="1">
      <alignment horizontal="center" vertical="center"/>
    </xf>
    <xf numFmtId="166" fontId="28" fillId="24" borderId="29" xfId="50" applyNumberFormat="1" applyFont="1" applyFill="1" applyBorder="1" applyAlignment="1" applyProtection="1">
      <alignment horizontal="center" vertical="center"/>
    </xf>
    <xf numFmtId="166" fontId="28" fillId="24" borderId="37" xfId="50" applyNumberFormat="1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 vertical="center"/>
    </xf>
    <xf numFmtId="165" fontId="28" fillId="24" borderId="38" xfId="28" applyFont="1" applyFill="1" applyBorder="1" applyAlignment="1" applyProtection="1">
      <alignment horizontal="center"/>
    </xf>
    <xf numFmtId="165" fontId="28" fillId="24" borderId="39" xfId="28" applyFont="1" applyFill="1" applyBorder="1" applyAlignment="1" applyProtection="1">
      <alignment horizontal="center"/>
    </xf>
    <xf numFmtId="166" fontId="28" fillId="24" borderId="40" xfId="50" applyNumberFormat="1" applyFont="1" applyFill="1" applyBorder="1" applyAlignment="1" applyProtection="1">
      <alignment horizontal="center" vertical="center"/>
    </xf>
    <xf numFmtId="165" fontId="24" fillId="24" borderId="0" xfId="28" applyFont="1" applyFill="1" applyProtection="1"/>
    <xf numFmtId="165" fontId="28" fillId="24" borderId="15" xfId="28" applyFont="1" applyFill="1" applyBorder="1" applyAlignment="1" applyProtection="1">
      <alignment horizontal="center" vertical="center"/>
    </xf>
    <xf numFmtId="165" fontId="28" fillId="24" borderId="41" xfId="28" applyFont="1" applyFill="1" applyBorder="1" applyAlignment="1" applyProtection="1">
      <alignment horizontal="center" vertical="center"/>
    </xf>
    <xf numFmtId="166" fontId="28" fillId="24" borderId="35" xfId="50" applyNumberFormat="1" applyFont="1" applyFill="1" applyBorder="1" applyAlignment="1" applyProtection="1">
      <alignment horizontal="center" vertical="center"/>
    </xf>
    <xf numFmtId="166" fontId="28" fillId="24" borderId="15" xfId="50" applyNumberFormat="1" applyFont="1" applyFill="1" applyBorder="1" applyAlignment="1" applyProtection="1">
      <alignment horizontal="center" vertical="center"/>
    </xf>
    <xf numFmtId="166" fontId="28" fillId="24" borderId="34" xfId="50" applyNumberFormat="1" applyFont="1" applyFill="1" applyBorder="1" applyAlignment="1" applyProtection="1">
      <alignment horizontal="center" vertical="center"/>
    </xf>
    <xf numFmtId="165" fontId="28" fillId="24" borderId="35" xfId="28" applyFont="1" applyFill="1" applyBorder="1" applyAlignment="1" applyProtection="1">
      <alignment horizontal="center"/>
    </xf>
    <xf numFmtId="165" fontId="28" fillId="24" borderId="42" xfId="28" applyFont="1" applyFill="1" applyBorder="1" applyAlignment="1" applyProtection="1">
      <alignment horizontal="center"/>
    </xf>
    <xf numFmtId="165" fontId="28" fillId="24" borderId="11" xfId="28" applyFont="1" applyFill="1" applyBorder="1" applyAlignment="1" applyProtection="1">
      <alignment horizontal="center"/>
    </xf>
    <xf numFmtId="165" fontId="28" fillId="24" borderId="43" xfId="28" applyFont="1" applyFill="1" applyBorder="1" applyAlignment="1" applyProtection="1">
      <alignment horizontal="center"/>
    </xf>
    <xf numFmtId="165" fontId="28" fillId="24" borderId="37" xfId="28" applyFont="1" applyFill="1" applyBorder="1" applyAlignment="1" applyProtection="1">
      <alignment horizontal="center"/>
    </xf>
    <xf numFmtId="0" fontId="28" fillId="24" borderId="44" xfId="0" applyFont="1" applyFill="1" applyBorder="1" applyAlignment="1">
      <alignment horizontal="left"/>
    </xf>
    <xf numFmtId="0" fontId="28" fillId="24" borderId="45" xfId="0" applyFont="1" applyFill="1" applyBorder="1" applyAlignment="1">
      <alignment horizontal="left"/>
    </xf>
    <xf numFmtId="0" fontId="28" fillId="24" borderId="46" xfId="0" applyFont="1" applyFill="1" applyBorder="1" applyAlignment="1">
      <alignment horizontal="left"/>
    </xf>
    <xf numFmtId="165" fontId="28" fillId="24" borderId="26" xfId="0" applyNumberFormat="1" applyFont="1" applyFill="1" applyBorder="1" applyAlignment="1">
      <alignment horizontal="left"/>
    </xf>
    <xf numFmtId="165" fontId="28" fillId="24" borderId="21" xfId="28" applyFont="1" applyFill="1" applyBorder="1" applyAlignment="1" applyProtection="1">
      <alignment horizontal="right" vertical="center"/>
    </xf>
    <xf numFmtId="0" fontId="28" fillId="24" borderId="47" xfId="0" applyFont="1" applyFill="1" applyBorder="1" applyAlignment="1">
      <alignment horizontal="center"/>
    </xf>
    <xf numFmtId="165" fontId="28" fillId="24" borderId="17" xfId="28" applyFont="1" applyFill="1" applyBorder="1" applyAlignment="1" applyProtection="1">
      <alignment horizontal="right" vertical="center"/>
    </xf>
    <xf numFmtId="0" fontId="28" fillId="24" borderId="48" xfId="0" applyFont="1" applyFill="1" applyBorder="1" applyAlignment="1">
      <alignment horizontal="center"/>
    </xf>
    <xf numFmtId="165" fontId="28" fillId="0" borderId="11" xfId="28" applyFont="1" applyFill="1" applyBorder="1" applyAlignment="1" applyProtection="1">
      <alignment horizontal="right"/>
    </xf>
    <xf numFmtId="0" fontId="28" fillId="24" borderId="49" xfId="0" applyFont="1" applyFill="1" applyBorder="1" applyAlignment="1">
      <alignment horizontal="center"/>
    </xf>
    <xf numFmtId="165" fontId="28" fillId="24" borderId="11" xfId="28" applyFont="1" applyFill="1" applyBorder="1" applyAlignment="1" applyProtection="1">
      <alignment horizontal="right" vertical="center"/>
    </xf>
    <xf numFmtId="165" fontId="24" fillId="20" borderId="11" xfId="28" applyFont="1" applyFill="1" applyBorder="1" applyAlignment="1" applyProtection="1">
      <alignment horizontal="right"/>
    </xf>
    <xf numFmtId="165" fontId="28" fillId="24" borderId="11" xfId="28" applyFont="1" applyFill="1" applyBorder="1" applyAlignment="1" applyProtection="1">
      <alignment horizontal="right"/>
    </xf>
    <xf numFmtId="175" fontId="28" fillId="24" borderId="11" xfId="28" applyNumberFormat="1" applyFont="1" applyFill="1" applyBorder="1" applyAlignment="1" applyProtection="1">
      <alignment horizontal="right"/>
    </xf>
    <xf numFmtId="39" fontId="28" fillId="24" borderId="11" xfId="28" applyNumberFormat="1" applyFont="1" applyFill="1" applyBorder="1" applyAlignment="1" applyProtection="1">
      <alignment horizontal="right"/>
    </xf>
    <xf numFmtId="165" fontId="28" fillId="24" borderId="14" xfId="28" applyFont="1" applyFill="1" applyBorder="1" applyAlignment="1" applyProtection="1">
      <alignment horizontal="right"/>
    </xf>
    <xf numFmtId="0" fontId="28" fillId="24" borderId="50" xfId="0" applyFont="1" applyFill="1" applyBorder="1" applyAlignment="1">
      <alignment horizontal="center"/>
    </xf>
    <xf numFmtId="165" fontId="28" fillId="24" borderId="23" xfId="0" applyNumberFormat="1" applyFont="1" applyFill="1" applyBorder="1" applyAlignment="1">
      <alignment horizontal="right"/>
    </xf>
    <xf numFmtId="0" fontId="28" fillId="24" borderId="24" xfId="0" applyFont="1" applyFill="1" applyBorder="1" applyAlignment="1">
      <alignment horizontal="center"/>
    </xf>
    <xf numFmtId="165" fontId="28" fillId="24" borderId="11" xfId="28" applyFont="1" applyFill="1" applyBorder="1" applyProtection="1"/>
    <xf numFmtId="165" fontId="28" fillId="24" borderId="14" xfId="28" applyFont="1" applyFill="1" applyBorder="1" applyProtection="1"/>
    <xf numFmtId="165" fontId="24" fillId="20" borderId="11" xfId="28" applyFont="1" applyFill="1" applyBorder="1" applyProtection="1"/>
    <xf numFmtId="165" fontId="28" fillId="24" borderId="49" xfId="28" applyFont="1" applyFill="1" applyBorder="1" applyAlignment="1" applyProtection="1">
      <alignment horizontal="center"/>
    </xf>
    <xf numFmtId="165" fontId="28" fillId="24" borderId="21" xfId="28" applyFont="1" applyFill="1" applyBorder="1" applyAlignment="1" applyProtection="1">
      <alignment horizontal="center"/>
    </xf>
    <xf numFmtId="165" fontId="28" fillId="24" borderId="47" xfId="28" applyFont="1" applyFill="1" applyBorder="1" applyAlignment="1" applyProtection="1">
      <alignment horizontal="center"/>
    </xf>
    <xf numFmtId="166" fontId="28" fillId="24" borderId="23" xfId="50" applyNumberFormat="1" applyFont="1" applyFill="1" applyBorder="1" applyProtection="1"/>
    <xf numFmtId="166" fontId="28" fillId="24" borderId="24" xfId="50" applyNumberFormat="1" applyFont="1" applyFill="1" applyBorder="1" applyProtection="1"/>
    <xf numFmtId="0" fontId="21" fillId="0" borderId="0" xfId="0" applyFont="1"/>
    <xf numFmtId="0" fontId="24" fillId="24" borderId="0" xfId="0" applyFont="1" applyFill="1"/>
    <xf numFmtId="0" fontId="22" fillId="0" borderId="0" xfId="0" applyFont="1"/>
    <xf numFmtId="0" fontId="23" fillId="0" borderId="0" xfId="0" applyFont="1"/>
    <xf numFmtId="0" fontId="25" fillId="24" borderId="0" xfId="0" applyFont="1" applyFill="1"/>
    <xf numFmtId="165" fontId="26" fillId="24" borderId="0" xfId="28" applyFont="1" applyFill="1" applyAlignment="1" applyProtection="1">
      <alignment horizontal="right"/>
    </xf>
    <xf numFmtId="0" fontId="27" fillId="24" borderId="0" xfId="0" applyFont="1" applyFill="1"/>
    <xf numFmtId="165" fontId="24" fillId="24" borderId="0" xfId="0" applyNumberFormat="1" applyFont="1" applyFill="1"/>
    <xf numFmtId="0" fontId="28" fillId="24" borderId="32" xfId="0" applyFont="1" applyFill="1" applyBorder="1" applyAlignment="1">
      <alignment horizontal="center" vertical="center"/>
    </xf>
    <xf numFmtId="0" fontId="28" fillId="24" borderId="15" xfId="0" applyFont="1" applyFill="1" applyBorder="1" applyAlignment="1">
      <alignment horizontal="center" vertical="center"/>
    </xf>
    <xf numFmtId="0" fontId="28" fillId="24" borderId="41" xfId="0" applyFont="1" applyFill="1" applyBorder="1" applyAlignment="1">
      <alignment horizontal="center" vertical="center"/>
    </xf>
    <xf numFmtId="0" fontId="28" fillId="24" borderId="51" xfId="0" applyFont="1" applyFill="1" applyBorder="1" applyAlignment="1">
      <alignment horizontal="center"/>
    </xf>
    <xf numFmtId="0" fontId="28" fillId="24" borderId="41" xfId="0" applyFont="1" applyFill="1" applyBorder="1" applyAlignment="1">
      <alignment horizontal="center" wrapText="1"/>
    </xf>
    <xf numFmtId="0" fontId="28" fillId="24" borderId="32" xfId="0" applyFont="1" applyFill="1" applyBorder="1" applyAlignment="1">
      <alignment horizontal="center"/>
    </xf>
    <xf numFmtId="0" fontId="28" fillId="24" borderId="15" xfId="0" applyFont="1" applyFill="1" applyBorder="1" applyAlignment="1">
      <alignment horizontal="center"/>
    </xf>
    <xf numFmtId="0" fontId="28" fillId="24" borderId="34" xfId="0" applyFont="1" applyFill="1" applyBorder="1" applyAlignment="1">
      <alignment horizontal="center"/>
    </xf>
    <xf numFmtId="165" fontId="28" fillId="24" borderId="11" xfId="0" applyNumberFormat="1" applyFont="1" applyFill="1" applyBorder="1" applyAlignment="1">
      <alignment horizontal="center"/>
    </xf>
    <xf numFmtId="0" fontId="28" fillId="24" borderId="52" xfId="0" applyFont="1" applyFill="1" applyBorder="1" applyAlignment="1">
      <alignment horizontal="left" vertical="center"/>
    </xf>
    <xf numFmtId="0" fontId="28" fillId="24" borderId="53" xfId="0" quotePrefix="1" applyFont="1" applyFill="1" applyBorder="1"/>
    <xf numFmtId="0" fontId="28" fillId="24" borderId="34" xfId="0" applyFont="1" applyFill="1" applyBorder="1" applyAlignment="1">
      <alignment vertical="center" wrapText="1"/>
    </xf>
    <xf numFmtId="0" fontId="28" fillId="24" borderId="29" xfId="0" applyFont="1" applyFill="1" applyBorder="1" applyAlignment="1">
      <alignment horizontal="left" vertical="center"/>
    </xf>
    <xf numFmtId="0" fontId="28" fillId="24" borderId="40" xfId="0" applyFont="1" applyFill="1" applyBorder="1" applyAlignment="1">
      <alignment vertical="center" wrapText="1"/>
    </xf>
    <xf numFmtId="0" fontId="28" fillId="24" borderId="54" xfId="0" applyFont="1" applyFill="1" applyBorder="1" applyAlignment="1">
      <alignment horizontal="left" vertical="center"/>
    </xf>
    <xf numFmtId="0" fontId="28" fillId="24" borderId="53" xfId="0" applyFont="1" applyFill="1" applyBorder="1" applyAlignment="1">
      <alignment horizontal="center"/>
    </xf>
    <xf numFmtId="0" fontId="28" fillId="24" borderId="53" xfId="0" applyFont="1" applyFill="1" applyBorder="1"/>
    <xf numFmtId="0" fontId="28" fillId="24" borderId="55" xfId="0" applyFont="1" applyFill="1" applyBorder="1" applyAlignment="1">
      <alignment horizontal="center" vertical="center"/>
    </xf>
    <xf numFmtId="0" fontId="28" fillId="24" borderId="45" xfId="0" applyFont="1" applyFill="1" applyBorder="1" applyAlignment="1">
      <alignment horizontal="left" vertical="center"/>
    </xf>
    <xf numFmtId="0" fontId="28" fillId="24" borderId="28" xfId="0" applyFont="1" applyFill="1" applyBorder="1" applyAlignment="1">
      <alignment horizontal="center"/>
    </xf>
    <xf numFmtId="0" fontId="28" fillId="24" borderId="0" xfId="0" applyFont="1" applyFill="1"/>
    <xf numFmtId="0" fontId="28" fillId="24" borderId="0" xfId="0" applyFont="1" applyFill="1" applyAlignment="1">
      <alignment horizontal="center" vertical="center" wrapText="1"/>
    </xf>
    <xf numFmtId="0" fontId="28" fillId="24" borderId="0" xfId="0" applyFont="1" applyFill="1" applyAlignment="1">
      <alignment horizontal="center"/>
    </xf>
    <xf numFmtId="0" fontId="28" fillId="24" borderId="36" xfId="0" applyFont="1" applyFill="1" applyBorder="1" applyAlignment="1">
      <alignment horizontal="center"/>
    </xf>
    <xf numFmtId="0" fontId="28" fillId="24" borderId="40" xfId="0" applyFont="1" applyFill="1" applyBorder="1" applyAlignment="1">
      <alignment horizontal="center"/>
    </xf>
    <xf numFmtId="0" fontId="24" fillId="24" borderId="32" xfId="0" applyFont="1" applyFill="1" applyBorder="1"/>
    <xf numFmtId="0" fontId="24" fillId="24" borderId="41" xfId="0" applyFont="1" applyFill="1" applyBorder="1"/>
    <xf numFmtId="0" fontId="28" fillId="24" borderId="15" xfId="0" applyFont="1" applyFill="1" applyBorder="1"/>
    <xf numFmtId="0" fontId="28" fillId="24" borderId="41" xfId="0" applyFont="1" applyFill="1" applyBorder="1" applyAlignment="1">
      <alignment horizontal="center"/>
    </xf>
    <xf numFmtId="165" fontId="24" fillId="24" borderId="0" xfId="28" applyFont="1" applyFill="1" applyBorder="1" applyProtection="1"/>
    <xf numFmtId="0" fontId="24" fillId="24" borderId="56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center"/>
    </xf>
    <xf numFmtId="0" fontId="28" fillId="24" borderId="10" xfId="0" applyFont="1" applyFill="1" applyBorder="1" applyAlignment="1">
      <alignment horizontal="center"/>
    </xf>
    <xf numFmtId="165" fontId="28" fillId="24" borderId="0" xfId="28" applyFont="1" applyFill="1" applyBorder="1" applyProtection="1"/>
    <xf numFmtId="0" fontId="28" fillId="24" borderId="12" xfId="0" applyFont="1" applyFill="1" applyBorder="1" applyAlignment="1">
      <alignment horizontal="center"/>
    </xf>
    <xf numFmtId="0" fontId="28" fillId="24" borderId="57" xfId="0" applyFont="1" applyFill="1" applyBorder="1" applyAlignment="1">
      <alignment horizontal="center"/>
    </xf>
    <xf numFmtId="165" fontId="28" fillId="24" borderId="23" xfId="0" applyNumberFormat="1" applyFont="1" applyFill="1" applyBorder="1"/>
    <xf numFmtId="2" fontId="24" fillId="24" borderId="0" xfId="0" applyNumberFormat="1" applyFont="1" applyFill="1"/>
    <xf numFmtId="0" fontId="28" fillId="24" borderId="58" xfId="0" applyFont="1" applyFill="1" applyBorder="1"/>
    <xf numFmtId="0" fontId="28" fillId="24" borderId="59" xfId="0" applyFont="1" applyFill="1" applyBorder="1" applyAlignment="1">
      <alignment horizontal="left"/>
    </xf>
    <xf numFmtId="0" fontId="24" fillId="24" borderId="59" xfId="0" applyFont="1" applyFill="1" applyBorder="1"/>
    <xf numFmtId="165" fontId="24" fillId="24" borderId="59" xfId="28" applyFont="1" applyFill="1" applyBorder="1" applyProtection="1"/>
    <xf numFmtId="0" fontId="24" fillId="24" borderId="31" xfId="0" applyFont="1" applyFill="1" applyBorder="1"/>
    <xf numFmtId="0" fontId="24" fillId="24" borderId="11" xfId="0" applyFont="1" applyFill="1" applyBorder="1"/>
    <xf numFmtId="165" fontId="24" fillId="24" borderId="11" xfId="0" applyNumberFormat="1" applyFont="1" applyFill="1" applyBorder="1"/>
    <xf numFmtId="166" fontId="24" fillId="24" borderId="11" xfId="50" applyNumberFormat="1" applyFont="1" applyFill="1" applyBorder="1" applyProtection="1"/>
    <xf numFmtId="0" fontId="28" fillId="24" borderId="28" xfId="0" applyFont="1" applyFill="1" applyBorder="1"/>
    <xf numFmtId="0" fontId="28" fillId="24" borderId="0" xfId="0" applyFont="1" applyFill="1" applyAlignment="1">
      <alignment horizontal="left"/>
    </xf>
    <xf numFmtId="0" fontId="24" fillId="24" borderId="60" xfId="0" applyFont="1" applyFill="1" applyBorder="1"/>
    <xf numFmtId="0" fontId="24" fillId="24" borderId="28" xfId="0" applyFont="1" applyFill="1" applyBorder="1"/>
    <xf numFmtId="0" fontId="24" fillId="24" borderId="30" xfId="0" applyFont="1" applyFill="1" applyBorder="1"/>
    <xf numFmtId="0" fontId="28" fillId="24" borderId="61" xfId="0" applyFont="1" applyFill="1" applyBorder="1"/>
    <xf numFmtId="165" fontId="28" fillId="24" borderId="61" xfId="28" applyFont="1" applyFill="1" applyBorder="1" applyProtection="1"/>
    <xf numFmtId="0" fontId="24" fillId="24" borderId="16" xfId="0" applyFont="1" applyFill="1" applyBorder="1"/>
    <xf numFmtId="0" fontId="28" fillId="24" borderId="15" xfId="0" applyFont="1" applyFill="1" applyBorder="1" applyAlignment="1">
      <alignment horizontal="center" wrapText="1"/>
    </xf>
    <xf numFmtId="2" fontId="43" fillId="0" borderId="11" xfId="50" applyNumberFormat="1" applyFont="1" applyFill="1" applyBorder="1" applyAlignment="1">
      <alignment vertical="center"/>
    </xf>
    <xf numFmtId="165" fontId="28" fillId="24" borderId="17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left"/>
    </xf>
    <xf numFmtId="165" fontId="28" fillId="24" borderId="10" xfId="0" applyNumberFormat="1" applyFont="1" applyFill="1" applyBorder="1" applyAlignment="1">
      <alignment horizontal="left"/>
    </xf>
    <xf numFmtId="0" fontId="28" fillId="24" borderId="62" xfId="0" applyFont="1" applyFill="1" applyBorder="1" applyAlignment="1" applyProtection="1">
      <alignment horizontal="left" vertical="center"/>
      <protection locked="0"/>
    </xf>
    <xf numFmtId="165" fontId="28" fillId="24" borderId="60" xfId="28" applyFont="1" applyFill="1" applyBorder="1" applyAlignment="1" applyProtection="1">
      <alignment horizontal="center" vertical="center"/>
      <protection locked="0"/>
    </xf>
    <xf numFmtId="165" fontId="28" fillId="24" borderId="62" xfId="28" applyFont="1" applyFill="1" applyBorder="1" applyAlignment="1" applyProtection="1">
      <alignment horizontal="center" vertical="center"/>
      <protection locked="0"/>
    </xf>
    <xf numFmtId="165" fontId="28" fillId="24" borderId="42" xfId="28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protection locked="0"/>
    </xf>
    <xf numFmtId="165" fontId="28" fillId="24" borderId="43" xfId="28" applyFont="1" applyFill="1" applyBorder="1" applyAlignment="1" applyProtection="1">
      <alignment horizontal="center"/>
      <protection locked="0"/>
    </xf>
    <xf numFmtId="0" fontId="28" fillId="24" borderId="63" xfId="0" applyFont="1" applyFill="1" applyBorder="1" applyAlignment="1" applyProtection="1">
      <alignment horizontal="left" vertical="center"/>
      <protection locked="0"/>
    </xf>
    <xf numFmtId="165" fontId="28" fillId="24" borderId="55" xfId="50" applyNumberFormat="1" applyFont="1" applyFill="1" applyBorder="1" applyAlignment="1" applyProtection="1">
      <alignment horizontal="center" vertical="center"/>
      <protection locked="0"/>
    </xf>
    <xf numFmtId="165" fontId="28" fillId="24" borderId="54" xfId="50" applyNumberFormat="1" applyFont="1" applyFill="1" applyBorder="1" applyAlignment="1" applyProtection="1">
      <alignment horizontal="center" vertical="center"/>
      <protection locked="0"/>
    </xf>
    <xf numFmtId="165" fontId="28" fillId="24" borderId="64" xfId="50" applyNumberFormat="1" applyFont="1" applyFill="1" applyBorder="1" applyAlignment="1" applyProtection="1">
      <alignment horizontal="center" vertical="center"/>
      <protection locked="0"/>
    </xf>
    <xf numFmtId="165" fontId="28" fillId="24" borderId="43" xfId="28" applyFont="1" applyFill="1" applyBorder="1" applyAlignment="1" applyProtection="1">
      <alignment horizontal="center" vertical="center"/>
      <protection locked="0"/>
    </xf>
    <xf numFmtId="165" fontId="28" fillId="24" borderId="0" xfId="28" applyFont="1" applyFill="1" applyBorder="1" applyAlignment="1" applyProtection="1">
      <alignment horizontal="center" vertical="center"/>
      <protection locked="0"/>
    </xf>
    <xf numFmtId="165" fontId="24" fillId="24" borderId="43" xfId="28" applyFont="1" applyFill="1" applyBorder="1" applyProtection="1">
      <protection locked="0"/>
    </xf>
    <xf numFmtId="165" fontId="28" fillId="24" borderId="10" xfId="28" applyFont="1" applyFill="1" applyBorder="1" applyAlignment="1" applyProtection="1">
      <alignment horizontal="center"/>
      <protection locked="0"/>
    </xf>
    <xf numFmtId="165" fontId="28" fillId="24" borderId="11" xfId="0" applyNumberFormat="1" applyFont="1" applyFill="1" applyBorder="1" applyAlignment="1" applyProtection="1">
      <alignment horizontal="center"/>
      <protection locked="0"/>
    </xf>
    <xf numFmtId="0" fontId="28" fillId="24" borderId="11" xfId="0" quotePrefix="1" applyFont="1" applyFill="1" applyBorder="1" applyAlignment="1" applyProtection="1">
      <alignment wrapText="1"/>
      <protection locked="0"/>
    </xf>
    <xf numFmtId="165" fontId="28" fillId="24" borderId="27" xfId="28" applyFont="1" applyFill="1" applyBorder="1" applyAlignment="1" applyProtection="1">
      <alignment horizontal="center"/>
      <protection locked="0"/>
    </xf>
    <xf numFmtId="0" fontId="28" fillId="24" borderId="14" xfId="0" applyFont="1" applyFill="1" applyBorder="1" applyAlignment="1" applyProtection="1">
      <alignment horizontal="center"/>
      <protection locked="0"/>
    </xf>
    <xf numFmtId="0" fontId="28" fillId="24" borderId="13" xfId="0" quotePrefix="1" applyFont="1" applyFill="1" applyBorder="1" applyAlignment="1" applyProtection="1">
      <alignment wrapText="1"/>
      <protection locked="0"/>
    </xf>
    <xf numFmtId="0" fontId="47" fillId="24" borderId="14" xfId="0" quotePrefix="1" applyFont="1" applyFill="1" applyBorder="1" applyAlignment="1" applyProtection="1">
      <alignment wrapText="1"/>
      <protection locked="0"/>
    </xf>
    <xf numFmtId="2" fontId="28" fillId="24" borderId="0" xfId="0" applyNumberFormat="1" applyFont="1" applyFill="1" applyAlignment="1" applyProtection="1">
      <alignment horizontal="right"/>
      <protection locked="0"/>
    </xf>
    <xf numFmtId="165" fontId="28" fillId="24" borderId="12" xfId="28" applyFont="1" applyFill="1" applyBorder="1" applyAlignment="1" applyProtection="1">
      <alignment horizontal="center"/>
      <protection locked="0"/>
    </xf>
    <xf numFmtId="0" fontId="28" fillId="24" borderId="11" xfId="0" applyFont="1" applyFill="1" applyBorder="1" applyAlignment="1" applyProtection="1">
      <alignment horizontal="center"/>
      <protection locked="0"/>
    </xf>
    <xf numFmtId="165" fontId="28" fillId="24" borderId="2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left"/>
      <protection locked="0"/>
    </xf>
    <xf numFmtId="165" fontId="28" fillId="24" borderId="11" xfId="0" applyNumberFormat="1" applyFont="1" applyFill="1" applyBorder="1" applyAlignment="1" applyProtection="1">
      <alignment horizontal="right"/>
      <protection locked="0"/>
    </xf>
    <xf numFmtId="165" fontId="28" fillId="24" borderId="23" xfId="0" applyNumberFormat="1" applyFont="1" applyFill="1" applyBorder="1" applyAlignment="1" applyProtection="1">
      <alignment horizontal="left"/>
      <protection locked="0"/>
    </xf>
    <xf numFmtId="165" fontId="28" fillId="24" borderId="63" xfId="0" applyNumberFormat="1" applyFont="1" applyFill="1" applyBorder="1" applyAlignment="1" applyProtection="1">
      <alignment horizontal="left"/>
      <protection locked="0"/>
    </xf>
    <xf numFmtId="165" fontId="28" fillId="24" borderId="14" xfId="0" applyNumberFormat="1" applyFont="1" applyFill="1" applyBorder="1" applyAlignment="1" applyProtection="1">
      <alignment horizontal="left"/>
      <protection locked="0"/>
    </xf>
    <xf numFmtId="165" fontId="28" fillId="24" borderId="54" xfId="28" applyFont="1" applyFill="1" applyBorder="1" applyAlignment="1" applyProtection="1">
      <alignment horizontal="center"/>
      <protection locked="0"/>
    </xf>
    <xf numFmtId="165" fontId="28" fillId="24" borderId="11" xfId="28" applyFont="1" applyFill="1" applyBorder="1" applyAlignment="1" applyProtection="1">
      <alignment horizontal="center"/>
      <protection locked="0"/>
    </xf>
    <xf numFmtId="49" fontId="28" fillId="0" borderId="11" xfId="28" applyNumberFormat="1" applyFont="1" applyFill="1" applyBorder="1" applyAlignment="1" applyProtection="1">
      <alignment horizontal="center"/>
      <protection locked="0"/>
    </xf>
    <xf numFmtId="178" fontId="43" fillId="0" borderId="17" xfId="29" applyNumberFormat="1" applyFont="1" applyBorder="1" applyAlignment="1">
      <alignment vertical="center"/>
    </xf>
    <xf numFmtId="178" fontId="43" fillId="0" borderId="17" xfId="29" applyNumberFormat="1" applyFont="1" applyFill="1" applyBorder="1" applyAlignment="1">
      <alignment vertical="center"/>
    </xf>
    <xf numFmtId="0" fontId="28" fillId="24" borderId="10" xfId="0" applyFont="1" applyFill="1" applyBorder="1" applyAlignment="1" applyProtection="1">
      <alignment horizontal="left"/>
      <protection locked="0"/>
    </xf>
    <xf numFmtId="0" fontId="28" fillId="24" borderId="25" xfId="0" applyFont="1" applyFill="1" applyBorder="1" applyAlignment="1" applyProtection="1">
      <alignment horizontal="left"/>
      <protection locked="0"/>
    </xf>
    <xf numFmtId="0" fontId="28" fillId="24" borderId="57" xfId="0" applyFont="1" applyFill="1" applyBorder="1" applyAlignment="1" applyProtection="1">
      <alignment horizontal="left"/>
      <protection locked="0"/>
    </xf>
    <xf numFmtId="165" fontId="35" fillId="0" borderId="0" xfId="28" applyFont="1" applyBorder="1" applyAlignment="1" applyProtection="1">
      <alignment horizontal="center"/>
    </xf>
    <xf numFmtId="0" fontId="30" fillId="0" borderId="0" xfId="0" applyFont="1"/>
    <xf numFmtId="0" fontId="0" fillId="0" borderId="65" xfId="0" applyBorder="1"/>
    <xf numFmtId="165" fontId="0" fillId="0" borderId="65" xfId="0" applyNumberFormat="1" applyBorder="1"/>
    <xf numFmtId="0" fontId="52" fillId="0" borderId="0" xfId="41" applyFont="1"/>
    <xf numFmtId="0" fontId="52" fillId="0" borderId="0" xfId="41" applyFont="1" applyAlignment="1">
      <alignment horizontal="center"/>
    </xf>
    <xf numFmtId="2" fontId="52" fillId="0" borderId="0" xfId="41" applyNumberFormat="1" applyFont="1" applyAlignment="1">
      <alignment horizontal="center"/>
    </xf>
    <xf numFmtId="0" fontId="49" fillId="0" borderId="0" xfId="41"/>
    <xf numFmtId="0" fontId="49" fillId="0" borderId="0" xfId="41" applyAlignment="1">
      <alignment horizontal="center"/>
    </xf>
    <xf numFmtId="2" fontId="49" fillId="0" borderId="0" xfId="41" applyNumberFormat="1" applyAlignment="1">
      <alignment horizontal="center"/>
    </xf>
    <xf numFmtId="2" fontId="49" fillId="0" borderId="0" xfId="41" applyNumberFormat="1"/>
    <xf numFmtId="16" fontId="49" fillId="0" borderId="10" xfId="41" applyNumberFormat="1" applyBorder="1"/>
    <xf numFmtId="0" fontId="49" fillId="0" borderId="11" xfId="41" applyBorder="1"/>
    <xf numFmtId="2" fontId="49" fillId="0" borderId="11" xfId="41" applyNumberFormat="1" applyBorder="1" applyAlignment="1">
      <alignment horizontal="center"/>
    </xf>
    <xf numFmtId="0" fontId="49" fillId="0" borderId="10" xfId="41" applyBorder="1"/>
    <xf numFmtId="0" fontId="49" fillId="0" borderId="11" xfId="41" applyBorder="1" applyAlignment="1">
      <alignment horizontal="left"/>
    </xf>
    <xf numFmtId="0" fontId="49" fillId="0" borderId="11" xfId="41" applyBorder="1" applyAlignment="1">
      <alignment horizontal="right"/>
    </xf>
    <xf numFmtId="0" fontId="49" fillId="0" borderId="0" xfId="42" applyAlignment="1">
      <alignment horizontal="center"/>
    </xf>
    <xf numFmtId="39" fontId="49" fillId="0" borderId="0" xfId="42" quotePrefix="1" applyNumberFormat="1" applyAlignment="1">
      <alignment horizontal="left"/>
    </xf>
    <xf numFmtId="0" fontId="49" fillId="0" borderId="0" xfId="41" quotePrefix="1"/>
    <xf numFmtId="39" fontId="49" fillId="0" borderId="0" xfId="42" applyNumberFormat="1"/>
    <xf numFmtId="39" fontId="49" fillId="0" borderId="0" xfId="42" quotePrefix="1" applyNumberFormat="1"/>
    <xf numFmtId="169" fontId="31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applyFont="1"/>
    <xf numFmtId="171" fontId="32" fillId="0" borderId="0" xfId="0" applyNumberFormat="1" applyFont="1"/>
    <xf numFmtId="4" fontId="32" fillId="0" borderId="0" xfId="0" applyNumberFormat="1" applyFont="1"/>
    <xf numFmtId="168" fontId="32" fillId="0" borderId="0" xfId="0" applyNumberFormat="1" applyFont="1"/>
    <xf numFmtId="2" fontId="32" fillId="0" borderId="0" xfId="0" applyNumberFormat="1" applyFont="1"/>
    <xf numFmtId="171" fontId="32" fillId="0" borderId="11" xfId="0" applyNumberFormat="1" applyFont="1" applyBorder="1" applyAlignment="1">
      <alignment horizontal="center"/>
    </xf>
    <xf numFmtId="4" fontId="33" fillId="0" borderId="11" xfId="0" applyNumberFormat="1" applyFont="1" applyBorder="1" applyAlignment="1">
      <alignment horizontal="center"/>
    </xf>
    <xf numFmtId="0" fontId="33" fillId="0" borderId="11" xfId="0" applyFont="1" applyBorder="1" applyAlignment="1">
      <alignment horizontal="center"/>
    </xf>
    <xf numFmtId="168" fontId="32" fillId="0" borderId="11" xfId="0" applyNumberFormat="1" applyFont="1" applyBorder="1" applyAlignment="1">
      <alignment horizontal="center"/>
    </xf>
    <xf numFmtId="2" fontId="32" fillId="0" borderId="11" xfId="0" applyNumberFormat="1" applyFont="1" applyBorder="1" applyAlignment="1">
      <alignment horizontal="center"/>
    </xf>
    <xf numFmtId="4" fontId="32" fillId="0" borderId="11" xfId="0" applyNumberFormat="1" applyFont="1" applyBorder="1" applyAlignment="1">
      <alignment horizontal="center"/>
    </xf>
    <xf numFmtId="170" fontId="32" fillId="0" borderId="11" xfId="0" applyNumberFormat="1" applyFont="1" applyBorder="1" applyAlignment="1">
      <alignment horizontal="center"/>
    </xf>
    <xf numFmtId="2" fontId="33" fillId="0" borderId="11" xfId="0" applyNumberFormat="1" applyFont="1" applyBorder="1" applyAlignment="1">
      <alignment horizontal="center"/>
    </xf>
    <xf numFmtId="4" fontId="0" fillId="0" borderId="11" xfId="0" applyNumberFormat="1" applyBorder="1" applyAlignment="1">
      <alignment vertical="justify"/>
    </xf>
    <xf numFmtId="2" fontId="0" fillId="0" borderId="11" xfId="0" applyNumberFormat="1" applyBorder="1" applyAlignment="1">
      <alignment vertical="justify"/>
    </xf>
    <xf numFmtId="4" fontId="0" fillId="0" borderId="62" xfId="0" applyNumberFormat="1" applyBorder="1"/>
    <xf numFmtId="168" fontId="0" fillId="0" borderId="62" xfId="0" applyNumberFormat="1" applyBorder="1"/>
    <xf numFmtId="4" fontId="0" fillId="0" borderId="62" xfId="0" applyNumberFormat="1" applyBorder="1" applyAlignment="1">
      <alignment vertical="justify"/>
    </xf>
    <xf numFmtId="4" fontId="29" fillId="0" borderId="66" xfId="0" applyNumberFormat="1" applyFont="1" applyBorder="1"/>
    <xf numFmtId="4" fontId="29" fillId="0" borderId="66" xfId="0" applyNumberFormat="1" applyFont="1" applyBorder="1" applyAlignment="1">
      <alignment vertical="justify"/>
    </xf>
    <xf numFmtId="171" fontId="34" fillId="0" borderId="0" xfId="0" applyNumberFormat="1" applyFont="1" applyAlignment="1">
      <alignment horizontal="center"/>
    </xf>
    <xf numFmtId="168" fontId="34" fillId="0" borderId="0" xfId="0" applyNumberFormat="1" applyFont="1" applyAlignment="1">
      <alignment horizontal="center"/>
    </xf>
    <xf numFmtId="172" fontId="37" fillId="0" borderId="0" xfId="28" applyNumberFormat="1" applyFont="1" applyBorder="1" applyAlignment="1" applyProtection="1">
      <alignment horizontal="right"/>
    </xf>
    <xf numFmtId="0" fontId="32" fillId="0" borderId="11" xfId="0" applyFont="1" applyBorder="1" applyAlignment="1">
      <alignment horizontal="center"/>
    </xf>
    <xf numFmtId="169" fontId="36" fillId="0" borderId="0" xfId="0" applyNumberFormat="1" applyFont="1" applyAlignment="1">
      <alignment vertical="justify" wrapText="1"/>
    </xf>
    <xf numFmtId="174" fontId="0" fillId="0" borderId="17" xfId="28" applyNumberFormat="1" applyFont="1" applyBorder="1" applyAlignment="1" applyProtection="1">
      <alignment vertical="center"/>
    </xf>
    <xf numFmtId="167" fontId="0" fillId="0" borderId="11" xfId="28" applyNumberFormat="1" applyFont="1" applyBorder="1" applyProtection="1"/>
    <xf numFmtId="167" fontId="0" fillId="0" borderId="17" xfId="28" applyNumberFormat="1" applyFont="1" applyBorder="1" applyAlignment="1" applyProtection="1">
      <alignment vertical="center"/>
    </xf>
    <xf numFmtId="172" fontId="0" fillId="0" borderId="17" xfId="28" applyNumberFormat="1" applyFont="1" applyBorder="1" applyAlignment="1" applyProtection="1">
      <alignment vertical="center"/>
    </xf>
    <xf numFmtId="15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165" fontId="0" fillId="0" borderId="11" xfId="28" applyFont="1" applyBorder="1" applyProtection="1"/>
    <xf numFmtId="165" fontId="0" fillId="0" borderId="11" xfId="28" applyFont="1" applyBorder="1" applyAlignment="1" applyProtection="1">
      <alignment vertical="center"/>
    </xf>
    <xf numFmtId="167" fontId="29" fillId="0" borderId="11" xfId="28" applyNumberFormat="1" applyFont="1" applyBorder="1" applyProtection="1"/>
    <xf numFmtId="176" fontId="0" fillId="0" borderId="11" xfId="0" applyNumberFormat="1" applyBorder="1"/>
    <xf numFmtId="172" fontId="0" fillId="0" borderId="11" xfId="0" applyNumberFormat="1" applyBorder="1"/>
    <xf numFmtId="2" fontId="0" fillId="0" borderId="17" xfId="0" applyNumberFormat="1" applyBorder="1" applyAlignment="1">
      <alignment horizontal="center"/>
    </xf>
    <xf numFmtId="165" fontId="0" fillId="0" borderId="17" xfId="28" applyFont="1" applyBorder="1" applyProtection="1"/>
    <xf numFmtId="15" fontId="29" fillId="0" borderId="11" xfId="0" applyNumberFormat="1" applyFont="1" applyBorder="1" applyAlignment="1">
      <alignment horizontal="center"/>
    </xf>
    <xf numFmtId="2" fontId="29" fillId="0" borderId="17" xfId="0" applyNumberFormat="1" applyFont="1" applyBorder="1" applyAlignment="1">
      <alignment horizontal="center"/>
    </xf>
    <xf numFmtId="165" fontId="29" fillId="0" borderId="11" xfId="28" applyFont="1" applyBorder="1" applyProtection="1"/>
    <xf numFmtId="174" fontId="29" fillId="0" borderId="17" xfId="28" applyNumberFormat="1" applyFont="1" applyBorder="1" applyProtection="1"/>
    <xf numFmtId="0" fontId="29" fillId="0" borderId="11" xfId="0" applyFont="1" applyBorder="1"/>
    <xf numFmtId="172" fontId="29" fillId="0" borderId="11" xfId="28" applyNumberFormat="1" applyFont="1" applyBorder="1" applyProtection="1"/>
    <xf numFmtId="174" fontId="32" fillId="0" borderId="0" xfId="28" applyNumberFormat="1" applyFont="1" applyBorder="1" applyProtection="1"/>
    <xf numFmtId="174" fontId="0" fillId="0" borderId="0" xfId="0" applyNumberFormat="1"/>
    <xf numFmtId="165" fontId="24" fillId="24" borderId="0" xfId="28" applyFont="1" applyFill="1" applyBorder="1" applyProtection="1">
      <protection locked="0"/>
    </xf>
    <xf numFmtId="0" fontId="24" fillId="24" borderId="0" xfId="0" applyFont="1" applyFill="1" applyProtection="1">
      <protection locked="0"/>
    </xf>
    <xf numFmtId="165" fontId="24" fillId="24" borderId="0" xfId="0" applyNumberFormat="1" applyFont="1" applyFill="1" applyProtection="1">
      <protection locked="0"/>
    </xf>
    <xf numFmtId="0" fontId="28" fillId="24" borderId="0" xfId="0" applyFont="1" applyFill="1" applyProtection="1">
      <protection locked="0"/>
    </xf>
    <xf numFmtId="179" fontId="0" fillId="0" borderId="0" xfId="0" applyNumberFormat="1" applyAlignment="1">
      <alignment horizontal="right" vertical="center"/>
    </xf>
    <xf numFmtId="165" fontId="47" fillId="24" borderId="10" xfId="0" applyNumberFormat="1" applyFont="1" applyFill="1" applyBorder="1" applyAlignment="1">
      <alignment horizontal="left"/>
    </xf>
    <xf numFmtId="173" fontId="48" fillId="0" borderId="11" xfId="44" applyNumberFormat="1" applyFont="1" applyBorder="1" applyAlignment="1">
      <alignment horizontal="center"/>
    </xf>
    <xf numFmtId="16" fontId="24" fillId="24" borderId="0" xfId="28" applyNumberFormat="1" applyFont="1" applyFill="1" applyBorder="1" applyProtection="1">
      <protection locked="0"/>
    </xf>
    <xf numFmtId="164" fontId="43" fillId="0" borderId="0" xfId="29" applyFont="1" applyFill="1"/>
    <xf numFmtId="164" fontId="44" fillId="25" borderId="11" xfId="29" applyFont="1" applyFill="1" applyBorder="1" applyAlignment="1">
      <alignment vertical="center"/>
    </xf>
    <xf numFmtId="178" fontId="44" fillId="0" borderId="0" xfId="29" applyNumberFormat="1" applyFont="1" applyFill="1" applyBorder="1" applyAlignment="1">
      <alignment vertical="center"/>
    </xf>
    <xf numFmtId="178" fontId="28" fillId="24" borderId="21" xfId="29" applyNumberFormat="1" applyFont="1" applyFill="1" applyBorder="1" applyAlignment="1" applyProtection="1">
      <alignment horizontal="right" vertical="center"/>
    </xf>
    <xf numFmtId="178" fontId="28" fillId="24" borderId="17" xfId="29" applyNumberFormat="1" applyFont="1" applyFill="1" applyBorder="1" applyAlignment="1" applyProtection="1">
      <alignment horizontal="right" vertical="center"/>
    </xf>
    <xf numFmtId="178" fontId="28" fillId="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 vertical="center"/>
    </xf>
    <xf numFmtId="178" fontId="24" fillId="20" borderId="11" xfId="29" applyNumberFormat="1" applyFont="1" applyFill="1" applyBorder="1" applyAlignment="1" applyProtection="1">
      <alignment horizontal="right"/>
    </xf>
    <xf numFmtId="178" fontId="28" fillId="24" borderId="11" xfId="29" applyNumberFormat="1" applyFont="1" applyFill="1" applyBorder="1" applyAlignment="1" applyProtection="1">
      <alignment horizontal="right"/>
    </xf>
    <xf numFmtId="178" fontId="28" fillId="24" borderId="14" xfId="29" applyNumberFormat="1" applyFont="1" applyFill="1" applyBorder="1" applyAlignment="1" applyProtection="1">
      <alignment horizontal="right"/>
    </xf>
    <xf numFmtId="178" fontId="28" fillId="24" borderId="23" xfId="29" applyNumberFormat="1" applyFont="1" applyFill="1" applyBorder="1" applyAlignment="1" applyProtection="1">
      <alignment horizontal="right"/>
    </xf>
    <xf numFmtId="10" fontId="43" fillId="0" borderId="0" xfId="50" applyNumberFormat="1" applyFont="1" applyFill="1" applyBorder="1"/>
    <xf numFmtId="10" fontId="44" fillId="0" borderId="11" xfId="50" applyNumberFormat="1" applyFont="1" applyFill="1" applyBorder="1"/>
    <xf numFmtId="10" fontId="43" fillId="0" borderId="0" xfId="50" applyNumberFormat="1" applyFont="1" applyFill="1" applyBorder="1" applyAlignment="1">
      <alignment vertical="center"/>
    </xf>
    <xf numFmtId="10" fontId="44" fillId="27" borderId="0" xfId="50" applyNumberFormat="1" applyFont="1" applyFill="1" applyBorder="1"/>
    <xf numFmtId="10" fontId="44" fillId="0" borderId="11" xfId="50" applyNumberFormat="1" applyFont="1" applyFill="1" applyBorder="1" applyAlignment="1">
      <alignment vertical="center"/>
    </xf>
    <xf numFmtId="0" fontId="43" fillId="28" borderId="0" xfId="0" applyFont="1" applyFill="1"/>
    <xf numFmtId="0" fontId="51" fillId="28" borderId="0" xfId="0" applyFont="1" applyFill="1"/>
    <xf numFmtId="178" fontId="43" fillId="28" borderId="0" xfId="29" applyNumberFormat="1" applyFont="1" applyFill="1" applyBorder="1" applyAlignment="1">
      <alignment vertical="center"/>
    </xf>
    <xf numFmtId="0" fontId="43" fillId="28" borderId="0" xfId="0" applyFont="1" applyFill="1" applyAlignment="1">
      <alignment horizontal="right"/>
    </xf>
    <xf numFmtId="166" fontId="43" fillId="28" borderId="0" xfId="0" applyNumberFormat="1" applyFont="1" applyFill="1" applyAlignment="1">
      <alignment horizontal="right"/>
    </xf>
    <xf numFmtId="166" fontId="43" fillId="28" borderId="0" xfId="0" applyNumberFormat="1" applyFont="1" applyFill="1"/>
    <xf numFmtId="10" fontId="43" fillId="28" borderId="0" xfId="0" applyNumberFormat="1" applyFont="1" applyFill="1"/>
    <xf numFmtId="165" fontId="44" fillId="28" borderId="0" xfId="0" applyNumberFormat="1" applyFont="1" applyFill="1" applyAlignment="1">
      <alignment horizontal="right"/>
    </xf>
    <xf numFmtId="166" fontId="44" fillId="28" borderId="0" xfId="50" applyNumberFormat="1" applyFont="1" applyFill="1" applyBorder="1" applyAlignment="1">
      <alignment vertical="center"/>
    </xf>
    <xf numFmtId="178" fontId="44" fillId="25" borderId="13" xfId="29" applyNumberFormat="1" applyFont="1" applyFill="1" applyBorder="1" applyAlignment="1">
      <alignment vertical="center"/>
    </xf>
    <xf numFmtId="178" fontId="44" fillId="25" borderId="19" xfId="29" applyNumberFormat="1" applyFont="1" applyFill="1" applyBorder="1" applyAlignment="1">
      <alignment vertical="center"/>
    </xf>
    <xf numFmtId="166" fontId="44" fillId="25" borderId="19" xfId="50" applyNumberFormat="1" applyFont="1" applyFill="1" applyBorder="1" applyAlignment="1">
      <alignment vertical="center"/>
    </xf>
    <xf numFmtId="165" fontId="44" fillId="0" borderId="17" xfId="0" applyNumberFormat="1" applyFont="1" applyBorder="1" applyAlignment="1">
      <alignment horizontal="right"/>
    </xf>
    <xf numFmtId="0" fontId="43" fillId="0" borderId="17" xfId="0" applyFont="1" applyBorder="1"/>
    <xf numFmtId="178" fontId="44" fillId="4" borderId="11" xfId="29" applyNumberFormat="1" applyFont="1" applyFill="1" applyBorder="1" applyAlignment="1">
      <alignment horizontal="center"/>
    </xf>
    <xf numFmtId="0" fontId="46" fillId="0" borderId="0" xfId="0" applyFont="1"/>
    <xf numFmtId="0" fontId="0" fillId="0" borderId="67" xfId="0" applyBorder="1"/>
    <xf numFmtId="0" fontId="0" fillId="0" borderId="26" xfId="0" applyBorder="1"/>
    <xf numFmtId="0" fontId="46" fillId="0" borderId="26" xfId="0" applyFont="1" applyBorder="1"/>
    <xf numFmtId="167" fontId="34" fillId="30" borderId="11" xfId="28" applyNumberFormat="1" applyFont="1" applyFill="1" applyBorder="1" applyAlignment="1" applyProtection="1">
      <alignment horizontal="center"/>
    </xf>
    <xf numFmtId="168" fontId="38" fillId="30" borderId="13" xfId="0" applyNumberFormat="1" applyFont="1" applyFill="1" applyBorder="1" applyAlignment="1">
      <alignment horizontal="center" vertical="center" wrapText="1"/>
    </xf>
    <xf numFmtId="167" fontId="34" fillId="31" borderId="11" xfId="28" applyNumberFormat="1" applyFont="1" applyFill="1" applyBorder="1" applyAlignment="1" applyProtection="1">
      <alignment horizontal="center"/>
    </xf>
    <xf numFmtId="168" fontId="38" fillId="31" borderId="13" xfId="0" applyNumberFormat="1" applyFont="1" applyFill="1" applyBorder="1" applyAlignment="1">
      <alignment horizontal="center" vertical="center" wrapText="1"/>
    </xf>
    <xf numFmtId="167" fontId="34" fillId="32" borderId="11" xfId="28" applyNumberFormat="1" applyFont="1" applyFill="1" applyBorder="1" applyAlignment="1" applyProtection="1">
      <alignment horizontal="center"/>
    </xf>
    <xf numFmtId="168" fontId="38" fillId="32" borderId="13" xfId="0" applyNumberFormat="1" applyFont="1" applyFill="1" applyBorder="1" applyAlignment="1">
      <alignment horizontal="center" vertical="center" wrapText="1"/>
    </xf>
    <xf numFmtId="167" fontId="34" fillId="27" borderId="17" xfId="28" applyNumberFormat="1" applyFont="1" applyFill="1" applyBorder="1" applyAlignment="1" applyProtection="1">
      <alignment horizontal="center"/>
    </xf>
    <xf numFmtId="0" fontId="29" fillId="27" borderId="11" xfId="0" applyFont="1" applyFill="1" applyBorder="1"/>
    <xf numFmtId="0" fontId="29" fillId="0" borderId="11" xfId="28" applyNumberFormat="1" applyFont="1" applyBorder="1" applyProtection="1"/>
    <xf numFmtId="178" fontId="53" fillId="0" borderId="0" xfId="29" applyNumberFormat="1" applyFont="1" applyProtection="1"/>
    <xf numFmtId="0" fontId="46" fillId="0" borderId="36" xfId="0" applyFont="1" applyBorder="1"/>
    <xf numFmtId="2" fontId="0" fillId="0" borderId="40" xfId="0" applyNumberFormat="1" applyBorder="1" applyAlignment="1">
      <alignment vertical="center"/>
    </xf>
    <xf numFmtId="167" fontId="0" fillId="0" borderId="11" xfId="0" quotePrefix="1" applyNumberFormat="1" applyBorder="1" applyAlignment="1" applyProtection="1">
      <alignment horizontal="center" vertical="center"/>
      <protection locked="0"/>
    </xf>
    <xf numFmtId="4" fontId="0" fillId="0" borderId="11" xfId="0" applyNumberFormat="1" applyBorder="1" applyAlignment="1">
      <alignment vertical="center" wrapText="1"/>
    </xf>
    <xf numFmtId="4" fontId="0" fillId="0" borderId="11" xfId="0" applyNumberFormat="1" applyBorder="1" applyAlignment="1">
      <alignment vertical="center"/>
    </xf>
    <xf numFmtId="168" fontId="0" fillId="0" borderId="11" xfId="0" applyNumberFormat="1" applyBorder="1" applyAlignment="1">
      <alignment vertical="center"/>
    </xf>
    <xf numFmtId="4" fontId="0" fillId="0" borderId="11" xfId="0" applyNumberFormat="1" applyBorder="1" applyAlignment="1" applyProtection="1">
      <alignment vertical="center" wrapText="1"/>
      <protection locked="0"/>
    </xf>
    <xf numFmtId="168" fontId="0" fillId="0" borderId="11" xfId="0" applyNumberFormat="1" applyBorder="1" applyAlignment="1">
      <alignment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46" fillId="0" borderId="11" xfId="0" quotePrefix="1" applyFont="1" applyBorder="1" applyAlignment="1" applyProtection="1">
      <alignment horizontal="center" vertical="center"/>
      <protection locked="0"/>
    </xf>
    <xf numFmtId="0" fontId="0" fillId="0" borderId="62" xfId="0" applyBorder="1" applyAlignment="1">
      <alignment horizontal="center" vertical="center"/>
    </xf>
    <xf numFmtId="4" fontId="0" fillId="0" borderId="62" xfId="0" applyNumberFormat="1" applyBorder="1" applyAlignment="1">
      <alignment vertical="center" wrapText="1"/>
    </xf>
    <xf numFmtId="4" fontId="0" fillId="0" borderId="62" xfId="0" applyNumberFormat="1" applyBorder="1" applyAlignment="1">
      <alignment vertical="center"/>
    </xf>
    <xf numFmtId="168" fontId="0" fillId="0" borderId="62" xfId="0" applyNumberFormat="1" applyBorder="1" applyAlignment="1">
      <alignment vertical="center"/>
    </xf>
    <xf numFmtId="2" fontId="0" fillId="0" borderId="62" xfId="0" applyNumberFormat="1" applyBorder="1" applyAlignment="1">
      <alignment vertical="center" wrapText="1"/>
    </xf>
    <xf numFmtId="16" fontId="29" fillId="0" borderId="66" xfId="0" applyNumberFormat="1" applyFont="1" applyBorder="1" applyAlignment="1">
      <alignment vertical="center"/>
    </xf>
    <xf numFmtId="0" fontId="29" fillId="0" borderId="66" xfId="0" applyFont="1" applyBorder="1" applyAlignment="1">
      <alignment horizontal="center" vertical="center"/>
    </xf>
    <xf numFmtId="4" fontId="29" fillId="0" borderId="66" xfId="0" applyNumberFormat="1" applyFont="1" applyBorder="1" applyAlignment="1">
      <alignment vertical="center"/>
    </xf>
    <xf numFmtId="171" fontId="29" fillId="0" borderId="66" xfId="0" applyNumberFormat="1" applyFont="1" applyBorder="1" applyAlignment="1">
      <alignment vertical="center"/>
    </xf>
    <xf numFmtId="168" fontId="29" fillId="0" borderId="66" xfId="0" applyNumberFormat="1" applyFont="1" applyBorder="1" applyAlignment="1">
      <alignment vertical="center"/>
    </xf>
    <xf numFmtId="2" fontId="29" fillId="0" borderId="66" xfId="0" applyNumberFormat="1" applyFont="1" applyBorder="1" applyAlignment="1">
      <alignment vertical="center" wrapText="1"/>
    </xf>
    <xf numFmtId="4" fontId="29" fillId="0" borderId="66" xfId="0" applyNumberFormat="1" applyFont="1" applyBorder="1" applyAlignment="1">
      <alignment vertical="center" wrapText="1"/>
    </xf>
    <xf numFmtId="16" fontId="0" fillId="0" borderId="11" xfId="0" applyNumberFormat="1" applyBorder="1" applyAlignment="1">
      <alignment horizontal="left" vertical="center"/>
    </xf>
    <xf numFmtId="9" fontId="0" fillId="0" borderId="11" xfId="50" applyFont="1" applyBorder="1" applyAlignment="1" applyProtection="1">
      <alignment horizontal="center" vertical="center"/>
      <protection locked="0"/>
    </xf>
    <xf numFmtId="9" fontId="0" fillId="0" borderId="62" xfId="50" applyFont="1" applyBorder="1" applyAlignment="1" applyProtection="1">
      <alignment horizontal="center" vertical="center"/>
    </xf>
    <xf numFmtId="9" fontId="29" fillId="0" borderId="66" xfId="50" applyFont="1" applyFill="1" applyBorder="1" applyAlignment="1" applyProtection="1">
      <alignment horizontal="center" vertical="center"/>
    </xf>
    <xf numFmtId="0" fontId="0" fillId="0" borderId="11" xfId="0" quotePrefix="1" applyBorder="1" applyAlignment="1" applyProtection="1">
      <alignment horizontal="center" vertical="center"/>
      <protection locked="0"/>
    </xf>
    <xf numFmtId="10" fontId="46" fillId="0" borderId="11" xfId="50" applyNumberFormat="1" applyFont="1" applyFill="1" applyBorder="1" applyAlignment="1" applyProtection="1">
      <alignment horizontal="center" vertical="center"/>
      <protection locked="0"/>
    </xf>
    <xf numFmtId="10" fontId="46" fillId="27" borderId="11" xfId="50" applyNumberFormat="1" applyFont="1" applyFill="1" applyBorder="1" applyAlignment="1" applyProtection="1">
      <alignment horizontal="center" vertical="center"/>
      <protection locked="0"/>
    </xf>
    <xf numFmtId="2" fontId="40" fillId="0" borderId="11" xfId="44" applyNumberFormat="1" applyFont="1" applyBorder="1" applyAlignment="1">
      <alignment horizontal="center"/>
    </xf>
    <xf numFmtId="165" fontId="44" fillId="31" borderId="11" xfId="29" applyNumberFormat="1" applyFont="1" applyFill="1" applyBorder="1" applyAlignment="1">
      <alignment vertical="center"/>
    </xf>
    <xf numFmtId="0" fontId="46" fillId="0" borderId="11" xfId="0" applyFont="1" applyBorder="1" applyAlignment="1" applyProtection="1">
      <alignment horizontal="center" vertical="center"/>
      <protection locked="0"/>
    </xf>
    <xf numFmtId="173" fontId="46" fillId="0" borderId="0" xfId="0" applyNumberFormat="1" applyFont="1" applyAlignment="1">
      <alignment vertical="center"/>
    </xf>
    <xf numFmtId="0" fontId="39" fillId="27" borderId="11" xfId="0" applyFont="1" applyFill="1" applyBorder="1" applyAlignment="1">
      <alignment horizontal="center" vertical="center" wrapText="1"/>
    </xf>
    <xf numFmtId="10" fontId="46" fillId="27" borderId="62" xfId="50" applyNumberFormat="1" applyFont="1" applyFill="1" applyBorder="1" applyAlignment="1" applyProtection="1">
      <alignment horizontal="center" vertical="center"/>
      <protection locked="0"/>
    </xf>
    <xf numFmtId="0" fontId="39" fillId="27" borderId="11" xfId="0" applyFont="1" applyFill="1" applyBorder="1" applyAlignment="1">
      <alignment vertical="center" wrapText="1"/>
    </xf>
    <xf numFmtId="0" fontId="54" fillId="0" borderId="0" xfId="0" applyFont="1"/>
    <xf numFmtId="0" fontId="24" fillId="24" borderId="15" xfId="0" applyFont="1" applyFill="1" applyBorder="1"/>
    <xf numFmtId="0" fontId="24" fillId="24" borderId="15" xfId="0" applyFont="1" applyFill="1" applyBorder="1" applyAlignment="1">
      <alignment horizontal="center" wrapText="1"/>
    </xf>
    <xf numFmtId="0" fontId="24" fillId="24" borderId="56" xfId="0" applyFont="1" applyFill="1" applyBorder="1"/>
    <xf numFmtId="9" fontId="24" fillId="0" borderId="21" xfId="50" applyFont="1" applyFill="1" applyBorder="1" applyAlignment="1">
      <alignment vertical="center"/>
    </xf>
    <xf numFmtId="0" fontId="24" fillId="24" borderId="21" xfId="0" applyFont="1" applyFill="1" applyBorder="1"/>
    <xf numFmtId="2" fontId="24" fillId="24" borderId="21" xfId="0" applyNumberFormat="1" applyFont="1" applyFill="1" applyBorder="1"/>
    <xf numFmtId="165" fontId="24" fillId="0" borderId="11" xfId="29" applyNumberFormat="1" applyFont="1" applyFill="1" applyBorder="1" applyAlignment="1">
      <alignment vertical="center"/>
    </xf>
    <xf numFmtId="165" fontId="24" fillId="24" borderId="21" xfId="0" applyNumberFormat="1" applyFont="1" applyFill="1" applyBorder="1"/>
    <xf numFmtId="10" fontId="43" fillId="0" borderId="13" xfId="50" applyNumberFormat="1" applyFont="1" applyFill="1" applyBorder="1" applyAlignment="1">
      <alignment vertical="center"/>
    </xf>
    <xf numFmtId="10" fontId="43" fillId="0" borderId="30" xfId="50" applyNumberFormat="1" applyFont="1" applyFill="1" applyBorder="1" applyAlignment="1">
      <alignment vertical="center"/>
    </xf>
    <xf numFmtId="0" fontId="24" fillId="24" borderId="68" xfId="0" applyFont="1" applyFill="1" applyBorder="1"/>
    <xf numFmtId="0" fontId="24" fillId="24" borderId="36" xfId="0" applyFont="1" applyFill="1" applyBorder="1"/>
    <xf numFmtId="0" fontId="24" fillId="24" borderId="26" xfId="0" applyFont="1" applyFill="1" applyBorder="1"/>
    <xf numFmtId="0" fontId="24" fillId="24" borderId="25" xfId="0" applyFont="1" applyFill="1" applyBorder="1"/>
    <xf numFmtId="0" fontId="24" fillId="24" borderId="17" xfId="0" applyFont="1" applyFill="1" applyBorder="1"/>
    <xf numFmtId="0" fontId="24" fillId="24" borderId="55" xfId="0" applyFont="1" applyFill="1" applyBorder="1"/>
    <xf numFmtId="0" fontId="24" fillId="24" borderId="45" xfId="0" applyFont="1" applyFill="1" applyBorder="1"/>
    <xf numFmtId="0" fontId="40" fillId="0" borderId="11" xfId="56" applyFont="1" applyBorder="1" applyAlignment="1">
      <alignment horizontal="left"/>
    </xf>
    <xf numFmtId="0" fontId="46" fillId="0" borderId="11" xfId="0" applyFont="1" applyBorder="1"/>
    <xf numFmtId="0" fontId="40" fillId="0" borderId="19" xfId="56" applyFont="1" applyBorder="1" applyAlignment="1">
      <alignment horizontal="left"/>
    </xf>
    <xf numFmtId="0" fontId="32" fillId="0" borderId="11" xfId="56" applyFont="1" applyBorder="1" applyAlignment="1">
      <alignment horizontal="left"/>
    </xf>
    <xf numFmtId="178" fontId="44" fillId="0" borderId="17" xfId="29" applyNumberFormat="1" applyFont="1" applyFill="1" applyBorder="1" applyAlignment="1">
      <alignment vertical="center" wrapText="1"/>
    </xf>
    <xf numFmtId="0" fontId="28" fillId="24" borderId="14" xfId="0" quotePrefix="1" applyFont="1" applyFill="1" applyBorder="1" applyAlignment="1" applyProtection="1">
      <alignment wrapText="1"/>
      <protection locked="0"/>
    </xf>
    <xf numFmtId="0" fontId="55" fillId="34" borderId="0" xfId="0" applyFont="1" applyFill="1"/>
    <xf numFmtId="180" fontId="44" fillId="25" borderId="11" xfId="29" applyNumberFormat="1" applyFont="1" applyFill="1" applyBorder="1" applyAlignment="1">
      <alignment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0" fontId="0" fillId="27" borderId="0" xfId="0" applyFill="1"/>
    <xf numFmtId="0" fontId="0" fillId="27" borderId="0" xfId="0" applyFill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2" fontId="54" fillId="27" borderId="11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9" fontId="54" fillId="27" borderId="11" xfId="50" applyFont="1" applyFill="1" applyBorder="1" applyAlignment="1">
      <alignment horizontal="center" vertical="center" wrapText="1"/>
    </xf>
    <xf numFmtId="10" fontId="0" fillId="0" borderId="11" xfId="50" applyNumberFormat="1" applyFont="1" applyBorder="1" applyAlignment="1">
      <alignment horizontal="center"/>
    </xf>
    <xf numFmtId="2" fontId="54" fillId="33" borderId="11" xfId="0" applyNumberFormat="1" applyFont="1" applyFill="1" applyBorder="1" applyAlignment="1">
      <alignment horizontal="center"/>
    </xf>
    <xf numFmtId="10" fontId="54" fillId="33" borderId="11" xfId="50" applyNumberFormat="1" applyFont="1" applyFill="1" applyBorder="1" applyAlignment="1">
      <alignment horizontal="center"/>
    </xf>
    <xf numFmtId="10" fontId="0" fillId="0" borderId="11" xfId="50" applyNumberFormat="1" applyFont="1" applyBorder="1"/>
    <xf numFmtId="10" fontId="29" fillId="0" borderId="11" xfId="0" applyNumberFormat="1" applyFont="1" applyBorder="1"/>
    <xf numFmtId="0" fontId="54" fillId="27" borderId="11" xfId="0" applyFont="1" applyFill="1" applyBorder="1" applyAlignment="1">
      <alignment horizontal="center" vertical="center"/>
    </xf>
    <xf numFmtId="14" fontId="54" fillId="27" borderId="0" xfId="0" applyNumberFormat="1" applyFont="1" applyFill="1" applyAlignment="1">
      <alignment horizontal="center" vertical="center"/>
    </xf>
    <xf numFmtId="2" fontId="54" fillId="27" borderId="0" xfId="0" applyNumberFormat="1" applyFont="1" applyFill="1" applyAlignment="1">
      <alignment horizontal="center" vertical="center" wrapText="1"/>
    </xf>
    <xf numFmtId="0" fontId="54" fillId="27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10" fontId="0" fillId="0" borderId="0" xfId="50" applyNumberFormat="1" applyFont="1" applyBorder="1" applyAlignment="1">
      <alignment horizontal="center"/>
    </xf>
    <xf numFmtId="0" fontId="0" fillId="27" borderId="11" xfId="0" applyFill="1" applyBorder="1"/>
    <xf numFmtId="0" fontId="0" fillId="0" borderId="0" xfId="0" quotePrefix="1"/>
    <xf numFmtId="14" fontId="0" fillId="0" borderId="0" xfId="0" applyNumberFormat="1" applyAlignment="1">
      <alignment horizontal="center"/>
    </xf>
    <xf numFmtId="10" fontId="0" fillId="0" borderId="11" xfId="0" applyNumberFormat="1" applyBorder="1" applyAlignment="1">
      <alignment horizontal="right"/>
    </xf>
    <xf numFmtId="0" fontId="0" fillId="0" borderId="62" xfId="0" applyBorder="1"/>
    <xf numFmtId="10" fontId="0" fillId="0" borderId="11" xfId="0" applyNumberFormat="1" applyBorder="1" applyAlignment="1">
      <alignment horizontal="center"/>
    </xf>
    <xf numFmtId="0" fontId="0" fillId="35" borderId="0" xfId="0" applyFill="1"/>
    <xf numFmtId="0" fontId="46" fillId="27" borderId="0" xfId="0" applyFont="1" applyFill="1"/>
    <xf numFmtId="0" fontId="46" fillId="35" borderId="0" xfId="0" applyFont="1" applyFill="1"/>
    <xf numFmtId="0" fontId="46" fillId="27" borderId="0" xfId="0" applyFont="1" applyFill="1" applyAlignment="1">
      <alignment horizontal="center"/>
    </xf>
    <xf numFmtId="0" fontId="46" fillId="35" borderId="0" xfId="0" applyFont="1" applyFill="1" applyAlignment="1">
      <alignment horizontal="center"/>
    </xf>
    <xf numFmtId="4" fontId="0" fillId="34" borderId="0" xfId="0" applyNumberFormat="1" applyFill="1" applyAlignment="1">
      <alignment horizontal="center" vertical="center"/>
    </xf>
    <xf numFmtId="4" fontId="0" fillId="34" borderId="0" xfId="0" applyNumberFormat="1" applyFill="1" applyAlignment="1">
      <alignment vertical="center"/>
    </xf>
    <xf numFmtId="4" fontId="0" fillId="35" borderId="0" xfId="0" applyNumberFormat="1" applyFill="1" applyAlignment="1">
      <alignment vertical="center"/>
    </xf>
    <xf numFmtId="0" fontId="0" fillId="35" borderId="0" xfId="0" applyFill="1" applyAlignment="1">
      <alignment vertical="center"/>
    </xf>
    <xf numFmtId="4" fontId="46" fillId="0" borderId="0" xfId="0" applyNumberFormat="1" applyFont="1" applyAlignment="1">
      <alignment horizontal="center" vertical="center"/>
    </xf>
    <xf numFmtId="4" fontId="46" fillId="0" borderId="0" xfId="0" applyNumberFormat="1" applyFont="1" applyAlignment="1">
      <alignment vertical="center"/>
    </xf>
    <xf numFmtId="0" fontId="29" fillId="33" borderId="11" xfId="0" applyFont="1" applyFill="1" applyBorder="1"/>
    <xf numFmtId="0" fontId="40" fillId="38" borderId="11" xfId="56" applyFont="1" applyFill="1" applyBorder="1" applyAlignment="1">
      <alignment horizontal="left"/>
    </xf>
    <xf numFmtId="0" fontId="0" fillId="39" borderId="11" xfId="0" applyFill="1" applyBorder="1"/>
    <xf numFmtId="0" fontId="46" fillId="39" borderId="11" xfId="0" applyFont="1" applyFill="1" applyBorder="1"/>
    <xf numFmtId="10" fontId="0" fillId="38" borderId="17" xfId="50" applyNumberFormat="1" applyFont="1" applyFill="1" applyBorder="1"/>
    <xf numFmtId="10" fontId="0" fillId="0" borderId="17" xfId="50" applyNumberFormat="1" applyFont="1" applyBorder="1"/>
    <xf numFmtId="0" fontId="59" fillId="0" borderId="11" xfId="56" applyFont="1" applyBorder="1" applyAlignment="1">
      <alignment horizontal="left"/>
    </xf>
    <xf numFmtId="10" fontId="58" fillId="27" borderId="11" xfId="50" applyNumberFormat="1" applyFont="1" applyFill="1" applyBorder="1"/>
    <xf numFmtId="0" fontId="23" fillId="0" borderId="0" xfId="41" applyFont="1"/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0" fontId="44" fillId="29" borderId="11" xfId="50" applyNumberFormat="1" applyFont="1" applyFill="1" applyBorder="1" applyAlignment="1">
      <alignment vertical="center"/>
    </xf>
    <xf numFmtId="10" fontId="44" fillId="4" borderId="11" xfId="50" applyNumberFormat="1" applyFont="1" applyFill="1" applyBorder="1" applyAlignment="1">
      <alignment vertical="center"/>
    </xf>
    <xf numFmtId="10" fontId="44" fillId="25" borderId="11" xfId="50" applyNumberFormat="1" applyFont="1" applyFill="1" applyBorder="1"/>
    <xf numFmtId="166" fontId="44" fillId="0" borderId="0" xfId="51" applyNumberFormat="1" applyFont="1" applyFill="1" applyBorder="1" applyAlignment="1">
      <alignment vertical="center"/>
    </xf>
    <xf numFmtId="177" fontId="43" fillId="0" borderId="11" xfId="0" applyNumberFormat="1" applyFont="1" applyBorder="1" applyAlignment="1">
      <alignment horizontal="center" vertical="center" wrapText="1"/>
    </xf>
    <xf numFmtId="2" fontId="40" fillId="0" borderId="11" xfId="45" applyNumberFormat="1" applyFont="1" applyBorder="1" applyAlignment="1">
      <alignment horizontal="center"/>
    </xf>
    <xf numFmtId="10" fontId="43" fillId="0" borderId="11" xfId="50" applyNumberFormat="1" applyFont="1" applyFill="1" applyBorder="1" applyAlignment="1">
      <alignment vertical="center"/>
    </xf>
    <xf numFmtId="178" fontId="43" fillId="0" borderId="19" xfId="29" applyNumberFormat="1" applyFont="1" applyFill="1" applyBorder="1" applyAlignment="1">
      <alignment vertical="center"/>
    </xf>
    <xf numFmtId="2" fontId="37" fillId="0" borderId="11" xfId="46" applyNumberFormat="1" applyFont="1" applyBorder="1"/>
    <xf numFmtId="2" fontId="43" fillId="0" borderId="0" xfId="0" applyNumberFormat="1" applyFont="1"/>
    <xf numFmtId="181" fontId="44" fillId="0" borderId="11" xfId="29" applyNumberFormat="1" applyFont="1" applyFill="1" applyBorder="1" applyAlignment="1">
      <alignment vertical="center"/>
    </xf>
    <xf numFmtId="10" fontId="43" fillId="28" borderId="0" xfId="0" applyNumberFormat="1" applyFont="1" applyFill="1" applyAlignment="1">
      <alignment horizontal="right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5" fontId="28" fillId="24" borderId="17" xfId="0" applyNumberFormat="1" applyFont="1" applyFill="1" applyBorder="1" applyAlignment="1" applyProtection="1">
      <alignment horizontal="left"/>
      <protection locked="0"/>
    </xf>
    <xf numFmtId="2" fontId="0" fillId="0" borderId="11" xfId="28" applyNumberFormat="1" applyFont="1" applyBorder="1" applyAlignment="1">
      <alignment horizontal="center"/>
    </xf>
    <xf numFmtId="10" fontId="0" fillId="0" borderId="0" xfId="0" applyNumberFormat="1"/>
    <xf numFmtId="178" fontId="44" fillId="40" borderId="11" xfId="60" applyNumberFormat="1" applyFont="1" applyFill="1" applyBorder="1" applyAlignment="1">
      <alignment horizontal="center" vertical="center" wrapText="1"/>
    </xf>
    <xf numFmtId="178" fontId="44" fillId="26" borderId="14" xfId="60" applyNumberFormat="1" applyFont="1" applyFill="1" applyBorder="1" applyAlignment="1">
      <alignment horizontal="center" vertical="center" wrapText="1"/>
    </xf>
    <xf numFmtId="178" fontId="44" fillId="26" borderId="11" xfId="60" applyNumberFormat="1" applyFont="1" applyFill="1" applyBorder="1" applyAlignment="1">
      <alignment horizontal="center" vertical="center" wrapText="1"/>
    </xf>
    <xf numFmtId="178" fontId="44" fillId="40" borderId="14" xfId="60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10" fontId="44" fillId="28" borderId="0" xfId="0" applyNumberFormat="1" applyFont="1" applyFill="1"/>
    <xf numFmtId="2" fontId="0" fillId="0" borderId="0" xfId="28" applyNumberFormat="1" applyFont="1" applyAlignment="1"/>
    <xf numFmtId="2" fontId="29" fillId="0" borderId="20" xfId="28" applyNumberFormat="1" applyFont="1" applyFill="1" applyBorder="1" applyAlignment="1" applyProtection="1">
      <alignment horizontal="center" vertical="center"/>
    </xf>
    <xf numFmtId="2" fontId="29" fillId="0" borderId="11" xfId="28" applyNumberFormat="1" applyFont="1" applyFill="1" applyBorder="1" applyAlignment="1" applyProtection="1">
      <alignment horizontal="center" vertical="center"/>
    </xf>
    <xf numFmtId="2" fontId="0" fillId="0" borderId="11" xfId="28" applyNumberFormat="1" applyFont="1" applyBorder="1" applyAlignment="1">
      <alignment vertical="top"/>
    </xf>
    <xf numFmtId="0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11" xfId="28" applyNumberFormat="1" applyFont="1" applyBorder="1" applyAlignment="1" applyProtection="1">
      <alignment horizontal="center" vertical="center"/>
      <protection hidden="1"/>
    </xf>
    <xf numFmtId="2" fontId="0" fillId="0" borderId="84" xfId="28" applyNumberFormat="1" applyFont="1" applyBorder="1" applyAlignment="1"/>
    <xf numFmtId="2" fontId="0" fillId="0" borderId="84" xfId="28" applyNumberFormat="1" applyFont="1" applyBorder="1" applyAlignment="1" applyProtection="1">
      <alignment horizontal="center" vertical="center"/>
      <protection hidden="1"/>
    </xf>
    <xf numFmtId="0" fontId="29" fillId="0" borderId="0" xfId="41" applyFont="1"/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wrapText="1"/>
    </xf>
    <xf numFmtId="0" fontId="46" fillId="27" borderId="0" xfId="0" applyFont="1" applyFill="1" applyAlignment="1">
      <alignment horizontal="center"/>
    </xf>
    <xf numFmtId="1" fontId="44" fillId="0" borderId="0" xfId="50" applyNumberFormat="1" applyFont="1" applyFill="1" applyBorder="1" applyAlignment="1">
      <alignment vertical="center"/>
    </xf>
    <xf numFmtId="2" fontId="29" fillId="0" borderId="85" xfId="28" applyNumberFormat="1" applyFont="1" applyBorder="1" applyAlignment="1">
      <alignment horizontal="center" vertical="center"/>
    </xf>
    <xf numFmtId="2" fontId="29" fillId="0" borderId="85" xfId="28" applyNumberFormat="1" applyFont="1" applyFill="1" applyBorder="1" applyAlignment="1" applyProtection="1">
      <alignment horizontal="center" vertical="center"/>
    </xf>
    <xf numFmtId="0" fontId="29" fillId="0" borderId="78" xfId="0" applyFont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  <xf numFmtId="0" fontId="29" fillId="0" borderId="8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81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29" fillId="0" borderId="82" xfId="0" applyFont="1" applyBorder="1" applyAlignment="1">
      <alignment horizontal="center" vertical="center" wrapText="1"/>
    </xf>
    <xf numFmtId="0" fontId="29" fillId="0" borderId="8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0" fontId="0" fillId="0" borderId="11" xfId="0" applyNumberForma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0" fontId="54" fillId="27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1" xfId="0" applyBorder="1" applyAlignment="1">
      <alignment vertical="top" wrapText="1"/>
    </xf>
    <xf numFmtId="10" fontId="1" fillId="0" borderId="11" xfId="50" applyNumberFormat="1" applyFont="1" applyFill="1" applyBorder="1" applyAlignment="1">
      <alignment horizontal="center" vertical="center"/>
    </xf>
    <xf numFmtId="10" fontId="0" fillId="0" borderId="11" xfId="50" applyNumberFormat="1" applyFont="1" applyFill="1" applyBorder="1" applyAlignment="1">
      <alignment horizontal="center" vertical="center"/>
    </xf>
    <xf numFmtId="0" fontId="46" fillId="0" borderId="11" xfId="0" applyFont="1" applyBorder="1" applyAlignment="1">
      <alignment vertical="top" wrapText="1"/>
    </xf>
    <xf numFmtId="0" fontId="54" fillId="0" borderId="60" xfId="0" applyFont="1" applyBorder="1" applyAlignment="1">
      <alignment vertical="center"/>
    </xf>
    <xf numFmtId="10" fontId="54" fillId="0" borderId="11" xfId="50" applyNumberFormat="1" applyFont="1" applyBorder="1" applyAlignment="1">
      <alignment horizontal="center"/>
    </xf>
    <xf numFmtId="0" fontId="21" fillId="0" borderId="0" xfId="41" applyFont="1"/>
    <xf numFmtId="0" fontId="22" fillId="0" borderId="0" xfId="41" applyFont="1"/>
    <xf numFmtId="165" fontId="46" fillId="11" borderId="11" xfId="28" applyFont="1" applyFill="1" applyBorder="1" applyAlignment="1" applyProtection="1">
      <alignment horizontal="center"/>
    </xf>
    <xf numFmtId="165" fontId="29" fillId="0" borderId="23" xfId="28" applyFont="1" applyBorder="1" applyProtection="1"/>
    <xf numFmtId="1" fontId="46" fillId="27" borderId="39" xfId="0" applyNumberFormat="1" applyFont="1" applyFill="1" applyBorder="1" applyAlignment="1">
      <alignment horizontal="center" vertical="center"/>
    </xf>
    <xf numFmtId="2" fontId="0" fillId="0" borderId="69" xfId="0" applyNumberFormat="1" applyBorder="1" applyAlignment="1">
      <alignment vertical="center"/>
    </xf>
    <xf numFmtId="165" fontId="28" fillId="24" borderId="17" xfId="0" applyNumberFormat="1" applyFont="1" applyFill="1" applyBorder="1" applyAlignment="1" applyProtection="1">
      <alignment horizontal="center"/>
      <protection locked="0"/>
    </xf>
    <xf numFmtId="0" fontId="28" fillId="24" borderId="17" xfId="0" quotePrefix="1" applyFont="1" applyFill="1" applyBorder="1" applyAlignment="1" applyProtection="1">
      <alignment wrapText="1"/>
      <protection locked="0"/>
    </xf>
    <xf numFmtId="0" fontId="28" fillId="24" borderId="85" xfId="0" applyFont="1" applyFill="1" applyBorder="1" applyAlignment="1" applyProtection="1">
      <alignment horizontal="center"/>
      <protection locked="0"/>
    </xf>
    <xf numFmtId="0" fontId="29" fillId="24" borderId="13" xfId="0" quotePrefix="1" applyFont="1" applyFill="1" applyBorder="1" applyAlignment="1" applyProtection="1">
      <alignment wrapText="1"/>
      <protection locked="0"/>
    </xf>
    <xf numFmtId="0" fontId="46" fillId="0" borderId="68" xfId="0" applyFont="1" applyBorder="1"/>
    <xf numFmtId="0" fontId="0" fillId="0" borderId="0" xfId="0" applyFill="1" applyBorder="1"/>
    <xf numFmtId="0" fontId="46" fillId="0" borderId="0" xfId="0" applyFont="1" applyFill="1" applyBorder="1"/>
    <xf numFmtId="0" fontId="46" fillId="0" borderId="0" xfId="0" applyFont="1" applyBorder="1"/>
    <xf numFmtId="0" fontId="0" fillId="0" borderId="0" xfId="0" applyBorder="1"/>
    <xf numFmtId="173" fontId="46" fillId="0" borderId="86" xfId="0" applyNumberFormat="1" applyFont="1" applyBorder="1"/>
    <xf numFmtId="173" fontId="46" fillId="0" borderId="35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7" fontId="0" fillId="0" borderId="35" xfId="28" applyNumberFormat="1" applyFont="1" applyBorder="1" applyAlignment="1">
      <alignment horizontal="center" vertical="center" wrapText="1"/>
    </xf>
    <xf numFmtId="1" fontId="49" fillId="0" borderId="39" xfId="0" applyNumberFormat="1" applyFont="1" applyBorder="1" applyAlignment="1">
      <alignment horizontal="center" vertical="center"/>
    </xf>
    <xf numFmtId="1" fontId="43" fillId="0" borderId="0" xfId="29" applyNumberFormat="1" applyFont="1" applyFill="1" applyBorder="1" applyAlignment="1">
      <alignment vertical="center"/>
    </xf>
    <xf numFmtId="1" fontId="43" fillId="0" borderId="0" xfId="0" applyNumberFormat="1" applyFont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3" fillId="0" borderId="85" xfId="0" applyFont="1" applyBorder="1"/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24" fillId="24" borderId="0" xfId="0" applyFont="1" applyFill="1" applyAlignment="1">
      <alignment horizontal="left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4" fillId="0" borderId="14" xfId="0" applyFont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27" borderId="0" xfId="0" applyFont="1" applyFill="1" applyAlignment="1">
      <alignment horizontal="center"/>
    </xf>
    <xf numFmtId="180" fontId="43" fillId="0" borderId="0" xfId="0" applyNumberFormat="1" applyFont="1"/>
    <xf numFmtId="169" fontId="36" fillId="0" borderId="0" xfId="0" applyNumberFormat="1" applyFont="1" applyAlignment="1">
      <alignment horizontal="center" vertical="center"/>
    </xf>
    <xf numFmtId="168" fontId="39" fillId="0" borderId="11" xfId="0" applyNumberFormat="1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39" fillId="0" borderId="70" xfId="0" applyFont="1" applyBorder="1" applyAlignment="1">
      <alignment horizontal="center" vertical="center" wrapText="1"/>
    </xf>
    <xf numFmtId="0" fontId="39" fillId="0" borderId="71" xfId="0" applyFont="1" applyBorder="1" applyAlignment="1">
      <alignment horizontal="center" vertical="center" wrapText="1"/>
    </xf>
    <xf numFmtId="0" fontId="39" fillId="0" borderId="72" xfId="0" applyFont="1" applyBorder="1" applyAlignment="1">
      <alignment horizontal="center" vertical="center" wrapText="1"/>
    </xf>
    <xf numFmtId="0" fontId="39" fillId="27" borderId="58" xfId="0" applyFont="1" applyFill="1" applyBorder="1" applyAlignment="1">
      <alignment horizontal="center" vertical="center" wrapText="1"/>
    </xf>
    <xf numFmtId="0" fontId="39" fillId="27" borderId="31" xfId="0" applyFont="1" applyFill="1" applyBorder="1" applyAlignment="1">
      <alignment horizontal="center" vertical="center" wrapText="1"/>
    </xf>
    <xf numFmtId="0" fontId="39" fillId="27" borderId="28" xfId="0" applyFont="1" applyFill="1" applyBorder="1" applyAlignment="1">
      <alignment horizontal="center" vertical="center" wrapText="1"/>
    </xf>
    <xf numFmtId="0" fontId="39" fillId="27" borderId="60" xfId="0" applyFont="1" applyFill="1" applyBorder="1" applyAlignment="1">
      <alignment horizontal="center" vertical="center" wrapText="1"/>
    </xf>
    <xf numFmtId="171" fontId="39" fillId="0" borderId="11" xfId="0" applyNumberFormat="1" applyFont="1" applyBorder="1" applyAlignment="1">
      <alignment horizontal="center" vertical="center" wrapText="1"/>
    </xf>
    <xf numFmtId="2" fontId="39" fillId="0" borderId="11" xfId="0" applyNumberFormat="1" applyFont="1" applyBorder="1" applyAlignment="1">
      <alignment horizontal="center" vertical="center" wrapText="1"/>
    </xf>
    <xf numFmtId="4" fontId="39" fillId="0" borderId="11" xfId="0" applyNumberFormat="1" applyFont="1" applyBorder="1" applyAlignment="1">
      <alignment horizontal="center" vertical="center" wrapText="1"/>
    </xf>
    <xf numFmtId="0" fontId="46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46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46" fillId="27" borderId="0" xfId="0" applyFont="1" applyFill="1" applyAlignment="1">
      <alignment horizontal="center"/>
    </xf>
    <xf numFmtId="0" fontId="46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0" fillId="0" borderId="0" xfId="0" applyAlignment="1">
      <alignment horizontal="center" vertical="center"/>
    </xf>
    <xf numFmtId="169" fontId="36" fillId="0" borderId="0" xfId="0" applyNumberFormat="1" applyFont="1" applyAlignment="1">
      <alignment horizontal="center" vertical="justify" wrapText="1"/>
    </xf>
    <xf numFmtId="167" fontId="34" fillId="0" borderId="20" xfId="28" applyNumberFormat="1" applyFont="1" applyFill="1" applyBorder="1" applyAlignment="1" applyProtection="1">
      <alignment horizontal="center"/>
    </xf>
    <xf numFmtId="167" fontId="34" fillId="27" borderId="58" xfId="28" applyNumberFormat="1" applyFont="1" applyFill="1" applyBorder="1" applyAlignment="1" applyProtection="1">
      <alignment horizontal="center"/>
    </xf>
    <xf numFmtId="167" fontId="34" fillId="27" borderId="59" xfId="28" applyNumberFormat="1" applyFont="1" applyFill="1" applyBorder="1" applyAlignment="1" applyProtection="1">
      <alignment horizontal="center"/>
    </xf>
    <xf numFmtId="167" fontId="34" fillId="27" borderId="31" xfId="28" applyNumberFormat="1" applyFont="1" applyFill="1" applyBorder="1" applyAlignment="1" applyProtection="1">
      <alignment horizontal="center"/>
    </xf>
    <xf numFmtId="167" fontId="34" fillId="27" borderId="30" xfId="28" applyNumberFormat="1" applyFont="1" applyFill="1" applyBorder="1" applyAlignment="1" applyProtection="1">
      <alignment horizontal="center"/>
    </xf>
    <xf numFmtId="167" fontId="34" fillId="27" borderId="61" xfId="28" applyNumberFormat="1" applyFont="1" applyFill="1" applyBorder="1" applyAlignment="1" applyProtection="1">
      <alignment horizontal="center"/>
    </xf>
    <xf numFmtId="167" fontId="34" fillId="27" borderId="16" xfId="28" applyNumberFormat="1" applyFont="1" applyFill="1" applyBorder="1" applyAlignment="1" applyProtection="1">
      <alignment horizontal="center"/>
    </xf>
    <xf numFmtId="0" fontId="41" fillId="4" borderId="14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0" fontId="41" fillId="4" borderId="17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 wrapText="1"/>
    </xf>
    <xf numFmtId="0" fontId="34" fillId="4" borderId="62" xfId="0" applyFont="1" applyFill="1" applyBorder="1" applyAlignment="1">
      <alignment horizontal="center" vertical="center" wrapText="1"/>
    </xf>
    <xf numFmtId="0" fontId="34" fillId="4" borderId="17" xfId="0" applyFont="1" applyFill="1" applyBorder="1" applyAlignment="1">
      <alignment horizontal="center" vertical="center" wrapText="1"/>
    </xf>
    <xf numFmtId="167" fontId="34" fillId="30" borderId="13" xfId="28" applyNumberFormat="1" applyFont="1" applyFill="1" applyBorder="1" applyAlignment="1" applyProtection="1">
      <alignment horizontal="center"/>
    </xf>
    <xf numFmtId="167" fontId="34" fillId="30" borderId="20" xfId="28" applyNumberFormat="1" applyFont="1" applyFill="1" applyBorder="1" applyAlignment="1" applyProtection="1">
      <alignment horizontal="center"/>
    </xf>
    <xf numFmtId="167" fontId="34" fillId="30" borderId="19" xfId="28" applyNumberFormat="1" applyFont="1" applyFill="1" applyBorder="1" applyAlignment="1" applyProtection="1">
      <alignment horizontal="center"/>
    </xf>
    <xf numFmtId="167" fontId="34" fillId="31" borderId="13" xfId="28" applyNumberFormat="1" applyFont="1" applyFill="1" applyBorder="1" applyAlignment="1" applyProtection="1">
      <alignment horizontal="center"/>
    </xf>
    <xf numFmtId="167" fontId="34" fillId="31" borderId="20" xfId="28" applyNumberFormat="1" applyFont="1" applyFill="1" applyBorder="1" applyAlignment="1" applyProtection="1">
      <alignment horizontal="center"/>
    </xf>
    <xf numFmtId="167" fontId="34" fillId="31" borderId="19" xfId="28" applyNumberFormat="1" applyFont="1" applyFill="1" applyBorder="1" applyAlignment="1" applyProtection="1">
      <alignment horizontal="center"/>
    </xf>
    <xf numFmtId="167" fontId="34" fillId="32" borderId="13" xfId="28" applyNumberFormat="1" applyFont="1" applyFill="1" applyBorder="1" applyAlignment="1" applyProtection="1">
      <alignment horizontal="center"/>
    </xf>
    <xf numFmtId="167" fontId="34" fillId="32" borderId="20" xfId="28" applyNumberFormat="1" applyFont="1" applyFill="1" applyBorder="1" applyAlignment="1" applyProtection="1">
      <alignment horizontal="center"/>
    </xf>
    <xf numFmtId="167" fontId="34" fillId="32" borderId="19" xfId="28" applyNumberFormat="1" applyFont="1" applyFill="1" applyBorder="1" applyAlignment="1" applyProtection="1">
      <alignment horizontal="center"/>
    </xf>
    <xf numFmtId="178" fontId="44" fillId="0" borderId="62" xfId="29" applyNumberFormat="1" applyFont="1" applyFill="1" applyBorder="1" applyAlignment="1">
      <alignment horizontal="center" vertical="center" wrapText="1"/>
    </xf>
    <xf numFmtId="178" fontId="44" fillId="0" borderId="17" xfId="29" applyNumberFormat="1" applyFont="1" applyFill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178" fontId="44" fillId="40" borderId="58" xfId="60" applyNumberFormat="1" applyFont="1" applyFill="1" applyBorder="1" applyAlignment="1">
      <alignment horizontal="center" vertical="center" wrapText="1"/>
    </xf>
    <xf numFmtId="178" fontId="44" fillId="40" borderId="31" xfId="60" applyNumberFormat="1" applyFont="1" applyFill="1" applyBorder="1" applyAlignment="1">
      <alignment horizontal="center" vertical="center" wrapText="1"/>
    </xf>
    <xf numFmtId="178" fontId="44" fillId="26" borderId="13" xfId="60" applyNumberFormat="1" applyFont="1" applyFill="1" applyBorder="1" applyAlignment="1">
      <alignment horizontal="center" vertical="center" wrapText="1"/>
    </xf>
    <xf numFmtId="178" fontId="44" fillId="26" borderId="19" xfId="60" applyNumberFormat="1" applyFont="1" applyFill="1" applyBorder="1" applyAlignment="1">
      <alignment horizontal="center" vertical="center" wrapText="1"/>
    </xf>
    <xf numFmtId="178" fontId="45" fillId="25" borderId="11" xfId="29" applyNumberFormat="1" applyFont="1" applyFill="1" applyBorder="1" applyAlignment="1">
      <alignment horizontal="center"/>
    </xf>
    <xf numFmtId="178" fontId="44" fillId="4" borderId="11" xfId="29" applyNumberFormat="1" applyFont="1" applyFill="1" applyBorder="1" applyAlignment="1">
      <alignment horizontal="center" vertical="center" wrapText="1"/>
    </xf>
    <xf numFmtId="178" fontId="44" fillId="4" borderId="14" xfId="29" applyNumberFormat="1" applyFont="1" applyFill="1" applyBorder="1" applyAlignment="1">
      <alignment horizontal="center" vertical="center" wrapText="1"/>
    </xf>
    <xf numFmtId="178" fontId="44" fillId="0" borderId="11" xfId="29" applyNumberFormat="1" applyFont="1" applyFill="1" applyBorder="1" applyAlignment="1">
      <alignment horizontal="center" vertical="center" wrapText="1"/>
    </xf>
    <xf numFmtId="178" fontId="44" fillId="0" borderId="14" xfId="29" applyNumberFormat="1" applyFont="1" applyFill="1" applyBorder="1" applyAlignment="1">
      <alignment horizontal="center" vertical="center" wrapText="1"/>
    </xf>
    <xf numFmtId="178" fontId="44" fillId="26" borderId="14" xfId="29" applyNumberFormat="1" applyFont="1" applyFill="1" applyBorder="1" applyAlignment="1">
      <alignment horizontal="center" vertical="center" wrapText="1"/>
    </xf>
    <xf numFmtId="178" fontId="44" fillId="26" borderId="62" xfId="29" applyNumberFormat="1" applyFont="1" applyFill="1" applyBorder="1" applyAlignment="1">
      <alignment horizontal="center" vertical="center" wrapText="1"/>
    </xf>
    <xf numFmtId="178" fontId="44" fillId="26" borderId="17" xfId="29" applyNumberFormat="1" applyFont="1" applyFill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right"/>
    </xf>
    <xf numFmtId="178" fontId="44" fillId="0" borderId="19" xfId="29" applyNumberFormat="1" applyFont="1" applyFill="1" applyBorder="1" applyAlignment="1">
      <alignment horizontal="right"/>
    </xf>
    <xf numFmtId="178" fontId="44" fillId="25" borderId="11" xfId="29" applyNumberFormat="1" applyFont="1" applyFill="1" applyBorder="1" applyAlignment="1">
      <alignment horizontal="center" vertical="center" wrapText="1"/>
    </xf>
    <xf numFmtId="178" fontId="44" fillId="25" borderId="14" xfId="29" applyNumberFormat="1" applyFont="1" applyFill="1" applyBorder="1" applyAlignment="1">
      <alignment horizontal="center" vertical="center" wrapText="1"/>
    </xf>
    <xf numFmtId="178" fontId="44" fillId="4" borderId="58" xfId="29" applyNumberFormat="1" applyFont="1" applyFill="1" applyBorder="1" applyAlignment="1">
      <alignment horizontal="center" vertical="center" wrapText="1"/>
    </xf>
    <xf numFmtId="178" fontId="44" fillId="4" borderId="31" xfId="29" applyNumberFormat="1" applyFont="1" applyFill="1" applyBorder="1" applyAlignment="1">
      <alignment horizontal="center" vertical="center" wrapText="1"/>
    </xf>
    <xf numFmtId="178" fontId="44" fillId="4" borderId="30" xfId="29" applyNumberFormat="1" applyFont="1" applyFill="1" applyBorder="1" applyAlignment="1">
      <alignment horizontal="center" vertical="center" wrapText="1"/>
    </xf>
    <xf numFmtId="178" fontId="44" fillId="4" borderId="16" xfId="29" applyNumberFormat="1" applyFont="1" applyFill="1" applyBorder="1" applyAlignment="1">
      <alignment horizontal="center" vertical="center" wrapText="1"/>
    </xf>
    <xf numFmtId="178" fontId="44" fillId="22" borderId="14" xfId="29" applyNumberFormat="1" applyFont="1" applyFill="1" applyBorder="1" applyAlignment="1">
      <alignment horizontal="center" vertical="center" wrapText="1"/>
    </xf>
    <xf numFmtId="178" fontId="44" fillId="22" borderId="62" xfId="29" applyNumberFormat="1" applyFont="1" applyFill="1" applyBorder="1" applyAlignment="1">
      <alignment horizontal="center" vertical="center" wrapText="1"/>
    </xf>
    <xf numFmtId="178" fontId="44" fillId="22" borderId="17" xfId="29" applyNumberFormat="1" applyFont="1" applyFill="1" applyBorder="1" applyAlignment="1">
      <alignment horizontal="center" vertical="center" wrapText="1"/>
    </xf>
    <xf numFmtId="164" fontId="44" fillId="0" borderId="14" xfId="29" applyFont="1" applyFill="1" applyBorder="1" applyAlignment="1">
      <alignment horizontal="center" vertical="center" wrapText="1"/>
    </xf>
    <xf numFmtId="164" fontId="44" fillId="0" borderId="62" xfId="29" applyFont="1" applyFill="1" applyBorder="1" applyAlignment="1">
      <alignment horizontal="center" vertical="center" wrapText="1"/>
    </xf>
    <xf numFmtId="0" fontId="44" fillId="0" borderId="17" xfId="0" applyFont="1" applyBorder="1" applyAlignment="1">
      <alignment horizontal="center" vertical="center" wrapText="1"/>
    </xf>
    <xf numFmtId="0" fontId="51" fillId="22" borderId="11" xfId="0" applyFont="1" applyFill="1" applyBorder="1" applyAlignment="1">
      <alignment horizontal="center"/>
    </xf>
    <xf numFmtId="164" fontId="44" fillId="0" borderId="58" xfId="29" applyFont="1" applyFill="1" applyBorder="1" applyAlignment="1">
      <alignment horizontal="center" vertical="center"/>
    </xf>
    <xf numFmtId="164" fontId="44" fillId="0" borderId="59" xfId="29" applyFont="1" applyFill="1" applyBorder="1" applyAlignment="1">
      <alignment horizontal="center" vertical="center"/>
    </xf>
    <xf numFmtId="164" fontId="44" fillId="0" borderId="31" xfId="29" applyFont="1" applyFill="1" applyBorder="1" applyAlignment="1">
      <alignment horizontal="center" vertical="center"/>
    </xf>
    <xf numFmtId="164" fontId="44" fillId="0" borderId="30" xfId="29" applyFont="1" applyFill="1" applyBorder="1" applyAlignment="1">
      <alignment horizontal="center" vertical="center"/>
    </xf>
    <xf numFmtId="164" fontId="44" fillId="0" borderId="61" xfId="29" applyFont="1" applyFill="1" applyBorder="1" applyAlignment="1">
      <alignment horizontal="center" vertical="center"/>
    </xf>
    <xf numFmtId="164" fontId="44" fillId="0" borderId="16" xfId="29" applyFont="1" applyFill="1" applyBorder="1" applyAlignment="1">
      <alignment horizontal="center" vertical="center"/>
    </xf>
    <xf numFmtId="177" fontId="44" fillId="0" borderId="58" xfId="0" applyNumberFormat="1" applyFont="1" applyBorder="1" applyAlignment="1">
      <alignment horizontal="center" vertical="center"/>
    </xf>
    <xf numFmtId="177" fontId="44" fillId="0" borderId="59" xfId="0" applyNumberFormat="1" applyFont="1" applyBorder="1" applyAlignment="1">
      <alignment horizontal="center" vertical="center"/>
    </xf>
    <xf numFmtId="0" fontId="44" fillId="0" borderId="31" xfId="0" applyFont="1" applyBorder="1" applyAlignment="1">
      <alignment horizontal="center" vertical="center"/>
    </xf>
    <xf numFmtId="177" fontId="44" fillId="0" borderId="30" xfId="0" applyNumberFormat="1" applyFont="1" applyBorder="1" applyAlignment="1">
      <alignment horizontal="center" vertical="center"/>
    </xf>
    <xf numFmtId="177" fontId="44" fillId="0" borderId="61" xfId="0" applyNumberFormat="1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178" fontId="44" fillId="25" borderId="62" xfId="29" applyNumberFormat="1" applyFont="1" applyFill="1" applyBorder="1" applyAlignment="1">
      <alignment horizontal="center" vertical="center" wrapText="1"/>
    </xf>
    <xf numFmtId="178" fontId="44" fillId="40" borderId="85" xfId="60" applyNumberFormat="1" applyFont="1" applyFill="1" applyBorder="1" applyAlignment="1">
      <alignment horizontal="center" vertical="center" wrapText="1"/>
    </xf>
    <xf numFmtId="178" fontId="44" fillId="40" borderId="62" xfId="60" applyNumberFormat="1" applyFont="1" applyFill="1" applyBorder="1" applyAlignment="1">
      <alignment horizontal="center" vertical="center" wrapText="1"/>
    </xf>
    <xf numFmtId="178" fontId="44" fillId="40" borderId="17" xfId="60" applyNumberFormat="1" applyFont="1" applyFill="1" applyBorder="1" applyAlignment="1">
      <alignment horizontal="center" vertical="center" wrapText="1"/>
    </xf>
    <xf numFmtId="178" fontId="44" fillId="26" borderId="85" xfId="60" applyNumberFormat="1" applyFont="1" applyFill="1" applyBorder="1" applyAlignment="1">
      <alignment horizontal="center" vertical="center" wrapText="1"/>
    </xf>
    <xf numFmtId="178" fontId="44" fillId="26" borderId="62" xfId="60" applyNumberFormat="1" applyFont="1" applyFill="1" applyBorder="1" applyAlignment="1">
      <alignment horizontal="center" vertical="center" wrapText="1"/>
    </xf>
    <xf numFmtId="178" fontId="44" fillId="26" borderId="17" xfId="60" applyNumberFormat="1" applyFont="1" applyFill="1" applyBorder="1" applyAlignment="1">
      <alignment horizontal="center" vertical="center" wrapText="1"/>
    </xf>
    <xf numFmtId="0" fontId="44" fillId="0" borderId="11" xfId="0" applyFont="1" applyBorder="1" applyAlignment="1">
      <alignment horizontal="center" vertical="center" wrapText="1"/>
    </xf>
    <xf numFmtId="0" fontId="44" fillId="0" borderId="85" xfId="0" applyFont="1" applyBorder="1" applyAlignment="1">
      <alignment horizontal="center" vertical="center" wrapText="1"/>
    </xf>
    <xf numFmtId="178" fontId="44" fillId="0" borderId="13" xfId="29" applyNumberFormat="1" applyFont="1" applyFill="1" applyBorder="1" applyAlignment="1">
      <alignment horizontal="center" vertical="center" wrapText="1"/>
    </xf>
    <xf numFmtId="178" fontId="44" fillId="0" borderId="20" xfId="29" applyNumberFormat="1" applyFont="1" applyFill="1" applyBorder="1" applyAlignment="1">
      <alignment horizontal="center" vertical="center" wrapText="1"/>
    </xf>
    <xf numFmtId="178" fontId="44" fillId="0" borderId="19" xfId="29" applyNumberFormat="1" applyFont="1" applyFill="1" applyBorder="1" applyAlignment="1">
      <alignment horizontal="center" vertical="center" wrapText="1"/>
    </xf>
    <xf numFmtId="166" fontId="44" fillId="25" borderId="14" xfId="50" applyNumberFormat="1" applyFont="1" applyFill="1" applyBorder="1" applyAlignment="1">
      <alignment horizontal="center" vertical="center" wrapText="1"/>
    </xf>
    <xf numFmtId="166" fontId="44" fillId="25" borderId="62" xfId="50" applyNumberFormat="1" applyFont="1" applyFill="1" applyBorder="1" applyAlignment="1">
      <alignment horizontal="center" vertical="center" wrapText="1"/>
    </xf>
    <xf numFmtId="166" fontId="44" fillId="25" borderId="17" xfId="50" applyNumberFormat="1" applyFont="1" applyFill="1" applyBorder="1" applyAlignment="1">
      <alignment horizontal="center" vertical="center" wrapText="1"/>
    </xf>
    <xf numFmtId="2" fontId="29" fillId="0" borderId="13" xfId="28" applyNumberFormat="1" applyFont="1" applyBorder="1" applyAlignment="1">
      <alignment horizontal="center" vertical="center"/>
    </xf>
    <xf numFmtId="2" fontId="29" fillId="0" borderId="19" xfId="28" applyNumberFormat="1" applyFont="1" applyBorder="1" applyAlignment="1">
      <alignment horizontal="center" vertical="center"/>
    </xf>
    <xf numFmtId="2" fontId="29" fillId="0" borderId="11" xfId="28" applyNumberFormat="1" applyFont="1" applyBorder="1" applyAlignment="1">
      <alignment horizontal="center" vertical="center"/>
    </xf>
    <xf numFmtId="0" fontId="29" fillId="0" borderId="76" xfId="41" applyFont="1" applyBorder="1" applyAlignment="1">
      <alignment horizontal="center"/>
    </xf>
    <xf numFmtId="0" fontId="29" fillId="0" borderId="77" xfId="41" applyFont="1" applyBorder="1" applyAlignment="1">
      <alignment horizontal="center"/>
    </xf>
    <xf numFmtId="0" fontId="29" fillId="0" borderId="22" xfId="41" applyFont="1" applyBorder="1" applyAlignment="1">
      <alignment horizontal="center"/>
    </xf>
    <xf numFmtId="2" fontId="29" fillId="0" borderId="30" xfId="28" applyNumberFormat="1" applyFont="1" applyBorder="1" applyAlignment="1">
      <alignment horizontal="center" vertical="center"/>
    </xf>
    <xf numFmtId="2" fontId="29" fillId="0" borderId="61" xfId="28" applyNumberFormat="1" applyFont="1" applyBorder="1" applyAlignment="1">
      <alignment horizontal="center" vertical="center"/>
    </xf>
    <xf numFmtId="2" fontId="29" fillId="0" borderId="16" xfId="28" applyNumberFormat="1" applyFont="1" applyBorder="1" applyAlignment="1">
      <alignment horizontal="center" vertical="center"/>
    </xf>
    <xf numFmtId="2" fontId="29" fillId="0" borderId="20" xfId="28" applyNumberFormat="1" applyFont="1" applyBorder="1" applyAlignment="1">
      <alignment horizontal="center" vertical="center"/>
    </xf>
    <xf numFmtId="2" fontId="0" fillId="0" borderId="13" xfId="28" applyNumberFormat="1" applyFont="1" applyBorder="1" applyAlignment="1">
      <alignment horizontal="center"/>
    </xf>
    <xf numFmtId="2" fontId="0" fillId="0" borderId="20" xfId="28" applyNumberFormat="1" applyFont="1" applyBorder="1" applyAlignment="1">
      <alignment horizontal="center"/>
    </xf>
    <xf numFmtId="2" fontId="0" fillId="0" borderId="19" xfId="28" applyNumberFormat="1" applyFont="1" applyBorder="1" applyAlignment="1">
      <alignment horizontal="center"/>
    </xf>
    <xf numFmtId="2" fontId="0" fillId="0" borderId="11" xfId="28" applyNumberFormat="1" applyFont="1" applyBorder="1" applyAlignment="1">
      <alignment horizontal="center" vertical="center"/>
    </xf>
    <xf numFmtId="0" fontId="29" fillId="0" borderId="44" xfId="41" applyFont="1" applyBorder="1" applyAlignment="1">
      <alignment horizontal="center" vertical="center"/>
    </xf>
    <xf numFmtId="0" fontId="29" fillId="0" borderId="74" xfId="41" applyFont="1" applyBorder="1" applyAlignment="1">
      <alignment horizontal="center" vertical="center"/>
    </xf>
    <xf numFmtId="0" fontId="29" fillId="0" borderId="46" xfId="41" applyFont="1" applyBorder="1" applyAlignment="1">
      <alignment horizontal="center" vertical="center"/>
    </xf>
    <xf numFmtId="0" fontId="29" fillId="0" borderId="54" xfId="41" applyFont="1" applyBorder="1" applyAlignment="1">
      <alignment horizontal="center" vertical="center"/>
    </xf>
    <xf numFmtId="0" fontId="29" fillId="0" borderId="62" xfId="41" applyFont="1" applyBorder="1" applyAlignment="1">
      <alignment horizontal="center" vertical="center"/>
    </xf>
    <xf numFmtId="0" fontId="29" fillId="0" borderId="29" xfId="4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11" borderId="54" xfId="41" applyFont="1" applyFill="1" applyBorder="1" applyAlignment="1">
      <alignment horizontal="center" vertical="center" wrapText="1"/>
    </xf>
    <xf numFmtId="0" fontId="29" fillId="11" borderId="62" xfId="41" applyFont="1" applyFill="1" applyBorder="1" applyAlignment="1">
      <alignment horizontal="center" vertical="center" wrapText="1"/>
    </xf>
    <xf numFmtId="0" fontId="29" fillId="11" borderId="29" xfId="41" applyFont="1" applyFill="1" applyBorder="1" applyAlignment="1">
      <alignment horizontal="center" vertical="center" wrapText="1"/>
    </xf>
    <xf numFmtId="10" fontId="58" fillId="27" borderId="11" xfId="0" applyNumberFormat="1" applyFont="1" applyFill="1" applyBorder="1" applyAlignment="1">
      <alignment horizontal="center" vertical="center"/>
    </xf>
    <xf numFmtId="0" fontId="58" fillId="27" borderId="11" xfId="0" applyFont="1" applyFill="1" applyBorder="1" applyAlignment="1">
      <alignment horizontal="center" vertical="center"/>
    </xf>
    <xf numFmtId="0" fontId="29" fillId="0" borderId="78" xfId="0" applyFont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0" fontId="29" fillId="0" borderId="80" xfId="0" applyFont="1" applyBorder="1" applyAlignment="1">
      <alignment horizontal="center" vertical="center" wrapText="1"/>
    </xf>
    <xf numFmtId="10" fontId="54" fillId="0" borderId="85" xfId="50" applyNumberFormat="1" applyFont="1" applyFill="1" applyBorder="1" applyAlignment="1">
      <alignment horizontal="center" vertical="center"/>
    </xf>
    <xf numFmtId="10" fontId="54" fillId="0" borderId="17" xfId="50" applyNumberFormat="1" applyFont="1" applyFill="1" applyBorder="1" applyAlignment="1">
      <alignment horizontal="center" vertical="center"/>
    </xf>
    <xf numFmtId="0" fontId="54" fillId="27" borderId="11" xfId="0" applyFont="1" applyFill="1" applyBorder="1" applyAlignment="1">
      <alignment horizontal="center"/>
    </xf>
    <xf numFmtId="0" fontId="54" fillId="0" borderId="11" xfId="0" applyFont="1" applyBorder="1" applyAlignment="1">
      <alignment horizontal="center" vertical="center"/>
    </xf>
    <xf numFmtId="10" fontId="1" fillId="0" borderId="85" xfId="50" applyNumberFormat="1" applyFont="1" applyFill="1" applyBorder="1" applyAlignment="1">
      <alignment horizontal="center" vertical="center"/>
    </xf>
    <xf numFmtId="10" fontId="1" fillId="0" borderId="17" xfId="50" applyNumberFormat="1" applyFont="1" applyFill="1" applyBorder="1" applyAlignment="1">
      <alignment horizontal="center" vertical="center"/>
    </xf>
    <xf numFmtId="0" fontId="54" fillId="0" borderId="85" xfId="0" applyFont="1" applyBorder="1" applyAlignment="1">
      <alignment horizontal="left" vertical="center"/>
    </xf>
    <xf numFmtId="0" fontId="54" fillId="0" borderId="17" xfId="0" applyFont="1" applyBorder="1" applyAlignment="1">
      <alignment horizontal="left" vertical="center"/>
    </xf>
    <xf numFmtId="10" fontId="1" fillId="0" borderId="11" xfId="50" applyNumberFormat="1" applyFont="1" applyFill="1" applyBorder="1" applyAlignment="1">
      <alignment horizontal="center" vertical="center"/>
    </xf>
    <xf numFmtId="10" fontId="57" fillId="0" borderId="11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10" fontId="56" fillId="0" borderId="11" xfId="0" applyNumberFormat="1" applyFont="1" applyBorder="1" applyAlignment="1">
      <alignment horizontal="center" vertical="center"/>
    </xf>
    <xf numFmtId="0" fontId="56" fillId="0" borderId="11" xfId="0" applyFont="1" applyBorder="1" applyAlignment="1">
      <alignment horizontal="center" vertical="center"/>
    </xf>
    <xf numFmtId="0" fontId="54" fillId="0" borderId="85" xfId="0" applyFont="1" applyBorder="1" applyAlignment="1">
      <alignment horizontal="center" vertical="center"/>
    </xf>
    <xf numFmtId="0" fontId="54" fillId="0" borderId="62" xfId="0" applyFont="1" applyBorder="1" applyAlignment="1">
      <alignment horizontal="center" vertical="center"/>
    </xf>
    <xf numFmtId="0" fontId="54" fillId="0" borderId="62" xfId="0" applyFont="1" applyBorder="1" applyAlignment="1">
      <alignment horizontal="left" vertical="center"/>
    </xf>
    <xf numFmtId="10" fontId="1" fillId="0" borderId="62" xfId="50" applyNumberFormat="1" applyFont="1" applyFill="1" applyBorder="1" applyAlignment="1">
      <alignment horizontal="center" vertical="center"/>
    </xf>
    <xf numFmtId="10" fontId="54" fillId="0" borderId="11" xfId="0" applyNumberFormat="1" applyFont="1" applyBorder="1" applyAlignment="1">
      <alignment horizontal="center" vertical="center"/>
    </xf>
    <xf numFmtId="0" fontId="54" fillId="27" borderId="11" xfId="0" applyFont="1" applyFill="1" applyBorder="1" applyAlignment="1">
      <alignment horizontal="center" vertical="top" wrapText="1"/>
    </xf>
    <xf numFmtId="0" fontId="54" fillId="27" borderId="11" xfId="0" applyFont="1" applyFill="1" applyBorder="1" applyAlignment="1">
      <alignment horizontal="center" vertical="center"/>
    </xf>
    <xf numFmtId="0" fontId="54" fillId="27" borderId="85" xfId="0" applyFont="1" applyFill="1" applyBorder="1" applyAlignment="1">
      <alignment horizontal="center" vertical="center" wrapText="1"/>
    </xf>
    <xf numFmtId="0" fontId="54" fillId="27" borderId="17" xfId="0" applyFont="1" applyFill="1" applyBorder="1" applyAlignment="1">
      <alignment horizontal="center" vertical="center" wrapText="1"/>
    </xf>
    <xf numFmtId="0" fontId="28" fillId="24" borderId="76" xfId="0" applyFont="1" applyFill="1" applyBorder="1" applyAlignment="1">
      <alignment horizontal="center"/>
    </xf>
    <xf numFmtId="0" fontId="28" fillId="24" borderId="22" xfId="0" applyFont="1" applyFill="1" applyBorder="1" applyAlignment="1">
      <alignment horizontal="center"/>
    </xf>
    <xf numFmtId="0" fontId="28" fillId="24" borderId="75" xfId="0" applyFont="1" applyFill="1" applyBorder="1" applyAlignment="1">
      <alignment horizontal="center"/>
    </xf>
    <xf numFmtId="0" fontId="28" fillId="24" borderId="73" xfId="0" applyFont="1" applyFill="1" applyBorder="1" applyAlignment="1">
      <alignment horizontal="center"/>
    </xf>
    <xf numFmtId="0" fontId="24" fillId="24" borderId="76" xfId="0" applyFont="1" applyFill="1" applyBorder="1" applyAlignment="1">
      <alignment horizontal="center"/>
    </xf>
    <xf numFmtId="0" fontId="24" fillId="24" borderId="22" xfId="0" applyFont="1" applyFill="1" applyBorder="1" applyAlignment="1">
      <alignment horizontal="center"/>
    </xf>
    <xf numFmtId="0" fontId="28" fillId="24" borderId="27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68" xfId="0" applyFont="1" applyFill="1" applyBorder="1" applyAlignment="1">
      <alignment horizontal="center"/>
    </xf>
    <xf numFmtId="0" fontId="28" fillId="24" borderId="69" xfId="0" applyFont="1" applyFill="1" applyBorder="1" applyAlignment="1">
      <alignment horizontal="center"/>
    </xf>
    <xf numFmtId="0" fontId="28" fillId="24" borderId="35" xfId="0" applyFont="1" applyFill="1" applyBorder="1" applyAlignment="1">
      <alignment horizontal="center"/>
    </xf>
    <xf numFmtId="0" fontId="28" fillId="24" borderId="33" xfId="0" applyFont="1" applyFill="1" applyBorder="1" applyAlignment="1">
      <alignment horizontal="center"/>
    </xf>
    <xf numFmtId="0" fontId="28" fillId="24" borderId="44" xfId="0" applyFont="1" applyFill="1" applyBorder="1" applyAlignment="1" applyProtection="1">
      <alignment horizontal="center" vertical="center" textRotation="180" wrapText="1"/>
      <protection locked="0"/>
    </xf>
    <xf numFmtId="0" fontId="46" fillId="0" borderId="74" xfId="0" applyFont="1" applyBorder="1" applyAlignment="1" applyProtection="1">
      <alignment horizontal="center" vertical="center" textRotation="180" wrapText="1"/>
      <protection locked="0"/>
    </xf>
    <xf numFmtId="0" fontId="46" fillId="0" borderId="46" xfId="0" applyFont="1" applyBorder="1" applyAlignment="1" applyProtection="1">
      <alignment horizontal="center" vertical="center" textRotation="180" wrapText="1"/>
      <protection locked="0"/>
    </xf>
    <xf numFmtId="0" fontId="28" fillId="24" borderId="42" xfId="0" applyFont="1" applyFill="1" applyBorder="1" applyAlignment="1" applyProtection="1">
      <alignment horizontal="center" vertical="center" wrapText="1"/>
      <protection locked="0"/>
    </xf>
    <xf numFmtId="0" fontId="0" fillId="0" borderId="43" xfId="0" applyBorder="1" applyAlignment="1" applyProtection="1">
      <alignment horizontal="center" vertical="center" wrapText="1"/>
      <protection locked="0"/>
    </xf>
    <xf numFmtId="0" fontId="0" fillId="0" borderId="37" xfId="0" applyBorder="1" applyAlignment="1" applyProtection="1">
      <alignment horizontal="center" vertical="center" wrapText="1"/>
      <protection locked="0"/>
    </xf>
    <xf numFmtId="0" fontId="0" fillId="0" borderId="74" xfId="0" applyBorder="1" applyAlignment="1" applyProtection="1">
      <alignment horizontal="center" vertical="center" textRotation="180" wrapText="1"/>
      <protection locked="0"/>
    </xf>
    <xf numFmtId="0" fontId="0" fillId="0" borderId="46" xfId="0" applyBorder="1" applyAlignment="1" applyProtection="1">
      <alignment horizontal="center" vertical="center" textRotation="180" wrapText="1"/>
      <protection locked="0"/>
    </xf>
    <xf numFmtId="0" fontId="47" fillId="24" borderId="27" xfId="0" applyFont="1" applyFill="1" applyBorder="1" applyAlignment="1">
      <alignment horizontal="center"/>
    </xf>
    <xf numFmtId="0" fontId="28" fillId="24" borderId="43" xfId="0" applyFont="1" applyFill="1" applyBorder="1" applyAlignment="1" applyProtection="1">
      <alignment horizontal="center" vertical="center" wrapText="1"/>
      <protection locked="0"/>
    </xf>
    <xf numFmtId="0" fontId="28" fillId="24" borderId="37" xfId="0" applyFont="1" applyFill="1" applyBorder="1" applyAlignment="1" applyProtection="1">
      <alignment horizontal="center" vertical="center" wrapText="1"/>
      <protection locked="0"/>
    </xf>
  </cellXfs>
  <cellStyles count="6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[0]" xfId="29" builtinId="6"/>
    <cellStyle name="Comma [0] 2" xfId="60"/>
    <cellStyle name="Comma 2" xfId="58"/>
    <cellStyle name="Comma_April_2" xfId="30"/>
    <cellStyle name="Comma_Juni" xfId="31"/>
    <cellStyle name="Explanatory Text" xfId="32" builtinId="53" customBuiltin="1"/>
    <cellStyle name="Good" xfId="33" builtinId="26" customBuiltin="1"/>
    <cellStyle name="Heading 1" xfId="34" builtinId="16" customBuiltin="1"/>
    <cellStyle name="Heading 2" xfId="35" builtinId="17" customBuiltin="1"/>
    <cellStyle name="Heading 3" xfId="36" builtinId="18" customBuiltin="1"/>
    <cellStyle name="Heading 4" xfId="37" builtinId="19" customBuiltin="1"/>
    <cellStyle name="Input" xfId="38" builtinId="20" customBuiltin="1"/>
    <cellStyle name="Linked Cell" xfId="39" builtinId="24" customBuiltin="1"/>
    <cellStyle name="Neutral" xfId="40" builtinId="28" customBuiltin="1"/>
    <cellStyle name="Normal" xfId="0" builtinId="0"/>
    <cellStyle name="Normal 2" xfId="41"/>
    <cellStyle name="Normal 3" xfId="42"/>
    <cellStyle name="Normal 4" xfId="55"/>
    <cellStyle name="Normal 5" xfId="57"/>
    <cellStyle name="Normal_April_3" xfId="43"/>
    <cellStyle name="Normal_DES 11_1" xfId="56"/>
    <cellStyle name="Normal_Juni" xfId="44"/>
    <cellStyle name="Normal_Juni_4" xfId="45"/>
    <cellStyle name="Normal_Mar_18" xfId="46"/>
    <cellStyle name="Normal_Mar_6" xfId="47"/>
    <cellStyle name="Note" xfId="48" builtinId="10" customBuiltin="1"/>
    <cellStyle name="Output" xfId="49" builtinId="21" customBuiltin="1"/>
    <cellStyle name="Percent" xfId="50" builtinId="5"/>
    <cellStyle name="Percent 2" xfId="59"/>
    <cellStyle name="Percent_Okt_6" xfId="51"/>
    <cellStyle name="Title" xfId="52" builtinId="15" customBuiltin="1"/>
    <cellStyle name="Total" xfId="53" builtinId="25" customBuiltin="1"/>
    <cellStyle name="Warning Text" xfId="54" builtinId="11" customBuiltin="1"/>
  </cellStyles>
  <dxfs count="13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ont>
        <condense val="0"/>
        <extend val="0"/>
        <color auto="1"/>
      </font>
      <fill>
        <patternFill>
          <bgColor indexed="41"/>
        </patternFill>
      </fill>
    </dxf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Report1!$R$6</c:f>
              <c:strCache>
                <c:ptCount val="1"/>
                <c:pt idx="0">
                  <c:v>FINSHED GOODS (TON)</c:v>
                </c:pt>
              </c:strCache>
            </c:strRef>
          </c:tx>
          <c:marker>
            <c:symbol val="triangle"/>
            <c:size val="5"/>
          </c:marker>
          <c:cat>
            <c:numRef>
              <c:f>[2]Report1!$A$9:$A$39</c:f>
              <c:numCache>
                <c:formatCode>General</c:formatCode>
                <c:ptCount val="31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  <c:pt idx="30">
                  <c:v>45474</c:v>
                </c:pt>
              </c:numCache>
            </c:numRef>
          </c:cat>
          <c:val>
            <c:numRef>
              <c:f>Report1!$R$9:$R$39</c:f>
              <c:numCache>
                <c:formatCode>#,##0.00</c:formatCode>
                <c:ptCount val="31"/>
                <c:pt idx="0">
                  <c:v>35.332000000000001</c:v>
                </c:pt>
                <c:pt idx="1">
                  <c:v>37.323</c:v>
                </c:pt>
                <c:pt idx="2">
                  <c:v>39.783000000000001</c:v>
                </c:pt>
                <c:pt idx="3">
                  <c:v>41.905999999999999</c:v>
                </c:pt>
                <c:pt idx="4">
                  <c:v>41.37</c:v>
                </c:pt>
                <c:pt idx="5">
                  <c:v>42.210999999999999</c:v>
                </c:pt>
                <c:pt idx="6">
                  <c:v>40.351999999999997</c:v>
                </c:pt>
                <c:pt idx="7">
                  <c:v>38.69</c:v>
                </c:pt>
                <c:pt idx="8">
                  <c:v>45.328000000000003</c:v>
                </c:pt>
                <c:pt idx="9">
                  <c:v>43.484999999999999</c:v>
                </c:pt>
                <c:pt idx="10">
                  <c:v>43.048000000000002</c:v>
                </c:pt>
                <c:pt idx="11">
                  <c:v>43.52</c:v>
                </c:pt>
                <c:pt idx="12">
                  <c:v>39.738</c:v>
                </c:pt>
                <c:pt idx="13">
                  <c:v>10.648999999999999</c:v>
                </c:pt>
                <c:pt idx="14">
                  <c:v>40.225999999999999</c:v>
                </c:pt>
                <c:pt idx="15">
                  <c:v>42.908999999999999</c:v>
                </c:pt>
                <c:pt idx="16">
                  <c:v>43.463000000000001</c:v>
                </c:pt>
                <c:pt idx="17">
                  <c:v>45.875999999999998</c:v>
                </c:pt>
                <c:pt idx="18">
                  <c:v>46.088000000000001</c:v>
                </c:pt>
                <c:pt idx="19">
                  <c:v>44.429000000000002</c:v>
                </c:pt>
                <c:pt idx="20">
                  <c:v>38.055999999999997</c:v>
                </c:pt>
                <c:pt idx="21">
                  <c:v>41.243000000000002</c:v>
                </c:pt>
                <c:pt idx="22">
                  <c:v>26.443000000000001</c:v>
                </c:pt>
                <c:pt idx="23">
                  <c:v>37.003999999999998</c:v>
                </c:pt>
                <c:pt idx="24">
                  <c:v>42.747999999999998</c:v>
                </c:pt>
                <c:pt idx="25">
                  <c:v>44.466999999999999</c:v>
                </c:pt>
                <c:pt idx="26">
                  <c:v>44.783999999999999</c:v>
                </c:pt>
                <c:pt idx="27">
                  <c:v>41.054000000000002</c:v>
                </c:pt>
                <c:pt idx="28">
                  <c:v>41.597000000000001</c:v>
                </c:pt>
                <c:pt idx="29">
                  <c:v>44.423000000000002</c:v>
                </c:pt>
                <c:pt idx="30">
                  <c:v>46.16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907456"/>
        <c:axId val="395908992"/>
      </c:lineChart>
      <c:lineChart>
        <c:grouping val="standard"/>
        <c:varyColors val="0"/>
        <c:ser>
          <c:idx val="0"/>
          <c:order val="0"/>
          <c:tx>
            <c:strRef>
              <c:f>Report1!$J$6</c:f>
              <c:strCache>
                <c:ptCount val="1"/>
                <c:pt idx="0">
                  <c:v>Eff FG vs Target (%)</c:v>
                </c:pt>
              </c:strCache>
            </c:strRef>
          </c:tx>
          <c:marker>
            <c:symbol val="diamond"/>
            <c:size val="5"/>
          </c:marker>
          <c:dPt>
            <c:idx val="21"/>
            <c:marker>
              <c:symbol val="auto"/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584D-4D4B-98D9-68728F9C0EDF}"/>
              </c:ext>
            </c:extLst>
          </c:dPt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Report1!$J$9:$J$39</c:f>
              <c:numCache>
                <c:formatCode>0.00%</c:formatCode>
                <c:ptCount val="31"/>
                <c:pt idx="0">
                  <c:v>0.79605809707092079</c:v>
                </c:pt>
                <c:pt idx="1">
                  <c:v>0.8370307996553662</c:v>
                </c:pt>
                <c:pt idx="2">
                  <c:v>0.91724470964022242</c:v>
                </c:pt>
                <c:pt idx="3">
                  <c:v>0.9626202585735566</c:v>
                </c:pt>
                <c:pt idx="4">
                  <c:v>0.90884412876151144</c:v>
                </c:pt>
                <c:pt idx="5">
                  <c:v>0.91062768740505562</c:v>
                </c:pt>
                <c:pt idx="6">
                  <c:v>0.88237814726272978</c:v>
                </c:pt>
                <c:pt idx="7">
                  <c:v>0.81886143372854725</c:v>
                </c:pt>
                <c:pt idx="8">
                  <c:v>1.0134813644140392</c:v>
                </c:pt>
                <c:pt idx="9">
                  <c:v>0.94552493080734612</c:v>
                </c:pt>
                <c:pt idx="10">
                  <c:v>0.94659439498501918</c:v>
                </c:pt>
                <c:pt idx="11">
                  <c:v>0.94875897033512024</c:v>
                </c:pt>
                <c:pt idx="12">
                  <c:v>0.89669885768638002</c:v>
                </c:pt>
                <c:pt idx="13">
                  <c:v>0.2446175519865843</c:v>
                </c:pt>
                <c:pt idx="14">
                  <c:v>0.85563426804771892</c:v>
                </c:pt>
                <c:pt idx="15">
                  <c:v>0.94264268825144581</c:v>
                </c:pt>
                <c:pt idx="16">
                  <c:v>0.95386056760261961</c:v>
                </c:pt>
                <c:pt idx="17">
                  <c:v>0.95298113713059562</c:v>
                </c:pt>
                <c:pt idx="18">
                  <c:v>0.9657710375063332</c:v>
                </c:pt>
                <c:pt idx="19">
                  <c:v>1.0140633183244934</c:v>
                </c:pt>
                <c:pt idx="20">
                  <c:v>0.91235652710721393</c:v>
                </c:pt>
                <c:pt idx="21">
                  <c:v>0.86093664954417926</c:v>
                </c:pt>
                <c:pt idx="22">
                  <c:v>0.54686543507681717</c:v>
                </c:pt>
                <c:pt idx="23">
                  <c:v>0.7652765782847083</c:v>
                </c:pt>
                <c:pt idx="24">
                  <c:v>0.90864297593727716</c:v>
                </c:pt>
                <c:pt idx="25">
                  <c:v>0.90149494390086438</c:v>
                </c:pt>
                <c:pt idx="26">
                  <c:v>0.93086522002853345</c:v>
                </c:pt>
                <c:pt idx="27">
                  <c:v>0.96140589623814954</c:v>
                </c:pt>
                <c:pt idx="28">
                  <c:v>0.93739574162159067</c:v>
                </c:pt>
                <c:pt idx="29">
                  <c:v>0.93418120338973043</c:v>
                </c:pt>
                <c:pt idx="30">
                  <c:v>0.96785843453719056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4D-4D4B-98D9-68728F9C0EDF}"/>
            </c:ext>
          </c:extLst>
        </c:ser>
        <c:ser>
          <c:idx val="1"/>
          <c:order val="2"/>
          <c:tx>
            <c:v>EFF TARGET TODATE</c:v>
          </c:tx>
          <c:marker>
            <c:symbol val="square"/>
            <c:size val="5"/>
          </c:marker>
          <c:cat>
            <c:numRef>
              <c:f>[2]Report1!$A$9</c:f>
              <c:numCache>
                <c:formatCode>General</c:formatCode>
                <c:ptCount val="1"/>
                <c:pt idx="0">
                  <c:v>45444</c:v>
                </c:pt>
              </c:numCache>
            </c:numRef>
          </c:cat>
          <c:val>
            <c:numRef>
              <c:f>Report1!$K$9:$K$39</c:f>
              <c:numCache>
                <c:formatCode>0.00%</c:formatCode>
                <c:ptCount val="31"/>
                <c:pt idx="0">
                  <c:v>0.79605809707092079</c:v>
                </c:pt>
                <c:pt idx="1">
                  <c:v>0.81659189458267634</c:v>
                </c:pt>
                <c:pt idx="2">
                  <c:v>0.84957779005359535</c:v>
                </c:pt>
                <c:pt idx="3">
                  <c:v>0.87755786381605383</c:v>
                </c:pt>
                <c:pt idx="4">
                  <c:v>0.88399029931109951</c:v>
                </c:pt>
                <c:pt idx="5">
                  <c:v>0.88860181346137534</c:v>
                </c:pt>
                <c:pt idx="6">
                  <c:v>0.88769390400974901</c:v>
                </c:pt>
                <c:pt idx="7">
                  <c:v>0.87867824468594724</c:v>
                </c:pt>
                <c:pt idx="8">
                  <c:v>0.89354808556276255</c:v>
                </c:pt>
                <c:pt idx="9">
                  <c:v>0.8988431307687067</c:v>
                </c:pt>
                <c:pt idx="10">
                  <c:v>0.90321315895651733</c:v>
                </c:pt>
                <c:pt idx="11">
                  <c:v>0.90706214467120394</c:v>
                </c:pt>
                <c:pt idx="12">
                  <c:v>0.90627990932827196</c:v>
                </c:pt>
                <c:pt idx="13">
                  <c:v>0.86060540137754704</c:v>
                </c:pt>
                <c:pt idx="14">
                  <c:v>0.86026052409819276</c:v>
                </c:pt>
                <c:pt idx="15">
                  <c:v>0.86544602049824337</c:v>
                </c:pt>
                <c:pt idx="16">
                  <c:v>0.87068658592210935</c:v>
                </c:pt>
                <c:pt idx="17">
                  <c:v>0.87553627048731086</c:v>
                </c:pt>
                <c:pt idx="18">
                  <c:v>0.88051674921497836</c:v>
                </c:pt>
                <c:pt idx="19">
                  <c:v>0.88695769626102816</c:v>
                </c:pt>
                <c:pt idx="20">
                  <c:v>0.88807273655535601</c:v>
                </c:pt>
                <c:pt idx="21">
                  <c:v>0.88677022423853946</c:v>
                </c:pt>
                <c:pt idx="22">
                  <c:v>0.87106313389311762</c:v>
                </c:pt>
                <c:pt idx="23">
                  <c:v>0.86639062692126068</c:v>
                </c:pt>
                <c:pt idx="24">
                  <c:v>0.86813158730114259</c:v>
                </c:pt>
                <c:pt idx="25">
                  <c:v>0.86951321787737401</c:v>
                </c:pt>
                <c:pt idx="26">
                  <c:v>0.87189507621134132</c:v>
                </c:pt>
                <c:pt idx="27">
                  <c:v>0.87487676392460134</c:v>
                </c:pt>
                <c:pt idx="28">
                  <c:v>0.87696851322373648</c:v>
                </c:pt>
                <c:pt idx="29">
                  <c:v>0.87894880591694469</c:v>
                </c:pt>
                <c:pt idx="30">
                  <c:v>0.88193173114859524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4D-4D4B-98D9-68728F9C0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5912320"/>
        <c:axId val="395910528"/>
      </c:lineChart>
      <c:catAx>
        <c:axId val="395907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5908992"/>
        <c:crosses val="autoZero"/>
        <c:auto val="1"/>
        <c:lblAlgn val="ctr"/>
        <c:lblOffset val="100"/>
        <c:noMultiLvlLbl val="0"/>
      </c:catAx>
      <c:valAx>
        <c:axId val="39590899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395907456"/>
        <c:crosses val="autoZero"/>
        <c:crossBetween val="between"/>
      </c:valAx>
      <c:valAx>
        <c:axId val="39591052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95912320"/>
        <c:crosses val="max"/>
        <c:crossBetween val="between"/>
      </c:valAx>
      <c:catAx>
        <c:axId val="395912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9591052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0"/>
        <c:txPr>
          <a:bodyPr/>
          <a:lstStyle/>
          <a:p>
            <a:pPr rtl="0">
              <a:defRPr sz="900"/>
            </a:pPr>
            <a:endParaRPr lang="en-US"/>
          </a:p>
        </c:txPr>
      </c:dTable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17</xdr:col>
      <xdr:colOff>504824</xdr:colOff>
      <xdr:row>28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aporan%20Gas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2025\5.%20MEI\Users\win7\Documents\PM%2014\5.%20MEI\DAILY%20REPORT%20PM%20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istrik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%error"/>
      <sheetName val="P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N4">
            <v>10952</v>
          </cell>
        </row>
        <row r="5">
          <cell r="N5">
            <v>10057</v>
          </cell>
        </row>
        <row r="6">
          <cell r="N6">
            <v>10781</v>
          </cell>
        </row>
        <row r="7">
          <cell r="N7">
            <v>9587</v>
          </cell>
        </row>
        <row r="8">
          <cell r="N8">
            <v>12308</v>
          </cell>
        </row>
        <row r="9">
          <cell r="N9">
            <v>11750</v>
          </cell>
        </row>
        <row r="10">
          <cell r="N10">
            <v>11823</v>
          </cell>
        </row>
        <row r="11">
          <cell r="N11">
            <v>12219</v>
          </cell>
        </row>
        <row r="12">
          <cell r="N12">
            <v>12393</v>
          </cell>
        </row>
        <row r="13">
          <cell r="N13">
            <v>12573</v>
          </cell>
        </row>
        <row r="14">
          <cell r="N14">
            <v>12925</v>
          </cell>
        </row>
        <row r="15">
          <cell r="N15">
            <v>12593</v>
          </cell>
        </row>
        <row r="16">
          <cell r="N16">
            <v>12602</v>
          </cell>
        </row>
        <row r="17">
          <cell r="N17">
            <v>10170</v>
          </cell>
        </row>
        <row r="18">
          <cell r="N18">
            <v>12992</v>
          </cell>
        </row>
        <row r="19">
          <cell r="N19">
            <v>12806</v>
          </cell>
        </row>
        <row r="20">
          <cell r="N20">
            <v>12526</v>
          </cell>
        </row>
        <row r="21">
          <cell r="N21">
            <v>12915</v>
          </cell>
        </row>
        <row r="22">
          <cell r="N22">
            <v>12952</v>
          </cell>
        </row>
        <row r="23">
          <cell r="N23">
            <v>13019</v>
          </cell>
        </row>
        <row r="24">
          <cell r="N24">
            <v>13277</v>
          </cell>
        </row>
        <row r="25">
          <cell r="N25">
            <v>13448</v>
          </cell>
        </row>
        <row r="26">
          <cell r="N26">
            <v>11248</v>
          </cell>
        </row>
        <row r="27">
          <cell r="N27">
            <v>13816</v>
          </cell>
        </row>
        <row r="28">
          <cell r="N28">
            <v>13560</v>
          </cell>
        </row>
        <row r="29">
          <cell r="N29">
            <v>13450.860000000102</v>
          </cell>
        </row>
        <row r="30">
          <cell r="N30">
            <v>13445.139999999898</v>
          </cell>
        </row>
        <row r="31">
          <cell r="N31">
            <v>13282</v>
          </cell>
        </row>
        <row r="32">
          <cell r="N32">
            <v>13234</v>
          </cell>
        </row>
        <row r="33">
          <cell r="N33">
            <v>13851</v>
          </cell>
        </row>
        <row r="34">
          <cell r="N34">
            <v>13865</v>
          </cell>
        </row>
      </sheetData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ff all"/>
      <sheetName val="master"/>
      <sheetName val="VERSI PAK VENTJE"/>
      <sheetName val="Report1"/>
      <sheetName val="GRAFIK"/>
      <sheetName val="Listrik"/>
      <sheetName val="Trim Rwd"/>
      <sheetName val="Efficiency1"/>
      <sheetName val="Efficiency2"/>
      <sheetName val="Efficiency"/>
      <sheetName val="Problem"/>
      <sheetName val="prod"/>
      <sheetName val="BB"/>
      <sheetName val="Chem"/>
      <sheetName val="RBP"/>
      <sheetName val="Sheet1"/>
      <sheetName val="summary"/>
      <sheetName val="1"/>
      <sheetName val="2"/>
      <sheetName val="3"/>
      <sheetName val="4"/>
      <sheetName val="5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</sheetNames>
    <sheetDataSet>
      <sheetData sheetId="0"/>
      <sheetData sheetId="1"/>
      <sheetData sheetId="2"/>
      <sheetData sheetId="3">
        <row r="9">
          <cell r="A9">
            <v>45444</v>
          </cell>
        </row>
        <row r="10">
          <cell r="A10">
            <v>45445</v>
          </cell>
        </row>
        <row r="11">
          <cell r="A11">
            <v>45446</v>
          </cell>
        </row>
        <row r="12">
          <cell r="A12">
            <v>45447</v>
          </cell>
        </row>
        <row r="13">
          <cell r="A13">
            <v>45448</v>
          </cell>
        </row>
        <row r="14">
          <cell r="A14">
            <v>45449</v>
          </cell>
        </row>
        <row r="15">
          <cell r="A15">
            <v>45450</v>
          </cell>
        </row>
        <row r="16">
          <cell r="A16">
            <v>45451</v>
          </cell>
        </row>
        <row r="17">
          <cell r="A17">
            <v>45452</v>
          </cell>
        </row>
        <row r="18">
          <cell r="A18">
            <v>45453</v>
          </cell>
        </row>
        <row r="19">
          <cell r="A19">
            <v>45454</v>
          </cell>
        </row>
        <row r="20">
          <cell r="A20">
            <v>45455</v>
          </cell>
        </row>
        <row r="21">
          <cell r="A21">
            <v>45456</v>
          </cell>
        </row>
        <row r="22">
          <cell r="A22">
            <v>45457</v>
          </cell>
        </row>
        <row r="23">
          <cell r="A23">
            <v>45458</v>
          </cell>
        </row>
        <row r="24">
          <cell r="A24">
            <v>45459</v>
          </cell>
        </row>
        <row r="25">
          <cell r="A25">
            <v>45460</v>
          </cell>
        </row>
        <row r="26">
          <cell r="A26">
            <v>45461</v>
          </cell>
        </row>
        <row r="27">
          <cell r="A27">
            <v>45462</v>
          </cell>
        </row>
        <row r="28">
          <cell r="A28">
            <v>45463</v>
          </cell>
        </row>
        <row r="29">
          <cell r="A29">
            <v>45464</v>
          </cell>
        </row>
        <row r="30">
          <cell r="A30">
            <v>45465</v>
          </cell>
        </row>
        <row r="31">
          <cell r="A31">
            <v>45466</v>
          </cell>
        </row>
        <row r="32">
          <cell r="A32">
            <v>45467</v>
          </cell>
        </row>
        <row r="33">
          <cell r="A33">
            <v>45468</v>
          </cell>
        </row>
        <row r="34">
          <cell r="A34">
            <v>45469</v>
          </cell>
        </row>
        <row r="35">
          <cell r="A35">
            <v>45470</v>
          </cell>
        </row>
        <row r="36">
          <cell r="A36">
            <v>45471</v>
          </cell>
        </row>
        <row r="37">
          <cell r="A37">
            <v>45472</v>
          </cell>
        </row>
        <row r="38">
          <cell r="A38">
            <v>45473</v>
          </cell>
        </row>
        <row r="39">
          <cell r="A39">
            <v>45474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DailyJan"/>
      <sheetName val="Feb"/>
      <sheetName val="DailyFeb"/>
      <sheetName val="Mar"/>
      <sheetName val="DailyMar"/>
      <sheetName val="Apr"/>
      <sheetName val="DailyApr"/>
      <sheetName val="Mei"/>
      <sheetName val="DailyMei"/>
      <sheetName val="Jun"/>
      <sheetName val="DailyJun"/>
      <sheetName val="Jul"/>
      <sheetName val="DailyJ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7">
          <cell r="D7">
            <v>285.95999999903142</v>
          </cell>
          <cell r="AH7">
            <v>4399.9999999996362</v>
          </cell>
          <cell r="AI7">
            <v>7942.53</v>
          </cell>
          <cell r="AJ7">
            <v>24102.53</v>
          </cell>
        </row>
        <row r="8">
          <cell r="AH8">
            <v>4199.9999999998181</v>
          </cell>
          <cell r="AI8">
            <v>7110.2</v>
          </cell>
          <cell r="AJ8">
            <v>23270.2</v>
          </cell>
        </row>
        <row r="9">
          <cell r="AH9">
            <v>4500</v>
          </cell>
          <cell r="AI9">
            <v>8236.14</v>
          </cell>
          <cell r="AJ9">
            <v>24396.14</v>
          </cell>
        </row>
        <row r="10">
          <cell r="AH10">
            <v>4400.0000000005457</v>
          </cell>
          <cell r="AI10">
            <v>8514.9500000000007</v>
          </cell>
          <cell r="AJ10">
            <v>25674.95</v>
          </cell>
        </row>
        <row r="11">
          <cell r="AH11">
            <v>4500</v>
          </cell>
          <cell r="AI11">
            <v>8566.41</v>
          </cell>
          <cell r="AJ11">
            <v>26726.41</v>
          </cell>
        </row>
        <row r="12">
          <cell r="AH12">
            <v>4599.9999999994543</v>
          </cell>
          <cell r="AI12">
            <v>7825.33</v>
          </cell>
          <cell r="AJ12">
            <v>24985.33</v>
          </cell>
        </row>
        <row r="13">
          <cell r="AH13">
            <v>4100.0000000003638</v>
          </cell>
          <cell r="AI13">
            <v>8420.31</v>
          </cell>
          <cell r="AJ13">
            <v>25580.31</v>
          </cell>
        </row>
        <row r="14">
          <cell r="AH14">
            <v>3800.0000000001819</v>
          </cell>
          <cell r="AI14">
            <v>7879.31</v>
          </cell>
          <cell r="AJ14">
            <v>25039.31</v>
          </cell>
        </row>
        <row r="15">
          <cell r="AH15">
            <v>4000</v>
          </cell>
          <cell r="AI15">
            <v>7821.73</v>
          </cell>
          <cell r="AJ15">
            <v>24981.73</v>
          </cell>
        </row>
        <row r="16">
          <cell r="AH16">
            <v>4199.9999999989086</v>
          </cell>
          <cell r="AI16">
            <v>8014.91</v>
          </cell>
          <cell r="AJ16">
            <v>24174.91</v>
          </cell>
        </row>
        <row r="17">
          <cell r="AH17">
            <v>3800.0000000010914</v>
          </cell>
          <cell r="AI17">
            <v>8325.0499999999993</v>
          </cell>
          <cell r="AJ17">
            <v>25485.05</v>
          </cell>
        </row>
        <row r="18">
          <cell r="AH18">
            <v>3699.9999999989086</v>
          </cell>
          <cell r="AI18">
            <v>8216.2099999999991</v>
          </cell>
          <cell r="AJ18">
            <v>25376.21</v>
          </cell>
        </row>
        <row r="19">
          <cell r="AH19">
            <v>3800.0000000010914</v>
          </cell>
          <cell r="AI19">
            <v>7940.13</v>
          </cell>
          <cell r="AJ19">
            <v>23100.13</v>
          </cell>
        </row>
        <row r="20">
          <cell r="AH20">
            <v>2299.9999999992724</v>
          </cell>
          <cell r="AI20">
            <v>2839.82</v>
          </cell>
          <cell r="AJ20">
            <v>10999.82</v>
          </cell>
        </row>
        <row r="21">
          <cell r="AH21">
            <v>4300.0000000010914</v>
          </cell>
          <cell r="AI21">
            <v>7035.73</v>
          </cell>
          <cell r="AJ21">
            <v>25195.73</v>
          </cell>
        </row>
        <row r="22">
          <cell r="AH22">
            <v>4099.9999999985448</v>
          </cell>
          <cell r="AI22">
            <v>8206.6299999999992</v>
          </cell>
          <cell r="AJ22">
            <v>25366.63</v>
          </cell>
        </row>
        <row r="23">
          <cell r="AH23">
            <v>4200.0000000007276</v>
          </cell>
          <cell r="AI23">
            <v>8152.75</v>
          </cell>
          <cell r="AJ23">
            <v>25312.75</v>
          </cell>
        </row>
        <row r="24">
          <cell r="AH24">
            <v>4000</v>
          </cell>
          <cell r="AI24">
            <v>7732.37</v>
          </cell>
          <cell r="AJ24">
            <v>24892.37</v>
          </cell>
        </row>
        <row r="25">
          <cell r="AH25">
            <v>4200.0000000007276</v>
          </cell>
          <cell r="AI25">
            <v>8162.56</v>
          </cell>
          <cell r="AJ25">
            <v>27322.560000000001</v>
          </cell>
        </row>
        <row r="26">
          <cell r="AH26">
            <v>4000</v>
          </cell>
          <cell r="AI26">
            <v>6945.61</v>
          </cell>
          <cell r="AJ26">
            <v>25105.61</v>
          </cell>
        </row>
        <row r="27">
          <cell r="AH27">
            <v>4399.9999999996362</v>
          </cell>
          <cell r="AI27">
            <v>8475.24</v>
          </cell>
          <cell r="AJ27">
            <v>25635.24</v>
          </cell>
        </row>
        <row r="28">
          <cell r="AH28">
            <v>4399.9999999996362</v>
          </cell>
          <cell r="AI28">
            <v>8732.49</v>
          </cell>
          <cell r="AJ28">
            <v>22892.49</v>
          </cell>
        </row>
        <row r="29">
          <cell r="AH29">
            <v>3200.0000000007276</v>
          </cell>
          <cell r="AI29">
            <v>4976.7299999999996</v>
          </cell>
          <cell r="AJ29">
            <v>14136.73</v>
          </cell>
        </row>
        <row r="30">
          <cell r="AH30">
            <v>4500</v>
          </cell>
          <cell r="AI30">
            <v>8317.85</v>
          </cell>
          <cell r="AJ30">
            <v>21477.85</v>
          </cell>
        </row>
        <row r="31">
          <cell r="AH31">
            <v>4699.9999999989086</v>
          </cell>
          <cell r="AI31">
            <v>7164.41</v>
          </cell>
          <cell r="AJ31">
            <v>22324.41</v>
          </cell>
        </row>
        <row r="32">
          <cell r="AH32">
            <v>4600.0000000003638</v>
          </cell>
          <cell r="AI32">
            <v>8785.67</v>
          </cell>
          <cell r="AJ32">
            <v>22945.67</v>
          </cell>
        </row>
        <row r="33">
          <cell r="AH33">
            <v>4700.0000000007276</v>
          </cell>
          <cell r="AI33">
            <v>8325.67</v>
          </cell>
          <cell r="AJ33">
            <v>21485.67</v>
          </cell>
        </row>
        <row r="34">
          <cell r="AH34">
            <v>4500</v>
          </cell>
          <cell r="AI34">
            <v>8039.25</v>
          </cell>
          <cell r="AJ34">
            <v>24199.25</v>
          </cell>
        </row>
        <row r="35">
          <cell r="AH35">
            <v>4699.9999999989086</v>
          </cell>
          <cell r="AI35">
            <v>8658.4500000000007</v>
          </cell>
          <cell r="AJ35">
            <v>25818.45</v>
          </cell>
        </row>
        <row r="36">
          <cell r="AH36">
            <v>4500</v>
          </cell>
          <cell r="AI36">
            <v>8351.32</v>
          </cell>
          <cell r="AJ36">
            <v>24511.32</v>
          </cell>
        </row>
        <row r="37">
          <cell r="AH37">
            <v>4399.9999999996362</v>
          </cell>
          <cell r="AI37">
            <v>7882.01</v>
          </cell>
          <cell r="AJ37">
            <v>26042.01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5536"/>
  <sheetViews>
    <sheetView zoomScaleNormal="100" workbookViewId="0">
      <pane xSplit="3" ySplit="8" topLeftCell="Q33" activePane="bottomRight" state="frozen"/>
      <selection pane="topRight" activeCell="E1" sqref="E1"/>
      <selection pane="bottomLeft" activeCell="A9" sqref="A9"/>
      <selection pane="bottomRight" activeCell="T23" sqref="T23"/>
    </sheetView>
  </sheetViews>
  <sheetFormatPr defaultColWidth="9.140625" defaultRowHeight="12.75"/>
  <cols>
    <col min="1" max="1" width="7.5703125" style="277" customWidth="1"/>
    <col min="2" max="2" width="12" style="276" customWidth="1"/>
    <col min="3" max="3" width="12.28515625" style="276" bestFit="1" customWidth="1"/>
    <col min="4" max="4" width="8.28515625" style="276" customWidth="1"/>
    <col min="5" max="5" width="8" style="276" customWidth="1"/>
    <col min="6" max="6" width="6.85546875" style="276" customWidth="1"/>
    <col min="7" max="11" width="8.7109375" style="276" customWidth="1"/>
    <col min="12" max="12" width="8.7109375" style="278" customWidth="1"/>
    <col min="13" max="15" width="8.7109375" style="279" customWidth="1"/>
    <col min="16" max="16" width="8.7109375" style="278" customWidth="1"/>
    <col min="17" max="17" width="8.7109375" style="279" customWidth="1"/>
    <col min="18" max="18" width="8.7109375" style="278" customWidth="1"/>
    <col min="19" max="19" width="8.7109375" style="280" customWidth="1"/>
    <col min="20" max="20" width="10.7109375" style="280" bestFit="1" customWidth="1"/>
    <col min="21" max="21" width="10.140625" style="280" bestFit="1" customWidth="1"/>
    <col min="22" max="25" width="8.7109375" style="280" customWidth="1"/>
    <col min="26" max="27" width="7.7109375" style="280" customWidth="1"/>
    <col min="28" max="29" width="7.7109375" style="281" customWidth="1"/>
    <col min="30" max="30" width="7.7109375" style="280" customWidth="1"/>
    <col min="31" max="31" width="7.7109375" style="281" customWidth="1"/>
    <col min="32" max="32" width="8.85546875" style="280" customWidth="1"/>
    <col min="33" max="33" width="11.140625" style="280" customWidth="1"/>
    <col min="34" max="37" width="7.5703125" style="281" customWidth="1"/>
    <col min="38" max="38" width="10.140625" bestFit="1" customWidth="1"/>
    <col min="42" max="42" width="10.28515625" style="441" bestFit="1" customWidth="1"/>
    <col min="43" max="43" width="9.7109375" style="465" bestFit="1" customWidth="1"/>
    <col min="50" max="52" width="9.5703125" bestFit="1" customWidth="1"/>
    <col min="53" max="53" width="8.7109375" style="278" customWidth="1"/>
    <col min="54" max="54" width="8.7109375" style="279" customWidth="1"/>
    <col min="55" max="56" width="8.7109375" style="276" customWidth="1"/>
  </cols>
  <sheetData>
    <row r="1" spans="1:56" ht="12.75" customHeight="1">
      <c r="A1" s="275"/>
    </row>
    <row r="2" spans="1:56">
      <c r="A2" s="275"/>
    </row>
    <row r="3" spans="1:56" ht="12.75" customHeight="1">
      <c r="A3" s="604" t="s">
        <v>183</v>
      </c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  <c r="P3" s="604"/>
      <c r="Q3" s="604"/>
      <c r="R3" s="604"/>
      <c r="S3" s="604"/>
      <c r="T3" s="604"/>
      <c r="U3" s="604"/>
      <c r="V3" s="604"/>
      <c r="W3" s="604"/>
      <c r="X3" s="604"/>
      <c r="Y3" s="604"/>
      <c r="Z3" s="604"/>
      <c r="AA3" s="604"/>
      <c r="AB3" s="604"/>
      <c r="AC3" s="604"/>
      <c r="AD3" s="604"/>
      <c r="AE3" s="604"/>
      <c r="AF3" s="604"/>
      <c r="AG3" s="604"/>
      <c r="AH3" s="604"/>
      <c r="AI3" s="604"/>
      <c r="AJ3" s="604"/>
      <c r="AK3" s="604"/>
      <c r="BA3"/>
      <c r="BB3"/>
      <c r="BC3"/>
      <c r="BD3"/>
    </row>
    <row r="4" spans="1:56" ht="12.75" customHeight="1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  <c r="R4" s="604"/>
      <c r="S4" s="604"/>
      <c r="T4" s="604"/>
      <c r="U4" s="604"/>
      <c r="V4" s="604"/>
      <c r="W4" s="604"/>
      <c r="X4" s="604"/>
      <c r="Y4" s="604"/>
      <c r="Z4" s="604"/>
      <c r="AA4" s="604"/>
      <c r="AB4" s="604"/>
      <c r="AC4" s="604"/>
      <c r="AD4" s="604"/>
      <c r="AE4" s="604"/>
      <c r="AF4" s="604"/>
      <c r="AG4" s="604"/>
      <c r="AH4" s="604"/>
      <c r="AI4" s="604"/>
      <c r="AJ4" s="604"/>
      <c r="AK4" s="604"/>
      <c r="AL4" s="439"/>
      <c r="AM4" s="440"/>
      <c r="AN4" s="440"/>
      <c r="BA4"/>
      <c r="BB4"/>
      <c r="BC4"/>
      <c r="BD4"/>
    </row>
    <row r="5" spans="1:56">
      <c r="H5" s="278"/>
      <c r="I5" s="279"/>
      <c r="J5" s="279"/>
      <c r="K5" s="279"/>
      <c r="BC5" s="279"/>
      <c r="BD5" s="279"/>
    </row>
    <row r="6" spans="1:56" ht="22.7" customHeight="1">
      <c r="A6" s="607" t="s">
        <v>8</v>
      </c>
      <c r="B6" s="606" t="s">
        <v>9</v>
      </c>
      <c r="C6" s="606" t="s">
        <v>5</v>
      </c>
      <c r="D6" s="606" t="s">
        <v>176</v>
      </c>
      <c r="E6" s="606" t="s">
        <v>177</v>
      </c>
      <c r="F6" s="606" t="s">
        <v>173</v>
      </c>
      <c r="G6" s="606" t="s">
        <v>172</v>
      </c>
      <c r="H6" s="606" t="s">
        <v>174</v>
      </c>
      <c r="I6" s="606" t="s">
        <v>175</v>
      </c>
      <c r="J6" s="610" t="s">
        <v>179</v>
      </c>
      <c r="K6" s="611"/>
      <c r="L6" s="614" t="s">
        <v>178</v>
      </c>
      <c r="M6" s="614"/>
      <c r="N6" s="614" t="s">
        <v>180</v>
      </c>
      <c r="O6" s="614"/>
      <c r="P6" s="616" t="s">
        <v>30</v>
      </c>
      <c r="Q6" s="616"/>
      <c r="R6" s="605" t="s">
        <v>23</v>
      </c>
      <c r="S6" s="605"/>
      <c r="T6" s="605" t="s">
        <v>31</v>
      </c>
      <c r="U6" s="605"/>
      <c r="V6" s="605"/>
      <c r="W6" s="605"/>
      <c r="X6" s="605"/>
      <c r="Y6" s="605"/>
      <c r="Z6" s="605" t="s">
        <v>32</v>
      </c>
      <c r="AA6" s="605"/>
      <c r="AB6" s="605"/>
      <c r="AC6" s="605"/>
      <c r="AD6" s="605"/>
      <c r="AE6" s="605"/>
      <c r="AF6" s="605" t="s">
        <v>33</v>
      </c>
      <c r="AG6" s="605"/>
      <c r="AH6" s="605"/>
      <c r="AI6" s="605"/>
      <c r="AJ6" s="605"/>
      <c r="AK6" s="605"/>
      <c r="BA6" s="614" t="s">
        <v>374</v>
      </c>
      <c r="BB6" s="614"/>
      <c r="BC6" s="610" t="s">
        <v>375</v>
      </c>
      <c r="BD6" s="611"/>
    </row>
    <row r="7" spans="1:56" ht="22.7" customHeight="1">
      <c r="A7" s="608"/>
      <c r="B7" s="606"/>
      <c r="C7" s="606"/>
      <c r="D7" s="606"/>
      <c r="E7" s="606"/>
      <c r="F7" s="606"/>
      <c r="G7" s="606"/>
      <c r="H7" s="606"/>
      <c r="I7" s="606"/>
      <c r="J7" s="612"/>
      <c r="K7" s="613"/>
      <c r="L7" s="614"/>
      <c r="M7" s="614"/>
      <c r="N7" s="614"/>
      <c r="O7" s="614"/>
      <c r="P7" s="616"/>
      <c r="Q7" s="616"/>
      <c r="R7" s="605"/>
      <c r="S7" s="605"/>
      <c r="T7" s="605" t="s">
        <v>36</v>
      </c>
      <c r="U7" s="605"/>
      <c r="V7" s="605" t="s">
        <v>34</v>
      </c>
      <c r="W7" s="605"/>
      <c r="X7" s="605" t="s">
        <v>35</v>
      </c>
      <c r="Y7" s="605"/>
      <c r="Z7" s="605" t="s">
        <v>36</v>
      </c>
      <c r="AA7" s="605"/>
      <c r="AB7" s="615" t="s">
        <v>34</v>
      </c>
      <c r="AC7" s="615"/>
      <c r="AD7" s="605" t="s">
        <v>35</v>
      </c>
      <c r="AE7" s="605"/>
      <c r="AF7" s="605" t="s">
        <v>36</v>
      </c>
      <c r="AG7" s="605"/>
      <c r="AH7" s="605" t="s">
        <v>26</v>
      </c>
      <c r="AI7" s="605"/>
      <c r="AJ7" s="605" t="s">
        <v>27</v>
      </c>
      <c r="AK7" s="605"/>
      <c r="AL7" s="622" t="s">
        <v>270</v>
      </c>
      <c r="AM7" s="623"/>
      <c r="AN7" s="623"/>
      <c r="AO7" s="624" t="s">
        <v>225</v>
      </c>
      <c r="AP7" s="466" t="s">
        <v>271</v>
      </c>
      <c r="AQ7" s="467" t="s">
        <v>135</v>
      </c>
      <c r="AR7" s="617" t="s">
        <v>272</v>
      </c>
      <c r="AS7" s="618"/>
      <c r="AT7" s="618"/>
      <c r="AU7" s="619" t="s">
        <v>273</v>
      </c>
      <c r="AV7" s="620"/>
      <c r="AW7" s="620"/>
      <c r="AX7" s="621" t="s">
        <v>286</v>
      </c>
      <c r="AY7" s="621"/>
      <c r="AZ7" s="621"/>
      <c r="BA7" s="614"/>
      <c r="BB7" s="614"/>
      <c r="BC7" s="612"/>
      <c r="BD7" s="613"/>
    </row>
    <row r="8" spans="1:56" s="1" customFormat="1">
      <c r="A8" s="609"/>
      <c r="B8" s="606"/>
      <c r="C8" s="606"/>
      <c r="D8" s="606"/>
      <c r="E8" s="606"/>
      <c r="F8" s="606"/>
      <c r="G8" s="606"/>
      <c r="H8" s="606"/>
      <c r="I8" s="606"/>
      <c r="J8" s="412" t="s">
        <v>37</v>
      </c>
      <c r="K8" s="410" t="s">
        <v>38</v>
      </c>
      <c r="L8" s="282" t="s">
        <v>37</v>
      </c>
      <c r="M8" s="283" t="s">
        <v>38</v>
      </c>
      <c r="N8" s="282" t="s">
        <v>37</v>
      </c>
      <c r="O8" s="283" t="s">
        <v>38</v>
      </c>
      <c r="P8" s="282" t="s">
        <v>37</v>
      </c>
      <c r="Q8" s="283" t="s">
        <v>38</v>
      </c>
      <c r="R8" s="282" t="s">
        <v>37</v>
      </c>
      <c r="S8" s="284" t="s">
        <v>38</v>
      </c>
      <c r="T8" s="287" t="s">
        <v>37</v>
      </c>
      <c r="U8" s="283" t="s">
        <v>38</v>
      </c>
      <c r="V8" s="288" t="s">
        <v>37</v>
      </c>
      <c r="W8" s="283" t="s">
        <v>38</v>
      </c>
      <c r="X8" s="288" t="s">
        <v>37</v>
      </c>
      <c r="Y8" s="283" t="s">
        <v>38</v>
      </c>
      <c r="Z8" s="285" t="s">
        <v>37</v>
      </c>
      <c r="AA8" s="284" t="s">
        <v>38</v>
      </c>
      <c r="AB8" s="286" t="s">
        <v>37</v>
      </c>
      <c r="AC8" s="289" t="s">
        <v>38</v>
      </c>
      <c r="AD8" s="285" t="s">
        <v>37</v>
      </c>
      <c r="AE8" s="289" t="s">
        <v>38</v>
      </c>
      <c r="AF8" s="285" t="s">
        <v>37</v>
      </c>
      <c r="AG8" s="284" t="s">
        <v>38</v>
      </c>
      <c r="AH8" s="286" t="s">
        <v>37</v>
      </c>
      <c r="AI8" s="289" t="s">
        <v>38</v>
      </c>
      <c r="AJ8" s="286" t="s">
        <v>37</v>
      </c>
      <c r="AK8" s="289" t="s">
        <v>38</v>
      </c>
      <c r="AL8" s="1">
        <v>14</v>
      </c>
      <c r="AM8" s="1">
        <v>15</v>
      </c>
      <c r="AN8" s="1">
        <v>17</v>
      </c>
      <c r="AO8" s="624"/>
      <c r="AP8" s="468" t="s">
        <v>274</v>
      </c>
      <c r="AQ8" s="469"/>
      <c r="AU8" s="1">
        <v>14</v>
      </c>
      <c r="AV8" s="1">
        <v>15</v>
      </c>
      <c r="AW8" s="1">
        <v>17</v>
      </c>
      <c r="AX8" s="1">
        <v>14</v>
      </c>
      <c r="AY8" s="1">
        <v>15</v>
      </c>
      <c r="AZ8" s="1">
        <v>17</v>
      </c>
      <c r="BA8" s="282" t="s">
        <v>37</v>
      </c>
      <c r="BB8" s="283" t="s">
        <v>38</v>
      </c>
      <c r="BC8" s="412" t="s">
        <v>37</v>
      </c>
      <c r="BD8" s="410" t="s">
        <v>38</v>
      </c>
    </row>
    <row r="9" spans="1:56" s="385" customFormat="1" ht="12.75" customHeight="1">
      <c r="A9" s="399">
        <v>45839</v>
      </c>
      <c r="B9" s="408" t="s">
        <v>410</v>
      </c>
      <c r="C9" s="386" t="s">
        <v>411</v>
      </c>
      <c r="D9" s="378">
        <f>+'1'!F42</f>
        <v>1200.9428129829985</v>
      </c>
      <c r="E9" s="378">
        <f>+'1'!G42</f>
        <v>924.72596599690871</v>
      </c>
      <c r="F9" s="47">
        <f t="shared" ref="F9:F39" si="0">1-(E9/D9)</f>
        <v>0.23000000000000009</v>
      </c>
      <c r="G9" s="404">
        <f>+P9/N9</f>
        <v>0.85281324451195162</v>
      </c>
      <c r="H9" s="400">
        <f>+P9/L9</f>
        <v>0.82669998012357704</v>
      </c>
      <c r="I9" s="400">
        <f>+R9/P9</f>
        <v>0.9629346996620517</v>
      </c>
      <c r="J9" s="405">
        <f>+R9/L9</f>
        <v>0.79605809707092079</v>
      </c>
      <c r="K9" s="405">
        <f>+S9/M9</f>
        <v>0.79605809707092079</v>
      </c>
      <c r="L9" s="379">
        <f>+SUM(Efficiency1!K6:K7)</f>
        <v>44.383695273000001</v>
      </c>
      <c r="M9" s="380">
        <f>L9</f>
        <v>44.383695273000001</v>
      </c>
      <c r="N9" s="379">
        <f>+SUM(Efficiency1!C6:C7)</f>
        <v>43.024660130598832</v>
      </c>
      <c r="O9" s="380">
        <f>N9</f>
        <v>43.024660130598832</v>
      </c>
      <c r="P9" s="380">
        <f>'1'!I38</f>
        <v>36.692</v>
      </c>
      <c r="Q9" s="380">
        <f>P9</f>
        <v>36.692</v>
      </c>
      <c r="R9" s="380">
        <f>'1'!I40</f>
        <v>35.332000000000001</v>
      </c>
      <c r="S9" s="380">
        <f>R9</f>
        <v>35.332000000000001</v>
      </c>
      <c r="T9" s="96">
        <f t="shared" ref="T9:T39" si="1">+AX9</f>
        <v>3947.4227231233758</v>
      </c>
      <c r="U9" s="290">
        <f>T9</f>
        <v>3947.4227231233758</v>
      </c>
      <c r="V9" s="290">
        <f>T9/P9</f>
        <v>107.582653524566</v>
      </c>
      <c r="W9" s="290">
        <f>U9/Q9</f>
        <v>107.582653524566</v>
      </c>
      <c r="X9" s="291">
        <f>IF(AND(R9&gt;0,T9&gt;0),(T9/(R9*1000))*1000,0)</f>
        <v>111.72372702149258</v>
      </c>
      <c r="Y9" s="290">
        <f>IF(AND(S9&gt;0,U9&gt;0),U9/S9,0)</f>
        <v>111.72372702149258</v>
      </c>
      <c r="Z9" s="382">
        <v>57.7</v>
      </c>
      <c r="AA9" s="383">
        <f>Z9</f>
        <v>57.7</v>
      </c>
      <c r="AB9" s="384">
        <f t="shared" ref="AB9:AB39" si="2">Z9/(P9)</f>
        <v>1.5725498746320725</v>
      </c>
      <c r="AC9" s="384">
        <f t="shared" ref="AC9:AC39" si="3">AA9/(Q9)</f>
        <v>1.5725498746320725</v>
      </c>
      <c r="AD9" s="379">
        <f t="shared" ref="AD9:AD39" si="4">IF(AND(R9&gt;0,Z9&gt;0),Z9/(R9),0)</f>
        <v>1.6330804936035324</v>
      </c>
      <c r="AE9" s="384">
        <f t="shared" ref="AE9:AE39" si="5">IF(AND(S9&gt;0,AA9&gt;0),AA9/(S9),0)</f>
        <v>1.6330804936035324</v>
      </c>
      <c r="AF9" s="383">
        <f>'1'!I46</f>
        <v>36445.059999999634</v>
      </c>
      <c r="AG9" s="383">
        <f>AF9</f>
        <v>36445.059999999634</v>
      </c>
      <c r="AH9" s="384">
        <f t="shared" ref="AH9:AH39" si="6">IF(AND(L9&gt;0,AF9&gt;0),(AF9/(P9*1000)*1000),0)</f>
        <v>993.26992259892165</v>
      </c>
      <c r="AI9" s="384">
        <f t="shared" ref="AI9:AI39" si="7">IF(AND(M9&gt;0,AG9&gt;0),(AG9/(Q9*1000)*1000),0)</f>
        <v>993.26992259892165</v>
      </c>
      <c r="AJ9" s="384">
        <f t="shared" ref="AJ9:AJ39" si="8">IF(AND(R9&gt;0,AF9&gt;0),(AF9/(R9*1000)*1000),0)</f>
        <v>1031.502886901382</v>
      </c>
      <c r="AK9" s="384">
        <f t="shared" ref="AK9:AK39" si="9">IF(AND(S9&gt;0,AG9&gt;0),(AG9/(S9*1000)*1000),0)</f>
        <v>1031.502886901382</v>
      </c>
      <c r="AL9" s="470">
        <v>4106.3</v>
      </c>
      <c r="AM9" s="471">
        <v>4519.1000000000004</v>
      </c>
      <c r="AN9" s="440">
        <v>2767.4</v>
      </c>
      <c r="AO9" s="440">
        <f>SUM(AL9:AN9)</f>
        <v>11392.800000000001</v>
      </c>
      <c r="AP9" s="526">
        <f>+[1]Jul!N4</f>
        <v>10952</v>
      </c>
      <c r="AQ9" s="472">
        <f t="shared" ref="AQ9:AQ39" si="10">+AP9-AO9</f>
        <v>-440.80000000000109</v>
      </c>
      <c r="AR9" s="443">
        <f t="shared" ref="AR9:AR37" si="11">+AL9/AO9</f>
        <v>0.3604293940032301</v>
      </c>
      <c r="AS9" s="443">
        <f t="shared" ref="AS9:AS37" si="12">+AM9/AO9</f>
        <v>0.39666280457833014</v>
      </c>
      <c r="AT9" s="443">
        <f>1-AR9-AS9</f>
        <v>0.24290780141843971</v>
      </c>
      <c r="AU9" s="443">
        <f>+AR9*AQ9</f>
        <v>-158.87727687662422</v>
      </c>
      <c r="AV9" s="443">
        <f>+AS9*AQ9</f>
        <v>-174.84896425812835</v>
      </c>
      <c r="AW9" s="443">
        <f>+AT9*AQ9</f>
        <v>-107.07375886524849</v>
      </c>
      <c r="AX9" s="385">
        <f t="shared" ref="AX9:AX37" si="13">+AL9+AU9</f>
        <v>3947.4227231233758</v>
      </c>
      <c r="AY9" s="385">
        <f t="shared" ref="AY9:AY37" si="14">+AM9+AV9</f>
        <v>4344.2510357418723</v>
      </c>
      <c r="AZ9" s="385">
        <f t="shared" ref="AZ9:AZ37" si="15">+AN9+AW9</f>
        <v>2660.3262411347514</v>
      </c>
      <c r="BA9" s="379">
        <f>+SUM(Efficiency2!K6:K7)</f>
        <v>42.010499447999997</v>
      </c>
      <c r="BB9" s="380">
        <f>BA9</f>
        <v>42.010499447999997</v>
      </c>
      <c r="BC9" s="405">
        <f>+R9/BA9</f>
        <v>0.84102784932927188</v>
      </c>
      <c r="BD9" s="405">
        <f>+S9/BB9</f>
        <v>0.84102784932927188</v>
      </c>
    </row>
    <row r="10" spans="1:56" s="385" customFormat="1" ht="12.75" customHeight="1">
      <c r="A10" s="399">
        <f t="shared" ref="A10:A38" si="16">A9+1</f>
        <v>45840</v>
      </c>
      <c r="B10" s="408" t="s">
        <v>7</v>
      </c>
      <c r="C10" s="386" t="s">
        <v>443</v>
      </c>
      <c r="D10" s="378">
        <f>+'2'!F42</f>
        <v>1216.7306216423638</v>
      </c>
      <c r="E10" s="378">
        <f>+'2'!G42</f>
        <v>936.88257866462015</v>
      </c>
      <c r="F10" s="47">
        <f t="shared" si="0"/>
        <v>0.22999999999999998</v>
      </c>
      <c r="G10" s="404">
        <f t="shared" ref="G10:G41" si="17">+P10/N10</f>
        <v>0.89628352161316438</v>
      </c>
      <c r="H10" s="400">
        <f t="shared" ref="H10:H41" si="18">+P10/L10</f>
        <v>0.87621020128433291</v>
      </c>
      <c r="I10" s="400">
        <f t="shared" ref="I10:I41" si="19">+R10/P10</f>
        <v>0.95528538520604045</v>
      </c>
      <c r="J10" s="405">
        <f t="shared" ref="J10:J41" si="20">+R10/L10</f>
        <v>0.8370307996553662</v>
      </c>
      <c r="K10" s="405">
        <f t="shared" ref="K10:K39" si="21">+S10/M10</f>
        <v>0.81659189458267634</v>
      </c>
      <c r="L10" s="379">
        <f>+SUM(Efficiency1!K12:K13)</f>
        <v>44.589757049999996</v>
      </c>
      <c r="M10" s="380">
        <f t="shared" ref="M10:O38" si="22">M9+L10</f>
        <v>88.973452323000004</v>
      </c>
      <c r="N10" s="379">
        <f>+SUM(Efficiency1!C12:C13)</f>
        <v>43.591117160873786</v>
      </c>
      <c r="O10" s="380">
        <f t="shared" si="22"/>
        <v>86.615777291472625</v>
      </c>
      <c r="P10" s="380">
        <f>'2'!I38</f>
        <v>39.07</v>
      </c>
      <c r="Q10" s="380">
        <f t="shared" ref="Q10:Q38" si="23">Q9+P10</f>
        <v>75.762</v>
      </c>
      <c r="R10" s="380">
        <f>'2'!I40</f>
        <v>37.323</v>
      </c>
      <c r="S10" s="380">
        <f t="shared" ref="S10:S38" si="24">S9+R10</f>
        <v>72.655000000000001</v>
      </c>
      <c r="T10" s="96">
        <f t="shared" si="1"/>
        <v>3750.9815206658195</v>
      </c>
      <c r="U10" s="13">
        <f t="shared" ref="U10:U38" si="25">T10+U9</f>
        <v>7698.4042437891949</v>
      </c>
      <c r="V10" s="290">
        <f t="shared" ref="V10:V39" si="26">T10/P10</f>
        <v>96.006693643865361</v>
      </c>
      <c r="W10" s="290">
        <f t="shared" ref="W10:W39" si="27">U10/Q10</f>
        <v>101.61300181871115</v>
      </c>
      <c r="X10" s="291">
        <f t="shared" ref="X10:X39" si="28">IF(AND(R10&gt;0,T10&gt;0),(T10/(R10*1000))*1000,0)</f>
        <v>100.50053641630683</v>
      </c>
      <c r="Y10" s="290">
        <f t="shared" ref="Y10:Y39" si="29">IF(AND(S10&gt;0,U10&gt;0),U10/S10,0)</f>
        <v>105.95835446685287</v>
      </c>
      <c r="Z10" s="382">
        <v>59.3</v>
      </c>
      <c r="AA10" s="381">
        <f t="shared" ref="AA10:AA38" si="30">Z10+AA9</f>
        <v>117</v>
      </c>
      <c r="AB10" s="384">
        <f t="shared" si="2"/>
        <v>1.5177885845917582</v>
      </c>
      <c r="AC10" s="384">
        <f t="shared" si="3"/>
        <v>1.5443098123069612</v>
      </c>
      <c r="AD10" s="379">
        <f t="shared" si="4"/>
        <v>1.5888326233153818</v>
      </c>
      <c r="AE10" s="384">
        <f t="shared" si="5"/>
        <v>1.6103502855963112</v>
      </c>
      <c r="AF10" s="383">
        <f>'2'!I46</f>
        <v>34580.39999999982</v>
      </c>
      <c r="AG10" s="381">
        <f t="shared" ref="AG10:AG38" si="31">AF10+AG9</f>
        <v>71025.459999999453</v>
      </c>
      <c r="AH10" s="384">
        <f t="shared" si="6"/>
        <v>885.08830304581056</v>
      </c>
      <c r="AI10" s="384">
        <f t="shared" si="7"/>
        <v>937.48132309072435</v>
      </c>
      <c r="AJ10" s="384">
        <f t="shared" si="8"/>
        <v>926.51716099991472</v>
      </c>
      <c r="AK10" s="384">
        <f t="shared" si="9"/>
        <v>977.57153671460264</v>
      </c>
      <c r="AL10" s="439">
        <v>4230.3999999999996</v>
      </c>
      <c r="AM10" s="440">
        <v>4280.3</v>
      </c>
      <c r="AN10" s="440">
        <v>2831.7</v>
      </c>
      <c r="AO10" s="440">
        <f t="shared" ref="AO10:AO11" si="32">SUM(AL10:AN10)</f>
        <v>11342.400000000001</v>
      </c>
      <c r="AP10" s="573">
        <f>+[1]Jul!N5</f>
        <v>10057</v>
      </c>
      <c r="AQ10" s="472">
        <f t="shared" si="10"/>
        <v>-1285.4000000000015</v>
      </c>
      <c r="AR10" s="443">
        <f t="shared" si="11"/>
        <v>0.37297221046692053</v>
      </c>
      <c r="AS10" s="443">
        <f t="shared" si="12"/>
        <v>0.37737163210607982</v>
      </c>
      <c r="AT10" s="443">
        <f t="shared" ref="AT10:AT37" si="33">1-AR10-AS10</f>
        <v>0.24965615742699965</v>
      </c>
      <c r="AU10" s="443">
        <f t="shared" ref="AU10:AU37" si="34">+AR10*AQ10</f>
        <v>-479.41847933418018</v>
      </c>
      <c r="AV10" s="443">
        <f t="shared" ref="AV10:AV37" si="35">+AS10*AQ10</f>
        <v>-485.07349590915555</v>
      </c>
      <c r="AW10" s="443">
        <f>+AT10*AQ10</f>
        <v>-320.90802475666572</v>
      </c>
      <c r="AX10" s="385">
        <f t="shared" si="13"/>
        <v>3750.9815206658195</v>
      </c>
      <c r="AY10" s="385">
        <f t="shared" si="14"/>
        <v>3795.2265040908446</v>
      </c>
      <c r="AZ10" s="385">
        <f t="shared" si="15"/>
        <v>2510.791975243334</v>
      </c>
      <c r="BA10" s="379">
        <f>+SUM(Efficiency1!K12:K13)</f>
        <v>44.589757049999996</v>
      </c>
      <c r="BB10" s="380">
        <f t="shared" ref="BB10:BB38" si="36">BB9+BA10</f>
        <v>86.600256497999993</v>
      </c>
      <c r="BC10" s="405">
        <f t="shared" ref="BC10:BC41" si="37">+R10/BA10</f>
        <v>0.8370307996553662</v>
      </c>
      <c r="BD10" s="405">
        <f t="shared" ref="BD10:BD39" si="38">+S10/BB10</f>
        <v>0.83896980145408628</v>
      </c>
    </row>
    <row r="11" spans="1:56" s="385" customFormat="1" ht="12.75" customHeight="1">
      <c r="A11" s="399">
        <f t="shared" si="16"/>
        <v>45841</v>
      </c>
      <c r="B11" s="408" t="s">
        <v>7</v>
      </c>
      <c r="C11" s="386" t="s">
        <v>455</v>
      </c>
      <c r="D11" s="378">
        <f>+'3'!F42</f>
        <v>1230</v>
      </c>
      <c r="E11" s="378">
        <f>+'3'!G42</f>
        <v>947.0999999999998</v>
      </c>
      <c r="F11" s="47">
        <f t="shared" si="0"/>
        <v>0.2300000000000002</v>
      </c>
      <c r="G11" s="404">
        <f t="shared" si="17"/>
        <v>0.96550133124434934</v>
      </c>
      <c r="H11" s="400">
        <f>+P11/L11</f>
        <v>0.96550133124434934</v>
      </c>
      <c r="I11" s="400">
        <f t="shared" si="19"/>
        <v>0.95001910402139655</v>
      </c>
      <c r="J11" s="405">
        <f t="shared" si="20"/>
        <v>0.91724470964022242</v>
      </c>
      <c r="K11" s="405">
        <f t="shared" si="21"/>
        <v>0.84957779005359535</v>
      </c>
      <c r="L11" s="379">
        <f>+Efficiency1!K17</f>
        <v>43.372286132459003</v>
      </c>
      <c r="M11" s="380">
        <f t="shared" si="22"/>
        <v>132.34573845545901</v>
      </c>
      <c r="N11" s="379">
        <f>+Efficiency1!C17</f>
        <v>43.372286132459003</v>
      </c>
      <c r="O11" s="380">
        <f t="shared" si="22"/>
        <v>129.98806342393164</v>
      </c>
      <c r="P11" s="380">
        <f>'3'!I38</f>
        <v>41.875999999999998</v>
      </c>
      <c r="Q11" s="380">
        <f t="shared" si="23"/>
        <v>117.63800000000001</v>
      </c>
      <c r="R11" s="380">
        <f>'3'!I40</f>
        <v>39.783000000000001</v>
      </c>
      <c r="S11" s="380">
        <f t="shared" si="24"/>
        <v>112.438</v>
      </c>
      <c r="T11" s="96">
        <f t="shared" si="1"/>
        <v>4079.1681570508636</v>
      </c>
      <c r="U11" s="13">
        <f t="shared" si="25"/>
        <v>11777.572400840058</v>
      </c>
      <c r="V11" s="290">
        <f t="shared" si="26"/>
        <v>97.410644690296678</v>
      </c>
      <c r="W11" s="290">
        <f t="shared" si="27"/>
        <v>100.11707442187097</v>
      </c>
      <c r="X11" s="291">
        <f t="shared" si="28"/>
        <v>102.53545879020847</v>
      </c>
      <c r="Y11" s="290">
        <f t="shared" si="29"/>
        <v>104.74725983066274</v>
      </c>
      <c r="Z11" s="382">
        <v>61.4</v>
      </c>
      <c r="AA11" s="381">
        <f t="shared" si="30"/>
        <v>178.4</v>
      </c>
      <c r="AB11" s="384">
        <f t="shared" si="2"/>
        <v>1.4662336421816793</v>
      </c>
      <c r="AC11" s="384">
        <f t="shared" si="3"/>
        <v>1.5165167717914279</v>
      </c>
      <c r="AD11" s="379">
        <f t="shared" si="4"/>
        <v>1.5433727974260361</v>
      </c>
      <c r="AE11" s="384">
        <f t="shared" si="5"/>
        <v>1.586652199434355</v>
      </c>
      <c r="AF11" s="383">
        <f>'3'!I46</f>
        <v>37132.28</v>
      </c>
      <c r="AG11" s="381">
        <f t="shared" si="31"/>
        <v>108157.73999999945</v>
      </c>
      <c r="AH11" s="384">
        <f t="shared" si="6"/>
        <v>886.7198395262202</v>
      </c>
      <c r="AI11" s="384">
        <f t="shared" si="7"/>
        <v>919.41158469201662</v>
      </c>
      <c r="AJ11" s="384">
        <f t="shared" si="8"/>
        <v>933.37053515320611</v>
      </c>
      <c r="AK11" s="384">
        <f t="shared" si="9"/>
        <v>961.93226489264703</v>
      </c>
      <c r="AL11" s="439">
        <v>4353.8999999999996</v>
      </c>
      <c r="AM11" s="440">
        <v>3740.6</v>
      </c>
      <c r="AN11" s="440">
        <v>3412.6</v>
      </c>
      <c r="AO11" s="440">
        <f t="shared" si="32"/>
        <v>11507.1</v>
      </c>
      <c r="AP11" s="574">
        <f>+[1]Jul!N6</f>
        <v>10781</v>
      </c>
      <c r="AQ11" s="472">
        <f t="shared" si="10"/>
        <v>-726.10000000000036</v>
      </c>
      <c r="AR11" s="443">
        <f t="shared" si="11"/>
        <v>0.37836639987485982</v>
      </c>
      <c r="AS11" s="443">
        <f t="shared" si="12"/>
        <v>0.32506887052341599</v>
      </c>
      <c r="AT11" s="443">
        <f t="shared" si="33"/>
        <v>0.29656472960172414</v>
      </c>
      <c r="AU11" s="443">
        <f t="shared" si="34"/>
        <v>-274.73184294913585</v>
      </c>
      <c r="AV11" s="443">
        <f t="shared" si="35"/>
        <v>-236.03250688705248</v>
      </c>
      <c r="AW11" s="443">
        <f t="shared" ref="AW11:AW37" si="39">+AT11*AQ11</f>
        <v>-215.33565016381201</v>
      </c>
      <c r="AX11" s="385">
        <f t="shared" si="13"/>
        <v>4079.1681570508636</v>
      </c>
      <c r="AY11" s="385">
        <f t="shared" si="14"/>
        <v>3504.5674931129474</v>
      </c>
      <c r="AZ11" s="385">
        <f t="shared" si="15"/>
        <v>3197.2643498361881</v>
      </c>
      <c r="BA11" s="379">
        <f>+Efficiency2!K17</f>
        <v>43.372286132459003</v>
      </c>
      <c r="BB11" s="380">
        <f t="shared" si="36"/>
        <v>129.972542630459</v>
      </c>
      <c r="BC11" s="405">
        <f t="shared" si="37"/>
        <v>0.91724470964022242</v>
      </c>
      <c r="BD11" s="405">
        <f t="shared" si="38"/>
        <v>0.86509040851563834</v>
      </c>
    </row>
    <row r="12" spans="1:56" s="385" customFormat="1" ht="12.75" customHeight="1">
      <c r="A12" s="399">
        <f t="shared" si="16"/>
        <v>45842</v>
      </c>
      <c r="B12" s="408" t="s">
        <v>7</v>
      </c>
      <c r="C12" s="386" t="s">
        <v>455</v>
      </c>
      <c r="D12" s="378">
        <f>+'4'!F42</f>
        <v>1230</v>
      </c>
      <c r="E12" s="378">
        <f>+'4'!G42</f>
        <v>947.0999999999998</v>
      </c>
      <c r="F12" s="47">
        <f t="shared" si="0"/>
        <v>0.2300000000000002</v>
      </c>
      <c r="G12" s="404">
        <f t="shared" si="17"/>
        <v>0.97263558890186452</v>
      </c>
      <c r="H12" s="400">
        <f t="shared" si="18"/>
        <v>0.97263558890186452</v>
      </c>
      <c r="I12" s="400">
        <f t="shared" si="19"/>
        <v>0.98970289547021872</v>
      </c>
      <c r="J12" s="405">
        <f t="shared" si="20"/>
        <v>0.9626202585735566</v>
      </c>
      <c r="K12" s="405">
        <f t="shared" si="21"/>
        <v>0.87755786381605383</v>
      </c>
      <c r="L12" s="379">
        <f>+Efficiency1!K21</f>
        <v>43.533262079999993</v>
      </c>
      <c r="M12" s="380">
        <f t="shared" si="22"/>
        <v>175.879000535459</v>
      </c>
      <c r="N12" s="379">
        <f>+Efficiency1!C21</f>
        <v>43.533262079999993</v>
      </c>
      <c r="O12" s="380">
        <f t="shared" si="22"/>
        <v>173.52132550393162</v>
      </c>
      <c r="P12" s="380">
        <f>'4'!I38</f>
        <v>42.341999999999999</v>
      </c>
      <c r="Q12" s="380">
        <f t="shared" si="23"/>
        <v>159.98000000000002</v>
      </c>
      <c r="R12" s="380">
        <f>'4'!I40</f>
        <v>41.905999999999999</v>
      </c>
      <c r="S12" s="380">
        <f t="shared" si="24"/>
        <v>154.34399999999999</v>
      </c>
      <c r="T12" s="96">
        <f t="shared" si="1"/>
        <v>4306.3270363933652</v>
      </c>
      <c r="U12" s="13">
        <f t="shared" si="25"/>
        <v>16083.899437233424</v>
      </c>
      <c r="V12" s="290">
        <f t="shared" si="26"/>
        <v>101.70343952560968</v>
      </c>
      <c r="W12" s="290">
        <f t="shared" si="27"/>
        <v>100.53693860003389</v>
      </c>
      <c r="X12" s="291">
        <f t="shared" si="28"/>
        <v>102.76158632160944</v>
      </c>
      <c r="Y12" s="290">
        <f t="shared" si="29"/>
        <v>104.2081288371004</v>
      </c>
      <c r="Z12" s="382">
        <v>62.1</v>
      </c>
      <c r="AA12" s="381">
        <f t="shared" si="30"/>
        <v>240.5</v>
      </c>
      <c r="AB12" s="384">
        <f t="shared" si="2"/>
        <v>1.4666288791271078</v>
      </c>
      <c r="AC12" s="384">
        <f t="shared" si="3"/>
        <v>1.503312914114264</v>
      </c>
      <c r="AD12" s="379">
        <f t="shared" si="4"/>
        <v>1.4818880351262349</v>
      </c>
      <c r="AE12" s="384">
        <f t="shared" si="5"/>
        <v>1.5582076400767118</v>
      </c>
      <c r="AF12" s="383">
        <f>'4'!I46</f>
        <v>38589.900000000547</v>
      </c>
      <c r="AG12" s="381">
        <f t="shared" si="31"/>
        <v>146747.64000000001</v>
      </c>
      <c r="AH12" s="384">
        <f t="shared" si="6"/>
        <v>911.38585801333306</v>
      </c>
      <c r="AI12" s="384">
        <f t="shared" si="7"/>
        <v>917.28741092636562</v>
      </c>
      <c r="AJ12" s="384">
        <f t="shared" si="8"/>
        <v>920.86813344152495</v>
      </c>
      <c r="AK12" s="384">
        <f t="shared" si="9"/>
        <v>950.78292645000784</v>
      </c>
      <c r="AL12" s="439">
        <v>4368</v>
      </c>
      <c r="AM12" s="440">
        <v>1733.2</v>
      </c>
      <c r="AN12" s="440">
        <v>3623.1</v>
      </c>
      <c r="AO12" s="440">
        <f>SUM(AL12:AN12)</f>
        <v>9724.2999999999993</v>
      </c>
      <c r="AP12" s="575">
        <f>+[1]Jul!N7</f>
        <v>9587</v>
      </c>
      <c r="AQ12" s="472">
        <f t="shared" si="10"/>
        <v>-137.29999999999927</v>
      </c>
      <c r="AR12" s="443">
        <f t="shared" si="11"/>
        <v>0.44918400296165278</v>
      </c>
      <c r="AS12" s="443">
        <f t="shared" si="12"/>
        <v>0.17823390886747634</v>
      </c>
      <c r="AT12" s="443">
        <f t="shared" si="33"/>
        <v>0.37258208817087091</v>
      </c>
      <c r="AU12" s="443">
        <f t="shared" si="34"/>
        <v>-61.672963606634603</v>
      </c>
      <c r="AV12" s="443">
        <f t="shared" si="35"/>
        <v>-24.471515687504372</v>
      </c>
      <c r="AW12" s="443">
        <f t="shared" si="39"/>
        <v>-51.155520705860305</v>
      </c>
      <c r="AX12" s="385">
        <f t="shared" si="13"/>
        <v>4306.3270363933652</v>
      </c>
      <c r="AY12" s="385">
        <f t="shared" si="14"/>
        <v>1708.7284843124958</v>
      </c>
      <c r="AZ12" s="385">
        <f t="shared" si="15"/>
        <v>3571.9444792941395</v>
      </c>
      <c r="BA12" s="379">
        <f>+Efficiency2!K21</f>
        <v>43.533262079999993</v>
      </c>
      <c r="BB12" s="380">
        <f t="shared" si="36"/>
        <v>173.50580471045899</v>
      </c>
      <c r="BC12" s="405">
        <f t="shared" si="37"/>
        <v>0.9626202585735566</v>
      </c>
      <c r="BD12" s="405">
        <f t="shared" si="38"/>
        <v>0.88956101646031027</v>
      </c>
    </row>
    <row r="13" spans="1:56" s="385" customFormat="1" ht="12.75" customHeight="1">
      <c r="A13" s="399">
        <f t="shared" si="16"/>
        <v>45843</v>
      </c>
      <c r="B13" s="408" t="s">
        <v>7</v>
      </c>
      <c r="C13" s="386" t="s">
        <v>472</v>
      </c>
      <c r="D13" s="378">
        <f>+'5'!F42</f>
        <v>1230</v>
      </c>
      <c r="E13" s="378">
        <f>+'5'!G42</f>
        <v>947.1</v>
      </c>
      <c r="F13" s="47">
        <f t="shared" si="0"/>
        <v>0.22999999999999998</v>
      </c>
      <c r="G13" s="404">
        <f t="shared" si="17"/>
        <v>0.95649458346626459</v>
      </c>
      <c r="H13" s="400">
        <f t="shared" si="18"/>
        <v>0.95163910973389298</v>
      </c>
      <c r="I13" s="400">
        <f t="shared" si="19"/>
        <v>0.95503024147005866</v>
      </c>
      <c r="J13" s="405">
        <f t="shared" si="20"/>
        <v>0.90884412876151144</v>
      </c>
      <c r="K13" s="405">
        <f t="shared" si="21"/>
        <v>0.88399029931109951</v>
      </c>
      <c r="L13" s="379">
        <f>+SUM(Efficiency1!K25:K27)</f>
        <v>45.519356610000003</v>
      </c>
      <c r="M13" s="380">
        <f t="shared" si="22"/>
        <v>221.39835714545899</v>
      </c>
      <c r="N13" s="379">
        <f>+SUM(Efficiency1!C25:C27)</f>
        <v>45.288285735000002</v>
      </c>
      <c r="O13" s="380">
        <f t="shared" si="22"/>
        <v>218.80961123893161</v>
      </c>
      <c r="P13" s="380">
        <f>'5'!I38</f>
        <v>43.317999999999998</v>
      </c>
      <c r="Q13" s="380">
        <f t="shared" si="23"/>
        <v>203.298</v>
      </c>
      <c r="R13" s="380">
        <f>'5'!I40</f>
        <v>41.37</v>
      </c>
      <c r="S13" s="380">
        <f t="shared" si="24"/>
        <v>195.714</v>
      </c>
      <c r="T13" s="96">
        <f t="shared" si="1"/>
        <v>4276.735567349785</v>
      </c>
      <c r="U13" s="13">
        <f t="shared" si="25"/>
        <v>20360.635004583208</v>
      </c>
      <c r="V13" s="290">
        <f t="shared" si="26"/>
        <v>98.728832525734916</v>
      </c>
      <c r="W13" s="290">
        <f t="shared" si="27"/>
        <v>100.15167391997564</v>
      </c>
      <c r="X13" s="291">
        <f t="shared" si="28"/>
        <v>103.37770286076348</v>
      </c>
      <c r="Y13" s="290">
        <f t="shared" si="29"/>
        <v>104.03259350165654</v>
      </c>
      <c r="Z13" s="382">
        <v>61.7</v>
      </c>
      <c r="AA13" s="381">
        <f t="shared" si="30"/>
        <v>302.2</v>
      </c>
      <c r="AB13" s="384">
        <f t="shared" si="2"/>
        <v>1.4243501546701143</v>
      </c>
      <c r="AC13" s="384">
        <f t="shared" si="3"/>
        <v>1.4864878159155526</v>
      </c>
      <c r="AD13" s="379">
        <f t="shared" si="4"/>
        <v>1.4914189025864155</v>
      </c>
      <c r="AE13" s="384">
        <f t="shared" si="5"/>
        <v>1.5440898453866356</v>
      </c>
      <c r="AF13" s="383">
        <f>'5'!I46</f>
        <v>39792.82</v>
      </c>
      <c r="AG13" s="381">
        <f t="shared" si="31"/>
        <v>186540.46000000002</v>
      </c>
      <c r="AH13" s="384">
        <f t="shared" si="6"/>
        <v>918.62089662495964</v>
      </c>
      <c r="AI13" s="384">
        <f t="shared" si="7"/>
        <v>917.5715452193333</v>
      </c>
      <c r="AJ13" s="384">
        <f t="shared" si="8"/>
        <v>961.87623882040134</v>
      </c>
      <c r="AK13" s="384">
        <f t="shared" si="9"/>
        <v>953.12782938369264</v>
      </c>
      <c r="AL13" s="439">
        <v>4484.7</v>
      </c>
      <c r="AM13" s="440">
        <v>4740.3</v>
      </c>
      <c r="AN13" s="440">
        <v>3681.5</v>
      </c>
      <c r="AO13" s="440">
        <f t="shared" ref="AO13:AO39" si="40">SUM(AL13:AN13)</f>
        <v>12906.5</v>
      </c>
      <c r="AP13" s="576">
        <f>+[1]Jul!N8</f>
        <v>12308</v>
      </c>
      <c r="AQ13" s="472">
        <f t="shared" si="10"/>
        <v>-598.5</v>
      </c>
      <c r="AR13" s="443">
        <f t="shared" si="11"/>
        <v>0.3474760779452214</v>
      </c>
      <c r="AS13" s="443">
        <f t="shared" si="12"/>
        <v>0.36728005268663078</v>
      </c>
      <c r="AT13" s="443">
        <f t="shared" si="33"/>
        <v>0.28524386936814783</v>
      </c>
      <c r="AU13" s="443">
        <f t="shared" si="34"/>
        <v>-207.964432650215</v>
      </c>
      <c r="AV13" s="443">
        <f t="shared" si="35"/>
        <v>-219.81711153294853</v>
      </c>
      <c r="AW13" s="443">
        <f t="shared" si="39"/>
        <v>-170.71845581683647</v>
      </c>
      <c r="AX13" s="385">
        <f t="shared" si="13"/>
        <v>4276.735567349785</v>
      </c>
      <c r="AY13" s="385">
        <f t="shared" si="14"/>
        <v>4520.4828884670515</v>
      </c>
      <c r="AZ13" s="385">
        <f t="shared" si="15"/>
        <v>3510.7815441831635</v>
      </c>
      <c r="BA13" s="379">
        <f>+SUM(Efficiency2!K25:K27)</f>
        <v>45.519356610000003</v>
      </c>
      <c r="BB13" s="380">
        <f t="shared" si="36"/>
        <v>219.02516132045901</v>
      </c>
      <c r="BC13" s="405">
        <f t="shared" si="37"/>
        <v>0.90884412876151144</v>
      </c>
      <c r="BD13" s="405">
        <f t="shared" si="38"/>
        <v>0.89356856910904359</v>
      </c>
    </row>
    <row r="14" spans="1:56" s="385" customFormat="1" ht="12.75" customHeight="1">
      <c r="A14" s="399">
        <f t="shared" si="16"/>
        <v>45844</v>
      </c>
      <c r="B14" s="408" t="s">
        <v>7</v>
      </c>
      <c r="C14" s="386" t="s">
        <v>473</v>
      </c>
      <c r="D14" s="378">
        <f>+'6'!F42</f>
        <v>1230</v>
      </c>
      <c r="E14" s="378">
        <f>+'6'!G42</f>
        <v>947.0999999999998</v>
      </c>
      <c r="F14" s="47">
        <f t="shared" si="0"/>
        <v>0.2300000000000002</v>
      </c>
      <c r="G14" s="404">
        <f t="shared" si="17"/>
        <v>0.93403464390536328</v>
      </c>
      <c r="H14" s="400">
        <f t="shared" si="18"/>
        <v>0.93403464390536328</v>
      </c>
      <c r="I14" s="400">
        <f t="shared" si="19"/>
        <v>0.97493994826311903</v>
      </c>
      <c r="J14" s="405">
        <f t="shared" si="20"/>
        <v>0.91062768740505562</v>
      </c>
      <c r="K14" s="405">
        <f t="shared" si="21"/>
        <v>0.88860181346137534</v>
      </c>
      <c r="L14" s="379">
        <f>+Efficiency1!K29</f>
        <v>46.353741033599995</v>
      </c>
      <c r="M14" s="380">
        <f t="shared" si="22"/>
        <v>267.75209817905898</v>
      </c>
      <c r="N14" s="379">
        <f>+Efficiency1!C29</f>
        <v>46.353741033599995</v>
      </c>
      <c r="O14" s="380">
        <f t="shared" si="22"/>
        <v>265.1633522725316</v>
      </c>
      <c r="P14" s="380">
        <f>'6'!I38</f>
        <v>43.295999999999999</v>
      </c>
      <c r="Q14" s="380">
        <f t="shared" si="23"/>
        <v>246.59399999999999</v>
      </c>
      <c r="R14" s="380">
        <f>'6'!I40</f>
        <v>42.210999999999999</v>
      </c>
      <c r="S14" s="380">
        <f t="shared" si="24"/>
        <v>237.92500000000001</v>
      </c>
      <c r="T14" s="96">
        <f t="shared" si="1"/>
        <v>4134.0051544316029</v>
      </c>
      <c r="U14" s="13">
        <f t="shared" si="25"/>
        <v>24494.640159014809</v>
      </c>
      <c r="V14" s="290">
        <f t="shared" si="26"/>
        <v>95.482380691786844</v>
      </c>
      <c r="W14" s="290">
        <f t="shared" si="27"/>
        <v>99.331857867648068</v>
      </c>
      <c r="X14" s="291">
        <f t="shared" si="28"/>
        <v>97.936678932780623</v>
      </c>
      <c r="Y14" s="290">
        <f t="shared" si="29"/>
        <v>102.95109870343515</v>
      </c>
      <c r="Z14" s="382">
        <v>63</v>
      </c>
      <c r="AA14" s="381">
        <f t="shared" si="30"/>
        <v>365.2</v>
      </c>
      <c r="AB14" s="384">
        <f t="shared" si="2"/>
        <v>1.45509977827051</v>
      </c>
      <c r="AC14" s="384">
        <f t="shared" si="3"/>
        <v>1.4809768283088802</v>
      </c>
      <c r="AD14" s="379">
        <f t="shared" si="4"/>
        <v>1.4925019544668452</v>
      </c>
      <c r="AE14" s="384">
        <f t="shared" si="5"/>
        <v>1.5349374802984133</v>
      </c>
      <c r="AF14" s="383">
        <f>'6'!I46</f>
        <v>37410.659999999458</v>
      </c>
      <c r="AG14" s="381">
        <f t="shared" si="31"/>
        <v>223951.11999999947</v>
      </c>
      <c r="AH14" s="384">
        <f t="shared" si="6"/>
        <v>864.06735033258178</v>
      </c>
      <c r="AI14" s="384">
        <f t="shared" si="7"/>
        <v>908.17749012546722</v>
      </c>
      <c r="AJ14" s="384">
        <f t="shared" si="8"/>
        <v>886.27751060148921</v>
      </c>
      <c r="AK14" s="384">
        <f t="shared" si="9"/>
        <v>941.26771041294296</v>
      </c>
      <c r="AL14" s="439">
        <v>4368.5</v>
      </c>
      <c r="AM14" s="440">
        <v>4174.6000000000004</v>
      </c>
      <c r="AN14" s="440">
        <v>3873.4</v>
      </c>
      <c r="AO14" s="440">
        <f t="shared" si="40"/>
        <v>12416.5</v>
      </c>
      <c r="AP14" s="576">
        <f>+[1]Jul!N9</f>
        <v>11750</v>
      </c>
      <c r="AQ14" s="472">
        <f t="shared" si="10"/>
        <v>-666.5</v>
      </c>
      <c r="AR14" s="443">
        <f t="shared" si="11"/>
        <v>0.35183022590907259</v>
      </c>
      <c r="AS14" s="443">
        <f t="shared" si="12"/>
        <v>0.33621390891152902</v>
      </c>
      <c r="AT14" s="443">
        <f>1-AR14-AS14</f>
        <v>0.31195586517939833</v>
      </c>
      <c r="AU14" s="443">
        <f t="shared" si="34"/>
        <v>-234.49484556839687</v>
      </c>
      <c r="AV14" s="443">
        <f t="shared" si="35"/>
        <v>-224.08657028953411</v>
      </c>
      <c r="AW14" s="443">
        <f t="shared" si="39"/>
        <v>-207.91858414206899</v>
      </c>
      <c r="AX14" s="385">
        <f t="shared" si="13"/>
        <v>4134.0051544316029</v>
      </c>
      <c r="AY14" s="385">
        <f t="shared" si="14"/>
        <v>3950.5134297104664</v>
      </c>
      <c r="AZ14" s="385">
        <f t="shared" si="15"/>
        <v>3665.4814158579311</v>
      </c>
      <c r="BA14" s="379">
        <f>+Efficiency2!K29</f>
        <v>46.353741033599995</v>
      </c>
      <c r="BB14" s="380">
        <f t="shared" si="36"/>
        <v>265.37890235405899</v>
      </c>
      <c r="BC14" s="405">
        <f t="shared" si="37"/>
        <v>0.91062768740505562</v>
      </c>
      <c r="BD14" s="405">
        <f t="shared" si="38"/>
        <v>0.89654828582631274</v>
      </c>
    </row>
    <row r="15" spans="1:56" s="385" customFormat="1" ht="12.75" customHeight="1">
      <c r="A15" s="399">
        <f t="shared" si="16"/>
        <v>45845</v>
      </c>
      <c r="B15" s="408" t="s">
        <v>489</v>
      </c>
      <c r="C15" s="386" t="s">
        <v>490</v>
      </c>
      <c r="D15" s="378">
        <f>+'7'!F42</f>
        <v>1196.9375</v>
      </c>
      <c r="E15" s="378">
        <f>+'7'!G42</f>
        <v>921.64187500000003</v>
      </c>
      <c r="F15" s="47">
        <f t="shared" si="0"/>
        <v>0.22999999999999998</v>
      </c>
      <c r="G15" s="404">
        <f t="shared" si="17"/>
        <v>0.94990753573726328</v>
      </c>
      <c r="H15" s="400">
        <f t="shared" si="18"/>
        <v>0.92451590226310842</v>
      </c>
      <c r="I15" s="400">
        <f t="shared" si="19"/>
        <v>0.95442181697769579</v>
      </c>
      <c r="J15" s="405">
        <f t="shared" si="20"/>
        <v>0.88237814726272978</v>
      </c>
      <c r="K15" s="405">
        <f t="shared" si="21"/>
        <v>0.88769390400974901</v>
      </c>
      <c r="L15" s="379">
        <f>+SUM(Efficiency1!K33:K34)</f>
        <v>45.730960275000001</v>
      </c>
      <c r="M15" s="380">
        <f t="shared" si="22"/>
        <v>313.48305845405901</v>
      </c>
      <c r="N15" s="379">
        <f>+SUM(Efficiency1!C33:C34)</f>
        <v>44.508542578500006</v>
      </c>
      <c r="O15" s="380">
        <f t="shared" si="22"/>
        <v>309.6718948510316</v>
      </c>
      <c r="P15" s="380">
        <f>'7'!I38</f>
        <v>42.278999999999996</v>
      </c>
      <c r="Q15" s="380">
        <f t="shared" si="23"/>
        <v>288.87299999999999</v>
      </c>
      <c r="R15" s="380">
        <f>'7'!I40</f>
        <v>40.351999999999997</v>
      </c>
      <c r="S15" s="380">
        <f t="shared" si="24"/>
        <v>278.27699999999999</v>
      </c>
      <c r="T15" s="96">
        <f t="shared" si="1"/>
        <v>4151.3907281033225</v>
      </c>
      <c r="U15" s="13">
        <f t="shared" si="25"/>
        <v>28646.030887118133</v>
      </c>
      <c r="V15" s="290">
        <f t="shared" si="26"/>
        <v>98.190371770934107</v>
      </c>
      <c r="W15" s="290">
        <f t="shared" si="27"/>
        <v>99.164791749724387</v>
      </c>
      <c r="X15" s="291">
        <f t="shared" si="28"/>
        <v>102.87942922539953</v>
      </c>
      <c r="Y15" s="290">
        <f t="shared" si="29"/>
        <v>102.94070615652079</v>
      </c>
      <c r="Z15" s="382">
        <v>62.3</v>
      </c>
      <c r="AA15" s="381">
        <f t="shared" si="30"/>
        <v>427.5</v>
      </c>
      <c r="AB15" s="384">
        <f t="shared" si="2"/>
        <v>1.4735447858274795</v>
      </c>
      <c r="AC15" s="384">
        <f t="shared" si="3"/>
        <v>1.4798890862074339</v>
      </c>
      <c r="AD15" s="379">
        <f t="shared" si="4"/>
        <v>1.5439135606661381</v>
      </c>
      <c r="AE15" s="384">
        <f t="shared" si="5"/>
        <v>1.5362390711413449</v>
      </c>
      <c r="AF15" s="383">
        <f>'7'!I46</f>
        <v>38100.620000000366</v>
      </c>
      <c r="AG15" s="381">
        <f t="shared" si="31"/>
        <v>262051.73999999985</v>
      </c>
      <c r="AH15" s="384">
        <f t="shared" si="6"/>
        <v>901.17126705930525</v>
      </c>
      <c r="AI15" s="384">
        <f t="shared" si="7"/>
        <v>907.15207028694215</v>
      </c>
      <c r="AJ15" s="384">
        <f t="shared" si="8"/>
        <v>944.20648295004867</v>
      </c>
      <c r="AK15" s="384">
        <f t="shared" si="9"/>
        <v>941.69385180952736</v>
      </c>
      <c r="AL15" s="439">
        <v>4358.1000000000004</v>
      </c>
      <c r="AM15" s="440">
        <v>4068.7</v>
      </c>
      <c r="AN15" s="440">
        <v>3984.9</v>
      </c>
      <c r="AO15" s="440">
        <f t="shared" si="40"/>
        <v>12411.699999999999</v>
      </c>
      <c r="AP15" s="577">
        <f>+[1]Jul!N10</f>
        <v>11823</v>
      </c>
      <c r="AQ15" s="472">
        <f t="shared" si="10"/>
        <v>-588.69999999999891</v>
      </c>
      <c r="AR15" s="443">
        <f t="shared" si="11"/>
        <v>0.35112837081141185</v>
      </c>
      <c r="AS15" s="443">
        <f t="shared" si="12"/>
        <v>0.32781166157738262</v>
      </c>
      <c r="AT15" s="443">
        <f>1-AR15-AS15</f>
        <v>0.32105996761120548</v>
      </c>
      <c r="AU15" s="443">
        <f t="shared" si="34"/>
        <v>-206.70927189667776</v>
      </c>
      <c r="AV15" s="443">
        <f t="shared" si="35"/>
        <v>-192.98272517060479</v>
      </c>
      <c r="AW15" s="443">
        <f t="shared" si="39"/>
        <v>-189.00800293271632</v>
      </c>
      <c r="AX15" s="385">
        <f t="shared" si="13"/>
        <v>4151.3907281033225</v>
      </c>
      <c r="AY15" s="385">
        <f t="shared" si="14"/>
        <v>3875.7172748293951</v>
      </c>
      <c r="AZ15" s="385">
        <f t="shared" si="15"/>
        <v>3795.8919970672837</v>
      </c>
      <c r="BA15" s="379">
        <f>+SUM(Efficiency2!K33:K34)</f>
        <v>45.730960275000001</v>
      </c>
      <c r="BB15" s="380">
        <f t="shared" si="36"/>
        <v>311.10986262905897</v>
      </c>
      <c r="BC15" s="405">
        <f t="shared" si="37"/>
        <v>0.88237814726272978</v>
      </c>
      <c r="BD15" s="405">
        <f t="shared" si="38"/>
        <v>0.89446537518418023</v>
      </c>
    </row>
    <row r="16" spans="1:56" s="385" customFormat="1" ht="12.75" customHeight="1">
      <c r="A16" s="399">
        <f t="shared" si="16"/>
        <v>45846</v>
      </c>
      <c r="B16" s="408" t="s">
        <v>412</v>
      </c>
      <c r="C16" s="386" t="s">
        <v>473</v>
      </c>
      <c r="D16" s="378">
        <f>+'8'!F42</f>
        <v>1220</v>
      </c>
      <c r="E16" s="378">
        <f>+'8'!G42</f>
        <v>976</v>
      </c>
      <c r="F16" s="47">
        <f t="shared" si="0"/>
        <v>0.19999999999999996</v>
      </c>
      <c r="G16" s="404">
        <f t="shared" si="17"/>
        <v>0.90207071650605353</v>
      </c>
      <c r="H16" s="400">
        <f t="shared" si="18"/>
        <v>0.8947368082417767</v>
      </c>
      <c r="I16" s="400">
        <f t="shared" si="19"/>
        <v>0.91519810762862197</v>
      </c>
      <c r="J16" s="405">
        <f t="shared" si="20"/>
        <v>0.81886143372854725</v>
      </c>
      <c r="K16" s="405">
        <f t="shared" si="21"/>
        <v>0.87867824468594724</v>
      </c>
      <c r="L16" s="379">
        <f>+Efficiency1!K37</f>
        <v>47.248531200000002</v>
      </c>
      <c r="M16" s="380">
        <f t="shared" si="22"/>
        <v>360.73158965405901</v>
      </c>
      <c r="N16" s="379">
        <f>+Efficiency1!C37</f>
        <v>46.864396800000002</v>
      </c>
      <c r="O16" s="380">
        <f t="shared" si="22"/>
        <v>356.5362916510316</v>
      </c>
      <c r="P16" s="380">
        <f>'8'!I38</f>
        <v>42.275000000000006</v>
      </c>
      <c r="Q16" s="380">
        <f t="shared" si="23"/>
        <v>331.14800000000002</v>
      </c>
      <c r="R16" s="380">
        <f>'8'!I40</f>
        <v>38.69</v>
      </c>
      <c r="S16" s="380">
        <f t="shared" si="24"/>
        <v>316.96699999999998</v>
      </c>
      <c r="T16" s="96">
        <f t="shared" si="1"/>
        <v>4353.7086941217876</v>
      </c>
      <c r="U16" s="13">
        <f t="shared" si="25"/>
        <v>32999.739581239919</v>
      </c>
      <c r="V16" s="290">
        <f t="shared" si="26"/>
        <v>102.98542150495061</v>
      </c>
      <c r="W16" s="290">
        <f t="shared" si="27"/>
        <v>99.652540801212496</v>
      </c>
      <c r="X16" s="291">
        <f t="shared" si="28"/>
        <v>112.52800966972831</v>
      </c>
      <c r="Y16" s="290">
        <f t="shared" si="29"/>
        <v>104.11096291172242</v>
      </c>
      <c r="Z16" s="382">
        <v>62.9</v>
      </c>
      <c r="AA16" s="381">
        <f t="shared" si="30"/>
        <v>490.4</v>
      </c>
      <c r="AB16" s="384">
        <f t="shared" si="2"/>
        <v>1.4878769958604374</v>
      </c>
      <c r="AC16" s="384">
        <f t="shared" si="3"/>
        <v>1.4809088383441842</v>
      </c>
      <c r="AD16" s="379">
        <f t="shared" si="4"/>
        <v>1.6257430860687516</v>
      </c>
      <c r="AE16" s="384">
        <f t="shared" si="5"/>
        <v>1.547164215833194</v>
      </c>
      <c r="AF16" s="383">
        <f>'8'!I46</f>
        <v>36718.620000000185</v>
      </c>
      <c r="AG16" s="381">
        <f t="shared" si="31"/>
        <v>298770.36000000004</v>
      </c>
      <c r="AH16" s="384">
        <f t="shared" si="6"/>
        <v>868.56581904199129</v>
      </c>
      <c r="AI16" s="384">
        <f t="shared" si="7"/>
        <v>902.22607414207562</v>
      </c>
      <c r="AJ16" s="384">
        <f t="shared" si="8"/>
        <v>949.04678211424618</v>
      </c>
      <c r="AK16" s="384">
        <f t="shared" si="9"/>
        <v>942.5913738654184</v>
      </c>
      <c r="AL16" s="439">
        <v>4555.2</v>
      </c>
      <c r="AM16" s="440">
        <v>4321.8</v>
      </c>
      <c r="AN16" s="440">
        <v>3907.5</v>
      </c>
      <c r="AO16" s="440">
        <f t="shared" si="40"/>
        <v>12784.5</v>
      </c>
      <c r="AP16" s="578">
        <f>+[1]Jul!N11</f>
        <v>12219</v>
      </c>
      <c r="AQ16" s="472">
        <f t="shared" si="10"/>
        <v>-565.5</v>
      </c>
      <c r="AR16" s="443">
        <f t="shared" si="11"/>
        <v>0.35630646485979112</v>
      </c>
      <c r="AS16" s="443">
        <f t="shared" si="12"/>
        <v>0.33804998240056322</v>
      </c>
      <c r="AT16" s="443">
        <f>1-AR16-AS16</f>
        <v>0.30564355273964566</v>
      </c>
      <c r="AU16" s="443">
        <f>+AR16*AQ16</f>
        <v>-201.49130587821188</v>
      </c>
      <c r="AV16" s="443">
        <f t="shared" si="35"/>
        <v>-191.1672650475185</v>
      </c>
      <c r="AW16" s="443">
        <f t="shared" si="39"/>
        <v>-172.84142907426963</v>
      </c>
      <c r="AX16" s="385">
        <f t="shared" si="13"/>
        <v>4353.7086941217876</v>
      </c>
      <c r="AY16" s="385">
        <f t="shared" si="14"/>
        <v>4130.6327349524818</v>
      </c>
      <c r="AZ16" s="385">
        <f t="shared" si="15"/>
        <v>3734.6585709257306</v>
      </c>
      <c r="BA16" s="379">
        <f>+Efficiency2!K37</f>
        <v>47.248531200000002</v>
      </c>
      <c r="BB16" s="380">
        <f t="shared" si="36"/>
        <v>358.35839382905897</v>
      </c>
      <c r="BC16" s="405">
        <f t="shared" si="37"/>
        <v>0.81886143372854725</v>
      </c>
      <c r="BD16" s="405">
        <f t="shared" si="38"/>
        <v>0.88449721133418424</v>
      </c>
    </row>
    <row r="17" spans="1:56" s="385" customFormat="1" ht="12.75" customHeight="1">
      <c r="A17" s="399">
        <f t="shared" si="16"/>
        <v>45847</v>
      </c>
      <c r="B17" s="408" t="s">
        <v>412</v>
      </c>
      <c r="C17" s="386" t="s">
        <v>473</v>
      </c>
      <c r="D17" s="378">
        <f>+'9'!F42</f>
        <v>1210</v>
      </c>
      <c r="E17" s="378">
        <f>+'9'!G42</f>
        <v>931.7</v>
      </c>
      <c r="F17" s="47">
        <f t="shared" si="0"/>
        <v>0.22999999999999998</v>
      </c>
      <c r="G17" s="404">
        <f t="shared" si="17"/>
        <v>1.0022317280690864</v>
      </c>
      <c r="H17" s="400">
        <f t="shared" si="18"/>
        <v>0.98593527720617447</v>
      </c>
      <c r="I17" s="400">
        <f t="shared" si="19"/>
        <v>1.0279390420899854</v>
      </c>
      <c r="J17" s="405">
        <f t="shared" si="20"/>
        <v>1.0134813644140392</v>
      </c>
      <c r="K17" s="405">
        <f t="shared" si="21"/>
        <v>0.89354808556276255</v>
      </c>
      <c r="L17" s="379">
        <f>+Efficiency1!K41</f>
        <v>44.725045365</v>
      </c>
      <c r="M17" s="380">
        <f t="shared" si="22"/>
        <v>405.45663501905904</v>
      </c>
      <c r="N17" s="379">
        <f>+Efficiency1!C41</f>
        <v>43.997808855000002</v>
      </c>
      <c r="O17" s="380">
        <f t="shared" si="22"/>
        <v>400.53410050603162</v>
      </c>
      <c r="P17" s="380">
        <f>'9'!I38</f>
        <v>44.096000000000004</v>
      </c>
      <c r="Q17" s="380">
        <f t="shared" si="23"/>
        <v>375.24400000000003</v>
      </c>
      <c r="R17" s="380">
        <f>'9'!I40</f>
        <v>45.328000000000003</v>
      </c>
      <c r="S17" s="380">
        <f t="shared" si="24"/>
        <v>362.29499999999996</v>
      </c>
      <c r="T17" s="96">
        <f t="shared" si="1"/>
        <v>4492.3170999717668</v>
      </c>
      <c r="U17" s="13">
        <f t="shared" si="25"/>
        <v>37492.056681211689</v>
      </c>
      <c r="V17" s="290">
        <f t="shared" si="26"/>
        <v>101.87584134551356</v>
      </c>
      <c r="W17" s="290">
        <f t="shared" si="27"/>
        <v>99.913807232658442</v>
      </c>
      <c r="X17" s="291">
        <f t="shared" si="28"/>
        <v>99.106889780527851</v>
      </c>
      <c r="Y17" s="290">
        <f t="shared" si="29"/>
        <v>103.48488574562633</v>
      </c>
      <c r="Z17" s="382">
        <v>62.3</v>
      </c>
      <c r="AA17" s="381">
        <f t="shared" si="30"/>
        <v>552.69999999999993</v>
      </c>
      <c r="AB17" s="384">
        <f t="shared" si="2"/>
        <v>1.4128265602322205</v>
      </c>
      <c r="AC17" s="384">
        <f t="shared" si="3"/>
        <v>1.4729082943364848</v>
      </c>
      <c r="AD17" s="379">
        <f t="shared" si="4"/>
        <v>1.3744264031062476</v>
      </c>
      <c r="AE17" s="384">
        <f t="shared" si="5"/>
        <v>1.5255523813466927</v>
      </c>
      <c r="AF17" s="383">
        <f>'9'!I46</f>
        <v>36803.46</v>
      </c>
      <c r="AG17" s="381">
        <f t="shared" si="31"/>
        <v>335573.82000000007</v>
      </c>
      <c r="AH17" s="384">
        <f t="shared" si="6"/>
        <v>834.6212808417996</v>
      </c>
      <c r="AI17" s="384">
        <f t="shared" si="7"/>
        <v>894.28164074575488</v>
      </c>
      <c r="AJ17" s="384">
        <f t="shared" si="8"/>
        <v>811.93655135898337</v>
      </c>
      <c r="AK17" s="384">
        <f t="shared" si="9"/>
        <v>926.24469010060898</v>
      </c>
      <c r="AL17" s="439">
        <v>4750.3</v>
      </c>
      <c r="AM17" s="440">
        <v>4562.5</v>
      </c>
      <c r="AN17" s="440">
        <v>3791.9</v>
      </c>
      <c r="AO17" s="440">
        <f t="shared" si="40"/>
        <v>13104.699999999999</v>
      </c>
      <c r="AP17" s="579">
        <f>+[1]Jul!N12</f>
        <v>12393</v>
      </c>
      <c r="AQ17" s="472">
        <f t="shared" si="10"/>
        <v>-711.69999999999891</v>
      </c>
      <c r="AR17" s="443">
        <f t="shared" si="11"/>
        <v>0.36248826756812447</v>
      </c>
      <c r="AS17" s="443">
        <f t="shared" si="12"/>
        <v>0.34815753126740789</v>
      </c>
      <c r="AT17" s="443">
        <f>1-AR17-AS17</f>
        <v>0.28935420116446764</v>
      </c>
      <c r="AU17" s="443">
        <f>+AR17*AQ17</f>
        <v>-257.98290002823381</v>
      </c>
      <c r="AV17" s="443">
        <f>+AS17*AQ17</f>
        <v>-247.78371500301381</v>
      </c>
      <c r="AW17" s="443">
        <f t="shared" si="39"/>
        <v>-205.93338496875131</v>
      </c>
      <c r="AX17" s="385">
        <f t="shared" si="13"/>
        <v>4492.3170999717668</v>
      </c>
      <c r="AY17" s="385">
        <f t="shared" si="14"/>
        <v>4314.7162849969864</v>
      </c>
      <c r="AZ17" s="385">
        <f t="shared" si="15"/>
        <v>3585.9666150312487</v>
      </c>
      <c r="BA17" s="379">
        <f>+Efficiency2!K41</f>
        <v>44.725045365</v>
      </c>
      <c r="BB17" s="380">
        <f t="shared" si="36"/>
        <v>403.083439194059</v>
      </c>
      <c r="BC17" s="405">
        <f t="shared" si="37"/>
        <v>1.0134813644140392</v>
      </c>
      <c r="BD17" s="405">
        <f t="shared" si="38"/>
        <v>0.89880894319148152</v>
      </c>
    </row>
    <row r="18" spans="1:56" s="385" customFormat="1" ht="12.75" customHeight="1">
      <c r="A18" s="399">
        <f t="shared" si="16"/>
        <v>45848</v>
      </c>
      <c r="B18" s="408" t="s">
        <v>412</v>
      </c>
      <c r="C18" s="386" t="s">
        <v>473</v>
      </c>
      <c r="D18" s="378">
        <f>+'10'!F42</f>
        <v>1187.125</v>
      </c>
      <c r="E18" s="378">
        <f>+'10'!G42</f>
        <v>926.08624999999995</v>
      </c>
      <c r="F18" s="47">
        <f t="shared" si="0"/>
        <v>0.21989154469832584</v>
      </c>
      <c r="G18" s="404">
        <f t="shared" si="17"/>
        <v>0.94671419483153385</v>
      </c>
      <c r="H18" s="400">
        <f t="shared" si="18"/>
        <v>0.91371389312145102</v>
      </c>
      <c r="I18" s="400">
        <f>+R18/P18</f>
        <v>1.0348150968540288</v>
      </c>
      <c r="J18" s="405">
        <f t="shared" si="20"/>
        <v>0.94552493080734612</v>
      </c>
      <c r="K18" s="405">
        <f t="shared" si="21"/>
        <v>0.8988431307687067</v>
      </c>
      <c r="L18" s="379">
        <f>+Efficiency1!K45</f>
        <v>45.99032620204936</v>
      </c>
      <c r="M18" s="380">
        <f t="shared" si="22"/>
        <v>451.44696122110838</v>
      </c>
      <c r="N18" s="379">
        <f>+Efficiency1!C45</f>
        <v>44.387208124071428</v>
      </c>
      <c r="O18" s="380">
        <f t="shared" si="22"/>
        <v>444.92130863010306</v>
      </c>
      <c r="P18" s="380">
        <f>'10'!I38</f>
        <v>42.021999999999998</v>
      </c>
      <c r="Q18" s="380">
        <f t="shared" si="23"/>
        <v>417.26600000000002</v>
      </c>
      <c r="R18" s="380">
        <f>'10'!I40</f>
        <v>43.484999999999999</v>
      </c>
      <c r="S18" s="380">
        <f t="shared" si="24"/>
        <v>405.78</v>
      </c>
      <c r="T18" s="96">
        <f t="shared" si="1"/>
        <v>4345.6713306292941</v>
      </c>
      <c r="U18" s="13">
        <f t="shared" si="25"/>
        <v>41837.728011840984</v>
      </c>
      <c r="V18" s="290">
        <f t="shared" si="26"/>
        <v>103.41419567439185</v>
      </c>
      <c r="W18" s="290">
        <f t="shared" si="27"/>
        <v>100.26632414776421</v>
      </c>
      <c r="X18" s="291">
        <f t="shared" si="28"/>
        <v>99.934950687117265</v>
      </c>
      <c r="Y18" s="290">
        <f t="shared" si="29"/>
        <v>103.10446057430377</v>
      </c>
      <c r="Z18" s="382">
        <v>65.5</v>
      </c>
      <c r="AA18" s="381">
        <f t="shared" si="30"/>
        <v>618.19999999999993</v>
      </c>
      <c r="AB18" s="384">
        <f t="shared" si="2"/>
        <v>1.5587073437723098</v>
      </c>
      <c r="AC18" s="384">
        <f t="shared" si="3"/>
        <v>1.4815489400046971</v>
      </c>
      <c r="AD18" s="379">
        <f t="shared" si="4"/>
        <v>1.5062665286880534</v>
      </c>
      <c r="AE18" s="384">
        <f t="shared" si="5"/>
        <v>1.5234856326088027</v>
      </c>
      <c r="AF18" s="383">
        <f>'10'!I46</f>
        <v>36389.819999998908</v>
      </c>
      <c r="AG18" s="381">
        <f t="shared" si="31"/>
        <v>371963.63999999897</v>
      </c>
      <c r="AH18" s="384">
        <f t="shared" si="6"/>
        <v>865.97068202367586</v>
      </c>
      <c r="AI18" s="384">
        <f t="shared" si="7"/>
        <v>891.43050236539511</v>
      </c>
      <c r="AJ18" s="384">
        <f t="shared" si="8"/>
        <v>836.83615039666336</v>
      </c>
      <c r="AK18" s="384">
        <f t="shared" si="9"/>
        <v>916.66331509684801</v>
      </c>
      <c r="AL18" s="439">
        <v>4567.5</v>
      </c>
      <c r="AM18" s="440">
        <v>4709.7</v>
      </c>
      <c r="AN18" s="440">
        <v>3937.6</v>
      </c>
      <c r="AO18" s="440">
        <f t="shared" si="40"/>
        <v>13214.800000000001</v>
      </c>
      <c r="AP18" s="580">
        <f>+[1]Jul!N13</f>
        <v>12573</v>
      </c>
      <c r="AQ18" s="472">
        <f t="shared" si="10"/>
        <v>-641.80000000000109</v>
      </c>
      <c r="AR18" s="443">
        <f t="shared" si="11"/>
        <v>0.34563519690044492</v>
      </c>
      <c r="AS18" s="443">
        <f t="shared" si="12"/>
        <v>0.3563958591881829</v>
      </c>
      <c r="AT18" s="443">
        <f t="shared" si="33"/>
        <v>0.29796894391137213</v>
      </c>
      <c r="AU18" s="443">
        <f t="shared" si="34"/>
        <v>-221.82866937070594</v>
      </c>
      <c r="AV18" s="443">
        <f t="shared" si="35"/>
        <v>-228.73486242697618</v>
      </c>
      <c r="AW18" s="443">
        <f t="shared" si="39"/>
        <v>-191.23646820231895</v>
      </c>
      <c r="AX18" s="443">
        <f>+AL18+AU18</f>
        <v>4345.6713306292941</v>
      </c>
      <c r="AY18" s="385">
        <f t="shared" si="14"/>
        <v>4480.9651375730236</v>
      </c>
      <c r="AZ18" s="385">
        <f t="shared" si="15"/>
        <v>3746.3635317976809</v>
      </c>
      <c r="BA18" s="379">
        <f>+Efficiency2!K45</f>
        <v>45.99032620204936</v>
      </c>
      <c r="BB18" s="380">
        <f t="shared" si="36"/>
        <v>449.07376539610834</v>
      </c>
      <c r="BC18" s="405">
        <f t="shared" si="37"/>
        <v>0.94552493080734612</v>
      </c>
      <c r="BD18" s="405">
        <f t="shared" si="38"/>
        <v>0.90359319841825803</v>
      </c>
    </row>
    <row r="19" spans="1:56" s="385" customFormat="1" ht="12.75" customHeight="1">
      <c r="A19" s="399">
        <f t="shared" si="16"/>
        <v>45849</v>
      </c>
      <c r="B19" s="408" t="s">
        <v>412</v>
      </c>
      <c r="C19" s="386" t="s">
        <v>473</v>
      </c>
      <c r="D19" s="378">
        <f>+'11'!F42</f>
        <v>1200.6041666666667</v>
      </c>
      <c r="E19" s="378">
        <f>+'11'!G42</f>
        <v>924.46520833333329</v>
      </c>
      <c r="F19" s="47">
        <f t="shared" si="0"/>
        <v>0.23000000000000009</v>
      </c>
      <c r="G19" s="404">
        <f t="shared" si="17"/>
        <v>0.93868282185993812</v>
      </c>
      <c r="H19" s="400">
        <f t="shared" si="18"/>
        <v>0.91624919276704553</v>
      </c>
      <c r="I19" s="400">
        <f t="shared" si="19"/>
        <v>1.0331189401939138</v>
      </c>
      <c r="J19" s="405">
        <f t="shared" si="20"/>
        <v>0.94659439498501918</v>
      </c>
      <c r="K19" s="405">
        <f t="shared" si="21"/>
        <v>0.90321315895651733</v>
      </c>
      <c r="L19" s="379">
        <f>+Efficiency1!K49</f>
        <v>45.476711280000004</v>
      </c>
      <c r="M19" s="380">
        <f t="shared" si="22"/>
        <v>496.9236725011084</v>
      </c>
      <c r="N19" s="379">
        <f>+Efficiency1!C49</f>
        <v>44.389861015500003</v>
      </c>
      <c r="O19" s="380">
        <f t="shared" si="22"/>
        <v>489.31116964560306</v>
      </c>
      <c r="P19" s="380">
        <f>'11'!I38</f>
        <v>41.667999999999999</v>
      </c>
      <c r="Q19" s="380">
        <f t="shared" si="23"/>
        <v>458.93400000000003</v>
      </c>
      <c r="R19" s="380">
        <f>'11'!I40</f>
        <v>43.048000000000002</v>
      </c>
      <c r="S19" s="380">
        <f t="shared" si="24"/>
        <v>448.82799999999997</v>
      </c>
      <c r="T19" s="96">
        <f t="shared" si="1"/>
        <v>4442.006593260714</v>
      </c>
      <c r="U19" s="13">
        <f t="shared" si="25"/>
        <v>46279.734605101694</v>
      </c>
      <c r="V19" s="290">
        <f t="shared" si="26"/>
        <v>106.60474688635678</v>
      </c>
      <c r="W19" s="290">
        <f t="shared" si="27"/>
        <v>100.84180863719335</v>
      </c>
      <c r="X19" s="291">
        <f t="shared" si="28"/>
        <v>103.18729309748917</v>
      </c>
      <c r="Y19" s="290">
        <f t="shared" si="29"/>
        <v>103.1124052089034</v>
      </c>
      <c r="Z19" s="382">
        <v>66.599999999999994</v>
      </c>
      <c r="AA19" s="381">
        <f t="shared" si="30"/>
        <v>684.8</v>
      </c>
      <c r="AB19" s="384">
        <f t="shared" si="2"/>
        <v>1.5983488528367091</v>
      </c>
      <c r="AC19" s="384">
        <f t="shared" si="3"/>
        <v>1.4921535558489889</v>
      </c>
      <c r="AD19" s="379">
        <f t="shared" si="4"/>
        <v>1.5471102025645789</v>
      </c>
      <c r="AE19" s="384">
        <f t="shared" si="5"/>
        <v>1.5257515128289678</v>
      </c>
      <c r="AF19" s="383">
        <f>'11'!I46</f>
        <v>37610.10000000109</v>
      </c>
      <c r="AG19" s="381">
        <f t="shared" si="31"/>
        <v>409573.74000000005</v>
      </c>
      <c r="AH19" s="384">
        <f t="shared" si="6"/>
        <v>902.61351636750237</v>
      </c>
      <c r="AI19" s="384">
        <f t="shared" si="7"/>
        <v>892.44584188576152</v>
      </c>
      <c r="AJ19" s="384">
        <f t="shared" si="8"/>
        <v>873.67821966179827</v>
      </c>
      <c r="AK19" s="384">
        <f t="shared" si="9"/>
        <v>912.54052777455968</v>
      </c>
      <c r="AL19" s="439">
        <v>4660</v>
      </c>
      <c r="AM19" s="440">
        <v>4924.2</v>
      </c>
      <c r="AN19" s="440">
        <v>3975.1</v>
      </c>
      <c r="AO19" s="440">
        <f t="shared" si="40"/>
        <v>13559.300000000001</v>
      </c>
      <c r="AP19" s="581">
        <f>+[1]Jul!N14</f>
        <v>12925</v>
      </c>
      <c r="AQ19" s="472">
        <f t="shared" si="10"/>
        <v>-634.30000000000109</v>
      </c>
      <c r="AR19" s="443">
        <f t="shared" si="11"/>
        <v>0.34367555847278247</v>
      </c>
      <c r="AS19" s="443">
        <f t="shared" si="12"/>
        <v>0.36316034013555265</v>
      </c>
      <c r="AT19" s="443">
        <f>1-AR19-AS19</f>
        <v>0.29316410139166493</v>
      </c>
      <c r="AU19" s="443">
        <f t="shared" si="34"/>
        <v>-217.99340673928629</v>
      </c>
      <c r="AV19" s="443">
        <f t="shared" si="35"/>
        <v>-230.35260374798145</v>
      </c>
      <c r="AW19" s="443">
        <f>+AT19*AQ19</f>
        <v>-185.95398951273339</v>
      </c>
      <c r="AX19" s="385">
        <f t="shared" si="13"/>
        <v>4442.006593260714</v>
      </c>
      <c r="AY19" s="385">
        <f t="shared" si="14"/>
        <v>4693.8473962520184</v>
      </c>
      <c r="AZ19" s="385">
        <f t="shared" si="15"/>
        <v>3789.1460104872667</v>
      </c>
      <c r="BA19" s="379">
        <f>+Efficiency1!K49</f>
        <v>45.476711280000004</v>
      </c>
      <c r="BB19" s="380">
        <f t="shared" si="36"/>
        <v>494.55047667610836</v>
      </c>
      <c r="BC19" s="405">
        <f t="shared" si="37"/>
        <v>0.94659439498501918</v>
      </c>
      <c r="BD19" s="405">
        <f t="shared" si="38"/>
        <v>0.90754740146362656</v>
      </c>
    </row>
    <row r="20" spans="1:56" s="385" customFormat="1" ht="12.75" customHeight="1">
      <c r="A20" s="399">
        <f t="shared" si="16"/>
        <v>45850</v>
      </c>
      <c r="B20" s="408" t="s">
        <v>412</v>
      </c>
      <c r="C20" s="386" t="s">
        <v>473</v>
      </c>
      <c r="D20" s="378">
        <f>+'12'!F42</f>
        <v>1200</v>
      </c>
      <c r="E20" s="378">
        <f>+'12'!G42</f>
        <v>932</v>
      </c>
      <c r="F20" s="47">
        <f t="shared" si="0"/>
        <v>0.22333333333333338</v>
      </c>
      <c r="G20" s="404">
        <f t="shared" si="17"/>
        <v>1.043179236337382</v>
      </c>
      <c r="H20" s="400">
        <f t="shared" si="18"/>
        <v>1.0177358403291532</v>
      </c>
      <c r="I20" s="400">
        <f t="shared" si="19"/>
        <v>0.9322251735069832</v>
      </c>
      <c r="J20" s="405">
        <f t="shared" si="20"/>
        <v>0.94875897033512024</v>
      </c>
      <c r="K20" s="405">
        <f t="shared" si="21"/>
        <v>0.90706214467120394</v>
      </c>
      <c r="L20" s="379">
        <f>+Efficiency1!K53</f>
        <v>45.870449039999997</v>
      </c>
      <c r="M20" s="380">
        <f t="shared" si="22"/>
        <v>542.79412154110844</v>
      </c>
      <c r="N20" s="379">
        <f>+Efficiency1!C53</f>
        <v>44.751657600000001</v>
      </c>
      <c r="O20" s="380">
        <f t="shared" si="22"/>
        <v>534.0628272456031</v>
      </c>
      <c r="P20" s="380">
        <f>'12'!I38</f>
        <v>46.683999999999997</v>
      </c>
      <c r="Q20" s="380">
        <f t="shared" si="23"/>
        <v>505.61800000000005</v>
      </c>
      <c r="R20" s="380">
        <f>'12'!I40</f>
        <v>43.52</v>
      </c>
      <c r="S20" s="380">
        <f t="shared" si="24"/>
        <v>492.34799999999996</v>
      </c>
      <c r="T20" s="96">
        <f t="shared" si="1"/>
        <v>4270.4264690748178</v>
      </c>
      <c r="U20" s="13">
        <f t="shared" si="25"/>
        <v>50550.161074176511</v>
      </c>
      <c r="V20" s="290">
        <f t="shared" si="26"/>
        <v>91.475162134239099</v>
      </c>
      <c r="W20" s="290">
        <f t="shared" si="27"/>
        <v>99.976980792172171</v>
      </c>
      <c r="X20" s="291">
        <f t="shared" si="28"/>
        <v>98.125608204844156</v>
      </c>
      <c r="Y20" s="290">
        <f t="shared" si="29"/>
        <v>102.67160844397969</v>
      </c>
      <c r="Z20" s="382">
        <v>66.900000000000006</v>
      </c>
      <c r="AA20" s="381">
        <f t="shared" si="30"/>
        <v>751.69999999999993</v>
      </c>
      <c r="AB20" s="384">
        <f t="shared" si="2"/>
        <v>1.4330391568845859</v>
      </c>
      <c r="AC20" s="384">
        <f t="shared" si="3"/>
        <v>1.4866954894802002</v>
      </c>
      <c r="AD20" s="379">
        <f t="shared" si="4"/>
        <v>1.5372242647058825</v>
      </c>
      <c r="AE20" s="384">
        <f t="shared" si="5"/>
        <v>1.5267656210647753</v>
      </c>
      <c r="AF20" s="383">
        <f>'12'!I46</f>
        <v>37292.419999998907</v>
      </c>
      <c r="AG20" s="381">
        <f t="shared" si="31"/>
        <v>446866.15999999898</v>
      </c>
      <c r="AH20" s="384">
        <f t="shared" si="6"/>
        <v>798.82657869931688</v>
      </c>
      <c r="AI20" s="384">
        <f t="shared" si="7"/>
        <v>883.80192160880131</v>
      </c>
      <c r="AJ20" s="384">
        <f t="shared" si="8"/>
        <v>856.90303308821012</v>
      </c>
      <c r="AK20" s="384">
        <f t="shared" si="9"/>
        <v>907.62257590159606</v>
      </c>
      <c r="AL20" s="439">
        <v>4613.2</v>
      </c>
      <c r="AM20" s="440">
        <v>4892.6000000000004</v>
      </c>
      <c r="AN20" s="440">
        <v>4098</v>
      </c>
      <c r="AO20" s="440">
        <f t="shared" si="40"/>
        <v>13603.8</v>
      </c>
      <c r="AP20" s="583">
        <f>+[1]Jul!N15</f>
        <v>12593</v>
      </c>
      <c r="AQ20" s="472">
        <f t="shared" si="10"/>
        <v>-1010.7999999999993</v>
      </c>
      <c r="AR20" s="443">
        <f t="shared" si="11"/>
        <v>0.33911113071347715</v>
      </c>
      <c r="AS20" s="443">
        <f t="shared" si="12"/>
        <v>0.35964950969582032</v>
      </c>
      <c r="AT20" s="443">
        <f t="shared" si="33"/>
        <v>0.30123935959070258</v>
      </c>
      <c r="AU20" s="443">
        <f t="shared" si="34"/>
        <v>-342.77353092518246</v>
      </c>
      <c r="AV20" s="443">
        <f t="shared" si="35"/>
        <v>-363.53372440053494</v>
      </c>
      <c r="AW20" s="443">
        <f t="shared" si="39"/>
        <v>-304.49274467428194</v>
      </c>
      <c r="AX20" s="385">
        <f t="shared" si="13"/>
        <v>4270.4264690748178</v>
      </c>
      <c r="AY20" s="385">
        <f t="shared" si="14"/>
        <v>4529.0662755994654</v>
      </c>
      <c r="AZ20" s="385">
        <f t="shared" si="15"/>
        <v>3793.5072553257182</v>
      </c>
      <c r="BA20" s="379">
        <f>+Efficiency2!K53</f>
        <v>45.870449039999997</v>
      </c>
      <c r="BB20" s="380">
        <f t="shared" si="36"/>
        <v>540.4209257161084</v>
      </c>
      <c r="BC20" s="405">
        <f t="shared" si="37"/>
        <v>0.94875897033512024</v>
      </c>
      <c r="BD20" s="405">
        <f t="shared" si="38"/>
        <v>0.91104540289144553</v>
      </c>
    </row>
    <row r="21" spans="1:56" s="385" customFormat="1" ht="12.75" customHeight="1">
      <c r="A21" s="399">
        <f t="shared" si="16"/>
        <v>45851</v>
      </c>
      <c r="B21" s="408" t="s">
        <v>412</v>
      </c>
      <c r="C21" s="386" t="s">
        <v>539</v>
      </c>
      <c r="D21" s="378">
        <f>+'13'!F42</f>
        <v>1225.5764883195177</v>
      </c>
      <c r="E21" s="378">
        <f>+'13'!G42</f>
        <v>945.68334589299161</v>
      </c>
      <c r="F21" s="47">
        <f t="shared" si="0"/>
        <v>0.22837672319441205</v>
      </c>
      <c r="G21" s="404">
        <f t="shared" si="17"/>
        <v>0.9245530969483774</v>
      </c>
      <c r="H21" s="400">
        <f t="shared" si="18"/>
        <v>0.92143039797588322</v>
      </c>
      <c r="I21" s="400">
        <f t="shared" si="19"/>
        <v>0.97315962188372429</v>
      </c>
      <c r="J21" s="405">
        <f t="shared" si="20"/>
        <v>0.89669885768638002</v>
      </c>
      <c r="K21" s="405">
        <f t="shared" si="21"/>
        <v>0.90627990932827196</v>
      </c>
      <c r="L21" s="379">
        <f>+SUM(Efficiency1!K57:K58)</f>
        <v>44.315881144903102</v>
      </c>
      <c r="M21" s="380">
        <f t="shared" si="22"/>
        <v>587.11000268601151</v>
      </c>
      <c r="N21" s="379">
        <f>+SUM(Efficiency1!C57:C58)</f>
        <v>44.166203255149526</v>
      </c>
      <c r="O21" s="380">
        <f t="shared" si="22"/>
        <v>578.22903050075263</v>
      </c>
      <c r="P21" s="380">
        <f>'13'!I38</f>
        <v>40.834000000000003</v>
      </c>
      <c r="Q21" s="380">
        <f t="shared" si="23"/>
        <v>546.452</v>
      </c>
      <c r="R21" s="380">
        <f>'13'!I40</f>
        <v>39.738</v>
      </c>
      <c r="S21" s="380">
        <f t="shared" si="24"/>
        <v>532.08600000000001</v>
      </c>
      <c r="T21" s="96">
        <f t="shared" si="1"/>
        <v>3965.3769686834903</v>
      </c>
      <c r="U21" s="13">
        <f t="shared" si="25"/>
        <v>54515.538042860004</v>
      </c>
      <c r="V21" s="290">
        <f t="shared" si="26"/>
        <v>97.109687238171375</v>
      </c>
      <c r="W21" s="290">
        <f t="shared" si="27"/>
        <v>99.76272031735634</v>
      </c>
      <c r="X21" s="291">
        <f t="shared" si="28"/>
        <v>99.788035851917314</v>
      </c>
      <c r="Y21" s="290">
        <f t="shared" si="29"/>
        <v>102.45625339298535</v>
      </c>
      <c r="Z21" s="382">
        <v>60.5</v>
      </c>
      <c r="AA21" s="381">
        <f t="shared" si="30"/>
        <v>812.19999999999993</v>
      </c>
      <c r="AB21" s="384">
        <f t="shared" si="2"/>
        <v>1.4816084635352891</v>
      </c>
      <c r="AC21" s="384">
        <f t="shared" si="3"/>
        <v>1.4863153579820367</v>
      </c>
      <c r="AD21" s="379">
        <f t="shared" si="4"/>
        <v>1.5224721928632543</v>
      </c>
      <c r="AE21" s="384">
        <f t="shared" si="5"/>
        <v>1.526444973181027</v>
      </c>
      <c r="AF21" s="383">
        <f>'13'!I46</f>
        <v>34840.260000001093</v>
      </c>
      <c r="AG21" s="381">
        <f t="shared" si="31"/>
        <v>481706.4200000001</v>
      </c>
      <c r="AH21" s="384">
        <f t="shared" si="6"/>
        <v>853.21692707060527</v>
      </c>
      <c r="AI21" s="384">
        <f t="shared" si="7"/>
        <v>881.51643694231166</v>
      </c>
      <c r="AJ21" s="384">
        <f t="shared" si="8"/>
        <v>876.74920730789404</v>
      </c>
      <c r="AK21" s="384">
        <f t="shared" si="9"/>
        <v>905.3168472765683</v>
      </c>
      <c r="AL21" s="439">
        <v>4139.7</v>
      </c>
      <c r="AM21" s="440">
        <v>4901.5</v>
      </c>
      <c r="AN21" s="440">
        <v>4114.8</v>
      </c>
      <c r="AO21" s="440">
        <f t="shared" si="40"/>
        <v>13156</v>
      </c>
      <c r="AP21" s="583">
        <f>+[1]Jul!N16</f>
        <v>12602</v>
      </c>
      <c r="AQ21" s="472">
        <f t="shared" si="10"/>
        <v>-554</v>
      </c>
      <c r="AR21" s="443">
        <f t="shared" si="11"/>
        <v>0.31466251140164181</v>
      </c>
      <c r="AS21" s="443">
        <f t="shared" si="12"/>
        <v>0.37256764974156281</v>
      </c>
      <c r="AT21" s="443">
        <f t="shared" si="33"/>
        <v>0.31276983885679538</v>
      </c>
      <c r="AU21" s="443">
        <f t="shared" si="34"/>
        <v>-174.32303131650957</v>
      </c>
      <c r="AV21" s="443">
        <f t="shared" si="35"/>
        <v>-206.40247795682581</v>
      </c>
      <c r="AW21" s="443">
        <f t="shared" si="39"/>
        <v>-173.27449072666465</v>
      </c>
      <c r="AX21" s="385">
        <f t="shared" si="13"/>
        <v>3965.3769686834903</v>
      </c>
      <c r="AY21" s="385">
        <f t="shared" si="14"/>
        <v>4695.0975220431737</v>
      </c>
      <c r="AZ21" s="385">
        <f t="shared" si="15"/>
        <v>3941.5255092733355</v>
      </c>
      <c r="BA21" s="379">
        <f>+SUM(Efficiency2!K57:K58)</f>
        <v>44.315881144903102</v>
      </c>
      <c r="BB21" s="380">
        <f t="shared" si="36"/>
        <v>584.73680686101147</v>
      </c>
      <c r="BC21" s="405">
        <f t="shared" si="37"/>
        <v>0.89669885768638002</v>
      </c>
      <c r="BD21" s="405">
        <f t="shared" si="38"/>
        <v>0.90995811065212073</v>
      </c>
    </row>
    <row r="22" spans="1:56" s="385" customFormat="1" ht="12.75" customHeight="1">
      <c r="A22" s="399">
        <f t="shared" si="16"/>
        <v>45852</v>
      </c>
      <c r="B22" s="408" t="s">
        <v>7</v>
      </c>
      <c r="C22" s="386" t="s">
        <v>455</v>
      </c>
      <c r="D22" s="378">
        <f>+'14'!F42</f>
        <v>967.52260397830014</v>
      </c>
      <c r="E22" s="378">
        <f>+'14'!G42</f>
        <v>744.99240506329124</v>
      </c>
      <c r="F22" s="47">
        <f t="shared" si="0"/>
        <v>0.22999999999999987</v>
      </c>
      <c r="G22" s="404">
        <f t="shared" si="17"/>
        <v>0.36059475110269146</v>
      </c>
      <c r="H22" s="400">
        <f t="shared" si="18"/>
        <v>0.28364518094941715</v>
      </c>
      <c r="I22" s="400">
        <f t="shared" si="19"/>
        <v>0.86240686750890816</v>
      </c>
      <c r="J22" s="405">
        <f t="shared" si="20"/>
        <v>0.2446175519865843</v>
      </c>
      <c r="K22" s="405">
        <f t="shared" si="21"/>
        <v>0.86060540137754704</v>
      </c>
      <c r="L22" s="379">
        <f>+Efficiency1!K62</f>
        <v>43.53326208</v>
      </c>
      <c r="M22" s="380">
        <f t="shared" si="22"/>
        <v>630.6432647660115</v>
      </c>
      <c r="N22" s="379">
        <f>+Efficiency1!C62</f>
        <v>34.243426900253169</v>
      </c>
      <c r="O22" s="380">
        <f t="shared" si="22"/>
        <v>612.47245740100584</v>
      </c>
      <c r="P22" s="380">
        <f>'14'!I38</f>
        <v>12.348000000000001</v>
      </c>
      <c r="Q22" s="380">
        <f t="shared" si="23"/>
        <v>558.79999999999995</v>
      </c>
      <c r="R22" s="380">
        <f>'14'!I40</f>
        <v>10.648999999999999</v>
      </c>
      <c r="S22" s="380">
        <f t="shared" si="24"/>
        <v>542.73500000000001</v>
      </c>
      <c r="T22" s="96">
        <f t="shared" si="1"/>
        <v>1533.3189238382345</v>
      </c>
      <c r="U22" s="13">
        <f t="shared" si="25"/>
        <v>56048.856966698237</v>
      </c>
      <c r="V22" s="290">
        <f t="shared" si="26"/>
        <v>124.17548783918322</v>
      </c>
      <c r="W22" s="290">
        <f t="shared" si="27"/>
        <v>100.30217782157881</v>
      </c>
      <c r="X22" s="291">
        <f t="shared" si="28"/>
        <v>143.98712779023705</v>
      </c>
      <c r="Y22" s="290">
        <f t="shared" si="29"/>
        <v>103.27113041668261</v>
      </c>
      <c r="Z22" s="382">
        <v>28.3</v>
      </c>
      <c r="AA22" s="381">
        <f t="shared" si="30"/>
        <v>840.49999999999989</v>
      </c>
      <c r="AB22" s="384">
        <f t="shared" si="2"/>
        <v>2.2918691286038224</v>
      </c>
      <c r="AC22" s="384">
        <f t="shared" si="3"/>
        <v>1.5041159627773799</v>
      </c>
      <c r="AD22" s="379">
        <f t="shared" si="4"/>
        <v>2.657526528312518</v>
      </c>
      <c r="AE22" s="384">
        <f t="shared" si="5"/>
        <v>1.5486379172155837</v>
      </c>
      <c r="AF22" s="383">
        <f>'14'!I46</f>
        <v>16139.639999999272</v>
      </c>
      <c r="AG22" s="381">
        <f t="shared" si="31"/>
        <v>497846.05999999936</v>
      </c>
      <c r="AH22" s="384">
        <f t="shared" si="6"/>
        <v>1307.0651117589302</v>
      </c>
      <c r="AI22" s="384">
        <f t="shared" si="7"/>
        <v>890.91993557623357</v>
      </c>
      <c r="AJ22" s="384">
        <f t="shared" si="8"/>
        <v>1515.6014649262156</v>
      </c>
      <c r="AK22" s="384">
        <f t="shared" si="9"/>
        <v>917.29123789694665</v>
      </c>
      <c r="AL22" s="439">
        <v>1590.4</v>
      </c>
      <c r="AM22" s="440">
        <v>4915.1000000000004</v>
      </c>
      <c r="AN22" s="440">
        <v>4043.1</v>
      </c>
      <c r="AO22" s="440">
        <f t="shared" si="40"/>
        <v>10548.6</v>
      </c>
      <c r="AP22" s="584">
        <f>+[1]Jul!N17</f>
        <v>10170</v>
      </c>
      <c r="AQ22" s="472">
        <f t="shared" si="10"/>
        <v>-378.60000000000036</v>
      </c>
      <c r="AR22" s="443">
        <f t="shared" si="11"/>
        <v>0.1507688224029729</v>
      </c>
      <c r="AS22" s="443">
        <f t="shared" si="12"/>
        <v>0.46594808789792014</v>
      </c>
      <c r="AT22" s="443">
        <f t="shared" si="33"/>
        <v>0.38328308969910702</v>
      </c>
      <c r="AU22" s="443">
        <f t="shared" si="34"/>
        <v>-57.081076161765594</v>
      </c>
      <c r="AV22" s="443">
        <f t="shared" si="35"/>
        <v>-176.40794607815275</v>
      </c>
      <c r="AW22" s="443">
        <f t="shared" si="39"/>
        <v>-145.11097776008205</v>
      </c>
      <c r="AX22" s="385">
        <f t="shared" si="13"/>
        <v>1533.3189238382345</v>
      </c>
      <c r="AY22" s="385">
        <f t="shared" si="14"/>
        <v>4738.6920539218472</v>
      </c>
      <c r="AZ22" s="385">
        <f t="shared" si="15"/>
        <v>3897.9890222399181</v>
      </c>
      <c r="BA22" s="379">
        <f>+Efficiency2!K62</f>
        <v>43.53326208</v>
      </c>
      <c r="BB22" s="380">
        <f t="shared" si="36"/>
        <v>628.27006894101146</v>
      </c>
      <c r="BC22" s="405">
        <f t="shared" si="37"/>
        <v>0.2446175519865843</v>
      </c>
      <c r="BD22" s="405">
        <f t="shared" si="38"/>
        <v>0.86385620902618176</v>
      </c>
    </row>
    <row r="23" spans="1:56" s="385" customFormat="1" ht="12.75" customHeight="1">
      <c r="A23" s="399">
        <f t="shared" si="16"/>
        <v>45853</v>
      </c>
      <c r="B23" s="408" t="s">
        <v>7</v>
      </c>
      <c r="C23" s="386" t="s">
        <v>567</v>
      </c>
      <c r="D23" s="378">
        <f>+'15'!F42</f>
        <v>1146.8611111111111</v>
      </c>
      <c r="E23" s="378">
        <f>+'15'!G42</f>
        <v>883.08305555555557</v>
      </c>
      <c r="F23" s="47">
        <f t="shared" si="0"/>
        <v>0.22999999999999998</v>
      </c>
      <c r="G23" s="404">
        <f t="shared" si="17"/>
        <v>0.99295493593700024</v>
      </c>
      <c r="H23" s="400">
        <f t="shared" si="18"/>
        <v>0.9150007285986359</v>
      </c>
      <c r="I23" s="400">
        <f t="shared" si="19"/>
        <v>0.93511867401259963</v>
      </c>
      <c r="J23" s="405">
        <f t="shared" si="20"/>
        <v>0.85563426804771892</v>
      </c>
      <c r="K23" s="405">
        <f t="shared" si="21"/>
        <v>0.86026052409819276</v>
      </c>
      <c r="L23" s="379">
        <f>+SUM(Efficiency1!K67:K68)</f>
        <v>47.013077318400001</v>
      </c>
      <c r="M23" s="380">
        <f t="shared" si="22"/>
        <v>677.65634208441145</v>
      </c>
      <c r="N23" s="379">
        <f>+SUM(Efficiency1!C67:C68)</f>
        <v>43.322207728799981</v>
      </c>
      <c r="O23" s="380">
        <f t="shared" si="22"/>
        <v>655.79466512980582</v>
      </c>
      <c r="P23" s="380">
        <f>'15'!I38</f>
        <v>43.017000000000003</v>
      </c>
      <c r="Q23" s="380">
        <f t="shared" si="23"/>
        <v>601.81700000000001</v>
      </c>
      <c r="R23" s="380">
        <f>'15'!I40</f>
        <v>40.225999999999999</v>
      </c>
      <c r="S23" s="380">
        <f t="shared" si="24"/>
        <v>582.96100000000001</v>
      </c>
      <c r="T23" s="96">
        <f t="shared" si="1"/>
        <v>4134.2351031696935</v>
      </c>
      <c r="U23" s="13">
        <f t="shared" si="25"/>
        <v>60183.092069867933</v>
      </c>
      <c r="V23" s="290">
        <f t="shared" si="26"/>
        <v>96.107006605985845</v>
      </c>
      <c r="W23" s="290">
        <f t="shared" si="27"/>
        <v>100.00231311157367</v>
      </c>
      <c r="X23" s="291">
        <f t="shared" si="28"/>
        <v>102.77519771216859</v>
      </c>
      <c r="Y23" s="290">
        <f t="shared" si="29"/>
        <v>103.23690962151487</v>
      </c>
      <c r="Z23" s="382">
        <v>60.6</v>
      </c>
      <c r="AA23" s="381">
        <f t="shared" si="30"/>
        <v>901.09999999999991</v>
      </c>
      <c r="AB23" s="384">
        <f t="shared" si="2"/>
        <v>1.4087453797335936</v>
      </c>
      <c r="AC23" s="384">
        <f t="shared" si="3"/>
        <v>1.4972990128228347</v>
      </c>
      <c r="AD23" s="379">
        <f t="shared" si="4"/>
        <v>1.5064883408740617</v>
      </c>
      <c r="AE23" s="384">
        <f t="shared" si="5"/>
        <v>1.5457294741843792</v>
      </c>
      <c r="AF23" s="383">
        <f>'15'!I46</f>
        <v>36531.460000001091</v>
      </c>
      <c r="AG23" s="381">
        <f t="shared" si="31"/>
        <v>534377.52000000048</v>
      </c>
      <c r="AH23" s="384">
        <f t="shared" si="6"/>
        <v>849.23309389313738</v>
      </c>
      <c r="AI23" s="384">
        <f t="shared" si="7"/>
        <v>887.94022103064628</v>
      </c>
      <c r="AJ23" s="384">
        <f t="shared" si="8"/>
        <v>908.15542186648167</v>
      </c>
      <c r="AK23" s="384">
        <f t="shared" si="9"/>
        <v>916.66084009050428</v>
      </c>
      <c r="AL23" s="439">
        <v>4372.1000000000004</v>
      </c>
      <c r="AM23" s="440">
        <v>5394.7</v>
      </c>
      <c r="AN23" s="440">
        <v>3972.7</v>
      </c>
      <c r="AO23" s="440">
        <f t="shared" si="40"/>
        <v>13739.5</v>
      </c>
      <c r="AP23" s="585">
        <f>+[1]Jul!N18</f>
        <v>12992</v>
      </c>
      <c r="AQ23" s="472">
        <f t="shared" si="10"/>
        <v>-747.5</v>
      </c>
      <c r="AR23" s="443">
        <f t="shared" si="11"/>
        <v>0.31821390880308603</v>
      </c>
      <c r="AS23" s="443">
        <f t="shared" si="12"/>
        <v>0.39264165362640563</v>
      </c>
      <c r="AT23" s="443">
        <f t="shared" si="33"/>
        <v>0.28914443757050839</v>
      </c>
      <c r="AU23" s="443">
        <f t="shared" si="34"/>
        <v>-237.8648968303068</v>
      </c>
      <c r="AV23" s="443">
        <f t="shared" si="35"/>
        <v>-293.49963608573819</v>
      </c>
      <c r="AW23" s="443">
        <f t="shared" si="39"/>
        <v>-216.13546708395504</v>
      </c>
      <c r="AX23" s="385">
        <f t="shared" si="13"/>
        <v>4134.2351031696935</v>
      </c>
      <c r="AY23" s="385">
        <f t="shared" si="14"/>
        <v>5101.2003639142613</v>
      </c>
      <c r="AZ23" s="385">
        <f t="shared" si="15"/>
        <v>3756.5645329160448</v>
      </c>
      <c r="BA23" s="379">
        <f>+SUM(Efficiency2!K67:K68)</f>
        <v>47.013077318400001</v>
      </c>
      <c r="BB23" s="380">
        <f t="shared" si="36"/>
        <v>675.28314625941141</v>
      </c>
      <c r="BC23" s="405">
        <f t="shared" si="37"/>
        <v>0.85563426804771892</v>
      </c>
      <c r="BD23" s="405">
        <f t="shared" si="38"/>
        <v>0.86328379914290698</v>
      </c>
    </row>
    <row r="24" spans="1:56" s="385" customFormat="1" ht="12.75" customHeight="1">
      <c r="A24" s="399">
        <f t="shared" si="16"/>
        <v>45854</v>
      </c>
      <c r="B24" s="408" t="s">
        <v>7</v>
      </c>
      <c r="C24" s="386" t="s">
        <v>473</v>
      </c>
      <c r="D24" s="378">
        <f>+'16'!F42</f>
        <v>1230</v>
      </c>
      <c r="E24" s="378">
        <f>+'16'!G42</f>
        <v>947.0999999999998</v>
      </c>
      <c r="F24" s="47">
        <f t="shared" si="0"/>
        <v>0.2300000000000002</v>
      </c>
      <c r="G24" s="404">
        <f t="shared" si="17"/>
        <v>0.95549421060403139</v>
      </c>
      <c r="H24" s="400">
        <f t="shared" si="18"/>
        <v>0.95549421060403139</v>
      </c>
      <c r="I24" s="400">
        <f t="shared" si="19"/>
        <v>0.98654986894744101</v>
      </c>
      <c r="J24" s="405">
        <f t="shared" si="20"/>
        <v>0.94264268825144581</v>
      </c>
      <c r="K24" s="405">
        <f t="shared" si="21"/>
        <v>0.86544602049824337</v>
      </c>
      <c r="L24" s="379">
        <f>+Efficiency1!K71</f>
        <v>45.519899039999991</v>
      </c>
      <c r="M24" s="380">
        <f t="shared" si="22"/>
        <v>723.17624112441149</v>
      </c>
      <c r="N24" s="379">
        <f>+Efficiency1!C71</f>
        <v>45.519899039999991</v>
      </c>
      <c r="O24" s="380">
        <f t="shared" si="22"/>
        <v>701.31456416980586</v>
      </c>
      <c r="P24" s="380">
        <f>'16'!I38</f>
        <v>43.494</v>
      </c>
      <c r="Q24" s="380">
        <f t="shared" si="23"/>
        <v>645.31100000000004</v>
      </c>
      <c r="R24" s="380">
        <f>'16'!I40</f>
        <v>42.908999999999999</v>
      </c>
      <c r="S24" s="380">
        <f t="shared" si="24"/>
        <v>625.87</v>
      </c>
      <c r="T24" s="96">
        <f t="shared" si="1"/>
        <v>4221.3948490847733</v>
      </c>
      <c r="U24" s="13">
        <f t="shared" si="25"/>
        <v>64404.486918952709</v>
      </c>
      <c r="V24" s="290">
        <f t="shared" si="26"/>
        <v>97.056946914166858</v>
      </c>
      <c r="W24" s="290">
        <f t="shared" si="27"/>
        <v>99.803795253688079</v>
      </c>
      <c r="X24" s="291">
        <f t="shared" si="28"/>
        <v>98.380173135817046</v>
      </c>
      <c r="Y24" s="290">
        <f t="shared" si="29"/>
        <v>102.90393679031222</v>
      </c>
      <c r="Z24" s="382">
        <v>60.2</v>
      </c>
      <c r="AA24" s="381">
        <f t="shared" si="30"/>
        <v>961.3</v>
      </c>
      <c r="AB24" s="384">
        <f t="shared" si="2"/>
        <v>1.3840989561778636</v>
      </c>
      <c r="AC24" s="384">
        <f t="shared" si="3"/>
        <v>1.4896693222337756</v>
      </c>
      <c r="AD24" s="379">
        <f t="shared" si="4"/>
        <v>1.4029690740870215</v>
      </c>
      <c r="AE24" s="384">
        <f t="shared" si="5"/>
        <v>1.5359419687794589</v>
      </c>
      <c r="AF24" s="383">
        <f>'16'!I46</f>
        <v>37673.259999998547</v>
      </c>
      <c r="AG24" s="381">
        <f t="shared" si="31"/>
        <v>572050.77999999898</v>
      </c>
      <c r="AH24" s="384">
        <f t="shared" si="6"/>
        <v>866.17142594377492</v>
      </c>
      <c r="AI24" s="384">
        <f t="shared" si="7"/>
        <v>886.47300293966623</v>
      </c>
      <c r="AJ24" s="384">
        <f t="shared" si="8"/>
        <v>877.98037707703622</v>
      </c>
      <c r="AK24" s="384">
        <f t="shared" si="9"/>
        <v>914.00894754501576</v>
      </c>
      <c r="AL24" s="439">
        <v>4442.3999999999996</v>
      </c>
      <c r="AM24" s="440">
        <v>5087.8999999999996</v>
      </c>
      <c r="AN24" s="440">
        <f>1317.09+1307.39+1321.66</f>
        <v>3946.1400000000003</v>
      </c>
      <c r="AO24" s="440">
        <f t="shared" si="40"/>
        <v>13476.439999999999</v>
      </c>
      <c r="AP24" s="586">
        <f>+[1]Jul!N19</f>
        <v>12806</v>
      </c>
      <c r="AQ24" s="472">
        <f t="shared" si="10"/>
        <v>-670.43999999999869</v>
      </c>
      <c r="AR24" s="443">
        <f t="shared" si="11"/>
        <v>0.32964195291931697</v>
      </c>
      <c r="AS24" s="443">
        <f t="shared" si="12"/>
        <v>0.37754035932338215</v>
      </c>
      <c r="AT24" s="443">
        <f t="shared" si="33"/>
        <v>0.29281768775730088</v>
      </c>
      <c r="AU24" s="443">
        <f t="shared" si="34"/>
        <v>-221.00515091522644</v>
      </c>
      <c r="AV24" s="443">
        <f t="shared" si="35"/>
        <v>-253.11815850476782</v>
      </c>
      <c r="AW24" s="443">
        <f t="shared" si="39"/>
        <v>-196.31669058000443</v>
      </c>
      <c r="AX24" s="385">
        <f t="shared" si="13"/>
        <v>4221.3948490847733</v>
      </c>
      <c r="AY24" s="385">
        <f t="shared" si="14"/>
        <v>4834.7818414952317</v>
      </c>
      <c r="AZ24" s="385">
        <f t="shared" si="15"/>
        <v>3749.8233094199959</v>
      </c>
      <c r="BA24" s="379">
        <f>+Efficiency2!K71</f>
        <v>45.519899039999991</v>
      </c>
      <c r="BB24" s="380">
        <f t="shared" si="36"/>
        <v>720.80304529941145</v>
      </c>
      <c r="BC24" s="405">
        <f t="shared" si="37"/>
        <v>0.94264268825144581</v>
      </c>
      <c r="BD24" s="405">
        <f t="shared" si="38"/>
        <v>0.86829544364649902</v>
      </c>
    </row>
    <row r="25" spans="1:56" s="385" customFormat="1" ht="12.75" customHeight="1">
      <c r="A25" s="399">
        <f t="shared" si="16"/>
        <v>45855</v>
      </c>
      <c r="B25" s="408" t="s">
        <v>7</v>
      </c>
      <c r="C25" s="386" t="s">
        <v>473</v>
      </c>
      <c r="D25" s="378">
        <f>+'17'!F42</f>
        <v>1230</v>
      </c>
      <c r="E25" s="378">
        <f>+'17'!G42</f>
        <v>947.0999999999998</v>
      </c>
      <c r="F25" s="47">
        <f t="shared" si="0"/>
        <v>0.2300000000000002</v>
      </c>
      <c r="G25" s="404">
        <f t="shared" si="17"/>
        <v>0.99211331061003671</v>
      </c>
      <c r="H25" s="400">
        <f t="shared" si="18"/>
        <v>0.99211331061003671</v>
      </c>
      <c r="I25" s="400">
        <f t="shared" si="19"/>
        <v>0.96144317126045209</v>
      </c>
      <c r="J25" s="405">
        <f t="shared" si="20"/>
        <v>0.95386056760261961</v>
      </c>
      <c r="K25" s="405">
        <f t="shared" si="21"/>
        <v>0.87068658592210935</v>
      </c>
      <c r="L25" s="379">
        <f>+Efficiency1!K75</f>
        <v>45.565359839999992</v>
      </c>
      <c r="M25" s="380">
        <f t="shared" si="22"/>
        <v>768.74160096441153</v>
      </c>
      <c r="N25" s="379">
        <f>+Efficiency1!C75</f>
        <v>45.565359839999992</v>
      </c>
      <c r="O25" s="380">
        <f t="shared" si="22"/>
        <v>746.8799240098059</v>
      </c>
      <c r="P25" s="380">
        <f>'17'!I38</f>
        <v>45.206000000000003</v>
      </c>
      <c r="Q25" s="380">
        <f t="shared" si="23"/>
        <v>690.51700000000005</v>
      </c>
      <c r="R25" s="380">
        <f>'17'!I40</f>
        <v>43.463000000000001</v>
      </c>
      <c r="S25" s="380">
        <f t="shared" si="24"/>
        <v>669.33299999999997</v>
      </c>
      <c r="T25" s="96">
        <f t="shared" si="1"/>
        <v>4001.3637422301531</v>
      </c>
      <c r="U25" s="13">
        <f t="shared" si="25"/>
        <v>68405.850661182863</v>
      </c>
      <c r="V25" s="290">
        <f t="shared" si="26"/>
        <v>88.513996863915253</v>
      </c>
      <c r="W25" s="290">
        <f t="shared" si="27"/>
        <v>99.06468727226536</v>
      </c>
      <c r="X25" s="291">
        <f t="shared" si="28"/>
        <v>92.063680423122037</v>
      </c>
      <c r="Y25" s="290">
        <f t="shared" si="29"/>
        <v>102.20002698385238</v>
      </c>
      <c r="Z25" s="382">
        <v>61.9</v>
      </c>
      <c r="AA25" s="381">
        <f t="shared" si="30"/>
        <v>1023.1999999999999</v>
      </c>
      <c r="AB25" s="384">
        <f t="shared" si="2"/>
        <v>1.3692872627527317</v>
      </c>
      <c r="AC25" s="384">
        <f t="shared" si="3"/>
        <v>1.4817882832718092</v>
      </c>
      <c r="AD25" s="379">
        <f t="shared" si="4"/>
        <v>1.4241998941628511</v>
      </c>
      <c r="AE25" s="384">
        <f t="shared" si="5"/>
        <v>1.5286860202619623</v>
      </c>
      <c r="AF25" s="383">
        <f>'17'!I46</f>
        <v>37665.500000000728</v>
      </c>
      <c r="AG25" s="381">
        <f t="shared" si="31"/>
        <v>609716.27999999968</v>
      </c>
      <c r="AH25" s="384">
        <f t="shared" si="6"/>
        <v>833.19692076274669</v>
      </c>
      <c r="AI25" s="384">
        <f t="shared" si="7"/>
        <v>882.98518356535703</v>
      </c>
      <c r="AJ25" s="384">
        <f t="shared" si="8"/>
        <v>866.61068034881919</v>
      </c>
      <c r="AK25" s="384">
        <f t="shared" si="9"/>
        <v>910.9311508621264</v>
      </c>
      <c r="AL25" s="439">
        <v>4224.3999999999996</v>
      </c>
      <c r="AM25" s="440">
        <v>5101.5</v>
      </c>
      <c r="AN25" s="440">
        <v>3898.3</v>
      </c>
      <c r="AO25" s="440">
        <f t="shared" si="40"/>
        <v>13224.2</v>
      </c>
      <c r="AP25" s="587">
        <f>+[1]Jul!N20</f>
        <v>12526</v>
      </c>
      <c r="AQ25" s="472">
        <f t="shared" si="10"/>
        <v>-698.20000000000073</v>
      </c>
      <c r="AR25" s="443">
        <f t="shared" si="11"/>
        <v>0.31944465449705839</v>
      </c>
      <c r="AS25" s="443">
        <f t="shared" si="12"/>
        <v>0.3857700276765324</v>
      </c>
      <c r="AT25" s="443">
        <f t="shared" si="33"/>
        <v>0.29478531782640921</v>
      </c>
      <c r="AU25" s="443">
        <f t="shared" si="34"/>
        <v>-223.0362577698464</v>
      </c>
      <c r="AV25" s="443">
        <f>+AS25*AQ25</f>
        <v>-269.3446333237552</v>
      </c>
      <c r="AW25" s="443">
        <f t="shared" si="39"/>
        <v>-205.81910890639912</v>
      </c>
      <c r="AX25" s="385">
        <f t="shared" si="13"/>
        <v>4001.3637422301531</v>
      </c>
      <c r="AY25" s="385">
        <f t="shared" si="14"/>
        <v>4832.1553666762447</v>
      </c>
      <c r="AZ25" s="385">
        <f t="shared" si="15"/>
        <v>3692.4808910936013</v>
      </c>
      <c r="BA25" s="379">
        <f>+Efficiency2!K75</f>
        <v>45.565359839999992</v>
      </c>
      <c r="BB25" s="380">
        <f t="shared" si="36"/>
        <v>766.36840513941149</v>
      </c>
      <c r="BC25" s="405">
        <f t="shared" si="37"/>
        <v>0.95386056760261961</v>
      </c>
      <c r="BD25" s="405">
        <f t="shared" si="38"/>
        <v>0.87338282151420421</v>
      </c>
    </row>
    <row r="26" spans="1:56" s="385" customFormat="1" ht="12.75" customHeight="1">
      <c r="A26" s="399">
        <f t="shared" si="16"/>
        <v>45856</v>
      </c>
      <c r="B26" s="408" t="s">
        <v>489</v>
      </c>
      <c r="C26" s="386" t="s">
        <v>580</v>
      </c>
      <c r="D26" s="378">
        <f>+'18'!F42</f>
        <v>1206.0416666666667</v>
      </c>
      <c r="E26" s="378">
        <f>+'18'!G42</f>
        <v>928.65208333333317</v>
      </c>
      <c r="F26" s="47">
        <f t="shared" si="0"/>
        <v>0.2300000000000002</v>
      </c>
      <c r="G26" s="404">
        <f t="shared" si="17"/>
        <v>0.96245897519933354</v>
      </c>
      <c r="H26" s="400">
        <f t="shared" si="18"/>
        <v>0.95015601212733125</v>
      </c>
      <c r="I26" s="400">
        <f t="shared" si="19"/>
        <v>1.0029733275032793</v>
      </c>
      <c r="J26" s="405">
        <f t="shared" si="20"/>
        <v>0.95298113713059562</v>
      </c>
      <c r="K26" s="405">
        <f t="shared" si="21"/>
        <v>0.87553627048731086</v>
      </c>
      <c r="L26" s="379">
        <f>+SUM(Efficiency1!K79:K80)</f>
        <v>48.13946279999999</v>
      </c>
      <c r="M26" s="380">
        <f t="shared" si="22"/>
        <v>816.88106376441146</v>
      </c>
      <c r="N26" s="379">
        <f>+SUM(Efficiency1!C79:C80)</f>
        <v>47.524103549999992</v>
      </c>
      <c r="O26" s="380">
        <f t="shared" si="22"/>
        <v>794.40402755980585</v>
      </c>
      <c r="P26" s="380">
        <f>'18'!I38</f>
        <v>45.74</v>
      </c>
      <c r="Q26" s="380">
        <f t="shared" si="23"/>
        <v>736.25700000000006</v>
      </c>
      <c r="R26" s="380">
        <f>'18'!I40</f>
        <v>45.875999999999998</v>
      </c>
      <c r="S26" s="380">
        <f t="shared" si="24"/>
        <v>715.20899999999995</v>
      </c>
      <c r="T26" s="96">
        <f t="shared" si="1"/>
        <v>4256.0730342063625</v>
      </c>
      <c r="U26" s="13">
        <f t="shared" si="25"/>
        <v>72661.923695389225</v>
      </c>
      <c r="V26" s="290">
        <f t="shared" si="26"/>
        <v>93.049257415967688</v>
      </c>
      <c r="W26" s="290">
        <f t="shared" si="27"/>
        <v>98.690978415674451</v>
      </c>
      <c r="X26" s="291">
        <f t="shared" si="28"/>
        <v>92.773411679448131</v>
      </c>
      <c r="Y26" s="290">
        <f t="shared" si="29"/>
        <v>101.59537099699421</v>
      </c>
      <c r="Z26" s="382">
        <v>63.4</v>
      </c>
      <c r="AA26" s="381">
        <f t="shared" si="30"/>
        <v>1086.5999999999999</v>
      </c>
      <c r="AB26" s="384">
        <f t="shared" si="2"/>
        <v>1.3860953213817226</v>
      </c>
      <c r="AC26" s="384">
        <f t="shared" si="3"/>
        <v>1.4758433536115783</v>
      </c>
      <c r="AD26" s="379">
        <f t="shared" si="4"/>
        <v>1.3819862237335427</v>
      </c>
      <c r="AE26" s="384">
        <f t="shared" si="5"/>
        <v>1.5192761836050721</v>
      </c>
      <c r="AF26" s="383">
        <f>'18'!I46</f>
        <v>36624.74</v>
      </c>
      <c r="AG26" s="381">
        <f t="shared" si="31"/>
        <v>646341.01999999967</v>
      </c>
      <c r="AH26" s="384">
        <f t="shared" si="6"/>
        <v>800.71578487100999</v>
      </c>
      <c r="AI26" s="384">
        <f t="shared" si="7"/>
        <v>877.87419338627626</v>
      </c>
      <c r="AJ26" s="384">
        <f t="shared" si="8"/>
        <v>798.34205248931903</v>
      </c>
      <c r="AK26" s="384">
        <f t="shared" si="9"/>
        <v>903.70929336739277</v>
      </c>
      <c r="AL26" s="439">
        <v>4456.7</v>
      </c>
      <c r="AM26" s="440">
        <v>5108.2</v>
      </c>
      <c r="AN26" s="440">
        <v>3958.9</v>
      </c>
      <c r="AO26" s="440">
        <f t="shared" si="40"/>
        <v>13523.8</v>
      </c>
      <c r="AP26" s="588">
        <f>+[1]Jul!N21</f>
        <v>12915</v>
      </c>
      <c r="AQ26" s="472">
        <f t="shared" si="10"/>
        <v>-608.79999999999927</v>
      </c>
      <c r="AR26" s="443">
        <f t="shared" si="11"/>
        <v>0.32954495038376785</v>
      </c>
      <c r="AS26" s="443">
        <f t="shared" si="12"/>
        <v>0.37771928008400008</v>
      </c>
      <c r="AT26" s="443">
        <f t="shared" si="33"/>
        <v>0.29273576953223207</v>
      </c>
      <c r="AU26" s="443">
        <f t="shared" si="34"/>
        <v>-200.62696579363762</v>
      </c>
      <c r="AV26" s="443">
        <f t="shared" si="35"/>
        <v>-229.95549771513896</v>
      </c>
      <c r="AW26" s="443">
        <f t="shared" si="39"/>
        <v>-178.21753649122266</v>
      </c>
      <c r="AX26" s="385">
        <f t="shared" si="13"/>
        <v>4256.0730342063625</v>
      </c>
      <c r="AY26" s="385">
        <f t="shared" si="14"/>
        <v>4878.2445022848606</v>
      </c>
      <c r="AZ26" s="385">
        <f t="shared" si="15"/>
        <v>3780.6824635087773</v>
      </c>
      <c r="BA26" s="379">
        <f>+SUM(Efficiency2!K79:K80)</f>
        <v>48.13946279999999</v>
      </c>
      <c r="BB26" s="380">
        <f t="shared" si="36"/>
        <v>814.50786793941143</v>
      </c>
      <c r="BC26" s="405">
        <f t="shared" si="37"/>
        <v>0.95298113713059562</v>
      </c>
      <c r="BD26" s="405">
        <f t="shared" si="38"/>
        <v>0.87808728209019826</v>
      </c>
    </row>
    <row r="27" spans="1:56" s="385" customFormat="1" ht="12.75" customHeight="1">
      <c r="A27" s="399">
        <f t="shared" si="16"/>
        <v>45857</v>
      </c>
      <c r="B27" s="408" t="s">
        <v>412</v>
      </c>
      <c r="C27" s="386" t="s">
        <v>600</v>
      </c>
      <c r="D27" s="378">
        <f>+'19'!F42</f>
        <v>1191.5972222222222</v>
      </c>
      <c r="E27" s="378">
        <f>+'19'!G42</f>
        <v>922.52430555555554</v>
      </c>
      <c r="F27" s="47">
        <f t="shared" si="0"/>
        <v>0.22580861355556847</v>
      </c>
      <c r="G27" s="404">
        <f t="shared" si="17"/>
        <v>0.9883157702199149</v>
      </c>
      <c r="H27" s="400">
        <f t="shared" si="18"/>
        <v>0.96981533993296742</v>
      </c>
      <c r="I27" s="400">
        <f t="shared" si="19"/>
        <v>0.99582982217324612</v>
      </c>
      <c r="J27" s="405">
        <f t="shared" si="20"/>
        <v>0.9657710375063332</v>
      </c>
      <c r="K27" s="405">
        <f t="shared" si="21"/>
        <v>0.88051674921497836</v>
      </c>
      <c r="L27" s="379">
        <f>+SUM(Efficiency1!K83:K84)</f>
        <v>47.721455925000001</v>
      </c>
      <c r="M27" s="380">
        <f t="shared" si="22"/>
        <v>864.60251968941145</v>
      </c>
      <c r="N27" s="379">
        <f>+SUM(Efficiency1!C83:C84)</f>
        <v>46.828150874999992</v>
      </c>
      <c r="O27" s="380">
        <f t="shared" si="22"/>
        <v>841.23217843480586</v>
      </c>
      <c r="P27" s="380">
        <f>'19'!I38</f>
        <v>46.280999999999999</v>
      </c>
      <c r="Q27" s="380">
        <f t="shared" si="23"/>
        <v>782.53800000000001</v>
      </c>
      <c r="R27" s="380">
        <f>'19'!I40</f>
        <v>46.088000000000001</v>
      </c>
      <c r="S27" s="380">
        <f t="shared" si="24"/>
        <v>761.29699999999991</v>
      </c>
      <c r="T27" s="96">
        <f t="shared" si="1"/>
        <v>4316.4790173401934</v>
      </c>
      <c r="U27" s="13">
        <f t="shared" si="25"/>
        <v>76978.402712729425</v>
      </c>
      <c r="V27" s="290">
        <f t="shared" si="26"/>
        <v>93.266762112750229</v>
      </c>
      <c r="W27" s="290">
        <f t="shared" si="27"/>
        <v>98.370178461275259</v>
      </c>
      <c r="X27" s="291">
        <f t="shared" si="28"/>
        <v>93.657329832932518</v>
      </c>
      <c r="Y27" s="290">
        <f t="shared" si="29"/>
        <v>101.11481158172097</v>
      </c>
      <c r="Z27" s="382">
        <v>64.099999999999994</v>
      </c>
      <c r="AA27" s="381">
        <f t="shared" si="30"/>
        <v>1150.6999999999998</v>
      </c>
      <c r="AB27" s="384">
        <f t="shared" si="2"/>
        <v>1.3850176098182838</v>
      </c>
      <c r="AC27" s="384">
        <f t="shared" si="3"/>
        <v>1.4704717215010643</v>
      </c>
      <c r="AD27" s="379">
        <f t="shared" si="4"/>
        <v>1.3908175663947231</v>
      </c>
      <c r="AE27" s="384">
        <f t="shared" si="5"/>
        <v>1.5114994542208888</v>
      </c>
      <c r="AF27" s="383">
        <f>'19'!I46</f>
        <v>39685.12000000073</v>
      </c>
      <c r="AG27" s="381">
        <f t="shared" si="31"/>
        <v>686026.14000000036</v>
      </c>
      <c r="AH27" s="384">
        <f t="shared" si="6"/>
        <v>857.48190402110436</v>
      </c>
      <c r="AI27" s="384">
        <f t="shared" si="7"/>
        <v>876.66814902279555</v>
      </c>
      <c r="AJ27" s="384">
        <f t="shared" si="8"/>
        <v>861.07273042876091</v>
      </c>
      <c r="AK27" s="384">
        <f t="shared" si="9"/>
        <v>901.12812739312051</v>
      </c>
      <c r="AL27" s="439">
        <v>4547.3</v>
      </c>
      <c r="AM27" s="440">
        <v>5105.8</v>
      </c>
      <c r="AN27" s="440">
        <v>3991.5</v>
      </c>
      <c r="AO27" s="440">
        <f t="shared" si="40"/>
        <v>13644.6</v>
      </c>
      <c r="AP27" s="589">
        <f>+[1]Jul!N22</f>
        <v>12952</v>
      </c>
      <c r="AQ27" s="472">
        <f t="shared" si="10"/>
        <v>-692.60000000000036</v>
      </c>
      <c r="AR27" s="443">
        <f t="shared" si="11"/>
        <v>0.33326737317327004</v>
      </c>
      <c r="AS27" s="443">
        <f t="shared" si="12"/>
        <v>0.37419931694589803</v>
      </c>
      <c r="AT27" s="443">
        <f t="shared" si="33"/>
        <v>0.29253330988083193</v>
      </c>
      <c r="AU27" s="443">
        <f t="shared" si="34"/>
        <v>-230.82098265980696</v>
      </c>
      <c r="AV27" s="443">
        <f t="shared" si="35"/>
        <v>-259.17044691672913</v>
      </c>
      <c r="AW27" s="443">
        <f>+AT27*AQ27</f>
        <v>-202.6085704234643</v>
      </c>
      <c r="AX27" s="385">
        <f t="shared" si="13"/>
        <v>4316.4790173401934</v>
      </c>
      <c r="AY27" s="385">
        <f t="shared" si="14"/>
        <v>4846.6295530832713</v>
      </c>
      <c r="AZ27" s="385">
        <f t="shared" si="15"/>
        <v>3788.8914295765358</v>
      </c>
      <c r="BA27" s="379">
        <f>+SUM(Efficiency2!K83:K84)</f>
        <v>47.721455925000001</v>
      </c>
      <c r="BB27" s="380">
        <f t="shared" si="36"/>
        <v>862.22932386441141</v>
      </c>
      <c r="BC27" s="405">
        <f t="shared" si="37"/>
        <v>0.9657710375063332</v>
      </c>
      <c r="BD27" s="405">
        <f t="shared" si="38"/>
        <v>0.88294027926115459</v>
      </c>
    </row>
    <row r="28" spans="1:56" s="385" customFormat="1" ht="12.75" customHeight="1">
      <c r="A28" s="399">
        <f t="shared" si="16"/>
        <v>45858</v>
      </c>
      <c r="B28" s="408" t="s">
        <v>412</v>
      </c>
      <c r="C28" s="386" t="s">
        <v>601</v>
      </c>
      <c r="D28" s="378">
        <f>+'20'!F42</f>
        <v>1230</v>
      </c>
      <c r="E28" s="378">
        <f>+'20'!G42</f>
        <v>947.0999999999998</v>
      </c>
      <c r="F28" s="47">
        <f t="shared" si="0"/>
        <v>0.2300000000000002</v>
      </c>
      <c r="G28" s="404">
        <f t="shared" si="17"/>
        <v>1.0184455947006961</v>
      </c>
      <c r="H28" s="400">
        <f t="shared" si="18"/>
        <v>1.0184455947006961</v>
      </c>
      <c r="I28" s="400">
        <f t="shared" si="19"/>
        <v>0.99569709329687817</v>
      </c>
      <c r="J28" s="405">
        <f t="shared" si="20"/>
        <v>1.0140633183244934</v>
      </c>
      <c r="K28" s="405">
        <f t="shared" si="21"/>
        <v>0.88695769626102816</v>
      </c>
      <c r="L28" s="379">
        <f>+Efficiency1!K87</f>
        <v>43.812845999999993</v>
      </c>
      <c r="M28" s="380">
        <f t="shared" si="22"/>
        <v>908.41536568941149</v>
      </c>
      <c r="N28" s="379">
        <f>+Efficiency1!C87</f>
        <v>43.812845999999993</v>
      </c>
      <c r="O28" s="380">
        <f t="shared" si="22"/>
        <v>885.0450244348059</v>
      </c>
      <c r="P28" s="380">
        <f>'20'!I38</f>
        <v>44.621000000000002</v>
      </c>
      <c r="Q28" s="380">
        <f t="shared" si="23"/>
        <v>827.15899999999999</v>
      </c>
      <c r="R28" s="380">
        <f>'20'!I40</f>
        <v>44.429000000000002</v>
      </c>
      <c r="S28" s="380">
        <f t="shared" si="24"/>
        <v>805.72599999999989</v>
      </c>
      <c r="T28" s="96">
        <f t="shared" si="1"/>
        <v>4210.393084762688</v>
      </c>
      <c r="U28" s="13">
        <f t="shared" si="25"/>
        <v>81188.795797492116</v>
      </c>
      <c r="V28" s="290">
        <f t="shared" si="26"/>
        <v>94.359003266683573</v>
      </c>
      <c r="W28" s="290">
        <f t="shared" si="27"/>
        <v>98.153796062778881</v>
      </c>
      <c r="X28" s="291">
        <f t="shared" si="28"/>
        <v>94.766775861772445</v>
      </c>
      <c r="Y28" s="290">
        <f t="shared" si="29"/>
        <v>100.76477089915446</v>
      </c>
      <c r="Z28" s="382">
        <v>60.5</v>
      </c>
      <c r="AA28" s="381">
        <f t="shared" si="30"/>
        <v>1211.1999999999998</v>
      </c>
      <c r="AB28" s="384">
        <f t="shared" si="2"/>
        <v>1.355863830931624</v>
      </c>
      <c r="AC28" s="384">
        <f t="shared" si="3"/>
        <v>1.4642892116267849</v>
      </c>
      <c r="AD28" s="379">
        <f t="shared" si="4"/>
        <v>1.361723198811587</v>
      </c>
      <c r="AE28" s="384">
        <f t="shared" si="5"/>
        <v>1.5032405557224169</v>
      </c>
      <c r="AF28" s="383">
        <f>'20'!I46</f>
        <v>36051.22</v>
      </c>
      <c r="AG28" s="381">
        <f t="shared" si="31"/>
        <v>722077.36000000034</v>
      </c>
      <c r="AH28" s="384">
        <f t="shared" si="6"/>
        <v>807.94289684229409</v>
      </c>
      <c r="AI28" s="384">
        <f t="shared" si="7"/>
        <v>872.9607729590083</v>
      </c>
      <c r="AJ28" s="384">
        <f t="shared" si="8"/>
        <v>811.43442346215306</v>
      </c>
      <c r="AK28" s="384">
        <f t="shared" si="9"/>
        <v>896.1822753640821</v>
      </c>
      <c r="AL28" s="474">
        <v>4404.5</v>
      </c>
      <c r="AM28" s="475">
        <v>5188.3</v>
      </c>
      <c r="AN28" s="440">
        <v>4026.4</v>
      </c>
      <c r="AO28" s="440">
        <f t="shared" si="40"/>
        <v>13619.199999999999</v>
      </c>
      <c r="AP28" s="589">
        <f>+[1]Jul!N23</f>
        <v>13019</v>
      </c>
      <c r="AQ28" s="472">
        <f t="shared" si="10"/>
        <v>-600.19999999999891</v>
      </c>
      <c r="AR28" s="443">
        <f t="shared" si="11"/>
        <v>0.32340372415413537</v>
      </c>
      <c r="AS28" s="443">
        <f t="shared" si="12"/>
        <v>0.38095482847744366</v>
      </c>
      <c r="AT28" s="443">
        <f t="shared" si="33"/>
        <v>0.29564144736842091</v>
      </c>
      <c r="AU28" s="443">
        <f t="shared" si="34"/>
        <v>-194.10691523731171</v>
      </c>
      <c r="AV28" s="443">
        <f t="shared" si="35"/>
        <v>-228.64908805216126</v>
      </c>
      <c r="AW28" s="443">
        <f t="shared" si="39"/>
        <v>-177.44399671052591</v>
      </c>
      <c r="AX28" s="385">
        <f t="shared" si="13"/>
        <v>4210.393084762688</v>
      </c>
      <c r="AY28" s="385">
        <f t="shared" si="14"/>
        <v>4959.6509119478387</v>
      </c>
      <c r="AZ28" s="385">
        <f t="shared" si="15"/>
        <v>3848.9560032894742</v>
      </c>
      <c r="BA28" s="379">
        <f>+Efficiency2!K87</f>
        <v>43.812845999999993</v>
      </c>
      <c r="BB28" s="380">
        <f t="shared" si="36"/>
        <v>906.04216986441145</v>
      </c>
      <c r="BC28" s="405">
        <f t="shared" si="37"/>
        <v>1.0140633183244934</v>
      </c>
      <c r="BD28" s="405">
        <f t="shared" si="38"/>
        <v>0.88928090413338734</v>
      </c>
    </row>
    <row r="29" spans="1:56" s="385" customFormat="1" ht="12.75" customHeight="1">
      <c r="A29" s="399">
        <f t="shared" si="16"/>
        <v>45859</v>
      </c>
      <c r="B29" s="408" t="s">
        <v>410</v>
      </c>
      <c r="C29" s="386" t="s">
        <v>607</v>
      </c>
      <c r="D29" s="378">
        <f>+'21'!F42</f>
        <v>1230</v>
      </c>
      <c r="E29" s="378">
        <f>+'21'!G42</f>
        <v>947.09999999999991</v>
      </c>
      <c r="F29" s="47">
        <f t="shared" si="0"/>
        <v>0.23000000000000009</v>
      </c>
      <c r="G29" s="404">
        <f t="shared" si="17"/>
        <v>0.96282190679926483</v>
      </c>
      <c r="H29" s="400">
        <f t="shared" si="18"/>
        <v>0.96282190679926483</v>
      </c>
      <c r="I29" s="400">
        <f t="shared" si="19"/>
        <v>0.94758596648489823</v>
      </c>
      <c r="J29" s="405">
        <f t="shared" si="20"/>
        <v>0.91235652710721393</v>
      </c>
      <c r="K29" s="405">
        <f t="shared" si="21"/>
        <v>0.88807273655535601</v>
      </c>
      <c r="L29" s="379">
        <f>+SUM(Efficiency1!K91:K92)</f>
        <v>41.711763843749992</v>
      </c>
      <c r="M29" s="380">
        <f t="shared" si="22"/>
        <v>950.12712953316145</v>
      </c>
      <c r="N29" s="379">
        <f>+SUM(Efficiency1!C91:C92)</f>
        <v>41.711763843749992</v>
      </c>
      <c r="O29" s="380">
        <f t="shared" si="22"/>
        <v>926.75678827855586</v>
      </c>
      <c r="P29" s="380">
        <f>'21'!I38</f>
        <v>40.161000000000001</v>
      </c>
      <c r="Q29" s="380">
        <f t="shared" si="23"/>
        <v>867.31999999999994</v>
      </c>
      <c r="R29" s="380">
        <f>'21'!I40</f>
        <v>38.055999999999997</v>
      </c>
      <c r="S29" s="380">
        <f t="shared" si="24"/>
        <v>843.78199999999993</v>
      </c>
      <c r="T29" s="96">
        <f t="shared" si="1"/>
        <v>3958.8362264042848</v>
      </c>
      <c r="U29" s="13">
        <f t="shared" si="25"/>
        <v>85147.632023896396</v>
      </c>
      <c r="V29" s="290">
        <f t="shared" si="26"/>
        <v>98.574144727578613</v>
      </c>
      <c r="W29" s="290">
        <f t="shared" si="27"/>
        <v>98.173260185279247</v>
      </c>
      <c r="X29" s="291">
        <f t="shared" si="28"/>
        <v>104.02659833940206</v>
      </c>
      <c r="Y29" s="290">
        <f t="shared" si="29"/>
        <v>100.91188485165173</v>
      </c>
      <c r="Z29" s="382">
        <v>59.8</v>
      </c>
      <c r="AA29" s="381">
        <f t="shared" si="30"/>
        <v>1270.9999999999998</v>
      </c>
      <c r="AB29" s="384">
        <f t="shared" si="2"/>
        <v>1.489006747839944</v>
      </c>
      <c r="AC29" s="384">
        <f t="shared" si="3"/>
        <v>1.4654337499423511</v>
      </c>
      <c r="AD29" s="379">
        <f t="shared" si="4"/>
        <v>1.5713685095648517</v>
      </c>
      <c r="AE29" s="384">
        <f t="shared" si="5"/>
        <v>1.5063132420459311</v>
      </c>
      <c r="AF29" s="383">
        <f>'21'!I46</f>
        <v>38510.479999999639</v>
      </c>
      <c r="AG29" s="381">
        <f t="shared" si="31"/>
        <v>760587.84</v>
      </c>
      <c r="AH29" s="384">
        <f t="shared" si="6"/>
        <v>958.9024177684729</v>
      </c>
      <c r="AI29" s="384">
        <f t="shared" si="7"/>
        <v>876.94027579209535</v>
      </c>
      <c r="AJ29" s="384">
        <f t="shared" si="8"/>
        <v>1011.9424006726833</v>
      </c>
      <c r="AK29" s="384">
        <f t="shared" si="9"/>
        <v>901.40325344698044</v>
      </c>
      <c r="AL29" s="474">
        <v>4163.8</v>
      </c>
      <c r="AM29" s="475">
        <v>5832.8</v>
      </c>
      <c r="AN29" s="475">
        <v>3967.8</v>
      </c>
      <c r="AO29" s="440">
        <f t="shared" si="40"/>
        <v>13964.400000000001</v>
      </c>
      <c r="AP29" s="591">
        <f>+[1]Jul!N24</f>
        <v>13277</v>
      </c>
      <c r="AQ29" s="472">
        <f t="shared" si="10"/>
        <v>-687.40000000000146</v>
      </c>
      <c r="AR29" s="443">
        <f t="shared" si="11"/>
        <v>0.29817249577497063</v>
      </c>
      <c r="AS29" s="443">
        <f t="shared" si="12"/>
        <v>0.41769069920655377</v>
      </c>
      <c r="AT29" s="443">
        <f t="shared" si="33"/>
        <v>0.2841368050184756</v>
      </c>
      <c r="AU29" s="443">
        <f t="shared" si="34"/>
        <v>-204.96377359571525</v>
      </c>
      <c r="AV29" s="443">
        <f t="shared" si="35"/>
        <v>-287.12058663458566</v>
      </c>
      <c r="AW29" s="443">
        <f t="shared" si="39"/>
        <v>-195.31563976970054</v>
      </c>
      <c r="AX29" s="385">
        <f t="shared" si="13"/>
        <v>3958.8362264042848</v>
      </c>
      <c r="AY29" s="385">
        <f t="shared" si="14"/>
        <v>5545.6794133654148</v>
      </c>
      <c r="AZ29" s="385">
        <f t="shared" si="15"/>
        <v>3772.4843602302994</v>
      </c>
      <c r="BA29" s="379">
        <f>+SUM(Efficiency2!K91:K92)</f>
        <v>41.711763843749992</v>
      </c>
      <c r="BB29" s="380">
        <f t="shared" si="36"/>
        <v>947.75393370816141</v>
      </c>
      <c r="BC29" s="405">
        <f t="shared" si="37"/>
        <v>0.91235652710721393</v>
      </c>
      <c r="BD29" s="405">
        <f t="shared" si="38"/>
        <v>0.89029648940483619</v>
      </c>
    </row>
    <row r="30" spans="1:56" s="385" customFormat="1" ht="12.75" customHeight="1">
      <c r="A30" s="399">
        <f t="shared" si="16"/>
        <v>45860</v>
      </c>
      <c r="B30" s="408" t="s">
        <v>7</v>
      </c>
      <c r="C30" s="386" t="s">
        <v>618</v>
      </c>
      <c r="D30" s="378">
        <f>+'22'!F42</f>
        <v>1217.0138888888889</v>
      </c>
      <c r="E30" s="378">
        <f>+'22'!G42</f>
        <v>914.29791666666665</v>
      </c>
      <c r="F30" s="47">
        <f t="shared" si="0"/>
        <v>0.24873666191155497</v>
      </c>
      <c r="G30" s="404">
        <f t="shared" si="17"/>
        <v>0.92901482122958767</v>
      </c>
      <c r="H30" s="400">
        <f t="shared" si="18"/>
        <v>0.91911453287661449</v>
      </c>
      <c r="I30" s="400">
        <f t="shared" si="19"/>
        <v>0.93670224846695438</v>
      </c>
      <c r="J30" s="405">
        <f t="shared" si="20"/>
        <v>0.86093664954417926</v>
      </c>
      <c r="K30" s="405">
        <f t="shared" si="21"/>
        <v>0.88677022423853946</v>
      </c>
      <c r="L30" s="379">
        <f>+SUM(Efficiency1!K95:K96)</f>
        <v>47.904802312500003</v>
      </c>
      <c r="M30" s="380">
        <f t="shared" si="22"/>
        <v>998.03193184566146</v>
      </c>
      <c r="N30" s="379">
        <f>+SUM(Efficiency1!C95:C96)</f>
        <v>47.394292312499992</v>
      </c>
      <c r="O30" s="380">
        <f t="shared" si="22"/>
        <v>974.1510805910558</v>
      </c>
      <c r="P30" s="380">
        <f>'22'!I38</f>
        <v>44.03</v>
      </c>
      <c r="Q30" s="380">
        <f t="shared" si="23"/>
        <v>911.34999999999991</v>
      </c>
      <c r="R30" s="380">
        <f>'22'!I40</f>
        <v>41.243000000000002</v>
      </c>
      <c r="S30" s="380">
        <f t="shared" si="24"/>
        <v>885.02499999999998</v>
      </c>
      <c r="T30" s="96">
        <f t="shared" si="1"/>
        <v>4123.4520578891634</v>
      </c>
      <c r="U30" s="13">
        <f t="shared" si="25"/>
        <v>89271.084081785564</v>
      </c>
      <c r="V30" s="290">
        <f t="shared" si="26"/>
        <v>93.650966565731622</v>
      </c>
      <c r="W30" s="290">
        <f t="shared" si="27"/>
        <v>97.954774874401238</v>
      </c>
      <c r="X30" s="291">
        <f t="shared" si="28"/>
        <v>99.979440338703853</v>
      </c>
      <c r="Y30" s="290">
        <f t="shared" si="29"/>
        <v>100.86843205760918</v>
      </c>
      <c r="Z30" s="382">
        <v>62.3</v>
      </c>
      <c r="AA30" s="381">
        <f t="shared" si="30"/>
        <v>1333.2999999999997</v>
      </c>
      <c r="AB30" s="384">
        <f t="shared" si="2"/>
        <v>1.4149443561208266</v>
      </c>
      <c r="AC30" s="384">
        <f t="shared" si="3"/>
        <v>1.4629944587699566</v>
      </c>
      <c r="AD30" s="379">
        <f t="shared" si="4"/>
        <v>1.5105593676502678</v>
      </c>
      <c r="AE30" s="384">
        <f t="shared" si="5"/>
        <v>1.5065111155052116</v>
      </c>
      <c r="AF30" s="383">
        <f>'22'!I46</f>
        <v>36024.979999999639</v>
      </c>
      <c r="AG30" s="381">
        <f t="shared" si="31"/>
        <v>796612.8199999996</v>
      </c>
      <c r="AH30" s="384">
        <f t="shared" si="6"/>
        <v>818.19168748579693</v>
      </c>
      <c r="AI30" s="384">
        <f t="shared" si="7"/>
        <v>874.10195863279716</v>
      </c>
      <c r="AJ30" s="384">
        <f t="shared" si="8"/>
        <v>873.48107557645267</v>
      </c>
      <c r="AK30" s="384">
        <f t="shared" si="9"/>
        <v>900.10205361430417</v>
      </c>
      <c r="AL30" s="474">
        <v>4343.3</v>
      </c>
      <c r="AM30" s="440">
        <v>5893.1</v>
      </c>
      <c r="AN30" s="440">
        <v>3928.6</v>
      </c>
      <c r="AO30" s="440">
        <f t="shared" si="40"/>
        <v>14165.000000000002</v>
      </c>
      <c r="AP30" s="592">
        <f>+[1]Jul!N25</f>
        <v>13448</v>
      </c>
      <c r="AQ30" s="472">
        <f t="shared" si="10"/>
        <v>-717.00000000000182</v>
      </c>
      <c r="AR30" s="443">
        <f>+AL30/AO30</f>
        <v>0.30662195552417931</v>
      </c>
      <c r="AS30" s="443">
        <f t="shared" si="12"/>
        <v>0.41603247440875396</v>
      </c>
      <c r="AT30" s="443">
        <f t="shared" si="33"/>
        <v>0.27734557006706667</v>
      </c>
      <c r="AU30" s="443">
        <f t="shared" si="34"/>
        <v>-219.84794211083712</v>
      </c>
      <c r="AV30" s="443">
        <f t="shared" si="35"/>
        <v>-298.29528415107734</v>
      </c>
      <c r="AW30" s="443">
        <f t="shared" si="39"/>
        <v>-198.8567737380873</v>
      </c>
      <c r="AX30" s="443">
        <f>+AL30+AU30</f>
        <v>4123.4520578891634</v>
      </c>
      <c r="AY30" s="385">
        <f t="shared" si="14"/>
        <v>5594.8047158489226</v>
      </c>
      <c r="AZ30" s="385">
        <f t="shared" si="15"/>
        <v>3729.7432262619127</v>
      </c>
      <c r="BA30" s="379">
        <f>+SUM(Efficiency2!K95:K96)</f>
        <v>47.904802312500003</v>
      </c>
      <c r="BB30" s="380">
        <f t="shared" si="36"/>
        <v>995.65873602066142</v>
      </c>
      <c r="BC30" s="405">
        <f t="shared" si="37"/>
        <v>0.86093664954417926</v>
      </c>
      <c r="BD30" s="405">
        <f t="shared" si="38"/>
        <v>0.88888387956818404</v>
      </c>
    </row>
    <row r="31" spans="1:56" s="385" customFormat="1" ht="12.75" customHeight="1">
      <c r="A31" s="399">
        <f t="shared" si="16"/>
        <v>45861</v>
      </c>
      <c r="B31" s="408" t="s">
        <v>7</v>
      </c>
      <c r="C31" s="386" t="s">
        <v>627</v>
      </c>
      <c r="D31" s="378">
        <f>+'23'!F42</f>
        <v>1230</v>
      </c>
      <c r="E31" s="378">
        <f>+'23'!G42</f>
        <v>922.5</v>
      </c>
      <c r="F31" s="47">
        <f t="shared" si="0"/>
        <v>0.25</v>
      </c>
      <c r="G31" s="404">
        <f t="shared" si="17"/>
        <v>0.5383035362710159</v>
      </c>
      <c r="H31" s="400">
        <f t="shared" si="18"/>
        <v>0.5383035362710159</v>
      </c>
      <c r="I31" s="400">
        <f t="shared" si="19"/>
        <v>1.0159053363556034</v>
      </c>
      <c r="J31" s="405">
        <f t="shared" si="20"/>
        <v>0.54686543507681717</v>
      </c>
      <c r="K31" s="405">
        <f t="shared" si="21"/>
        <v>0.87106313389311762</v>
      </c>
      <c r="L31" s="379">
        <f>+Efficiency1!K99</f>
        <v>48.353760000000001</v>
      </c>
      <c r="M31" s="380">
        <f t="shared" si="22"/>
        <v>1046.3856918456615</v>
      </c>
      <c r="N31" s="379">
        <f>+Efficiency1!C99</f>
        <v>48.353760000000001</v>
      </c>
      <c r="O31" s="380">
        <f t="shared" si="22"/>
        <v>1022.5048405910558</v>
      </c>
      <c r="P31" s="380">
        <f>'23'!I38</f>
        <v>26.029</v>
      </c>
      <c r="Q31" s="380">
        <f t="shared" si="23"/>
        <v>937.37899999999991</v>
      </c>
      <c r="R31" s="380">
        <f>'23'!I40</f>
        <v>26.443000000000001</v>
      </c>
      <c r="S31" s="380">
        <f t="shared" si="24"/>
        <v>911.46799999999996</v>
      </c>
      <c r="T31" s="96">
        <f t="shared" si="1"/>
        <v>2112.765886342414</v>
      </c>
      <c r="U31" s="13">
        <f t="shared" si="25"/>
        <v>91383.849968127979</v>
      </c>
      <c r="V31" s="290">
        <f t="shared" si="26"/>
        <v>81.169690973238076</v>
      </c>
      <c r="W31" s="290">
        <f t="shared" si="27"/>
        <v>97.488689172819093</v>
      </c>
      <c r="X31" s="291">
        <f t="shared" si="28"/>
        <v>79.898872531195934</v>
      </c>
      <c r="Y31" s="290">
        <f t="shared" si="29"/>
        <v>100.26007492103726</v>
      </c>
      <c r="Z31" s="382">
        <v>35.799999999999997</v>
      </c>
      <c r="AA31" s="381">
        <f t="shared" si="30"/>
        <v>1369.0999999999997</v>
      </c>
      <c r="AB31" s="384">
        <f t="shared" si="2"/>
        <v>1.3753889892043489</v>
      </c>
      <c r="AC31" s="384">
        <f t="shared" si="3"/>
        <v>1.4605618431818932</v>
      </c>
      <c r="AD31" s="379">
        <f t="shared" si="4"/>
        <v>1.3538554626933401</v>
      </c>
      <c r="AE31" s="384">
        <f t="shared" si="5"/>
        <v>1.502082355057994</v>
      </c>
      <c r="AF31" s="383">
        <f>'23'!I46</f>
        <v>22313.460000000727</v>
      </c>
      <c r="AG31" s="381">
        <f t="shared" si="31"/>
        <v>818926.28000000038</v>
      </c>
      <c r="AH31" s="384">
        <f t="shared" si="6"/>
        <v>857.25383226404119</v>
      </c>
      <c r="AI31" s="384">
        <f t="shared" si="7"/>
        <v>873.63412237739533</v>
      </c>
      <c r="AJ31" s="384">
        <f t="shared" si="8"/>
        <v>843.83239420643372</v>
      </c>
      <c r="AK31" s="384">
        <f t="shared" si="9"/>
        <v>898.46958971680885</v>
      </c>
      <c r="AL31" s="439">
        <v>2293.1999999999998</v>
      </c>
      <c r="AM31" s="440">
        <v>5984</v>
      </c>
      <c r="AN31" s="440">
        <v>3931.4</v>
      </c>
      <c r="AO31" s="440">
        <f>SUM(AL31:AN31)</f>
        <v>12208.6</v>
      </c>
      <c r="AP31" s="593">
        <f>+[1]Jul!N26</f>
        <v>11248</v>
      </c>
      <c r="AQ31" s="472">
        <f t="shared" si="10"/>
        <v>-960.60000000000036</v>
      </c>
      <c r="AR31" s="443">
        <f>+AL31/AO31</f>
        <v>0.18783480497354321</v>
      </c>
      <c r="AS31" s="443">
        <f t="shared" si="12"/>
        <v>0.49014629031993839</v>
      </c>
      <c r="AT31" s="443">
        <f t="shared" si="33"/>
        <v>0.32201890470651839</v>
      </c>
      <c r="AU31" s="443">
        <f t="shared" si="34"/>
        <v>-180.43411365758567</v>
      </c>
      <c r="AV31" s="443">
        <f t="shared" si="35"/>
        <v>-470.834526481333</v>
      </c>
      <c r="AW31" s="443">
        <f t="shared" si="39"/>
        <v>-309.33135986108169</v>
      </c>
      <c r="AX31" s="443">
        <f>+AL31+AU31</f>
        <v>2112.765886342414</v>
      </c>
      <c r="AY31" s="385">
        <f t="shared" si="14"/>
        <v>5513.1654735186667</v>
      </c>
      <c r="AZ31" s="385">
        <f t="shared" si="15"/>
        <v>3622.0686401389185</v>
      </c>
      <c r="BA31" s="379">
        <f>+Efficiency2!K99</f>
        <v>48.353760000000001</v>
      </c>
      <c r="BB31" s="380">
        <f t="shared" si="36"/>
        <v>1044.0124960206615</v>
      </c>
      <c r="BC31" s="405">
        <f t="shared" si="37"/>
        <v>0.54686543507681717</v>
      </c>
      <c r="BD31" s="405">
        <f t="shared" si="38"/>
        <v>0.87304319007112874</v>
      </c>
    </row>
    <row r="32" spans="1:56" s="385" customFormat="1" ht="12.75" customHeight="1">
      <c r="A32" s="399">
        <f t="shared" si="16"/>
        <v>45862</v>
      </c>
      <c r="B32" s="408" t="s">
        <v>7</v>
      </c>
      <c r="C32" s="386" t="s">
        <v>627</v>
      </c>
      <c r="D32" s="378">
        <f>+'24'!F42</f>
        <v>1219.5714285714287</v>
      </c>
      <c r="E32" s="378">
        <f>+'24'!G42</f>
        <v>914.67857142857144</v>
      </c>
      <c r="F32" s="47">
        <f t="shared" si="0"/>
        <v>0.25</v>
      </c>
      <c r="G32" s="404">
        <f t="shared" si="17"/>
        <v>0.88205371823738932</v>
      </c>
      <c r="H32" s="400">
        <f t="shared" si="18"/>
        <v>0.87457521400610827</v>
      </c>
      <c r="I32" s="400">
        <f t="shared" si="19"/>
        <v>0.87502660266263088</v>
      </c>
      <c r="J32" s="405">
        <f t="shared" si="20"/>
        <v>0.7652765782847083</v>
      </c>
      <c r="K32" s="405">
        <f t="shared" si="21"/>
        <v>0.86639062692126068</v>
      </c>
      <c r="L32" s="379">
        <f>+Efficiency1!K104</f>
        <v>48.353760000000001</v>
      </c>
      <c r="M32" s="380">
        <f t="shared" si="22"/>
        <v>1094.7394518456615</v>
      </c>
      <c r="N32" s="379">
        <f>+Efficiency1!C104</f>
        <v>47.943792000000002</v>
      </c>
      <c r="O32" s="380">
        <f t="shared" si="22"/>
        <v>1070.4486325910557</v>
      </c>
      <c r="P32" s="380">
        <f>'24'!I38</f>
        <v>42.289000000000001</v>
      </c>
      <c r="Q32" s="380">
        <f t="shared" si="23"/>
        <v>979.66799999999989</v>
      </c>
      <c r="R32" s="380">
        <f>'24'!I40</f>
        <v>37.003999999999998</v>
      </c>
      <c r="S32" s="380">
        <f t="shared" si="24"/>
        <v>948.47199999999998</v>
      </c>
      <c r="T32" s="96">
        <f t="shared" si="1"/>
        <v>4181.3367054541168</v>
      </c>
      <c r="U32" s="13">
        <f t="shared" si="25"/>
        <v>95565.186673582095</v>
      </c>
      <c r="V32" s="290">
        <f t="shared" si="26"/>
        <v>98.875279752515226</v>
      </c>
      <c r="W32" s="290">
        <f t="shared" si="27"/>
        <v>97.548543663345242</v>
      </c>
      <c r="X32" s="291">
        <f t="shared" si="28"/>
        <v>112.99688426802823</v>
      </c>
      <c r="Y32" s="290">
        <f t="shared" si="29"/>
        <v>100.75699300936886</v>
      </c>
      <c r="Z32" s="382">
        <v>64.599999999999994</v>
      </c>
      <c r="AA32" s="381">
        <f t="shared" si="30"/>
        <v>1433.6999999999996</v>
      </c>
      <c r="AB32" s="384">
        <f t="shared" si="2"/>
        <v>1.5275840052968854</v>
      </c>
      <c r="AC32" s="384">
        <f t="shared" si="3"/>
        <v>1.4634549663763641</v>
      </c>
      <c r="AD32" s="379">
        <f t="shared" si="4"/>
        <v>1.7457572154361689</v>
      </c>
      <c r="AE32" s="384">
        <f t="shared" si="5"/>
        <v>1.5115891665752912</v>
      </c>
      <c r="AF32" s="383">
        <f>+'24'!I46</f>
        <v>34295.699999999997</v>
      </c>
      <c r="AG32" s="381">
        <f t="shared" si="31"/>
        <v>853221.98000000033</v>
      </c>
      <c r="AH32" s="384">
        <f t="shared" si="6"/>
        <v>810.98394381517642</v>
      </c>
      <c r="AI32" s="384">
        <f t="shared" si="7"/>
        <v>870.92972313069367</v>
      </c>
      <c r="AJ32" s="384">
        <f t="shared" si="8"/>
        <v>926.81061506864114</v>
      </c>
      <c r="AK32" s="384">
        <f t="shared" si="9"/>
        <v>899.57529584426356</v>
      </c>
      <c r="AL32" s="439">
        <v>4255.3</v>
      </c>
      <c r="AM32" s="440">
        <v>5978.8</v>
      </c>
      <c r="AN32" s="440">
        <f>1282.16+1270.45+1273.68</f>
        <v>3826.29</v>
      </c>
      <c r="AO32" s="440">
        <f t="shared" si="40"/>
        <v>14060.39</v>
      </c>
      <c r="AP32" s="594">
        <f>+[1]Jul!N27</f>
        <v>13816</v>
      </c>
      <c r="AQ32" s="472">
        <f t="shared" si="10"/>
        <v>-244.38999999999942</v>
      </c>
      <c r="AR32" s="443">
        <f t="shared" si="11"/>
        <v>0.30264452124016478</v>
      </c>
      <c r="AS32" s="443">
        <f t="shared" si="12"/>
        <v>0.42522291344692431</v>
      </c>
      <c r="AT32" s="443">
        <f t="shared" si="33"/>
        <v>0.27213256531291097</v>
      </c>
      <c r="AU32" s="443">
        <f t="shared" si="34"/>
        <v>-73.963294545883699</v>
      </c>
      <c r="AV32" s="443">
        <f t="shared" si="35"/>
        <v>-103.92022781729358</v>
      </c>
      <c r="AW32" s="443">
        <f t="shared" si="39"/>
        <v>-66.506477636822154</v>
      </c>
      <c r="AX32" s="385">
        <f t="shared" si="13"/>
        <v>4181.3367054541168</v>
      </c>
      <c r="AY32" s="385">
        <f t="shared" si="14"/>
        <v>5874.8797721827068</v>
      </c>
      <c r="AZ32" s="385">
        <f t="shared" si="15"/>
        <v>3759.7835223631778</v>
      </c>
      <c r="BA32" s="379">
        <f>+Efficiency2!K104</f>
        <v>48.353760000000001</v>
      </c>
      <c r="BB32" s="380">
        <f t="shared" si="36"/>
        <v>1092.3662560206615</v>
      </c>
      <c r="BC32" s="405">
        <f t="shared" si="37"/>
        <v>0.7652765782847083</v>
      </c>
      <c r="BD32" s="405">
        <f t="shared" si="38"/>
        <v>0.86827288445832418</v>
      </c>
    </row>
    <row r="33" spans="1:56" s="385" customFormat="1" ht="12.75" customHeight="1">
      <c r="A33" s="399">
        <f t="shared" si="16"/>
        <v>45863</v>
      </c>
      <c r="B33" s="408" t="s">
        <v>7</v>
      </c>
      <c r="C33" s="386" t="s">
        <v>627</v>
      </c>
      <c r="D33" s="378">
        <f>+'25'!F42</f>
        <v>1208.75</v>
      </c>
      <c r="E33" s="378">
        <f>+'25'!G42</f>
        <v>897.55</v>
      </c>
      <c r="F33" s="47">
        <f t="shared" si="0"/>
        <v>0.25745604963805591</v>
      </c>
      <c r="G33" s="404">
        <f t="shared" si="17"/>
        <v>0.92824082434689104</v>
      </c>
      <c r="H33" s="400">
        <f t="shared" si="18"/>
        <v>0.92824082434689104</v>
      </c>
      <c r="I33" s="400">
        <f t="shared" si="19"/>
        <v>0.97888710785436217</v>
      </c>
      <c r="J33" s="405">
        <f t="shared" si="20"/>
        <v>0.90864297593727716</v>
      </c>
      <c r="K33" s="405">
        <f t="shared" si="21"/>
        <v>0.86813158730114259</v>
      </c>
      <c r="L33" s="379">
        <f>+SUM(Efficiency1!K109:K110)</f>
        <v>47.045980799999995</v>
      </c>
      <c r="M33" s="380">
        <f t="shared" si="22"/>
        <v>1141.7854326456616</v>
      </c>
      <c r="N33" s="379">
        <f>+SUM(Efficiency1!C109:C110)</f>
        <v>47.045980799999995</v>
      </c>
      <c r="O33" s="380">
        <f t="shared" si="22"/>
        <v>1117.4946133910557</v>
      </c>
      <c r="P33" s="380">
        <f>'25'!I38</f>
        <v>43.67</v>
      </c>
      <c r="Q33" s="380">
        <f t="shared" si="23"/>
        <v>1023.3379999999999</v>
      </c>
      <c r="R33" s="380">
        <f>'25'!I40</f>
        <v>42.747999999999998</v>
      </c>
      <c r="S33" s="380">
        <f t="shared" si="24"/>
        <v>991.22</v>
      </c>
      <c r="T33" s="96">
        <f t="shared" si="1"/>
        <v>4185.9291089357957</v>
      </c>
      <c r="U33" s="13">
        <f t="shared" si="25"/>
        <v>99751.115782517896</v>
      </c>
      <c r="V33" s="290">
        <f t="shared" si="26"/>
        <v>95.85365488746956</v>
      </c>
      <c r="W33" s="290">
        <f t="shared" si="27"/>
        <v>97.476215856850729</v>
      </c>
      <c r="X33" s="291">
        <f t="shared" si="28"/>
        <v>97.921051486286984</v>
      </c>
      <c r="Y33" s="290">
        <f t="shared" si="29"/>
        <v>100.63468834619751</v>
      </c>
      <c r="Z33" s="382">
        <v>62.9</v>
      </c>
      <c r="AA33" s="381">
        <f t="shared" si="30"/>
        <v>1496.5999999999997</v>
      </c>
      <c r="AB33" s="384">
        <f t="shared" si="2"/>
        <v>1.4403480650332035</v>
      </c>
      <c r="AC33" s="384">
        <f t="shared" si="3"/>
        <v>1.4624689007932863</v>
      </c>
      <c r="AD33" s="379">
        <f t="shared" si="4"/>
        <v>1.47141386731543</v>
      </c>
      <c r="AE33" s="384">
        <f t="shared" si="5"/>
        <v>1.5098565404249304</v>
      </c>
      <c r="AF33" s="383">
        <f>+'25'!I46</f>
        <v>34188.819999998908</v>
      </c>
      <c r="AG33" s="381">
        <f t="shared" si="31"/>
        <v>887410.79999999923</v>
      </c>
      <c r="AH33" s="384">
        <f t="shared" si="6"/>
        <v>782.89031371648525</v>
      </c>
      <c r="AI33" s="384">
        <f t="shared" si="7"/>
        <v>867.17272299083913</v>
      </c>
      <c r="AJ33" s="384">
        <f t="shared" si="8"/>
        <v>799.77589594832284</v>
      </c>
      <c r="AK33" s="384">
        <f t="shared" si="9"/>
        <v>895.27128185468325</v>
      </c>
      <c r="AL33" s="439">
        <v>4418.1000000000004</v>
      </c>
      <c r="AM33" s="440">
        <v>5969.4</v>
      </c>
      <c r="AN33" s="440">
        <v>3924.6</v>
      </c>
      <c r="AO33" s="440">
        <f t="shared" si="40"/>
        <v>14312.1</v>
      </c>
      <c r="AP33" s="597">
        <f>+[1]Jul!N28</f>
        <v>13560</v>
      </c>
      <c r="AQ33" s="472">
        <f t="shared" si="10"/>
        <v>-752.10000000000036</v>
      </c>
      <c r="AR33" s="443">
        <f t="shared" si="11"/>
        <v>0.30869683694216782</v>
      </c>
      <c r="AS33" s="443">
        <f t="shared" si="12"/>
        <v>0.41708763913052588</v>
      </c>
      <c r="AT33" s="443">
        <f t="shared" si="33"/>
        <v>0.27421552392730625</v>
      </c>
      <c r="AU33" s="443">
        <f t="shared" si="34"/>
        <v>-232.17089106420454</v>
      </c>
      <c r="AV33" s="443">
        <f t="shared" si="35"/>
        <v>-313.69161339006865</v>
      </c>
      <c r="AW33" s="443">
        <f>+AT33*AQ33</f>
        <v>-206.23749554572714</v>
      </c>
      <c r="AX33" s="385">
        <f t="shared" si="13"/>
        <v>4185.9291089357957</v>
      </c>
      <c r="AY33" s="385">
        <f t="shared" si="14"/>
        <v>5655.708386609931</v>
      </c>
      <c r="AZ33" s="385">
        <f t="shared" si="15"/>
        <v>3718.3625044542728</v>
      </c>
      <c r="BA33" s="379">
        <f>+SUM(Efficiency2!K109:K110)</f>
        <v>47.045980799999995</v>
      </c>
      <c r="BB33" s="380">
        <f t="shared" si="36"/>
        <v>1139.4122368206615</v>
      </c>
      <c r="BC33" s="405">
        <f t="shared" si="37"/>
        <v>0.90864297593727716</v>
      </c>
      <c r="BD33" s="405">
        <f t="shared" si="38"/>
        <v>0.86993975311853144</v>
      </c>
    </row>
    <row r="34" spans="1:56" s="385" customFormat="1" ht="12.75" customHeight="1">
      <c r="A34" s="399">
        <f t="shared" si="16"/>
        <v>45864</v>
      </c>
      <c r="B34" s="408" t="s">
        <v>7</v>
      </c>
      <c r="C34" s="386" t="s">
        <v>627</v>
      </c>
      <c r="D34" s="378">
        <f>+'26'!F42</f>
        <v>1203.7638888888889</v>
      </c>
      <c r="E34" s="378">
        <f>+'26'!G42</f>
        <v>920.97291666666672</v>
      </c>
      <c r="F34" s="47">
        <f t="shared" si="0"/>
        <v>0.23492229234692108</v>
      </c>
      <c r="G34" s="404">
        <f t="shared" si="17"/>
        <v>0.92541041650565781</v>
      </c>
      <c r="H34" s="400">
        <f t="shared" si="18"/>
        <v>0.90567125348872912</v>
      </c>
      <c r="I34" s="400">
        <f t="shared" si="19"/>
        <v>0.99538871354061731</v>
      </c>
      <c r="J34" s="405">
        <f t="shared" si="20"/>
        <v>0.90149494390086438</v>
      </c>
      <c r="K34" s="405">
        <f t="shared" si="21"/>
        <v>0.86951321787737401</v>
      </c>
      <c r="L34" s="379">
        <f>+Efficiency1!K113</f>
        <v>49.32584514294286</v>
      </c>
      <c r="M34" s="380">
        <f t="shared" si="22"/>
        <v>1191.1112777886044</v>
      </c>
      <c r="N34" s="379">
        <f>+Efficiency1!C113</f>
        <v>48.273716399999998</v>
      </c>
      <c r="O34" s="380">
        <f t="shared" si="22"/>
        <v>1165.7683297910557</v>
      </c>
      <c r="P34" s="380">
        <f>'26'!I38</f>
        <v>44.673000000000002</v>
      </c>
      <c r="Q34" s="380">
        <f t="shared" si="23"/>
        <v>1068.011</v>
      </c>
      <c r="R34" s="380">
        <f>'26'!I40</f>
        <v>44.466999999999999</v>
      </c>
      <c r="S34" s="380">
        <f t="shared" si="24"/>
        <v>1035.6870000000001</v>
      </c>
      <c r="T34" s="96">
        <f t="shared" si="1"/>
        <v>4020.2916952857881</v>
      </c>
      <c r="U34" s="13">
        <f t="shared" si="25"/>
        <v>103771.40747780369</v>
      </c>
      <c r="V34" s="290">
        <f t="shared" si="26"/>
        <v>89.993770180775584</v>
      </c>
      <c r="W34" s="290">
        <f t="shared" si="27"/>
        <v>97.163238466461195</v>
      </c>
      <c r="X34" s="291">
        <f t="shared" si="28"/>
        <v>90.410679723970318</v>
      </c>
      <c r="Y34" s="290">
        <f t="shared" si="29"/>
        <v>100.19572272105731</v>
      </c>
      <c r="Z34" s="382">
        <v>61.7</v>
      </c>
      <c r="AA34" s="381">
        <f t="shared" si="30"/>
        <v>1558.2999999999997</v>
      </c>
      <c r="AB34" s="384">
        <f t="shared" si="2"/>
        <v>1.3811474492422717</v>
      </c>
      <c r="AC34" s="384">
        <f t="shared" si="3"/>
        <v>1.4590673691563101</v>
      </c>
      <c r="AD34" s="379">
        <f t="shared" si="4"/>
        <v>1.3875458204960984</v>
      </c>
      <c r="AE34" s="384">
        <f t="shared" si="5"/>
        <v>1.5046051558047939</v>
      </c>
      <c r="AF34" s="383">
        <f>'26'!I46</f>
        <v>36331.34000000036</v>
      </c>
      <c r="AG34" s="381">
        <f t="shared" si="31"/>
        <v>923742.13999999955</v>
      </c>
      <c r="AH34" s="384">
        <f t="shared" si="6"/>
        <v>813.2728941418834</v>
      </c>
      <c r="AI34" s="384">
        <f t="shared" si="7"/>
        <v>864.918189044869</v>
      </c>
      <c r="AJ34" s="384">
        <f t="shared" si="8"/>
        <v>817.04050194527088</v>
      </c>
      <c r="AK34" s="384">
        <f t="shared" si="9"/>
        <v>891.91246003860181</v>
      </c>
      <c r="AL34" s="439">
        <v>4252.3</v>
      </c>
      <c r="AM34" s="440">
        <v>5885.8</v>
      </c>
      <c r="AN34" s="440">
        <v>4089</v>
      </c>
      <c r="AO34" s="440">
        <f t="shared" si="40"/>
        <v>14227.1</v>
      </c>
      <c r="AP34" s="598">
        <f>+[1]Jul!N29</f>
        <v>13450.860000000102</v>
      </c>
      <c r="AQ34" s="472">
        <f t="shared" si="10"/>
        <v>-776.23999999989792</v>
      </c>
      <c r="AR34" s="443">
        <f t="shared" si="11"/>
        <v>0.29888733473441531</v>
      </c>
      <c r="AS34" s="443">
        <f t="shared" si="12"/>
        <v>0.41370342515340441</v>
      </c>
      <c r="AT34" s="443">
        <f t="shared" si="33"/>
        <v>0.28740924011218028</v>
      </c>
      <c r="AU34" s="443">
        <f t="shared" si="34"/>
        <v>-232.00830471421202</v>
      </c>
      <c r="AV34" s="443">
        <f t="shared" si="35"/>
        <v>-321.1331467410364</v>
      </c>
      <c r="AW34" s="443">
        <f>+AT34*AQ34</f>
        <v>-223.09854854464947</v>
      </c>
      <c r="AX34" s="385">
        <f t="shared" si="13"/>
        <v>4020.2916952857881</v>
      </c>
      <c r="AY34" s="385">
        <f t="shared" si="14"/>
        <v>5564.6668532589638</v>
      </c>
      <c r="AZ34" s="385">
        <f t="shared" si="15"/>
        <v>3865.9014514553505</v>
      </c>
      <c r="BA34" s="379">
        <f>+Efficiency1!K113</f>
        <v>49.32584514294286</v>
      </c>
      <c r="BB34" s="380">
        <f t="shared" si="36"/>
        <v>1188.7380819636044</v>
      </c>
      <c r="BC34" s="405">
        <f t="shared" si="37"/>
        <v>0.90149494390086438</v>
      </c>
      <c r="BD34" s="405">
        <f t="shared" si="38"/>
        <v>0.87124911342052036</v>
      </c>
    </row>
    <row r="35" spans="1:56" s="385" customFormat="1" ht="12.75" customHeight="1">
      <c r="A35" s="399">
        <f t="shared" si="16"/>
        <v>45865</v>
      </c>
      <c r="B35" s="408" t="s">
        <v>7</v>
      </c>
      <c r="C35" s="386" t="s">
        <v>657</v>
      </c>
      <c r="D35" s="378">
        <f>+'27'!F42</f>
        <v>1204.0694444444443</v>
      </c>
      <c r="E35" s="378">
        <f>+'27'!G42</f>
        <v>903.95749999999998</v>
      </c>
      <c r="F35" s="47">
        <f t="shared" si="0"/>
        <v>0.24924803617362412</v>
      </c>
      <c r="G35" s="404">
        <f t="shared" si="17"/>
        <v>0.96505259302615498</v>
      </c>
      <c r="H35" s="400">
        <f t="shared" si="18"/>
        <v>0.94460454457388143</v>
      </c>
      <c r="I35" s="400">
        <f t="shared" si="19"/>
        <v>0.98545494553856305</v>
      </c>
      <c r="J35" s="405">
        <f t="shared" si="20"/>
        <v>0.93086522002853345</v>
      </c>
      <c r="K35" s="405">
        <f t="shared" si="21"/>
        <v>0.87189507621134132</v>
      </c>
      <c r="L35" s="379">
        <f>+SUM(Efficiency1!K117:K118)</f>
        <v>48.11007978</v>
      </c>
      <c r="M35" s="380">
        <f t="shared" si="22"/>
        <v>1239.2213575686044</v>
      </c>
      <c r="N35" s="379">
        <f>+SUM(Efficiency1!C117:C118)</f>
        <v>47.090697779999999</v>
      </c>
      <c r="O35" s="380">
        <f t="shared" si="22"/>
        <v>1212.8590275710558</v>
      </c>
      <c r="P35" s="380">
        <f>'27'!I38</f>
        <v>45.445</v>
      </c>
      <c r="Q35" s="380">
        <f t="shared" si="23"/>
        <v>1113.4559999999999</v>
      </c>
      <c r="R35" s="380">
        <f>'27'!I40</f>
        <v>44.783999999999999</v>
      </c>
      <c r="S35" s="380">
        <f t="shared" si="24"/>
        <v>1080.4710000000002</v>
      </c>
      <c r="T35" s="96">
        <f t="shared" si="1"/>
        <v>3828.5366688613431</v>
      </c>
      <c r="U35" s="13">
        <f t="shared" si="25"/>
        <v>107599.94414666503</v>
      </c>
      <c r="V35" s="290">
        <f t="shared" si="26"/>
        <v>84.245498269586164</v>
      </c>
      <c r="W35" s="290">
        <f t="shared" si="27"/>
        <v>96.636009098397281</v>
      </c>
      <c r="X35" s="291">
        <f t="shared" si="28"/>
        <v>85.488939551208986</v>
      </c>
      <c r="Y35" s="290">
        <f t="shared" si="29"/>
        <v>99.586147288233562</v>
      </c>
      <c r="Z35" s="382">
        <v>62</v>
      </c>
      <c r="AA35" s="381">
        <f t="shared" si="30"/>
        <v>1620.2999999999997</v>
      </c>
      <c r="AB35" s="384">
        <f t="shared" si="2"/>
        <v>1.3642865001650346</v>
      </c>
      <c r="AC35" s="384">
        <f t="shared" si="3"/>
        <v>1.4551989481398455</v>
      </c>
      <c r="AD35" s="379">
        <f t="shared" si="4"/>
        <v>1.3844230082172204</v>
      </c>
      <c r="AE35" s="384">
        <f t="shared" si="5"/>
        <v>1.4996237751869317</v>
      </c>
      <c r="AF35" s="383">
        <f>'27'!I46</f>
        <v>34511.340000000724</v>
      </c>
      <c r="AG35" s="381">
        <f t="shared" si="31"/>
        <v>958253.48000000021</v>
      </c>
      <c r="AH35" s="384">
        <f t="shared" si="6"/>
        <v>759.40895588075091</v>
      </c>
      <c r="AI35" s="384">
        <f t="shared" si="7"/>
        <v>860.61189665330312</v>
      </c>
      <c r="AJ35" s="384">
        <f t="shared" si="8"/>
        <v>770.61763129690792</v>
      </c>
      <c r="AK35" s="384">
        <f t="shared" si="9"/>
        <v>886.88496035525247</v>
      </c>
      <c r="AL35" s="470">
        <v>4022.1</v>
      </c>
      <c r="AM35" s="440">
        <v>5922.1</v>
      </c>
      <c r="AN35" s="440">
        <v>4180.7</v>
      </c>
      <c r="AO35" s="440">
        <f t="shared" si="40"/>
        <v>14124.900000000001</v>
      </c>
      <c r="AP35" s="598">
        <f>+[1]Jul!N30</f>
        <v>13445.139999999898</v>
      </c>
      <c r="AQ35" s="472">
        <f t="shared" si="10"/>
        <v>-679.7600000001039</v>
      </c>
      <c r="AR35" s="443">
        <f t="shared" si="11"/>
        <v>0.28475245842448438</v>
      </c>
      <c r="AS35" s="443">
        <f t="shared" si="12"/>
        <v>0.4192666850738766</v>
      </c>
      <c r="AT35" s="443">
        <f t="shared" si="33"/>
        <v>0.29598085650163902</v>
      </c>
      <c r="AU35" s="443">
        <f t="shared" si="34"/>
        <v>-193.56333113865708</v>
      </c>
      <c r="AV35" s="443">
        <f t="shared" si="35"/>
        <v>-285.0007218458619</v>
      </c>
      <c r="AW35" s="443">
        <f>+AT35*AQ35</f>
        <v>-201.19594701558489</v>
      </c>
      <c r="AX35" s="385">
        <f t="shared" si="13"/>
        <v>3828.5366688613431</v>
      </c>
      <c r="AY35" s="385">
        <f t="shared" si="14"/>
        <v>5637.0992781541381</v>
      </c>
      <c r="AZ35" s="385">
        <f t="shared" si="15"/>
        <v>3979.504052984415</v>
      </c>
      <c r="BA35" s="379">
        <f>+SUM(Efficiency2!K117:K118)</f>
        <v>48.11007978</v>
      </c>
      <c r="BB35" s="380">
        <f t="shared" si="36"/>
        <v>1236.8481617436044</v>
      </c>
      <c r="BC35" s="405">
        <f t="shared" si="37"/>
        <v>0.93086522002853345</v>
      </c>
      <c r="BD35" s="405">
        <f t="shared" si="38"/>
        <v>0.87356802024659452</v>
      </c>
    </row>
    <row r="36" spans="1:56" s="385" customFormat="1" ht="12.75" customHeight="1">
      <c r="A36" s="399">
        <f t="shared" si="16"/>
        <v>45866</v>
      </c>
      <c r="B36" s="408" t="s">
        <v>7</v>
      </c>
      <c r="C36" s="403" t="s">
        <v>455</v>
      </c>
      <c r="D36" s="378">
        <f>+'28'!F42</f>
        <v>1230</v>
      </c>
      <c r="E36" s="378">
        <f>+'28'!G42</f>
        <v>947.0999999999998</v>
      </c>
      <c r="F36" s="47">
        <f t="shared" si="0"/>
        <v>0.2300000000000002</v>
      </c>
      <c r="G36" s="404">
        <f t="shared" si="17"/>
        <v>0.99632225496789772</v>
      </c>
      <c r="H36" s="400">
        <f t="shared" si="18"/>
        <v>0.99632225496789772</v>
      </c>
      <c r="I36" s="400">
        <f t="shared" si="19"/>
        <v>0.96495475379010465</v>
      </c>
      <c r="J36" s="405">
        <f t="shared" si="20"/>
        <v>0.96140589623814954</v>
      </c>
      <c r="K36" s="405">
        <f t="shared" si="21"/>
        <v>0.87487676392460134</v>
      </c>
      <c r="L36" s="379">
        <f>+Efficiency1!K121</f>
        <v>42.702047242105252</v>
      </c>
      <c r="M36" s="380">
        <f t="shared" si="22"/>
        <v>1281.9234048107096</v>
      </c>
      <c r="N36" s="379">
        <f>+Efficiency1!C121</f>
        <v>42.702047242105252</v>
      </c>
      <c r="O36" s="380">
        <f t="shared" si="22"/>
        <v>1255.561074813161</v>
      </c>
      <c r="P36" s="380">
        <f>'28'!I38</f>
        <v>42.545000000000002</v>
      </c>
      <c r="Q36" s="380">
        <f t="shared" si="23"/>
        <v>1156.001</v>
      </c>
      <c r="R36" s="380">
        <f>'28'!I40</f>
        <v>41.054000000000002</v>
      </c>
      <c r="S36" s="380">
        <f t="shared" si="24"/>
        <v>1121.5250000000003</v>
      </c>
      <c r="T36" s="96">
        <f t="shared" si="1"/>
        <v>3778.1279860306008</v>
      </c>
      <c r="U36" s="13">
        <f t="shared" si="25"/>
        <v>111378.07213269563</v>
      </c>
      <c r="V36" s="290">
        <f t="shared" si="26"/>
        <v>88.803102268905874</v>
      </c>
      <c r="W36" s="290">
        <f t="shared" si="27"/>
        <v>96.347729917790403</v>
      </c>
      <c r="X36" s="291">
        <f t="shared" si="28"/>
        <v>92.028255128138568</v>
      </c>
      <c r="Y36" s="290">
        <f t="shared" si="29"/>
        <v>99.309486754816518</v>
      </c>
      <c r="Z36" s="382">
        <v>59.4</v>
      </c>
      <c r="AA36" s="381">
        <f t="shared" si="30"/>
        <v>1679.6999999999998</v>
      </c>
      <c r="AB36" s="384">
        <f t="shared" si="2"/>
        <v>1.3961687624867787</v>
      </c>
      <c r="AC36" s="384">
        <f t="shared" si="3"/>
        <v>1.4530264247176254</v>
      </c>
      <c r="AD36" s="379">
        <f t="shared" si="4"/>
        <v>1.4468748477614848</v>
      </c>
      <c r="AE36" s="384">
        <f t="shared" si="5"/>
        <v>1.4976928735427202</v>
      </c>
      <c r="AF36" s="383">
        <f>'28'!I46</f>
        <v>36738.5</v>
      </c>
      <c r="AG36" s="381">
        <f t="shared" si="31"/>
        <v>994991.98000000021</v>
      </c>
      <c r="AH36" s="384">
        <f t="shared" si="6"/>
        <v>863.52097778822429</v>
      </c>
      <c r="AI36" s="384">
        <f t="shared" si="7"/>
        <v>860.71896131577762</v>
      </c>
      <c r="AJ36" s="384">
        <f t="shared" si="8"/>
        <v>894.88235007551032</v>
      </c>
      <c r="AK36" s="384">
        <f t="shared" si="9"/>
        <v>887.17770892311808</v>
      </c>
      <c r="AL36" s="439">
        <v>3974.8</v>
      </c>
      <c r="AM36" s="475">
        <v>5808.4</v>
      </c>
      <c r="AN36" s="440">
        <v>4190.2</v>
      </c>
      <c r="AO36" s="440">
        <f t="shared" si="40"/>
        <v>13973.400000000001</v>
      </c>
      <c r="AP36" s="599">
        <f>+[1]Jul!N31</f>
        <v>13282</v>
      </c>
      <c r="AQ36" s="472">
        <f t="shared" si="10"/>
        <v>-691.40000000000146</v>
      </c>
      <c r="AR36" s="443">
        <f t="shared" si="11"/>
        <v>0.28445474973878943</v>
      </c>
      <c r="AS36" s="443">
        <f t="shared" si="12"/>
        <v>0.41567549773140389</v>
      </c>
      <c r="AT36" s="443">
        <f t="shared" si="33"/>
        <v>0.29986975252980663</v>
      </c>
      <c r="AU36" s="443">
        <f>+AR36*AQ36</f>
        <v>-196.67201396939942</v>
      </c>
      <c r="AV36" s="443">
        <f t="shared" si="35"/>
        <v>-287.39803913149325</v>
      </c>
      <c r="AW36" s="443">
        <f>+AT36*AQ36</f>
        <v>-207.32994689910873</v>
      </c>
      <c r="AX36" s="385">
        <f t="shared" si="13"/>
        <v>3778.1279860306008</v>
      </c>
      <c r="AY36" s="385">
        <f t="shared" si="14"/>
        <v>5521.0019608685061</v>
      </c>
      <c r="AZ36" s="385">
        <f t="shared" si="15"/>
        <v>3982.8700531008913</v>
      </c>
      <c r="BA36" s="379">
        <f>+Efficiency2!K121</f>
        <v>42.702047242105252</v>
      </c>
      <c r="BB36" s="380">
        <f t="shared" si="36"/>
        <v>1279.5502089857096</v>
      </c>
      <c r="BC36" s="405">
        <f t="shared" si="37"/>
        <v>0.96140589623814954</v>
      </c>
      <c r="BD36" s="405">
        <f t="shared" si="38"/>
        <v>0.87649940746680455</v>
      </c>
    </row>
    <row r="37" spans="1:56" s="385" customFormat="1" ht="12.75" customHeight="1">
      <c r="A37" s="399">
        <f t="shared" si="16"/>
        <v>45867</v>
      </c>
      <c r="B37" s="408" t="s">
        <v>7</v>
      </c>
      <c r="C37" s="403" t="s">
        <v>567</v>
      </c>
      <c r="D37" s="378">
        <f>+'29'!F42</f>
        <v>1230</v>
      </c>
      <c r="E37" s="378">
        <f>+'29'!G42</f>
        <v>947.09999999999968</v>
      </c>
      <c r="F37" s="47">
        <f t="shared" si="0"/>
        <v>0.2300000000000002</v>
      </c>
      <c r="G37" s="404">
        <f t="shared" si="17"/>
        <v>0.96829146875968242</v>
      </c>
      <c r="H37" s="400">
        <f t="shared" si="18"/>
        <v>0.96829146875968242</v>
      </c>
      <c r="I37" s="400">
        <f t="shared" si="19"/>
        <v>0.96809253397877482</v>
      </c>
      <c r="J37" s="405">
        <f t="shared" si="20"/>
        <v>0.93739574162159067</v>
      </c>
      <c r="K37" s="405">
        <f t="shared" si="21"/>
        <v>0.87696851322373648</v>
      </c>
      <c r="L37" s="379">
        <f>+SUM(Efficiency1!K125:K126)</f>
        <v>44.375068237499995</v>
      </c>
      <c r="M37" s="380">
        <f t="shared" si="22"/>
        <v>1326.2984730482096</v>
      </c>
      <c r="N37" s="379">
        <f>+SUM(Efficiency1!C125:C126)</f>
        <v>44.375068237499995</v>
      </c>
      <c r="O37" s="380">
        <f t="shared" si="22"/>
        <v>1299.936143050661</v>
      </c>
      <c r="P37" s="380">
        <f>'29'!I38</f>
        <v>42.968000000000004</v>
      </c>
      <c r="Q37" s="380">
        <f t="shared" si="23"/>
        <v>1198.9690000000001</v>
      </c>
      <c r="R37" s="380">
        <f>'29'!I40</f>
        <v>41.597000000000001</v>
      </c>
      <c r="S37" s="380">
        <f t="shared" si="24"/>
        <v>1163.1220000000003</v>
      </c>
      <c r="T37" s="96">
        <f t="shared" si="1"/>
        <v>3825.5265426741357</v>
      </c>
      <c r="U37" s="13">
        <f t="shared" si="25"/>
        <v>115203.59867536977</v>
      </c>
      <c r="V37" s="290">
        <f t="shared" si="26"/>
        <v>89.03198991514931</v>
      </c>
      <c r="W37" s="290">
        <f t="shared" si="27"/>
        <v>96.08555239991172</v>
      </c>
      <c r="X37" s="291">
        <f t="shared" si="28"/>
        <v>91.966404853093621</v>
      </c>
      <c r="Y37" s="290">
        <f t="shared" si="29"/>
        <v>99.046874425356705</v>
      </c>
      <c r="Z37" s="382">
        <v>60.6</v>
      </c>
      <c r="AA37" s="381">
        <f t="shared" si="30"/>
        <v>1740.2999999999997</v>
      </c>
      <c r="AB37" s="384">
        <f t="shared" si="2"/>
        <v>1.4103518897784397</v>
      </c>
      <c r="AC37" s="384">
        <f t="shared" si="3"/>
        <v>1.4514970779061007</v>
      </c>
      <c r="AD37" s="379">
        <f t="shared" si="4"/>
        <v>1.4568358295069357</v>
      </c>
      <c r="AE37" s="384">
        <f t="shared" si="5"/>
        <v>1.4962316936658402</v>
      </c>
      <c r="AF37" s="383">
        <f>'29'!I46</f>
        <v>39176.89999999891</v>
      </c>
      <c r="AG37" s="381">
        <f t="shared" si="31"/>
        <v>1034168.8799999991</v>
      </c>
      <c r="AH37" s="384">
        <f t="shared" si="6"/>
        <v>911.76922360824119</v>
      </c>
      <c r="AI37" s="384">
        <f t="shared" si="7"/>
        <v>862.54847289629595</v>
      </c>
      <c r="AJ37" s="384">
        <f t="shared" si="8"/>
        <v>941.82032358100128</v>
      </c>
      <c r="AK37" s="384">
        <f t="shared" si="9"/>
        <v>889.13190533753027</v>
      </c>
      <c r="AL37" s="439">
        <v>4030.1</v>
      </c>
      <c r="AM37" s="440">
        <v>5692.9</v>
      </c>
      <c r="AN37" s="440">
        <v>4218.7</v>
      </c>
      <c r="AO37" s="440">
        <f t="shared" si="40"/>
        <v>13941.7</v>
      </c>
      <c r="AP37" s="600">
        <f>+[1]Jul!N32</f>
        <v>13234</v>
      </c>
      <c r="AQ37" s="472">
        <f t="shared" si="10"/>
        <v>-707.70000000000073</v>
      </c>
      <c r="AR37" s="443">
        <f t="shared" si="11"/>
        <v>0.28906804765559435</v>
      </c>
      <c r="AS37" s="443">
        <f t="shared" si="12"/>
        <v>0.40833614265118312</v>
      </c>
      <c r="AT37" s="443">
        <f t="shared" si="33"/>
        <v>0.30259580969322253</v>
      </c>
      <c r="AU37" s="443">
        <f t="shared" si="34"/>
        <v>-204.57345732586433</v>
      </c>
      <c r="AV37" s="443">
        <f t="shared" si="35"/>
        <v>-288.97948815424257</v>
      </c>
      <c r="AW37" s="443">
        <f t="shared" si="39"/>
        <v>-214.1470545198938</v>
      </c>
      <c r="AX37" s="385">
        <f t="shared" si="13"/>
        <v>3825.5265426741357</v>
      </c>
      <c r="AY37" s="385">
        <f t="shared" si="14"/>
        <v>5403.9205118457567</v>
      </c>
      <c r="AZ37" s="385">
        <f t="shared" si="15"/>
        <v>4004.5529454801062</v>
      </c>
      <c r="BA37" s="379">
        <f>+SUM(Efficiency2!K125:K126)</f>
        <v>44.375068237499995</v>
      </c>
      <c r="BB37" s="380">
        <f t="shared" si="36"/>
        <v>1323.9252772232096</v>
      </c>
      <c r="BC37" s="405">
        <f t="shared" si="37"/>
        <v>0.93739574162159067</v>
      </c>
      <c r="BD37" s="405">
        <f t="shared" si="38"/>
        <v>0.87854051887242701</v>
      </c>
    </row>
    <row r="38" spans="1:56" s="385" customFormat="1" ht="12.75" customHeight="1">
      <c r="A38" s="399">
        <f t="shared" si="16"/>
        <v>45868</v>
      </c>
      <c r="B38" s="408" t="s">
        <v>489</v>
      </c>
      <c r="C38" s="403" t="s">
        <v>490</v>
      </c>
      <c r="D38" s="378">
        <f>+'30'!F42</f>
        <v>1230</v>
      </c>
      <c r="E38" s="378">
        <f>+'30'!G42</f>
        <v>947.0999999999998</v>
      </c>
      <c r="F38" s="47">
        <f t="shared" si="0"/>
        <v>0.2300000000000002</v>
      </c>
      <c r="G38" s="404">
        <f t="shared" si="17"/>
        <v>1.0246068651995099</v>
      </c>
      <c r="H38" s="400">
        <f t="shared" si="18"/>
        <v>1.0246068651995099</v>
      </c>
      <c r="I38" s="400">
        <f t="shared" si="19"/>
        <v>0.9117459926523408</v>
      </c>
      <c r="J38" s="405">
        <f t="shared" si="20"/>
        <v>0.93418120338973043</v>
      </c>
      <c r="K38" s="405">
        <f t="shared" si="21"/>
        <v>0.87894880591694469</v>
      </c>
      <c r="L38" s="379">
        <f>+SUM(Efficiency1!K129:K130)</f>
        <v>47.552872867499993</v>
      </c>
      <c r="M38" s="380">
        <f t="shared" si="22"/>
        <v>1373.8513459157095</v>
      </c>
      <c r="N38" s="379">
        <f>+SUM(Efficiency1!C129:C130)</f>
        <v>47.552872867499993</v>
      </c>
      <c r="O38" s="380">
        <f t="shared" si="22"/>
        <v>1347.4890159181609</v>
      </c>
      <c r="P38" s="380">
        <f>'30'!I38</f>
        <v>48.722999999999999</v>
      </c>
      <c r="Q38" s="380">
        <f t="shared" si="23"/>
        <v>1247.692</v>
      </c>
      <c r="R38" s="380">
        <f>'30'!I40</f>
        <v>44.423000000000002</v>
      </c>
      <c r="S38" s="380">
        <f t="shared" si="24"/>
        <v>1207.5450000000003</v>
      </c>
      <c r="T38" s="96">
        <f t="shared" si="1"/>
        <v>4131.4278345552329</v>
      </c>
      <c r="U38" s="13">
        <f t="shared" si="25"/>
        <v>119335.026509925</v>
      </c>
      <c r="V38" s="290">
        <f t="shared" si="26"/>
        <v>84.794200573758445</v>
      </c>
      <c r="W38" s="290">
        <f t="shared" si="27"/>
        <v>95.644619433261568</v>
      </c>
      <c r="X38" s="291">
        <f t="shared" si="28"/>
        <v>93.001999742368426</v>
      </c>
      <c r="Y38" s="290">
        <f t="shared" si="29"/>
        <v>98.824496403798591</v>
      </c>
      <c r="Z38" s="382">
        <v>62.3</v>
      </c>
      <c r="AA38" s="381">
        <f t="shared" si="30"/>
        <v>1802.5999999999997</v>
      </c>
      <c r="AB38" s="384">
        <f t="shared" si="2"/>
        <v>1.2786568971532952</v>
      </c>
      <c r="AC38" s="384">
        <f t="shared" si="3"/>
        <v>1.4447475819352851</v>
      </c>
      <c r="AD38" s="379">
        <f t="shared" si="4"/>
        <v>1.4024266708686941</v>
      </c>
      <c r="AE38" s="384">
        <f t="shared" si="5"/>
        <v>1.4927808073405127</v>
      </c>
      <c r="AF38" s="383">
        <f>'30'!I46</f>
        <v>37362.639999999999</v>
      </c>
      <c r="AG38" s="381">
        <f t="shared" si="31"/>
        <v>1071531.5199999991</v>
      </c>
      <c r="AH38" s="384">
        <f t="shared" si="6"/>
        <v>766.83783839254556</v>
      </c>
      <c r="AI38" s="384">
        <f t="shared" si="7"/>
        <v>858.81092449097935</v>
      </c>
      <c r="AJ38" s="384">
        <f t="shared" si="8"/>
        <v>841.06521396573839</v>
      </c>
      <c r="AK38" s="384">
        <f t="shared" si="9"/>
        <v>887.36363448152974</v>
      </c>
      <c r="AL38" s="439">
        <v>4337</v>
      </c>
      <c r="AM38" s="440">
        <v>5846.5</v>
      </c>
      <c r="AN38" s="440">
        <v>4356.7</v>
      </c>
      <c r="AO38" s="440">
        <f t="shared" si="40"/>
        <v>14540.2</v>
      </c>
      <c r="AP38" s="601">
        <f>+[1]Jul!N33</f>
        <v>13851</v>
      </c>
      <c r="AQ38" s="472">
        <f t="shared" si="10"/>
        <v>-689.20000000000073</v>
      </c>
      <c r="AR38" s="443">
        <f t="shared" ref="AR38:AR39" si="41">+AL38/AO38</f>
        <v>0.29827650238648712</v>
      </c>
      <c r="AS38" s="443">
        <f t="shared" ref="AS38:AS39" si="42">+AM38/AO38</f>
        <v>0.40209213078224504</v>
      </c>
      <c r="AT38" s="443">
        <f t="shared" ref="AT38:AT39" si="43">1-AR38-AS38</f>
        <v>0.2996313668312679</v>
      </c>
      <c r="AU38" s="443">
        <f t="shared" ref="AU38:AU39" si="44">+AR38*AQ38</f>
        <v>-205.57216544476714</v>
      </c>
      <c r="AV38" s="443">
        <f t="shared" ref="AV38:AV39" si="45">+AS38*AQ38</f>
        <v>-277.1218965351236</v>
      </c>
      <c r="AW38" s="443">
        <f t="shared" ref="AW38:AW39" si="46">+AT38*AQ38</f>
        <v>-206.50593802011005</v>
      </c>
      <c r="AX38" s="385">
        <f t="shared" ref="AX38:AX39" si="47">+AL38+AU38</f>
        <v>4131.4278345552329</v>
      </c>
      <c r="AY38" s="385">
        <f t="shared" ref="AY38:AY39" si="48">+AM38+AV38</f>
        <v>5569.3781034648764</v>
      </c>
      <c r="AZ38" s="385">
        <f t="shared" ref="AZ38:AZ39" si="49">+AN38+AW38</f>
        <v>4150.1940619798897</v>
      </c>
      <c r="BA38" s="379">
        <f>+SUM(Efficiency2!K129:K130)</f>
        <v>47.552872867499993</v>
      </c>
      <c r="BB38" s="380">
        <f t="shared" si="36"/>
        <v>1371.4781500907095</v>
      </c>
      <c r="BC38" s="405">
        <f t="shared" si="37"/>
        <v>0.93418120338973043</v>
      </c>
      <c r="BD38" s="405">
        <f t="shared" si="38"/>
        <v>0.88046973254377647</v>
      </c>
    </row>
    <row r="39" spans="1:56" s="385" customFormat="1" ht="12.75" customHeight="1">
      <c r="A39" s="399">
        <f>A38+1</f>
        <v>45869</v>
      </c>
      <c r="B39" s="408" t="s">
        <v>412</v>
      </c>
      <c r="C39" s="403" t="s">
        <v>473</v>
      </c>
      <c r="D39" s="378">
        <f>+'31'!F42</f>
        <v>1230</v>
      </c>
      <c r="E39" s="378">
        <f>+'31'!G42</f>
        <v>947.0999999999998</v>
      </c>
      <c r="F39" s="47">
        <f t="shared" si="0"/>
        <v>0.2300000000000002</v>
      </c>
      <c r="G39" s="404">
        <f t="shared" si="17"/>
        <v>0.96284720910706956</v>
      </c>
      <c r="H39" s="400">
        <f t="shared" si="18"/>
        <v>0.96284720910706956</v>
      </c>
      <c r="I39" s="400">
        <f t="shared" si="19"/>
        <v>1.0052045904923672</v>
      </c>
      <c r="J39" s="405">
        <f t="shared" si="20"/>
        <v>0.96785843453719056</v>
      </c>
      <c r="K39" s="405">
        <f t="shared" si="21"/>
        <v>0.88193173114859524</v>
      </c>
      <c r="L39" s="379">
        <f>+Efficiency1!K133</f>
        <v>47.692925279999997</v>
      </c>
      <c r="M39" s="380">
        <f>M38+L39</f>
        <v>1421.5442711957096</v>
      </c>
      <c r="N39" s="379">
        <f>+Efficiency1!C133</f>
        <v>47.692925279999997</v>
      </c>
      <c r="O39" s="380">
        <f>O38+N39</f>
        <v>1395.181941198161</v>
      </c>
      <c r="P39" s="380">
        <f>'31'!I38</f>
        <v>45.920999999999999</v>
      </c>
      <c r="Q39" s="380">
        <f>Q38+P39</f>
        <v>1293.6130000000001</v>
      </c>
      <c r="R39" s="380">
        <f>'31'!I40</f>
        <v>46.16</v>
      </c>
      <c r="S39" s="380">
        <f>S38+R39</f>
        <v>1253.7050000000004</v>
      </c>
      <c r="T39" s="96">
        <f t="shared" si="1"/>
        <v>4176.2677363245402</v>
      </c>
      <c r="U39" s="13">
        <f>T39+U38</f>
        <v>123511.29424624954</v>
      </c>
      <c r="V39" s="290">
        <f t="shared" si="26"/>
        <v>90.944616544163679</v>
      </c>
      <c r="W39" s="290">
        <f t="shared" si="27"/>
        <v>95.477777547264552</v>
      </c>
      <c r="X39" s="291">
        <f t="shared" si="28"/>
        <v>90.473737788659889</v>
      </c>
      <c r="Y39" s="290">
        <f t="shared" si="29"/>
        <v>98.517030917360543</v>
      </c>
      <c r="Z39" s="382">
        <v>61.8</v>
      </c>
      <c r="AA39" s="381">
        <f>Z39+AA38</f>
        <v>1864.3999999999996</v>
      </c>
      <c r="AB39" s="384">
        <f t="shared" si="2"/>
        <v>1.3457895080682041</v>
      </c>
      <c r="AC39" s="384">
        <f t="shared" si="3"/>
        <v>1.4412347433119483</v>
      </c>
      <c r="AD39" s="379">
        <f t="shared" si="4"/>
        <v>1.3388214904679376</v>
      </c>
      <c r="AE39" s="384">
        <f t="shared" si="5"/>
        <v>1.4871121994408565</v>
      </c>
      <c r="AF39" s="383">
        <f>'31'!I46</f>
        <v>38324.019999999633</v>
      </c>
      <c r="AG39" s="381">
        <f>AF39+AG38</f>
        <v>1109855.5399999986</v>
      </c>
      <c r="AH39" s="384">
        <f t="shared" si="6"/>
        <v>834.56414276691783</v>
      </c>
      <c r="AI39" s="384">
        <f t="shared" si="7"/>
        <v>857.95020612810674</v>
      </c>
      <c r="AJ39" s="384">
        <f t="shared" si="8"/>
        <v>830.24306759097988</v>
      </c>
      <c r="AK39" s="384">
        <f t="shared" si="9"/>
        <v>885.26051981925434</v>
      </c>
      <c r="AL39" s="439">
        <v>4398.5</v>
      </c>
      <c r="AM39" s="440">
        <v>5846.1</v>
      </c>
      <c r="AN39" s="440">
        <v>4358.2</v>
      </c>
      <c r="AO39" s="440">
        <f t="shared" si="40"/>
        <v>14602.8</v>
      </c>
      <c r="AP39" s="602">
        <f>+[1]Jul!N34</f>
        <v>13865</v>
      </c>
      <c r="AQ39" s="472">
        <f t="shared" si="10"/>
        <v>-737.79999999999927</v>
      </c>
      <c r="AR39" s="443">
        <f t="shared" si="41"/>
        <v>0.30120935710959545</v>
      </c>
      <c r="AS39" s="443">
        <f t="shared" si="42"/>
        <v>0.40034103048730385</v>
      </c>
      <c r="AT39" s="443">
        <f t="shared" si="43"/>
        <v>0.29844961240310064</v>
      </c>
      <c r="AU39" s="443">
        <f t="shared" si="44"/>
        <v>-222.23226367545931</v>
      </c>
      <c r="AV39" s="443">
        <f t="shared" si="45"/>
        <v>-295.37161229353251</v>
      </c>
      <c r="AW39" s="443">
        <f t="shared" si="46"/>
        <v>-220.19612403100743</v>
      </c>
      <c r="AX39" s="385">
        <f t="shared" si="47"/>
        <v>4176.2677363245402</v>
      </c>
      <c r="AY39" s="385">
        <f t="shared" si="48"/>
        <v>5550.7283877064674</v>
      </c>
      <c r="AZ39" s="385">
        <f t="shared" si="49"/>
        <v>4138.0038759689924</v>
      </c>
      <c r="BA39" s="379">
        <f>+Efficiency2!K133</f>
        <v>47.692925279999997</v>
      </c>
      <c r="BB39" s="380">
        <f>BB38+BA39</f>
        <v>1419.1710753707096</v>
      </c>
      <c r="BC39" s="405">
        <f t="shared" si="37"/>
        <v>0.96785843453719056</v>
      </c>
      <c r="BD39" s="405">
        <f t="shared" si="38"/>
        <v>0.88340653340367237</v>
      </c>
    </row>
    <row r="40" spans="1:56" s="385" customFormat="1" ht="12.75" customHeight="1" thickBot="1">
      <c r="A40" s="399"/>
      <c r="B40" s="387"/>
      <c r="C40" s="387"/>
      <c r="D40" s="387"/>
      <c r="E40" s="387"/>
      <c r="F40" s="401"/>
      <c r="G40" s="404"/>
      <c r="H40" s="400"/>
      <c r="I40" s="400"/>
      <c r="J40" s="405"/>
      <c r="K40" s="411"/>
      <c r="L40" s="388"/>
      <c r="M40" s="389"/>
      <c r="N40" s="389"/>
      <c r="O40" s="389"/>
      <c r="P40" s="389"/>
      <c r="Q40" s="389"/>
      <c r="R40" s="389"/>
      <c r="S40" s="389"/>
      <c r="T40" s="293"/>
      <c r="U40" s="292"/>
      <c r="V40" s="294"/>
      <c r="W40" s="294"/>
      <c r="X40" s="291"/>
      <c r="Y40" s="294"/>
      <c r="Z40" s="390"/>
      <c r="AA40" s="390"/>
      <c r="AB40" s="391"/>
      <c r="AC40" s="391"/>
      <c r="AD40" s="388"/>
      <c r="AE40" s="391"/>
      <c r="AF40" s="390"/>
      <c r="AG40" s="390"/>
      <c r="AH40" s="391"/>
      <c r="AI40" s="391"/>
      <c r="AJ40" s="391"/>
      <c r="AK40" s="391"/>
      <c r="AP40" s="442"/>
      <c r="AQ40" s="473"/>
      <c r="AX40" s="443"/>
      <c r="AY40" s="443"/>
      <c r="AZ40" s="443"/>
      <c r="BA40" s="388"/>
      <c r="BB40" s="389"/>
      <c r="BC40" s="405"/>
      <c r="BD40" s="411"/>
    </row>
    <row r="41" spans="1:56" s="385" customFormat="1" ht="12.75" customHeight="1" thickTop="1" thickBot="1">
      <c r="A41" s="392"/>
      <c r="B41" s="393"/>
      <c r="C41" s="393"/>
      <c r="D41" s="393"/>
      <c r="E41" s="393"/>
      <c r="F41" s="402"/>
      <c r="G41" s="404">
        <f t="shared" si="17"/>
        <v>0.92720021797950236</v>
      </c>
      <c r="H41" s="400">
        <f t="shared" si="18"/>
        <v>0.91000542593858003</v>
      </c>
      <c r="I41" s="400">
        <f t="shared" si="19"/>
        <v>0.9691499698905317</v>
      </c>
      <c r="J41" s="405">
        <f t="shared" si="20"/>
        <v>0.88193173114859524</v>
      </c>
      <c r="K41" s="411"/>
      <c r="L41" s="394">
        <f>SUM(L9:L39)</f>
        <v>1421.5442711957096</v>
      </c>
      <c r="M41" s="395"/>
      <c r="N41" s="394">
        <f>SUM(N9:N39)</f>
        <v>1395.181941198161</v>
      </c>
      <c r="O41" s="395"/>
      <c r="P41" s="394">
        <f>SUM(P9:P39)</f>
        <v>1293.6130000000001</v>
      </c>
      <c r="Q41" s="395"/>
      <c r="R41" s="394">
        <f>SUM(R9:R39)</f>
        <v>1253.7050000000004</v>
      </c>
      <c r="S41" s="395"/>
      <c r="T41" s="295">
        <f>SUM(T9:T39)</f>
        <v>123511.29424624954</v>
      </c>
      <c r="U41" s="295"/>
      <c r="V41" s="296">
        <f>T41/P41</f>
        <v>95.477777547264552</v>
      </c>
      <c r="W41" s="296"/>
      <c r="X41" s="291">
        <f>IF(AND(R41&gt;0,T41&gt;0),(T41/(R41*1000))*1000,0)</f>
        <v>98.517030917360543</v>
      </c>
      <c r="Y41" s="296"/>
      <c r="Z41" s="396">
        <f>SUM(Z9:Z40)</f>
        <v>1864.3999999999996</v>
      </c>
      <c r="AA41" s="396"/>
      <c r="AB41" s="397">
        <f>Z41/P41</f>
        <v>1.4412347433119483</v>
      </c>
      <c r="AC41" s="397"/>
      <c r="AD41" s="398">
        <f>Z41/R41</f>
        <v>1.4871121994408565</v>
      </c>
      <c r="AE41" s="397"/>
      <c r="AF41" s="396">
        <f>SUM(AF9:AF39)</f>
        <v>1109855.5399999986</v>
      </c>
      <c r="AG41" s="396"/>
      <c r="AH41" s="397">
        <f>AF41/P41</f>
        <v>857.95020612810674</v>
      </c>
      <c r="AI41" s="397"/>
      <c r="AJ41" s="397">
        <f>AF41/R41</f>
        <v>885.26051981925434</v>
      </c>
      <c r="AK41" s="397"/>
      <c r="AP41" s="442">
        <f>SUM(AP9:AP40)</f>
        <v>386420</v>
      </c>
      <c r="AQ41" s="473"/>
      <c r="AX41" s="443">
        <f>SUM(AX9:AX39)</f>
        <v>123511.29424624954</v>
      </c>
      <c r="AY41" s="443">
        <f>SUM(AY9:AY39)</f>
        <v>148166.19991183013</v>
      </c>
      <c r="AZ41" s="443">
        <f>SUM(AZ9:AZ39)</f>
        <v>114742.50584192037</v>
      </c>
      <c r="BA41" s="394">
        <f>SUM(BA9:BA39)</f>
        <v>1419.1710753707096</v>
      </c>
      <c r="BB41" s="395"/>
      <c r="BC41" s="405">
        <f t="shared" si="37"/>
        <v>0.88340653340367237</v>
      </c>
      <c r="BD41" s="411"/>
    </row>
    <row r="42" spans="1:56" ht="12.75" customHeight="1" thickTop="1">
      <c r="S42" s="279"/>
      <c r="T42" s="279"/>
      <c r="U42" s="279"/>
      <c r="V42" s="279"/>
      <c r="W42" s="279"/>
      <c r="X42" s="279"/>
      <c r="Y42" s="279"/>
      <c r="Z42" s="279"/>
      <c r="AA42" s="279"/>
      <c r="AD42" s="279"/>
      <c r="AF42" s="279"/>
      <c r="AG42" s="279"/>
    </row>
    <row r="43" spans="1:56" ht="12.75" customHeight="1">
      <c r="S43" s="279"/>
      <c r="T43" s="279"/>
      <c r="U43" s="279"/>
      <c r="V43" s="279"/>
      <c r="W43" s="279"/>
      <c r="X43" s="279"/>
      <c r="Y43" s="279"/>
      <c r="Z43" s="279"/>
      <c r="AA43" s="279"/>
      <c r="AD43" s="279"/>
      <c r="AF43" s="279"/>
      <c r="AG43" s="279"/>
      <c r="AY43" s="4">
        <f>SUM(AX41:AZ41)</f>
        <v>386420.00000000006</v>
      </c>
    </row>
    <row r="44" spans="1:56">
      <c r="S44" s="279"/>
      <c r="T44" s="279"/>
      <c r="U44" s="279"/>
      <c r="V44" s="279"/>
      <c r="W44" s="279"/>
      <c r="X44" s="279"/>
      <c r="Y44" s="279"/>
      <c r="Z44" s="279"/>
      <c r="AA44" s="279"/>
      <c r="AD44" s="279"/>
      <c r="AF44" s="279"/>
      <c r="AG44" s="279"/>
    </row>
    <row r="45" spans="1:56">
      <c r="R45" s="297"/>
      <c r="S45" s="298"/>
      <c r="T45" s="298"/>
      <c r="U45" s="298"/>
      <c r="V45" s="298"/>
      <c r="W45" s="298"/>
      <c r="X45" s="298"/>
      <c r="Y45" s="298"/>
    </row>
    <row r="46" spans="1:56">
      <c r="R46" s="299"/>
    </row>
    <row r="47" spans="1:56">
      <c r="R47" s="299"/>
    </row>
    <row r="48" spans="1:56">
      <c r="R48" s="299"/>
    </row>
    <row r="49" spans="18:56">
      <c r="R49" s="299"/>
      <c r="BC49"/>
      <c r="BD49"/>
    </row>
    <row r="50" spans="18:56">
      <c r="R50" s="299"/>
      <c r="BC50"/>
      <c r="BD50"/>
    </row>
    <row r="51" spans="18:56">
      <c r="R51" s="299"/>
      <c r="BC51"/>
      <c r="BD51"/>
    </row>
    <row r="52" spans="18:56">
      <c r="R52" s="299"/>
      <c r="BC52"/>
      <c r="BD52"/>
    </row>
    <row r="53" spans="18:56">
      <c r="R53" s="299"/>
      <c r="BC53"/>
      <c r="BD53"/>
    </row>
    <row r="54" spans="18:56">
      <c r="R54" s="299"/>
      <c r="BC54"/>
      <c r="BD54"/>
    </row>
    <row r="55" spans="18:56">
      <c r="R55" s="299"/>
      <c r="BC55"/>
      <c r="BD55"/>
    </row>
    <row r="56" spans="18:56">
      <c r="R56" s="299"/>
      <c r="BC56"/>
      <c r="BD56"/>
    </row>
    <row r="57" spans="18:56">
      <c r="R57" s="299"/>
      <c r="BC57"/>
      <c r="BD57"/>
    </row>
    <row r="58" spans="18:56">
      <c r="R58" s="299"/>
      <c r="BC58"/>
      <c r="BD58"/>
    </row>
    <row r="59" spans="18:56">
      <c r="R59" s="299"/>
      <c r="BC59"/>
      <c r="BD59"/>
    </row>
    <row r="60" spans="18:56">
      <c r="BC60"/>
      <c r="BD60"/>
    </row>
    <row r="65536" spans="3:54">
      <c r="C65536" s="300"/>
      <c r="BA65536"/>
      <c r="BB65536"/>
    </row>
  </sheetData>
  <mergeCells count="34">
    <mergeCell ref="AL7:AN7"/>
    <mergeCell ref="AO7:AO8"/>
    <mergeCell ref="F6:F8"/>
    <mergeCell ref="G6:G8"/>
    <mergeCell ref="BA6:BB7"/>
    <mergeCell ref="BC6:BD7"/>
    <mergeCell ref="N6:O7"/>
    <mergeCell ref="Z7:AA7"/>
    <mergeCell ref="AB7:AC7"/>
    <mergeCell ref="AD7:AE7"/>
    <mergeCell ref="Z6:AE6"/>
    <mergeCell ref="P6:Q7"/>
    <mergeCell ref="R6:S7"/>
    <mergeCell ref="T6:Y6"/>
    <mergeCell ref="T7:U7"/>
    <mergeCell ref="V7:W7"/>
    <mergeCell ref="X7:Y7"/>
    <mergeCell ref="AF6:AK6"/>
    <mergeCell ref="AR7:AT7"/>
    <mergeCell ref="AU7:AW7"/>
    <mergeCell ref="AX7:AZ7"/>
    <mergeCell ref="A3:AK4"/>
    <mergeCell ref="AF7:AG7"/>
    <mergeCell ref="AH7:AI7"/>
    <mergeCell ref="AJ7:AK7"/>
    <mergeCell ref="D6:D8"/>
    <mergeCell ref="A6:A8"/>
    <mergeCell ref="B6:B8"/>
    <mergeCell ref="C6:C8"/>
    <mergeCell ref="J6:K7"/>
    <mergeCell ref="L6:M7"/>
    <mergeCell ref="H6:H8"/>
    <mergeCell ref="I6:I8"/>
    <mergeCell ref="E6:E8"/>
  </mergeCells>
  <pageMargins left="0.23622047244094491" right="0.11811023622047245" top="0.27559055118110237" bottom="0" header="0" footer="0"/>
  <pageSetup paperSize="9" scale="57" firstPageNumber="4294963191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4" sqref="B4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4"/>
  <sheetViews>
    <sheetView zoomScaleNormal="100" workbookViewId="0">
      <pane xSplit="3" ySplit="6" topLeftCell="D28" activePane="bottomRight" state="frozen"/>
      <selection pane="topRight" activeCell="D1" sqref="D1"/>
      <selection pane="bottomLeft" activeCell="A7" sqref="A7"/>
      <selection pane="bottomRight" activeCell="C30" sqref="C30"/>
    </sheetView>
  </sheetViews>
  <sheetFormatPr defaultColWidth="9.140625" defaultRowHeight="12.75"/>
  <cols>
    <col min="1" max="3" width="10.85546875" customWidth="1"/>
    <col min="4" max="4" width="18.85546875" customWidth="1"/>
    <col min="5" max="5" width="12.85546875" customWidth="1"/>
    <col min="6" max="6" width="11.5703125" customWidth="1"/>
    <col min="7" max="7" width="12" customWidth="1"/>
    <col min="8" max="8" width="12.28515625" customWidth="1"/>
    <col min="9" max="9" width="13" customWidth="1"/>
    <col min="10" max="11" width="11" customWidth="1"/>
    <col min="12" max="12" width="13.5703125" customWidth="1"/>
    <col min="13" max="13" width="12.42578125" customWidth="1"/>
    <col min="14" max="15" width="13.140625" customWidth="1"/>
    <col min="16" max="16" width="16.28515625" bestFit="1" customWidth="1"/>
    <col min="17" max="18" width="10.85546875" bestFit="1" customWidth="1"/>
    <col min="21" max="21" width="39" bestFit="1" customWidth="1"/>
  </cols>
  <sheetData>
    <row r="2" spans="1:23" ht="24.75" customHeight="1">
      <c r="A2" s="625" t="s">
        <v>21</v>
      </c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  <c r="M2" s="625"/>
      <c r="N2" s="625"/>
      <c r="O2" s="625"/>
      <c r="P2" s="625"/>
      <c r="Q2" s="301"/>
      <c r="R2" s="301"/>
      <c r="S2" s="301"/>
      <c r="T2" s="301"/>
      <c r="U2" s="301"/>
    </row>
    <row r="3" spans="1:23" ht="12.75" customHeight="1">
      <c r="A3" s="301"/>
      <c r="B3" s="301"/>
      <c r="C3" s="301"/>
      <c r="D3" s="302"/>
      <c r="E3" s="303"/>
      <c r="F3" s="303"/>
      <c r="G3" s="303"/>
      <c r="H3" s="304"/>
      <c r="I3" s="303"/>
      <c r="J3" s="303"/>
      <c r="K3" s="303"/>
      <c r="L3" s="305"/>
      <c r="M3" s="303"/>
      <c r="N3" s="303"/>
      <c r="O3" s="303"/>
      <c r="P3" s="303"/>
      <c r="Q3" s="6"/>
      <c r="R3" s="6"/>
      <c r="S3" s="301"/>
      <c r="T3" s="301"/>
      <c r="U3" s="301"/>
    </row>
    <row r="4" spans="1:23">
      <c r="A4" s="633" t="s">
        <v>8</v>
      </c>
      <c r="B4" s="636" t="s">
        <v>22</v>
      </c>
      <c r="C4" s="636" t="s">
        <v>23</v>
      </c>
      <c r="D4" s="626"/>
      <c r="E4" s="626"/>
      <c r="F4" s="626"/>
      <c r="G4" s="626"/>
      <c r="H4" s="626"/>
      <c r="I4" s="626"/>
      <c r="J4" s="626"/>
      <c r="K4" s="626"/>
      <c r="L4" s="626"/>
      <c r="M4" s="626"/>
      <c r="N4" s="626"/>
      <c r="O4" s="626"/>
      <c r="P4" s="627" t="s">
        <v>184</v>
      </c>
      <c r="Q4" s="628"/>
      <c r="R4" s="629"/>
      <c r="U4" s="362" t="s">
        <v>0</v>
      </c>
    </row>
    <row r="5" spans="1:23" ht="14.25" customHeight="1">
      <c r="A5" s="634"/>
      <c r="B5" s="637"/>
      <c r="C5" s="637"/>
      <c r="D5" s="639" t="s">
        <v>302</v>
      </c>
      <c r="E5" s="640"/>
      <c r="F5" s="640"/>
      <c r="G5" s="641"/>
      <c r="H5" s="642" t="s">
        <v>303</v>
      </c>
      <c r="I5" s="643"/>
      <c r="J5" s="643"/>
      <c r="K5" s="644"/>
      <c r="L5" s="645" t="s">
        <v>302</v>
      </c>
      <c r="M5" s="646"/>
      <c r="N5" s="646"/>
      <c r="O5" s="647"/>
      <c r="P5" s="630"/>
      <c r="Q5" s="631"/>
      <c r="R5" s="632"/>
    </row>
    <row r="6" spans="1:23" ht="14.25" customHeight="1">
      <c r="A6" s="635"/>
      <c r="B6" s="638"/>
      <c r="C6" s="638"/>
      <c r="D6" s="499" t="s">
        <v>24</v>
      </c>
      <c r="E6" s="366" t="s">
        <v>25</v>
      </c>
      <c r="F6" s="367" t="s">
        <v>26</v>
      </c>
      <c r="G6" s="367" t="s">
        <v>27</v>
      </c>
      <c r="H6" s="500" t="s">
        <v>24</v>
      </c>
      <c r="I6" s="368" t="s">
        <v>25</v>
      </c>
      <c r="J6" s="369" t="s">
        <v>26</v>
      </c>
      <c r="K6" s="369" t="s">
        <v>27</v>
      </c>
      <c r="L6" s="501" t="s">
        <v>24</v>
      </c>
      <c r="M6" s="370" t="s">
        <v>25</v>
      </c>
      <c r="N6" s="371" t="s">
        <v>26</v>
      </c>
      <c r="O6" s="371" t="s">
        <v>27</v>
      </c>
      <c r="P6" s="372" t="s">
        <v>25</v>
      </c>
      <c r="Q6" s="373" t="s">
        <v>26</v>
      </c>
      <c r="R6" s="373" t="s">
        <v>27</v>
      </c>
      <c r="T6" s="362"/>
    </row>
    <row r="7" spans="1:23">
      <c r="A7" s="306">
        <f>A8-1</f>
        <v>45838</v>
      </c>
      <c r="B7" s="307">
        <v>0</v>
      </c>
      <c r="C7" s="307">
        <v>0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310"/>
      <c r="Q7" s="99"/>
      <c r="R7" s="99"/>
    </row>
    <row r="8" spans="1:23" ht="15">
      <c r="A8" s="306">
        <f>+Report1!A9</f>
        <v>45839</v>
      </c>
      <c r="B8" s="313">
        <f>+Report1!P9</f>
        <v>36.692</v>
      </c>
      <c r="C8" s="313">
        <f>+Report1!R9</f>
        <v>35.332000000000001</v>
      </c>
      <c r="D8" s="314">
        <f t="shared" ref="D8" si="0">+D7+E8</f>
        <v>4399.9999999996362</v>
      </c>
      <c r="E8" s="314">
        <f>+[3]DailyJul!AH7</f>
        <v>4399.9999999996362</v>
      </c>
      <c r="F8" s="314">
        <f t="shared" ref="F8:F38" si="1">E8/B8</f>
        <v>119.91714815217584</v>
      </c>
      <c r="G8" s="314">
        <f t="shared" ref="G8:G38" si="2">E8/C8</f>
        <v>124.53300124531971</v>
      </c>
      <c r="H8" s="314">
        <f t="shared" ref="H8" si="3">+H7+I8</f>
        <v>7942.53</v>
      </c>
      <c r="I8" s="314">
        <f>+[3]DailyJul!AI7</f>
        <v>7942.53</v>
      </c>
      <c r="J8" s="314">
        <f t="shared" ref="J8:J38" si="4">I8/B8</f>
        <v>216.46489698026818</v>
      </c>
      <c r="K8" s="314">
        <f t="shared" ref="K8:K38" si="5">I8/C8</f>
        <v>224.79706781387975</v>
      </c>
      <c r="L8" s="314">
        <f t="shared" ref="L8" si="6">+L7+M8</f>
        <v>24102.53</v>
      </c>
      <c r="M8" s="314">
        <f>+[3]DailyJul!AJ7</f>
        <v>24102.53</v>
      </c>
      <c r="N8" s="314">
        <f t="shared" ref="N8:N38" si="7">M8/B8</f>
        <v>656.88787746647768</v>
      </c>
      <c r="O8" s="314">
        <f t="shared" ref="O8:O38" si="8">M8/C8</f>
        <v>682.17281784218267</v>
      </c>
      <c r="P8" s="314">
        <f t="shared" ref="P8" si="9">+E8+I8+M8</f>
        <v>36445.059999999634</v>
      </c>
      <c r="Q8" s="7">
        <f t="shared" ref="Q8:Q38" si="10">P8/B8</f>
        <v>993.26992259892165</v>
      </c>
      <c r="R8" s="312">
        <f t="shared" ref="R8:R38" si="11">P8/C8</f>
        <v>1031.5028869013822</v>
      </c>
      <c r="V8" s="375" t="s">
        <v>169</v>
      </c>
      <c r="W8" s="375" t="s">
        <v>170</v>
      </c>
    </row>
    <row r="9" spans="1:23" ht="15">
      <c r="A9" s="306">
        <v>45506</v>
      </c>
      <c r="B9" s="313">
        <f>+Report1!P10</f>
        <v>39.07</v>
      </c>
      <c r="C9" s="313">
        <f>+Report1!R10</f>
        <v>37.323</v>
      </c>
      <c r="D9" s="314">
        <f t="shared" ref="D9" si="12">+D8+E9</f>
        <v>8599.9999999994543</v>
      </c>
      <c r="E9" s="314">
        <f>+[3]DailyJul!AH8</f>
        <v>4199.9999999998181</v>
      </c>
      <c r="F9" s="314">
        <f t="shared" ref="F9" si="13">E9/B9</f>
        <v>107.49936012285175</v>
      </c>
      <c r="G9" s="314">
        <f t="shared" ref="G9" si="14">E9/C9</f>
        <v>112.53114701390076</v>
      </c>
      <c r="H9" s="314">
        <f t="shared" ref="H9" si="15">+H8+I9</f>
        <v>15052.73</v>
      </c>
      <c r="I9" s="314">
        <f>+[3]DailyJul!AI8</f>
        <v>7110.2</v>
      </c>
      <c r="J9" s="314">
        <f t="shared" ref="J9" si="16">I9/B9</f>
        <v>181.98617865369849</v>
      </c>
      <c r="K9" s="314">
        <f t="shared" ref="K9" si="17">I9/C9</f>
        <v>190.50451464244566</v>
      </c>
      <c r="L9" s="314">
        <f t="shared" ref="L9" si="18">+L8+M9</f>
        <v>47372.729999999996</v>
      </c>
      <c r="M9" s="314">
        <f>+[3]DailyJul!AJ8</f>
        <v>23270.2</v>
      </c>
      <c r="N9" s="314">
        <f t="shared" ref="N9" si="19">M9/B9</f>
        <v>595.60276426926032</v>
      </c>
      <c r="O9" s="314">
        <f t="shared" ref="O9" si="20">M9/C9</f>
        <v>623.48149934356832</v>
      </c>
      <c r="P9" s="314">
        <f t="shared" ref="P9" si="21">+E9+I9+M9</f>
        <v>34580.39999999982</v>
      </c>
      <c r="Q9" s="7">
        <f t="shared" ref="Q9" si="22">P9/B9</f>
        <v>885.08830304581056</v>
      </c>
      <c r="R9" s="312">
        <f t="shared" ref="R9" si="23">P9/C9</f>
        <v>926.51716099991472</v>
      </c>
      <c r="V9" s="375" t="s">
        <v>169</v>
      </c>
      <c r="W9" s="375" t="s">
        <v>170</v>
      </c>
    </row>
    <row r="10" spans="1:23" ht="15">
      <c r="A10" s="306">
        <v>45507</v>
      </c>
      <c r="B10" s="313">
        <f>+Report1!P11</f>
        <v>41.875999999999998</v>
      </c>
      <c r="C10" s="313">
        <f>+Report1!R11</f>
        <v>39.783000000000001</v>
      </c>
      <c r="D10" s="314">
        <f t="shared" ref="D10" si="24">+D9+E10</f>
        <v>13099.999999999454</v>
      </c>
      <c r="E10" s="314">
        <f>+[3]DailyJul!AH9</f>
        <v>4500</v>
      </c>
      <c r="F10" s="314">
        <f t="shared" ref="F10" si="25">E10/B10</f>
        <v>107.46012035533481</v>
      </c>
      <c r="G10" s="314">
        <f t="shared" ref="G10" si="26">E10/C10</f>
        <v>113.11364150516552</v>
      </c>
      <c r="H10" s="314">
        <f t="shared" ref="H10" si="27">+H9+I10</f>
        <v>23288.87</v>
      </c>
      <c r="I10" s="314">
        <f>+[3]DailyJul!AI9</f>
        <v>8236.14</v>
      </c>
      <c r="J10" s="314">
        <f t="shared" ref="J10" si="28">I10/B10</f>
        <v>196.67924348075269</v>
      </c>
      <c r="K10" s="314">
        <f t="shared" ref="K10" si="29">I10/C10</f>
        <v>207.02661941030087</v>
      </c>
      <c r="L10" s="314">
        <f t="shared" ref="L10" si="30">+L9+M10</f>
        <v>71768.87</v>
      </c>
      <c r="M10" s="314">
        <f>+[3]DailyJul!AJ9</f>
        <v>24396.14</v>
      </c>
      <c r="N10" s="314">
        <f t="shared" ref="N10" si="31">M10/B10</f>
        <v>582.58047569013274</v>
      </c>
      <c r="O10" s="314">
        <f t="shared" ref="O10" si="32">M10/C10</f>
        <v>613.23027423773965</v>
      </c>
      <c r="P10" s="314">
        <f t="shared" ref="P10" si="33">+E10+I10+M10</f>
        <v>37132.28</v>
      </c>
      <c r="Q10" s="7">
        <f t="shared" ref="Q10" si="34">P10/B10</f>
        <v>886.71983952622031</v>
      </c>
      <c r="R10" s="312">
        <f t="shared" ref="R10" si="35">P10/C10</f>
        <v>933.37053515320611</v>
      </c>
      <c r="V10" s="375" t="s">
        <v>169</v>
      </c>
      <c r="W10" s="375" t="s">
        <v>170</v>
      </c>
    </row>
    <row r="11" spans="1:23" ht="15">
      <c r="A11" s="306">
        <v>45508</v>
      </c>
      <c r="B11" s="313">
        <f>+Report1!P12</f>
        <v>42.341999999999999</v>
      </c>
      <c r="C11" s="313">
        <f>+Report1!R12</f>
        <v>41.905999999999999</v>
      </c>
      <c r="D11" s="314">
        <f t="shared" ref="D11" si="36">+D10+E11</f>
        <v>17500</v>
      </c>
      <c r="E11" s="314">
        <f>+[3]DailyJul!AH10</f>
        <v>4400.0000000005457</v>
      </c>
      <c r="F11" s="314">
        <f t="shared" ref="F11" si="37">E11/B11</f>
        <v>103.91573378679669</v>
      </c>
      <c r="G11" s="314">
        <f t="shared" ref="G11" si="38">E11/C11</f>
        <v>104.99689781894111</v>
      </c>
      <c r="H11" s="314">
        <f t="shared" ref="H11" si="39">+H10+I11</f>
        <v>31803.82</v>
      </c>
      <c r="I11" s="314">
        <f>+[3]DailyJul!AI10</f>
        <v>8514.9500000000007</v>
      </c>
      <c r="J11" s="314">
        <f t="shared" ref="J11" si="40">I11/B11</f>
        <v>201.09938122903975</v>
      </c>
      <c r="K11" s="314">
        <f t="shared" ref="K11" si="41">I11/C11</f>
        <v>203.19166706438222</v>
      </c>
      <c r="L11" s="314">
        <f t="shared" ref="L11" si="42">+L10+M11</f>
        <v>97443.819999999992</v>
      </c>
      <c r="M11" s="314">
        <f>+[3]DailyJul!AJ10</f>
        <v>25674.95</v>
      </c>
      <c r="N11" s="314">
        <f t="shared" ref="N11" si="43">M11/B11</f>
        <v>606.37074299749656</v>
      </c>
      <c r="O11" s="314">
        <f t="shared" ref="O11" si="44">M11/C11</f>
        <v>612.67956855820171</v>
      </c>
      <c r="P11" s="314">
        <f t="shared" ref="P11" si="45">+E11+I11+M11</f>
        <v>38589.900000000547</v>
      </c>
      <c r="Q11" s="7">
        <f t="shared" ref="Q11" si="46">P11/B11</f>
        <v>911.38585801333306</v>
      </c>
      <c r="R11" s="312">
        <f t="shared" ref="R11" si="47">P11/C11</f>
        <v>920.86813344152506</v>
      </c>
      <c r="V11" s="375" t="s">
        <v>169</v>
      </c>
      <c r="W11" s="375" t="s">
        <v>170</v>
      </c>
    </row>
    <row r="12" spans="1:23" ht="15">
      <c r="A12" s="306">
        <v>45509</v>
      </c>
      <c r="B12" s="313">
        <f>+Report1!P13</f>
        <v>43.317999999999998</v>
      </c>
      <c r="C12" s="313">
        <f>+Report1!R13</f>
        <v>41.37</v>
      </c>
      <c r="D12" s="314">
        <f t="shared" ref="D12" si="48">+D11+E12</f>
        <v>22000</v>
      </c>
      <c r="E12" s="314">
        <f>+[3]DailyJul!AH11</f>
        <v>4500</v>
      </c>
      <c r="F12" s="314">
        <f t="shared" ref="F12" si="49">E12/B12</f>
        <v>103.88291241516229</v>
      </c>
      <c r="G12" s="314">
        <f t="shared" ref="G12" si="50">E12/C12</f>
        <v>108.77447425670776</v>
      </c>
      <c r="H12" s="314">
        <f t="shared" ref="H12" si="51">+H11+I12</f>
        <v>40370.229999999996</v>
      </c>
      <c r="I12" s="314">
        <f>+[3]DailyJul!AI11</f>
        <v>8566.41</v>
      </c>
      <c r="J12" s="314">
        <f t="shared" ref="J12" si="52">I12/B12</f>
        <v>197.75635994274899</v>
      </c>
      <c r="K12" s="314">
        <f t="shared" ref="K12" si="53">I12/C12</f>
        <v>207.06816533720087</v>
      </c>
      <c r="L12" s="314">
        <f t="shared" ref="L12" si="54">+L11+M12</f>
        <v>124170.23</v>
      </c>
      <c r="M12" s="314">
        <f>+[3]DailyJul!AJ11</f>
        <v>26726.41</v>
      </c>
      <c r="N12" s="314">
        <f t="shared" ref="N12" si="55">M12/B12</f>
        <v>616.98162426704835</v>
      </c>
      <c r="O12" s="314">
        <f t="shared" ref="O12" si="56">M12/C12</f>
        <v>646.0335992264927</v>
      </c>
      <c r="P12" s="314">
        <f t="shared" ref="P12" si="57">+E12+I12+M12</f>
        <v>39792.82</v>
      </c>
      <c r="Q12" s="7">
        <f t="shared" ref="Q12" si="58">P12/B12</f>
        <v>918.62089662495964</v>
      </c>
      <c r="R12" s="312">
        <f t="shared" ref="R12" si="59">P12/C12</f>
        <v>961.87623882040134</v>
      </c>
      <c r="V12" s="375" t="s">
        <v>169</v>
      </c>
      <c r="W12" s="375" t="s">
        <v>170</v>
      </c>
    </row>
    <row r="13" spans="1:23" ht="15">
      <c r="A13" s="306">
        <v>45510</v>
      </c>
      <c r="B13" s="313">
        <f>+Report1!P14</f>
        <v>43.295999999999999</v>
      </c>
      <c r="C13" s="313">
        <f>+Report1!R14</f>
        <v>42.210999999999999</v>
      </c>
      <c r="D13" s="314">
        <f t="shared" ref="D13" si="60">+D12+E13</f>
        <v>26599.999999999454</v>
      </c>
      <c r="E13" s="314">
        <f>+[3]DailyJul!AH12</f>
        <v>4599.9999999994543</v>
      </c>
      <c r="F13" s="314">
        <f t="shared" ref="F13" si="61">E13/B13</f>
        <v>106.24538063561194</v>
      </c>
      <c r="G13" s="314">
        <f t="shared" ref="G13" si="62">E13/C13</f>
        <v>108.97633318328053</v>
      </c>
      <c r="H13" s="314">
        <f t="shared" ref="H13" si="63">+H12+I13</f>
        <v>48195.56</v>
      </c>
      <c r="I13" s="314">
        <f>+[3]DailyJul!AI12</f>
        <v>7825.33</v>
      </c>
      <c r="J13" s="314">
        <f t="shared" ref="J13" si="64">I13/B13</f>
        <v>180.74025314116778</v>
      </c>
      <c r="K13" s="314">
        <f t="shared" ref="K13" si="65">I13/C13</f>
        <v>185.38603681504821</v>
      </c>
      <c r="L13" s="314">
        <f t="shared" ref="L13" si="66">+L12+M13</f>
        <v>149155.56</v>
      </c>
      <c r="M13" s="314">
        <f>+[3]DailyJul!AJ12</f>
        <v>24985.33</v>
      </c>
      <c r="N13" s="314">
        <f t="shared" ref="N13" si="67">M13/B13</f>
        <v>577.08171655580202</v>
      </c>
      <c r="O13" s="314">
        <f t="shared" ref="O13" si="68">M13/C13</f>
        <v>591.91514060316035</v>
      </c>
      <c r="P13" s="314">
        <f t="shared" ref="P13" si="69">+E13+I13+M13</f>
        <v>37410.659999999458</v>
      </c>
      <c r="Q13" s="7">
        <f t="shared" ref="Q13" si="70">P13/B13</f>
        <v>864.06735033258167</v>
      </c>
      <c r="R13" s="312">
        <f t="shared" ref="R13" si="71">P13/C13</f>
        <v>886.27751060148921</v>
      </c>
      <c r="V13" s="375" t="s">
        <v>169</v>
      </c>
      <c r="W13" s="375" t="s">
        <v>170</v>
      </c>
    </row>
    <row r="14" spans="1:23" ht="15">
      <c r="A14" s="306">
        <f t="shared" ref="A14:A38" si="72">+A13+1</f>
        <v>45511</v>
      </c>
      <c r="B14" s="313">
        <f>+Report1!P15</f>
        <v>42.278999999999996</v>
      </c>
      <c r="C14" s="313">
        <f>+Report1!R15</f>
        <v>40.351999999999997</v>
      </c>
      <c r="D14" s="314">
        <f t="shared" ref="D14" si="73">+D13+E14</f>
        <v>30699.999999999818</v>
      </c>
      <c r="E14" s="314">
        <f>+[3]DailyJul!AH13</f>
        <v>4100.0000000003638</v>
      </c>
      <c r="F14" s="314">
        <f t="shared" ref="F14" si="74">E14/B14</f>
        <v>96.974857494272911</v>
      </c>
      <c r="G14" s="314">
        <f t="shared" ref="G14" si="75">E14/C14</f>
        <v>101.6058683584547</v>
      </c>
      <c r="H14" s="314">
        <f t="shared" ref="H14" si="76">+H13+I14</f>
        <v>56615.869999999995</v>
      </c>
      <c r="I14" s="314">
        <f>+[3]DailyJul!AI13</f>
        <v>8420.31</v>
      </c>
      <c r="J14" s="314">
        <f t="shared" ref="J14" si="77">I14/B14</f>
        <v>199.16057617256794</v>
      </c>
      <c r="K14" s="314">
        <f t="shared" ref="K14" si="78">I14/C14</f>
        <v>208.67144131641555</v>
      </c>
      <c r="L14" s="314">
        <f t="shared" ref="L14" si="79">+L13+M14</f>
        <v>174735.87</v>
      </c>
      <c r="M14" s="314">
        <f>+[3]DailyJul!AJ13</f>
        <v>25580.31</v>
      </c>
      <c r="N14" s="314">
        <f t="shared" ref="N14" si="80">M14/B14</f>
        <v>605.03583339246438</v>
      </c>
      <c r="O14" s="314">
        <f t="shared" ref="O14" si="81">M14/C14</f>
        <v>633.92917327517853</v>
      </c>
      <c r="P14" s="314">
        <f t="shared" ref="P14" si="82">+E14+I14+M14</f>
        <v>38100.620000000366</v>
      </c>
      <c r="Q14" s="7">
        <f t="shared" ref="Q14" si="83">P14/B14</f>
        <v>901.17126705930536</v>
      </c>
      <c r="R14" s="312">
        <f t="shared" ref="R14" si="84">P14/C14</f>
        <v>944.20648295004878</v>
      </c>
      <c r="V14" s="375" t="s">
        <v>169</v>
      </c>
      <c r="W14" s="375" t="s">
        <v>170</v>
      </c>
    </row>
    <row r="15" spans="1:23" ht="15">
      <c r="A15" s="306">
        <f t="shared" si="72"/>
        <v>45512</v>
      </c>
      <c r="B15" s="313">
        <f>+Report1!P16</f>
        <v>42.275000000000006</v>
      </c>
      <c r="C15" s="313">
        <f>+Report1!R16</f>
        <v>38.69</v>
      </c>
      <c r="D15" s="314">
        <f t="shared" ref="D15" si="85">+D14+E15</f>
        <v>34500</v>
      </c>
      <c r="E15" s="314">
        <f>+[3]DailyJul!AH14</f>
        <v>3800.0000000001819</v>
      </c>
      <c r="F15" s="314">
        <f t="shared" ref="F15" si="86">E15/B15</f>
        <v>89.887640449442486</v>
      </c>
      <c r="G15" s="314">
        <f t="shared" ref="G15" si="87">E15/C15</f>
        <v>98.216593435000831</v>
      </c>
      <c r="H15" s="314">
        <f t="shared" ref="H15" si="88">+H14+I15</f>
        <v>64495.179999999993</v>
      </c>
      <c r="I15" s="314">
        <f>+[3]DailyJul!AI14</f>
        <v>7879.31</v>
      </c>
      <c r="J15" s="314">
        <f t="shared" ref="J15" si="89">I15/B15</f>
        <v>186.38225901833232</v>
      </c>
      <c r="K15" s="314">
        <f t="shared" ref="K15" si="90">I15/C15</f>
        <v>203.65236495218406</v>
      </c>
      <c r="L15" s="314">
        <f t="shared" ref="L15" si="91">+L14+M15</f>
        <v>199775.18</v>
      </c>
      <c r="M15" s="314">
        <f>+[3]DailyJul!AJ14</f>
        <v>25039.31</v>
      </c>
      <c r="N15" s="314">
        <f t="shared" ref="N15" si="92">M15/B15</f>
        <v>592.29591957421644</v>
      </c>
      <c r="O15" s="314">
        <f t="shared" ref="O15" si="93">M15/C15</f>
        <v>647.17782372706131</v>
      </c>
      <c r="P15" s="314">
        <f t="shared" ref="P15" si="94">+E15+I15+M15</f>
        <v>36718.620000000185</v>
      </c>
      <c r="Q15" s="7">
        <f t="shared" ref="Q15" si="95">P15/B15</f>
        <v>868.56581904199129</v>
      </c>
      <c r="R15" s="312">
        <f t="shared" ref="R15" si="96">P15/C15</f>
        <v>949.04678211424618</v>
      </c>
      <c r="V15" s="375" t="s">
        <v>169</v>
      </c>
      <c r="W15" s="375" t="s">
        <v>170</v>
      </c>
    </row>
    <row r="16" spans="1:23" ht="15">
      <c r="A16" s="306">
        <f t="shared" si="72"/>
        <v>45513</v>
      </c>
      <c r="B16" s="313">
        <f>+Report1!P17</f>
        <v>44.096000000000004</v>
      </c>
      <c r="C16" s="313">
        <f>+Report1!R17</f>
        <v>45.328000000000003</v>
      </c>
      <c r="D16" s="314">
        <f t="shared" ref="D16" si="97">+D15+E16</f>
        <v>38500</v>
      </c>
      <c r="E16" s="314">
        <f>+[3]DailyJul!AH15</f>
        <v>4000</v>
      </c>
      <c r="F16" s="314">
        <f t="shared" ref="F16" si="98">E16/B16</f>
        <v>90.711175616835988</v>
      </c>
      <c r="G16" s="314">
        <f t="shared" ref="G16" si="99">E16/C16</f>
        <v>88.245675961877865</v>
      </c>
      <c r="H16" s="314">
        <f t="shared" ref="H16" si="100">+H15+I16</f>
        <v>72316.909999999989</v>
      </c>
      <c r="I16" s="314">
        <f>+[3]DailyJul!AI15</f>
        <v>7821.73</v>
      </c>
      <c r="J16" s="314">
        <f t="shared" ref="J16" si="101">I16/B16</f>
        <v>177.37958091436863</v>
      </c>
      <c r="K16" s="314">
        <f t="shared" ref="K16" si="102">I16/C16</f>
        <v>172.55846276032472</v>
      </c>
      <c r="L16" s="314">
        <f t="shared" ref="L16" si="103">+L15+M16</f>
        <v>224756.91</v>
      </c>
      <c r="M16" s="314">
        <f>+[3]DailyJul!AJ15</f>
        <v>24981.73</v>
      </c>
      <c r="N16" s="314">
        <f t="shared" ref="N16" si="104">M16/B16</f>
        <v>566.53052431059496</v>
      </c>
      <c r="O16" s="314">
        <f t="shared" ref="O16" si="105">M16/C16</f>
        <v>551.13241263678071</v>
      </c>
      <c r="P16" s="314">
        <f t="shared" ref="P16" si="106">+E16+I16+M16</f>
        <v>36803.46</v>
      </c>
      <c r="Q16" s="7">
        <f t="shared" ref="Q16" si="107">P16/B16</f>
        <v>834.6212808417996</v>
      </c>
      <c r="R16" s="312">
        <f t="shared" ref="R16" si="108">P16/C16</f>
        <v>811.93655135898337</v>
      </c>
      <c r="V16" s="375" t="s">
        <v>169</v>
      </c>
      <c r="W16" s="375" t="s">
        <v>170</v>
      </c>
    </row>
    <row r="17" spans="1:23" ht="15">
      <c r="A17" s="306">
        <f t="shared" si="72"/>
        <v>45514</v>
      </c>
      <c r="B17" s="313">
        <f>+Report1!P18</f>
        <v>42.021999999999998</v>
      </c>
      <c r="C17" s="313">
        <f>+Report1!R18</f>
        <v>43.484999999999999</v>
      </c>
      <c r="D17" s="314">
        <f t="shared" ref="D17" si="109">+D16+E17</f>
        <v>42699.999999998909</v>
      </c>
      <c r="E17" s="314">
        <f>+[3]DailyJul!AH16</f>
        <v>4199.9999999989086</v>
      </c>
      <c r="F17" s="314">
        <f t="shared" ref="F17" si="110">E17/B17</f>
        <v>99.947646470870225</v>
      </c>
      <c r="G17" s="314">
        <f t="shared" ref="G17" si="111">E17/C17</f>
        <v>96.585029320430237</v>
      </c>
      <c r="H17" s="314">
        <f t="shared" ref="H17" si="112">+H16+I17</f>
        <v>80331.819999999992</v>
      </c>
      <c r="I17" s="314">
        <f>+[3]DailyJul!AI16</f>
        <v>8014.91</v>
      </c>
      <c r="J17" s="314">
        <f t="shared" ref="J17" si="113">I17/B17</f>
        <v>190.7312836133454</v>
      </c>
      <c r="K17" s="314">
        <f t="shared" ref="K17" si="114">I17/C17</f>
        <v>184.31436127400252</v>
      </c>
      <c r="L17" s="314">
        <f t="shared" ref="L17" si="115">+L16+M17</f>
        <v>248931.82</v>
      </c>
      <c r="M17" s="314">
        <f>+[3]DailyJul!AJ16</f>
        <v>24174.91</v>
      </c>
      <c r="N17" s="314">
        <f t="shared" ref="N17" si="116">M17/B17</f>
        <v>575.29175193946026</v>
      </c>
      <c r="O17" s="314">
        <f t="shared" ref="O17" si="117">M17/C17</f>
        <v>555.93675980223065</v>
      </c>
      <c r="P17" s="314">
        <f t="shared" ref="P17" si="118">+E17+I17+M17</f>
        <v>36389.819999998908</v>
      </c>
      <c r="Q17" s="7">
        <f t="shared" ref="Q17" si="119">P17/B17</f>
        <v>865.97068202367598</v>
      </c>
      <c r="R17" s="312">
        <f t="shared" ref="R17" si="120">P17/C17</f>
        <v>836.83615039666347</v>
      </c>
      <c r="V17" s="375" t="s">
        <v>169</v>
      </c>
      <c r="W17" s="375" t="s">
        <v>170</v>
      </c>
    </row>
    <row r="18" spans="1:23" ht="15">
      <c r="A18" s="306">
        <f t="shared" si="72"/>
        <v>45515</v>
      </c>
      <c r="B18" s="313">
        <f>+Report1!P19</f>
        <v>41.667999999999999</v>
      </c>
      <c r="C18" s="313">
        <f>+Report1!R19</f>
        <v>43.048000000000002</v>
      </c>
      <c r="D18" s="314">
        <f t="shared" ref="D18" si="121">+D17+E18</f>
        <v>46500</v>
      </c>
      <c r="E18" s="314">
        <f>+[3]DailyJul!AH17</f>
        <v>3800.0000000010914</v>
      </c>
      <c r="F18" s="314">
        <f t="shared" ref="F18" si="122">E18/B18</f>
        <v>91.197081693412002</v>
      </c>
      <c r="G18" s="314">
        <f t="shared" ref="G18" si="123">E18/C18</f>
        <v>88.273555101307636</v>
      </c>
      <c r="H18" s="314">
        <f t="shared" ref="H18" si="124">+H17+I18</f>
        <v>88656.87</v>
      </c>
      <c r="I18" s="314">
        <f>+[3]DailyJul!AI17</f>
        <v>8325.0499999999993</v>
      </c>
      <c r="J18" s="314">
        <f t="shared" ref="J18" si="125">I18/B18</f>
        <v>199.79480656618986</v>
      </c>
      <c r="K18" s="314">
        <f t="shared" ref="K18" si="126">I18/C18</f>
        <v>193.38993681471842</v>
      </c>
      <c r="L18" s="314">
        <f t="shared" ref="L18" si="127">+L17+M18</f>
        <v>274416.87</v>
      </c>
      <c r="M18" s="314">
        <f>+[3]DailyJul!AJ17</f>
        <v>25485.05</v>
      </c>
      <c r="N18" s="314">
        <f t="shared" ref="N18" si="128">M18/B18</f>
        <v>611.62162810790051</v>
      </c>
      <c r="O18" s="314">
        <f t="shared" ref="O18" si="129">M18/C18</f>
        <v>592.01472774577212</v>
      </c>
      <c r="P18" s="314">
        <f t="shared" ref="P18" si="130">+E18+I18+M18</f>
        <v>37610.10000000109</v>
      </c>
      <c r="Q18" s="7">
        <f t="shared" ref="Q18" si="131">P18/B18</f>
        <v>902.61351636750237</v>
      </c>
      <c r="R18" s="312">
        <f t="shared" ref="R18" si="132">P18/C18</f>
        <v>873.67821966179815</v>
      </c>
      <c r="V18" s="375" t="s">
        <v>169</v>
      </c>
      <c r="W18" s="375" t="s">
        <v>170</v>
      </c>
    </row>
    <row r="19" spans="1:23" ht="15">
      <c r="A19" s="306">
        <f t="shared" si="72"/>
        <v>45516</v>
      </c>
      <c r="B19" s="313">
        <f>+Report1!P20</f>
        <v>46.683999999999997</v>
      </c>
      <c r="C19" s="313">
        <f>+Report1!R20</f>
        <v>43.52</v>
      </c>
      <c r="D19" s="314">
        <f t="shared" ref="D19" si="133">+D18+E19</f>
        <v>50199.999999998909</v>
      </c>
      <c r="E19" s="314">
        <f>+[3]DailyJul!AH18</f>
        <v>3699.9999999989086</v>
      </c>
      <c r="F19" s="314">
        <f t="shared" ref="F19" si="134">E19/B19</f>
        <v>79.25627624023025</v>
      </c>
      <c r="G19" s="314">
        <f t="shared" ref="G19" si="135">E19/C19</f>
        <v>85.018382352916092</v>
      </c>
      <c r="H19" s="314">
        <f t="shared" ref="H19" si="136">+H18+I19</f>
        <v>96873.079999999987</v>
      </c>
      <c r="I19" s="314">
        <f>+[3]DailyJul!AI18</f>
        <v>8216.2099999999991</v>
      </c>
      <c r="J19" s="314">
        <f t="shared" ref="J19" si="137">I19/B19</f>
        <v>175.99627281295517</v>
      </c>
      <c r="K19" s="314">
        <f t="shared" ref="K19" si="138">I19/C19</f>
        <v>188.79159007352939</v>
      </c>
      <c r="L19" s="314">
        <f t="shared" ref="L19" si="139">+L18+M19</f>
        <v>299793.08</v>
      </c>
      <c r="M19" s="314">
        <f>+[3]DailyJul!AJ18</f>
        <v>25376.21</v>
      </c>
      <c r="N19" s="314">
        <f t="shared" ref="N19" si="140">M19/B19</f>
        <v>543.57402964613141</v>
      </c>
      <c r="O19" s="314">
        <f t="shared" ref="O19" si="141">M19/C19</f>
        <v>583.09306066176464</v>
      </c>
      <c r="P19" s="314">
        <f t="shared" ref="P19" si="142">+E19+I19+M19</f>
        <v>37292.419999998907</v>
      </c>
      <c r="Q19" s="7">
        <f t="shared" ref="Q19" si="143">P19/B19</f>
        <v>798.82657869931688</v>
      </c>
      <c r="R19" s="312">
        <f t="shared" ref="R19" si="144">P19/C19</f>
        <v>856.90303308821012</v>
      </c>
      <c r="V19" s="375" t="s">
        <v>169</v>
      </c>
      <c r="W19" s="375" t="s">
        <v>170</v>
      </c>
    </row>
    <row r="20" spans="1:23" ht="15">
      <c r="A20" s="306">
        <f t="shared" si="72"/>
        <v>45517</v>
      </c>
      <c r="B20" s="313">
        <f>+Report1!P21</f>
        <v>40.834000000000003</v>
      </c>
      <c r="C20" s="313">
        <f>+Report1!R21</f>
        <v>39.738</v>
      </c>
      <c r="D20" s="314">
        <f t="shared" ref="D20" si="145">+D19+E20</f>
        <v>54000</v>
      </c>
      <c r="E20" s="314">
        <f>+[3]DailyJul!AH19</f>
        <v>3800.0000000010914</v>
      </c>
      <c r="F20" s="314">
        <f t="shared" ref="F20" si="146">E20/B20</f>
        <v>93.059705147697784</v>
      </c>
      <c r="G20" s="314">
        <f t="shared" ref="G20" si="147">E20/C20</f>
        <v>95.626352609620298</v>
      </c>
      <c r="H20" s="314">
        <f t="shared" ref="H20" si="148">+H19+I20</f>
        <v>104813.20999999999</v>
      </c>
      <c r="I20" s="314">
        <f>+[3]DailyJul!AI19</f>
        <v>7940.13</v>
      </c>
      <c r="J20" s="314">
        <f t="shared" ref="J20" si="149">I20/B20</f>
        <v>194.44898858794141</v>
      </c>
      <c r="K20" s="314">
        <f t="shared" ref="K20" si="150">I20/C20</f>
        <v>199.81201872263324</v>
      </c>
      <c r="L20" s="314">
        <f t="shared" ref="L20" si="151">+L19+M20</f>
        <v>322893.21000000002</v>
      </c>
      <c r="M20" s="314">
        <f>+[3]DailyJul!AJ19</f>
        <v>23100.13</v>
      </c>
      <c r="N20" s="314">
        <f t="shared" ref="N20" si="152">M20/B20</f>
        <v>565.70823333496594</v>
      </c>
      <c r="O20" s="314">
        <f t="shared" ref="O20" si="153">M20/C20</f>
        <v>581.31083597564043</v>
      </c>
      <c r="P20" s="314">
        <f t="shared" ref="P20" si="154">+E20+I20+M20</f>
        <v>34840.260000001093</v>
      </c>
      <c r="Q20" s="7">
        <f t="shared" ref="Q20" si="155">P20/B20</f>
        <v>853.21692707060515</v>
      </c>
      <c r="R20" s="312">
        <f t="shared" ref="R20" si="156">P20/C20</f>
        <v>876.74920730789404</v>
      </c>
      <c r="V20" s="375" t="s">
        <v>169</v>
      </c>
      <c r="W20" s="375" t="s">
        <v>170</v>
      </c>
    </row>
    <row r="21" spans="1:23" ht="15">
      <c r="A21" s="306">
        <f t="shared" si="72"/>
        <v>45518</v>
      </c>
      <c r="B21" s="313">
        <f>+Report1!P22</f>
        <v>12.348000000000001</v>
      </c>
      <c r="C21" s="313">
        <f>+Report1!R22</f>
        <v>10.648999999999999</v>
      </c>
      <c r="D21" s="314">
        <f t="shared" ref="D21" si="157">+D20+E21</f>
        <v>56299.999999999272</v>
      </c>
      <c r="E21" s="314">
        <f>+[3]DailyJul!AH20</f>
        <v>2299.9999999992724</v>
      </c>
      <c r="F21" s="314">
        <f t="shared" ref="F21" si="158">E21/B21</f>
        <v>186.26498218329058</v>
      </c>
      <c r="G21" s="314">
        <f t="shared" ref="G21" si="159">E21/C21</f>
        <v>215.98272138222111</v>
      </c>
      <c r="H21" s="314">
        <f t="shared" ref="H21" si="160">+H20+I21</f>
        <v>107653.03</v>
      </c>
      <c r="I21" s="314">
        <f>+[3]DailyJul!AI20</f>
        <v>2839.82</v>
      </c>
      <c r="J21" s="314">
        <f t="shared" ref="J21" si="161">I21/B21</f>
        <v>229.98218334953029</v>
      </c>
      <c r="K21" s="314">
        <f t="shared" ref="K21" si="162">I21/C21</f>
        <v>266.67480514602312</v>
      </c>
      <c r="L21" s="314">
        <f t="shared" ref="L21" si="163">+L20+M21</f>
        <v>333893.03000000003</v>
      </c>
      <c r="M21" s="314">
        <f>+[3]DailyJul!AJ20</f>
        <v>10999.82</v>
      </c>
      <c r="N21" s="314">
        <f t="shared" ref="N21" si="164">M21/B21</f>
        <v>890.81794622610937</v>
      </c>
      <c r="O21" s="314">
        <f t="shared" ref="O21" si="165">M21/C21</f>
        <v>1032.9439383979718</v>
      </c>
      <c r="P21" s="314">
        <f t="shared" ref="P21" si="166">+E21+I21+M21</f>
        <v>16139.639999999272</v>
      </c>
      <c r="Q21" s="7">
        <f t="shared" ref="Q21" si="167">P21/B21</f>
        <v>1307.0651117589302</v>
      </c>
      <c r="R21" s="312">
        <f t="shared" ref="R21" si="168">P21/C21</f>
        <v>1515.6014649262158</v>
      </c>
      <c r="V21" s="375" t="s">
        <v>169</v>
      </c>
      <c r="W21" s="375" t="s">
        <v>170</v>
      </c>
    </row>
    <row r="22" spans="1:23" ht="15">
      <c r="A22" s="306">
        <f t="shared" si="72"/>
        <v>45519</v>
      </c>
      <c r="B22" s="313">
        <f>+Report1!P23</f>
        <v>43.017000000000003</v>
      </c>
      <c r="C22" s="313">
        <f>+Report1!R23</f>
        <v>40.225999999999999</v>
      </c>
      <c r="D22" s="314">
        <f t="shared" ref="D22" si="169">+D21+E22</f>
        <v>60600.000000000364</v>
      </c>
      <c r="E22" s="314">
        <f>+[3]DailyJul!AH21</f>
        <v>4300.0000000010914</v>
      </c>
      <c r="F22" s="314">
        <f t="shared" ref="F22" si="170">E22/B22</f>
        <v>99.960480740197852</v>
      </c>
      <c r="G22" s="314">
        <f t="shared" ref="G22" si="171">E22/C22</f>
        <v>106.89603738878067</v>
      </c>
      <c r="H22" s="314">
        <f t="shared" ref="H22" si="172">+H21+I22</f>
        <v>114688.76</v>
      </c>
      <c r="I22" s="314">
        <f>+[3]DailyJul!AI21</f>
        <v>7035.73</v>
      </c>
      <c r="J22" s="314">
        <f t="shared" ref="J22" si="173">I22/B22</f>
        <v>163.55696585071016</v>
      </c>
      <c r="K22" s="314">
        <f t="shared" ref="K22" si="174">I22/C22</f>
        <v>174.90503654352906</v>
      </c>
      <c r="L22" s="314">
        <f t="shared" ref="L22" si="175">+L21+M22</f>
        <v>359088.76</v>
      </c>
      <c r="M22" s="314">
        <f>+[3]DailyJul!AJ21</f>
        <v>25195.73</v>
      </c>
      <c r="N22" s="314">
        <f t="shared" ref="N22" si="176">M22/B22</f>
        <v>585.71564730222929</v>
      </c>
      <c r="O22" s="314">
        <f t="shared" ref="O22" si="177">M22/C22</f>
        <v>626.35434793417198</v>
      </c>
      <c r="P22" s="314">
        <f t="shared" ref="P22" si="178">+E22+I22+M22</f>
        <v>36531.460000001091</v>
      </c>
      <c r="Q22" s="7">
        <f t="shared" ref="Q22" si="179">P22/B22</f>
        <v>849.23309389313727</v>
      </c>
      <c r="R22" s="312">
        <f t="shared" ref="R22" si="180">P22/C22</f>
        <v>908.15542186648167</v>
      </c>
      <c r="V22" s="375" t="s">
        <v>169</v>
      </c>
      <c r="W22" s="375" t="s">
        <v>170</v>
      </c>
    </row>
    <row r="23" spans="1:23" ht="15">
      <c r="A23" s="306">
        <f t="shared" si="72"/>
        <v>45520</v>
      </c>
      <c r="B23" s="313">
        <f>+Report1!P24</f>
        <v>43.494</v>
      </c>
      <c r="C23" s="313">
        <f>+Report1!R24</f>
        <v>42.908999999999999</v>
      </c>
      <c r="D23" s="314">
        <f t="shared" ref="D23" si="181">+D22+E23</f>
        <v>64699.999999998909</v>
      </c>
      <c r="E23" s="314">
        <f>+[3]DailyJul!AH22</f>
        <v>4099.9999999985448</v>
      </c>
      <c r="F23" s="314">
        <f t="shared" ref="F23" si="182">E23/B23</f>
        <v>94.26587575294397</v>
      </c>
      <c r="G23" s="314">
        <f t="shared" ref="G23" si="183">E23/C23</f>
        <v>95.551049896258249</v>
      </c>
      <c r="H23" s="314">
        <f t="shared" ref="H23" si="184">+H22+I23</f>
        <v>122895.39</v>
      </c>
      <c r="I23" s="314">
        <f>+[3]DailyJul!AI22</f>
        <v>8206.6299999999992</v>
      </c>
      <c r="J23" s="314">
        <f t="shared" ref="J23" si="185">I23/B23</f>
        <v>188.6841863245505</v>
      </c>
      <c r="K23" s="314">
        <f t="shared" ref="K23" si="186">I23/C23</f>
        <v>191.25661283180682</v>
      </c>
      <c r="L23" s="314">
        <f t="shared" ref="L23" si="187">+L22+M23</f>
        <v>384455.39</v>
      </c>
      <c r="M23" s="314">
        <f>+[3]DailyJul!AJ22</f>
        <v>25366.63</v>
      </c>
      <c r="N23" s="314">
        <f t="shared" ref="N23" si="188">M23/B23</f>
        <v>583.2213638662804</v>
      </c>
      <c r="O23" s="314">
        <f t="shared" ref="O23" si="189">M23/C23</f>
        <v>591.17271434897111</v>
      </c>
      <c r="P23" s="314">
        <f t="shared" ref="P23" si="190">+E23+I23+M23</f>
        <v>37673.259999998547</v>
      </c>
      <c r="Q23" s="7">
        <f t="shared" ref="Q23" si="191">P23/B23</f>
        <v>866.17142594377492</v>
      </c>
      <c r="R23" s="312">
        <f t="shared" ref="R23" si="192">P23/C23</f>
        <v>877.98037707703622</v>
      </c>
      <c r="V23" s="375" t="s">
        <v>169</v>
      </c>
      <c r="W23" s="375" t="s">
        <v>170</v>
      </c>
    </row>
    <row r="24" spans="1:23" ht="15">
      <c r="A24" s="306">
        <f t="shared" si="72"/>
        <v>45521</v>
      </c>
      <c r="B24" s="313">
        <f>+Report1!P25</f>
        <v>45.206000000000003</v>
      </c>
      <c r="C24" s="313">
        <f>+Report1!R25</f>
        <v>43.463000000000001</v>
      </c>
      <c r="D24" s="314">
        <f t="shared" ref="D24" si="193">+D23+E24</f>
        <v>68899.999999999636</v>
      </c>
      <c r="E24" s="314">
        <f>+[3]DailyJul!AH23</f>
        <v>4200.0000000007276</v>
      </c>
      <c r="F24" s="314">
        <f t="shared" ref="F24" si="194">E24/B24</f>
        <v>92.908021059167524</v>
      </c>
      <c r="G24" s="314">
        <f t="shared" ref="G24" si="195">E24/C24</f>
        <v>96.633918505412126</v>
      </c>
      <c r="H24" s="314">
        <f t="shared" ref="H24" si="196">+H23+I24</f>
        <v>131048.14</v>
      </c>
      <c r="I24" s="314">
        <f>+[3]DailyJul!AI23</f>
        <v>8152.75</v>
      </c>
      <c r="J24" s="314">
        <f t="shared" ref="J24" si="197">I24/B24</f>
        <v>180.3466354023802</v>
      </c>
      <c r="K24" s="314">
        <f t="shared" ref="K24" si="198">I24/C24</f>
        <v>187.57909026068148</v>
      </c>
      <c r="L24" s="314">
        <f t="shared" ref="L24" si="199">+L23+M24</f>
        <v>409768.14</v>
      </c>
      <c r="M24" s="314">
        <f>+[3]DailyJul!AJ23</f>
        <v>25312.75</v>
      </c>
      <c r="N24" s="314">
        <f t="shared" ref="N24" si="200">M24/B24</f>
        <v>559.94226430119886</v>
      </c>
      <c r="O24" s="314">
        <f t="shared" ref="O24" si="201">M24/C24</f>
        <v>582.39767158272548</v>
      </c>
      <c r="P24" s="314">
        <f t="shared" ref="P24" si="202">+E24+I24+M24</f>
        <v>37665.500000000728</v>
      </c>
      <c r="Q24" s="7">
        <f t="shared" ref="Q24" si="203">P24/B24</f>
        <v>833.19692076274669</v>
      </c>
      <c r="R24" s="312">
        <f t="shared" ref="R24" si="204">P24/C24</f>
        <v>866.61068034881919</v>
      </c>
      <c r="V24" s="375" t="s">
        <v>169</v>
      </c>
      <c r="W24" s="375" t="s">
        <v>170</v>
      </c>
    </row>
    <row r="25" spans="1:23" ht="15">
      <c r="A25" s="306">
        <f t="shared" si="72"/>
        <v>45522</v>
      </c>
      <c r="B25" s="313">
        <f>+Report1!P26</f>
        <v>45.74</v>
      </c>
      <c r="C25" s="313">
        <f>+Report1!R26</f>
        <v>45.875999999999998</v>
      </c>
      <c r="D25" s="314">
        <f t="shared" ref="D25" si="205">+D24+E25</f>
        <v>72899.999999999636</v>
      </c>
      <c r="E25" s="314">
        <f>+[3]DailyJul!AH24</f>
        <v>4000</v>
      </c>
      <c r="F25" s="314">
        <f t="shared" ref="F25" si="206">E25/B25</f>
        <v>87.450808919982506</v>
      </c>
      <c r="G25" s="314">
        <f t="shared" ref="G25" si="207">E25/C25</f>
        <v>87.191559857005842</v>
      </c>
      <c r="H25" s="314">
        <f t="shared" ref="H25" si="208">+H24+I25</f>
        <v>138780.51</v>
      </c>
      <c r="I25" s="314">
        <f>+[3]DailyJul!AI24</f>
        <v>7732.37</v>
      </c>
      <c r="J25" s="314">
        <f t="shared" ref="J25" si="209">I25/B25</f>
        <v>169.05050284215127</v>
      </c>
      <c r="K25" s="314">
        <f t="shared" ref="K25" si="210">I25/C25</f>
        <v>168.54935042287906</v>
      </c>
      <c r="L25" s="314">
        <f t="shared" ref="L25" si="211">+L24+M25</f>
        <v>434660.51</v>
      </c>
      <c r="M25" s="314">
        <f>+[3]DailyJul!AJ24</f>
        <v>24892.37</v>
      </c>
      <c r="N25" s="314">
        <f t="shared" ref="N25" si="212">M25/B25</f>
        <v>544.21447310887618</v>
      </c>
      <c r="O25" s="314">
        <f t="shared" ref="O25" si="213">M25/C25</f>
        <v>542.6011422094341</v>
      </c>
      <c r="P25" s="314">
        <f t="shared" ref="P25" si="214">+E25+I25+M25</f>
        <v>36624.74</v>
      </c>
      <c r="Q25" s="7">
        <f t="shared" ref="Q25" si="215">P25/B25</f>
        <v>800.71578487100999</v>
      </c>
      <c r="R25" s="312">
        <f t="shared" ref="R25" si="216">P25/C25</f>
        <v>798.34205248931903</v>
      </c>
      <c r="V25" s="375" t="s">
        <v>169</v>
      </c>
      <c r="W25" s="375" t="s">
        <v>170</v>
      </c>
    </row>
    <row r="26" spans="1:23" ht="15">
      <c r="A26" s="306">
        <f t="shared" si="72"/>
        <v>45523</v>
      </c>
      <c r="B26" s="313">
        <f>+Report1!P27</f>
        <v>46.280999999999999</v>
      </c>
      <c r="C26" s="313">
        <f>+Report1!R27</f>
        <v>46.088000000000001</v>
      </c>
      <c r="D26" s="314">
        <f t="shared" ref="D26" si="217">+D25+E26</f>
        <v>77100.000000000364</v>
      </c>
      <c r="E26" s="314">
        <f>+[3]DailyJul!AH25</f>
        <v>4200.0000000007276</v>
      </c>
      <c r="F26" s="314">
        <f t="shared" ref="F26" si="218">E26/B26</f>
        <v>90.749983794661475</v>
      </c>
      <c r="G26" s="314">
        <f t="shared" ref="G26" si="219">E26/C26</f>
        <v>91.130012150684067</v>
      </c>
      <c r="H26" s="314">
        <f t="shared" ref="H26" si="220">+H25+I26</f>
        <v>146943.07</v>
      </c>
      <c r="I26" s="314">
        <f>+[3]DailyJul!AI25</f>
        <v>8162.56</v>
      </c>
      <c r="J26" s="314">
        <f t="shared" ref="J26" si="221">I26/B26</f>
        <v>176.36956850543422</v>
      </c>
      <c r="K26" s="314">
        <f t="shared" ref="K26" si="222">I26/C26</f>
        <v>177.10814094775213</v>
      </c>
      <c r="L26" s="314">
        <f t="shared" ref="L26" si="223">+L25+M26</f>
        <v>461983.07</v>
      </c>
      <c r="M26" s="314">
        <f>+[3]DailyJul!AJ25</f>
        <v>27322.560000000001</v>
      </c>
      <c r="N26" s="314">
        <f t="shared" ref="N26" si="224">M26/B26</f>
        <v>590.36235172100862</v>
      </c>
      <c r="O26" s="314">
        <f t="shared" ref="O26" si="225">M26/C26</f>
        <v>592.83457733032458</v>
      </c>
      <c r="P26" s="314">
        <f t="shared" ref="P26" si="226">+E26+I26+M26</f>
        <v>39685.12000000073</v>
      </c>
      <c r="Q26" s="7">
        <f t="shared" ref="Q26" si="227">P26/B26</f>
        <v>857.48190402110436</v>
      </c>
      <c r="R26" s="312">
        <f t="shared" ref="R26" si="228">P26/C26</f>
        <v>861.07273042876079</v>
      </c>
      <c r="V26" s="375" t="s">
        <v>169</v>
      </c>
      <c r="W26" s="375" t="s">
        <v>170</v>
      </c>
    </row>
    <row r="27" spans="1:23" ht="15">
      <c r="A27" s="306">
        <f t="shared" si="72"/>
        <v>45524</v>
      </c>
      <c r="B27" s="313">
        <f>+Report1!P28</f>
        <v>44.621000000000002</v>
      </c>
      <c r="C27" s="313">
        <f>+Report1!R28</f>
        <v>44.429000000000002</v>
      </c>
      <c r="D27" s="314">
        <f t="shared" ref="D27" si="229">+D26+E27</f>
        <v>81100.000000000364</v>
      </c>
      <c r="E27" s="314">
        <f>+[3]DailyJul!AH26</f>
        <v>4000</v>
      </c>
      <c r="F27" s="314">
        <f t="shared" ref="F27" si="230">E27/B27</f>
        <v>89.643889648371839</v>
      </c>
      <c r="G27" s="314">
        <f t="shared" ref="G27" si="231">E27/C27</f>
        <v>90.031285871840467</v>
      </c>
      <c r="H27" s="314">
        <f t="shared" ref="H27" si="232">+H26+I27</f>
        <v>153888.68</v>
      </c>
      <c r="I27" s="314">
        <f>+[3]DailyJul!AI26</f>
        <v>6945.61</v>
      </c>
      <c r="J27" s="314">
        <f t="shared" ref="J27" si="233">I27/B27</f>
        <v>155.65787409515698</v>
      </c>
      <c r="K27" s="314">
        <f t="shared" ref="K27" si="234">I27/C27</f>
        <v>156.33054986607846</v>
      </c>
      <c r="L27" s="314">
        <f t="shared" ref="L27" si="235">+L26+M27</f>
        <v>487088.68</v>
      </c>
      <c r="M27" s="314">
        <f>+[3]DailyJul!AJ26</f>
        <v>25105.61</v>
      </c>
      <c r="N27" s="314">
        <f t="shared" ref="N27" si="236">M27/B27</f>
        <v>562.64113309876518</v>
      </c>
      <c r="O27" s="314">
        <f t="shared" ref="O27" si="237">M27/C27</f>
        <v>565.07258772423415</v>
      </c>
      <c r="P27" s="314">
        <f t="shared" ref="P27" si="238">+E27+I27+M27</f>
        <v>36051.22</v>
      </c>
      <c r="Q27" s="7">
        <f t="shared" ref="Q27" si="239">P27/B27</f>
        <v>807.94289684229398</v>
      </c>
      <c r="R27" s="312">
        <f t="shared" ref="R27" si="240">P27/C27</f>
        <v>811.43442346215306</v>
      </c>
      <c r="V27" s="375" t="s">
        <v>169</v>
      </c>
      <c r="W27" s="375" t="s">
        <v>170</v>
      </c>
    </row>
    <row r="28" spans="1:23" ht="15">
      <c r="A28" s="306">
        <f t="shared" si="72"/>
        <v>45525</v>
      </c>
      <c r="B28" s="313">
        <f>+Report1!P29</f>
        <v>40.161000000000001</v>
      </c>
      <c r="C28" s="313">
        <f>+Report1!R29</f>
        <v>38.055999999999997</v>
      </c>
      <c r="D28" s="314">
        <f t="shared" ref="D28" si="241">+D27+E28</f>
        <v>85500</v>
      </c>
      <c r="E28" s="314">
        <f>+[3]DailyJul!AH27</f>
        <v>4399.9999999996362</v>
      </c>
      <c r="F28" s="314">
        <f t="shared" ref="F28" si="242">E28/B28</f>
        <v>109.5590249246691</v>
      </c>
      <c r="G28" s="314">
        <f t="shared" ref="G28" si="243">E28/C28</f>
        <v>115.61908766028054</v>
      </c>
      <c r="H28" s="314">
        <f t="shared" ref="H28" si="244">+H27+I28</f>
        <v>162363.91999999998</v>
      </c>
      <c r="I28" s="314">
        <f>+[3]DailyJul!AI27</f>
        <v>8475.24</v>
      </c>
      <c r="J28" s="314">
        <f t="shared" ref="J28" si="245">I28/B28</f>
        <v>211.0315978187794</v>
      </c>
      <c r="K28" s="314">
        <f t="shared" ref="K28" si="246">I28/C28</f>
        <v>222.70443556863572</v>
      </c>
      <c r="L28" s="314">
        <f t="shared" ref="L28" si="247">+L27+M28</f>
        <v>512723.92</v>
      </c>
      <c r="M28" s="314">
        <f>+[3]DailyJul!AJ27</f>
        <v>25635.24</v>
      </c>
      <c r="N28" s="314">
        <f t="shared" ref="N28" si="248">M28/B28</f>
        <v>638.31179502502425</v>
      </c>
      <c r="O28" s="314">
        <f t="shared" ref="O28" si="249">M28/C28</f>
        <v>673.61887744376713</v>
      </c>
      <c r="P28" s="314">
        <f t="shared" ref="P28" si="250">+E28+I28+M28</f>
        <v>38510.479999999639</v>
      </c>
      <c r="Q28" s="7">
        <f t="shared" ref="Q28" si="251">P28/B28</f>
        <v>958.9024177684729</v>
      </c>
      <c r="R28" s="312">
        <f t="shared" ref="R28" si="252">P28/C28</f>
        <v>1011.9424006726834</v>
      </c>
      <c r="V28" s="375" t="s">
        <v>169</v>
      </c>
      <c r="W28" s="375" t="s">
        <v>170</v>
      </c>
    </row>
    <row r="29" spans="1:23" ht="15">
      <c r="A29" s="306">
        <f t="shared" si="72"/>
        <v>45526</v>
      </c>
      <c r="B29" s="313">
        <f>+Report1!P30</f>
        <v>44.03</v>
      </c>
      <c r="C29" s="313">
        <f>+Report1!R30</f>
        <v>41.243000000000002</v>
      </c>
      <c r="D29" s="314">
        <f t="shared" ref="D29" si="253">+D28+E29</f>
        <v>89899.999999999636</v>
      </c>
      <c r="E29" s="314">
        <f>+[3]DailyJul!AH28</f>
        <v>4399.9999999996362</v>
      </c>
      <c r="F29" s="314">
        <f t="shared" ref="F29" si="254">E29/B29</f>
        <v>99.931864637738727</v>
      </c>
      <c r="G29" s="314">
        <f t="shared" ref="G29" si="255">E29/C29</f>
        <v>106.68477074896676</v>
      </c>
      <c r="H29" s="314">
        <f t="shared" ref="H29" si="256">+H28+I29</f>
        <v>171096.40999999997</v>
      </c>
      <c r="I29" s="314">
        <f>+[3]DailyJul!AI28</f>
        <v>8732.49</v>
      </c>
      <c r="J29" s="314">
        <f t="shared" ref="J29" si="257">I29/B29</f>
        <v>198.33045650692708</v>
      </c>
      <c r="K29" s="314">
        <f t="shared" ref="K29" si="258">I29/C29</f>
        <v>211.73265766311857</v>
      </c>
      <c r="L29" s="314">
        <f t="shared" ref="L29" si="259">+L28+M29</f>
        <v>535616.41</v>
      </c>
      <c r="M29" s="314">
        <f>+[3]DailyJul!AJ28</f>
        <v>22892.49</v>
      </c>
      <c r="N29" s="314">
        <f t="shared" ref="N29" si="260">M29/B29</f>
        <v>519.92936634113107</v>
      </c>
      <c r="O29" s="314">
        <f t="shared" ref="O29" si="261">M29/C29</f>
        <v>555.06364716436735</v>
      </c>
      <c r="P29" s="314">
        <f t="shared" ref="P29" si="262">+E29+I29+M29</f>
        <v>36024.979999999639</v>
      </c>
      <c r="Q29" s="7">
        <f t="shared" ref="Q29" si="263">P29/B29</f>
        <v>818.19168748579693</v>
      </c>
      <c r="R29" s="312">
        <f t="shared" ref="R29" si="264">P29/C29</f>
        <v>873.48107557645267</v>
      </c>
      <c r="V29" s="375" t="s">
        <v>169</v>
      </c>
      <c r="W29" s="375" t="s">
        <v>170</v>
      </c>
    </row>
    <row r="30" spans="1:23" ht="15">
      <c r="A30" s="306">
        <f t="shared" si="72"/>
        <v>45527</v>
      </c>
      <c r="B30" s="313">
        <f>+Report1!P31</f>
        <v>26.029</v>
      </c>
      <c r="C30" s="313">
        <f>+Report1!R31</f>
        <v>26.443000000000001</v>
      </c>
      <c r="D30" s="314">
        <f t="shared" ref="D30" si="265">+D29+E30</f>
        <v>93100.000000000364</v>
      </c>
      <c r="E30" s="314">
        <f>+[3]DailyJul!AH29</f>
        <v>3200.0000000007276</v>
      </c>
      <c r="F30" s="314">
        <f t="shared" ref="F30" si="266">E30/B30</f>
        <v>122.93979791773512</v>
      </c>
      <c r="G30" s="314">
        <f t="shared" ref="G30" si="267">E30/C30</f>
        <v>121.01501342513056</v>
      </c>
      <c r="H30" s="314">
        <f t="shared" ref="H30" si="268">+H29+I30</f>
        <v>176073.13999999998</v>
      </c>
      <c r="I30" s="314">
        <f>+[3]DailyJul!AI29</f>
        <v>4976.7299999999996</v>
      </c>
      <c r="J30" s="314">
        <f t="shared" ref="J30" si="269">I30/B30</f>
        <v>191.1994314034346</v>
      </c>
      <c r="K30" s="314">
        <f t="shared" ref="K30" si="270">I30/C30</f>
        <v>188.20595242597281</v>
      </c>
      <c r="L30" s="314">
        <f t="shared" ref="L30" si="271">+L29+M30</f>
        <v>549753.14</v>
      </c>
      <c r="M30" s="314">
        <f>+[3]DailyJul!AJ29</f>
        <v>14136.73</v>
      </c>
      <c r="N30" s="314">
        <f t="shared" ref="N30" si="272">M30/B30</f>
        <v>543.11460294287144</v>
      </c>
      <c r="O30" s="314">
        <f t="shared" ref="O30" si="273">M30/C30</f>
        <v>534.6114283553303</v>
      </c>
      <c r="P30" s="314">
        <f t="shared" ref="P30" si="274">+E30+I30+M30</f>
        <v>22313.460000000727</v>
      </c>
      <c r="Q30" s="7">
        <f t="shared" ref="Q30" si="275">P30/B30</f>
        <v>857.25383226404119</v>
      </c>
      <c r="R30" s="312">
        <f t="shared" ref="R30" si="276">P30/C30</f>
        <v>843.83239420643372</v>
      </c>
      <c r="V30" s="375" t="s">
        <v>169</v>
      </c>
      <c r="W30" s="375" t="s">
        <v>170</v>
      </c>
    </row>
    <row r="31" spans="1:23" ht="15">
      <c r="A31" s="306">
        <f t="shared" si="72"/>
        <v>45528</v>
      </c>
      <c r="B31" s="313">
        <f>+Report1!P32</f>
        <v>42.289000000000001</v>
      </c>
      <c r="C31" s="313">
        <f>+Report1!R32</f>
        <v>37.003999999999998</v>
      </c>
      <c r="D31" s="314">
        <f t="shared" ref="D31" si="277">+D30+E31</f>
        <v>97600.000000000364</v>
      </c>
      <c r="E31" s="314">
        <f>+[3]DailyJul!AH30</f>
        <v>4500</v>
      </c>
      <c r="F31" s="314">
        <f t="shared" ref="F31" si="278">E31/B31</f>
        <v>106.41065052377687</v>
      </c>
      <c r="G31" s="314">
        <f t="shared" ref="G31" si="279">E31/C31</f>
        <v>121.60847475948547</v>
      </c>
      <c r="H31" s="314">
        <f t="shared" ref="H31" si="280">+H30+I31</f>
        <v>184390.99</v>
      </c>
      <c r="I31" s="314">
        <f>+[3]DailyJul!AI30</f>
        <v>8317.85</v>
      </c>
      <c r="J31" s="314">
        <f t="shared" ref="J31" si="281">I31/B31</f>
        <v>196.69062876871055</v>
      </c>
      <c r="K31" s="314">
        <f t="shared" ref="K31" si="282">I31/C31</f>
        <v>224.78245595070806</v>
      </c>
      <c r="L31" s="314">
        <f t="shared" ref="L31" si="283">+L30+M31</f>
        <v>571230.99</v>
      </c>
      <c r="M31" s="314">
        <f>+[3]DailyJul!AJ30</f>
        <v>21477.85</v>
      </c>
      <c r="N31" s="314">
        <f t="shared" ref="N31" si="284">M31/B31</f>
        <v>507.88266452268908</v>
      </c>
      <c r="O31" s="314">
        <f t="shared" ref="O31" si="285">M31/C31</f>
        <v>580.41968435844774</v>
      </c>
      <c r="P31" s="314">
        <f t="shared" ref="P31" si="286">+E31+I31+M31</f>
        <v>34295.699999999997</v>
      </c>
      <c r="Q31" s="7">
        <f t="shared" ref="Q31" si="287">P31/B31</f>
        <v>810.98394381517642</v>
      </c>
      <c r="R31" s="312">
        <f t="shared" ref="R31" si="288">P31/C31</f>
        <v>926.81061506864125</v>
      </c>
      <c r="V31" s="375" t="s">
        <v>169</v>
      </c>
      <c r="W31" s="375" t="s">
        <v>170</v>
      </c>
    </row>
    <row r="32" spans="1:23" ht="15">
      <c r="A32" s="306">
        <f t="shared" si="72"/>
        <v>45529</v>
      </c>
      <c r="B32" s="313">
        <f>+Report1!P33</f>
        <v>43.67</v>
      </c>
      <c r="C32" s="313">
        <f>+Report1!R33</f>
        <v>42.747999999999998</v>
      </c>
      <c r="D32" s="314">
        <f t="shared" ref="D32" si="289">+D31+E32</f>
        <v>102299.99999999927</v>
      </c>
      <c r="E32" s="314">
        <f>+[3]DailyJul!AH31</f>
        <v>4699.9999999989086</v>
      </c>
      <c r="F32" s="314">
        <f t="shared" ref="F32" si="290">E32/B32</f>
        <v>107.62537210897432</v>
      </c>
      <c r="G32" s="314">
        <f t="shared" ref="G32" si="291">E32/C32</f>
        <v>109.9466641713977</v>
      </c>
      <c r="H32" s="314">
        <f t="shared" ref="H32" si="292">+H31+I32</f>
        <v>191555.4</v>
      </c>
      <c r="I32" s="314">
        <f>+[3]DailyJul!AI31</f>
        <v>7164.41</v>
      </c>
      <c r="J32" s="314">
        <f t="shared" ref="J32" si="293">I32/B32</f>
        <v>164.05793450881612</v>
      </c>
      <c r="K32" s="314">
        <f t="shared" ref="K32" si="294">I32/C32</f>
        <v>167.59637877795453</v>
      </c>
      <c r="L32" s="314">
        <f t="shared" ref="L32" si="295">+L31+M32</f>
        <v>593555.4</v>
      </c>
      <c r="M32" s="314">
        <f>+[3]DailyJul!AJ31</f>
        <v>22324.41</v>
      </c>
      <c r="N32" s="314">
        <f t="shared" ref="N32" si="296">M32/B32</f>
        <v>511.20700709869476</v>
      </c>
      <c r="O32" s="314">
        <f t="shared" ref="O32" si="297">M32/C32</f>
        <v>522.23285299897077</v>
      </c>
      <c r="P32" s="314">
        <f t="shared" ref="P32" si="298">+E32+I32+M32</f>
        <v>34188.819999998908</v>
      </c>
      <c r="Q32" s="7">
        <f t="shared" ref="Q32" si="299">P32/B32</f>
        <v>782.89031371648514</v>
      </c>
      <c r="R32" s="312">
        <f t="shared" ref="R32" si="300">P32/C32</f>
        <v>799.77589594832295</v>
      </c>
      <c r="V32" s="375" t="s">
        <v>169</v>
      </c>
      <c r="W32" s="375" t="s">
        <v>170</v>
      </c>
    </row>
    <row r="33" spans="1:23" ht="15">
      <c r="A33" s="306">
        <f t="shared" si="72"/>
        <v>45530</v>
      </c>
      <c r="B33" s="313">
        <f>+Report1!P34</f>
        <v>44.673000000000002</v>
      </c>
      <c r="C33" s="313">
        <f>+Report1!R34</f>
        <v>44.466999999999999</v>
      </c>
      <c r="D33" s="314">
        <f t="shared" ref="D33" si="301">+D32+E33</f>
        <v>106899.99999999964</v>
      </c>
      <c r="E33" s="314">
        <f>+[3]DailyJul!AH32</f>
        <v>4600.0000000003638</v>
      </c>
      <c r="F33" s="314">
        <f t="shared" ref="F33" si="302">E33/B33</f>
        <v>102.97047433573665</v>
      </c>
      <c r="G33" s="314">
        <f t="shared" ref="G33" si="303">E33/C33</f>
        <v>103.44750039355846</v>
      </c>
      <c r="H33" s="314">
        <f t="shared" ref="H33" si="304">+H32+I33</f>
        <v>200341.07</v>
      </c>
      <c r="I33" s="314">
        <f>+[3]DailyJul!AI32</f>
        <v>8785.67</v>
      </c>
      <c r="J33" s="314">
        <f t="shared" ref="J33" si="305">I33/B33</f>
        <v>196.66621896895217</v>
      </c>
      <c r="K33" s="314">
        <f t="shared" ref="K33" si="306">I33/C33</f>
        <v>197.57730451795715</v>
      </c>
      <c r="L33" s="314">
        <f t="shared" ref="L33" si="307">+L32+M33</f>
        <v>616501.07000000007</v>
      </c>
      <c r="M33" s="314">
        <f>+[3]DailyJul!AJ32</f>
        <v>22945.67</v>
      </c>
      <c r="N33" s="314">
        <f t="shared" ref="N33" si="308">M33/B33</f>
        <v>513.63620083719468</v>
      </c>
      <c r="O33" s="314">
        <f t="shared" ref="O33" si="309">M33/C33</f>
        <v>516.01569703375537</v>
      </c>
      <c r="P33" s="314">
        <f t="shared" ref="P33" si="310">+E33+I33+M33</f>
        <v>36331.34000000036</v>
      </c>
      <c r="Q33" s="7">
        <f t="shared" ref="Q33" si="311">P33/B33</f>
        <v>813.2728941418834</v>
      </c>
      <c r="R33" s="312">
        <f t="shared" ref="R33" si="312">P33/C33</f>
        <v>817.04050194527088</v>
      </c>
      <c r="V33" s="375" t="s">
        <v>169</v>
      </c>
      <c r="W33" s="375" t="s">
        <v>170</v>
      </c>
    </row>
    <row r="34" spans="1:23">
      <c r="A34" s="306">
        <f t="shared" si="72"/>
        <v>45531</v>
      </c>
      <c r="B34" s="313">
        <f>+Report1!P35</f>
        <v>45.445</v>
      </c>
      <c r="C34" s="313">
        <f>+Report1!R35</f>
        <v>44.783999999999999</v>
      </c>
      <c r="D34" s="314">
        <f t="shared" ref="D34:D38" si="313">+D33+E34</f>
        <v>111600.00000000036</v>
      </c>
      <c r="E34" s="314">
        <f>+[3]DailyJul!AH33</f>
        <v>4700.0000000007276</v>
      </c>
      <c r="F34" s="308">
        <f t="shared" si="1"/>
        <v>103.4217185609138</v>
      </c>
      <c r="G34" s="308">
        <f t="shared" si="2"/>
        <v>104.94819578422489</v>
      </c>
      <c r="H34" s="314">
        <f t="shared" ref="H34:H38" si="314">+H33+I34</f>
        <v>208666.74000000002</v>
      </c>
      <c r="I34" s="314">
        <f>+[3]DailyJul!AI33</f>
        <v>8325.67</v>
      </c>
      <c r="J34" s="308">
        <f t="shared" si="4"/>
        <v>183.20321267466167</v>
      </c>
      <c r="K34" s="308">
        <f t="shared" si="5"/>
        <v>185.90724365844946</v>
      </c>
      <c r="L34" s="314">
        <f t="shared" ref="L34:L38" si="315">+L33+M34</f>
        <v>637986.74000000011</v>
      </c>
      <c r="M34" s="314">
        <f>+[3]DailyJul!AJ33</f>
        <v>21485.67</v>
      </c>
      <c r="N34" s="308">
        <f t="shared" si="7"/>
        <v>472.78402464517546</v>
      </c>
      <c r="O34" s="308">
        <f t="shared" si="8"/>
        <v>479.76219185423361</v>
      </c>
      <c r="P34" s="314">
        <f t="shared" ref="P34:P40" si="316">+E34+I34+M34</f>
        <v>34511.340000000724</v>
      </c>
      <c r="Q34" s="311">
        <f t="shared" si="10"/>
        <v>759.40895588075091</v>
      </c>
      <c r="R34" s="312">
        <f t="shared" si="11"/>
        <v>770.61763129690792</v>
      </c>
    </row>
    <row r="35" spans="1:23">
      <c r="A35" s="306">
        <f t="shared" si="72"/>
        <v>45532</v>
      </c>
      <c r="B35" s="313">
        <f>+Report1!P36</f>
        <v>42.545000000000002</v>
      </c>
      <c r="C35" s="313">
        <f>+Report1!R36</f>
        <v>41.054000000000002</v>
      </c>
      <c r="D35" s="314">
        <f t="shared" ref="D35" si="317">+D34+E35</f>
        <v>116100.00000000036</v>
      </c>
      <c r="E35" s="314">
        <f>+[3]DailyJul!AH34</f>
        <v>4500</v>
      </c>
      <c r="F35" s="308">
        <f t="shared" ref="F35" si="318">E35/B35</f>
        <v>105.77036079445293</v>
      </c>
      <c r="G35" s="308">
        <f t="shared" ref="G35" si="319">E35/C35</f>
        <v>109.61173089102158</v>
      </c>
      <c r="H35" s="314">
        <f t="shared" ref="H35" si="320">+H34+I35</f>
        <v>216705.99000000002</v>
      </c>
      <c r="I35" s="314">
        <f>+[3]DailyJul!AI34</f>
        <v>8039.25</v>
      </c>
      <c r="J35" s="308">
        <f t="shared" ref="J35" si="321">I35/B35</f>
        <v>188.95874955929017</v>
      </c>
      <c r="K35" s="308">
        <f t="shared" ref="K35" si="322">I35/C35</f>
        <v>195.82135723681006</v>
      </c>
      <c r="L35" s="314">
        <f t="shared" ref="L35" si="323">+L34+M35</f>
        <v>662185.99000000011</v>
      </c>
      <c r="M35" s="314">
        <f>+[3]DailyJul!AJ34</f>
        <v>24199.25</v>
      </c>
      <c r="N35" s="308">
        <f t="shared" ref="N35" si="324">M35/B35</f>
        <v>568.79186743448111</v>
      </c>
      <c r="O35" s="308">
        <f t="shared" ref="O35" si="325">M35/C35</f>
        <v>589.44926194767868</v>
      </c>
      <c r="P35" s="314">
        <f t="shared" ref="P35" si="326">+E35+I35+M35</f>
        <v>36738.5</v>
      </c>
      <c r="Q35" s="311">
        <f t="shared" ref="Q35" si="327">P35/B35</f>
        <v>863.52097778822417</v>
      </c>
      <c r="R35" s="312">
        <f t="shared" ref="R35" si="328">P35/C35</f>
        <v>894.8823500755102</v>
      </c>
    </row>
    <row r="36" spans="1:23">
      <c r="A36" s="306">
        <f t="shared" si="72"/>
        <v>45533</v>
      </c>
      <c r="B36" s="313">
        <f>+Report1!P37</f>
        <v>42.968000000000004</v>
      </c>
      <c r="C36" s="313">
        <f>+Report1!R37</f>
        <v>41.597000000000001</v>
      </c>
      <c r="D36" s="314">
        <f t="shared" ref="D36" si="329">+D35+E36</f>
        <v>120799.99999999927</v>
      </c>
      <c r="E36" s="314">
        <f>+[3]DailyJul!AH35</f>
        <v>4699.9999999989086</v>
      </c>
      <c r="F36" s="308">
        <f t="shared" ref="F36" si="330">E36/B36</f>
        <v>109.3837274250351</v>
      </c>
      <c r="G36" s="308">
        <f t="shared" ref="G36" si="331">E36/C36</f>
        <v>112.98891746998362</v>
      </c>
      <c r="H36" s="314">
        <f t="shared" ref="H36" si="332">+H35+I36</f>
        <v>225364.44000000003</v>
      </c>
      <c r="I36" s="314">
        <f>+[3]DailyJul!AI35</f>
        <v>8658.4500000000007</v>
      </c>
      <c r="J36" s="308">
        <f t="shared" ref="J36" si="333">I36/B36</f>
        <v>201.50926270713089</v>
      </c>
      <c r="K36" s="308">
        <f t="shared" ref="K36" si="334">I36/C36</f>
        <v>208.15082818472487</v>
      </c>
      <c r="L36" s="314">
        <f t="shared" ref="L36" si="335">+L35+M36</f>
        <v>688004.44000000006</v>
      </c>
      <c r="M36" s="314">
        <f>+[3]DailyJul!AJ35</f>
        <v>25818.45</v>
      </c>
      <c r="N36" s="308">
        <f t="shared" ref="N36" si="336">M36/B36</f>
        <v>600.87623347607519</v>
      </c>
      <c r="O36" s="308">
        <f t="shared" ref="O36" si="337">M36/C36</f>
        <v>620.68057792629281</v>
      </c>
      <c r="P36" s="314">
        <f t="shared" ref="P36" si="338">+E36+I36+M36</f>
        <v>39176.89999999891</v>
      </c>
      <c r="Q36" s="311">
        <f t="shared" ref="Q36" si="339">P36/B36</f>
        <v>911.76922360824119</v>
      </c>
      <c r="R36" s="312">
        <f t="shared" ref="R36" si="340">P36/C36</f>
        <v>941.82032358100128</v>
      </c>
    </row>
    <row r="37" spans="1:23">
      <c r="A37" s="306">
        <f t="shared" si="72"/>
        <v>45534</v>
      </c>
      <c r="B37" s="313">
        <f>+Report1!P38</f>
        <v>48.722999999999999</v>
      </c>
      <c r="C37" s="313">
        <f>+Report1!R38</f>
        <v>44.423000000000002</v>
      </c>
      <c r="D37" s="314">
        <f t="shared" si="313"/>
        <v>125299.99999999927</v>
      </c>
      <c r="E37" s="314">
        <f>+[3]DailyJul!AH36</f>
        <v>4500</v>
      </c>
      <c r="F37" s="308">
        <f t="shared" si="1"/>
        <v>92.35884489871313</v>
      </c>
      <c r="G37" s="308">
        <f t="shared" si="2"/>
        <v>101.2988767080116</v>
      </c>
      <c r="H37" s="314">
        <f t="shared" si="314"/>
        <v>233715.76000000004</v>
      </c>
      <c r="I37" s="314">
        <f>+[3]DailyJul!AI36</f>
        <v>8351.32</v>
      </c>
      <c r="J37" s="308">
        <f t="shared" si="4"/>
        <v>171.40405968433799</v>
      </c>
      <c r="K37" s="308">
        <f t="shared" si="5"/>
        <v>187.99540778425589</v>
      </c>
      <c r="L37" s="314">
        <f t="shared" si="315"/>
        <v>712515.76</v>
      </c>
      <c r="M37" s="314">
        <f>+[3]DailyJul!AJ36</f>
        <v>24511.32</v>
      </c>
      <c r="N37" s="308">
        <f t="shared" si="7"/>
        <v>503.0749338094945</v>
      </c>
      <c r="O37" s="308">
        <f t="shared" si="8"/>
        <v>551.77092947347091</v>
      </c>
      <c r="P37" s="314">
        <f t="shared" si="316"/>
        <v>37362.639999999999</v>
      </c>
      <c r="Q37" s="311">
        <f t="shared" si="10"/>
        <v>766.83783839254556</v>
      </c>
      <c r="R37" s="312">
        <f t="shared" si="11"/>
        <v>841.06521396573839</v>
      </c>
    </row>
    <row r="38" spans="1:23">
      <c r="A38" s="306">
        <f t="shared" si="72"/>
        <v>45535</v>
      </c>
      <c r="B38" s="313">
        <f>+Report1!P39</f>
        <v>45.920999999999999</v>
      </c>
      <c r="C38" s="313">
        <f>+Report1!R39</f>
        <v>46.16</v>
      </c>
      <c r="D38" s="314">
        <f t="shared" si="313"/>
        <v>129699.99999999891</v>
      </c>
      <c r="E38" s="314">
        <f>+[3]DailyJul!AH37</f>
        <v>4399.9999999996362</v>
      </c>
      <c r="F38" s="308">
        <f t="shared" si="1"/>
        <v>95.816728729767121</v>
      </c>
      <c r="G38" s="308">
        <f t="shared" si="2"/>
        <v>95.320623916803214</v>
      </c>
      <c r="H38" s="314">
        <f t="shared" si="314"/>
        <v>241597.77000000005</v>
      </c>
      <c r="I38" s="314">
        <f>+[3]DailyJul!AI37</f>
        <v>7882.01</v>
      </c>
      <c r="J38" s="308">
        <f t="shared" si="4"/>
        <v>171.64282136713052</v>
      </c>
      <c r="K38" s="308">
        <f t="shared" si="5"/>
        <v>170.75411611785097</v>
      </c>
      <c r="L38" s="314">
        <f t="shared" si="315"/>
        <v>738557.77</v>
      </c>
      <c r="M38" s="314">
        <f>+[3]DailyJul!AJ37</f>
        <v>26042.01</v>
      </c>
      <c r="N38" s="309">
        <f t="shared" si="7"/>
        <v>567.10459267002022</v>
      </c>
      <c r="O38" s="309">
        <f t="shared" si="8"/>
        <v>564.16832755632583</v>
      </c>
      <c r="P38" s="314">
        <f t="shared" si="316"/>
        <v>38324.019999999633</v>
      </c>
      <c r="Q38" s="311">
        <f t="shared" si="10"/>
        <v>834.56414276691783</v>
      </c>
      <c r="R38" s="312">
        <f t="shared" si="11"/>
        <v>830.24306759097999</v>
      </c>
    </row>
    <row r="39" spans="1:23">
      <c r="A39" s="306"/>
      <c r="B39" s="313"/>
      <c r="C39" s="313"/>
      <c r="D39" s="302"/>
      <c r="E39" s="314"/>
      <c r="F39" s="308"/>
      <c r="G39" s="308"/>
      <c r="H39" s="304"/>
      <c r="I39" s="314"/>
      <c r="J39" s="308"/>
      <c r="K39" s="308"/>
      <c r="L39" s="305"/>
      <c r="M39" s="314"/>
      <c r="N39" s="309"/>
      <c r="O39" s="309"/>
      <c r="P39" s="310"/>
      <c r="Q39" s="311"/>
      <c r="R39" s="312"/>
    </row>
    <row r="40" spans="1:23">
      <c r="A40" s="315" t="s">
        <v>28</v>
      </c>
      <c r="B40" s="316">
        <f>SUM(B8:B38)</f>
        <v>1293.6130000000001</v>
      </c>
      <c r="C40" s="316">
        <f>SUM(C8:C38)</f>
        <v>1253.7050000000004</v>
      </c>
      <c r="D40" s="318"/>
      <c r="E40" s="314">
        <f>SUM(E8:E39)</f>
        <v>129699.99999999891</v>
      </c>
      <c r="F40" s="317">
        <f>E40/B40</f>
        <v>100.2618248270533</v>
      </c>
      <c r="G40" s="317">
        <f>E40/C40</f>
        <v>103.45336422842604</v>
      </c>
      <c r="H40" s="319"/>
      <c r="I40" s="314">
        <f>SUM(I8:I39)</f>
        <v>241597.77000000005</v>
      </c>
      <c r="J40" s="317">
        <f>I40/B40</f>
        <v>186.76201460560463</v>
      </c>
      <c r="K40" s="317">
        <f>I40/C40</f>
        <v>192.70703235609651</v>
      </c>
      <c r="L40" s="320"/>
      <c r="M40" s="314">
        <f>SUM(M8:M39)</f>
        <v>738557.77</v>
      </c>
      <c r="N40" s="317">
        <f>M40/B40</f>
        <v>570.92636669544913</v>
      </c>
      <c r="O40" s="317">
        <f>M40/C40</f>
        <v>589.10012323473211</v>
      </c>
      <c r="P40" s="314">
        <f t="shared" si="316"/>
        <v>1109855.5399999991</v>
      </c>
      <c r="Q40" s="374">
        <f>P40/B40</f>
        <v>857.95020612810708</v>
      </c>
      <c r="R40" s="319">
        <f>P40/C40</f>
        <v>885.2605198192548</v>
      </c>
    </row>
    <row r="42" spans="1:23">
      <c r="P42" s="5">
        <v>-1320860.8400000001</v>
      </c>
    </row>
    <row r="43" spans="1:23">
      <c r="D43" s="322"/>
    </row>
    <row r="44" spans="1:23">
      <c r="E44" s="321"/>
      <c r="H44" s="321"/>
    </row>
  </sheetData>
  <mergeCells count="9">
    <mergeCell ref="A2:P2"/>
    <mergeCell ref="D4:O4"/>
    <mergeCell ref="P4:R5"/>
    <mergeCell ref="A4:A6"/>
    <mergeCell ref="B4:B6"/>
    <mergeCell ref="C4:C6"/>
    <mergeCell ref="D5:G5"/>
    <mergeCell ref="H5:K5"/>
    <mergeCell ref="L5:O5"/>
  </mergeCells>
  <phoneticPr fontId="32" type="noConversion"/>
  <pageMargins left="3.888888888888889E-2" right="3.888888888888889E-2" top="0.98402777777777772" bottom="0.98402777777777772" header="0.51111111111111107" footer="0.51111111111111107"/>
  <pageSetup paperSize="9" scale="82" firstPageNumber="429496319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opLeftCell="A64" workbookViewId="0">
      <selection activeCell="I91" sqref="I91"/>
    </sheetView>
  </sheetViews>
  <sheetFormatPr defaultRowHeight="12.75"/>
  <cols>
    <col min="1" max="1" width="10.140625" bestFit="1" customWidth="1"/>
    <col min="2" max="2" width="10.140625" customWidth="1"/>
    <col min="4" max="4" width="22.28515625" customWidth="1"/>
    <col min="6" max="6" width="11" bestFit="1" customWidth="1"/>
  </cols>
  <sheetData>
    <row r="1" spans="1:9">
      <c r="A1" s="409" t="s">
        <v>185</v>
      </c>
      <c r="B1" s="327">
        <f>+Report1!A9</f>
        <v>45839</v>
      </c>
      <c r="C1" s="93"/>
      <c r="G1" s="94"/>
      <c r="H1" s="95"/>
    </row>
    <row r="2" spans="1:9" ht="13.5" thickBot="1">
      <c r="A2" s="92"/>
      <c r="B2" s="93"/>
      <c r="C2" s="93"/>
      <c r="G2" s="94"/>
      <c r="H2" s="95"/>
    </row>
    <row r="3" spans="1:9" ht="26.25" thickBot="1">
      <c r="A3" s="567" t="s">
        <v>120</v>
      </c>
      <c r="B3" s="568" t="s">
        <v>9</v>
      </c>
      <c r="C3" s="568" t="s">
        <v>93</v>
      </c>
      <c r="D3" s="568" t="s">
        <v>121</v>
      </c>
      <c r="E3" s="568" t="s">
        <v>122</v>
      </c>
      <c r="F3" s="568" t="s">
        <v>123</v>
      </c>
      <c r="G3" s="569" t="s">
        <v>124</v>
      </c>
      <c r="H3" s="570" t="s">
        <v>125</v>
      </c>
      <c r="I3" s="555" t="s">
        <v>389</v>
      </c>
    </row>
    <row r="4" spans="1:9">
      <c r="A4" s="566">
        <v>45839</v>
      </c>
      <c r="B4" s="561" t="s">
        <v>401</v>
      </c>
      <c r="C4" s="562">
        <v>1</v>
      </c>
      <c r="D4" s="563" t="s">
        <v>419</v>
      </c>
      <c r="E4" s="563">
        <f>257*1</f>
        <v>257</v>
      </c>
      <c r="F4" s="564">
        <f>14+19</f>
        <v>33</v>
      </c>
      <c r="G4" s="565">
        <f t="shared" ref="G4" si="0">+E4*F4</f>
        <v>8481</v>
      </c>
      <c r="H4" s="556">
        <f t="shared" ref="H4" si="1">+SUM(G4/F4)</f>
        <v>257</v>
      </c>
      <c r="I4" s="556">
        <f>+'1'!I38</f>
        <v>36.692</v>
      </c>
    </row>
    <row r="5" spans="1:9">
      <c r="A5" s="566"/>
      <c r="B5" s="561" t="s">
        <v>404</v>
      </c>
      <c r="C5" s="562">
        <v>1</v>
      </c>
      <c r="D5" s="563" t="s">
        <v>420</v>
      </c>
      <c r="E5" s="563">
        <f>68*3+47.5</f>
        <v>251.5</v>
      </c>
      <c r="F5" s="564">
        <f>1+8+4+8+7</f>
        <v>28</v>
      </c>
      <c r="G5" s="565">
        <f t="shared" ref="G5" si="2">+E5*F5</f>
        <v>7042</v>
      </c>
      <c r="H5" s="556">
        <f t="shared" ref="H5" si="3">+SUM(G5/F5)</f>
        <v>251.5</v>
      </c>
      <c r="I5" s="556"/>
    </row>
    <row r="6" spans="1:9" ht="13.5" thickBot="1">
      <c r="A6" s="363"/>
      <c r="B6" s="376"/>
      <c r="C6" s="364"/>
      <c r="D6" s="365"/>
      <c r="E6" s="364"/>
      <c r="F6" s="364"/>
      <c r="G6" s="364"/>
      <c r="H6" s="377"/>
      <c r="I6" s="377"/>
    </row>
    <row r="7" spans="1:9">
      <c r="A7" s="566">
        <v>45840</v>
      </c>
      <c r="B7" s="561" t="s">
        <v>404</v>
      </c>
      <c r="C7" s="562">
        <v>1</v>
      </c>
      <c r="D7" s="563" t="s">
        <v>420</v>
      </c>
      <c r="E7" s="563">
        <f>68*3+47.5</f>
        <v>251.5</v>
      </c>
      <c r="F7" s="564">
        <v>70</v>
      </c>
      <c r="G7" s="565">
        <f t="shared" ref="G7" si="4">+E7*F7</f>
        <v>17605</v>
      </c>
      <c r="H7" s="556">
        <f t="shared" ref="H7" si="5">+SUM(G7/F7)</f>
        <v>251.5</v>
      </c>
      <c r="I7" s="556">
        <f>+'2'!I38</f>
        <v>39.07</v>
      </c>
    </row>
    <row r="8" spans="1:9">
      <c r="A8" s="566"/>
      <c r="B8" s="561" t="s">
        <v>437</v>
      </c>
      <c r="C8" s="562">
        <v>1</v>
      </c>
      <c r="D8" s="563" t="s">
        <v>446</v>
      </c>
      <c r="E8" s="563">
        <f>120+126</f>
        <v>246</v>
      </c>
      <c r="F8" s="564">
        <f>6/2</f>
        <v>3</v>
      </c>
      <c r="G8" s="565">
        <f t="shared" ref="G8" si="6">+E8*F8</f>
        <v>738</v>
      </c>
      <c r="H8" s="556">
        <f t="shared" ref="H8" si="7">+SUM(G8/F8)</f>
        <v>246</v>
      </c>
      <c r="I8" s="556"/>
    </row>
    <row r="9" spans="1:9" ht="13.5" thickBot="1">
      <c r="A9" s="363"/>
      <c r="B9" s="376"/>
      <c r="C9" s="364"/>
      <c r="D9" s="365"/>
      <c r="E9" s="364"/>
      <c r="F9" s="364"/>
      <c r="G9" s="364"/>
      <c r="H9" s="377"/>
      <c r="I9" s="377"/>
    </row>
    <row r="10" spans="1:9">
      <c r="A10" s="566">
        <v>45841</v>
      </c>
      <c r="B10" s="561" t="s">
        <v>437</v>
      </c>
      <c r="C10" s="562">
        <v>1</v>
      </c>
      <c r="D10" s="563" t="s">
        <v>446</v>
      </c>
      <c r="E10" s="563">
        <f>120+126</f>
        <v>246</v>
      </c>
      <c r="F10" s="564">
        <v>3</v>
      </c>
      <c r="G10" s="565">
        <f t="shared" ref="G10" si="8">+E10*F10</f>
        <v>738</v>
      </c>
      <c r="H10" s="556">
        <f>+SUM(F10*E10+F11*E11+F12*E12)/SUM(F10:F12)</f>
        <v>265.01639344262293</v>
      </c>
      <c r="I10" s="556">
        <f>+'3'!I38</f>
        <v>41.875999999999998</v>
      </c>
    </row>
    <row r="11" spans="1:9">
      <c r="A11" s="566"/>
      <c r="B11" s="561" t="s">
        <v>437</v>
      </c>
      <c r="C11" s="562">
        <v>1</v>
      </c>
      <c r="D11" s="563" t="s">
        <v>457</v>
      </c>
      <c r="E11" s="563">
        <f>133*2</f>
        <v>266</v>
      </c>
      <c r="F11" s="564">
        <f>10+13+6</f>
        <v>29</v>
      </c>
      <c r="G11" s="565">
        <f t="shared" ref="G11" si="9">+E11*F11</f>
        <v>7714</v>
      </c>
      <c r="H11" s="556"/>
      <c r="I11" s="556"/>
    </row>
    <row r="12" spans="1:9">
      <c r="A12" s="566"/>
      <c r="B12" s="561" t="s">
        <v>437</v>
      </c>
      <c r="C12" s="562">
        <v>1</v>
      </c>
      <c r="D12" s="563" t="s">
        <v>458</v>
      </c>
      <c r="E12" s="563">
        <f>126+140</f>
        <v>266</v>
      </c>
      <c r="F12" s="564">
        <f>7+3+4+13+2</f>
        <v>29</v>
      </c>
      <c r="G12" s="565">
        <f t="shared" ref="G12" si="10">+E12*F12</f>
        <v>7714</v>
      </c>
      <c r="H12" s="556"/>
      <c r="I12" s="556"/>
    </row>
    <row r="13" spans="1:9" ht="13.5" thickBot="1">
      <c r="A13" s="363"/>
      <c r="B13" s="376"/>
      <c r="C13" s="364"/>
      <c r="D13" s="365"/>
      <c r="E13" s="364"/>
      <c r="F13" s="364"/>
      <c r="G13" s="364"/>
      <c r="H13" s="377"/>
      <c r="I13" s="377"/>
    </row>
    <row r="14" spans="1:9">
      <c r="A14" s="566">
        <v>45842</v>
      </c>
      <c r="B14" s="561" t="s">
        <v>437</v>
      </c>
      <c r="C14" s="562">
        <v>1</v>
      </c>
      <c r="D14" s="563" t="s">
        <v>457</v>
      </c>
      <c r="E14" s="563">
        <f>133*2</f>
        <v>266</v>
      </c>
      <c r="F14" s="564">
        <f>124/2</f>
        <v>62</v>
      </c>
      <c r="G14" s="565">
        <f t="shared" ref="G14" si="11">+E14*F14</f>
        <v>16492</v>
      </c>
      <c r="H14" s="556">
        <f t="shared" ref="H14" si="12">+SUM(G14/F14)</f>
        <v>266</v>
      </c>
      <c r="I14" s="556">
        <f>+'4'!I38</f>
        <v>42.341999999999999</v>
      </c>
    </row>
    <row r="15" spans="1:9" ht="13.5" thickBot="1">
      <c r="A15" s="363"/>
      <c r="B15" s="376"/>
      <c r="C15" s="364"/>
      <c r="D15" s="365"/>
      <c r="E15" s="364"/>
      <c r="F15" s="364"/>
      <c r="G15" s="364"/>
      <c r="H15" s="377"/>
      <c r="I15" s="377"/>
    </row>
    <row r="16" spans="1:9">
      <c r="A16" s="566">
        <v>45843</v>
      </c>
      <c r="B16" s="561" t="s">
        <v>437</v>
      </c>
      <c r="C16" s="562">
        <v>1</v>
      </c>
      <c r="D16" s="563" t="s">
        <v>457</v>
      </c>
      <c r="E16" s="563">
        <f>133*2</f>
        <v>266</v>
      </c>
      <c r="F16" s="564">
        <f>9+3</f>
        <v>12</v>
      </c>
      <c r="G16" s="565">
        <f t="shared" ref="G16" si="13">+E16*F16</f>
        <v>3192</v>
      </c>
      <c r="H16" s="556">
        <f t="shared" ref="H16" si="14">+SUM(G16/F16)</f>
        <v>266</v>
      </c>
      <c r="I16" s="556">
        <f>+'5'!I38</f>
        <v>43.317999999999998</v>
      </c>
    </row>
    <row r="17" spans="1:9">
      <c r="A17" s="566"/>
      <c r="B17" s="561" t="s">
        <v>469</v>
      </c>
      <c r="C17" s="562">
        <v>1</v>
      </c>
      <c r="D17" s="563" t="s">
        <v>457</v>
      </c>
      <c r="E17" s="563">
        <f>133*2</f>
        <v>266</v>
      </c>
      <c r="F17" s="564">
        <f>4+4+13+1</f>
        <v>22</v>
      </c>
      <c r="G17" s="565">
        <f t="shared" ref="G17:G18" si="15">+E17*F17</f>
        <v>5852</v>
      </c>
      <c r="H17" s="556">
        <f t="shared" ref="H17:H18" si="16">+SUM(G17/F17)</f>
        <v>266</v>
      </c>
      <c r="I17" s="556"/>
    </row>
    <row r="18" spans="1:9">
      <c r="A18" s="566"/>
      <c r="B18" s="561" t="s">
        <v>404</v>
      </c>
      <c r="C18" s="562">
        <v>1</v>
      </c>
      <c r="D18" s="563" t="s">
        <v>475</v>
      </c>
      <c r="E18" s="563">
        <f>129*2</f>
        <v>258</v>
      </c>
      <c r="F18" s="564">
        <f>5+13+9+5</f>
        <v>32</v>
      </c>
      <c r="G18" s="565">
        <f t="shared" si="15"/>
        <v>8256</v>
      </c>
      <c r="H18" s="556">
        <f t="shared" si="16"/>
        <v>258</v>
      </c>
      <c r="I18" s="556"/>
    </row>
    <row r="19" spans="1:9" ht="13.5" thickBot="1">
      <c r="A19" s="363"/>
      <c r="B19" s="376"/>
      <c r="C19" s="364"/>
      <c r="D19" s="365"/>
      <c r="E19" s="364"/>
      <c r="F19" s="364"/>
      <c r="G19" s="364"/>
      <c r="H19" s="377"/>
      <c r="I19" s="377"/>
    </row>
    <row r="20" spans="1:9">
      <c r="A20" s="566">
        <v>45844</v>
      </c>
      <c r="B20" s="561" t="s">
        <v>404</v>
      </c>
      <c r="C20" s="562">
        <v>1</v>
      </c>
      <c r="D20" s="563" t="s">
        <v>475</v>
      </c>
      <c r="E20" s="563">
        <f>129*2</f>
        <v>258</v>
      </c>
      <c r="F20" s="564">
        <f>13+10+5</f>
        <v>28</v>
      </c>
      <c r="G20" s="565">
        <f t="shared" ref="G20:G21" si="17">+E20*F20</f>
        <v>7224</v>
      </c>
      <c r="H20" s="556">
        <f>+SUM(F20*E20+F21*E21)/SUM(F20:F21)</f>
        <v>261.44666666666666</v>
      </c>
      <c r="I20" s="556">
        <f>+'6'!I38</f>
        <v>43.295999999999999</v>
      </c>
    </row>
    <row r="21" spans="1:9">
      <c r="A21" s="566"/>
      <c r="B21" s="561" t="s">
        <v>404</v>
      </c>
      <c r="C21" s="562">
        <v>1</v>
      </c>
      <c r="D21" s="563" t="s">
        <v>476</v>
      </c>
      <c r="E21" s="563">
        <f>72*3+47.5</f>
        <v>263.5</v>
      </c>
      <c r="F21" s="564">
        <f>8+2+8+8+8+8+5</f>
        <v>47</v>
      </c>
      <c r="G21" s="565">
        <f t="shared" si="17"/>
        <v>12384.5</v>
      </c>
      <c r="H21" s="556"/>
      <c r="I21" s="556"/>
    </row>
    <row r="22" spans="1:9" ht="13.5" thickBot="1">
      <c r="A22" s="363"/>
      <c r="B22" s="376"/>
      <c r="C22" s="364"/>
      <c r="D22" s="365"/>
      <c r="E22" s="364"/>
      <c r="F22" s="364"/>
      <c r="G22" s="364"/>
      <c r="H22" s="377"/>
      <c r="I22" s="377"/>
    </row>
    <row r="23" spans="1:9">
      <c r="A23" s="566">
        <v>45845</v>
      </c>
      <c r="B23" s="561" t="s">
        <v>404</v>
      </c>
      <c r="C23" s="562">
        <v>1</v>
      </c>
      <c r="D23" s="563" t="s">
        <v>476</v>
      </c>
      <c r="E23" s="563">
        <f>72*3+47.5</f>
        <v>263.5</v>
      </c>
      <c r="F23" s="564">
        <f>8+1+8+4</f>
        <v>21</v>
      </c>
      <c r="G23" s="565">
        <f t="shared" ref="G23" si="18">+E23*F23</f>
        <v>5533.5</v>
      </c>
      <c r="H23" s="556">
        <f t="shared" ref="H23:H24" si="19">+SUM(G23/F23)</f>
        <v>263.5</v>
      </c>
      <c r="I23" s="556">
        <f>+'7'!I38</f>
        <v>42.278999999999996</v>
      </c>
    </row>
    <row r="24" spans="1:9">
      <c r="A24" s="566"/>
      <c r="B24" s="561" t="s">
        <v>482</v>
      </c>
      <c r="C24" s="562">
        <v>1</v>
      </c>
      <c r="D24" s="563" t="s">
        <v>493</v>
      </c>
      <c r="E24" s="563">
        <f>256.5*1</f>
        <v>256.5</v>
      </c>
      <c r="F24" s="564">
        <f>9+10</f>
        <v>19</v>
      </c>
      <c r="G24" s="565">
        <f t="shared" ref="G24" si="20">+E24*F24</f>
        <v>4873.5</v>
      </c>
      <c r="H24" s="556">
        <f t="shared" si="19"/>
        <v>256.5</v>
      </c>
      <c r="I24" s="556"/>
    </row>
    <row r="25" spans="1:9" ht="13.5" thickBot="1">
      <c r="A25" s="363"/>
      <c r="B25" s="376"/>
      <c r="C25" s="364"/>
      <c r="D25" s="365"/>
      <c r="E25" s="364"/>
      <c r="F25" s="364"/>
      <c r="G25" s="364"/>
      <c r="H25" s="377"/>
      <c r="I25" s="377"/>
    </row>
    <row r="26" spans="1:9">
      <c r="A26" s="566">
        <v>45846</v>
      </c>
      <c r="B26" s="561" t="s">
        <v>482</v>
      </c>
      <c r="C26" s="562">
        <v>1</v>
      </c>
      <c r="D26" s="563" t="s">
        <v>493</v>
      </c>
      <c r="E26" s="563">
        <f>256.5*1</f>
        <v>256.5</v>
      </c>
      <c r="F26" s="564">
        <v>26</v>
      </c>
      <c r="G26" s="565">
        <f t="shared" ref="G26" si="21">+E26*F26</f>
        <v>6669</v>
      </c>
      <c r="H26" s="556">
        <f t="shared" ref="H26" si="22">+SUM(G26/F26)</f>
        <v>256.5</v>
      </c>
      <c r="I26" s="556">
        <f>+'8'!I38</f>
        <v>42.275000000000006</v>
      </c>
    </row>
    <row r="27" spans="1:9" ht="13.5" thickBot="1">
      <c r="A27" s="363"/>
      <c r="B27" s="376"/>
      <c r="C27" s="364"/>
      <c r="D27" s="365"/>
      <c r="E27" s="364"/>
      <c r="F27" s="364"/>
      <c r="G27" s="364"/>
      <c r="H27" s="377"/>
      <c r="I27" s="377"/>
    </row>
    <row r="28" spans="1:9">
      <c r="A28" s="566">
        <v>45847</v>
      </c>
      <c r="B28" s="561" t="s">
        <v>482</v>
      </c>
      <c r="C28" s="562">
        <v>1</v>
      </c>
      <c r="D28" s="563" t="s">
        <v>493</v>
      </c>
      <c r="E28" s="563">
        <f>256.5*1</f>
        <v>256.5</v>
      </c>
      <c r="F28" s="564">
        <f>9+9+7</f>
        <v>25</v>
      </c>
      <c r="G28" s="565">
        <f t="shared" ref="G28:G30" si="23">+E28*F28</f>
        <v>6412.5</v>
      </c>
      <c r="H28" s="556">
        <f>+SUM(F28*E28+F29*E29+F30*E30)/SUM(F28:F30)</f>
        <v>252.26041666666666</v>
      </c>
      <c r="I28" s="556">
        <f>+'9'!I38</f>
        <v>44.096000000000004</v>
      </c>
    </row>
    <row r="29" spans="1:9">
      <c r="A29" s="566"/>
      <c r="B29" s="561" t="s">
        <v>482</v>
      </c>
      <c r="C29" s="562">
        <v>1</v>
      </c>
      <c r="D29" s="563" t="s">
        <v>513</v>
      </c>
      <c r="E29" s="563">
        <f>133+114</f>
        <v>247</v>
      </c>
      <c r="F29" s="564">
        <f>2+3+13</f>
        <v>18</v>
      </c>
      <c r="G29" s="565">
        <f t="shared" si="23"/>
        <v>4446</v>
      </c>
      <c r="H29" s="556"/>
      <c r="I29" s="556"/>
    </row>
    <row r="30" spans="1:9">
      <c r="A30" s="566"/>
      <c r="B30" s="561" t="s">
        <v>401</v>
      </c>
      <c r="C30" s="562">
        <v>1</v>
      </c>
      <c r="D30" s="563" t="s">
        <v>512</v>
      </c>
      <c r="E30" s="563">
        <f>250*1</f>
        <v>250</v>
      </c>
      <c r="F30" s="564">
        <v>5</v>
      </c>
      <c r="G30" s="565">
        <f t="shared" si="23"/>
        <v>1250</v>
      </c>
      <c r="H30" s="556"/>
      <c r="I30" s="556"/>
    </row>
    <row r="31" spans="1:9" ht="13.5" thickBot="1">
      <c r="A31" s="363"/>
      <c r="B31" s="376"/>
      <c r="C31" s="364"/>
      <c r="D31" s="365"/>
      <c r="E31" s="364"/>
      <c r="F31" s="364"/>
      <c r="G31" s="364"/>
      <c r="H31" s="377"/>
      <c r="I31" s="377"/>
    </row>
    <row r="32" spans="1:9">
      <c r="A32" s="566">
        <v>45848</v>
      </c>
      <c r="B32" s="561" t="s">
        <v>482</v>
      </c>
      <c r="C32" s="562">
        <v>1</v>
      </c>
      <c r="D32" s="563" t="s">
        <v>493</v>
      </c>
      <c r="E32" s="563">
        <f>256.5*1</f>
        <v>256.5</v>
      </c>
      <c r="F32" s="564">
        <f>9+9+8</f>
        <v>26</v>
      </c>
      <c r="G32" s="565">
        <f t="shared" ref="G32:G33" si="24">+E32*F32</f>
        <v>6669</v>
      </c>
      <c r="H32" s="556">
        <f>+SUM(F32*E32+F33*E33+F34*E34)/SUM(F32:F34)</f>
        <v>256.03571428571428</v>
      </c>
      <c r="I32" s="556">
        <f>+'10'!I38</f>
        <v>42.021999999999998</v>
      </c>
    </row>
    <row r="33" spans="1:9">
      <c r="A33" s="566"/>
      <c r="B33" s="561" t="s">
        <v>401</v>
      </c>
      <c r="C33" s="562">
        <v>1</v>
      </c>
      <c r="D33" s="563" t="s">
        <v>512</v>
      </c>
      <c r="E33" s="563">
        <f>250*1</f>
        <v>250</v>
      </c>
      <c r="F33" s="564">
        <v>2</v>
      </c>
      <c r="G33" s="565">
        <f t="shared" si="24"/>
        <v>500</v>
      </c>
      <c r="H33" s="556"/>
      <c r="I33" s="556"/>
    </row>
    <row r="34" spans="1:9" ht="13.5" thickBot="1">
      <c r="A34" s="363"/>
      <c r="B34" s="376"/>
      <c r="C34" s="364"/>
      <c r="D34" s="365"/>
      <c r="E34" s="364"/>
      <c r="F34" s="364"/>
      <c r="G34" s="364"/>
      <c r="H34" s="377"/>
      <c r="I34" s="377"/>
    </row>
    <row r="35" spans="1:9">
      <c r="A35" s="566">
        <v>45849</v>
      </c>
      <c r="B35" s="561" t="s">
        <v>482</v>
      </c>
      <c r="C35" s="562">
        <v>1</v>
      </c>
      <c r="D35" s="563" t="s">
        <v>493</v>
      </c>
      <c r="E35" s="563">
        <f>256.5*1</f>
        <v>256.5</v>
      </c>
      <c r="F35" s="564">
        <v>28</v>
      </c>
      <c r="G35" s="565">
        <f t="shared" ref="G35" si="25">+E35*F35</f>
        <v>7182</v>
      </c>
      <c r="H35" s="556">
        <f t="shared" ref="H35" si="26">+SUM(G35/F35)</f>
        <v>256.5</v>
      </c>
      <c r="I35" s="556">
        <f>+'11'!I38</f>
        <v>41.667999999999999</v>
      </c>
    </row>
    <row r="36" spans="1:9" ht="13.5" thickBot="1">
      <c r="A36" s="363"/>
      <c r="B36" s="376"/>
      <c r="C36" s="364"/>
      <c r="D36" s="365"/>
      <c r="E36" s="364"/>
      <c r="F36" s="364"/>
      <c r="G36" s="364"/>
      <c r="H36" s="377"/>
      <c r="I36" s="377"/>
    </row>
    <row r="37" spans="1:9">
      <c r="A37" s="566">
        <v>45850</v>
      </c>
      <c r="B37" s="561" t="s">
        <v>482</v>
      </c>
      <c r="C37" s="562">
        <v>1</v>
      </c>
      <c r="D37" s="563" t="s">
        <v>493</v>
      </c>
      <c r="E37" s="563">
        <f>256.5*1</f>
        <v>256.5</v>
      </c>
      <c r="F37" s="564">
        <v>29</v>
      </c>
      <c r="G37" s="565">
        <f t="shared" ref="G37" si="27">+E37*F37</f>
        <v>7438.5</v>
      </c>
      <c r="H37" s="556">
        <f t="shared" ref="H37" si="28">+SUM(G37/F37)</f>
        <v>256.5</v>
      </c>
      <c r="I37" s="556">
        <f>+'12'!I38</f>
        <v>46.683999999999997</v>
      </c>
    </row>
    <row r="38" spans="1:9" ht="13.5" thickBot="1">
      <c r="A38" s="363"/>
      <c r="B38" s="376"/>
      <c r="C38" s="364"/>
      <c r="D38" s="365"/>
      <c r="E38" s="364"/>
      <c r="F38" s="364"/>
      <c r="G38" s="364"/>
      <c r="H38" s="377"/>
      <c r="I38" s="377"/>
    </row>
    <row r="39" spans="1:9">
      <c r="A39" s="566">
        <v>45851</v>
      </c>
      <c r="B39" s="561" t="s">
        <v>482</v>
      </c>
      <c r="C39" s="562">
        <v>1</v>
      </c>
      <c r="D39" s="563" t="s">
        <v>493</v>
      </c>
      <c r="E39" s="563">
        <f>256.5*1</f>
        <v>256.5</v>
      </c>
      <c r="F39" s="564">
        <v>8</v>
      </c>
      <c r="G39" s="565">
        <f t="shared" ref="G39" si="29">+E39*F39</f>
        <v>2052</v>
      </c>
      <c r="H39" s="556">
        <f t="shared" ref="H39" si="30">+SUM(G39/F39)</f>
        <v>256.5</v>
      </c>
      <c r="I39" s="556">
        <f>+'13'!I38</f>
        <v>40.834000000000003</v>
      </c>
    </row>
    <row r="40" spans="1:9">
      <c r="A40" s="566"/>
      <c r="B40" s="561" t="s">
        <v>536</v>
      </c>
      <c r="C40" s="562">
        <v>1</v>
      </c>
      <c r="D40" s="563" t="s">
        <v>542</v>
      </c>
      <c r="E40" s="563">
        <f>122.5*2</f>
        <v>245</v>
      </c>
      <c r="F40" s="564">
        <v>12</v>
      </c>
      <c r="G40" s="565">
        <f t="shared" ref="G40" si="31">+E40*F40</f>
        <v>2940</v>
      </c>
      <c r="H40" s="556">
        <f t="shared" ref="H40" si="32">+SUM(G40/F40)</f>
        <v>245</v>
      </c>
      <c r="I40" s="556"/>
    </row>
    <row r="41" spans="1:9" ht="13.5" thickBot="1">
      <c r="A41" s="363"/>
      <c r="B41" s="376"/>
      <c r="C41" s="364"/>
      <c r="D41" s="365"/>
      <c r="E41" s="364"/>
      <c r="F41" s="364"/>
      <c r="G41" s="364"/>
      <c r="H41" s="377"/>
      <c r="I41" s="377"/>
    </row>
    <row r="42" spans="1:9">
      <c r="A42" s="566">
        <v>45852</v>
      </c>
      <c r="B42" s="561" t="s">
        <v>536</v>
      </c>
      <c r="C42" s="562">
        <v>1</v>
      </c>
      <c r="D42" s="563" t="s">
        <v>542</v>
      </c>
      <c r="E42" s="563">
        <f>122.5*2</f>
        <v>245</v>
      </c>
      <c r="F42" s="564">
        <v>2</v>
      </c>
      <c r="G42" s="565">
        <f t="shared" ref="G42" si="33">+E42*F42</f>
        <v>490</v>
      </c>
      <c r="H42" s="556">
        <f>+SUM(G42/F42)</f>
        <v>245</v>
      </c>
      <c r="I42" s="556">
        <f>+'14'!I38</f>
        <v>12.348000000000001</v>
      </c>
    </row>
    <row r="43" spans="1:9">
      <c r="A43" s="566"/>
      <c r="B43" s="561" t="s">
        <v>437</v>
      </c>
      <c r="C43" s="562">
        <v>1</v>
      </c>
      <c r="D43" s="563" t="s">
        <v>457</v>
      </c>
      <c r="E43" s="563">
        <f>133*2</f>
        <v>266</v>
      </c>
      <c r="F43" s="564">
        <v>13</v>
      </c>
      <c r="G43" s="565">
        <f t="shared" ref="G43" si="34">+E43*F43</f>
        <v>3458</v>
      </c>
      <c r="H43" s="556">
        <f>+SUM(G43/F43)</f>
        <v>266</v>
      </c>
      <c r="I43" s="556"/>
    </row>
    <row r="44" spans="1:9" ht="13.5" thickBot="1">
      <c r="A44" s="363"/>
      <c r="B44" s="376"/>
      <c r="C44" s="364"/>
      <c r="D44" s="365"/>
      <c r="E44" s="364"/>
      <c r="F44" s="364"/>
      <c r="G44" s="364"/>
      <c r="H44" s="377"/>
      <c r="I44" s="377"/>
    </row>
    <row r="45" spans="1:9">
      <c r="A45" s="566">
        <v>45853</v>
      </c>
      <c r="B45" s="561" t="s">
        <v>437</v>
      </c>
      <c r="C45" s="562">
        <v>1</v>
      </c>
      <c r="D45" s="563" t="s">
        <v>457</v>
      </c>
      <c r="E45" s="563">
        <f>133*2</f>
        <v>266</v>
      </c>
      <c r="F45" s="564">
        <v>7</v>
      </c>
      <c r="G45" s="565">
        <f t="shared" ref="G45" si="35">+E45*F45</f>
        <v>1862</v>
      </c>
      <c r="H45" s="556">
        <f t="shared" ref="H45" si="36">+SUM(G45/F45)</f>
        <v>266</v>
      </c>
      <c r="I45" s="556">
        <f>+'15'!I38</f>
        <v>43.017000000000003</v>
      </c>
    </row>
    <row r="46" spans="1:9">
      <c r="A46" s="566"/>
      <c r="B46" s="561" t="s">
        <v>404</v>
      </c>
      <c r="C46" s="562">
        <v>1</v>
      </c>
      <c r="D46" s="563" t="s">
        <v>457</v>
      </c>
      <c r="E46" s="563">
        <f>133*2</f>
        <v>266</v>
      </c>
      <c r="F46" s="564">
        <f>14+13+7+3+11</f>
        <v>48</v>
      </c>
      <c r="G46" s="565">
        <f t="shared" ref="G46:G47" si="37">+E46*F46</f>
        <v>12768</v>
      </c>
      <c r="H46" s="556">
        <f>+SUM(F46*E46+F47*E47+F48*E48)/SUM(F46:F48)</f>
        <v>263.39999999999998</v>
      </c>
      <c r="I46" s="556"/>
    </row>
    <row r="47" spans="1:9">
      <c r="A47" s="566"/>
      <c r="B47" s="561" t="s">
        <v>404</v>
      </c>
      <c r="C47" s="562">
        <v>1</v>
      </c>
      <c r="D47" s="563" t="s">
        <v>569</v>
      </c>
      <c r="E47" s="563">
        <f>40*3+45*3</f>
        <v>255</v>
      </c>
      <c r="F47" s="564">
        <f>5+3</f>
        <v>8</v>
      </c>
      <c r="G47" s="562">
        <f t="shared" si="37"/>
        <v>2040</v>
      </c>
      <c r="H47" s="556"/>
      <c r="I47" s="556"/>
    </row>
    <row r="48" spans="1:9">
      <c r="A48" s="566"/>
      <c r="B48" s="561" t="s">
        <v>404</v>
      </c>
      <c r="C48" s="562">
        <v>1</v>
      </c>
      <c r="D48" s="563" t="s">
        <v>570</v>
      </c>
      <c r="E48" s="563">
        <f>128.5*2</f>
        <v>257</v>
      </c>
      <c r="F48" s="564">
        <v>9</v>
      </c>
      <c r="G48" s="562">
        <f t="shared" ref="G48" si="38">+E48*F48</f>
        <v>2313</v>
      </c>
      <c r="H48" s="556"/>
      <c r="I48" s="556"/>
    </row>
    <row r="49" spans="1:9" ht="13.5" thickBot="1">
      <c r="A49" s="363"/>
      <c r="B49" s="376"/>
      <c r="C49" s="364"/>
      <c r="D49" s="365"/>
      <c r="E49" s="364"/>
      <c r="F49" s="364"/>
      <c r="G49" s="364"/>
      <c r="H49" s="377"/>
      <c r="I49" s="377"/>
    </row>
    <row r="50" spans="1:9">
      <c r="A50" s="566">
        <v>45854</v>
      </c>
      <c r="B50" s="561" t="s">
        <v>404</v>
      </c>
      <c r="C50" s="562">
        <v>1</v>
      </c>
      <c r="D50" s="563" t="s">
        <v>569</v>
      </c>
      <c r="E50" s="563">
        <f>40*3+45*3</f>
        <v>255</v>
      </c>
      <c r="F50" s="564">
        <f>60/6</f>
        <v>10</v>
      </c>
      <c r="G50" s="562">
        <f t="shared" ref="G50:G51" si="39">+E50*F50</f>
        <v>2550</v>
      </c>
      <c r="H50" s="556">
        <f>+SUM(F50*E50+F51*E51+F52*E52)/SUM(F50:F52)</f>
        <v>256.74358974358972</v>
      </c>
      <c r="I50" s="556">
        <f>+'16'!I38</f>
        <v>43.494</v>
      </c>
    </row>
    <row r="51" spans="1:9">
      <c r="A51" s="566"/>
      <c r="B51" s="561" t="s">
        <v>404</v>
      </c>
      <c r="C51" s="562">
        <v>1</v>
      </c>
      <c r="D51" s="563" t="s">
        <v>570</v>
      </c>
      <c r="E51" s="563">
        <f>128.5*2</f>
        <v>257</v>
      </c>
      <c r="F51" s="564">
        <f>136/2</f>
        <v>68</v>
      </c>
      <c r="G51" s="562">
        <f t="shared" si="39"/>
        <v>17476</v>
      </c>
      <c r="H51" s="556"/>
      <c r="I51" s="556"/>
    </row>
    <row r="52" spans="1:9" ht="13.5" thickBot="1">
      <c r="A52" s="363"/>
      <c r="B52" s="376"/>
      <c r="C52" s="364"/>
      <c r="D52" s="365"/>
      <c r="E52" s="364"/>
      <c r="F52" s="364"/>
      <c r="G52" s="364"/>
      <c r="H52" s="377"/>
      <c r="I52" s="377"/>
    </row>
    <row r="53" spans="1:9">
      <c r="A53" s="566">
        <v>45855</v>
      </c>
      <c r="B53" s="561" t="s">
        <v>404</v>
      </c>
      <c r="C53" s="562">
        <v>1</v>
      </c>
      <c r="D53" s="563" t="s">
        <v>570</v>
      </c>
      <c r="E53" s="563">
        <f>128.5*2</f>
        <v>257</v>
      </c>
      <c r="F53" s="564">
        <f>158/2</f>
        <v>79</v>
      </c>
      <c r="G53" s="562">
        <f t="shared" ref="G53" si="40">+E53*F53</f>
        <v>20303</v>
      </c>
      <c r="H53" s="556">
        <f t="shared" ref="H53" si="41">+SUM(G53/F53)</f>
        <v>257</v>
      </c>
      <c r="I53" s="556">
        <f>+'17'!I38</f>
        <v>45.206000000000003</v>
      </c>
    </row>
    <row r="54" spans="1:9" ht="13.5" thickBot="1">
      <c r="A54" s="363"/>
      <c r="B54" s="376"/>
      <c r="C54" s="364"/>
      <c r="D54" s="365"/>
      <c r="E54" s="364"/>
      <c r="F54" s="364"/>
      <c r="G54" s="364"/>
      <c r="H54" s="377"/>
      <c r="I54" s="377"/>
    </row>
    <row r="55" spans="1:9">
      <c r="A55" s="566">
        <v>45856</v>
      </c>
      <c r="B55" s="561" t="s">
        <v>404</v>
      </c>
      <c r="C55" s="562">
        <v>1</v>
      </c>
      <c r="D55" s="563" t="s">
        <v>570</v>
      </c>
      <c r="E55" s="563">
        <f>128.5*2</f>
        <v>257</v>
      </c>
      <c r="F55" s="564">
        <v>45</v>
      </c>
      <c r="G55" s="562">
        <f t="shared" ref="G55" si="42">+E55*F55</f>
        <v>11565</v>
      </c>
      <c r="H55" s="556">
        <f t="shared" ref="H55" si="43">+SUM(G55/F55)</f>
        <v>257</v>
      </c>
      <c r="I55" s="556">
        <f>+'18'!I38</f>
        <v>45.74</v>
      </c>
    </row>
    <row r="56" spans="1:9">
      <c r="A56" s="566"/>
      <c r="B56" s="561" t="s">
        <v>579</v>
      </c>
      <c r="C56" s="562">
        <v>1</v>
      </c>
      <c r="D56" s="563" t="s">
        <v>588</v>
      </c>
      <c r="E56" s="563">
        <f>253*1</f>
        <v>253</v>
      </c>
      <c r="F56" s="564">
        <f>30+5</f>
        <v>35</v>
      </c>
      <c r="G56" s="565">
        <f t="shared" ref="G56" si="44">+E56*F56</f>
        <v>8855</v>
      </c>
      <c r="H56" s="556">
        <f t="shared" ref="H56" si="45">+SUM(G56/F56)</f>
        <v>253</v>
      </c>
      <c r="I56" s="556"/>
    </row>
    <row r="57" spans="1:9" ht="13.5" thickBot="1">
      <c r="A57" s="363"/>
      <c r="B57" s="376"/>
      <c r="C57" s="364"/>
      <c r="D57" s="365"/>
      <c r="E57" s="364"/>
      <c r="F57" s="364"/>
      <c r="G57" s="364"/>
      <c r="H57" s="377"/>
      <c r="I57" s="377"/>
    </row>
    <row r="58" spans="1:9">
      <c r="A58" s="566">
        <v>45857</v>
      </c>
      <c r="B58" s="561" t="s">
        <v>579</v>
      </c>
      <c r="C58" s="562">
        <v>1</v>
      </c>
      <c r="D58" s="563" t="s">
        <v>588</v>
      </c>
      <c r="E58" s="563">
        <f>253*1</f>
        <v>253</v>
      </c>
      <c r="F58" s="564">
        <f>22+23</f>
        <v>45</v>
      </c>
      <c r="G58" s="565">
        <f t="shared" ref="G58" si="46">+E58*F58</f>
        <v>11385</v>
      </c>
      <c r="H58" s="556">
        <f t="shared" ref="H58" si="47">+SUM(G58/F58)</f>
        <v>253</v>
      </c>
      <c r="I58" s="556">
        <f>+'19'!I38</f>
        <v>46.280999999999999</v>
      </c>
    </row>
    <row r="59" spans="1:9">
      <c r="A59" s="566"/>
      <c r="B59" s="561" t="s">
        <v>401</v>
      </c>
      <c r="C59" s="562">
        <v>1</v>
      </c>
      <c r="D59" s="563" t="s">
        <v>419</v>
      </c>
      <c r="E59" s="563">
        <f>257*1</f>
        <v>257</v>
      </c>
      <c r="F59" s="564">
        <f>22+3</f>
        <v>25</v>
      </c>
      <c r="G59" s="565">
        <f t="shared" ref="G59" si="48">+E59*F59</f>
        <v>6425</v>
      </c>
      <c r="H59" s="556">
        <f t="shared" ref="H59" si="49">+SUM(G59/F59)</f>
        <v>257</v>
      </c>
      <c r="I59" s="556"/>
    </row>
    <row r="60" spans="1:9" ht="13.5" thickBot="1">
      <c r="A60" s="363"/>
      <c r="B60" s="376"/>
      <c r="C60" s="364"/>
      <c r="D60" s="365"/>
      <c r="E60" s="364"/>
      <c r="F60" s="364"/>
      <c r="G60" s="364"/>
      <c r="H60" s="377"/>
      <c r="I60" s="377"/>
    </row>
    <row r="61" spans="1:9">
      <c r="A61" s="566">
        <v>45858</v>
      </c>
      <c r="B61" s="561" t="s">
        <v>401</v>
      </c>
      <c r="C61" s="562">
        <v>1</v>
      </c>
      <c r="D61" s="563" t="s">
        <v>419</v>
      </c>
      <c r="E61" s="563">
        <f>257*1</f>
        <v>257</v>
      </c>
      <c r="F61" s="564">
        <f>22+3</f>
        <v>25</v>
      </c>
      <c r="G61" s="565">
        <f t="shared" ref="G61" si="50">+E61*F61</f>
        <v>6425</v>
      </c>
      <c r="H61" s="556">
        <f t="shared" ref="H61" si="51">+SUM(G61/F61)</f>
        <v>257</v>
      </c>
      <c r="I61" s="556">
        <f>+'20'!I38</f>
        <v>44.621000000000002</v>
      </c>
    </row>
    <row r="62" spans="1:9" ht="13.5" thickBot="1">
      <c r="A62" s="363"/>
      <c r="B62" s="376"/>
      <c r="C62" s="364"/>
      <c r="D62" s="365"/>
      <c r="E62" s="364"/>
      <c r="F62" s="364"/>
      <c r="G62" s="364"/>
      <c r="H62" s="377"/>
      <c r="I62" s="377"/>
    </row>
    <row r="63" spans="1:9">
      <c r="A63" s="566">
        <v>45859</v>
      </c>
      <c r="B63" s="561" t="s">
        <v>401</v>
      </c>
      <c r="C63" s="562">
        <v>1</v>
      </c>
      <c r="D63" s="563" t="s">
        <v>419</v>
      </c>
      <c r="E63" s="563">
        <f>257*1</f>
        <v>257</v>
      </c>
      <c r="F63" s="564">
        <v>17</v>
      </c>
      <c r="G63" s="565">
        <f t="shared" ref="G63:G64" si="52">+E63*F63</f>
        <v>4369</v>
      </c>
      <c r="H63" s="556">
        <f t="shared" ref="H63" si="53">+SUM(G63/F63)</f>
        <v>257</v>
      </c>
      <c r="I63" s="556">
        <f>+'21'!I38</f>
        <v>40.161000000000001</v>
      </c>
    </row>
    <row r="64" spans="1:9">
      <c r="A64" s="566"/>
      <c r="B64" s="561" t="s">
        <v>536</v>
      </c>
      <c r="C64" s="562">
        <v>1</v>
      </c>
      <c r="D64" s="563" t="s">
        <v>608</v>
      </c>
      <c r="E64" s="563">
        <f>140+122.5</f>
        <v>262.5</v>
      </c>
      <c r="F64" s="564">
        <f>84/2</f>
        <v>42</v>
      </c>
      <c r="G64" s="565">
        <f t="shared" si="52"/>
        <v>11025</v>
      </c>
      <c r="H64" s="556">
        <f>+SUM(G64/F64)</f>
        <v>262.5</v>
      </c>
      <c r="I64" s="556"/>
    </row>
    <row r="65" spans="1:9" ht="13.5" thickBot="1">
      <c r="A65" s="363"/>
      <c r="B65" s="376"/>
      <c r="C65" s="364"/>
      <c r="D65" s="365"/>
      <c r="E65" s="364"/>
      <c r="F65" s="364"/>
      <c r="G65" s="364"/>
      <c r="H65" s="377"/>
      <c r="I65" s="377"/>
    </row>
    <row r="66" spans="1:9">
      <c r="A66" s="566">
        <v>45860</v>
      </c>
      <c r="B66" s="561" t="s">
        <v>536</v>
      </c>
      <c r="C66" s="562">
        <v>1</v>
      </c>
      <c r="D66" s="563" t="s">
        <v>608</v>
      </c>
      <c r="E66" s="563">
        <f>140+122.5</f>
        <v>262.5</v>
      </c>
      <c r="F66" s="564">
        <v>10</v>
      </c>
      <c r="G66" s="565">
        <f t="shared" ref="G66" si="54">+E66*F66</f>
        <v>2625</v>
      </c>
      <c r="H66" s="556">
        <f>+SUM(G66/F66)</f>
        <v>262.5</v>
      </c>
      <c r="I66" s="556">
        <f>+'22'!I38</f>
        <v>44.03</v>
      </c>
    </row>
    <row r="67" spans="1:9">
      <c r="A67" s="566"/>
      <c r="B67" s="561" t="s">
        <v>611</v>
      </c>
      <c r="C67" s="562">
        <v>1</v>
      </c>
      <c r="D67" s="563" t="s">
        <v>621</v>
      </c>
      <c r="E67" s="563">
        <f>140+120</f>
        <v>260</v>
      </c>
      <c r="F67" s="564">
        <f>102/2</f>
        <v>51</v>
      </c>
      <c r="G67" s="565">
        <f t="shared" ref="G67" si="55">+E67*F67</f>
        <v>13260</v>
      </c>
      <c r="H67" s="556">
        <f>+SUM(G67/F67)</f>
        <v>260</v>
      </c>
      <c r="I67" s="556"/>
    </row>
    <row r="68" spans="1:9" ht="13.5" thickBot="1">
      <c r="A68" s="363"/>
      <c r="B68" s="376"/>
      <c r="C68" s="364"/>
      <c r="D68" s="365"/>
      <c r="E68" s="364"/>
      <c r="F68" s="364"/>
      <c r="G68" s="364"/>
      <c r="H68" s="377"/>
      <c r="I68" s="377"/>
    </row>
    <row r="69" spans="1:9">
      <c r="A69" s="566">
        <v>45861</v>
      </c>
      <c r="B69" s="561" t="s">
        <v>611</v>
      </c>
      <c r="C69" s="562">
        <v>1</v>
      </c>
      <c r="D69" s="563" t="s">
        <v>621</v>
      </c>
      <c r="E69" s="563">
        <f>140+120</f>
        <v>260</v>
      </c>
      <c r="F69" s="564">
        <f>102/2</f>
        <v>51</v>
      </c>
      <c r="G69" s="565">
        <f t="shared" ref="G69" si="56">+E69*F69</f>
        <v>13260</v>
      </c>
      <c r="H69" s="556">
        <f>+SUM(G69/F69)</f>
        <v>260</v>
      </c>
      <c r="I69" s="556">
        <f>+'23'!I38</f>
        <v>26.029</v>
      </c>
    </row>
    <row r="70" spans="1:9" ht="13.5" thickBot="1">
      <c r="A70" s="363"/>
      <c r="B70" s="376"/>
      <c r="C70" s="364"/>
      <c r="D70" s="365"/>
      <c r="E70" s="364"/>
      <c r="F70" s="364"/>
      <c r="G70" s="364"/>
      <c r="H70" s="377"/>
      <c r="I70" s="377"/>
    </row>
    <row r="71" spans="1:9">
      <c r="A71" s="566">
        <v>45862</v>
      </c>
      <c r="B71" s="561" t="s">
        <v>611</v>
      </c>
      <c r="C71" s="562">
        <v>1</v>
      </c>
      <c r="D71" s="563" t="s">
        <v>621</v>
      </c>
      <c r="E71" s="563">
        <f>140+120</f>
        <v>260</v>
      </c>
      <c r="F71" s="564">
        <v>49</v>
      </c>
      <c r="G71" s="565">
        <f t="shared" ref="G71" si="57">+E71*F71</f>
        <v>12740</v>
      </c>
      <c r="H71" s="556">
        <f>+SUM(G71/F71)</f>
        <v>260</v>
      </c>
      <c r="I71" s="556">
        <f>+'24'!I38</f>
        <v>42.289000000000001</v>
      </c>
    </row>
    <row r="72" spans="1:9" ht="13.5" thickBot="1">
      <c r="A72" s="363"/>
      <c r="B72" s="376"/>
      <c r="C72" s="364"/>
      <c r="D72" s="365"/>
      <c r="E72" s="364"/>
      <c r="F72" s="364"/>
      <c r="G72" s="364"/>
      <c r="H72" s="377"/>
      <c r="I72" s="377"/>
    </row>
    <row r="73" spans="1:9">
      <c r="A73" s="566">
        <v>45863</v>
      </c>
      <c r="B73" s="561" t="s">
        <v>611</v>
      </c>
      <c r="C73" s="562">
        <v>1</v>
      </c>
      <c r="D73" s="563" t="s">
        <v>621</v>
      </c>
      <c r="E73" s="563">
        <f>140+120</f>
        <v>260</v>
      </c>
      <c r="F73" s="564">
        <f>110/2</f>
        <v>55</v>
      </c>
      <c r="G73" s="565">
        <f t="shared" ref="G73" si="58">+E73*F73</f>
        <v>14300</v>
      </c>
      <c r="H73" s="556">
        <f>+SUM(G73/F73)</f>
        <v>260</v>
      </c>
      <c r="I73" s="556">
        <f>+'25'!I38</f>
        <v>43.67</v>
      </c>
    </row>
    <row r="74" spans="1:9" ht="13.5" thickBot="1">
      <c r="A74" s="363"/>
      <c r="B74" s="376"/>
      <c r="C74" s="364"/>
      <c r="D74" s="365"/>
      <c r="E74" s="364"/>
      <c r="F74" s="364"/>
      <c r="G74" s="364"/>
      <c r="H74" s="377"/>
      <c r="I74" s="377"/>
    </row>
    <row r="75" spans="1:9">
      <c r="A75" s="566">
        <v>45864</v>
      </c>
      <c r="B75" s="561" t="s">
        <v>611</v>
      </c>
      <c r="C75" s="562">
        <v>1</v>
      </c>
      <c r="D75" s="563" t="s">
        <v>621</v>
      </c>
      <c r="E75" s="563">
        <f>140+120</f>
        <v>260</v>
      </c>
      <c r="F75" s="564">
        <f>124/2</f>
        <v>62</v>
      </c>
      <c r="G75" s="565">
        <f t="shared" ref="G75" si="59">+E75*F75</f>
        <v>16120</v>
      </c>
      <c r="H75" s="556">
        <f>+SUM(G75/F75)</f>
        <v>260</v>
      </c>
      <c r="I75" s="556">
        <f>+'26'!I38</f>
        <v>44.673000000000002</v>
      </c>
    </row>
    <row r="76" spans="1:9" ht="13.5" thickBot="1">
      <c r="A76" s="363"/>
      <c r="B76" s="376"/>
      <c r="C76" s="364"/>
      <c r="D76" s="365"/>
      <c r="E76" s="364"/>
      <c r="F76" s="364"/>
      <c r="G76" s="364"/>
      <c r="H76" s="377"/>
      <c r="I76" s="377"/>
    </row>
    <row r="77" spans="1:9">
      <c r="A77" s="566">
        <v>45865</v>
      </c>
      <c r="B77" s="561" t="s">
        <v>611</v>
      </c>
      <c r="C77" s="562">
        <v>1</v>
      </c>
      <c r="D77" s="563" t="s">
        <v>621</v>
      </c>
      <c r="E77" s="563">
        <f>140+120</f>
        <v>260</v>
      </c>
      <c r="F77" s="564">
        <f>124/2</f>
        <v>62</v>
      </c>
      <c r="G77" s="565">
        <f t="shared" ref="G77" si="60">+E77*F77</f>
        <v>16120</v>
      </c>
      <c r="H77" s="556">
        <f>+SUM(G77/F77)</f>
        <v>260</v>
      </c>
      <c r="I77" s="556">
        <f>+'27'!I38</f>
        <v>45.445</v>
      </c>
    </row>
    <row r="78" spans="1:9">
      <c r="A78" s="566"/>
      <c r="B78" s="561" t="s">
        <v>437</v>
      </c>
      <c r="C78" s="562">
        <v>1</v>
      </c>
      <c r="D78" s="563" t="s">
        <v>662</v>
      </c>
      <c r="E78" s="563">
        <f>255*1</f>
        <v>255</v>
      </c>
      <c r="F78" s="564">
        <v>0</v>
      </c>
      <c r="G78" s="565">
        <v>0</v>
      </c>
      <c r="H78" s="556">
        <f>+E78</f>
        <v>255</v>
      </c>
      <c r="I78" s="556"/>
    </row>
    <row r="79" spans="1:9" ht="13.5" thickBot="1">
      <c r="A79" s="363"/>
      <c r="B79" s="376"/>
      <c r="C79" s="364"/>
      <c r="D79" s="365"/>
      <c r="E79" s="364"/>
      <c r="F79" s="364"/>
      <c r="G79" s="364"/>
      <c r="H79" s="377"/>
      <c r="I79" s="377"/>
    </row>
    <row r="80" spans="1:9">
      <c r="A80" s="566">
        <v>45866</v>
      </c>
      <c r="B80" s="561" t="s">
        <v>611</v>
      </c>
      <c r="C80" s="562">
        <v>1</v>
      </c>
      <c r="D80" s="563" t="s">
        <v>621</v>
      </c>
      <c r="E80" s="563">
        <f>140+120</f>
        <v>260</v>
      </c>
      <c r="F80" s="564">
        <v>2</v>
      </c>
      <c r="G80" s="565">
        <f t="shared" ref="G80" si="61">+E80*F80</f>
        <v>520</v>
      </c>
      <c r="H80" s="556">
        <f>+SUM(G80/F80)</f>
        <v>260</v>
      </c>
      <c r="I80" s="556">
        <f>+'28'!I38</f>
        <v>42.545000000000002</v>
      </c>
    </row>
    <row r="81" spans="1:9">
      <c r="A81" s="566"/>
      <c r="B81" s="561" t="s">
        <v>437</v>
      </c>
      <c r="C81" s="562">
        <v>1</v>
      </c>
      <c r="D81" s="563" t="s">
        <v>673</v>
      </c>
      <c r="E81" s="563">
        <f>120+135</f>
        <v>255</v>
      </c>
      <c r="F81" s="564">
        <f>13+3</f>
        <v>16</v>
      </c>
      <c r="G81" s="565">
        <f t="shared" ref="G81:G82" si="62">+E81*F81</f>
        <v>4080</v>
      </c>
      <c r="H81" s="556">
        <f>+SUM(F81*E81+F82*E82+F83*E83)/SUM(F81:F83)</f>
        <v>260.92105263157896</v>
      </c>
      <c r="I81" s="556"/>
    </row>
    <row r="82" spans="1:9">
      <c r="A82" s="566"/>
      <c r="B82" s="561" t="s">
        <v>437</v>
      </c>
      <c r="C82" s="562">
        <v>1</v>
      </c>
      <c r="D82" s="563" t="s">
        <v>608</v>
      </c>
      <c r="E82" s="563">
        <f>140+122.5</f>
        <v>262.5</v>
      </c>
      <c r="F82" s="564">
        <f>2+13+13+4+13+4+11</f>
        <v>60</v>
      </c>
      <c r="G82" s="565">
        <f t="shared" si="62"/>
        <v>15750</v>
      </c>
      <c r="H82" s="556"/>
      <c r="I82" s="556"/>
    </row>
    <row r="83" spans="1:9" ht="13.5" thickBot="1">
      <c r="A83" s="363"/>
      <c r="B83" s="376"/>
      <c r="C83" s="364"/>
      <c r="D83" s="365"/>
      <c r="E83" s="364"/>
      <c r="F83" s="364"/>
      <c r="G83" s="364"/>
      <c r="H83" s="377"/>
      <c r="I83" s="377"/>
    </row>
    <row r="84" spans="1:9">
      <c r="A84" s="566">
        <v>45867</v>
      </c>
      <c r="B84" s="561" t="s">
        <v>437</v>
      </c>
      <c r="C84" s="562">
        <v>1</v>
      </c>
      <c r="D84" s="563" t="s">
        <v>608</v>
      </c>
      <c r="E84" s="563">
        <f>140+122.5</f>
        <v>262.5</v>
      </c>
      <c r="F84" s="564">
        <f>13+7+5+13+15+1</f>
        <v>54</v>
      </c>
      <c r="G84" s="565">
        <f t="shared" ref="G84:G85" si="63">+E84*F84</f>
        <v>14175</v>
      </c>
      <c r="H84" s="556">
        <f>+SUM(G84/F84)</f>
        <v>262.5</v>
      </c>
      <c r="I84" s="556">
        <f>+'29'!I38</f>
        <v>42.968000000000004</v>
      </c>
    </row>
    <row r="85" spans="1:9">
      <c r="A85" s="566"/>
      <c r="B85" s="561" t="s">
        <v>404</v>
      </c>
      <c r="C85" s="562">
        <v>1</v>
      </c>
      <c r="D85" s="563" t="s">
        <v>679</v>
      </c>
      <c r="E85" s="563">
        <f>47.5+107.5*2</f>
        <v>262.5</v>
      </c>
      <c r="F85" s="564">
        <f>10+10+2</f>
        <v>22</v>
      </c>
      <c r="G85" s="565">
        <f t="shared" si="63"/>
        <v>5775</v>
      </c>
      <c r="H85" s="556">
        <f>+SUM(G85/F85)</f>
        <v>262.5</v>
      </c>
      <c r="I85" s="556"/>
    </row>
    <row r="86" spans="1:9" ht="13.5" thickBot="1">
      <c r="A86" s="363"/>
      <c r="B86" s="376"/>
      <c r="C86" s="364"/>
      <c r="D86" s="365"/>
      <c r="E86" s="364"/>
      <c r="F86" s="364"/>
      <c r="G86" s="364"/>
      <c r="H86" s="377"/>
      <c r="I86" s="377"/>
    </row>
    <row r="87" spans="1:9">
      <c r="A87" s="566">
        <v>45868</v>
      </c>
      <c r="B87" s="561" t="s">
        <v>404</v>
      </c>
      <c r="C87" s="562">
        <v>1</v>
      </c>
      <c r="D87" s="563" t="s">
        <v>679</v>
      </c>
      <c r="E87" s="563">
        <f>47.5+107.5*2</f>
        <v>262.5</v>
      </c>
      <c r="F87" s="564">
        <f>48/2</f>
        <v>24</v>
      </c>
      <c r="G87" s="565">
        <f t="shared" ref="G87:G88" si="64">+E87*F87</f>
        <v>6300</v>
      </c>
      <c r="H87" s="556">
        <f>+SUM(G87/F87)</f>
        <v>262.5</v>
      </c>
      <c r="I87" s="556">
        <f>+'29'!I38</f>
        <v>42.968000000000004</v>
      </c>
    </row>
    <row r="88" spans="1:9">
      <c r="A88" s="566"/>
      <c r="B88" s="561" t="s">
        <v>482</v>
      </c>
      <c r="C88" s="562">
        <v>1</v>
      </c>
      <c r="D88" s="563" t="s">
        <v>686</v>
      </c>
      <c r="E88" s="563">
        <f>129+140</f>
        <v>269</v>
      </c>
      <c r="F88" s="564">
        <f>25+33+4</f>
        <v>62</v>
      </c>
      <c r="G88" s="565">
        <f t="shared" si="64"/>
        <v>16678</v>
      </c>
      <c r="H88" s="556">
        <f>+SUM(G88/F88)</f>
        <v>269</v>
      </c>
      <c r="I88" s="556"/>
    </row>
    <row r="89" spans="1:9" ht="13.5" thickBot="1">
      <c r="A89" s="363"/>
      <c r="B89" s="376"/>
      <c r="C89" s="364"/>
      <c r="D89" s="365"/>
      <c r="E89" s="364"/>
      <c r="F89" s="364"/>
      <c r="G89" s="364"/>
      <c r="H89" s="377"/>
      <c r="I89" s="377"/>
    </row>
    <row r="90" spans="1:9">
      <c r="A90" s="566">
        <v>45869</v>
      </c>
      <c r="B90" s="561" t="s">
        <v>482</v>
      </c>
      <c r="C90" s="562">
        <v>1</v>
      </c>
      <c r="D90" s="563" t="s">
        <v>686</v>
      </c>
      <c r="E90" s="563">
        <f>129+140</f>
        <v>269</v>
      </c>
      <c r="F90" s="564">
        <f>152/2</f>
        <v>76</v>
      </c>
      <c r="G90" s="565">
        <f t="shared" ref="G90" si="65">+E90*F90</f>
        <v>20444</v>
      </c>
      <c r="H90" s="556">
        <f>+SUM(G90/F90)</f>
        <v>269</v>
      </c>
      <c r="I90" s="556">
        <f>+'31'!I38</f>
        <v>45.920999999999999</v>
      </c>
    </row>
    <row r="91" spans="1:9" ht="13.5" thickBot="1">
      <c r="A91" s="363"/>
      <c r="B91" s="376"/>
      <c r="C91" s="364"/>
      <c r="D91" s="365"/>
      <c r="E91" s="364"/>
      <c r="F91" s="364"/>
      <c r="G91" s="364"/>
      <c r="H91" s="377"/>
      <c r="I91" s="377"/>
    </row>
  </sheetData>
  <phoneticPr fontId="32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72"/>
  <sheetViews>
    <sheetView tabSelected="1" zoomScale="90" zoomScaleNormal="90" workbookViewId="0">
      <pane xSplit="6" ySplit="6" topLeftCell="Q134" activePane="bottomRight" state="frozen"/>
      <selection pane="topRight" activeCell="F1" sqref="F1"/>
      <selection pane="bottomLeft" activeCell="A7" sqref="A7"/>
      <selection pane="bottomRight" activeCell="T148" sqref="T148"/>
    </sheetView>
  </sheetViews>
  <sheetFormatPr defaultColWidth="10.28515625" defaultRowHeight="12"/>
  <cols>
    <col min="1" max="1" width="12.28515625" style="30" customWidth="1"/>
    <col min="2" max="3" width="14.140625" style="30" customWidth="1"/>
    <col min="4" max="4" width="10.28515625" style="30" customWidth="1"/>
    <col min="5" max="5" width="7.5703125" style="30" bestFit="1" customWidth="1"/>
    <col min="6" max="6" width="7" style="55" customWidth="1"/>
    <col min="7" max="9" width="10.28515625" style="30" customWidth="1"/>
    <col min="10" max="11" width="10.28515625" style="84" customWidth="1"/>
    <col min="12" max="13" width="12.7109375" style="56" customWidth="1"/>
    <col min="14" max="15" width="10.28515625" style="30" customWidth="1"/>
    <col min="16" max="16" width="16.85546875" style="30" bestFit="1" customWidth="1"/>
    <col min="17" max="17" width="12.7109375" style="331" customWidth="1"/>
    <col min="18" max="18" width="12.7109375" style="30" bestFit="1" customWidth="1"/>
    <col min="19" max="19" width="12" style="30" bestFit="1" customWidth="1"/>
    <col min="20" max="20" width="10.7109375" style="30" customWidth="1"/>
    <col min="21" max="21" width="11.8554687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1.42578125" style="30" customWidth="1"/>
    <col min="32" max="38" width="10.28515625" style="30" customWidth="1"/>
    <col min="39" max="39" width="11.7109375" style="30" customWidth="1"/>
    <col min="40" max="41" width="10.28515625" style="30" customWidth="1"/>
    <col min="42" max="43" width="12.42578125" style="30" customWidth="1"/>
    <col min="44" max="44" width="29.7109375" style="30" customWidth="1"/>
    <col min="45" max="53" width="10.28515625" style="30" customWidth="1"/>
    <col min="54" max="16384" width="10.28515625" style="30"/>
  </cols>
  <sheetData>
    <row r="1" spans="1:58" s="23" customFormat="1" ht="15.75">
      <c r="A1" s="22" t="s">
        <v>186</v>
      </c>
      <c r="G1" s="24"/>
      <c r="H1" s="24"/>
      <c r="I1" s="24"/>
      <c r="J1" s="81"/>
      <c r="K1" s="81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1"/>
      <c r="G2" s="24"/>
      <c r="H2" s="24"/>
      <c r="I2" s="24"/>
      <c r="J2" s="81"/>
      <c r="K2" s="81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50" t="s">
        <v>8</v>
      </c>
      <c r="B3" s="650" t="s">
        <v>9</v>
      </c>
      <c r="C3" s="650" t="s">
        <v>181</v>
      </c>
      <c r="D3" s="650" t="s">
        <v>91</v>
      </c>
      <c r="E3" s="650" t="s">
        <v>92</v>
      </c>
      <c r="F3" s="650" t="s">
        <v>93</v>
      </c>
      <c r="G3" s="679" t="s">
        <v>94</v>
      </c>
      <c r="H3" s="680"/>
      <c r="I3" s="680"/>
      <c r="J3" s="680"/>
      <c r="K3" s="681"/>
      <c r="L3" s="685" t="s">
        <v>95</v>
      </c>
      <c r="M3" s="686"/>
      <c r="N3" s="687"/>
      <c r="O3" s="675" t="s">
        <v>96</v>
      </c>
      <c r="P3" s="660" t="s">
        <v>108</v>
      </c>
      <c r="Q3" s="675" t="s">
        <v>97</v>
      </c>
      <c r="R3" s="667" t="s">
        <v>98</v>
      </c>
      <c r="S3" s="667" t="s">
        <v>99</v>
      </c>
      <c r="T3" s="650" t="s">
        <v>153</v>
      </c>
      <c r="U3" s="650" t="s">
        <v>152</v>
      </c>
      <c r="V3" s="650" t="s">
        <v>154</v>
      </c>
      <c r="W3" s="667" t="s">
        <v>144</v>
      </c>
      <c r="X3" s="703" t="s">
        <v>101</v>
      </c>
      <c r="Y3" s="703" t="s">
        <v>293</v>
      </c>
      <c r="Z3" s="667" t="s">
        <v>102</v>
      </c>
      <c r="AA3" s="650" t="s">
        <v>155</v>
      </c>
      <c r="AB3" s="650" t="s">
        <v>166</v>
      </c>
      <c r="AC3" s="650" t="s">
        <v>164</v>
      </c>
      <c r="AD3" s="650" t="s">
        <v>126</v>
      </c>
      <c r="AE3" s="650" t="s">
        <v>127</v>
      </c>
      <c r="AF3" s="678" t="s">
        <v>128</v>
      </c>
      <c r="AG3" s="678"/>
      <c r="AH3" s="678"/>
      <c r="AI3" s="678"/>
      <c r="AJ3" s="678"/>
      <c r="AK3" s="678"/>
      <c r="AL3" s="678"/>
      <c r="AM3" s="672" t="s">
        <v>129</v>
      </c>
      <c r="AN3" s="656" t="s">
        <v>103</v>
      </c>
      <c r="AO3" s="656"/>
      <c r="AP3" s="656"/>
      <c r="AQ3" s="656"/>
      <c r="AR3" s="656"/>
      <c r="AS3" s="657" t="s">
        <v>104</v>
      </c>
      <c r="AT3" s="668" t="s">
        <v>289</v>
      </c>
      <c r="AU3" s="669"/>
      <c r="AV3" s="652" t="s">
        <v>130</v>
      </c>
      <c r="AW3" s="653"/>
      <c r="AX3" s="654" t="s">
        <v>130</v>
      </c>
      <c r="AY3" s="655"/>
      <c r="AZ3" s="661" t="s">
        <v>305</v>
      </c>
      <c r="BA3" s="666" t="s">
        <v>105</v>
      </c>
      <c r="BB3" s="698" t="s">
        <v>106</v>
      </c>
      <c r="BC3" s="698" t="s">
        <v>107</v>
      </c>
      <c r="BD3" s="692" t="s">
        <v>390</v>
      </c>
      <c r="BE3" s="695" t="s">
        <v>391</v>
      </c>
      <c r="BF3" s="698" t="s">
        <v>392</v>
      </c>
    </row>
    <row r="4" spans="1:58" ht="12" customHeight="1">
      <c r="A4" s="651"/>
      <c r="B4" s="651"/>
      <c r="C4" s="651"/>
      <c r="D4" s="651"/>
      <c r="E4" s="651"/>
      <c r="F4" s="651"/>
      <c r="G4" s="682"/>
      <c r="H4" s="683"/>
      <c r="I4" s="683"/>
      <c r="J4" s="683"/>
      <c r="K4" s="684"/>
      <c r="L4" s="688"/>
      <c r="M4" s="689"/>
      <c r="N4" s="690"/>
      <c r="O4" s="676"/>
      <c r="P4" s="648"/>
      <c r="Q4" s="676"/>
      <c r="R4" s="691"/>
      <c r="S4" s="691"/>
      <c r="T4" s="651"/>
      <c r="U4" s="651"/>
      <c r="V4" s="651"/>
      <c r="W4" s="691"/>
      <c r="X4" s="704"/>
      <c r="Y4" s="704"/>
      <c r="Z4" s="691"/>
      <c r="AA4" s="651"/>
      <c r="AB4" s="651"/>
      <c r="AC4" s="651"/>
      <c r="AD4" s="651"/>
      <c r="AE4" s="651"/>
      <c r="AF4" s="700" t="s">
        <v>131</v>
      </c>
      <c r="AG4" s="701"/>
      <c r="AH4" s="702"/>
      <c r="AI4" s="648" t="s">
        <v>378</v>
      </c>
      <c r="AJ4" s="648" t="s">
        <v>15</v>
      </c>
      <c r="AK4" s="648" t="s">
        <v>132</v>
      </c>
      <c r="AL4" s="648" t="s">
        <v>18</v>
      </c>
      <c r="AM4" s="673"/>
      <c r="AN4" s="659" t="s">
        <v>109</v>
      </c>
      <c r="AO4" s="659" t="s">
        <v>15</v>
      </c>
      <c r="AP4" s="659" t="s">
        <v>110</v>
      </c>
      <c r="AQ4" s="659" t="s">
        <v>18</v>
      </c>
      <c r="AR4" s="666" t="s">
        <v>111</v>
      </c>
      <c r="AS4" s="657"/>
      <c r="AT4" s="670"/>
      <c r="AU4" s="671"/>
      <c r="AV4" s="505" t="s">
        <v>6</v>
      </c>
      <c r="AW4" s="505" t="s">
        <v>133</v>
      </c>
      <c r="AX4" s="506" t="s">
        <v>6</v>
      </c>
      <c r="AY4" s="507" t="s">
        <v>133</v>
      </c>
      <c r="AZ4" s="662"/>
      <c r="BA4" s="666"/>
      <c r="BB4" s="698"/>
      <c r="BC4" s="698"/>
      <c r="BD4" s="693"/>
      <c r="BE4" s="696"/>
      <c r="BF4" s="698"/>
    </row>
    <row r="5" spans="1:58" s="33" customFormat="1" ht="48">
      <c r="A5" s="651"/>
      <c r="B5" s="651"/>
      <c r="C5" s="677"/>
      <c r="D5" s="651"/>
      <c r="E5" s="651"/>
      <c r="F5" s="651"/>
      <c r="G5" s="486" t="s">
        <v>112</v>
      </c>
      <c r="H5" s="485" t="s">
        <v>113</v>
      </c>
      <c r="I5" s="31" t="s">
        <v>114</v>
      </c>
      <c r="J5" s="82" t="s">
        <v>115</v>
      </c>
      <c r="K5" s="82" t="s">
        <v>100</v>
      </c>
      <c r="L5" s="32" t="s">
        <v>116</v>
      </c>
      <c r="M5" s="32" t="s">
        <v>117</v>
      </c>
      <c r="N5" s="485" t="s">
        <v>118</v>
      </c>
      <c r="O5" s="676"/>
      <c r="P5" s="649"/>
      <c r="Q5" s="676"/>
      <c r="R5" s="691"/>
      <c r="S5" s="691"/>
      <c r="T5" s="651"/>
      <c r="U5" s="651"/>
      <c r="V5" s="651"/>
      <c r="W5" s="691"/>
      <c r="X5" s="704"/>
      <c r="Y5" s="705"/>
      <c r="Z5" s="691"/>
      <c r="AA5" s="651"/>
      <c r="AB5" s="677"/>
      <c r="AC5" s="651"/>
      <c r="AD5" s="677"/>
      <c r="AE5" s="651"/>
      <c r="AF5" s="435" t="s">
        <v>294</v>
      </c>
      <c r="AG5" s="510" t="s">
        <v>295</v>
      </c>
      <c r="AH5" s="510" t="s">
        <v>296</v>
      </c>
      <c r="AI5" s="649"/>
      <c r="AJ5" s="649"/>
      <c r="AK5" s="649"/>
      <c r="AL5" s="649"/>
      <c r="AM5" s="674"/>
      <c r="AN5" s="660"/>
      <c r="AO5" s="660"/>
      <c r="AP5" s="660"/>
      <c r="AQ5" s="660"/>
      <c r="AR5" s="667"/>
      <c r="AS5" s="658"/>
      <c r="AT5" s="509" t="s">
        <v>290</v>
      </c>
      <c r="AU5" s="509" t="s">
        <v>291</v>
      </c>
      <c r="AV5" s="508" t="s">
        <v>292</v>
      </c>
      <c r="AW5" s="508" t="s">
        <v>292</v>
      </c>
      <c r="AX5" s="506" t="s">
        <v>17</v>
      </c>
      <c r="AY5" s="506" t="s">
        <v>17</v>
      </c>
      <c r="AZ5" s="663"/>
      <c r="BA5" s="667"/>
      <c r="BB5" s="650"/>
      <c r="BC5" s="650"/>
      <c r="BD5" s="694"/>
      <c r="BE5" s="697"/>
      <c r="BF5" s="699"/>
    </row>
    <row r="6" spans="1:58" ht="12.75" customHeight="1">
      <c r="A6" s="41">
        <f>+Report1!A9</f>
        <v>45839</v>
      </c>
      <c r="B6" s="42" t="s">
        <v>412</v>
      </c>
      <c r="C6" s="406">
        <f>(M6*E6*O6*Q6)/100000000</f>
        <v>24.323048201598834</v>
      </c>
      <c r="D6" s="42" t="s">
        <v>301</v>
      </c>
      <c r="E6" s="43">
        <v>12.5</v>
      </c>
      <c r="F6" s="43">
        <v>1</v>
      </c>
      <c r="G6" s="491">
        <v>1230</v>
      </c>
      <c r="H6" s="45">
        <v>0.23</v>
      </c>
      <c r="I6" s="46">
        <v>0.88</v>
      </c>
      <c r="J6" s="83">
        <f>E6*G6*(1-H6)*1440/1000000*2.74</f>
        <v>46.710971999999998</v>
      </c>
      <c r="K6" s="83">
        <f>(IF(G6&lt;L6,L6,G6)*(1-IF(H6&lt;N6,H6,N6))*E6*O6*Q6)/100000000</f>
        <v>25.374939974999997</v>
      </c>
      <c r="L6" s="36">
        <v>1179.0116279069769</v>
      </c>
      <c r="M6" s="36">
        <v>907.838953488372</v>
      </c>
      <c r="N6" s="47">
        <f>1-(M6/L6)</f>
        <v>0.2300000000000002</v>
      </c>
      <c r="O6" s="48">
        <f>+'Trim Rwd'!H4</f>
        <v>257</v>
      </c>
      <c r="P6" s="49">
        <f>O6*(Q6-R6-S6)</f>
        <v>165508</v>
      </c>
      <c r="Q6" s="48">
        <f>688+146</f>
        <v>834</v>
      </c>
      <c r="R6" s="492">
        <v>146</v>
      </c>
      <c r="S6" s="492">
        <v>44</v>
      </c>
      <c r="T6" s="38">
        <f>E6*M6*O6*Q6/100000000</f>
        <v>24.323048201598834</v>
      </c>
      <c r="U6" s="38">
        <f>E6*M6*O6*(Q6-R6-S6)/100000000</f>
        <v>18.781826189244185</v>
      </c>
      <c r="V6" s="38">
        <f>E6*G6*(1-N6)*O6/100*(R6+S6)/1000000</f>
        <v>5.7808616249999982</v>
      </c>
      <c r="W6" s="38">
        <f>+'1'!K7/1000</f>
        <v>21.164999999999999</v>
      </c>
      <c r="X6" s="493">
        <f>SUM(W6:W10)/SUM(K6:K10)</f>
        <v>0.79605809707092079</v>
      </c>
      <c r="Y6" s="212">
        <v>0</v>
      </c>
      <c r="Z6" s="38">
        <f>+'1'!D25/1000</f>
        <v>0</v>
      </c>
      <c r="AA6" s="50">
        <f>SUM(U6:U10)-SUM(W6:W10)-SUM(Z6:Z10)-SUM(Y6:Y10)</f>
        <v>0.79356530491745758</v>
      </c>
      <c r="AB6" s="50">
        <f>(SUM(K6:K10)-SUM(W6:W10)-SUM(Y6:Y10)-SUM(Z6:Z10)-SUM(AC6:AC10)-SUM(V6:V10))-AA6</f>
        <v>6.2897451681380723E-2</v>
      </c>
      <c r="AC6" s="38">
        <f>K6-T6</f>
        <v>1.051891773401163</v>
      </c>
      <c r="AD6" s="38">
        <f>+AM6+BA6</f>
        <v>21</v>
      </c>
      <c r="AE6" s="231" t="s">
        <v>413</v>
      </c>
      <c r="AF6" s="38">
        <v>21</v>
      </c>
      <c r="AG6" s="38"/>
      <c r="AH6" s="38"/>
      <c r="AI6" s="494"/>
      <c r="AJ6" s="38"/>
      <c r="AK6" s="38"/>
      <c r="AL6" s="38"/>
      <c r="AM6" s="38">
        <f t="shared" ref="AM6:AM11" si="0">SUM(AF6:AL6)+AT6+AV6+AX6</f>
        <v>21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+AR6+AS6+AU6+AW6+AY6+AZ6</f>
        <v>0</v>
      </c>
      <c r="BB6" s="34">
        <v>6</v>
      </c>
      <c r="BC6" s="52"/>
      <c r="BD6" s="52">
        <v>3</v>
      </c>
      <c r="BE6" s="34"/>
      <c r="BF6" s="52"/>
    </row>
    <row r="7" spans="1:58" ht="12.95" customHeight="1">
      <c r="A7" s="41"/>
      <c r="B7" s="42" t="s">
        <v>7</v>
      </c>
      <c r="C7" s="406">
        <f>(M7*E7*O7*Q7)/100000000</f>
        <v>18.701611929000002</v>
      </c>
      <c r="D7" s="42" t="s">
        <v>301</v>
      </c>
      <c r="E7" s="43">
        <v>13</v>
      </c>
      <c r="F7" s="43">
        <v>1</v>
      </c>
      <c r="G7" s="491">
        <v>1230</v>
      </c>
      <c r="H7" s="45">
        <v>0.22</v>
      </c>
      <c r="I7" s="46">
        <v>0.88</v>
      </c>
      <c r="J7" s="83">
        <f>E7*G7*(1-H7)*1440/1000000*2.74</f>
        <v>49.210312320000007</v>
      </c>
      <c r="K7" s="83">
        <f>(IF(G7&lt;L7,L7,G7)*(1-IF(H7&lt;N7,H7,N7))*E7*O7*Q7)/100000000</f>
        <v>19.008755298000001</v>
      </c>
      <c r="L7" s="36">
        <v>1225.8415841584158</v>
      </c>
      <c r="M7" s="36">
        <v>943.89801980198013</v>
      </c>
      <c r="N7" s="47">
        <f>1-(M7/L7)</f>
        <v>0.22999999999999998</v>
      </c>
      <c r="O7" s="48">
        <f>+'Trim Rwd'!H5</f>
        <v>251.5</v>
      </c>
      <c r="P7" s="49">
        <f>O7*(Q7-R7-S7)</f>
        <v>141343</v>
      </c>
      <c r="Q7" s="48">
        <v>606</v>
      </c>
      <c r="R7" s="492">
        <v>0</v>
      </c>
      <c r="S7" s="492">
        <v>44</v>
      </c>
      <c r="T7" s="38">
        <f>E7*M7*O7*Q7/100000000</f>
        <v>18.701611929000002</v>
      </c>
      <c r="U7" s="38">
        <f>E7*M7*O7*(Q7-R7-S7)/100000000</f>
        <v>17.343739115673269</v>
      </c>
      <c r="V7" s="38">
        <f>E7*G7*(1-N7)*O7/100*(R7+S7)/1000000</f>
        <v>1.3624791180000002</v>
      </c>
      <c r="W7" s="38">
        <f>+'1'!K8/1000</f>
        <v>14.167</v>
      </c>
      <c r="X7" s="39"/>
      <c r="Y7" s="212"/>
      <c r="Z7" s="38"/>
      <c r="AA7" s="38"/>
      <c r="AB7" s="38"/>
      <c r="AC7" s="38"/>
      <c r="AD7" s="38">
        <f>+AM7+BA7</f>
        <v>10</v>
      </c>
      <c r="AE7" s="231" t="s">
        <v>385</v>
      </c>
      <c r="AF7" s="38"/>
      <c r="AG7" s="38">
        <v>10</v>
      </c>
      <c r="AH7" s="38"/>
      <c r="AI7" s="494"/>
      <c r="AJ7" s="38"/>
      <c r="AK7" s="38"/>
      <c r="AL7" s="38"/>
      <c r="AM7" s="38">
        <f t="shared" si="0"/>
        <v>10</v>
      </c>
      <c r="AN7" s="84"/>
      <c r="AO7" s="38"/>
      <c r="AP7" s="38"/>
      <c r="AQ7" s="38"/>
      <c r="AR7" s="38">
        <f t="shared" ref="AR7:AR10" si="1"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>+AR7+AS7+AU7+AW7+AY7+AZ7</f>
        <v>0</v>
      </c>
      <c r="BB7" s="51"/>
      <c r="BC7" s="52">
        <v>5</v>
      </c>
      <c r="BD7" s="52"/>
      <c r="BE7" s="51"/>
      <c r="BF7" s="52"/>
    </row>
    <row r="8" spans="1:58" ht="12.95" customHeight="1">
      <c r="A8" s="41"/>
      <c r="B8" s="42"/>
      <c r="C8" s="406"/>
      <c r="D8" s="42"/>
      <c r="E8" s="43"/>
      <c r="F8" s="43"/>
      <c r="G8" s="44"/>
      <c r="H8" s="45"/>
      <c r="I8" s="46"/>
      <c r="J8" s="83"/>
      <c r="K8" s="83"/>
      <c r="L8" s="36"/>
      <c r="M8" s="36"/>
      <c r="N8" s="47"/>
      <c r="O8" s="48"/>
      <c r="P8" s="49"/>
      <c r="Q8" s="48"/>
      <c r="R8" s="492"/>
      <c r="S8" s="492"/>
      <c r="T8" s="38"/>
      <c r="U8" s="38"/>
      <c r="V8" s="38"/>
      <c r="W8" s="38"/>
      <c r="X8" s="39"/>
      <c r="Y8" s="212"/>
      <c r="Z8" s="38"/>
      <c r="AA8" s="38"/>
      <c r="AB8" s="38"/>
      <c r="AC8" s="38"/>
      <c r="AD8" s="38">
        <f>+AM8+BA8</f>
        <v>39</v>
      </c>
      <c r="AE8" s="231" t="s">
        <v>414</v>
      </c>
      <c r="AF8" s="34"/>
      <c r="AG8" s="34"/>
      <c r="AH8" s="34">
        <v>39</v>
      </c>
      <c r="AJ8" s="38"/>
      <c r="AK8" s="38"/>
      <c r="AL8" s="38"/>
      <c r="AM8" s="38">
        <f t="shared" si="0"/>
        <v>39</v>
      </c>
      <c r="AN8" s="38"/>
      <c r="AO8" s="38"/>
      <c r="AP8" s="38"/>
      <c r="AQ8" s="38"/>
      <c r="AR8" s="38">
        <f t="shared" si="1"/>
        <v>0</v>
      </c>
      <c r="AS8" s="38"/>
      <c r="AT8" s="38"/>
      <c r="AU8" s="38"/>
      <c r="AV8" s="38"/>
      <c r="AW8" s="38"/>
      <c r="AX8" s="38"/>
      <c r="AY8" s="38"/>
      <c r="AZ8" s="38"/>
      <c r="BA8" s="38">
        <f>+AR8+AS8+AU8+AW8+AY8+AZ8</f>
        <v>0</v>
      </c>
      <c r="BB8" s="34"/>
      <c r="BC8" s="495"/>
      <c r="BD8" s="495"/>
      <c r="BE8" s="34"/>
      <c r="BF8" s="495"/>
    </row>
    <row r="9" spans="1:58" ht="12.95" customHeight="1">
      <c r="A9" s="41"/>
      <c r="B9" s="42"/>
      <c r="C9" s="406"/>
      <c r="D9" s="42"/>
      <c r="E9" s="43"/>
      <c r="F9" s="43"/>
      <c r="G9" s="44"/>
      <c r="H9" s="45"/>
      <c r="I9" s="46"/>
      <c r="J9" s="83"/>
      <c r="K9" s="83"/>
      <c r="L9" s="36"/>
      <c r="M9" s="36"/>
      <c r="N9" s="47"/>
      <c r="O9" s="48"/>
      <c r="P9" s="49"/>
      <c r="Q9" s="35"/>
      <c r="R9" s="492"/>
      <c r="S9" s="492"/>
      <c r="T9" s="38"/>
      <c r="U9" s="38"/>
      <c r="V9" s="38"/>
      <c r="W9" s="38"/>
      <c r="X9" s="39"/>
      <c r="Y9" s="212"/>
      <c r="Z9" s="38"/>
      <c r="AA9" s="38"/>
      <c r="AB9" s="38"/>
      <c r="AC9" s="38"/>
      <c r="AD9" s="38">
        <f>+AM9+BA9</f>
        <v>18</v>
      </c>
      <c r="AE9" s="234" t="s">
        <v>416</v>
      </c>
      <c r="AF9" s="38"/>
      <c r="AG9" s="38"/>
      <c r="AH9" s="38"/>
      <c r="AI9" s="494"/>
      <c r="AJ9" s="38"/>
      <c r="AK9" s="38"/>
      <c r="AL9" s="38"/>
      <c r="AM9" s="38">
        <f t="shared" si="0"/>
        <v>18</v>
      </c>
      <c r="AN9" s="38"/>
      <c r="AO9" s="38"/>
      <c r="AP9" s="38"/>
      <c r="AQ9" s="38"/>
      <c r="AR9" s="38">
        <f t="shared" si="1"/>
        <v>0</v>
      </c>
      <c r="AS9" s="38"/>
      <c r="AT9" s="38"/>
      <c r="AU9" s="38"/>
      <c r="AV9" s="38">
        <v>18</v>
      </c>
      <c r="AW9" s="38"/>
      <c r="AX9" s="38"/>
      <c r="AY9" s="38"/>
      <c r="AZ9" s="38"/>
      <c r="BA9" s="38">
        <f>+AR9+AS9+AU9+AW9+AY9+AZ9</f>
        <v>0</v>
      </c>
      <c r="BB9" s="51"/>
      <c r="BC9" s="52"/>
      <c r="BD9" s="52"/>
      <c r="BE9" s="51"/>
      <c r="BF9" s="52"/>
    </row>
    <row r="10" spans="1:58" ht="12.95" customHeight="1">
      <c r="A10" s="41"/>
      <c r="B10" s="42"/>
      <c r="C10" s="406"/>
      <c r="D10" s="42"/>
      <c r="E10" s="43"/>
      <c r="F10" s="43"/>
      <c r="G10" s="44"/>
      <c r="H10" s="45"/>
      <c r="I10" s="46"/>
      <c r="J10" s="83"/>
      <c r="K10" s="83"/>
      <c r="L10" s="36"/>
      <c r="M10" s="36"/>
      <c r="N10" s="47"/>
      <c r="O10" s="48"/>
      <c r="P10" s="49"/>
      <c r="Q10" s="35"/>
      <c r="R10" s="492"/>
      <c r="S10" s="492"/>
      <c r="T10" s="38"/>
      <c r="U10" s="38"/>
      <c r="V10" s="38"/>
      <c r="W10" s="38"/>
      <c r="X10" s="39"/>
      <c r="Y10" s="212"/>
      <c r="Z10" s="38"/>
      <c r="AA10" s="38"/>
      <c r="AB10" s="38"/>
      <c r="AC10" s="38"/>
      <c r="AD10" s="38">
        <f>+AM10+BA10</f>
        <v>146</v>
      </c>
      <c r="AE10" s="234" t="s">
        <v>415</v>
      </c>
      <c r="AF10" s="38"/>
      <c r="AG10" s="38"/>
      <c r="AH10" s="38"/>
      <c r="AI10" s="494"/>
      <c r="AJ10" s="38"/>
      <c r="AK10" s="38"/>
      <c r="AL10" s="38"/>
      <c r="AM10" s="38">
        <f t="shared" si="0"/>
        <v>0</v>
      </c>
      <c r="AN10" s="38"/>
      <c r="AO10" s="38"/>
      <c r="AP10" s="38"/>
      <c r="AQ10" s="38"/>
      <c r="AR10" s="38">
        <f t="shared" si="1"/>
        <v>0</v>
      </c>
      <c r="AS10" s="38"/>
      <c r="AT10" s="38"/>
      <c r="AU10" s="38"/>
      <c r="AV10" s="38"/>
      <c r="AW10" s="38">
        <v>146</v>
      </c>
      <c r="AX10" s="38"/>
      <c r="AY10" s="38"/>
      <c r="AZ10" s="38"/>
      <c r="BA10" s="38">
        <f>+AR10+AS10+AU10+AW10+AY10+AZ10</f>
        <v>146</v>
      </c>
      <c r="BB10" s="51"/>
      <c r="BC10" s="52"/>
      <c r="BD10" s="52"/>
      <c r="BE10" s="34"/>
      <c r="BF10" s="52"/>
    </row>
    <row r="11" spans="1:58" ht="12.95" customHeight="1">
      <c r="A11" s="41"/>
      <c r="B11" s="42"/>
      <c r="C11" s="406"/>
      <c r="D11" s="42"/>
      <c r="E11" s="43"/>
      <c r="F11" s="43"/>
      <c r="G11" s="491"/>
      <c r="H11" s="45"/>
      <c r="I11" s="46"/>
      <c r="J11" s="83"/>
      <c r="K11" s="83"/>
      <c r="L11" s="36"/>
      <c r="M11" s="36"/>
      <c r="N11" s="47"/>
      <c r="O11" s="48"/>
      <c r="P11" s="49"/>
      <c r="Q11" s="48"/>
      <c r="R11" s="492"/>
      <c r="S11" s="492"/>
      <c r="T11" s="38"/>
      <c r="U11" s="38"/>
      <c r="V11" s="38"/>
      <c r="W11" s="38"/>
      <c r="X11" s="493"/>
      <c r="Y11" s="212"/>
      <c r="Z11" s="38"/>
      <c r="AA11" s="50"/>
      <c r="AB11" s="50"/>
      <c r="AC11" s="38"/>
      <c r="AD11" s="38"/>
      <c r="AE11" s="231"/>
      <c r="AF11" s="38"/>
      <c r="AG11" s="38"/>
      <c r="AH11" s="38"/>
      <c r="AI11" s="494"/>
      <c r="AJ11" s="38"/>
      <c r="AK11" s="38"/>
      <c r="AL11" s="38"/>
      <c r="AM11" s="38">
        <f t="shared" si="0"/>
        <v>0</v>
      </c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4"/>
      <c r="BC11" s="52"/>
      <c r="BD11" s="52"/>
      <c r="BE11" s="51"/>
      <c r="BF11" s="52"/>
    </row>
    <row r="12" spans="1:58" ht="12.75" customHeight="1">
      <c r="A12" s="41">
        <v>45840</v>
      </c>
      <c r="B12" s="42" t="s">
        <v>7</v>
      </c>
      <c r="C12" s="406">
        <f>(M12*E12*O12*Q12)/100000000</f>
        <v>38.838190520873788</v>
      </c>
      <c r="D12" s="42" t="s">
        <v>301</v>
      </c>
      <c r="E12" s="43">
        <v>13</v>
      </c>
      <c r="F12" s="43">
        <v>1</v>
      </c>
      <c r="G12" s="491">
        <v>1230</v>
      </c>
      <c r="H12" s="45">
        <v>0.22</v>
      </c>
      <c r="I12" s="46">
        <v>0.88</v>
      </c>
      <c r="J12" s="83">
        <f>E12*G12*(1-H12)*1440/1000000*2.74</f>
        <v>49.210312320000007</v>
      </c>
      <c r="K12" s="83">
        <f>(IF(G12&lt;L12,L12,G12)*(1-IF(H12&lt;N12,H12,N12))*E12*O12*Q12)/100000000</f>
        <v>39.836830409999997</v>
      </c>
      <c r="L12" s="36">
        <v>1214.7396293027361</v>
      </c>
      <c r="M12" s="36">
        <v>935.34951456310682</v>
      </c>
      <c r="N12" s="47">
        <f>1-(M12/L12)</f>
        <v>0.22999999999999998</v>
      </c>
      <c r="O12" s="48">
        <f>+'Trim Rwd'!H7</f>
        <v>251.5</v>
      </c>
      <c r="P12" s="49">
        <f>O12*(Q12-R12-S12)</f>
        <v>272877.5</v>
      </c>
      <c r="Q12" s="48">
        <f>1133+137</f>
        <v>1270</v>
      </c>
      <c r="R12" s="492">
        <v>137</v>
      </c>
      <c r="S12" s="492">
        <v>48</v>
      </c>
      <c r="T12" s="38">
        <f>E12*M12*O12*Q12/100000000</f>
        <v>38.838190520873788</v>
      </c>
      <c r="U12" s="38">
        <f>E12*M12*O12*(Q12-R12-S12)/100000000</f>
        <v>33.180658830825244</v>
      </c>
      <c r="V12" s="38">
        <f>E12*G12*(1-N12)*O12/100*(R12+S12)/1000000</f>
        <v>5.7286053825000005</v>
      </c>
      <c r="W12" s="38">
        <f>+'2'!K8/1000</f>
        <v>35.624000000000002</v>
      </c>
      <c r="X12" s="493">
        <f>SUM(W12:W15)/SUM(K12:K15)</f>
        <v>0.8370307996553662</v>
      </c>
      <c r="Y12" s="212">
        <v>0</v>
      </c>
      <c r="Z12" s="38">
        <f>+'1'!D31/1000</f>
        <v>0</v>
      </c>
      <c r="AA12" s="50">
        <f>SUM(U12:U15)-SUM(W12:W15)-SUM(Z12:Z15)-SUM(Y12:Y15)</f>
        <v>0.33100155082524196</v>
      </c>
      <c r="AB12" s="50">
        <f>(SUM(K12:K15)-SUM(W12:W15)-SUM(Y12:Y15)-SUM(Z12:Z15)-SUM(AC12:AC15)-SUM(V12:V15))-AA12</f>
        <v>-7.1073692451457227E-2</v>
      </c>
      <c r="AC12" s="38">
        <f>K12-T12</f>
        <v>0.99863988912620982</v>
      </c>
      <c r="AD12" s="38">
        <f>+AM12+BA12</f>
        <v>6</v>
      </c>
      <c r="AE12" s="231" t="s">
        <v>394</v>
      </c>
      <c r="AF12" s="38">
        <v>6</v>
      </c>
      <c r="AG12" s="38"/>
      <c r="AH12" s="38"/>
      <c r="AI12" s="494"/>
      <c r="AJ12" s="38"/>
      <c r="AK12" s="38"/>
      <c r="AL12" s="38"/>
      <c r="AM12" s="38">
        <f t="shared" ref="AM12:AM15" si="2">SUM(AF12:AL12)+AT12+AV12+AX12</f>
        <v>6</v>
      </c>
      <c r="AN12" s="38"/>
      <c r="AO12" s="38"/>
      <c r="AP12" s="38"/>
      <c r="AQ12" s="38"/>
      <c r="AR12" s="38">
        <f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>+AR12+AS12+AU12+AW12+AY12+AZ12</f>
        <v>0</v>
      </c>
      <c r="BB12" s="34">
        <v>3</v>
      </c>
      <c r="BC12" s="52"/>
      <c r="BD12" s="52">
        <v>3</v>
      </c>
      <c r="BE12" s="34"/>
      <c r="BF12" s="52"/>
    </row>
    <row r="13" spans="1:58" ht="12.95" customHeight="1">
      <c r="A13" s="41"/>
      <c r="B13" s="42" t="s">
        <v>7</v>
      </c>
      <c r="C13" s="406">
        <f>(M13*E13*O13*Q13)/100000000</f>
        <v>4.7529266399999992</v>
      </c>
      <c r="D13" s="42" t="s">
        <v>301</v>
      </c>
      <c r="E13" s="43">
        <v>12</v>
      </c>
      <c r="F13" s="43">
        <v>1</v>
      </c>
      <c r="G13" s="491">
        <v>1230</v>
      </c>
      <c r="H13" s="45">
        <v>0.23</v>
      </c>
      <c r="I13" s="46">
        <v>0.88</v>
      </c>
      <c r="J13" s="83">
        <f>E13*G13*(1-H13)*1440/1000000*2.74</f>
        <v>44.842533120000006</v>
      </c>
      <c r="K13" s="83">
        <f>(IF(G13&lt;L13,L13,G13)*(1-IF(H13&lt;N13,H13,N13))*E13*O13*Q13)/100000000</f>
        <v>4.7529266399999992</v>
      </c>
      <c r="L13" s="36">
        <v>1230</v>
      </c>
      <c r="M13" s="36">
        <v>947.09999999999991</v>
      </c>
      <c r="N13" s="47">
        <f>1-(M13/L13)</f>
        <v>0.23000000000000009</v>
      </c>
      <c r="O13" s="48">
        <f>+'Trim Rwd'!H8</f>
        <v>246</v>
      </c>
      <c r="P13" s="49">
        <f>O13*(Q13-R13-S13)</f>
        <v>39360</v>
      </c>
      <c r="Q13" s="48">
        <v>170</v>
      </c>
      <c r="R13" s="492">
        <v>0</v>
      </c>
      <c r="S13" s="492">
        <v>10</v>
      </c>
      <c r="T13" s="38">
        <f>E13*M13*O13*Q13/100000000</f>
        <v>4.7529266399999992</v>
      </c>
      <c r="U13" s="38">
        <f>E13*M13*O13*(Q13-R13-S13)/100000000</f>
        <v>4.4733427199999998</v>
      </c>
      <c r="V13" s="38">
        <f>E13*G13*(1-N13)*O13/100*(R13+S13)/1000000</f>
        <v>0.27958391999999999</v>
      </c>
      <c r="W13" s="38">
        <f>+'2'!K9/1000</f>
        <v>1.6990000000000001</v>
      </c>
      <c r="X13" s="39"/>
      <c r="Y13" s="212"/>
      <c r="Z13" s="38"/>
      <c r="AA13" s="38"/>
      <c r="AB13" s="38"/>
      <c r="AC13" s="38"/>
      <c r="AD13" s="38">
        <f>+AM13+BA13</f>
        <v>8</v>
      </c>
      <c r="AE13" s="231" t="s">
        <v>385</v>
      </c>
      <c r="AF13" s="38"/>
      <c r="AG13" s="38">
        <v>8</v>
      </c>
      <c r="AH13" s="38"/>
      <c r="AI13" s="494"/>
      <c r="AJ13" s="38"/>
      <c r="AK13" s="38"/>
      <c r="AL13" s="38"/>
      <c r="AM13" s="38">
        <f t="shared" si="2"/>
        <v>8</v>
      </c>
      <c r="AN13" s="84"/>
      <c r="AO13" s="38"/>
      <c r="AP13" s="38"/>
      <c r="AQ13" s="38"/>
      <c r="AR13" s="38">
        <f t="shared" ref="AR13:AR15" si="3">SUM(AN13:AQ13)</f>
        <v>0</v>
      </c>
      <c r="AS13" s="38"/>
      <c r="AT13" s="38"/>
      <c r="AU13" s="38"/>
      <c r="AV13" s="38"/>
      <c r="AW13" s="38"/>
      <c r="AX13" s="38"/>
      <c r="AY13" s="38"/>
      <c r="AZ13" s="38"/>
      <c r="BA13" s="38">
        <f>+AR13+AS13+AU13+AW13+AY13+AZ13</f>
        <v>0</v>
      </c>
      <c r="BB13" s="51"/>
      <c r="BC13" s="52">
        <v>5</v>
      </c>
      <c r="BD13" s="52"/>
      <c r="BE13" s="51"/>
      <c r="BF13" s="52"/>
    </row>
    <row r="14" spans="1:58" ht="12.95" customHeight="1">
      <c r="A14" s="41"/>
      <c r="B14" s="42"/>
      <c r="C14" s="406"/>
      <c r="D14" s="42"/>
      <c r="E14" s="43"/>
      <c r="F14" s="43"/>
      <c r="G14" s="44"/>
      <c r="H14" s="45"/>
      <c r="I14" s="46"/>
      <c r="J14" s="83"/>
      <c r="K14" s="83"/>
      <c r="L14" s="36"/>
      <c r="M14" s="36"/>
      <c r="N14" s="47"/>
      <c r="O14" s="48"/>
      <c r="P14" s="49"/>
      <c r="Q14" s="48"/>
      <c r="R14" s="492"/>
      <c r="S14" s="492"/>
      <c r="T14" s="38"/>
      <c r="U14" s="38"/>
      <c r="V14" s="38"/>
      <c r="W14" s="38"/>
      <c r="X14" s="39"/>
      <c r="Y14" s="212"/>
      <c r="Z14" s="38"/>
      <c r="AA14" s="38"/>
      <c r="AB14" s="38"/>
      <c r="AC14" s="38"/>
      <c r="AD14" s="38">
        <f>+AM14+BA14</f>
        <v>44</v>
      </c>
      <c r="AE14" s="231" t="s">
        <v>444</v>
      </c>
      <c r="AF14" s="34"/>
      <c r="AG14" s="34"/>
      <c r="AH14" s="34">
        <v>44</v>
      </c>
      <c r="AJ14" s="38"/>
      <c r="AK14" s="38"/>
      <c r="AL14" s="38"/>
      <c r="AM14" s="38">
        <f t="shared" si="2"/>
        <v>44</v>
      </c>
      <c r="AN14" s="38"/>
      <c r="AO14" s="38"/>
      <c r="AP14" s="38"/>
      <c r="AQ14" s="38"/>
      <c r="AR14" s="38">
        <f t="shared" si="3"/>
        <v>0</v>
      </c>
      <c r="AS14" s="38"/>
      <c r="AT14" s="38"/>
      <c r="AU14" s="38"/>
      <c r="AV14" s="38"/>
      <c r="AW14" s="38"/>
      <c r="AX14" s="38"/>
      <c r="AY14" s="38"/>
      <c r="AZ14" s="38"/>
      <c r="BA14" s="38">
        <f>+AR14+AS14+AU14+AW14+AY14+AZ14</f>
        <v>0</v>
      </c>
      <c r="BB14" s="34"/>
      <c r="BC14" s="495"/>
      <c r="BD14" s="495"/>
      <c r="BE14" s="34"/>
      <c r="BF14" s="495"/>
    </row>
    <row r="15" spans="1:58" ht="12.95" customHeight="1">
      <c r="A15" s="41"/>
      <c r="B15" s="42"/>
      <c r="C15" s="406"/>
      <c r="D15" s="42"/>
      <c r="E15" s="43"/>
      <c r="F15" s="43"/>
      <c r="G15" s="44"/>
      <c r="H15" s="45"/>
      <c r="I15" s="46"/>
      <c r="J15" s="83"/>
      <c r="K15" s="83"/>
      <c r="L15" s="36"/>
      <c r="M15" s="36"/>
      <c r="N15" s="47"/>
      <c r="O15" s="48"/>
      <c r="P15" s="49"/>
      <c r="Q15" s="35"/>
      <c r="R15" s="492"/>
      <c r="S15" s="492"/>
      <c r="T15" s="38"/>
      <c r="U15" s="38"/>
      <c r="V15" s="38"/>
      <c r="W15" s="38"/>
      <c r="X15" s="39"/>
      <c r="Y15" s="212"/>
      <c r="Z15" s="38"/>
      <c r="AA15" s="38"/>
      <c r="AB15" s="38"/>
      <c r="AC15" s="38"/>
      <c r="AD15" s="38">
        <f>+AM15+BA15</f>
        <v>137</v>
      </c>
      <c r="AE15" s="234" t="s">
        <v>447</v>
      </c>
      <c r="AF15" s="38"/>
      <c r="AG15" s="38"/>
      <c r="AH15" s="38"/>
      <c r="AI15" s="494"/>
      <c r="AJ15" s="38"/>
      <c r="AK15" s="38"/>
      <c r="AL15" s="38"/>
      <c r="AM15" s="38">
        <f t="shared" si="2"/>
        <v>0</v>
      </c>
      <c r="AN15" s="38"/>
      <c r="AO15" s="38"/>
      <c r="AP15" s="38"/>
      <c r="AQ15" s="38"/>
      <c r="AR15" s="38">
        <f t="shared" si="3"/>
        <v>0</v>
      </c>
      <c r="AS15" s="38"/>
      <c r="AT15" s="38"/>
      <c r="AU15" s="38"/>
      <c r="AV15" s="38"/>
      <c r="AW15" s="38">
        <v>137</v>
      </c>
      <c r="AX15" s="38"/>
      <c r="AY15" s="38"/>
      <c r="AZ15" s="38"/>
      <c r="BA15" s="38">
        <f>+AR15+AS15+AU15+AW15+AY15+AZ15</f>
        <v>137</v>
      </c>
      <c r="BB15" s="51"/>
      <c r="BC15" s="52"/>
      <c r="BD15" s="52"/>
      <c r="BE15" s="34"/>
      <c r="BF15" s="52"/>
    </row>
    <row r="16" spans="1:58" ht="12.95" customHeight="1">
      <c r="A16" s="41"/>
      <c r="B16" s="42"/>
      <c r="C16" s="406"/>
      <c r="D16" s="42"/>
      <c r="E16" s="43"/>
      <c r="F16" s="43"/>
      <c r="G16" s="491"/>
      <c r="H16" s="45"/>
      <c r="I16" s="46"/>
      <c r="J16" s="83"/>
      <c r="K16" s="83"/>
      <c r="L16" s="36"/>
      <c r="M16" s="36"/>
      <c r="N16" s="47"/>
      <c r="O16" s="48"/>
      <c r="P16" s="49"/>
      <c r="Q16" s="48"/>
      <c r="R16" s="492"/>
      <c r="S16" s="492"/>
      <c r="T16" s="38"/>
      <c r="U16" s="38"/>
      <c r="V16" s="38"/>
      <c r="W16" s="38"/>
      <c r="X16" s="493"/>
      <c r="Y16" s="212"/>
      <c r="Z16" s="38"/>
      <c r="AA16" s="50"/>
      <c r="AB16" s="50"/>
      <c r="AC16" s="38"/>
      <c r="AD16" s="38"/>
      <c r="AE16" s="231"/>
      <c r="AF16" s="38"/>
      <c r="AG16" s="38"/>
      <c r="AH16" s="38"/>
      <c r="AI16" s="494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4"/>
      <c r="BC16" s="52"/>
      <c r="BD16" s="52">
        <v>5</v>
      </c>
      <c r="BE16" s="51"/>
      <c r="BF16" s="52"/>
    </row>
    <row r="17" spans="1:58" ht="12.75" customHeight="1">
      <c r="A17" s="41">
        <v>45841</v>
      </c>
      <c r="B17" s="42" t="s">
        <v>7</v>
      </c>
      <c r="C17" s="406">
        <f>(M17*E17*O17*Q17)/100000000</f>
        <v>43.372286132459003</v>
      </c>
      <c r="D17" s="42" t="s">
        <v>301</v>
      </c>
      <c r="E17" s="43">
        <v>12</v>
      </c>
      <c r="F17" s="43">
        <v>1</v>
      </c>
      <c r="G17" s="491">
        <v>1230</v>
      </c>
      <c r="H17" s="45">
        <v>0.23</v>
      </c>
      <c r="I17" s="46">
        <v>0.88</v>
      </c>
      <c r="J17" s="83">
        <f>E17*G17*(1-H17)*1440/1000000*2.74</f>
        <v>44.842533120000006</v>
      </c>
      <c r="K17" s="83">
        <f>(IF(G17&lt;L17,L17,G17)*(1-IF(H17&lt;N17,H17,N17))*E17*O17*Q17)/100000000</f>
        <v>43.372286132459003</v>
      </c>
      <c r="L17" s="36">
        <v>1230</v>
      </c>
      <c r="M17" s="36">
        <v>947.0999999999998</v>
      </c>
      <c r="N17" s="47">
        <f>1-(M17/L17)</f>
        <v>0.2300000000000002</v>
      </c>
      <c r="O17" s="48">
        <f>+'Trim Rwd'!H10</f>
        <v>265.01639344262293</v>
      </c>
      <c r="P17" s="49">
        <f>O17*(Q17-R17-S17)</f>
        <v>361217.34426229505</v>
      </c>
      <c r="Q17" s="48">
        <v>1440</v>
      </c>
      <c r="R17" s="492">
        <v>0</v>
      </c>
      <c r="S17" s="492">
        <v>77</v>
      </c>
      <c r="T17" s="38">
        <f>E17*M17*O17*Q17/100000000</f>
        <v>43.372286132459003</v>
      </c>
      <c r="U17" s="38">
        <f>E17*M17*O17*(Q17-R17-S17)/100000000</f>
        <v>41.053073610098345</v>
      </c>
      <c r="V17" s="38">
        <f>E17*G17*(1-N17)*O17/100*(R17+S17)/1000000</f>
        <v>2.319212522360655</v>
      </c>
      <c r="W17" s="38">
        <f>+'3'!K9/1000</f>
        <v>39.783000000000001</v>
      </c>
      <c r="X17" s="493">
        <f>SUM(W17:W20)/SUM(K17:K20)</f>
        <v>0.91724470964022242</v>
      </c>
      <c r="Y17" s="212">
        <f>+SUM(RBP!AG8:AG9)</f>
        <v>0</v>
      </c>
      <c r="Z17" s="38">
        <f>+'1'!D36/1000</f>
        <v>0</v>
      </c>
      <c r="AA17" s="50">
        <f>SUM(U17:U20)-SUM(W17:W20)-SUM(Z17:Z20)-SUM(Y17:Y20)</f>
        <v>1.2700736100983434</v>
      </c>
      <c r="AB17" s="50">
        <f>(SUM(K17:K20)-SUM(W17:W20)-SUM(Y17:Y20)-SUM(Z17:Z20)-SUM(AC17:AC20)-SUM(V17:V20))-AA17</f>
        <v>3.1086244689504383E-15</v>
      </c>
      <c r="AC17" s="38">
        <f>K17-T17</f>
        <v>0</v>
      </c>
      <c r="AD17" s="38">
        <f>+AM17+BA17</f>
        <v>15</v>
      </c>
      <c r="AE17" s="231" t="s">
        <v>454</v>
      </c>
      <c r="AF17" s="38">
        <v>15</v>
      </c>
      <c r="AG17" s="38"/>
      <c r="AH17" s="38"/>
      <c r="AI17" s="494"/>
      <c r="AJ17" s="38"/>
      <c r="AK17" s="38"/>
      <c r="AL17" s="38"/>
      <c r="AM17" s="38">
        <f t="shared" ref="AM17:AM19" si="4">SUM(AF17:AL17)+AT17+AV17+AX17</f>
        <v>15</v>
      </c>
      <c r="AN17" s="38"/>
      <c r="AO17" s="38"/>
      <c r="AP17" s="38"/>
      <c r="AQ17" s="38"/>
      <c r="AR17" s="38">
        <f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>+AR17+AS17+AU17+AW17+AY17+AZ17</f>
        <v>0</v>
      </c>
      <c r="BB17" s="34">
        <v>5</v>
      </c>
      <c r="BC17" s="52"/>
      <c r="BD17" s="52"/>
      <c r="BE17" s="34"/>
      <c r="BF17" s="52"/>
    </row>
    <row r="18" spans="1:58" ht="12.95" customHeight="1">
      <c r="A18" s="41"/>
      <c r="B18" s="42"/>
      <c r="C18" s="406"/>
      <c r="D18" s="42"/>
      <c r="E18" s="43"/>
      <c r="F18" s="43"/>
      <c r="G18" s="491"/>
      <c r="H18" s="45"/>
      <c r="I18" s="46"/>
      <c r="J18" s="83"/>
      <c r="K18" s="83"/>
      <c r="L18" s="36"/>
      <c r="M18" s="36"/>
      <c r="N18" s="47"/>
      <c r="O18" s="48"/>
      <c r="P18" s="49"/>
      <c r="Q18" s="48"/>
      <c r="R18" s="492"/>
      <c r="S18" s="492"/>
      <c r="T18" s="38"/>
      <c r="U18" s="38"/>
      <c r="V18" s="38"/>
      <c r="W18" s="38"/>
      <c r="X18" s="39"/>
      <c r="Y18" s="212"/>
      <c r="Z18" s="38"/>
      <c r="AA18" s="38"/>
      <c r="AB18" s="38"/>
      <c r="AC18" s="38"/>
      <c r="AD18" s="38">
        <f>+AM18+BA18</f>
        <v>9</v>
      </c>
      <c r="AE18" s="231" t="s">
        <v>385</v>
      </c>
      <c r="AF18" s="38"/>
      <c r="AG18" s="38">
        <v>9</v>
      </c>
      <c r="AH18" s="38"/>
      <c r="AI18" s="494"/>
      <c r="AJ18" s="38"/>
      <c r="AK18" s="38"/>
      <c r="AL18" s="38"/>
      <c r="AM18" s="38">
        <f t="shared" si="4"/>
        <v>9</v>
      </c>
      <c r="AN18" s="84"/>
      <c r="AO18" s="38"/>
      <c r="AP18" s="38"/>
      <c r="AQ18" s="38"/>
      <c r="AR18" s="38">
        <f t="shared" ref="AR18:AR19" si="5">SUM(AN18:AQ18)</f>
        <v>0</v>
      </c>
      <c r="AS18" s="38"/>
      <c r="AT18" s="38"/>
      <c r="AU18" s="38"/>
      <c r="AV18" s="38"/>
      <c r="AW18" s="38"/>
      <c r="AX18" s="38"/>
      <c r="AY18" s="38"/>
      <c r="AZ18" s="38"/>
      <c r="BA18" s="38">
        <f>+AR18+AS18+AU18+AW18+AY18+AZ18</f>
        <v>0</v>
      </c>
      <c r="BB18" s="51"/>
      <c r="BC18" s="52">
        <v>5</v>
      </c>
      <c r="BD18" s="52"/>
      <c r="BE18" s="51"/>
      <c r="BF18" s="52"/>
    </row>
    <row r="19" spans="1:58" ht="12.95" customHeight="1">
      <c r="A19" s="41"/>
      <c r="B19" s="42"/>
      <c r="C19" s="406"/>
      <c r="D19" s="42"/>
      <c r="E19" s="43"/>
      <c r="F19" s="43"/>
      <c r="G19" s="44"/>
      <c r="H19" s="45"/>
      <c r="I19" s="46"/>
      <c r="J19" s="83"/>
      <c r="K19" s="83"/>
      <c r="L19" s="36"/>
      <c r="M19" s="36"/>
      <c r="N19" s="47"/>
      <c r="O19" s="48"/>
      <c r="P19" s="49"/>
      <c r="Q19" s="48"/>
      <c r="R19" s="492"/>
      <c r="S19" s="492"/>
      <c r="T19" s="38"/>
      <c r="U19" s="38"/>
      <c r="V19" s="38"/>
      <c r="W19" s="38"/>
      <c r="X19" s="39"/>
      <c r="Y19" s="212"/>
      <c r="Z19" s="38"/>
      <c r="AA19" s="38"/>
      <c r="AB19" s="38"/>
      <c r="AC19" s="38"/>
      <c r="AD19" s="38">
        <f>+AM19+BA19</f>
        <v>53</v>
      </c>
      <c r="AE19" s="231" t="s">
        <v>456</v>
      </c>
      <c r="AF19" s="34"/>
      <c r="AG19" s="34"/>
      <c r="AH19" s="34">
        <v>53</v>
      </c>
      <c r="AJ19" s="38"/>
      <c r="AK19" s="38"/>
      <c r="AL19" s="38"/>
      <c r="AM19" s="38">
        <f t="shared" si="4"/>
        <v>53</v>
      </c>
      <c r="AN19" s="38"/>
      <c r="AO19" s="38"/>
      <c r="AP19" s="38"/>
      <c r="AQ19" s="38"/>
      <c r="AR19" s="38">
        <f t="shared" si="5"/>
        <v>0</v>
      </c>
      <c r="AS19" s="38"/>
      <c r="AT19" s="38"/>
      <c r="AU19" s="38"/>
      <c r="AV19" s="38"/>
      <c r="AW19" s="38"/>
      <c r="AX19" s="38"/>
      <c r="AY19" s="38"/>
      <c r="AZ19" s="38"/>
      <c r="BA19" s="38">
        <f>+AR19+AS19+AU19+AW19+AY19+AZ19</f>
        <v>0</v>
      </c>
      <c r="BB19" s="34"/>
      <c r="BC19" s="495"/>
      <c r="BD19" s="495"/>
      <c r="BE19" s="34"/>
      <c r="BF19" s="495"/>
    </row>
    <row r="20" spans="1:58" ht="12.95" customHeight="1">
      <c r="A20" s="41"/>
      <c r="B20" s="42"/>
      <c r="C20" s="406"/>
      <c r="D20" s="42"/>
      <c r="E20" s="43"/>
      <c r="F20" s="43"/>
      <c r="G20" s="44"/>
      <c r="H20" s="45"/>
      <c r="I20" s="46"/>
      <c r="J20" s="83"/>
      <c r="K20" s="83"/>
      <c r="L20" s="36"/>
      <c r="M20" s="36"/>
      <c r="N20" s="47"/>
      <c r="O20" s="48"/>
      <c r="P20" s="49"/>
      <c r="Q20" s="35"/>
      <c r="R20" s="492"/>
      <c r="S20" s="492"/>
      <c r="T20" s="38"/>
      <c r="U20" s="38"/>
      <c r="V20" s="38"/>
      <c r="W20" s="38"/>
      <c r="X20" s="39"/>
      <c r="Y20" s="212"/>
      <c r="Z20" s="38"/>
      <c r="AA20" s="38"/>
      <c r="AB20" s="38"/>
      <c r="AC20" s="38"/>
      <c r="AD20" s="38"/>
      <c r="AE20" s="234"/>
      <c r="AF20" s="38"/>
      <c r="AG20" s="38"/>
      <c r="AH20" s="38"/>
      <c r="AI20" s="494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51"/>
      <c r="BC20" s="52"/>
      <c r="BD20" s="52"/>
      <c r="BE20" s="34"/>
      <c r="BF20" s="52"/>
    </row>
    <row r="21" spans="1:58" ht="12.75" customHeight="1">
      <c r="A21" s="41">
        <v>45842</v>
      </c>
      <c r="B21" s="42" t="s">
        <v>7</v>
      </c>
      <c r="C21" s="406">
        <f>(M21*E21*O21*Q21)/100000000</f>
        <v>43.533262079999993</v>
      </c>
      <c r="D21" s="42" t="s">
        <v>301</v>
      </c>
      <c r="E21" s="43">
        <v>12</v>
      </c>
      <c r="F21" s="43">
        <v>1</v>
      </c>
      <c r="G21" s="491">
        <v>1230</v>
      </c>
      <c r="H21" s="45">
        <v>0.23</v>
      </c>
      <c r="I21" s="46">
        <v>0.88</v>
      </c>
      <c r="J21" s="83">
        <f>E21*G21*(1-H21)*1440/1000000*2.74</f>
        <v>44.842533120000006</v>
      </c>
      <c r="K21" s="83">
        <f>(IF(G21&lt;L21,L21,G21)*(1-IF(H21&lt;N21,H21,N21))*E21*O21*Q21)/100000000</f>
        <v>43.533262079999993</v>
      </c>
      <c r="L21" s="36">
        <v>1230</v>
      </c>
      <c r="M21" s="36">
        <v>947.0999999999998</v>
      </c>
      <c r="N21" s="47">
        <f>1-(M21/L21)</f>
        <v>0.2300000000000002</v>
      </c>
      <c r="O21" s="48">
        <f>+'Trim Rwd'!H14</f>
        <v>266</v>
      </c>
      <c r="P21" s="49">
        <f>O21*(Q21-R21-S21)</f>
        <v>366548</v>
      </c>
      <c r="Q21" s="48">
        <v>1440</v>
      </c>
      <c r="R21" s="492">
        <v>0</v>
      </c>
      <c r="S21" s="492">
        <v>62</v>
      </c>
      <c r="T21" s="38">
        <f>E21*M21*O21*Q21/100000000</f>
        <v>43.533262079999993</v>
      </c>
      <c r="U21" s="38">
        <f>E21*M21*O21*(Q21-R21-S21)/100000000</f>
        <v>41.658913295999987</v>
      </c>
      <c r="V21" s="38">
        <f>E21*G21*(1-N21)*O21/100*(R21+S21)/1000000</f>
        <v>1.8743487839999995</v>
      </c>
      <c r="W21" s="38">
        <f>+'4'!K9/1000</f>
        <v>41.905999999999999</v>
      </c>
      <c r="X21" s="493">
        <f>SUM(W21:W24)/SUM(K21:K24)</f>
        <v>0.9626202585735566</v>
      </c>
      <c r="Y21" s="212">
        <v>0</v>
      </c>
      <c r="Z21" s="38">
        <f>+'1'!D40/1000</f>
        <v>0</v>
      </c>
      <c r="AA21" s="50">
        <f>SUM(U21:U24)-SUM(W21:W24)-SUM(Z21:Z24)-SUM(Y21:Y24)</f>
        <v>-0.24708670400001154</v>
      </c>
      <c r="AB21" s="50">
        <f>(SUM(K21:K24)-SUM(W21:W24)-SUM(Y21:Y24)-SUM(Z21:Z24)-SUM(AC21:AC24)-SUM(V21:V24))-AA21</f>
        <v>6.2172489379008766E-15</v>
      </c>
      <c r="AC21" s="38">
        <f>K21-T21</f>
        <v>0</v>
      </c>
      <c r="AD21" s="38">
        <f>+AM21+BA21</f>
        <v>9</v>
      </c>
      <c r="AE21" s="231" t="s">
        <v>394</v>
      </c>
      <c r="AF21" s="38">
        <v>9</v>
      </c>
      <c r="AG21" s="38"/>
      <c r="AH21" s="38"/>
      <c r="AI21" s="494"/>
      <c r="AJ21" s="38"/>
      <c r="AK21" s="38"/>
      <c r="AL21" s="38"/>
      <c r="AM21" s="38">
        <f t="shared" ref="AM21:AM23" si="6">SUM(AF21:AL21)+AT21+AV21+AX21</f>
        <v>9</v>
      </c>
      <c r="AN21" s="38"/>
      <c r="AO21" s="38"/>
      <c r="AP21" s="38"/>
      <c r="AQ21" s="38"/>
      <c r="AR21" s="38">
        <f>SUM(AN21:AQ21)</f>
        <v>0</v>
      </c>
      <c r="AS21" s="38"/>
      <c r="AT21" s="38"/>
      <c r="AU21" s="38"/>
      <c r="AV21" s="38"/>
      <c r="AW21" s="38"/>
      <c r="AX21" s="38"/>
      <c r="AY21" s="38"/>
      <c r="AZ21" s="38"/>
      <c r="BA21" s="38">
        <f>+AR21+AS21+AU21+AW21+AY21+AZ21</f>
        <v>0</v>
      </c>
      <c r="BB21" s="34">
        <v>3</v>
      </c>
      <c r="BC21" s="52"/>
      <c r="BD21" s="52"/>
      <c r="BE21" s="34"/>
      <c r="BF21" s="52"/>
    </row>
    <row r="22" spans="1:58" ht="12.95" customHeight="1">
      <c r="A22" s="41"/>
      <c r="B22" s="42"/>
      <c r="C22" s="406"/>
      <c r="D22" s="42"/>
      <c r="E22" s="43"/>
      <c r="F22" s="43"/>
      <c r="G22" s="491"/>
      <c r="H22" s="45"/>
      <c r="I22" s="46"/>
      <c r="J22" s="83"/>
      <c r="K22" s="83"/>
      <c r="L22" s="36"/>
      <c r="M22" s="36"/>
      <c r="N22" s="47"/>
      <c r="O22" s="48"/>
      <c r="P22" s="49"/>
      <c r="Q22" s="48"/>
      <c r="R22" s="492"/>
      <c r="S22" s="492"/>
      <c r="T22" s="38"/>
      <c r="U22" s="38"/>
      <c r="V22" s="38"/>
      <c r="W22" s="38"/>
      <c r="X22" s="39"/>
      <c r="Y22" s="212"/>
      <c r="Z22" s="38"/>
      <c r="AA22" s="38"/>
      <c r="AB22" s="38"/>
      <c r="AC22" s="38"/>
      <c r="AD22" s="38">
        <f>+AM22+BA22</f>
        <v>16</v>
      </c>
      <c r="AE22" s="231" t="s">
        <v>460</v>
      </c>
      <c r="AF22" s="38"/>
      <c r="AG22" s="38">
        <v>16</v>
      </c>
      <c r="AH22" s="38"/>
      <c r="AI22" s="494"/>
      <c r="AJ22" s="38"/>
      <c r="AK22" s="38"/>
      <c r="AL22" s="38"/>
      <c r="AM22" s="38">
        <f t="shared" si="6"/>
        <v>16</v>
      </c>
      <c r="AN22" s="84"/>
      <c r="AO22" s="38"/>
      <c r="AP22" s="38"/>
      <c r="AQ22" s="38"/>
      <c r="AR22" s="38">
        <f t="shared" ref="AR22:AR23" si="7">SUM(AN22:AQ22)</f>
        <v>0</v>
      </c>
      <c r="AS22" s="38"/>
      <c r="AT22" s="38"/>
      <c r="AU22" s="38"/>
      <c r="AV22" s="38"/>
      <c r="AW22" s="38"/>
      <c r="AX22" s="38"/>
      <c r="AY22" s="38"/>
      <c r="AZ22" s="38"/>
      <c r="BA22" s="38">
        <f>+AR22+AS22+AU22+AW22+AY22+AZ22</f>
        <v>0</v>
      </c>
      <c r="BB22" s="51"/>
      <c r="BC22" s="52">
        <v>9</v>
      </c>
      <c r="BD22" s="52"/>
      <c r="BE22" s="51"/>
      <c r="BF22" s="52"/>
    </row>
    <row r="23" spans="1:58" ht="12.95" customHeight="1">
      <c r="A23" s="41"/>
      <c r="B23" s="42"/>
      <c r="C23" s="406"/>
      <c r="D23" s="42"/>
      <c r="E23" s="43"/>
      <c r="F23" s="43"/>
      <c r="G23" s="44"/>
      <c r="H23" s="45"/>
      <c r="I23" s="46"/>
      <c r="J23" s="83"/>
      <c r="K23" s="83"/>
      <c r="L23" s="36"/>
      <c r="M23" s="36"/>
      <c r="N23" s="47"/>
      <c r="O23" s="48"/>
      <c r="P23" s="49"/>
      <c r="Q23" s="48"/>
      <c r="R23" s="492"/>
      <c r="S23" s="492"/>
      <c r="T23" s="38"/>
      <c r="U23" s="38"/>
      <c r="V23" s="38"/>
      <c r="W23" s="38"/>
      <c r="X23" s="39"/>
      <c r="Y23" s="212"/>
      <c r="Z23" s="38"/>
      <c r="AA23" s="38"/>
      <c r="AB23" s="38"/>
      <c r="AC23" s="38"/>
      <c r="AD23" s="38">
        <f>+AM23+BA23</f>
        <v>37</v>
      </c>
      <c r="AE23" s="231" t="s">
        <v>444</v>
      </c>
      <c r="AF23" s="34"/>
      <c r="AG23" s="34"/>
      <c r="AH23" s="34">
        <v>37</v>
      </c>
      <c r="AJ23" s="38"/>
      <c r="AK23" s="38"/>
      <c r="AL23" s="38"/>
      <c r="AM23" s="38">
        <f t="shared" si="6"/>
        <v>37</v>
      </c>
      <c r="AN23" s="38"/>
      <c r="AO23" s="38"/>
      <c r="AP23" s="38"/>
      <c r="AQ23" s="38"/>
      <c r="AR23" s="38">
        <f t="shared" si="7"/>
        <v>0</v>
      </c>
      <c r="AS23" s="38"/>
      <c r="AT23" s="38"/>
      <c r="AU23" s="38"/>
      <c r="AV23" s="38"/>
      <c r="AW23" s="38"/>
      <c r="AX23" s="38"/>
      <c r="AY23" s="38"/>
      <c r="AZ23" s="38"/>
      <c r="BA23" s="38">
        <f>+AR23+AS23+AU23+AW23+AY23+AZ23</f>
        <v>0</v>
      </c>
      <c r="BB23" s="34"/>
      <c r="BC23" s="495"/>
      <c r="BD23" s="495"/>
      <c r="BE23" s="34"/>
      <c r="BF23" s="495"/>
    </row>
    <row r="24" spans="1:58" ht="12.95" customHeight="1">
      <c r="A24" s="41"/>
      <c r="B24" s="42"/>
      <c r="C24" s="406"/>
      <c r="D24" s="42"/>
      <c r="E24" s="43"/>
      <c r="F24" s="43"/>
      <c r="G24" s="44"/>
      <c r="H24" s="45"/>
      <c r="I24" s="46"/>
      <c r="J24" s="83"/>
      <c r="K24" s="83"/>
      <c r="L24" s="36"/>
      <c r="M24" s="36"/>
      <c r="N24" s="47"/>
      <c r="O24" s="48"/>
      <c r="P24" s="49"/>
      <c r="Q24" s="35"/>
      <c r="R24" s="492"/>
      <c r="S24" s="492"/>
      <c r="T24" s="38"/>
      <c r="U24" s="38"/>
      <c r="V24" s="38"/>
      <c r="W24" s="38"/>
      <c r="X24" s="39"/>
      <c r="Y24" s="212"/>
      <c r="Z24" s="38"/>
      <c r="AA24" s="38"/>
      <c r="AB24" s="38"/>
      <c r="AC24" s="38"/>
      <c r="AD24" s="38"/>
      <c r="AE24" s="234"/>
      <c r="AF24" s="38"/>
      <c r="AG24" s="38"/>
      <c r="AH24" s="38"/>
      <c r="AI24" s="494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51"/>
      <c r="BC24" s="52"/>
      <c r="BD24" s="52"/>
      <c r="BE24" s="34"/>
      <c r="BF24" s="52"/>
    </row>
    <row r="25" spans="1:58" ht="12.75" customHeight="1">
      <c r="A25" s="41">
        <v>45843</v>
      </c>
      <c r="B25" s="42" t="s">
        <v>7</v>
      </c>
      <c r="C25" s="406">
        <f>(M25*E25*O25*Q25)/100000000</f>
        <v>5.8951292400000002</v>
      </c>
      <c r="D25" s="42" t="s">
        <v>301</v>
      </c>
      <c r="E25" s="43">
        <v>12</v>
      </c>
      <c r="F25" s="43">
        <v>1</v>
      </c>
      <c r="G25" s="491">
        <v>1230</v>
      </c>
      <c r="H25" s="45">
        <v>0.23</v>
      </c>
      <c r="I25" s="46">
        <v>0.88</v>
      </c>
      <c r="J25" s="83">
        <f>E25*G25*(1-H25)*1440/1000000*2.74</f>
        <v>44.842533120000006</v>
      </c>
      <c r="K25" s="83">
        <f>(IF(G25&lt;L25,L25,G25)*(1-IF(H25&lt;N25,H25,N25))*E25*O25*Q25)/100000000</f>
        <v>5.8951292400000002</v>
      </c>
      <c r="L25" s="36">
        <v>1230</v>
      </c>
      <c r="M25" s="36">
        <v>947.09999999999991</v>
      </c>
      <c r="N25" s="47">
        <f>1-(M25/L25)</f>
        <v>0.23000000000000009</v>
      </c>
      <c r="O25" s="48">
        <f>+'Trim Rwd'!H16</f>
        <v>266</v>
      </c>
      <c r="P25" s="49">
        <f>O25*(Q25-R25-S25)</f>
        <v>47880</v>
      </c>
      <c r="Q25" s="48">
        <v>195</v>
      </c>
      <c r="R25" s="492">
        <v>0</v>
      </c>
      <c r="S25" s="492">
        <v>15</v>
      </c>
      <c r="T25" s="38">
        <f>E25*M25*O25*Q25/100000000</f>
        <v>5.8951292400000002</v>
      </c>
      <c r="U25" s="38">
        <f>E25*M25*O25*(Q25-R25-S25)/100000000</f>
        <v>5.44165776</v>
      </c>
      <c r="V25" s="38">
        <f>E25*G25*(1-N25)*O25/100*(R25+S25)/1000000</f>
        <v>0.45347147999999998</v>
      </c>
      <c r="W25" s="38">
        <f>+'5'!K9/1000</f>
        <v>3.4079999999999999</v>
      </c>
      <c r="X25" s="493">
        <f>SUM(W25:W28)/SUM(K25:K28)</f>
        <v>0.90884412876151155</v>
      </c>
      <c r="Y25" s="212">
        <v>0</v>
      </c>
      <c r="Z25" s="38">
        <f>+'1'!D44/1000</f>
        <v>0</v>
      </c>
      <c r="AA25" s="50">
        <f>SUM(U25:U28)-SUM(W25:W28)-SUM(Z25:Z28)-SUM(Y25:Y28)</f>
        <v>1.7245653599999997</v>
      </c>
      <c r="AB25" s="50">
        <f>(SUM(K25:K28)-SUM(W25:W28)-SUM(Y25:Y28)-SUM(Z25:Z28)-SUM(AC25:AC28)-SUM(V25:V28))-AA25</f>
        <v>0.23107087499999857</v>
      </c>
      <c r="AC25" s="38">
        <f>K25-T25</f>
        <v>0</v>
      </c>
      <c r="AD25" s="38">
        <f>+AM25+BA25</f>
        <v>12</v>
      </c>
      <c r="AE25" s="231" t="s">
        <v>394</v>
      </c>
      <c r="AF25" s="38">
        <v>12</v>
      </c>
      <c r="AG25" s="38"/>
      <c r="AH25" s="38"/>
      <c r="AI25" s="494"/>
      <c r="AJ25" s="38"/>
      <c r="AK25" s="38"/>
      <c r="AL25" s="38"/>
      <c r="AM25" s="38">
        <f t="shared" ref="AM25:AM27" si="8">SUM(AF25:AL25)+AT25+AV25+AX25</f>
        <v>12</v>
      </c>
      <c r="AN25" s="38"/>
      <c r="AO25" s="38"/>
      <c r="AP25" s="38"/>
      <c r="AQ25" s="38"/>
      <c r="AR25" s="38">
        <f>SUM(AN25:AQ25)</f>
        <v>0</v>
      </c>
      <c r="AS25" s="38"/>
      <c r="AT25" s="38"/>
      <c r="AU25" s="38"/>
      <c r="AV25" s="38"/>
      <c r="AW25" s="38"/>
      <c r="AX25" s="38"/>
      <c r="AY25" s="38"/>
      <c r="AZ25" s="38"/>
      <c r="BA25" s="38">
        <f>+AR25+AS25+AU25+AW25+AY25+AZ25</f>
        <v>0</v>
      </c>
      <c r="BB25" s="34">
        <v>3</v>
      </c>
      <c r="BC25" s="52"/>
      <c r="BD25" s="52"/>
      <c r="BE25" s="34"/>
      <c r="BF25" s="52"/>
    </row>
    <row r="26" spans="1:58" ht="12.95" customHeight="1">
      <c r="A26" s="41"/>
      <c r="B26" s="42" t="s">
        <v>7</v>
      </c>
      <c r="C26" s="406">
        <f t="shared" ref="C26" si="9">(M26*E26*O26*Q26)/100000000</f>
        <v>17.792457374999998</v>
      </c>
      <c r="D26" s="42" t="s">
        <v>301</v>
      </c>
      <c r="E26" s="43">
        <v>12.5</v>
      </c>
      <c r="F26" s="43">
        <v>1</v>
      </c>
      <c r="G26" s="491">
        <v>1230</v>
      </c>
      <c r="H26" s="45">
        <v>0.22</v>
      </c>
      <c r="I26" s="46">
        <v>0.88</v>
      </c>
      <c r="J26" s="83">
        <f t="shared" ref="J26" si="10">E26*G26*(1-H26)*1440/1000000*2.74</f>
        <v>47.317608000000007</v>
      </c>
      <c r="K26" s="83">
        <f t="shared" ref="K26" si="11">(IF(G26&lt;L26,L26,G26)*(1-IF(H26&lt;N26,H26,N26))*E26*O26*Q26)/100000000</f>
        <v>18.023528249999998</v>
      </c>
      <c r="L26" s="36">
        <v>1230</v>
      </c>
      <c r="M26" s="36">
        <v>947.09999999999991</v>
      </c>
      <c r="N26" s="47">
        <f t="shared" ref="N26" si="12">1-(M26/L26)</f>
        <v>0.23000000000000009</v>
      </c>
      <c r="O26" s="48">
        <f>+'Trim Rwd'!H17</f>
        <v>266</v>
      </c>
      <c r="P26" s="49">
        <f t="shared" ref="P26" si="13">O26*(Q26-R26-S26)</f>
        <v>143640</v>
      </c>
      <c r="Q26" s="48">
        <v>565</v>
      </c>
      <c r="R26" s="492">
        <v>0</v>
      </c>
      <c r="S26" s="492">
        <v>25</v>
      </c>
      <c r="T26" s="38">
        <f t="shared" ref="T26" si="14">E26*M26*O26*Q26/100000000</f>
        <v>17.792457374999998</v>
      </c>
      <c r="U26" s="38">
        <f t="shared" ref="U26" si="15">E26*M26*O26*(Q26-R26-S26)/100000000</f>
        <v>17.005180499999998</v>
      </c>
      <c r="V26" s="38">
        <f t="shared" ref="V26" si="16">E26*G26*(1-N26)*O26/100*(R26+S26)/1000000</f>
        <v>0.78727687499999988</v>
      </c>
      <c r="W26" s="38">
        <f>+'5'!K10/1000</f>
        <v>19.792000000000002</v>
      </c>
      <c r="X26" s="39"/>
      <c r="Y26" s="212"/>
      <c r="Z26" s="38"/>
      <c r="AA26" s="38"/>
      <c r="AB26" s="38"/>
      <c r="AC26" s="38"/>
      <c r="AD26" s="38">
        <f>+AM26+BA26</f>
        <v>9</v>
      </c>
      <c r="AE26" s="231" t="s">
        <v>385</v>
      </c>
      <c r="AF26" s="38"/>
      <c r="AG26" s="38">
        <v>9</v>
      </c>
      <c r="AH26" s="38"/>
      <c r="AI26" s="494"/>
      <c r="AJ26" s="38"/>
      <c r="AK26" s="38"/>
      <c r="AL26" s="38"/>
      <c r="AM26" s="38">
        <f t="shared" si="8"/>
        <v>9</v>
      </c>
      <c r="AN26" s="84"/>
      <c r="AO26" s="38"/>
      <c r="AP26" s="38"/>
      <c r="AQ26" s="38"/>
      <c r="AR26" s="38">
        <f t="shared" ref="AR26:AR27" si="17">SUM(AN26:AQ26)</f>
        <v>0</v>
      </c>
      <c r="AS26" s="38"/>
      <c r="AT26" s="38"/>
      <c r="AU26" s="38"/>
      <c r="AV26" s="38"/>
      <c r="AW26" s="38"/>
      <c r="AX26" s="38"/>
      <c r="AY26" s="38"/>
      <c r="AZ26" s="38"/>
      <c r="BA26" s="38">
        <f>+AR26+AS26+AU26+AW26+AY26+AZ26</f>
        <v>0</v>
      </c>
      <c r="BB26" s="51"/>
      <c r="BC26" s="52">
        <v>5</v>
      </c>
      <c r="BD26" s="52"/>
      <c r="BE26" s="51"/>
      <c r="BF26" s="52"/>
    </row>
    <row r="27" spans="1:58" ht="12.95" customHeight="1">
      <c r="A27" s="41"/>
      <c r="B27" s="42" t="s">
        <v>7</v>
      </c>
      <c r="C27" s="406">
        <f>(M27*E27*O27*Q27)/100000000</f>
        <v>21.600699120000002</v>
      </c>
      <c r="D27" s="42" t="s">
        <v>301</v>
      </c>
      <c r="E27" s="43">
        <v>13</v>
      </c>
      <c r="F27" s="43">
        <v>1</v>
      </c>
      <c r="G27" s="491">
        <v>1230</v>
      </c>
      <c r="H27" s="45">
        <v>0.23</v>
      </c>
      <c r="I27" s="46">
        <v>0.88</v>
      </c>
      <c r="J27" s="83">
        <f>E27*G27*(1-H27)*1440/1000000*2.74</f>
        <v>48.579410880000005</v>
      </c>
      <c r="K27" s="83">
        <f>(IF(G27&lt;L27,L27,G27)*(1-IF(H27&lt;N27,H27,N27))*E27*O27*Q27)/100000000</f>
        <v>21.600699120000002</v>
      </c>
      <c r="L27" s="36">
        <v>1230</v>
      </c>
      <c r="M27" s="36">
        <v>947.09999999999991</v>
      </c>
      <c r="N27" s="47">
        <f>1-(M27/L27)</f>
        <v>0.23000000000000009</v>
      </c>
      <c r="O27" s="48">
        <f>+'Trim Rwd'!H18</f>
        <v>258</v>
      </c>
      <c r="P27" s="49">
        <f>O27*(Q27-R27-S27)</f>
        <v>167700</v>
      </c>
      <c r="Q27" s="48">
        <v>680</v>
      </c>
      <c r="R27" s="492">
        <v>0</v>
      </c>
      <c r="S27" s="492">
        <v>30</v>
      </c>
      <c r="T27" s="38">
        <f>E27*M27*O27*Q27/100000000</f>
        <v>21.600699120000002</v>
      </c>
      <c r="U27" s="38">
        <f>E27*M27*O27*(Q27-R27-S27)/100000000</f>
        <v>20.647727100000001</v>
      </c>
      <c r="V27" s="38">
        <f>E27*G27*(1-N27)*O27/100*(R27+S27)/1000000</f>
        <v>0.95297202000000003</v>
      </c>
      <c r="W27" s="38">
        <f>+'5'!K8/1000</f>
        <v>18.170000000000002</v>
      </c>
      <c r="X27" s="39"/>
      <c r="Y27" s="212"/>
      <c r="Z27" s="38"/>
      <c r="AA27" s="38"/>
      <c r="AB27" s="38"/>
      <c r="AC27" s="38"/>
      <c r="AD27" s="38">
        <f>+AM27+BA27</f>
        <v>49</v>
      </c>
      <c r="AE27" s="231" t="s">
        <v>456</v>
      </c>
      <c r="AF27" s="34"/>
      <c r="AG27" s="34"/>
      <c r="AH27" s="34">
        <v>49</v>
      </c>
      <c r="AJ27" s="38"/>
      <c r="AK27" s="38"/>
      <c r="AL27" s="38"/>
      <c r="AM27" s="38">
        <f t="shared" si="8"/>
        <v>49</v>
      </c>
      <c r="AN27" s="38"/>
      <c r="AO27" s="38"/>
      <c r="AP27" s="38"/>
      <c r="AQ27" s="38"/>
      <c r="AR27" s="38">
        <f t="shared" si="17"/>
        <v>0</v>
      </c>
      <c r="AS27" s="38"/>
      <c r="AT27" s="38"/>
      <c r="AU27" s="38"/>
      <c r="AV27" s="38"/>
      <c r="AW27" s="38"/>
      <c r="AX27" s="38"/>
      <c r="AY27" s="38"/>
      <c r="AZ27" s="38"/>
      <c r="BA27" s="38">
        <f>+AR27+AS27+AU27+AW27+AY27+AZ27</f>
        <v>0</v>
      </c>
      <c r="BB27" s="34"/>
      <c r="BC27" s="495"/>
      <c r="BD27" s="495"/>
      <c r="BE27" s="34"/>
      <c r="BF27" s="495"/>
    </row>
    <row r="28" spans="1:58" ht="12.95" customHeight="1">
      <c r="A28" s="41"/>
      <c r="B28" s="42"/>
      <c r="C28" s="406"/>
      <c r="D28" s="42"/>
      <c r="E28" s="43"/>
      <c r="F28" s="43"/>
      <c r="G28" s="491"/>
      <c r="H28" s="45"/>
      <c r="I28" s="46"/>
      <c r="J28" s="83"/>
      <c r="K28" s="83"/>
      <c r="L28" s="36"/>
      <c r="M28" s="36"/>
      <c r="N28" s="47"/>
      <c r="O28" s="48"/>
      <c r="P28" s="49"/>
      <c r="Q28" s="48"/>
      <c r="R28" s="492"/>
      <c r="S28" s="492"/>
      <c r="T28" s="38"/>
      <c r="U28" s="38"/>
      <c r="V28" s="38"/>
      <c r="W28" s="38"/>
      <c r="X28" s="39"/>
      <c r="Y28" s="212"/>
      <c r="Z28" s="38"/>
      <c r="AA28" s="38"/>
      <c r="AB28" s="38"/>
      <c r="AC28" s="38"/>
      <c r="AD28" s="38"/>
      <c r="AE28" s="231"/>
      <c r="AF28" s="38"/>
      <c r="AG28" s="38"/>
      <c r="AH28" s="38"/>
      <c r="AI28" s="494"/>
      <c r="AJ28" s="38"/>
      <c r="AK28" s="38"/>
      <c r="AL28" s="38"/>
      <c r="AM28" s="38"/>
      <c r="AN28" s="84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51"/>
      <c r="BC28" s="52"/>
      <c r="BD28" s="52"/>
      <c r="BE28" s="34"/>
      <c r="BF28" s="52"/>
    </row>
    <row r="29" spans="1:58" ht="12.75" customHeight="1">
      <c r="A29" s="41">
        <v>45844</v>
      </c>
      <c r="B29" s="42" t="s">
        <v>7</v>
      </c>
      <c r="C29" s="406">
        <f>(M29*E29*O29*Q29)/100000000</f>
        <v>46.353741033599995</v>
      </c>
      <c r="D29" s="42" t="s">
        <v>301</v>
      </c>
      <c r="E29" s="43">
        <v>13</v>
      </c>
      <c r="F29" s="43">
        <v>1</v>
      </c>
      <c r="G29" s="491">
        <v>1230</v>
      </c>
      <c r="H29" s="45">
        <v>0.23</v>
      </c>
      <c r="I29" s="46">
        <v>0.88</v>
      </c>
      <c r="J29" s="83">
        <f>E29*G29*(1-H29)*1440/1000000*2.74</f>
        <v>48.579410880000005</v>
      </c>
      <c r="K29" s="83">
        <f>(IF(G29&lt;L29,L29,G29)*(1-IF(H29&lt;N29,H29,N29))*E29*O29*Q29)/100000000</f>
        <v>46.353741033599995</v>
      </c>
      <c r="L29" s="36">
        <v>1230</v>
      </c>
      <c r="M29" s="36">
        <v>947.09999999999991</v>
      </c>
      <c r="N29" s="47">
        <f>1-(M29/L29)</f>
        <v>0.23000000000000009</v>
      </c>
      <c r="O29" s="48">
        <f>+'Trim Rwd'!H20</f>
        <v>261.44666666666666</v>
      </c>
      <c r="P29" s="49">
        <f>O29*(Q29-R29-S29)</f>
        <v>349815.64</v>
      </c>
      <c r="Q29" s="48">
        <v>1440</v>
      </c>
      <c r="R29" s="492">
        <v>0</v>
      </c>
      <c r="S29" s="492">
        <v>102</v>
      </c>
      <c r="T29" s="38">
        <f>E29*M29*O29*Q29/100000000</f>
        <v>46.353741033599995</v>
      </c>
      <c r="U29" s="38">
        <f>E29*M29*O29*(Q29-R29-S29)/100000000</f>
        <v>43.070351043719995</v>
      </c>
      <c r="V29" s="38">
        <f>E29*G29*(1-N29)*O29/100*(R29+S29)/1000000</f>
        <v>3.2833899898799999</v>
      </c>
      <c r="W29" s="38">
        <f>+'6'!K8/1000</f>
        <v>42.210999999999999</v>
      </c>
      <c r="X29" s="493">
        <f>SUM(W29:W32)/SUM(K29:K32)</f>
        <v>0.91062768740505562</v>
      </c>
      <c r="Y29" s="212">
        <f>+SUM(RBP!AG20:AG21)</f>
        <v>0</v>
      </c>
      <c r="Z29" s="38">
        <f>+'6'!D34/1000</f>
        <v>0.45800000000000002</v>
      </c>
      <c r="AA29" s="50">
        <f>SUM(U29:U32)-SUM(W29:W32)-SUM(Z29:Z32)-SUM(Y29:Y32)</f>
        <v>0.40135104371999669</v>
      </c>
      <c r="AB29" s="50">
        <f>(SUM(K29:K32)-SUM(W29:W32)-SUM(Y29:Y32)-SUM(Z29:Z32)-SUM(AC29:AC32)-SUM(V29:V32))-AA29</f>
        <v>0</v>
      </c>
      <c r="AC29" s="38">
        <f>K29-T29</f>
        <v>0</v>
      </c>
      <c r="AD29" s="38">
        <f>+AM29+BA29</f>
        <v>57</v>
      </c>
      <c r="AE29" s="231" t="s">
        <v>474</v>
      </c>
      <c r="AF29" s="38">
        <v>57</v>
      </c>
      <c r="AG29" s="38"/>
      <c r="AH29" s="38"/>
      <c r="AI29" s="494"/>
      <c r="AJ29" s="38"/>
      <c r="AK29" s="38"/>
      <c r="AL29" s="38"/>
      <c r="AM29" s="38">
        <f t="shared" ref="AM29:AM31" si="18">SUM(AF29:AL29)+AT29+AV29+AX29</f>
        <v>57</v>
      </c>
      <c r="AN29" s="38"/>
      <c r="AO29" s="38"/>
      <c r="AP29" s="38"/>
      <c r="AQ29" s="38"/>
      <c r="AR29" s="38">
        <f>SUM(AN29:AQ29)</f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>+AR29+AS29+AU29+AW29+AY29+AZ29</f>
        <v>0</v>
      </c>
      <c r="BB29" s="34">
        <v>15</v>
      </c>
      <c r="BC29" s="52"/>
      <c r="BD29" s="52"/>
      <c r="BE29" s="34"/>
      <c r="BF29" s="52">
        <v>2</v>
      </c>
    </row>
    <row r="30" spans="1:58" ht="12.95" customHeight="1">
      <c r="A30" s="41"/>
      <c r="B30" s="42"/>
      <c r="C30" s="406"/>
      <c r="D30" s="42"/>
      <c r="E30" s="43"/>
      <c r="F30" s="43"/>
      <c r="G30" s="491"/>
      <c r="H30" s="45"/>
      <c r="I30" s="46"/>
      <c r="J30" s="83"/>
      <c r="K30" s="83"/>
      <c r="L30" s="36"/>
      <c r="M30" s="36"/>
      <c r="N30" s="47"/>
      <c r="O30" s="48"/>
      <c r="P30" s="49"/>
      <c r="Q30" s="48"/>
      <c r="R30" s="492"/>
      <c r="S30" s="492"/>
      <c r="T30" s="38"/>
      <c r="U30" s="38"/>
      <c r="V30" s="38"/>
      <c r="W30" s="38"/>
      <c r="X30" s="39"/>
      <c r="Y30" s="212"/>
      <c r="Z30" s="38"/>
      <c r="AA30" s="38"/>
      <c r="AB30" s="38"/>
      <c r="AC30" s="38"/>
      <c r="AD30" s="38">
        <f>+AM30+BA30</f>
        <v>0</v>
      </c>
      <c r="AE30" s="231" t="s">
        <v>408</v>
      </c>
      <c r="AF30" s="38"/>
      <c r="AG30" s="38">
        <v>0</v>
      </c>
      <c r="AH30" s="38"/>
      <c r="AI30" s="494"/>
      <c r="AJ30" s="38"/>
      <c r="AK30" s="38"/>
      <c r="AL30" s="38"/>
      <c r="AM30" s="38">
        <f t="shared" si="18"/>
        <v>0</v>
      </c>
      <c r="AN30" s="84"/>
      <c r="AO30" s="38"/>
      <c r="AP30" s="38"/>
      <c r="AQ30" s="38"/>
      <c r="AR30" s="38">
        <f t="shared" ref="AR30:AR31" si="19">SUM(AN30:AQ30)</f>
        <v>0</v>
      </c>
      <c r="AS30" s="38"/>
      <c r="AT30" s="38"/>
      <c r="AU30" s="38"/>
      <c r="AV30" s="38"/>
      <c r="AW30" s="38"/>
      <c r="AX30" s="38"/>
      <c r="AY30" s="38"/>
      <c r="AZ30" s="38"/>
      <c r="BA30" s="38">
        <f>+AR30+AS30+AU30+AW30+AY30+AZ30</f>
        <v>0</v>
      </c>
      <c r="BB30" s="51"/>
      <c r="BC30" s="52">
        <v>0</v>
      </c>
      <c r="BD30" s="52"/>
      <c r="BE30" s="51"/>
      <c r="BF30" s="52"/>
    </row>
    <row r="31" spans="1:58" ht="12.95" customHeight="1">
      <c r="A31" s="41"/>
      <c r="B31" s="42"/>
      <c r="C31" s="406"/>
      <c r="D31" s="42"/>
      <c r="E31" s="43"/>
      <c r="F31" s="43"/>
      <c r="G31" s="44"/>
      <c r="H31" s="45"/>
      <c r="I31" s="46"/>
      <c r="J31" s="83"/>
      <c r="K31" s="83"/>
      <c r="L31" s="36"/>
      <c r="M31" s="36"/>
      <c r="N31" s="47"/>
      <c r="O31" s="48"/>
      <c r="P31" s="49"/>
      <c r="Q31" s="48"/>
      <c r="R31" s="492"/>
      <c r="S31" s="492"/>
      <c r="T31" s="38"/>
      <c r="U31" s="38"/>
      <c r="V31" s="38"/>
      <c r="W31" s="38"/>
      <c r="X31" s="39"/>
      <c r="Y31" s="212"/>
      <c r="Z31" s="38"/>
      <c r="AA31" s="38"/>
      <c r="AB31" s="38"/>
      <c r="AC31" s="38"/>
      <c r="AD31" s="38">
        <f>+AM31+BA31</f>
        <v>45</v>
      </c>
      <c r="AE31" s="231" t="s">
        <v>444</v>
      </c>
      <c r="AF31" s="34"/>
      <c r="AG31" s="34"/>
      <c r="AH31" s="34">
        <v>45</v>
      </c>
      <c r="AJ31" s="38"/>
      <c r="AK31" s="38"/>
      <c r="AL31" s="38"/>
      <c r="AM31" s="38">
        <f t="shared" si="18"/>
        <v>45</v>
      </c>
      <c r="AN31" s="38"/>
      <c r="AO31" s="38"/>
      <c r="AP31" s="38"/>
      <c r="AQ31" s="38"/>
      <c r="AR31" s="38">
        <f t="shared" si="19"/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+AR31+AS31+AU31+AW31+AY31+AZ31</f>
        <v>0</v>
      </c>
      <c r="BB31" s="34"/>
      <c r="BC31" s="495"/>
      <c r="BD31" s="495"/>
      <c r="BE31" s="34"/>
      <c r="BF31" s="495"/>
    </row>
    <row r="32" spans="1:58" ht="12.75" customHeight="1">
      <c r="A32" s="41"/>
      <c r="B32" s="42"/>
      <c r="C32" s="406"/>
      <c r="D32" s="42"/>
      <c r="E32" s="43"/>
      <c r="F32" s="43"/>
      <c r="G32" s="491"/>
      <c r="H32" s="45"/>
      <c r="I32" s="46"/>
      <c r="J32" s="83"/>
      <c r="K32" s="83"/>
      <c r="L32" s="36"/>
      <c r="M32" s="36"/>
      <c r="N32" s="47"/>
      <c r="O32" s="48"/>
      <c r="P32" s="49"/>
      <c r="Q32" s="48"/>
      <c r="R32" s="492"/>
      <c r="S32" s="492"/>
      <c r="T32" s="38"/>
      <c r="U32" s="38"/>
      <c r="V32" s="38"/>
      <c r="W32" s="38"/>
      <c r="X32" s="493"/>
      <c r="Y32" s="212"/>
      <c r="Z32" s="38"/>
      <c r="AA32" s="50"/>
      <c r="AB32" s="50"/>
      <c r="AC32" s="38"/>
      <c r="AD32" s="38"/>
      <c r="AE32" s="231"/>
      <c r="AF32" s="38"/>
      <c r="AG32" s="38"/>
      <c r="AH32" s="38"/>
      <c r="AI32" s="494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4"/>
      <c r="BC32" s="52"/>
      <c r="BD32" s="52"/>
      <c r="BE32" s="34"/>
      <c r="BF32" s="52"/>
    </row>
    <row r="33" spans="1:58" ht="12.75" customHeight="1">
      <c r="A33" s="41">
        <v>45845</v>
      </c>
      <c r="B33" s="42" t="s">
        <v>7</v>
      </c>
      <c r="C33" s="406">
        <f>(M33*E33*O33*Q33)/100000000</f>
        <v>9.5706585974999996</v>
      </c>
      <c r="D33" s="42" t="s">
        <v>301</v>
      </c>
      <c r="E33" s="43">
        <v>13</v>
      </c>
      <c r="F33" s="43">
        <v>1</v>
      </c>
      <c r="G33" s="491">
        <v>1230</v>
      </c>
      <c r="H33" s="45">
        <v>0.23</v>
      </c>
      <c r="I33" s="46">
        <v>0.88</v>
      </c>
      <c r="J33" s="83">
        <f>E33*G33*(1-H33)*1440/1000000*2.74</f>
        <v>48.579410880000005</v>
      </c>
      <c r="K33" s="83">
        <f>(IF(G33&lt;L33,L33,G33)*(1-IF(H33&lt;N33,H33,N33))*E33*O33*Q33)/100000000</f>
        <v>9.5706585974999996</v>
      </c>
      <c r="L33" s="36">
        <v>1230</v>
      </c>
      <c r="M33" s="36">
        <v>947.09999999999991</v>
      </c>
      <c r="N33" s="47">
        <f>1-(M33/L33)</f>
        <v>0.23000000000000009</v>
      </c>
      <c r="O33" s="48">
        <f>+'Trim Rwd'!H23</f>
        <v>263.5</v>
      </c>
      <c r="P33" s="49">
        <f>O33*(Q33-R33-S33)</f>
        <v>69037</v>
      </c>
      <c r="Q33" s="48">
        <v>295</v>
      </c>
      <c r="R33" s="492">
        <v>0</v>
      </c>
      <c r="S33" s="492">
        <v>33</v>
      </c>
      <c r="T33" s="38">
        <f>E33*M33*O33*Q33/100000000</f>
        <v>9.5706585974999996</v>
      </c>
      <c r="U33" s="38">
        <f>E33*M33*O33*(Q33-R33-S33)/100000000</f>
        <v>8.5000425509999982</v>
      </c>
      <c r="V33" s="38">
        <f>E33*G33*(1-N33)*O33/100*(R33+S33)/1000000</f>
        <v>1.0706160464999999</v>
      </c>
      <c r="W33" s="38">
        <f>+'7'!K8/1000</f>
        <v>11.215999999999999</v>
      </c>
      <c r="X33" s="493">
        <f>SUM(W33:W36)/SUM(K33:K36)</f>
        <v>0.88237814726272978</v>
      </c>
      <c r="Y33" s="212">
        <f>+SUM(RBP!AG24:AG25)</f>
        <v>0</v>
      </c>
      <c r="Z33" s="38">
        <v>0</v>
      </c>
      <c r="AA33" s="50">
        <f>SUM(U33:U36)-SUM(W33:W36)-SUM(Z33:Z36)-SUM(Y33:Y36)</f>
        <v>0.70512038452402659</v>
      </c>
      <c r="AB33" s="50">
        <f>(SUM(K33:K36)-SUM(W33:W36)-SUM(Y33:Y36)-SUM(Z33:Z36)-SUM(AC33:AC36)-SUM(V33:V36))-AA33</f>
        <v>1.1583608739759781</v>
      </c>
      <c r="AC33" s="38">
        <f>K33-T33</f>
        <v>0</v>
      </c>
      <c r="AD33" s="38">
        <f>+AM33+BA33</f>
        <v>48</v>
      </c>
      <c r="AE33" s="231" t="s">
        <v>491</v>
      </c>
      <c r="AF33" s="38">
        <v>48</v>
      </c>
      <c r="AG33" s="38"/>
      <c r="AH33" s="38"/>
      <c r="AI33" s="494"/>
      <c r="AJ33" s="38"/>
      <c r="AK33" s="38"/>
      <c r="AL33" s="38"/>
      <c r="AM33" s="38">
        <f t="shared" ref="AM33:AM35" si="20">SUM(AF33:AL33)+AT33+AV33+AX33</f>
        <v>48</v>
      </c>
      <c r="AN33" s="38"/>
      <c r="AO33" s="38"/>
      <c r="AP33" s="38"/>
      <c r="AQ33" s="38"/>
      <c r="AR33" s="38">
        <f>SUM(AN33:AQ33)</f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>+AR33+AS33+AU33+AW33+AY33+AZ33</f>
        <v>0</v>
      </c>
      <c r="BB33" s="34">
        <v>18</v>
      </c>
      <c r="BC33" s="52"/>
      <c r="BD33" s="52"/>
      <c r="BE33" s="34"/>
      <c r="BF33" s="52"/>
    </row>
    <row r="34" spans="1:58" ht="12.95" customHeight="1">
      <c r="A34" s="41"/>
      <c r="B34" s="42" t="s">
        <v>412</v>
      </c>
      <c r="C34" s="406">
        <f>(M34*E34*O34*Q34)/100000000</f>
        <v>34.937883981000006</v>
      </c>
      <c r="D34" s="42" t="s">
        <v>301</v>
      </c>
      <c r="E34" s="43">
        <v>13</v>
      </c>
      <c r="F34" s="43">
        <v>1</v>
      </c>
      <c r="G34" s="491">
        <v>1230</v>
      </c>
      <c r="H34" s="45">
        <v>0.23</v>
      </c>
      <c r="I34" s="46">
        <v>0.88</v>
      </c>
      <c r="J34" s="83">
        <f>E34*G34*(1-H34)*1440/1000000*2.74</f>
        <v>48.579410880000005</v>
      </c>
      <c r="K34" s="83">
        <f>(IF(G34&lt;L34,L34,G34)*(1-IF(H34&lt;N34,H34,N34))*E34*O34*Q34)/100000000</f>
        <v>36.160301677500001</v>
      </c>
      <c r="L34" s="36">
        <v>1188.4192139737991</v>
      </c>
      <c r="M34" s="36">
        <v>915.08279475982533</v>
      </c>
      <c r="N34" s="47">
        <f>1-(M34/L34)</f>
        <v>0.22999999999999998</v>
      </c>
      <c r="O34" s="48">
        <f>+'Trim Rwd'!H24</f>
        <v>256.5</v>
      </c>
      <c r="P34" s="49">
        <f>O34*(Q34-R34-S34)</f>
        <v>278302.5</v>
      </c>
      <c r="Q34" s="48">
        <v>1145</v>
      </c>
      <c r="R34" s="492">
        <v>0</v>
      </c>
      <c r="S34" s="492">
        <v>60</v>
      </c>
      <c r="T34" s="38">
        <f>E34*M34*O34*Q34/100000000</f>
        <v>34.937883981000006</v>
      </c>
      <c r="U34" s="38">
        <f>E34*M34*O34*(Q34-R34-S34)/100000000</f>
        <v>33.107077833524023</v>
      </c>
      <c r="V34" s="38">
        <f>E34*G34*(1-N34)*O34/100*(R34+S34)/1000000</f>
        <v>1.8948629699999999</v>
      </c>
      <c r="W34" s="38">
        <f>+'7'!K11/1000</f>
        <v>29.135999999999999</v>
      </c>
      <c r="X34" s="39"/>
      <c r="Y34" s="212"/>
      <c r="Z34" s="38">
        <f>+'7'!D7/1000</f>
        <v>0.55000000000000004</v>
      </c>
      <c r="AA34" s="38"/>
      <c r="AB34" s="38"/>
      <c r="AC34" s="38"/>
      <c r="AD34" s="38">
        <f>+AM34+BA34</f>
        <v>0</v>
      </c>
      <c r="AE34" s="231" t="s">
        <v>408</v>
      </c>
      <c r="AF34" s="38"/>
      <c r="AG34" s="38">
        <v>0</v>
      </c>
      <c r="AH34" s="38"/>
      <c r="AI34" s="494"/>
      <c r="AJ34" s="38"/>
      <c r="AK34" s="38"/>
      <c r="AL34" s="38"/>
      <c r="AM34" s="38">
        <f t="shared" si="20"/>
        <v>0</v>
      </c>
      <c r="AN34" s="84"/>
      <c r="AO34" s="38"/>
      <c r="AP34" s="38"/>
      <c r="AQ34" s="38"/>
      <c r="AR34" s="38">
        <f t="shared" ref="AR34:AR35" si="21">SUM(AN34:AQ34)</f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>+AR34+AS34+AU34+AW34+AY34+AZ34</f>
        <v>0</v>
      </c>
      <c r="BB34" s="51"/>
      <c r="BC34" s="52">
        <v>0</v>
      </c>
      <c r="BD34" s="52"/>
      <c r="BE34" s="51"/>
      <c r="BF34" s="52"/>
    </row>
    <row r="35" spans="1:58" ht="12.95" customHeight="1">
      <c r="A35" s="41"/>
      <c r="B35" s="42"/>
      <c r="C35" s="406"/>
      <c r="D35" s="42"/>
      <c r="E35" s="43"/>
      <c r="F35" s="43"/>
      <c r="G35" s="44"/>
      <c r="H35" s="45"/>
      <c r="I35" s="46"/>
      <c r="J35" s="83"/>
      <c r="K35" s="83"/>
      <c r="L35" s="36"/>
      <c r="M35" s="36"/>
      <c r="N35" s="47"/>
      <c r="O35" s="48"/>
      <c r="P35" s="49"/>
      <c r="Q35" s="48"/>
      <c r="R35" s="492"/>
      <c r="S35" s="492"/>
      <c r="T35" s="38"/>
      <c r="U35" s="38"/>
      <c r="V35" s="38"/>
      <c r="W35" s="38"/>
      <c r="X35" s="39"/>
      <c r="Y35" s="212"/>
      <c r="Z35" s="38"/>
      <c r="AA35" s="38"/>
      <c r="AB35" s="38"/>
      <c r="AC35" s="38"/>
      <c r="AD35" s="38">
        <f>+AM35+BA35</f>
        <v>45</v>
      </c>
      <c r="AE35" s="231" t="s">
        <v>492</v>
      </c>
      <c r="AF35" s="34"/>
      <c r="AG35" s="34"/>
      <c r="AH35" s="34">
        <v>45</v>
      </c>
      <c r="AJ35" s="38"/>
      <c r="AK35" s="38"/>
      <c r="AL35" s="38"/>
      <c r="AM35" s="38">
        <f t="shared" si="20"/>
        <v>45</v>
      </c>
      <c r="AN35" s="38"/>
      <c r="AO35" s="38"/>
      <c r="AP35" s="38"/>
      <c r="AQ35" s="38"/>
      <c r="AR35" s="38">
        <f t="shared" si="21"/>
        <v>0</v>
      </c>
      <c r="AS35" s="38"/>
      <c r="AT35" s="38"/>
      <c r="AU35" s="38"/>
      <c r="AV35" s="38"/>
      <c r="AW35" s="38"/>
      <c r="AX35" s="38"/>
      <c r="AY35" s="38"/>
      <c r="AZ35" s="38"/>
      <c r="BA35" s="38">
        <f>+AR35+AS35+AU35+AW35+AY35+AZ35</f>
        <v>0</v>
      </c>
      <c r="BB35" s="34"/>
      <c r="BC35" s="495"/>
      <c r="BD35" s="495"/>
      <c r="BE35" s="34"/>
      <c r="BF35" s="495"/>
    </row>
    <row r="36" spans="1:58" ht="12.95" customHeight="1">
      <c r="A36" s="41"/>
      <c r="B36" s="42"/>
      <c r="C36" s="406"/>
      <c r="D36" s="42"/>
      <c r="E36" s="43"/>
      <c r="F36" s="43"/>
      <c r="G36" s="491"/>
      <c r="H36" s="45"/>
      <c r="I36" s="46"/>
      <c r="J36" s="83"/>
      <c r="K36" s="83"/>
      <c r="L36" s="36"/>
      <c r="M36" s="36"/>
      <c r="N36" s="47"/>
      <c r="O36" s="48"/>
      <c r="P36" s="49"/>
      <c r="Q36" s="48"/>
      <c r="R36" s="492"/>
      <c r="S36" s="492"/>
      <c r="T36" s="38"/>
      <c r="U36" s="38"/>
      <c r="V36" s="38"/>
      <c r="W36" s="38"/>
      <c r="X36" s="39"/>
      <c r="Y36" s="212"/>
      <c r="Z36" s="38"/>
      <c r="AA36" s="38"/>
      <c r="AB36" s="38"/>
      <c r="AC36" s="38"/>
      <c r="AD36" s="38"/>
      <c r="AE36" s="234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4"/>
      <c r="BC36" s="52"/>
      <c r="BD36" s="52"/>
      <c r="BE36" s="52"/>
      <c r="BF36" s="52"/>
    </row>
    <row r="37" spans="1:58" ht="12.75" customHeight="1">
      <c r="A37" s="41">
        <v>45846</v>
      </c>
      <c r="B37" s="42" t="s">
        <v>412</v>
      </c>
      <c r="C37" s="406">
        <f>(M37*E37*O37*Q37)/100000000</f>
        <v>46.864396800000002</v>
      </c>
      <c r="D37" s="42" t="s">
        <v>301</v>
      </c>
      <c r="E37" s="43">
        <v>13</v>
      </c>
      <c r="F37" s="43">
        <v>1</v>
      </c>
      <c r="G37" s="491">
        <v>1230</v>
      </c>
      <c r="H37" s="45">
        <v>0.23</v>
      </c>
      <c r="I37" s="46">
        <v>0.88</v>
      </c>
      <c r="J37" s="83">
        <f>E37*G37*(1-H37)*1440/1000000*2.74</f>
        <v>48.579410880000005</v>
      </c>
      <c r="K37" s="83">
        <f>(IF(G37&lt;L37,L37,G37)*(1-IF(H37&lt;N37,H37,N37))*E37*O37*Q37)/100000000</f>
        <v>47.248531200000002</v>
      </c>
      <c r="L37" s="36">
        <v>1220</v>
      </c>
      <c r="M37" s="36">
        <v>976</v>
      </c>
      <c r="N37" s="47">
        <f>1-(M37/L37)</f>
        <v>0.19999999999999996</v>
      </c>
      <c r="O37" s="48">
        <f>+'Trim Rwd'!H26</f>
        <v>256.5</v>
      </c>
      <c r="P37" s="49">
        <f>O37*(Q37-R37-S37)</f>
        <v>347557.5</v>
      </c>
      <c r="Q37" s="48">
        <v>1440</v>
      </c>
      <c r="R37" s="492">
        <v>0</v>
      </c>
      <c r="S37" s="492">
        <v>85</v>
      </c>
      <c r="T37" s="38">
        <f>E37*M37*O37*Q37/100000000</f>
        <v>46.864396800000002</v>
      </c>
      <c r="U37" s="38">
        <f>E37*M37*O37*(Q37-R37-S37)/100000000</f>
        <v>44.098095600000001</v>
      </c>
      <c r="V37" s="38">
        <f>E37*G37*(1-N37)*O37/100*(R37+S37)/1000000</f>
        <v>2.7889758000000002</v>
      </c>
      <c r="W37" s="38">
        <f>+'8'!K11/1000</f>
        <v>38.69</v>
      </c>
      <c r="X37" s="493">
        <f>SUM(W37:W40)/SUM(K37:K40)</f>
        <v>0.81886143372854725</v>
      </c>
      <c r="Y37" s="212">
        <f>+SUM(RBP!AG28:AG29)</f>
        <v>0</v>
      </c>
      <c r="Z37" s="38">
        <f>+'6'!D42/1000</f>
        <v>0</v>
      </c>
      <c r="AA37" s="50">
        <f>SUM(U37:U40)-SUM(W37:W40)-SUM(Z37:Z40)-SUM(Y37:Y40)</f>
        <v>5.4080956000000029</v>
      </c>
      <c r="AB37" s="50">
        <f>(SUM(K37:K40)-SUM(W37:W40)-SUM(Y37:Y40)-SUM(Z37:Z40)-SUM(AC37:AC40)-SUM(V37:V40))-AA37</f>
        <v>-2.2674599999999323E-2</v>
      </c>
      <c r="AC37" s="38">
        <f>K37-T37</f>
        <v>0.38413440000000065</v>
      </c>
      <c r="AD37" s="38">
        <f>+AM37+BA37</f>
        <v>45</v>
      </c>
      <c r="AE37" s="231" t="s">
        <v>504</v>
      </c>
      <c r="AF37" s="38">
        <v>45</v>
      </c>
      <c r="AG37" s="38"/>
      <c r="AH37" s="38"/>
      <c r="AI37" s="494"/>
      <c r="AJ37" s="38"/>
      <c r="AK37" s="38"/>
      <c r="AL37" s="38"/>
      <c r="AM37" s="38">
        <f t="shared" ref="AM37:AM39" si="22">SUM(AF37:AL37)+AT37+AV37+AX37</f>
        <v>45</v>
      </c>
      <c r="AN37" s="38"/>
      <c r="AO37" s="38"/>
      <c r="AP37" s="38"/>
      <c r="AQ37" s="38"/>
      <c r="AR37" s="38">
        <f>SUM(AN37:AQ37)</f>
        <v>0</v>
      </c>
      <c r="AS37" s="38"/>
      <c r="AT37" s="38"/>
      <c r="AU37" s="38"/>
      <c r="AV37" s="38"/>
      <c r="AW37" s="38"/>
      <c r="AX37" s="38"/>
      <c r="AY37" s="38"/>
      <c r="AZ37" s="38"/>
      <c r="BA37" s="38">
        <f>+AR37+AS37+AU37+AW37+AY37+AZ37</f>
        <v>0</v>
      </c>
      <c r="BB37" s="34">
        <v>13</v>
      </c>
      <c r="BC37" s="52"/>
      <c r="BD37" s="52">
        <v>4</v>
      </c>
      <c r="BE37" s="34"/>
      <c r="BF37" s="52"/>
    </row>
    <row r="38" spans="1:58" ht="12.95" customHeight="1">
      <c r="A38" s="41"/>
      <c r="B38" s="42"/>
      <c r="C38" s="406"/>
      <c r="D38" s="42"/>
      <c r="E38" s="43"/>
      <c r="F38" s="43"/>
      <c r="G38" s="491"/>
      <c r="H38" s="45"/>
      <c r="I38" s="46"/>
      <c r="J38" s="83"/>
      <c r="K38" s="83"/>
      <c r="L38" s="36"/>
      <c r="M38" s="36"/>
      <c r="N38" s="47"/>
      <c r="O38" s="48"/>
      <c r="P38" s="49"/>
      <c r="Q38" s="48"/>
      <c r="R38" s="492"/>
      <c r="S38" s="492"/>
      <c r="T38" s="38"/>
      <c r="U38" s="38"/>
      <c r="V38" s="38"/>
      <c r="W38" s="38"/>
      <c r="X38" s="39"/>
      <c r="Y38" s="212"/>
      <c r="Z38" s="38"/>
      <c r="AA38" s="38"/>
      <c r="AB38" s="38"/>
      <c r="AC38" s="38"/>
      <c r="AD38" s="38">
        <f>+AM38+BA38</f>
        <v>8</v>
      </c>
      <c r="AE38" s="231" t="s">
        <v>503</v>
      </c>
      <c r="AF38" s="38"/>
      <c r="AG38" s="38">
        <v>8</v>
      </c>
      <c r="AH38" s="38"/>
      <c r="AI38" s="494"/>
      <c r="AJ38" s="38"/>
      <c r="AK38" s="38"/>
      <c r="AL38" s="38"/>
      <c r="AM38" s="38">
        <f t="shared" si="22"/>
        <v>8</v>
      </c>
      <c r="AN38" s="84"/>
      <c r="AO38" s="38"/>
      <c r="AP38" s="38"/>
      <c r="AQ38" s="38"/>
      <c r="AR38" s="38">
        <f t="shared" ref="AR38:AR39" si="23">SUM(AN38:AQ38)</f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>+AR38+AS38+AU38+AW38+AY38+AZ38</f>
        <v>0</v>
      </c>
      <c r="BB38" s="51"/>
      <c r="BC38" s="52">
        <v>6</v>
      </c>
      <c r="BD38" s="52"/>
      <c r="BE38" s="51"/>
      <c r="BF38" s="52"/>
    </row>
    <row r="39" spans="1:58" ht="12.95" customHeight="1">
      <c r="A39" s="41"/>
      <c r="B39" s="42"/>
      <c r="C39" s="406"/>
      <c r="D39" s="42"/>
      <c r="E39" s="43"/>
      <c r="F39" s="43"/>
      <c r="G39" s="44"/>
      <c r="H39" s="45"/>
      <c r="I39" s="46"/>
      <c r="J39" s="83"/>
      <c r="K39" s="83"/>
      <c r="L39" s="36"/>
      <c r="M39" s="36"/>
      <c r="N39" s="47"/>
      <c r="O39" s="48"/>
      <c r="P39" s="49"/>
      <c r="Q39" s="48"/>
      <c r="R39" s="492"/>
      <c r="S39" s="492"/>
      <c r="T39" s="38"/>
      <c r="U39" s="38"/>
      <c r="V39" s="38"/>
      <c r="W39" s="38"/>
      <c r="X39" s="39"/>
      <c r="Y39" s="212"/>
      <c r="Z39" s="38"/>
      <c r="AA39" s="38"/>
      <c r="AB39" s="38"/>
      <c r="AC39" s="38"/>
      <c r="AD39" s="38">
        <f>+AM39+BA39</f>
        <v>32</v>
      </c>
      <c r="AE39" s="231" t="s">
        <v>456</v>
      </c>
      <c r="AF39" s="34"/>
      <c r="AG39" s="34"/>
      <c r="AH39" s="34">
        <v>32</v>
      </c>
      <c r="AJ39" s="38"/>
      <c r="AK39" s="38"/>
      <c r="AL39" s="38"/>
      <c r="AM39" s="38">
        <f t="shared" si="22"/>
        <v>32</v>
      </c>
      <c r="AN39" s="38"/>
      <c r="AO39" s="38"/>
      <c r="AP39" s="38"/>
      <c r="AQ39" s="38"/>
      <c r="AR39" s="38">
        <f t="shared" si="23"/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>+AR39+AS39+AU39+AW39+AY39+AZ39</f>
        <v>0</v>
      </c>
      <c r="BB39" s="34"/>
      <c r="BC39" s="495"/>
      <c r="BD39" s="495"/>
      <c r="BE39" s="34"/>
      <c r="BF39" s="495"/>
    </row>
    <row r="40" spans="1:58" ht="12.95" customHeight="1">
      <c r="A40" s="41"/>
      <c r="B40" s="42"/>
      <c r="C40" s="406"/>
      <c r="D40" s="42"/>
      <c r="E40" s="43"/>
      <c r="F40" s="43"/>
      <c r="G40" s="44"/>
      <c r="H40" s="45"/>
      <c r="I40" s="46"/>
      <c r="J40" s="83"/>
      <c r="K40" s="83"/>
      <c r="L40" s="36"/>
      <c r="M40" s="36"/>
      <c r="N40" s="47"/>
      <c r="O40" s="48"/>
      <c r="P40" s="49"/>
      <c r="Q40" s="48"/>
      <c r="R40" s="492"/>
      <c r="S40" s="492"/>
      <c r="T40" s="38"/>
      <c r="U40" s="38"/>
      <c r="V40" s="38"/>
      <c r="W40" s="38"/>
      <c r="X40" s="39"/>
      <c r="Y40" s="212"/>
      <c r="Z40" s="38"/>
      <c r="AA40" s="38"/>
      <c r="AB40" s="38"/>
      <c r="AC40" s="38"/>
      <c r="AD40" s="38"/>
      <c r="AE40" s="231"/>
      <c r="AF40" s="34"/>
      <c r="AG40" s="34"/>
      <c r="AH40" s="34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4"/>
      <c r="BC40" s="495"/>
      <c r="BD40" s="52"/>
      <c r="BE40" s="52"/>
      <c r="BF40" s="52"/>
    </row>
    <row r="41" spans="1:58" ht="12.75" customHeight="1">
      <c r="A41" s="41">
        <v>45847</v>
      </c>
      <c r="B41" s="42" t="s">
        <v>412</v>
      </c>
      <c r="C41" s="406">
        <f>(M41*E41*O41*Q41)/100000000</f>
        <v>43.997808855000002</v>
      </c>
      <c r="D41" s="42" t="s">
        <v>301</v>
      </c>
      <c r="E41" s="43">
        <v>13</v>
      </c>
      <c r="F41" s="43">
        <v>1</v>
      </c>
      <c r="G41" s="491">
        <v>1230</v>
      </c>
      <c r="H41" s="45">
        <v>0.23</v>
      </c>
      <c r="I41" s="46">
        <v>0.88</v>
      </c>
      <c r="J41" s="83">
        <f>E41*G41*(1-H41)*1440/1000000*2.74</f>
        <v>48.579410880000005</v>
      </c>
      <c r="K41" s="83">
        <f>(IF(G41&lt;L41,L41,G41)*(1-IF(H41&lt;N41,H41,N41))*E41*O41*Q41)/100000000</f>
        <v>44.725045365</v>
      </c>
      <c r="L41" s="36">
        <v>1210</v>
      </c>
      <c r="M41" s="36">
        <v>931.7</v>
      </c>
      <c r="N41" s="47">
        <f>1-(M41/L41)</f>
        <v>0.22999999999999998</v>
      </c>
      <c r="O41" s="48">
        <f>+'Trim Rwd'!H28</f>
        <v>252.26041666666666</v>
      </c>
      <c r="P41" s="49">
        <f>O41*(Q41-R41-S41)</f>
        <v>340047.04166666663</v>
      </c>
      <c r="Q41" s="48">
        <v>1440</v>
      </c>
      <c r="R41" s="492">
        <v>0</v>
      </c>
      <c r="S41" s="492">
        <v>92</v>
      </c>
      <c r="T41" s="38">
        <f>E41*M41*O41*Q41/100000000</f>
        <v>43.997808855000002</v>
      </c>
      <c r="U41" s="38">
        <f>E41*M41*O41*(Q41-R41-S41)/100000000</f>
        <v>41.186837733708337</v>
      </c>
      <c r="V41" s="38">
        <f>E41*G41*(1-N41)*O41/100*(R41+S41)/1000000</f>
        <v>2.8574334538750001</v>
      </c>
      <c r="W41" s="38">
        <f>+'9'!K11/1000</f>
        <v>45.328000000000003</v>
      </c>
      <c r="X41" s="493">
        <f>SUM(W41:W44)/SUM(K41:K44)</f>
        <v>1.0134813644140392</v>
      </c>
      <c r="Y41" s="212">
        <f>+SUM(RBP!AG32:AG33)</f>
        <v>0</v>
      </c>
      <c r="Z41" s="38">
        <f>+'6'!D46/1000</f>
        <v>0</v>
      </c>
      <c r="AA41" s="50">
        <f>SUM(U41:U44)-SUM(W41:W44)-SUM(Z41:Z44)-SUM(Y41:Y44)</f>
        <v>-4.1411622662916656</v>
      </c>
      <c r="AB41" s="50">
        <f>(SUM(K41:K44)-SUM(W41:W44)-SUM(Y41:Y44)-SUM(Z41:Z44)-SUM(AC41:AC44)-SUM(V41:V44))-AA41</f>
        <v>-4.6462332583335098E-2</v>
      </c>
      <c r="AC41" s="38">
        <f>K41-T41</f>
        <v>0.72723650999999734</v>
      </c>
      <c r="AD41" s="38">
        <f>+AM41+BA41</f>
        <v>47</v>
      </c>
      <c r="AE41" s="231" t="s">
        <v>504</v>
      </c>
      <c r="AF41" s="38">
        <v>47</v>
      </c>
      <c r="AG41" s="38"/>
      <c r="AH41" s="38"/>
      <c r="AI41" s="494"/>
      <c r="AJ41" s="38"/>
      <c r="AK41" s="38"/>
      <c r="AL41" s="38"/>
      <c r="AM41" s="38">
        <f t="shared" ref="AM41:AM43" si="24">SUM(AF41:AL41)+AT41+AV41+AX41</f>
        <v>47</v>
      </c>
      <c r="AN41" s="38"/>
      <c r="AO41" s="38"/>
      <c r="AP41" s="38"/>
      <c r="AQ41" s="38"/>
      <c r="AR41" s="38">
        <f>SUM(AN41:AQ41)</f>
        <v>0</v>
      </c>
      <c r="AS41" s="38"/>
      <c r="AT41" s="38"/>
      <c r="AU41" s="38"/>
      <c r="AV41" s="38"/>
      <c r="AW41" s="38"/>
      <c r="AX41" s="38"/>
      <c r="AY41" s="38"/>
      <c r="AZ41" s="38"/>
      <c r="BA41" s="38">
        <f>+AR41+AS41+AU41+AW41+AY41+AZ41</f>
        <v>0</v>
      </c>
      <c r="BB41" s="34">
        <v>13</v>
      </c>
      <c r="BC41" s="52"/>
      <c r="BD41" s="52"/>
      <c r="BE41" s="34"/>
      <c r="BF41" s="52"/>
    </row>
    <row r="42" spans="1:58" ht="12.95" customHeight="1">
      <c r="A42" s="41"/>
      <c r="B42" s="42"/>
      <c r="C42" s="406"/>
      <c r="D42" s="42"/>
      <c r="E42" s="43"/>
      <c r="F42" s="43"/>
      <c r="G42" s="491"/>
      <c r="H42" s="45"/>
      <c r="I42" s="46"/>
      <c r="J42" s="83"/>
      <c r="K42" s="83"/>
      <c r="L42" s="36"/>
      <c r="M42" s="36"/>
      <c r="N42" s="47"/>
      <c r="O42" s="48"/>
      <c r="P42" s="49"/>
      <c r="Q42" s="48"/>
      <c r="R42" s="492"/>
      <c r="S42" s="492"/>
      <c r="T42" s="38"/>
      <c r="U42" s="38"/>
      <c r="V42" s="38"/>
      <c r="W42" s="38"/>
      <c r="X42" s="39"/>
      <c r="Y42" s="212"/>
      <c r="Z42" s="38"/>
      <c r="AA42" s="38"/>
      <c r="AB42" s="38"/>
      <c r="AC42" s="38"/>
      <c r="AD42" s="38">
        <f>+AM42+BA42</f>
        <v>10</v>
      </c>
      <c r="AE42" s="231" t="s">
        <v>511</v>
      </c>
      <c r="AF42" s="38"/>
      <c r="AG42" s="38">
        <v>10</v>
      </c>
      <c r="AH42" s="38"/>
      <c r="AI42" s="494"/>
      <c r="AJ42" s="38"/>
      <c r="AK42" s="38"/>
      <c r="AL42" s="38"/>
      <c r="AM42" s="38">
        <f t="shared" si="24"/>
        <v>10</v>
      </c>
      <c r="AN42" s="84"/>
      <c r="AO42" s="38"/>
      <c r="AP42" s="38"/>
      <c r="AQ42" s="38"/>
      <c r="AR42" s="38">
        <f t="shared" ref="AR42:AR43" si="25">SUM(AN42:AQ42)</f>
        <v>0</v>
      </c>
      <c r="AS42" s="38"/>
      <c r="AT42" s="38"/>
      <c r="AU42" s="38"/>
      <c r="AV42" s="38"/>
      <c r="AW42" s="38"/>
      <c r="AX42" s="38"/>
      <c r="AY42" s="38"/>
      <c r="AZ42" s="38"/>
      <c r="BA42" s="38">
        <f>+AR42+AS42+AU42+AW42+AY42+AZ42</f>
        <v>0</v>
      </c>
      <c r="BB42" s="51"/>
      <c r="BC42" s="52">
        <v>10</v>
      </c>
      <c r="BD42" s="52"/>
      <c r="BE42" s="51"/>
      <c r="BF42" s="52"/>
    </row>
    <row r="43" spans="1:58" ht="12.95" customHeight="1">
      <c r="A43" s="41"/>
      <c r="B43" s="42"/>
      <c r="C43" s="406"/>
      <c r="D43" s="42"/>
      <c r="E43" s="43"/>
      <c r="F43" s="43"/>
      <c r="G43" s="44"/>
      <c r="H43" s="45"/>
      <c r="I43" s="46"/>
      <c r="J43" s="83"/>
      <c r="K43" s="83"/>
      <c r="L43" s="36"/>
      <c r="M43" s="36"/>
      <c r="N43" s="47"/>
      <c r="O43" s="48"/>
      <c r="P43" s="49"/>
      <c r="Q43" s="48"/>
      <c r="R43" s="492"/>
      <c r="S43" s="492"/>
      <c r="T43" s="38"/>
      <c r="U43" s="38"/>
      <c r="V43" s="38"/>
      <c r="W43" s="38"/>
      <c r="X43" s="39"/>
      <c r="Y43" s="212"/>
      <c r="Z43" s="38"/>
      <c r="AA43" s="38"/>
      <c r="AB43" s="38"/>
      <c r="AC43" s="38"/>
      <c r="AD43" s="38">
        <f>+AM43+BA43</f>
        <v>35</v>
      </c>
      <c r="AE43" s="231" t="s">
        <v>444</v>
      </c>
      <c r="AF43" s="34"/>
      <c r="AG43" s="34"/>
      <c r="AH43" s="34">
        <v>35</v>
      </c>
      <c r="AJ43" s="38"/>
      <c r="AK43" s="38"/>
      <c r="AL43" s="38"/>
      <c r="AM43" s="38">
        <f t="shared" si="24"/>
        <v>35</v>
      </c>
      <c r="AN43" s="38"/>
      <c r="AO43" s="38"/>
      <c r="AP43" s="38"/>
      <c r="AQ43" s="38"/>
      <c r="AR43" s="38">
        <f t="shared" si="25"/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+AR43+AS43+AU43+AW43+AY43+AZ43</f>
        <v>0</v>
      </c>
      <c r="BB43" s="34"/>
      <c r="BC43" s="495"/>
      <c r="BD43" s="495"/>
      <c r="BE43" s="34"/>
      <c r="BF43" s="495"/>
    </row>
    <row r="44" spans="1:58" ht="12.95" customHeight="1">
      <c r="A44" s="41"/>
      <c r="B44" s="42"/>
      <c r="C44" s="406"/>
      <c r="D44" s="42"/>
      <c r="E44" s="43"/>
      <c r="F44" s="43"/>
      <c r="G44" s="491"/>
      <c r="H44" s="45"/>
      <c r="I44" s="46"/>
      <c r="J44" s="83"/>
      <c r="K44" s="83"/>
      <c r="L44" s="36"/>
      <c r="M44" s="36"/>
      <c r="N44" s="47"/>
      <c r="O44" s="48"/>
      <c r="P44" s="49"/>
      <c r="Q44" s="48"/>
      <c r="R44" s="492"/>
      <c r="S44" s="492"/>
      <c r="T44" s="38"/>
      <c r="U44" s="38"/>
      <c r="V44" s="38"/>
      <c r="W44" s="38"/>
      <c r="X44" s="39"/>
      <c r="Y44" s="212"/>
      <c r="Z44" s="38"/>
      <c r="AA44" s="38"/>
      <c r="AB44" s="38"/>
      <c r="AC44" s="38"/>
      <c r="AD44" s="38"/>
      <c r="AE44" s="231"/>
      <c r="AF44" s="38"/>
      <c r="AG44" s="38"/>
      <c r="AH44" s="38"/>
      <c r="AI44" s="494"/>
      <c r="AJ44" s="38"/>
      <c r="AK44" s="38"/>
      <c r="AL44" s="38"/>
      <c r="AM44" s="38"/>
      <c r="AN44" s="84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51"/>
      <c r="BC44" s="52"/>
      <c r="BD44" s="52"/>
      <c r="BE44" s="51"/>
      <c r="BF44" s="52"/>
    </row>
    <row r="45" spans="1:58" ht="12.75" customHeight="1">
      <c r="A45" s="41">
        <v>45848</v>
      </c>
      <c r="B45" s="42" t="s">
        <v>412</v>
      </c>
      <c r="C45" s="406">
        <f>(M45*E45*O45*Q45)/100000000</f>
        <v>44.387208124071428</v>
      </c>
      <c r="D45" s="42" t="s">
        <v>301</v>
      </c>
      <c r="E45" s="43">
        <v>13</v>
      </c>
      <c r="F45" s="43">
        <v>1</v>
      </c>
      <c r="G45" s="491">
        <v>1230</v>
      </c>
      <c r="H45" s="45">
        <v>0.23</v>
      </c>
      <c r="I45" s="46">
        <v>0.88</v>
      </c>
      <c r="J45" s="83">
        <f>E45*G45*(1-H45)*1440/1000000*2.74</f>
        <v>48.579410880000005</v>
      </c>
      <c r="K45" s="83">
        <f>(IF(G45&lt;L45,L45,G45)*(1-IF(H45&lt;N45,H45,N45))*E45*O45*Q45)/100000000</f>
        <v>45.99032620204936</v>
      </c>
      <c r="L45" s="36">
        <v>1187.125</v>
      </c>
      <c r="M45" s="36">
        <v>926.08624999999995</v>
      </c>
      <c r="N45" s="47">
        <f>1-(M45/L45)</f>
        <v>0.21989154469832584</v>
      </c>
      <c r="O45" s="48">
        <f>+'Trim Rwd'!H32</f>
        <v>256.03571428571428</v>
      </c>
      <c r="P45" s="49">
        <f>O45*(Q45-R45-S45)</f>
        <v>343343.89285714284</v>
      </c>
      <c r="Q45" s="48">
        <v>1440</v>
      </c>
      <c r="R45" s="492">
        <v>0</v>
      </c>
      <c r="S45" s="492">
        <v>99</v>
      </c>
      <c r="T45" s="38">
        <f>E45*M45*O45*Q45/100000000</f>
        <v>44.387208124071428</v>
      </c>
      <c r="U45" s="38">
        <f>E45*M45*O45*(Q45-R45-S45)/100000000</f>
        <v>41.335587565541516</v>
      </c>
      <c r="V45" s="38">
        <f>E45*G45*(1-N45)*O45/100*(R45+S45)/1000000</f>
        <v>3.1618349263908936</v>
      </c>
      <c r="W45" s="38">
        <f>+'10'!K11/1000</f>
        <v>43.484999999999999</v>
      </c>
      <c r="X45" s="493">
        <f>SUM(W45:W48)/SUM(K45:K48)</f>
        <v>0.94552493080734612</v>
      </c>
      <c r="Y45" s="212">
        <f>+SUM(RBP!AG36:AG37)</f>
        <v>0</v>
      </c>
      <c r="Z45" s="38">
        <f>+'6'!D50/1000</f>
        <v>0</v>
      </c>
      <c r="AA45" s="50">
        <f>SUM(U45:U48)-SUM(W45:W48)-SUM(Z45:Z48)-SUM(Y45:Y48)</f>
        <v>-2.1494124344584833</v>
      </c>
      <c r="AB45" s="50">
        <f>(SUM(K45:K48)-SUM(W45:W48)-SUM(Y45:Y48)-SUM(Z45:Z48)-SUM(AC45:AC48)-SUM(V45:V48))-AA45</f>
        <v>-0.11021436786098171</v>
      </c>
      <c r="AC45" s="38">
        <f>K45-T45</f>
        <v>1.6031180779779319</v>
      </c>
      <c r="AD45" s="38">
        <f>+AM45+BA45</f>
        <v>49</v>
      </c>
      <c r="AE45" s="231" t="s">
        <v>504</v>
      </c>
      <c r="AF45" s="38">
        <v>49</v>
      </c>
      <c r="AG45" s="38"/>
      <c r="AH45" s="38"/>
      <c r="AI45" s="494"/>
      <c r="AJ45" s="38"/>
      <c r="AK45" s="38"/>
      <c r="AL45" s="38"/>
      <c r="AM45" s="38">
        <f t="shared" ref="AM45:AM47" si="26">SUM(AF45:AL45)+AT45+AV45+AX45</f>
        <v>49</v>
      </c>
      <c r="AN45" s="38"/>
      <c r="AO45" s="38"/>
      <c r="AP45" s="38"/>
      <c r="AQ45" s="38"/>
      <c r="AR45" s="38">
        <f>SUM(AN45:AQ45)</f>
        <v>0</v>
      </c>
      <c r="AS45" s="38"/>
      <c r="AT45" s="38"/>
      <c r="AU45" s="38"/>
      <c r="AV45" s="38"/>
      <c r="AW45" s="38"/>
      <c r="AX45" s="38"/>
      <c r="AY45" s="38"/>
      <c r="AZ45" s="38"/>
      <c r="BA45" s="38">
        <f>+AR45+AS45+AU45+AW45+AY45+AZ45</f>
        <v>0</v>
      </c>
      <c r="BB45" s="34">
        <v>13</v>
      </c>
      <c r="BC45" s="52"/>
      <c r="BD45" s="52"/>
      <c r="BE45" s="34"/>
      <c r="BF45" s="52">
        <v>3</v>
      </c>
    </row>
    <row r="46" spans="1:58" ht="12.95" customHeight="1">
      <c r="A46" s="41"/>
      <c r="B46" s="42"/>
      <c r="C46" s="406"/>
      <c r="D46" s="42"/>
      <c r="E46" s="43"/>
      <c r="F46" s="43"/>
      <c r="G46" s="491"/>
      <c r="H46" s="45"/>
      <c r="I46" s="46"/>
      <c r="J46" s="83"/>
      <c r="K46" s="83"/>
      <c r="L46" s="36"/>
      <c r="M46" s="36"/>
      <c r="N46" s="47"/>
      <c r="O46" s="48"/>
      <c r="P46" s="49"/>
      <c r="Q46" s="48"/>
      <c r="R46" s="492"/>
      <c r="S46" s="492"/>
      <c r="T46" s="38"/>
      <c r="U46" s="38"/>
      <c r="V46" s="38"/>
      <c r="W46" s="38"/>
      <c r="X46" s="39"/>
      <c r="Y46" s="212"/>
      <c r="Z46" s="38"/>
      <c r="AA46" s="38"/>
      <c r="AB46" s="38"/>
      <c r="AC46" s="38"/>
      <c r="AD46" s="38">
        <f>+AM46+BA46</f>
        <v>9</v>
      </c>
      <c r="AE46" s="231" t="s">
        <v>521</v>
      </c>
      <c r="AF46" s="38"/>
      <c r="AG46" s="38">
        <v>9</v>
      </c>
      <c r="AH46" s="38"/>
      <c r="AI46" s="494"/>
      <c r="AJ46" s="38"/>
      <c r="AK46" s="38"/>
      <c r="AL46" s="38"/>
      <c r="AM46" s="38">
        <f t="shared" si="26"/>
        <v>9</v>
      </c>
      <c r="AN46" s="84"/>
      <c r="AO46" s="38"/>
      <c r="AP46" s="38"/>
      <c r="AQ46" s="38"/>
      <c r="AR46" s="38">
        <f t="shared" ref="AR46:AR47" si="27">SUM(AN46:AQ46)</f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>+AR46+AS46+AU46+AW46+AY46+AZ46</f>
        <v>0</v>
      </c>
      <c r="BB46" s="51"/>
      <c r="BC46" s="52">
        <v>8</v>
      </c>
      <c r="BD46" s="52"/>
      <c r="BE46" s="51"/>
      <c r="BF46" s="52"/>
    </row>
    <row r="47" spans="1:58" ht="12.95" customHeight="1">
      <c r="A47" s="41"/>
      <c r="B47" s="42"/>
      <c r="C47" s="406"/>
      <c r="D47" s="42"/>
      <c r="E47" s="43"/>
      <c r="F47" s="43"/>
      <c r="G47" s="44"/>
      <c r="H47" s="45"/>
      <c r="I47" s="46"/>
      <c r="J47" s="83"/>
      <c r="K47" s="83"/>
      <c r="L47" s="36"/>
      <c r="M47" s="36"/>
      <c r="N47" s="47"/>
      <c r="O47" s="48"/>
      <c r="P47" s="49"/>
      <c r="Q47" s="48"/>
      <c r="R47" s="492"/>
      <c r="S47" s="492"/>
      <c r="T47" s="38"/>
      <c r="U47" s="38"/>
      <c r="V47" s="38"/>
      <c r="W47" s="38"/>
      <c r="X47" s="39"/>
      <c r="Y47" s="212"/>
      <c r="Z47" s="38"/>
      <c r="AA47" s="38"/>
      <c r="AB47" s="38"/>
      <c r="AC47" s="38"/>
      <c r="AD47" s="38">
        <f>+AM47+BA47</f>
        <v>41</v>
      </c>
      <c r="AE47" s="231" t="s">
        <v>414</v>
      </c>
      <c r="AF47" s="34"/>
      <c r="AG47" s="34"/>
      <c r="AH47" s="34">
        <v>41</v>
      </c>
      <c r="AJ47" s="38"/>
      <c r="AK47" s="38"/>
      <c r="AL47" s="38"/>
      <c r="AM47" s="38">
        <f t="shared" si="26"/>
        <v>41</v>
      </c>
      <c r="AN47" s="38"/>
      <c r="AO47" s="38"/>
      <c r="AP47" s="38"/>
      <c r="AQ47" s="38"/>
      <c r="AR47" s="38">
        <f t="shared" si="27"/>
        <v>0</v>
      </c>
      <c r="AS47" s="38"/>
      <c r="AT47" s="38"/>
      <c r="AU47" s="38"/>
      <c r="AV47" s="38"/>
      <c r="AW47" s="38"/>
      <c r="AX47" s="38"/>
      <c r="AY47" s="38"/>
      <c r="AZ47" s="38"/>
      <c r="BA47" s="38">
        <f>+AR47+AS47+AU47+AW47+AY47+AZ47</f>
        <v>0</v>
      </c>
      <c r="BB47" s="34"/>
      <c r="BC47" s="495"/>
      <c r="BD47" s="495"/>
      <c r="BE47" s="34"/>
      <c r="BF47" s="495"/>
    </row>
    <row r="48" spans="1:58" ht="12.95" customHeight="1">
      <c r="A48" s="41"/>
      <c r="B48" s="42"/>
      <c r="C48" s="406"/>
      <c r="D48" s="42"/>
      <c r="E48" s="43"/>
      <c r="F48" s="43"/>
      <c r="G48" s="44"/>
      <c r="H48" s="45"/>
      <c r="I48" s="46"/>
      <c r="J48" s="83"/>
      <c r="K48" s="83"/>
      <c r="L48" s="36"/>
      <c r="M48" s="36"/>
      <c r="N48" s="47"/>
      <c r="O48" s="48"/>
      <c r="P48" s="49"/>
      <c r="Q48" s="48"/>
      <c r="R48" s="492"/>
      <c r="S48" s="492"/>
      <c r="T48" s="38"/>
      <c r="U48" s="38"/>
      <c r="V48" s="38"/>
      <c r="W48" s="38"/>
      <c r="X48" s="39"/>
      <c r="Y48" s="212"/>
      <c r="Z48" s="38"/>
      <c r="AA48" s="38"/>
      <c r="AB48" s="38"/>
      <c r="AC48" s="38"/>
      <c r="AD48" s="38"/>
      <c r="AE48" s="231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4"/>
      <c r="BC48" s="52"/>
      <c r="BD48" s="52"/>
      <c r="BE48" s="52"/>
      <c r="BF48" s="52"/>
    </row>
    <row r="49" spans="1:58" ht="12.75" customHeight="1">
      <c r="A49" s="41">
        <v>45849</v>
      </c>
      <c r="B49" s="42" t="s">
        <v>412</v>
      </c>
      <c r="C49" s="406">
        <f>(M49*E49*O49*Q49)/100000000</f>
        <v>44.389861015500003</v>
      </c>
      <c r="D49" s="42" t="s">
        <v>301</v>
      </c>
      <c r="E49" s="43">
        <v>13</v>
      </c>
      <c r="F49" s="43">
        <v>1</v>
      </c>
      <c r="G49" s="491">
        <v>1230</v>
      </c>
      <c r="H49" s="45">
        <v>0.23</v>
      </c>
      <c r="I49" s="46">
        <v>0.88</v>
      </c>
      <c r="J49" s="83">
        <f>E49*G49*(1-H49)*1440/1000000*2.74</f>
        <v>48.579410880000005</v>
      </c>
      <c r="K49" s="83">
        <f>(IF(G49&lt;L49,L49,G49)*(1-IF(H49&lt;N49,H49,N49))*E49*O49*Q49)/100000000</f>
        <v>45.476711280000004</v>
      </c>
      <c r="L49" s="36">
        <v>1200.6041666666667</v>
      </c>
      <c r="M49" s="36">
        <v>924.46520833333329</v>
      </c>
      <c r="N49" s="47">
        <f>1-(M49/L49)</f>
        <v>0.23000000000000009</v>
      </c>
      <c r="O49" s="48">
        <f>+'Trim Rwd'!H35</f>
        <v>256.5</v>
      </c>
      <c r="P49" s="49">
        <f>O49*(Q49-R49-S49)</f>
        <v>347814</v>
      </c>
      <c r="Q49" s="48">
        <v>1440</v>
      </c>
      <c r="R49" s="492">
        <v>0</v>
      </c>
      <c r="S49" s="492">
        <v>84</v>
      </c>
      <c r="T49" s="38">
        <f>E49*M49*O49*Q49/100000000</f>
        <v>44.389861015500003</v>
      </c>
      <c r="U49" s="38">
        <f>E49*M49*O49*(Q49-R49-S49)/100000000</f>
        <v>41.800452456262505</v>
      </c>
      <c r="V49" s="38">
        <f>E49*G49*(1-N49)*O49/100*(R49+S49)/1000000</f>
        <v>2.652808158</v>
      </c>
      <c r="W49" s="38">
        <f>+'11'!K11/1000</f>
        <v>43.048000000000002</v>
      </c>
      <c r="X49" s="493">
        <f>SUM(W49:W52)/SUM(K49:K52)</f>
        <v>0.94659439498501918</v>
      </c>
      <c r="Y49" s="212">
        <f>+SUM(RBP!AG40:AG41)</f>
        <v>0</v>
      </c>
      <c r="Z49" s="38">
        <f>+'6'!D54/1000</f>
        <v>0</v>
      </c>
      <c r="AA49" s="50">
        <f>SUM(U49:U52)-SUM(W49:W52)-SUM(Z49:Z52)-SUM(Y49:Y52)</f>
        <v>-1.2475475437374968</v>
      </c>
      <c r="AB49" s="50">
        <f>(SUM(K49:K52)-SUM(W49:W52)-SUM(Y49:Y52)-SUM(Z49:Z52)-SUM(AC49:AC52)-SUM(V49:V52))-AA49</f>
        <v>-6.3399598762502229E-2</v>
      </c>
      <c r="AC49" s="38">
        <f>K49-T49</f>
        <v>1.0868502645000007</v>
      </c>
      <c r="AD49" s="38">
        <f>+AM49+BA49</f>
        <v>41</v>
      </c>
      <c r="AE49" s="231" t="s">
        <v>528</v>
      </c>
      <c r="AF49" s="38">
        <v>41</v>
      </c>
      <c r="AG49" s="38"/>
      <c r="AH49" s="38"/>
      <c r="AI49" s="494"/>
      <c r="AJ49" s="38"/>
      <c r="AK49" s="38"/>
      <c r="AL49" s="38"/>
      <c r="AM49" s="38">
        <f t="shared" ref="AM49:AM51" si="28">SUM(AF49:AL49)+AT49+AV49+AX49</f>
        <v>41</v>
      </c>
      <c r="AN49" s="38"/>
      <c r="AO49" s="38"/>
      <c r="AP49" s="38"/>
      <c r="AQ49" s="38"/>
      <c r="AR49" s="38">
        <f>SUM(AN49:AQ49)</f>
        <v>0</v>
      </c>
      <c r="AS49" s="38"/>
      <c r="AT49" s="38"/>
      <c r="AU49" s="38"/>
      <c r="AV49" s="38"/>
      <c r="AW49" s="38"/>
      <c r="AX49" s="38"/>
      <c r="AY49" s="38"/>
      <c r="AZ49" s="38"/>
      <c r="BA49" s="38">
        <f>+AR49+AS49+AU49+AW49+AY49+AZ49</f>
        <v>0</v>
      </c>
      <c r="BB49" s="34">
        <v>28</v>
      </c>
      <c r="BC49" s="52"/>
      <c r="BD49" s="52"/>
      <c r="BE49" s="34"/>
      <c r="BF49" s="52">
        <v>1</v>
      </c>
    </row>
    <row r="50" spans="1:58" ht="12.95" customHeight="1">
      <c r="A50" s="41"/>
      <c r="B50" s="42"/>
      <c r="C50" s="406"/>
      <c r="D50" s="42"/>
      <c r="E50" s="43"/>
      <c r="F50" s="43"/>
      <c r="G50" s="491"/>
      <c r="H50" s="45"/>
      <c r="I50" s="46"/>
      <c r="J50" s="83"/>
      <c r="K50" s="83"/>
      <c r="L50" s="36"/>
      <c r="M50" s="36"/>
      <c r="N50" s="47"/>
      <c r="O50" s="48"/>
      <c r="P50" s="49"/>
      <c r="Q50" s="48"/>
      <c r="R50" s="492"/>
      <c r="S50" s="492"/>
      <c r="T50" s="38"/>
      <c r="U50" s="38"/>
      <c r="V50" s="38"/>
      <c r="W50" s="38"/>
      <c r="X50" s="39"/>
      <c r="Y50" s="212"/>
      <c r="Z50" s="38"/>
      <c r="AA50" s="38"/>
      <c r="AB50" s="38"/>
      <c r="AC50" s="38"/>
      <c r="AD50" s="38">
        <f>+AM50+BA50</f>
        <v>0</v>
      </c>
      <c r="AE50" s="231" t="s">
        <v>408</v>
      </c>
      <c r="AF50" s="38"/>
      <c r="AG50" s="38">
        <v>0</v>
      </c>
      <c r="AH50" s="38"/>
      <c r="AI50" s="494"/>
      <c r="AJ50" s="38"/>
      <c r="AK50" s="38"/>
      <c r="AL50" s="38"/>
      <c r="AM50" s="38">
        <f t="shared" si="28"/>
        <v>0</v>
      </c>
      <c r="AN50" s="84"/>
      <c r="AO50" s="38"/>
      <c r="AP50" s="38"/>
      <c r="AQ50" s="38"/>
      <c r="AR50" s="38">
        <f t="shared" ref="AR50:AR51" si="29">SUM(AN50:AQ50)</f>
        <v>0</v>
      </c>
      <c r="AS50" s="38"/>
      <c r="AT50" s="38"/>
      <c r="AU50" s="38"/>
      <c r="AV50" s="38"/>
      <c r="AW50" s="38"/>
      <c r="AX50" s="38"/>
      <c r="AY50" s="38"/>
      <c r="AZ50" s="38"/>
      <c r="BA50" s="38">
        <f>+AR50+AS50+AU50+AW50+AY50+AZ50</f>
        <v>0</v>
      </c>
      <c r="BB50" s="51"/>
      <c r="BC50" s="52">
        <v>0</v>
      </c>
      <c r="BD50" s="52"/>
      <c r="BE50" s="51"/>
      <c r="BF50" s="52"/>
    </row>
    <row r="51" spans="1:58" ht="12.95" customHeight="1">
      <c r="A51" s="41"/>
      <c r="B51" s="42"/>
      <c r="C51" s="406"/>
      <c r="D51" s="42"/>
      <c r="E51" s="43"/>
      <c r="F51" s="43"/>
      <c r="G51" s="44"/>
      <c r="H51" s="45"/>
      <c r="I51" s="46"/>
      <c r="J51" s="83"/>
      <c r="K51" s="83"/>
      <c r="L51" s="36"/>
      <c r="M51" s="36"/>
      <c r="N51" s="47"/>
      <c r="O51" s="48"/>
      <c r="P51" s="49"/>
      <c r="Q51" s="48"/>
      <c r="R51" s="492"/>
      <c r="S51" s="492"/>
      <c r="T51" s="38"/>
      <c r="U51" s="38"/>
      <c r="V51" s="38"/>
      <c r="W51" s="38"/>
      <c r="X51" s="39"/>
      <c r="Y51" s="212"/>
      <c r="Z51" s="38"/>
      <c r="AA51" s="38"/>
      <c r="AB51" s="38"/>
      <c r="AC51" s="38"/>
      <c r="AD51" s="38">
        <f>+AM51+BA51</f>
        <v>43</v>
      </c>
      <c r="AE51" s="231" t="s">
        <v>414</v>
      </c>
      <c r="AF51" s="34"/>
      <c r="AG51" s="34"/>
      <c r="AH51" s="34">
        <v>43</v>
      </c>
      <c r="AJ51" s="38"/>
      <c r="AK51" s="38"/>
      <c r="AL51" s="38"/>
      <c r="AM51" s="38">
        <f t="shared" si="28"/>
        <v>43</v>
      </c>
      <c r="AN51" s="38"/>
      <c r="AO51" s="38"/>
      <c r="AP51" s="38"/>
      <c r="AQ51" s="38"/>
      <c r="AR51" s="38">
        <f t="shared" si="29"/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+AR51+AS51+AU51+AW51+AY51+AZ51</f>
        <v>0</v>
      </c>
      <c r="BB51" s="34"/>
      <c r="BC51" s="495"/>
      <c r="BD51" s="495"/>
      <c r="BE51" s="34"/>
      <c r="BF51" s="495"/>
    </row>
    <row r="52" spans="1:58" ht="12.95" customHeight="1">
      <c r="A52" s="41"/>
      <c r="B52" s="42"/>
      <c r="C52" s="406"/>
      <c r="D52" s="42"/>
      <c r="E52" s="43"/>
      <c r="F52" s="43"/>
      <c r="G52" s="44"/>
      <c r="H52" s="45"/>
      <c r="I52" s="46"/>
      <c r="J52" s="83"/>
      <c r="K52" s="83"/>
      <c r="L52" s="36"/>
      <c r="M52" s="36"/>
      <c r="N52" s="47"/>
      <c r="O52" s="48"/>
      <c r="P52" s="49"/>
      <c r="Q52" s="35"/>
      <c r="R52" s="492"/>
      <c r="S52" s="492"/>
      <c r="T52" s="38"/>
      <c r="U52" s="38"/>
      <c r="V52" s="38"/>
      <c r="W52" s="38"/>
      <c r="X52" s="39"/>
      <c r="Y52" s="212"/>
      <c r="Z52" s="38"/>
      <c r="AA52" s="38"/>
      <c r="AB52" s="38"/>
      <c r="AC52" s="38"/>
      <c r="AD52" s="38"/>
      <c r="AE52" s="234"/>
      <c r="AF52" s="38"/>
      <c r="AG52" s="38"/>
      <c r="AH52" s="38"/>
      <c r="AI52" s="494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51"/>
      <c r="BC52" s="52"/>
      <c r="BD52" s="495"/>
      <c r="BE52" s="34"/>
      <c r="BF52" s="495"/>
    </row>
    <row r="53" spans="1:58" ht="12.75" customHeight="1">
      <c r="A53" s="41">
        <v>45850</v>
      </c>
      <c r="B53" s="42" t="s">
        <v>412</v>
      </c>
      <c r="C53" s="406">
        <f>(M53*E53*O53*Q53)/100000000</f>
        <v>44.751657600000001</v>
      </c>
      <c r="D53" s="42" t="s">
        <v>301</v>
      </c>
      <c r="E53" s="43">
        <v>13</v>
      </c>
      <c r="F53" s="43">
        <v>1</v>
      </c>
      <c r="G53" s="491">
        <v>1230</v>
      </c>
      <c r="H53" s="45">
        <v>0.23</v>
      </c>
      <c r="I53" s="46">
        <v>0.88</v>
      </c>
      <c r="J53" s="83">
        <f>E53*G53*(1-H53)*1440/1000000*2.74</f>
        <v>48.579410880000005</v>
      </c>
      <c r="K53" s="83">
        <f>(IF(G53&lt;L53,L53,G53)*(1-IF(H53&lt;N53,H53,N53))*E53*O53*Q53)/100000000</f>
        <v>45.870449039999997</v>
      </c>
      <c r="L53" s="36">
        <v>1200</v>
      </c>
      <c r="M53" s="36">
        <v>932</v>
      </c>
      <c r="N53" s="47">
        <f>1-(M53/L53)</f>
        <v>0.22333333333333338</v>
      </c>
      <c r="O53" s="48">
        <f>+'Trim Rwd'!H37</f>
        <v>256.5</v>
      </c>
      <c r="P53" s="49">
        <f>O53*(Q53-R53-S53)</f>
        <v>348840</v>
      </c>
      <c r="Q53" s="48">
        <v>1440</v>
      </c>
      <c r="R53" s="492">
        <v>0</v>
      </c>
      <c r="S53" s="492">
        <v>80</v>
      </c>
      <c r="T53" s="38">
        <f>E53*M53*O53*Q53/100000000</f>
        <v>44.751657600000001</v>
      </c>
      <c r="U53" s="38">
        <f>E53*M53*O53*(Q53-R53-S53)/100000000</f>
        <v>42.265454400000003</v>
      </c>
      <c r="V53" s="38">
        <f>E53*G53*(1-N53)*O53/100*(R53+S53)/1000000</f>
        <v>2.5483582800000004</v>
      </c>
      <c r="W53" s="38">
        <f>+'12'!K11/1000</f>
        <v>43.52</v>
      </c>
      <c r="X53" s="493">
        <f>SUM(W53:W56)/SUM(K53:K56)</f>
        <v>0.94875897033512024</v>
      </c>
      <c r="Y53" s="212">
        <f>+SUM(RBP!AG44:AG45)</f>
        <v>0</v>
      </c>
      <c r="Z53" s="38">
        <f>+'6'!D58/1000</f>
        <v>0</v>
      </c>
      <c r="AA53" s="50">
        <f>SUM(U53:U56)-SUM(W53:W56)-SUM(Z53:Z56)-SUM(Y53:Y56)</f>
        <v>-1.2545456000000001</v>
      </c>
      <c r="AB53" s="50">
        <f>(SUM(K53:K56)-SUM(W53:W56)-SUM(Y53:Y56)-SUM(Z53:Z56)-SUM(AC53:AC56)-SUM(V53:V56))-AA53</f>
        <v>-6.2155080000001917E-2</v>
      </c>
      <c r="AC53" s="38">
        <f>K53-T53</f>
        <v>1.1187914399999954</v>
      </c>
      <c r="AD53" s="38">
        <f>+AM53+BA53</f>
        <v>24</v>
      </c>
      <c r="AE53" s="231" t="s">
        <v>471</v>
      </c>
      <c r="AF53" s="38">
        <v>24</v>
      </c>
      <c r="AG53" s="38"/>
      <c r="AH53" s="38"/>
      <c r="AI53" s="494"/>
      <c r="AJ53" s="38"/>
      <c r="AK53" s="38"/>
      <c r="AL53" s="38"/>
      <c r="AM53" s="38">
        <f t="shared" ref="AM53:AM55" si="30">SUM(AF53:AL53)+AT53+AV53+AX53</f>
        <v>24</v>
      </c>
      <c r="AN53" s="38"/>
      <c r="AO53" s="38"/>
      <c r="AP53" s="38"/>
      <c r="AQ53" s="38"/>
      <c r="AR53" s="38">
        <f>SUM(AN53:AQ53)</f>
        <v>0</v>
      </c>
      <c r="AS53" s="38"/>
      <c r="AT53" s="38"/>
      <c r="AU53" s="38"/>
      <c r="AV53" s="38"/>
      <c r="AW53" s="38"/>
      <c r="AX53" s="38"/>
      <c r="AY53" s="38"/>
      <c r="AZ53" s="38"/>
      <c r="BA53" s="38">
        <f>+AR53+AS53+AU53+AW53+AY53+AZ53</f>
        <v>0</v>
      </c>
      <c r="BB53" s="34">
        <v>8</v>
      </c>
      <c r="BC53" s="52"/>
      <c r="BD53" s="52"/>
      <c r="BE53" s="34"/>
      <c r="BF53" s="52"/>
    </row>
    <row r="54" spans="1:58" ht="12.95" customHeight="1">
      <c r="A54" s="41"/>
      <c r="B54" s="42"/>
      <c r="C54" s="406"/>
      <c r="D54" s="42"/>
      <c r="E54" s="43"/>
      <c r="F54" s="43"/>
      <c r="G54" s="491"/>
      <c r="H54" s="45"/>
      <c r="I54" s="46"/>
      <c r="J54" s="83"/>
      <c r="K54" s="83"/>
      <c r="L54" s="36"/>
      <c r="M54" s="36"/>
      <c r="N54" s="47"/>
      <c r="O54" s="48"/>
      <c r="P54" s="49"/>
      <c r="Q54" s="48"/>
      <c r="R54" s="492"/>
      <c r="S54" s="492"/>
      <c r="T54" s="38"/>
      <c r="U54" s="38"/>
      <c r="V54" s="38"/>
      <c r="W54" s="38"/>
      <c r="X54" s="39"/>
      <c r="Y54" s="212"/>
      <c r="Z54" s="38"/>
      <c r="AA54" s="38"/>
      <c r="AB54" s="38"/>
      <c r="AC54" s="38"/>
      <c r="AD54" s="38">
        <f>+AM54+BA54</f>
        <v>10</v>
      </c>
      <c r="AE54" s="231" t="s">
        <v>460</v>
      </c>
      <c r="AF54" s="38"/>
      <c r="AG54" s="38">
        <v>10</v>
      </c>
      <c r="AH54" s="38"/>
      <c r="AI54" s="494"/>
      <c r="AJ54" s="38"/>
      <c r="AK54" s="38"/>
      <c r="AL54" s="38"/>
      <c r="AM54" s="38">
        <f t="shared" si="30"/>
        <v>10</v>
      </c>
      <c r="AN54" s="84"/>
      <c r="AO54" s="38"/>
      <c r="AP54" s="38"/>
      <c r="AQ54" s="38"/>
      <c r="AR54" s="38">
        <f t="shared" ref="AR54:AR55" si="31"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>+AR54+AS54+AU54+AW54+AY54+AZ54</f>
        <v>0</v>
      </c>
      <c r="BB54" s="51"/>
      <c r="BC54" s="52">
        <v>9</v>
      </c>
      <c r="BD54" s="52"/>
      <c r="BE54" s="51"/>
      <c r="BF54" s="52"/>
    </row>
    <row r="55" spans="1:58" ht="12.95" customHeight="1">
      <c r="A55" s="41"/>
      <c r="B55" s="42"/>
      <c r="C55" s="406"/>
      <c r="D55" s="42"/>
      <c r="E55" s="43"/>
      <c r="F55" s="43"/>
      <c r="G55" s="44"/>
      <c r="H55" s="45"/>
      <c r="I55" s="46"/>
      <c r="J55" s="83"/>
      <c r="K55" s="83"/>
      <c r="L55" s="36"/>
      <c r="M55" s="36"/>
      <c r="N55" s="47"/>
      <c r="O55" s="48"/>
      <c r="P55" s="49"/>
      <c r="Q55" s="48"/>
      <c r="R55" s="492"/>
      <c r="S55" s="492"/>
      <c r="T55" s="38"/>
      <c r="U55" s="38"/>
      <c r="V55" s="38"/>
      <c r="W55" s="38"/>
      <c r="X55" s="39"/>
      <c r="Y55" s="212"/>
      <c r="Z55" s="38"/>
      <c r="AA55" s="38"/>
      <c r="AB55" s="38"/>
      <c r="AC55" s="38"/>
      <c r="AD55" s="38">
        <f>+AM55+BA55</f>
        <v>46</v>
      </c>
      <c r="AE55" s="231" t="s">
        <v>492</v>
      </c>
      <c r="AF55" s="34"/>
      <c r="AG55" s="34"/>
      <c r="AH55" s="582">
        <v>46</v>
      </c>
      <c r="AJ55" s="38"/>
      <c r="AK55" s="38"/>
      <c r="AL55" s="38"/>
      <c r="AM55" s="38">
        <f t="shared" si="30"/>
        <v>46</v>
      </c>
      <c r="AN55" s="38"/>
      <c r="AO55" s="38"/>
      <c r="AP55" s="38"/>
      <c r="AQ55" s="38"/>
      <c r="AR55" s="38">
        <f t="shared" si="31"/>
        <v>0</v>
      </c>
      <c r="AS55" s="38"/>
      <c r="AT55" s="38"/>
      <c r="AU55" s="38"/>
      <c r="AV55" s="38"/>
      <c r="AW55" s="38"/>
      <c r="AX55" s="38"/>
      <c r="AY55" s="38"/>
      <c r="AZ55" s="38"/>
      <c r="BA55" s="38">
        <f>+AR55+AS55+AU55+AW55+AY55+AZ55</f>
        <v>0</v>
      </c>
      <c r="BB55" s="34"/>
      <c r="BC55" s="495"/>
      <c r="BD55" s="495"/>
      <c r="BE55" s="34"/>
      <c r="BF55" s="495"/>
    </row>
    <row r="56" spans="1:58" ht="12.95" customHeight="1">
      <c r="A56" s="41"/>
      <c r="B56" s="42"/>
      <c r="C56" s="406"/>
      <c r="D56" s="42"/>
      <c r="E56" s="43"/>
      <c r="F56" s="43"/>
      <c r="G56" s="44"/>
      <c r="H56" s="45"/>
      <c r="I56" s="46"/>
      <c r="J56" s="83"/>
      <c r="K56" s="83"/>
      <c r="L56" s="36"/>
      <c r="M56" s="36"/>
      <c r="N56" s="47"/>
      <c r="O56" s="48"/>
      <c r="P56" s="49"/>
      <c r="Q56" s="48"/>
      <c r="R56" s="492"/>
      <c r="S56" s="492"/>
      <c r="T56" s="38"/>
      <c r="U56" s="38"/>
      <c r="V56" s="38"/>
      <c r="W56" s="38"/>
      <c r="X56" s="39"/>
      <c r="Y56" s="212"/>
      <c r="Z56" s="38"/>
      <c r="AA56" s="38"/>
      <c r="AB56" s="38"/>
      <c r="AC56" s="38"/>
      <c r="AD56" s="38"/>
      <c r="AE56" s="231"/>
      <c r="AF56" s="34"/>
      <c r="AG56" s="34"/>
      <c r="AH56" s="34"/>
      <c r="AI56" s="34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4"/>
      <c r="BC56" s="495"/>
      <c r="BD56" s="495"/>
      <c r="BE56" s="34"/>
      <c r="BF56" s="495"/>
    </row>
    <row r="57" spans="1:58" ht="12.75" customHeight="1">
      <c r="A57" s="41">
        <v>45851</v>
      </c>
      <c r="B57" s="42" t="s">
        <v>412</v>
      </c>
      <c r="C57" s="406">
        <f>(M57*E57*O57*Q57)/100000000</f>
        <v>37.364031340149523</v>
      </c>
      <c r="D57" s="42" t="s">
        <v>301</v>
      </c>
      <c r="E57" s="43">
        <v>13</v>
      </c>
      <c r="F57" s="43">
        <v>1</v>
      </c>
      <c r="G57" s="491">
        <v>1230</v>
      </c>
      <c r="H57" s="45">
        <v>0.23</v>
      </c>
      <c r="I57" s="46">
        <v>0.88</v>
      </c>
      <c r="J57" s="83">
        <f>E57*G57*(1-H57)*1440/1000000*2.74</f>
        <v>48.579410880000005</v>
      </c>
      <c r="K57" s="83">
        <f>(IF(G57&lt;L57,L57,G57)*(1-IF(H57&lt;N57,H57,N57))*E57*O57*Q57)/100000000</f>
        <v>37.457953722403104</v>
      </c>
      <c r="L57" s="36">
        <v>1226.9158878504672</v>
      </c>
      <c r="M57" s="36">
        <v>947.19252336448585</v>
      </c>
      <c r="N57" s="47">
        <f>1-(M57/L57)</f>
        <v>0.22798903107861068</v>
      </c>
      <c r="O57" s="48">
        <f>+'Trim Rwd'!H39</f>
        <v>256.5</v>
      </c>
      <c r="P57" s="49">
        <f>O57*(Q57-R57-S57)</f>
        <v>259065</v>
      </c>
      <c r="Q57" s="48">
        <f>1070+113</f>
        <v>1183</v>
      </c>
      <c r="R57" s="492">
        <v>113</v>
      </c>
      <c r="S57" s="492">
        <v>60</v>
      </c>
      <c r="T57" s="38">
        <f>E57*M57*O57*Q57/100000000</f>
        <v>37.364031340149523</v>
      </c>
      <c r="U57" s="38">
        <f>E57*M57*O57*(Q57-R57-S57)/100000000</f>
        <v>31.899976038504668</v>
      </c>
      <c r="V57" s="38">
        <f>E57*G57*(1-N57)*O57/100*(R57+S57)/1000000</f>
        <v>5.47779035839031</v>
      </c>
      <c r="W57" s="38">
        <f>+'13'!K11/1000</f>
        <v>34.942</v>
      </c>
      <c r="X57" s="493">
        <f>SUM(W57:W60)/SUM(K57:K60)</f>
        <v>0.89669885768638002</v>
      </c>
      <c r="Y57" s="212">
        <f>+SUM(RBP!AG48:AG49)</f>
        <v>0</v>
      </c>
      <c r="Z57" s="38">
        <f>+'6'!D62/1000</f>
        <v>0</v>
      </c>
      <c r="AA57" s="50">
        <f>SUM(U57:U60)-SUM(W57:W60)-SUM(Z57:Z60)-SUM(Y57:Y60)</f>
        <v>-1.5916715414953302</v>
      </c>
      <c r="AB57" s="50">
        <f>(SUM(K57:K60)-SUM(W57:W60)-SUM(Y57:Y60)-SUM(Z57:Z60)-SUM(AC57:AC60)-SUM(V57:V60))-AA57</f>
        <v>3.7464553254541677E-2</v>
      </c>
      <c r="AC57" s="38">
        <f>K57-T57</f>
        <v>9.3922382253580849E-2</v>
      </c>
      <c r="AD57" s="38">
        <f>+AM57+BA57</f>
        <v>32</v>
      </c>
      <c r="AE57" s="231" t="s">
        <v>471</v>
      </c>
      <c r="AF57" s="38">
        <v>32</v>
      </c>
      <c r="AG57" s="38"/>
      <c r="AH57" s="38"/>
      <c r="AI57" s="38"/>
      <c r="AJ57" s="38"/>
      <c r="AK57" s="38"/>
      <c r="AL57" s="38"/>
      <c r="AM57" s="38">
        <f t="shared" ref="AM57:AM59" si="32">SUM(AF57:AL57)+AT57+AV57+AX57</f>
        <v>32</v>
      </c>
      <c r="AN57" s="38"/>
      <c r="AO57" s="38"/>
      <c r="AP57" s="38"/>
      <c r="AQ57" s="38"/>
      <c r="AR57" s="38">
        <f>SUM(AN57:AQ57)</f>
        <v>0</v>
      </c>
      <c r="AS57" s="38"/>
      <c r="AT57" s="38"/>
      <c r="AU57" s="38"/>
      <c r="AV57" s="38"/>
      <c r="AW57" s="38"/>
      <c r="AX57" s="38"/>
      <c r="AY57" s="38"/>
      <c r="AZ57" s="38"/>
      <c r="BA57" s="38">
        <f>+AR57+AS57+AU57+AW57+AY57+AZ57</f>
        <v>0</v>
      </c>
      <c r="BB57" s="34">
        <v>8</v>
      </c>
      <c r="BC57" s="52"/>
      <c r="BD57" s="52"/>
      <c r="BE57" s="34"/>
      <c r="BF57" s="52"/>
    </row>
    <row r="58" spans="1:58" ht="12.95" customHeight="1">
      <c r="A58" s="41"/>
      <c r="B58" s="42" t="s">
        <v>7</v>
      </c>
      <c r="C58" s="406">
        <f>(M58*E58*O58*Q58)/100000000</f>
        <v>6.8021719149999997</v>
      </c>
      <c r="D58" s="42" t="s">
        <v>301</v>
      </c>
      <c r="E58" s="43">
        <v>11.5</v>
      </c>
      <c r="F58" s="43">
        <v>1</v>
      </c>
      <c r="G58" s="491">
        <v>1230</v>
      </c>
      <c r="H58" s="45">
        <v>0.23</v>
      </c>
      <c r="I58" s="46">
        <v>0.88</v>
      </c>
      <c r="J58" s="83">
        <f>E58*G58*(1-H58)*1440/1000000*2.74</f>
        <v>42.974094239999999</v>
      </c>
      <c r="K58" s="83">
        <f>(IF(G58&lt;L58,L58,G58)*(1-IF(H58&lt;N58,H58,N58))*E58*O58*Q58)/100000000</f>
        <v>6.8579274225000004</v>
      </c>
      <c r="L58" s="36">
        <v>1220</v>
      </c>
      <c r="M58" s="36">
        <v>939.4</v>
      </c>
      <c r="N58" s="47">
        <f>1-(M58/L58)</f>
        <v>0.22999999999999998</v>
      </c>
      <c r="O58" s="48">
        <f>+'Trim Rwd'!H40</f>
        <v>245</v>
      </c>
      <c r="P58" s="49">
        <f>O58*(Q58-R58-S58)</f>
        <v>57820</v>
      </c>
      <c r="Q58" s="48">
        <v>257</v>
      </c>
      <c r="R58" s="492">
        <v>0</v>
      </c>
      <c r="S58" s="492">
        <v>21</v>
      </c>
      <c r="T58" s="38">
        <f>E58*M58*O58*Q58/100000000</f>
        <v>6.8021719149999997</v>
      </c>
      <c r="U58" s="38">
        <f>E58*M58*O58*(Q58-R58-S58)/100000000</f>
        <v>6.24635242</v>
      </c>
      <c r="V58" s="38">
        <f>E58*G58*(1-N58)*O58/100*(R58+S58)/1000000</f>
        <v>0.56037539250000001</v>
      </c>
      <c r="W58" s="38">
        <f>+'13'!K12/1000</f>
        <v>4.7960000000000003</v>
      </c>
      <c r="X58" s="39"/>
      <c r="Y58" s="212"/>
      <c r="Z58" s="38"/>
      <c r="AA58" s="38"/>
      <c r="AB58" s="38"/>
      <c r="AC58" s="38"/>
      <c r="AD58" s="38">
        <f>+AM58+BA58</f>
        <v>9</v>
      </c>
      <c r="AE58" s="231" t="s">
        <v>521</v>
      </c>
      <c r="AF58" s="38"/>
      <c r="AG58" s="38">
        <v>9</v>
      </c>
      <c r="AH58" s="38"/>
      <c r="AI58" s="38"/>
      <c r="AJ58" s="38"/>
      <c r="AK58" s="38"/>
      <c r="AL58" s="38"/>
      <c r="AM58" s="38">
        <f t="shared" si="32"/>
        <v>9</v>
      </c>
      <c r="AN58" s="84"/>
      <c r="AO58" s="38"/>
      <c r="AP58" s="38"/>
      <c r="AQ58" s="38"/>
      <c r="AR58" s="38">
        <f t="shared" ref="AR58:AR59" si="33">SUM(AN58:AQ58)</f>
        <v>0</v>
      </c>
      <c r="AS58" s="38"/>
      <c r="AT58" s="38"/>
      <c r="AU58" s="38"/>
      <c r="AV58" s="38"/>
      <c r="AW58" s="38"/>
      <c r="AX58" s="38"/>
      <c r="AY58" s="38"/>
      <c r="AZ58" s="38"/>
      <c r="BA58" s="38">
        <f>+AR58+AS58+AU58+AW58+AY58+AZ58</f>
        <v>0</v>
      </c>
      <c r="BB58" s="51"/>
      <c r="BC58" s="52">
        <v>8</v>
      </c>
      <c r="BD58" s="52"/>
      <c r="BE58" s="51"/>
      <c r="BF58" s="52"/>
    </row>
    <row r="59" spans="1:58" ht="12.95" customHeight="1">
      <c r="A59" s="41"/>
      <c r="B59" s="42"/>
      <c r="C59" s="406"/>
      <c r="D59" s="42"/>
      <c r="E59" s="43"/>
      <c r="F59" s="43"/>
      <c r="G59" s="44"/>
      <c r="H59" s="45"/>
      <c r="I59" s="46"/>
      <c r="J59" s="83"/>
      <c r="K59" s="83"/>
      <c r="L59" s="36"/>
      <c r="M59" s="36"/>
      <c r="N59" s="47"/>
      <c r="O59" s="48"/>
      <c r="P59" s="49"/>
      <c r="Q59" s="48"/>
      <c r="R59" s="492"/>
      <c r="S59" s="492"/>
      <c r="T59" s="38"/>
      <c r="U59" s="38"/>
      <c r="V59" s="38"/>
      <c r="W59" s="38"/>
      <c r="X59" s="39"/>
      <c r="Y59" s="212"/>
      <c r="Z59" s="38"/>
      <c r="AA59" s="38"/>
      <c r="AB59" s="38"/>
      <c r="AC59" s="38"/>
      <c r="AD59" s="38">
        <f>+AM59+BA59</f>
        <v>40</v>
      </c>
      <c r="AE59" s="231" t="s">
        <v>456</v>
      </c>
      <c r="AF59" s="34"/>
      <c r="AG59" s="34"/>
      <c r="AH59" s="34">
        <v>40</v>
      </c>
      <c r="AI59" s="34"/>
      <c r="AJ59" s="38"/>
      <c r="AK59" s="38"/>
      <c r="AL59" s="38"/>
      <c r="AM59" s="38">
        <f t="shared" si="32"/>
        <v>40</v>
      </c>
      <c r="AN59" s="38"/>
      <c r="AO59" s="38"/>
      <c r="AP59" s="38"/>
      <c r="AQ59" s="38"/>
      <c r="AR59" s="38">
        <f t="shared" si="33"/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>+AR59+AS59+AU59+AW59+AY59+AZ59</f>
        <v>0</v>
      </c>
      <c r="BB59" s="34"/>
      <c r="BC59" s="495"/>
      <c r="BD59" s="495"/>
      <c r="BE59" s="34"/>
      <c r="BF59" s="495"/>
    </row>
    <row r="60" spans="1:58" ht="12.95" customHeight="1">
      <c r="A60" s="41"/>
      <c r="B60" s="42"/>
      <c r="C60" s="406"/>
      <c r="D60" s="42"/>
      <c r="E60" s="43"/>
      <c r="F60" s="43"/>
      <c r="G60" s="44"/>
      <c r="H60" s="45"/>
      <c r="I60" s="46"/>
      <c r="J60" s="83"/>
      <c r="K60" s="83"/>
      <c r="L60" s="36"/>
      <c r="M60" s="36"/>
      <c r="N60" s="47"/>
      <c r="O60" s="48"/>
      <c r="P60" s="49"/>
      <c r="Q60" s="48"/>
      <c r="R60" s="492"/>
      <c r="S60" s="492"/>
      <c r="T60" s="38"/>
      <c r="U60" s="38"/>
      <c r="V60" s="38"/>
      <c r="W60" s="38"/>
      <c r="X60" s="39"/>
      <c r="Y60" s="212"/>
      <c r="Z60" s="38"/>
      <c r="AA60" s="38"/>
      <c r="AB60" s="38"/>
      <c r="AC60" s="38"/>
      <c r="AD60" s="38">
        <f>+AM60+BA60</f>
        <v>113</v>
      </c>
      <c r="AE60" s="231" t="s">
        <v>540</v>
      </c>
      <c r="AF60" s="34"/>
      <c r="AG60" s="34"/>
      <c r="AH60" s="34"/>
      <c r="AI60" s="34"/>
      <c r="AJ60" s="38"/>
      <c r="AK60" s="38"/>
      <c r="AL60" s="38"/>
      <c r="AM60" s="38">
        <f t="shared" ref="AM60" si="34">SUM(AF60:AL60)+AT60+AV60+AX60</f>
        <v>0</v>
      </c>
      <c r="AN60" s="38"/>
      <c r="AO60" s="38"/>
      <c r="AP60" s="38"/>
      <c r="AQ60" s="38"/>
      <c r="AR60" s="38">
        <f t="shared" ref="AR60" si="35">SUM(AN60:AQ60)</f>
        <v>0</v>
      </c>
      <c r="AS60" s="38">
        <v>113</v>
      </c>
      <c r="AT60" s="38"/>
      <c r="AU60" s="38"/>
      <c r="AV60" s="38"/>
      <c r="AW60" s="38"/>
      <c r="AX60" s="38"/>
      <c r="AY60" s="38"/>
      <c r="AZ60" s="38"/>
      <c r="BA60" s="38">
        <f>+AR60+AS60+AU60+AW60+AY60+AZ60</f>
        <v>113</v>
      </c>
      <c r="BB60" s="34"/>
      <c r="BC60" s="495"/>
      <c r="BD60" s="495"/>
      <c r="BE60" s="34"/>
      <c r="BF60" s="495"/>
    </row>
    <row r="61" spans="1:58" ht="12.95" customHeight="1">
      <c r="A61" s="41"/>
      <c r="B61" s="42"/>
      <c r="C61" s="406"/>
      <c r="D61" s="42"/>
      <c r="E61" s="43"/>
      <c r="F61" s="43"/>
      <c r="G61" s="44"/>
      <c r="H61" s="45"/>
      <c r="I61" s="46"/>
      <c r="J61" s="83"/>
      <c r="K61" s="83"/>
      <c r="L61" s="36"/>
      <c r="M61" s="36"/>
      <c r="N61" s="47"/>
      <c r="O61" s="48"/>
      <c r="P61" s="49"/>
      <c r="Q61" s="48"/>
      <c r="R61" s="492"/>
      <c r="S61" s="492"/>
      <c r="T61" s="38"/>
      <c r="U61" s="38"/>
      <c r="V61" s="38"/>
      <c r="W61" s="38"/>
      <c r="X61" s="39"/>
      <c r="Y61" s="212"/>
      <c r="Z61" s="38"/>
      <c r="AA61" s="38"/>
      <c r="AB61" s="38"/>
      <c r="AC61" s="38"/>
      <c r="AD61" s="38"/>
      <c r="AE61" s="231"/>
      <c r="AF61" s="34"/>
      <c r="AG61" s="34"/>
      <c r="AH61" s="34"/>
      <c r="AI61" s="34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4"/>
      <c r="BC61" s="495"/>
      <c r="BD61" s="52"/>
      <c r="BE61" s="34"/>
      <c r="BF61" s="52"/>
    </row>
    <row r="62" spans="1:58" ht="12.75" customHeight="1">
      <c r="A62" s="41">
        <v>45852</v>
      </c>
      <c r="B62" s="42" t="s">
        <v>7</v>
      </c>
      <c r="C62" s="406">
        <f>(M62*E62*O62*Q62)/100000000</f>
        <v>34.243426900253169</v>
      </c>
      <c r="D62" s="42" t="s">
        <v>301</v>
      </c>
      <c r="E62" s="43">
        <v>12</v>
      </c>
      <c r="F62" s="43">
        <v>1</v>
      </c>
      <c r="G62" s="491">
        <v>1230</v>
      </c>
      <c r="H62" s="45">
        <v>0.23</v>
      </c>
      <c r="I62" s="46">
        <v>0.88</v>
      </c>
      <c r="J62" s="83">
        <f>E62*G62*(1-H62)*1440/1000000*2.74</f>
        <v>44.842533120000006</v>
      </c>
      <c r="K62" s="83">
        <f>(IF(G62&lt;L62,L62,G62)*(1-IF(H62&lt;N62,H62,N62))*E62*O62*Q62)/100000000</f>
        <v>43.53326208</v>
      </c>
      <c r="L62" s="36">
        <v>967.52260397830014</v>
      </c>
      <c r="M62" s="36">
        <v>744.99240506329124</v>
      </c>
      <c r="N62" s="47">
        <f>1-(M62/L62)</f>
        <v>0.22999999999999987</v>
      </c>
      <c r="O62" s="48">
        <f>+'Trim Rwd'!H43</f>
        <v>266</v>
      </c>
      <c r="P62" s="49">
        <f>O62*(Q62-R62-S62)</f>
        <v>139384</v>
      </c>
      <c r="Q62" s="48">
        <v>1440</v>
      </c>
      <c r="R62" s="492">
        <v>887</v>
      </c>
      <c r="S62" s="492">
        <v>29</v>
      </c>
      <c r="T62" s="38">
        <f>E62*M62*O62*Q62/100000000</f>
        <v>34.243426900253169</v>
      </c>
      <c r="U62" s="38">
        <f>E62*M62*O62*(Q62-R62-S62)/100000000</f>
        <v>12.460802566481012</v>
      </c>
      <c r="V62" s="38">
        <f>E62*G62*(1-N62)*O62/100*(R62+S62)/1000000</f>
        <v>27.691991712000007</v>
      </c>
      <c r="W62" s="38">
        <f>+'14'!K9/1000</f>
        <v>9.5060000000000002</v>
      </c>
      <c r="X62" s="493">
        <f>SUM(W62:W65)/SUM(K62:K65)</f>
        <v>0.24461755198658433</v>
      </c>
      <c r="Y62" s="212">
        <f>+SUM(RBP!AG53:AG54)</f>
        <v>0</v>
      </c>
      <c r="Z62" s="38">
        <f>+'6'!D67/1000</f>
        <v>0</v>
      </c>
      <c r="AA62" s="50">
        <f>SUM(U62:U65)-SUM(W62:W65)-SUM(Z62:Z65)-SUM(Y62:Y65)</f>
        <v>1.8118025664810116</v>
      </c>
      <c r="AB62" s="50">
        <f>(SUM(K62:K65)-SUM(W62:W65)-SUM(Y62:Y65)-SUM(Z62:Z65)-SUM(AC62:AC65)-SUM(V62:V65))-AA62</f>
        <v>-5.9093673782278504</v>
      </c>
      <c r="AC62" s="38">
        <f>K62-T62</f>
        <v>9.2898351797468308</v>
      </c>
      <c r="AD62" s="38">
        <f>+AM62+BA62</f>
        <v>8</v>
      </c>
      <c r="AE62" s="231" t="s">
        <v>470</v>
      </c>
      <c r="AF62" s="38">
        <v>8</v>
      </c>
      <c r="AG62" s="38"/>
      <c r="AH62" s="38"/>
      <c r="AI62" s="494"/>
      <c r="AJ62" s="38"/>
      <c r="AK62" s="38"/>
      <c r="AL62" s="38"/>
      <c r="AM62" s="38">
        <f t="shared" ref="AM62:AM64" si="36">SUM(AF62:AL62)+AT62+AV62+AX62</f>
        <v>8</v>
      </c>
      <c r="AN62" s="38"/>
      <c r="AO62" s="38"/>
      <c r="AP62" s="38"/>
      <c r="AQ62" s="38"/>
      <c r="AR62" s="38">
        <f>SUM(AN62:AQ62)</f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>+AR62+AS62+AU62+AW62+AY62+AZ62</f>
        <v>0</v>
      </c>
      <c r="BB62" s="34">
        <v>4</v>
      </c>
      <c r="BC62" s="52"/>
      <c r="BD62" s="52"/>
      <c r="BE62" s="34"/>
      <c r="BF62" s="52"/>
    </row>
    <row r="63" spans="1:58" ht="12.95" customHeight="1">
      <c r="A63" s="41"/>
      <c r="B63" s="42" t="s">
        <v>7</v>
      </c>
      <c r="C63" s="406"/>
      <c r="D63" s="42"/>
      <c r="E63" s="43">
        <v>11.5</v>
      </c>
      <c r="F63" s="43"/>
      <c r="G63" s="491"/>
      <c r="H63" s="45"/>
      <c r="I63" s="46"/>
      <c r="J63" s="83"/>
      <c r="K63" s="83"/>
      <c r="L63" s="36"/>
      <c r="M63" s="36"/>
      <c r="N63" s="47"/>
      <c r="O63" s="48"/>
      <c r="P63" s="49"/>
      <c r="Q63" s="48"/>
      <c r="R63" s="492"/>
      <c r="S63" s="492"/>
      <c r="T63" s="38"/>
      <c r="U63" s="38"/>
      <c r="V63" s="38"/>
      <c r="W63" s="38">
        <f>+'14'!K12/1000</f>
        <v>1.143</v>
      </c>
      <c r="X63" s="39"/>
      <c r="Y63" s="212"/>
      <c r="Z63" s="38"/>
      <c r="AA63" s="38"/>
      <c r="AB63" s="38"/>
      <c r="AC63" s="38"/>
      <c r="AD63" s="38">
        <f>+AM63+BA63</f>
        <v>0</v>
      </c>
      <c r="AE63" s="231" t="s">
        <v>408</v>
      </c>
      <c r="AF63" s="38"/>
      <c r="AG63" s="38">
        <v>0</v>
      </c>
      <c r="AH63" s="38"/>
      <c r="AI63" s="494"/>
      <c r="AJ63" s="38"/>
      <c r="AK63" s="38"/>
      <c r="AL63" s="38"/>
      <c r="AM63" s="38">
        <f t="shared" si="36"/>
        <v>0</v>
      </c>
      <c r="AN63" s="84"/>
      <c r="AO63" s="38"/>
      <c r="AP63" s="38"/>
      <c r="AQ63" s="38"/>
      <c r="AR63" s="38">
        <f t="shared" ref="AR63:AR64" si="37">SUM(AN63:AQ63)</f>
        <v>0</v>
      </c>
      <c r="AS63" s="38"/>
      <c r="AT63" s="38"/>
      <c r="AU63" s="38"/>
      <c r="AV63" s="38"/>
      <c r="AW63" s="38"/>
      <c r="AX63" s="38"/>
      <c r="AY63" s="38"/>
      <c r="AZ63" s="38"/>
      <c r="BA63" s="38">
        <f>+AR63+AS63+AU63+AW63+AY63+AZ63</f>
        <v>0</v>
      </c>
      <c r="BB63" s="51"/>
      <c r="BC63" s="52">
        <v>0</v>
      </c>
      <c r="BD63" s="52"/>
      <c r="BE63" s="51"/>
      <c r="BF63" s="52"/>
    </row>
    <row r="64" spans="1:58" ht="12.95" customHeight="1">
      <c r="A64" s="41"/>
      <c r="B64" s="42"/>
      <c r="C64" s="406"/>
      <c r="D64" s="42"/>
      <c r="E64" s="43"/>
      <c r="F64" s="43"/>
      <c r="G64" s="44"/>
      <c r="H64" s="45"/>
      <c r="I64" s="46"/>
      <c r="J64" s="83"/>
      <c r="K64" s="83"/>
      <c r="L64" s="36"/>
      <c r="M64" s="36"/>
      <c r="N64" s="47"/>
      <c r="O64" s="48"/>
      <c r="P64" s="49"/>
      <c r="Q64" s="48"/>
      <c r="R64" s="492"/>
      <c r="S64" s="492"/>
      <c r="T64" s="38"/>
      <c r="U64" s="38"/>
      <c r="V64" s="38"/>
      <c r="W64" s="38"/>
      <c r="X64" s="39"/>
      <c r="Y64" s="212"/>
      <c r="Z64" s="38"/>
      <c r="AA64" s="38"/>
      <c r="AB64" s="38"/>
      <c r="AC64" s="38"/>
      <c r="AD64" s="38">
        <f>+AM64+BA64</f>
        <v>21</v>
      </c>
      <c r="AE64" s="231" t="s">
        <v>553</v>
      </c>
      <c r="AF64" s="34"/>
      <c r="AG64" s="34"/>
      <c r="AH64" s="582">
        <v>21</v>
      </c>
      <c r="AJ64" s="38"/>
      <c r="AK64" s="38"/>
      <c r="AL64" s="38"/>
      <c r="AM64" s="38">
        <f t="shared" si="36"/>
        <v>21</v>
      </c>
      <c r="AN64" s="38"/>
      <c r="AO64" s="38"/>
      <c r="AP64" s="38"/>
      <c r="AQ64" s="38"/>
      <c r="AR64" s="38">
        <f t="shared" si="37"/>
        <v>0</v>
      </c>
      <c r="AS64" s="38"/>
      <c r="AT64" s="38"/>
      <c r="AU64" s="38"/>
      <c r="AV64" s="38"/>
      <c r="AW64" s="38"/>
      <c r="AX64" s="38"/>
      <c r="AY64" s="38"/>
      <c r="AZ64" s="38"/>
      <c r="BA64" s="38">
        <f>+AR64+AS64+AU64+AW64+AY64+AZ64</f>
        <v>0</v>
      </c>
      <c r="BB64" s="34"/>
      <c r="BC64" s="495"/>
      <c r="BD64" s="495"/>
      <c r="BE64" s="34"/>
      <c r="BF64" s="495"/>
    </row>
    <row r="65" spans="1:58" ht="12.95" customHeight="1">
      <c r="A65" s="41"/>
      <c r="B65" s="42"/>
      <c r="C65" s="406"/>
      <c r="D65" s="42"/>
      <c r="E65" s="43"/>
      <c r="F65" s="43"/>
      <c r="G65" s="44"/>
      <c r="H65" s="45"/>
      <c r="I65" s="46"/>
      <c r="J65" s="83"/>
      <c r="K65" s="83"/>
      <c r="L65" s="36"/>
      <c r="M65" s="36"/>
      <c r="N65" s="47"/>
      <c r="O65" s="48"/>
      <c r="P65" s="49"/>
      <c r="Q65" s="48"/>
      <c r="R65" s="492"/>
      <c r="S65" s="492"/>
      <c r="T65" s="38"/>
      <c r="U65" s="38"/>
      <c r="V65" s="38"/>
      <c r="W65" s="38"/>
      <c r="X65" s="39"/>
      <c r="Y65" s="212"/>
      <c r="Z65" s="38"/>
      <c r="AA65" s="38"/>
      <c r="AB65" s="38"/>
      <c r="AC65" s="38"/>
      <c r="AD65" s="38">
        <f>+AM65+BA65</f>
        <v>887</v>
      </c>
      <c r="AE65" s="231" t="s">
        <v>540</v>
      </c>
      <c r="AF65" s="34"/>
      <c r="AG65" s="34"/>
      <c r="AH65" s="34"/>
      <c r="AI65" s="34"/>
      <c r="AJ65" s="38"/>
      <c r="AK65" s="38"/>
      <c r="AL65" s="38"/>
      <c r="AM65" s="38">
        <f t="shared" ref="AM65" si="38">SUM(AF65:AL65)+AT65+AV65+AX65</f>
        <v>0</v>
      </c>
      <c r="AN65" s="38"/>
      <c r="AO65" s="38"/>
      <c r="AP65" s="38"/>
      <c r="AQ65" s="38"/>
      <c r="AR65" s="38">
        <f t="shared" ref="AR65" si="39">SUM(AN65:AQ65)</f>
        <v>0</v>
      </c>
      <c r="AS65" s="38">
        <v>887</v>
      </c>
      <c r="AT65" s="38"/>
      <c r="AU65" s="38"/>
      <c r="AV65" s="38"/>
      <c r="AW65" s="38"/>
      <c r="AX65" s="38"/>
      <c r="AY65" s="38"/>
      <c r="AZ65" s="38"/>
      <c r="BA65" s="38">
        <f>+AR65+AS65+AU65+AW65+AY65+AZ65</f>
        <v>887</v>
      </c>
      <c r="BB65" s="34"/>
      <c r="BC65" s="495"/>
      <c r="BD65" s="495"/>
      <c r="BE65" s="34"/>
      <c r="BF65" s="495"/>
    </row>
    <row r="66" spans="1:58" ht="12.95" customHeight="1">
      <c r="A66" s="41"/>
      <c r="B66" s="42"/>
      <c r="C66" s="406"/>
      <c r="D66" s="42"/>
      <c r="E66" s="43"/>
      <c r="F66" s="43"/>
      <c r="G66" s="491"/>
      <c r="H66" s="45"/>
      <c r="I66" s="46"/>
      <c r="J66" s="83"/>
      <c r="K66" s="83"/>
      <c r="L66" s="36"/>
      <c r="M66" s="36"/>
      <c r="N66" s="47"/>
      <c r="O66" s="48"/>
      <c r="P66" s="49"/>
      <c r="Q66" s="48"/>
      <c r="R66" s="492"/>
      <c r="S66" s="492"/>
      <c r="T66" s="38"/>
      <c r="U66" s="38"/>
      <c r="V66" s="38"/>
      <c r="W66" s="38"/>
      <c r="X66" s="39"/>
      <c r="Y66" s="212"/>
      <c r="Z66" s="38"/>
      <c r="AA66" s="38"/>
      <c r="AB66" s="38"/>
      <c r="AC66" s="38"/>
      <c r="AD66" s="38"/>
      <c r="AE66" s="231"/>
      <c r="AF66" s="38"/>
      <c r="AG66" s="38"/>
      <c r="AH66" s="38"/>
      <c r="AI66" s="494"/>
      <c r="AJ66" s="38"/>
      <c r="AK66" s="38"/>
      <c r="AL66" s="38"/>
      <c r="AM66" s="38"/>
      <c r="AN66" s="84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51"/>
      <c r="BC66" s="52"/>
      <c r="BD66" s="52"/>
      <c r="BE66" s="52"/>
      <c r="BF66" s="52"/>
    </row>
    <row r="67" spans="1:58" ht="12.75" customHeight="1">
      <c r="A67" s="41">
        <v>45853</v>
      </c>
      <c r="B67" s="42" t="s">
        <v>7</v>
      </c>
      <c r="C67" s="406">
        <f>(M67*E67*O67*Q67)/100000000</f>
        <v>3.0418227840000003</v>
      </c>
      <c r="D67" s="42" t="s">
        <v>301</v>
      </c>
      <c r="E67" s="43">
        <v>12</v>
      </c>
      <c r="F67" s="43">
        <v>1</v>
      </c>
      <c r="G67" s="491">
        <v>1230</v>
      </c>
      <c r="H67" s="45">
        <v>0.23</v>
      </c>
      <c r="I67" s="46">
        <v>0.88</v>
      </c>
      <c r="J67" s="83">
        <f>E67*G67*(1-H67)*1440/1000000*2.74</f>
        <v>44.842533120000006</v>
      </c>
      <c r="K67" s="83">
        <f>(IF(G67&lt;L67,L67,G67)*(1-IF(H67&lt;N67,H67,N67))*E67*O67*Q67)/100000000</f>
        <v>3.3859203840000003</v>
      </c>
      <c r="L67" s="36">
        <v>1105</v>
      </c>
      <c r="M67" s="36">
        <v>850.85000000000014</v>
      </c>
      <c r="N67" s="47">
        <f>1-(M67/L67)</f>
        <v>0.22999999999999987</v>
      </c>
      <c r="O67" s="48">
        <f>+'Trim Rwd'!H45</f>
        <v>266</v>
      </c>
      <c r="P67" s="49">
        <f>O67*(Q67-R67-S67)</f>
        <v>25270</v>
      </c>
      <c r="Q67" s="48">
        <v>112</v>
      </c>
      <c r="R67" s="492">
        <v>0</v>
      </c>
      <c r="S67" s="492">
        <v>17</v>
      </c>
      <c r="T67" s="38">
        <f>E67*M67*O67*Q67/100000000</f>
        <v>3.0418227840000003</v>
      </c>
      <c r="U67" s="38">
        <f>E67*M67*O67*(Q67-R67-S67)/100000000</f>
        <v>2.5801175400000003</v>
      </c>
      <c r="V67" s="38">
        <f>E67*G67*(1-N67)*O67/100*(R67+S67)/1000000</f>
        <v>0.51393434400000015</v>
      </c>
      <c r="W67" s="38">
        <f>+'15'!K9/1000</f>
        <v>4.6820000000000004</v>
      </c>
      <c r="X67" s="493">
        <f>SUM(W67:W70)/SUM(K67:K70)</f>
        <v>0.85563426804771892</v>
      </c>
      <c r="Y67" s="212">
        <v>0</v>
      </c>
      <c r="Z67" s="38">
        <f>+'6'!D72/1000</f>
        <v>0</v>
      </c>
      <c r="AA67" s="50">
        <f>SUM(U67:U70)-SUM(W67:W70)-SUM(Z67:Z70)-SUM(Y67:Y70)</f>
        <v>0.81460557464336603</v>
      </c>
      <c r="AB67" s="50">
        <f>(SUM(K67:K70)-SUM(W67:W70)-SUM(Y67:Y70)-SUM(Z67:Z70)-SUM(AC67:AC70)-SUM(V67:V70))-AA67</f>
        <v>3.1686039077566361</v>
      </c>
      <c r="AC67" s="38">
        <f>K67-T67</f>
        <v>0.3440976</v>
      </c>
      <c r="AD67" s="38">
        <f>+AM67+BA67</f>
        <v>32</v>
      </c>
      <c r="AE67" s="231" t="s">
        <v>568</v>
      </c>
      <c r="AF67" s="38">
        <v>32</v>
      </c>
      <c r="AG67" s="38"/>
      <c r="AH67" s="38"/>
      <c r="AI67" s="38"/>
      <c r="AJ67" s="38"/>
      <c r="AK67" s="38"/>
      <c r="AL67" s="38"/>
      <c r="AM67" s="38">
        <f t="shared" ref="AM67:AM69" si="40">SUM(AF67:AL67)+AT67+AV67+AX67</f>
        <v>32</v>
      </c>
      <c r="AN67" s="38"/>
      <c r="AO67" s="38"/>
      <c r="AP67" s="38"/>
      <c r="AQ67" s="38"/>
      <c r="AR67" s="38">
        <f>SUM(AN67:AQ67)</f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>+AR67+AS67+AU67+AW67+AY67+AZ67</f>
        <v>0</v>
      </c>
      <c r="BB67" s="34">
        <v>12</v>
      </c>
      <c r="BC67" s="52"/>
      <c r="BD67" s="52"/>
      <c r="BE67" s="34"/>
      <c r="BF67" s="52"/>
    </row>
    <row r="68" spans="1:58" ht="12.95" customHeight="1">
      <c r="A68" s="41"/>
      <c r="B68" s="42" t="s">
        <v>7</v>
      </c>
      <c r="C68" s="406">
        <f>(M68*E68*O68*Q68)/100000000</f>
        <v>40.280384944799984</v>
      </c>
      <c r="D68" s="42" t="s">
        <v>301</v>
      </c>
      <c r="E68" s="43">
        <v>13</v>
      </c>
      <c r="F68" s="43">
        <v>1</v>
      </c>
      <c r="G68" s="491">
        <v>1230</v>
      </c>
      <c r="H68" s="45">
        <v>0.22</v>
      </c>
      <c r="I68" s="46">
        <v>0.88</v>
      </c>
      <c r="J68" s="83">
        <f>E68*G68*(1-H68)*1440/1000000*2.74</f>
        <v>49.210312320000007</v>
      </c>
      <c r="K68" s="83">
        <f>(IF(G68&lt;L68,L68,G68)*(1-IF(H68&lt;N68,H68,N68))*E68*O68*Q68)/100000000</f>
        <v>43.627156934399999</v>
      </c>
      <c r="L68" s="36">
        <v>1150.3915662650602</v>
      </c>
      <c r="M68" s="36">
        <v>885.80150602409628</v>
      </c>
      <c r="N68" s="47">
        <f>1-(M68/L68)</f>
        <v>0.23000000000000009</v>
      </c>
      <c r="O68" s="48">
        <f>+'Trim Rwd'!H46</f>
        <v>263.39999999999998</v>
      </c>
      <c r="P68" s="49">
        <f>O68*(Q68-R68-S68)</f>
        <v>333991.19999999995</v>
      </c>
      <c r="Q68" s="48">
        <v>1328</v>
      </c>
      <c r="R68" s="492">
        <v>0</v>
      </c>
      <c r="S68" s="492">
        <v>60</v>
      </c>
      <c r="T68" s="38">
        <f>E68*M68*O68*Q68/100000000</f>
        <v>40.280384944799984</v>
      </c>
      <c r="U68" s="38">
        <f>E68*M68*O68*(Q68-R68-S68)/100000000</f>
        <v>38.460488034643362</v>
      </c>
      <c r="V68" s="38">
        <f>E68*G68*(1-N68)*O68/100*(R68+S68)/1000000</f>
        <v>1.9458358919999996</v>
      </c>
      <c r="W68" s="38">
        <f>+'15'!K8/1000</f>
        <v>35.543999999999997</v>
      </c>
      <c r="X68" s="39"/>
      <c r="Y68" s="212"/>
      <c r="Z68" s="38"/>
      <c r="AA68" s="38"/>
      <c r="AB68" s="38"/>
      <c r="AC68" s="38"/>
      <c r="AD68" s="38">
        <f>+AM68+BA68</f>
        <v>0</v>
      </c>
      <c r="AE68" s="231" t="s">
        <v>408</v>
      </c>
      <c r="AF68" s="38"/>
      <c r="AG68" s="38">
        <v>0</v>
      </c>
      <c r="AH68" s="38"/>
      <c r="AI68" s="38"/>
      <c r="AJ68" s="38"/>
      <c r="AK68" s="38"/>
      <c r="AL68" s="38"/>
      <c r="AM68" s="38">
        <f t="shared" si="40"/>
        <v>0</v>
      </c>
      <c r="AN68" s="84"/>
      <c r="AO68" s="38"/>
      <c r="AP68" s="38"/>
      <c r="AQ68" s="38"/>
      <c r="AR68" s="38">
        <f t="shared" ref="AR68:AR69" si="41">SUM(AN68:AQ68)</f>
        <v>0</v>
      </c>
      <c r="AS68" s="38"/>
      <c r="AT68" s="38"/>
      <c r="AU68" s="38"/>
      <c r="AV68" s="38"/>
      <c r="AW68" s="38"/>
      <c r="AX68" s="38"/>
      <c r="AY68" s="38"/>
      <c r="AZ68" s="38"/>
      <c r="BA68" s="38">
        <f>+AR68+AS68+AU68+AW68+AY68+AZ68</f>
        <v>0</v>
      </c>
      <c r="BB68" s="51"/>
      <c r="BC68" s="52">
        <v>0</v>
      </c>
      <c r="BD68" s="52"/>
      <c r="BE68" s="51"/>
      <c r="BF68" s="52"/>
    </row>
    <row r="69" spans="1:58" ht="12.95" customHeight="1">
      <c r="A69" s="41"/>
      <c r="B69" s="42"/>
      <c r="C69" s="406"/>
      <c r="D69" s="42"/>
      <c r="E69" s="43"/>
      <c r="F69" s="43"/>
      <c r="G69" s="44"/>
      <c r="H69" s="45"/>
      <c r="I69" s="46"/>
      <c r="J69" s="83"/>
      <c r="K69" s="83"/>
      <c r="L69" s="36"/>
      <c r="M69" s="36"/>
      <c r="N69" s="47"/>
      <c r="O69" s="48"/>
      <c r="P69" s="49"/>
      <c r="Q69" s="48"/>
      <c r="R69" s="492"/>
      <c r="S69" s="492"/>
      <c r="T69" s="38"/>
      <c r="U69" s="38"/>
      <c r="V69" s="38"/>
      <c r="W69" s="38"/>
      <c r="X69" s="39"/>
      <c r="Y69" s="212"/>
      <c r="Z69" s="38"/>
      <c r="AA69" s="38"/>
      <c r="AB69" s="38"/>
      <c r="AC69" s="38"/>
      <c r="AD69" s="38">
        <f>+AM69+BA69</f>
        <v>45</v>
      </c>
      <c r="AE69" s="231" t="s">
        <v>492</v>
      </c>
      <c r="AF69" s="34"/>
      <c r="AG69" s="34"/>
      <c r="AH69" s="34">
        <v>45</v>
      </c>
      <c r="AI69" s="34"/>
      <c r="AJ69" s="38"/>
      <c r="AK69" s="38"/>
      <c r="AL69" s="38"/>
      <c r="AM69" s="38">
        <f t="shared" si="40"/>
        <v>45</v>
      </c>
      <c r="AN69" s="38"/>
      <c r="AO69" s="38"/>
      <c r="AP69" s="38"/>
      <c r="AQ69" s="38"/>
      <c r="AR69" s="38">
        <f t="shared" si="41"/>
        <v>0</v>
      </c>
      <c r="AS69" s="38"/>
      <c r="AT69" s="38"/>
      <c r="AU69" s="38"/>
      <c r="AV69" s="38"/>
      <c r="AW69" s="38"/>
      <c r="AX69" s="38"/>
      <c r="AY69" s="38"/>
      <c r="AZ69" s="38"/>
      <c r="BA69" s="38">
        <f>+AR69+AS69+AU69+AW69+AY69+AZ69</f>
        <v>0</v>
      </c>
      <c r="BB69" s="34"/>
      <c r="BC69" s="495"/>
      <c r="BD69" s="495"/>
      <c r="BE69" s="34"/>
      <c r="BF69" s="495"/>
    </row>
    <row r="70" spans="1:58" ht="12.95" customHeight="1">
      <c r="A70" s="41"/>
      <c r="B70" s="42"/>
      <c r="C70" s="406"/>
      <c r="D70" s="42"/>
      <c r="E70" s="43"/>
      <c r="F70" s="43"/>
      <c r="G70" s="44"/>
      <c r="H70" s="45"/>
      <c r="I70" s="46"/>
      <c r="J70" s="83"/>
      <c r="K70" s="83"/>
      <c r="L70" s="36"/>
      <c r="M70" s="36"/>
      <c r="N70" s="47"/>
      <c r="O70" s="48"/>
      <c r="P70" s="49"/>
      <c r="Q70" s="48"/>
      <c r="R70" s="492"/>
      <c r="S70" s="492"/>
      <c r="T70" s="38"/>
      <c r="U70" s="38"/>
      <c r="V70" s="38"/>
      <c r="W70" s="38"/>
      <c r="X70" s="39"/>
      <c r="Y70" s="212"/>
      <c r="Z70" s="38"/>
      <c r="AA70" s="38"/>
      <c r="AB70" s="38"/>
      <c r="AC70" s="38"/>
      <c r="AD70" s="38"/>
      <c r="AE70" s="231"/>
      <c r="AF70" s="34"/>
      <c r="AG70" s="34"/>
      <c r="AH70" s="34"/>
      <c r="AI70" s="34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4"/>
      <c r="BC70" s="495"/>
      <c r="BD70" s="495"/>
      <c r="BE70" s="34"/>
      <c r="BF70" s="495"/>
    </row>
    <row r="71" spans="1:58" ht="12.75" customHeight="1">
      <c r="A71" s="41">
        <v>45854</v>
      </c>
      <c r="B71" s="42" t="s">
        <v>7</v>
      </c>
      <c r="C71" s="406">
        <f>(M71*E71*O71*Q71)/100000000</f>
        <v>45.519899039999991</v>
      </c>
      <c r="D71" s="42" t="s">
        <v>301</v>
      </c>
      <c r="E71" s="43">
        <v>13</v>
      </c>
      <c r="F71" s="43">
        <v>1</v>
      </c>
      <c r="G71" s="491">
        <v>1230</v>
      </c>
      <c r="H71" s="45">
        <v>0.23</v>
      </c>
      <c r="I71" s="46">
        <v>0.88</v>
      </c>
      <c r="J71" s="83">
        <f>E71*G71*(1-H71)*1440/1000000*2.74</f>
        <v>48.579410880000005</v>
      </c>
      <c r="K71" s="83">
        <f>(IF(G71&lt;L71,L71,G71)*(1-IF(H71&lt;N71,H71,N71))*E71*O71*Q71)/100000000</f>
        <v>45.519899039999991</v>
      </c>
      <c r="L71" s="36">
        <v>1230</v>
      </c>
      <c r="M71" s="36">
        <v>947.0999999999998</v>
      </c>
      <c r="N71" s="47">
        <f>1-(M71/L71)</f>
        <v>0.2300000000000002</v>
      </c>
      <c r="O71" s="48">
        <f>+'Trim Rwd'!H50</f>
        <v>256.74358974358972</v>
      </c>
      <c r="P71" s="49">
        <f>O71*(Q71-R71-S71)</f>
        <v>350198.25641025638</v>
      </c>
      <c r="Q71" s="48">
        <v>1440</v>
      </c>
      <c r="R71" s="492">
        <v>0</v>
      </c>
      <c r="S71" s="492">
        <v>76</v>
      </c>
      <c r="T71" s="38">
        <f>E71*M71*O71*Q71/100000000</f>
        <v>45.519899039999991</v>
      </c>
      <c r="U71" s="38">
        <f>E71*M71*O71*(Q71-R71-S71)/100000000</f>
        <v>43.117459923999988</v>
      </c>
      <c r="V71" s="38">
        <f>E71*G71*(1-N71)*O71/100*(R71+S71)/1000000</f>
        <v>2.4024391159999996</v>
      </c>
      <c r="W71" s="38">
        <f>+'16'!K8/1000</f>
        <v>42.908999999999999</v>
      </c>
      <c r="X71" s="493">
        <f>SUM(W71:W74)/SUM(K71:K74)</f>
        <v>0.94264268825144581</v>
      </c>
      <c r="Y71" s="212">
        <f>+SUM(RBP!AG62:AG63)</f>
        <v>0</v>
      </c>
      <c r="Z71" s="38">
        <f>+'6'!D76/1000</f>
        <v>0</v>
      </c>
      <c r="AA71" s="50">
        <f>SUM(U71:U74)-SUM(W71:W74)-SUM(Z71:Z74)-SUM(Y71:Y74)</f>
        <v>0.20845992399998892</v>
      </c>
      <c r="AB71" s="50">
        <f>(SUM(K71:K74)-SUM(W71:W74)-SUM(Y71:Y74)-SUM(Z71:Z74)-SUM(AC71:AC74)-SUM(V71:V74))-AA71</f>
        <v>3.9968028886505635E-15</v>
      </c>
      <c r="AC71" s="38">
        <f>K71-T71</f>
        <v>0</v>
      </c>
      <c r="AD71" s="38">
        <f>+AM71+BA71</f>
        <v>16</v>
      </c>
      <c r="AE71" s="231" t="s">
        <v>470</v>
      </c>
      <c r="AF71" s="38">
        <v>16</v>
      </c>
      <c r="AG71" s="38"/>
      <c r="AH71" s="38"/>
      <c r="AI71" s="494"/>
      <c r="AJ71" s="38"/>
      <c r="AK71" s="38"/>
      <c r="AL71" s="38"/>
      <c r="AM71" s="38">
        <f t="shared" ref="AM71:AM73" si="42">SUM(AF71:AL71)+AT71+AV71+AX71</f>
        <v>16</v>
      </c>
      <c r="AN71" s="38"/>
      <c r="AO71" s="38"/>
      <c r="AP71" s="38"/>
      <c r="AQ71" s="38"/>
      <c r="AR71" s="38">
        <f>SUM(AN71:AQ71)</f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>+AR71+AS71+AU71+AW71+AY71+AZ71</f>
        <v>0</v>
      </c>
      <c r="BB71" s="34">
        <v>4</v>
      </c>
      <c r="BC71" s="52"/>
      <c r="BD71" s="52"/>
      <c r="BE71" s="34"/>
      <c r="BF71" s="52"/>
    </row>
    <row r="72" spans="1:58" ht="12.95" customHeight="1">
      <c r="A72" s="41"/>
      <c r="B72" s="42"/>
      <c r="C72" s="406"/>
      <c r="D72" s="42"/>
      <c r="E72" s="43"/>
      <c r="F72" s="43"/>
      <c r="G72" s="491"/>
      <c r="H72" s="45"/>
      <c r="I72" s="46"/>
      <c r="J72" s="83"/>
      <c r="K72" s="83"/>
      <c r="L72" s="36"/>
      <c r="M72" s="36"/>
      <c r="N72" s="47"/>
      <c r="O72" s="48"/>
      <c r="P72" s="49"/>
      <c r="Q72" s="48"/>
      <c r="R72" s="492"/>
      <c r="S72" s="492"/>
      <c r="T72" s="38"/>
      <c r="U72" s="38"/>
      <c r="V72" s="38"/>
      <c r="W72" s="38"/>
      <c r="X72" s="39"/>
      <c r="Y72" s="212"/>
      <c r="Z72" s="38"/>
      <c r="AA72" s="38"/>
      <c r="AB72" s="38"/>
      <c r="AC72" s="38"/>
      <c r="AD72" s="38">
        <f>+AM72+BA72</f>
        <v>17</v>
      </c>
      <c r="AE72" s="231" t="s">
        <v>511</v>
      </c>
      <c r="AF72" s="38"/>
      <c r="AG72" s="38">
        <v>17</v>
      </c>
      <c r="AH72" s="38"/>
      <c r="AI72" s="494"/>
      <c r="AJ72" s="38"/>
      <c r="AK72" s="38"/>
      <c r="AL72" s="38"/>
      <c r="AM72" s="38">
        <f t="shared" si="42"/>
        <v>17</v>
      </c>
      <c r="AN72" s="84"/>
      <c r="AO72" s="38"/>
      <c r="AP72" s="38"/>
      <c r="AQ72" s="38"/>
      <c r="AR72" s="38">
        <f t="shared" ref="AR72:AR73" si="43">SUM(AN72:AQ72)</f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>+AR72+AS72+AU72+AW72+AY72+AZ72</f>
        <v>0</v>
      </c>
      <c r="BB72" s="51"/>
      <c r="BC72" s="52">
        <v>10</v>
      </c>
      <c r="BD72" s="52"/>
      <c r="BE72" s="51"/>
      <c r="BF72" s="52"/>
    </row>
    <row r="73" spans="1:58" ht="12.95" customHeight="1">
      <c r="A73" s="41"/>
      <c r="B73" s="42"/>
      <c r="C73" s="406"/>
      <c r="D73" s="42"/>
      <c r="E73" s="43"/>
      <c r="F73" s="43"/>
      <c r="G73" s="44"/>
      <c r="H73" s="45"/>
      <c r="I73" s="46"/>
      <c r="J73" s="83"/>
      <c r="K73" s="83"/>
      <c r="L73" s="36"/>
      <c r="M73" s="36"/>
      <c r="N73" s="47"/>
      <c r="O73" s="48"/>
      <c r="P73" s="49"/>
      <c r="Q73" s="48"/>
      <c r="R73" s="492"/>
      <c r="S73" s="492"/>
      <c r="T73" s="38"/>
      <c r="U73" s="38"/>
      <c r="V73" s="38"/>
      <c r="W73" s="38"/>
      <c r="X73" s="39"/>
      <c r="Y73" s="212"/>
      <c r="Z73" s="38"/>
      <c r="AA73" s="38"/>
      <c r="AB73" s="38"/>
      <c r="AC73" s="38"/>
      <c r="AD73" s="38">
        <f>+AM73+BA73</f>
        <v>43</v>
      </c>
      <c r="AE73" s="231" t="s">
        <v>575</v>
      </c>
      <c r="AF73" s="34"/>
      <c r="AG73" s="34"/>
      <c r="AH73" s="582">
        <v>43</v>
      </c>
      <c r="AJ73" s="38"/>
      <c r="AK73" s="38"/>
      <c r="AL73" s="38"/>
      <c r="AM73" s="38">
        <f t="shared" si="42"/>
        <v>43</v>
      </c>
      <c r="AN73" s="38"/>
      <c r="AO73" s="38"/>
      <c r="AP73" s="38"/>
      <c r="AQ73" s="38"/>
      <c r="AR73" s="38">
        <f t="shared" si="43"/>
        <v>0</v>
      </c>
      <c r="AS73" s="38"/>
      <c r="AT73" s="38"/>
      <c r="AU73" s="38"/>
      <c r="AV73" s="38"/>
      <c r="AW73" s="38"/>
      <c r="AX73" s="38"/>
      <c r="AY73" s="38"/>
      <c r="AZ73" s="38"/>
      <c r="BA73" s="38">
        <f>+AR73+AS73+AU73+AW73+AY73+AZ73</f>
        <v>0</v>
      </c>
      <c r="BB73" s="34"/>
      <c r="BC73" s="495"/>
      <c r="BD73" s="495"/>
      <c r="BE73" s="34"/>
      <c r="BF73" s="495"/>
    </row>
    <row r="74" spans="1:58" ht="12.95" customHeight="1">
      <c r="A74" s="41"/>
      <c r="B74" s="42"/>
      <c r="C74" s="406"/>
      <c r="D74" s="42"/>
      <c r="E74" s="43"/>
      <c r="F74" s="43"/>
      <c r="G74" s="491"/>
      <c r="H74" s="45"/>
      <c r="I74" s="46"/>
      <c r="J74" s="83"/>
      <c r="K74" s="83"/>
      <c r="L74" s="36"/>
      <c r="M74" s="36"/>
      <c r="N74" s="47"/>
      <c r="O74" s="48"/>
      <c r="P74" s="49"/>
      <c r="Q74" s="48"/>
      <c r="R74" s="492"/>
      <c r="S74" s="492"/>
      <c r="T74" s="38"/>
      <c r="U74" s="38"/>
      <c r="V74" s="38"/>
      <c r="W74" s="38"/>
      <c r="X74" s="39"/>
      <c r="Y74" s="212"/>
      <c r="Z74" s="38"/>
      <c r="AA74" s="38"/>
      <c r="AB74" s="38"/>
      <c r="AC74" s="38"/>
      <c r="AD74" s="38"/>
      <c r="AE74" s="231"/>
      <c r="AF74" s="34"/>
      <c r="AG74" s="34"/>
      <c r="AH74" s="34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4"/>
      <c r="BC74" s="495"/>
      <c r="BD74" s="52"/>
      <c r="BE74" s="52"/>
      <c r="BF74" s="52"/>
    </row>
    <row r="75" spans="1:58" ht="12.75" customHeight="1">
      <c r="A75" s="41">
        <v>45855</v>
      </c>
      <c r="B75" s="42" t="s">
        <v>7</v>
      </c>
      <c r="C75" s="406">
        <f>(M75*E75*O75*Q75)/100000000</f>
        <v>45.565359839999992</v>
      </c>
      <c r="D75" s="42" t="s">
        <v>301</v>
      </c>
      <c r="E75" s="43">
        <v>13</v>
      </c>
      <c r="F75" s="43">
        <v>1</v>
      </c>
      <c r="G75" s="491">
        <v>1230</v>
      </c>
      <c r="H75" s="45">
        <v>0.23</v>
      </c>
      <c r="I75" s="46">
        <v>0.88</v>
      </c>
      <c r="J75" s="83">
        <f>E75*G75*(1-H75)*1440/1000000*2.74</f>
        <v>48.579410880000005</v>
      </c>
      <c r="K75" s="83">
        <f>(IF(G75&lt;L75,L75,G75)*(1-IF(H75&lt;N75,H75,N75))*E75*O75*Q75)/100000000</f>
        <v>45.565359839999992</v>
      </c>
      <c r="L75" s="36">
        <v>1230</v>
      </c>
      <c r="M75" s="36">
        <v>947.0999999999998</v>
      </c>
      <c r="N75" s="47">
        <f>1-(M75/L75)</f>
        <v>0.2300000000000002</v>
      </c>
      <c r="O75" s="48">
        <f>+'Trim Rwd'!H53</f>
        <v>257</v>
      </c>
      <c r="P75" s="49">
        <f>O75*(Q75-R75-S75)</f>
        <v>349006</v>
      </c>
      <c r="Q75" s="48">
        <v>1440</v>
      </c>
      <c r="R75" s="492">
        <v>0</v>
      </c>
      <c r="S75" s="492">
        <v>82</v>
      </c>
      <c r="T75" s="38">
        <f>E75*M75*O75*Q75/100000000</f>
        <v>45.565359839999992</v>
      </c>
      <c r="U75" s="38">
        <f>E75*M75*O75*(Q75-R75-S75)/100000000</f>
        <v>42.970665737999994</v>
      </c>
      <c r="V75" s="38">
        <f>E75*G75*(1-N75)*O75/100*(R75+S75)/1000000</f>
        <v>2.5946941019999992</v>
      </c>
      <c r="W75" s="38">
        <f>+'17'!K8/1000</f>
        <v>43.463000000000001</v>
      </c>
      <c r="X75" s="493">
        <f>SUM(W75:W78)/SUM(K75:K78)</f>
        <v>0.95386056760261961</v>
      </c>
      <c r="Y75" s="212">
        <f>+SUM(RBP!AG66:AG67)</f>
        <v>0</v>
      </c>
      <c r="Z75" s="38">
        <f>+'6'!D80/1000</f>
        <v>0</v>
      </c>
      <c r="AA75" s="50">
        <f>SUM(U75:U78)-SUM(W75:W78)-SUM(Z75:Z78)-SUM(Y75:Y78)</f>
        <v>-0.49233426200000707</v>
      </c>
      <c r="AB75" s="50">
        <f>(SUM(K75:K78)-SUM(W75:W78)-SUM(Y75:Y78)-SUM(Z75:Z78)-SUM(AC75:AC78)-SUM(V75:V78))-AA75</f>
        <v>-8.8817841970012523E-16</v>
      </c>
      <c r="AC75" s="38">
        <f>K75-T75</f>
        <v>0</v>
      </c>
      <c r="AD75" s="38">
        <f>+AM75+BA75</f>
        <v>28</v>
      </c>
      <c r="AE75" s="231" t="s">
        <v>470</v>
      </c>
      <c r="AF75" s="38">
        <v>28</v>
      </c>
      <c r="AG75" s="38"/>
      <c r="AH75" s="38"/>
      <c r="AI75" s="494"/>
      <c r="AJ75" s="38"/>
      <c r="AK75" s="38"/>
      <c r="AL75" s="38"/>
      <c r="AM75" s="38">
        <f t="shared" ref="AM75:AM77" si="44">SUM(AF75:AL75)+AT75+AV75+AX75</f>
        <v>28</v>
      </c>
      <c r="AN75" s="38"/>
      <c r="AO75" s="38"/>
      <c r="AP75" s="38"/>
      <c r="AQ75" s="38"/>
      <c r="AR75" s="38">
        <f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>+AR75+AS75+AU75+AW75+AY75+AZ75</f>
        <v>0</v>
      </c>
      <c r="BB75" s="34">
        <v>4</v>
      </c>
      <c r="BC75" s="52"/>
      <c r="BD75" s="52"/>
      <c r="BE75" s="34"/>
      <c r="BF75" s="52"/>
    </row>
    <row r="76" spans="1:58" ht="12.95" customHeight="1">
      <c r="A76" s="41"/>
      <c r="B76" s="42"/>
      <c r="C76" s="406"/>
      <c r="D76" s="42"/>
      <c r="E76" s="43"/>
      <c r="F76" s="43"/>
      <c r="G76" s="491"/>
      <c r="H76" s="45"/>
      <c r="I76" s="46"/>
      <c r="J76" s="83"/>
      <c r="K76" s="83"/>
      <c r="L76" s="36"/>
      <c r="M76" s="36"/>
      <c r="N76" s="47"/>
      <c r="O76" s="48"/>
      <c r="P76" s="49"/>
      <c r="Q76" s="48"/>
      <c r="R76" s="492"/>
      <c r="S76" s="492"/>
      <c r="T76" s="38"/>
      <c r="U76" s="38"/>
      <c r="V76" s="38"/>
      <c r="W76" s="38"/>
      <c r="X76" s="39"/>
      <c r="Y76" s="212"/>
      <c r="Z76" s="38"/>
      <c r="AA76" s="38"/>
      <c r="AB76" s="38"/>
      <c r="AC76" s="38"/>
      <c r="AD76" s="38">
        <f>+AM76+BA76</f>
        <v>18</v>
      </c>
      <c r="AE76" s="231" t="s">
        <v>511</v>
      </c>
      <c r="AF76" s="38"/>
      <c r="AG76" s="38">
        <v>18</v>
      </c>
      <c r="AH76" s="38"/>
      <c r="AI76" s="494"/>
      <c r="AJ76" s="38"/>
      <c r="AK76" s="38"/>
      <c r="AL76" s="38"/>
      <c r="AM76" s="38">
        <f t="shared" si="44"/>
        <v>18</v>
      </c>
      <c r="AN76" s="84"/>
      <c r="AO76" s="38"/>
      <c r="AP76" s="38"/>
      <c r="AQ76" s="38"/>
      <c r="AR76" s="38">
        <f t="shared" ref="AR76:AR77" si="45">SUM(AN76:AQ76)</f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>+AR76+AS76+AU76+AW76+AY76+AZ76</f>
        <v>0</v>
      </c>
      <c r="BB76" s="51"/>
      <c r="BC76" s="52">
        <v>10</v>
      </c>
      <c r="BD76" s="52"/>
      <c r="BE76" s="51"/>
      <c r="BF76" s="52"/>
    </row>
    <row r="77" spans="1:58" ht="12.95" customHeight="1">
      <c r="A77" s="41"/>
      <c r="B77" s="42"/>
      <c r="C77" s="406"/>
      <c r="D77" s="42"/>
      <c r="E77" s="43"/>
      <c r="F77" s="43"/>
      <c r="G77" s="44"/>
      <c r="H77" s="45"/>
      <c r="I77" s="46"/>
      <c r="J77" s="83"/>
      <c r="K77" s="83"/>
      <c r="L77" s="36"/>
      <c r="M77" s="36"/>
      <c r="N77" s="47"/>
      <c r="O77" s="48"/>
      <c r="P77" s="49"/>
      <c r="Q77" s="48"/>
      <c r="R77" s="492"/>
      <c r="S77" s="492"/>
      <c r="T77" s="38"/>
      <c r="U77" s="38"/>
      <c r="V77" s="38"/>
      <c r="W77" s="38"/>
      <c r="X77" s="39"/>
      <c r="Y77" s="212"/>
      <c r="Z77" s="38"/>
      <c r="AA77" s="38"/>
      <c r="AB77" s="38"/>
      <c r="AC77" s="38"/>
      <c r="AD77" s="38">
        <f>+AM77+BA77</f>
        <v>36</v>
      </c>
      <c r="AE77" s="231" t="s">
        <v>575</v>
      </c>
      <c r="AF77" s="34"/>
      <c r="AG77" s="34"/>
      <c r="AH77" s="582">
        <v>36</v>
      </c>
      <c r="AJ77" s="38"/>
      <c r="AK77" s="38"/>
      <c r="AL77" s="38"/>
      <c r="AM77" s="38">
        <f t="shared" si="44"/>
        <v>36</v>
      </c>
      <c r="AN77" s="38"/>
      <c r="AO77" s="38"/>
      <c r="AP77" s="38"/>
      <c r="AQ77" s="38"/>
      <c r="AR77" s="38">
        <f t="shared" si="45"/>
        <v>0</v>
      </c>
      <c r="AS77" s="38"/>
      <c r="AT77" s="38"/>
      <c r="AU77" s="38"/>
      <c r="AV77" s="38"/>
      <c r="AW77" s="38"/>
      <c r="AX77" s="38"/>
      <c r="AY77" s="38"/>
      <c r="AZ77" s="38"/>
      <c r="BA77" s="38">
        <f>+AR77+AS77+AU77+AW77+AY77+AZ77</f>
        <v>0</v>
      </c>
      <c r="BB77" s="34"/>
      <c r="BC77" s="495"/>
      <c r="BD77" s="495"/>
      <c r="BE77" s="34"/>
      <c r="BF77" s="495"/>
    </row>
    <row r="78" spans="1:58" ht="12.95" customHeight="1">
      <c r="A78" s="41"/>
      <c r="B78" s="42"/>
      <c r="C78" s="406"/>
      <c r="D78" s="42"/>
      <c r="E78" s="43"/>
      <c r="F78" s="43"/>
      <c r="G78" s="491"/>
      <c r="H78" s="45"/>
      <c r="I78" s="46"/>
      <c r="J78" s="83"/>
      <c r="K78" s="83"/>
      <c r="L78" s="36"/>
      <c r="M78" s="36"/>
      <c r="N78" s="47"/>
      <c r="O78" s="48"/>
      <c r="P78" s="49"/>
      <c r="Q78" s="48"/>
      <c r="R78" s="492"/>
      <c r="S78" s="492"/>
      <c r="T78" s="38"/>
      <c r="U78" s="38"/>
      <c r="V78" s="38"/>
      <c r="W78" s="38"/>
      <c r="X78" s="39"/>
      <c r="Y78" s="212"/>
      <c r="Z78" s="38"/>
      <c r="AA78" s="38"/>
      <c r="AB78" s="38"/>
      <c r="AC78" s="38"/>
      <c r="AD78" s="38"/>
      <c r="AE78" s="231"/>
      <c r="AF78" s="38"/>
      <c r="AG78" s="38"/>
      <c r="AH78" s="38"/>
      <c r="AI78" s="494"/>
      <c r="AJ78" s="38"/>
      <c r="AK78" s="38"/>
      <c r="AL78" s="38"/>
      <c r="AM78" s="38"/>
      <c r="AN78" s="84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51"/>
      <c r="BC78" s="52"/>
      <c r="BD78" s="52"/>
      <c r="BE78" s="52"/>
      <c r="BF78" s="52"/>
    </row>
    <row r="79" spans="1:58" ht="12.75" customHeight="1">
      <c r="A79" s="41">
        <v>45856</v>
      </c>
      <c r="B79" s="42" t="s">
        <v>7</v>
      </c>
      <c r="C79" s="406">
        <f>(M79*E79*O79*Q79)/100000000</f>
        <v>23.731958249999995</v>
      </c>
      <c r="D79" s="42" t="s">
        <v>301</v>
      </c>
      <c r="E79" s="43">
        <v>13</v>
      </c>
      <c r="F79" s="43">
        <v>1</v>
      </c>
      <c r="G79" s="491">
        <v>1230</v>
      </c>
      <c r="H79" s="45">
        <v>0.23</v>
      </c>
      <c r="I79" s="46">
        <v>0.88</v>
      </c>
      <c r="J79" s="83">
        <f>E79*G79*(1-H79)*1440/1000000*2.74</f>
        <v>48.579410880000005</v>
      </c>
      <c r="K79" s="83">
        <f>(IF(G79&lt;L79,L79,G79)*(1-IF(H79&lt;N79,H79,N79))*E79*O79*Q79)/100000000</f>
        <v>23.731958249999995</v>
      </c>
      <c r="L79" s="36">
        <v>1230</v>
      </c>
      <c r="M79" s="36">
        <v>947.09999999999991</v>
      </c>
      <c r="N79" s="47">
        <f>1-(M79/L79)</f>
        <v>0.23000000000000009</v>
      </c>
      <c r="O79" s="48">
        <f>+'Trim Rwd'!H55</f>
        <v>257</v>
      </c>
      <c r="P79" s="49">
        <f>O79*(Q79-R79-S79)</f>
        <v>183498</v>
      </c>
      <c r="Q79" s="48">
        <v>750</v>
      </c>
      <c r="R79" s="492">
        <v>0</v>
      </c>
      <c r="S79" s="492">
        <v>36</v>
      </c>
      <c r="T79" s="38">
        <f>E79*M79*O79*Q79/100000000</f>
        <v>23.731958249999995</v>
      </c>
      <c r="U79" s="38">
        <f>E79*M79*O79*(Q79-R79-S79)/100000000</f>
        <v>22.592824253999996</v>
      </c>
      <c r="V79" s="38">
        <f>E79*G79*(1-N79)*O79/100*(R79+S79)/1000000</f>
        <v>1.1391339959999998</v>
      </c>
      <c r="W79" s="38">
        <f>+'18'!K8/1000</f>
        <v>24.780999999999999</v>
      </c>
      <c r="X79" s="493">
        <f>SUM(W79:W82)/SUM(K79:K82)</f>
        <v>0.95298113713059562</v>
      </c>
      <c r="Y79" s="212">
        <f>+SUM(RBP!AG70:AG71)</f>
        <v>0</v>
      </c>
      <c r="Z79" s="38">
        <f>+'18'!D7/1000</f>
        <v>0.29099999999999998</v>
      </c>
      <c r="AA79" s="50">
        <f>SUM(U79:U82)-SUM(W79:W82)-SUM(Z79:Z82)-SUM(Y79:Y82)</f>
        <v>-0.64406469600001115</v>
      </c>
      <c r="AB79" s="50">
        <f>(SUM(K79:K82)-SUM(W79:W82)-SUM(Y79:Y82)-SUM(Z79:Z82)-SUM(AC79:AC82)-SUM(V79:V82))-AA79</f>
        <v>0.60440118750000371</v>
      </c>
      <c r="AC79" s="38">
        <f>K79-T79</f>
        <v>0</v>
      </c>
      <c r="AD79" s="38">
        <f>+AM79+BA79</f>
        <v>6</v>
      </c>
      <c r="AE79" s="231" t="s">
        <v>394</v>
      </c>
      <c r="AF79" s="38">
        <v>6</v>
      </c>
      <c r="AG79" s="38"/>
      <c r="AH79" s="38"/>
      <c r="AI79" s="494"/>
      <c r="AJ79" s="38"/>
      <c r="AK79" s="38"/>
      <c r="AL79" s="38"/>
      <c r="AM79" s="38">
        <f t="shared" ref="AM79:AM81" si="46">SUM(AF79:AL79)+AT79+AV79+AX79</f>
        <v>6</v>
      </c>
      <c r="AN79" s="38"/>
      <c r="AO79" s="38"/>
      <c r="AP79" s="38"/>
      <c r="AQ79" s="38"/>
      <c r="AR79" s="38">
        <f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>+AR79+AS79+AU79+AW79+AY79+AZ79</f>
        <v>0</v>
      </c>
      <c r="BB79" s="34">
        <v>3</v>
      </c>
      <c r="BC79" s="52"/>
      <c r="BD79" s="52"/>
      <c r="BE79" s="34"/>
      <c r="BF79" s="52"/>
    </row>
    <row r="80" spans="1:58" ht="12.95" customHeight="1">
      <c r="A80" s="41"/>
      <c r="B80" s="42" t="s">
        <v>412</v>
      </c>
      <c r="C80" s="406">
        <f>(M80*E80*O80*Q80)/100000000</f>
        <v>23.792145299999994</v>
      </c>
      <c r="D80" s="42" t="s">
        <v>301</v>
      </c>
      <c r="E80" s="43">
        <v>15</v>
      </c>
      <c r="F80" s="43">
        <v>1</v>
      </c>
      <c r="G80" s="491">
        <v>1195</v>
      </c>
      <c r="H80" s="45">
        <v>0.22</v>
      </c>
      <c r="I80" s="46">
        <v>0.88</v>
      </c>
      <c r="J80" s="83">
        <f>E80*G80*(1-H80)*1440/1000000*2.74</f>
        <v>55.165406400000002</v>
      </c>
      <c r="K80" s="83">
        <f>(IF(G80&lt;L80,L80,G80)*(1-IF(H80&lt;N80,H80,N80))*E80*O80*Q80)/100000000</f>
        <v>24.407504549999999</v>
      </c>
      <c r="L80" s="36">
        <v>1180</v>
      </c>
      <c r="M80" s="36">
        <v>908.59999999999991</v>
      </c>
      <c r="N80" s="47">
        <f>1-(M80/L80)</f>
        <v>0.23000000000000009</v>
      </c>
      <c r="O80" s="48">
        <f>+'Trim Rwd'!H56</f>
        <v>253</v>
      </c>
      <c r="P80" s="49">
        <f>O80*(Q80-R80-S80)</f>
        <v>168245</v>
      </c>
      <c r="Q80" s="48">
        <v>690</v>
      </c>
      <c r="R80" s="492">
        <v>0</v>
      </c>
      <c r="S80" s="492">
        <v>25</v>
      </c>
      <c r="T80" s="38">
        <f>E80*M80*O80*Q80/100000000</f>
        <v>23.792145299999994</v>
      </c>
      <c r="U80" s="38">
        <f>E80*M80*O80*(Q80-R80-S80)/100000000</f>
        <v>22.930111049999994</v>
      </c>
      <c r="V80" s="38">
        <f>E80*G80*(1-N80)*O80/100*(R80+S80)/1000000</f>
        <v>0.87299231249999987</v>
      </c>
      <c r="W80" s="38">
        <f>+'18'!K13/1000</f>
        <v>21.094999999999999</v>
      </c>
      <c r="X80" s="39"/>
      <c r="Y80" s="212"/>
      <c r="Z80" s="38"/>
      <c r="AA80" s="38"/>
      <c r="AB80" s="38"/>
      <c r="AC80" s="38"/>
      <c r="AD80" s="38">
        <f>+AM80+BA80</f>
        <v>18</v>
      </c>
      <c r="AE80" s="231" t="s">
        <v>586</v>
      </c>
      <c r="AF80" s="38"/>
      <c r="AG80" s="38">
        <v>18</v>
      </c>
      <c r="AH80" s="38"/>
      <c r="AI80" s="494"/>
      <c r="AJ80" s="38"/>
      <c r="AK80" s="38"/>
      <c r="AL80" s="38"/>
      <c r="AM80" s="38">
        <f t="shared" si="46"/>
        <v>18</v>
      </c>
      <c r="AN80" s="84"/>
      <c r="AO80" s="38"/>
      <c r="AP80" s="38"/>
      <c r="AQ80" s="38"/>
      <c r="AR80" s="38">
        <f t="shared" ref="AR80:AR81" si="47">SUM(AN80:AQ80)</f>
        <v>0</v>
      </c>
      <c r="AS80" s="38"/>
      <c r="AT80" s="38"/>
      <c r="AU80" s="38"/>
      <c r="AV80" s="38"/>
      <c r="AW80" s="38"/>
      <c r="AX80" s="38"/>
      <c r="AY80" s="38"/>
      <c r="AZ80" s="38"/>
      <c r="BA80" s="38">
        <f>+AR80+AS80+AU80+AW80+AY80+AZ80</f>
        <v>0</v>
      </c>
      <c r="BB80" s="51"/>
      <c r="BC80" s="52">
        <v>13</v>
      </c>
      <c r="BD80" s="52"/>
      <c r="BE80" s="51"/>
      <c r="BF80" s="52"/>
    </row>
    <row r="81" spans="1:58" ht="12.95" customHeight="1">
      <c r="A81" s="41"/>
      <c r="B81" s="42"/>
      <c r="C81" s="406"/>
      <c r="D81" s="42"/>
      <c r="E81" s="43"/>
      <c r="F81" s="43"/>
      <c r="G81" s="44"/>
      <c r="H81" s="45"/>
      <c r="I81" s="46"/>
      <c r="J81" s="83"/>
      <c r="K81" s="83"/>
      <c r="L81" s="36"/>
      <c r="M81" s="36"/>
      <c r="N81" s="47"/>
      <c r="O81" s="48"/>
      <c r="P81" s="49"/>
      <c r="Q81" s="48"/>
      <c r="R81" s="492"/>
      <c r="S81" s="492"/>
      <c r="T81" s="38"/>
      <c r="U81" s="38"/>
      <c r="V81" s="38"/>
      <c r="W81" s="38"/>
      <c r="X81" s="39"/>
      <c r="Y81" s="212"/>
      <c r="Z81" s="38"/>
      <c r="AA81" s="38"/>
      <c r="AB81" s="38"/>
      <c r="AC81" s="38"/>
      <c r="AD81" s="38">
        <f>+AM81+BA81</f>
        <v>37</v>
      </c>
      <c r="AE81" s="231" t="s">
        <v>587</v>
      </c>
      <c r="AF81" s="34"/>
      <c r="AG81" s="34"/>
      <c r="AH81" s="582">
        <v>37</v>
      </c>
      <c r="AJ81" s="38"/>
      <c r="AK81" s="38"/>
      <c r="AL81" s="38"/>
      <c r="AM81" s="38">
        <f t="shared" si="46"/>
        <v>37</v>
      </c>
      <c r="AN81" s="38"/>
      <c r="AO81" s="38"/>
      <c r="AP81" s="38"/>
      <c r="AQ81" s="38"/>
      <c r="AR81" s="38">
        <f t="shared" si="47"/>
        <v>0</v>
      </c>
      <c r="AS81" s="38"/>
      <c r="AT81" s="38"/>
      <c r="AU81" s="38"/>
      <c r="AV81" s="38"/>
      <c r="AW81" s="38"/>
      <c r="AX81" s="38"/>
      <c r="AY81" s="38"/>
      <c r="AZ81" s="38"/>
      <c r="BA81" s="38">
        <f>+AR81+AS81+AU81+AW81+AY81+AZ81</f>
        <v>0</v>
      </c>
      <c r="BB81" s="34"/>
      <c r="BC81" s="495"/>
      <c r="BD81" s="495"/>
      <c r="BE81" s="34"/>
      <c r="BF81" s="495"/>
    </row>
    <row r="82" spans="1:58" ht="13.5" customHeight="1">
      <c r="A82" s="41"/>
      <c r="B82" s="42"/>
      <c r="C82" s="406"/>
      <c r="D82" s="42"/>
      <c r="E82" s="43"/>
      <c r="F82" s="43"/>
      <c r="G82" s="491"/>
      <c r="H82" s="45"/>
      <c r="I82" s="46"/>
      <c r="J82" s="83"/>
      <c r="K82" s="83"/>
      <c r="L82" s="36"/>
      <c r="M82" s="36"/>
      <c r="N82" s="47"/>
      <c r="O82" s="48"/>
      <c r="P82" s="49"/>
      <c r="Q82" s="48"/>
      <c r="R82" s="492"/>
      <c r="S82" s="492"/>
      <c r="T82" s="38"/>
      <c r="U82" s="38"/>
      <c r="V82" s="38"/>
      <c r="W82" s="38"/>
      <c r="X82" s="493"/>
      <c r="Y82" s="212"/>
      <c r="Z82" s="38"/>
      <c r="AA82" s="50"/>
      <c r="AB82" s="50"/>
      <c r="AC82" s="38"/>
      <c r="AD82" s="38"/>
      <c r="AE82" s="231"/>
      <c r="AF82" s="38"/>
      <c r="AG82" s="38"/>
      <c r="AH82" s="38"/>
      <c r="AI82" s="494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4"/>
      <c r="BC82" s="52"/>
      <c r="BD82" s="52"/>
      <c r="BE82" s="52"/>
      <c r="BF82" s="52"/>
    </row>
    <row r="83" spans="1:58" ht="12.75" customHeight="1">
      <c r="A83" s="41">
        <v>45857</v>
      </c>
      <c r="B83" s="42" t="s">
        <v>412</v>
      </c>
      <c r="C83" s="406">
        <f>(M83*E83*O83*Q83)/100000000</f>
        <v>27.051518999999999</v>
      </c>
      <c r="D83" s="42" t="s">
        <v>301</v>
      </c>
      <c r="E83" s="43">
        <v>15</v>
      </c>
      <c r="F83" s="43">
        <v>1</v>
      </c>
      <c r="G83" s="491">
        <v>1195</v>
      </c>
      <c r="H83" s="45">
        <v>0.22</v>
      </c>
      <c r="I83" s="46">
        <v>0.88</v>
      </c>
      <c r="J83" s="83">
        <f>E83*G83*(1-H83)*1440/1000000*2.74</f>
        <v>55.165406400000002</v>
      </c>
      <c r="K83" s="83">
        <f>(IF(G83&lt;L83,L83,G83)*(1-IF(H83&lt;N83,H83,N83))*E83*O83*Q83)/100000000</f>
        <v>27.944824050000001</v>
      </c>
      <c r="L83" s="36">
        <v>1160</v>
      </c>
      <c r="M83" s="36">
        <v>902.30379746835445</v>
      </c>
      <c r="N83" s="47">
        <f>1-(M83/L83)</f>
        <v>0.22215189873417718</v>
      </c>
      <c r="O83" s="48">
        <f>+'Trim Rwd'!H58</f>
        <v>253</v>
      </c>
      <c r="P83" s="49">
        <f>O83*(Q83-R83-S83)</f>
        <v>192280</v>
      </c>
      <c r="Q83" s="48">
        <v>790</v>
      </c>
      <c r="R83" s="492">
        <v>0</v>
      </c>
      <c r="S83" s="492">
        <v>30</v>
      </c>
      <c r="T83" s="38">
        <f>E83*M83*O83*Q83/100000000</f>
        <v>27.051518999999999</v>
      </c>
      <c r="U83" s="38">
        <f>E83*M83*O83*(Q83-R83-S83)/100000000</f>
        <v>26.02424612658228</v>
      </c>
      <c r="V83" s="38">
        <f>E83*G83*(1-N83)*O83/100*(R83+S83)/1000000</f>
        <v>1.0582681756329115</v>
      </c>
      <c r="W83" s="38">
        <f>+'19'!K13/1000</f>
        <v>16.416</v>
      </c>
      <c r="X83" s="493">
        <f>SUM(W83:W86)/SUM(K83:K86)</f>
        <v>0.9657710375063332</v>
      </c>
      <c r="Y83" s="212">
        <f>+SUM(RBP!AG74:AG75)</f>
        <v>0</v>
      </c>
      <c r="Z83" s="38">
        <f>+'18'!D11/1000</f>
        <v>0</v>
      </c>
      <c r="AA83" s="50">
        <f>SUM(U83:U86)-SUM(W83:W86)-SUM(Z83:Z86)-SUM(Y83:Y86)</f>
        <v>-1.16946403591772</v>
      </c>
      <c r="AB83" s="50">
        <f>(SUM(K83:K86)-SUM(W83:W86)-SUM(Y83:Y86)-SUM(Z83:Z86)-SUM(AC83:AC86)-SUM(V83:V86))-AA83</f>
        <v>-3.0995302215193643E-2</v>
      </c>
      <c r="AC83" s="38">
        <f>K83-T83</f>
        <v>0.89330505000000215</v>
      </c>
      <c r="AD83" s="38">
        <f>+AM83+BA83</f>
        <v>12</v>
      </c>
      <c r="AE83" s="231" t="s">
        <v>413</v>
      </c>
      <c r="AF83" s="38">
        <v>12</v>
      </c>
      <c r="AG83" s="38"/>
      <c r="AH83" s="38"/>
      <c r="AI83" s="494"/>
      <c r="AJ83" s="38"/>
      <c r="AK83" s="38"/>
      <c r="AL83" s="38"/>
      <c r="AM83" s="38">
        <f t="shared" ref="AM83:AM85" si="48">SUM(AF83:AL83)+AT83+AV83+AX83</f>
        <v>12</v>
      </c>
      <c r="AN83" s="38"/>
      <c r="AO83" s="38"/>
      <c r="AP83" s="38"/>
      <c r="AQ83" s="38"/>
      <c r="AR83" s="38">
        <f>SUM(AN83:AQ83)</f>
        <v>0</v>
      </c>
      <c r="AS83" s="38"/>
      <c r="AT83" s="38"/>
      <c r="AU83" s="38"/>
      <c r="AV83" s="38"/>
      <c r="AW83" s="38"/>
      <c r="AX83" s="38"/>
      <c r="AY83" s="38"/>
      <c r="AZ83" s="38"/>
      <c r="BA83" s="38">
        <f>+AR83+AS83+AU83+AW83+AY83+AZ83</f>
        <v>0</v>
      </c>
      <c r="BB83" s="34">
        <v>6</v>
      </c>
      <c r="BC83" s="52"/>
      <c r="BD83" s="52"/>
      <c r="BE83" s="34"/>
      <c r="BF83" s="52"/>
    </row>
    <row r="84" spans="1:58" ht="12.95" customHeight="1">
      <c r="A84" s="41"/>
      <c r="B84" s="42" t="s">
        <v>412</v>
      </c>
      <c r="C84" s="406">
        <f>(M84*E84*O84*Q84)/100000000</f>
        <v>19.776631874999996</v>
      </c>
      <c r="D84" s="42" t="s">
        <v>301</v>
      </c>
      <c r="E84" s="43">
        <v>12.5</v>
      </c>
      <c r="F84" s="43">
        <v>1</v>
      </c>
      <c r="G84" s="491">
        <v>1230</v>
      </c>
      <c r="H84" s="45">
        <v>0.23</v>
      </c>
      <c r="I84" s="46">
        <v>0.88</v>
      </c>
      <c r="J84" s="83">
        <f>E84*G84*(1-H84)*1440/1000000*2.74</f>
        <v>46.710971999999998</v>
      </c>
      <c r="K84" s="83">
        <f>(IF(G84&lt;L84,L84,G84)*(1-IF(H84&lt;N84,H84,N84))*E84*O84*Q84)/100000000</f>
        <v>19.776631874999996</v>
      </c>
      <c r="L84" s="36">
        <v>1230</v>
      </c>
      <c r="M84" s="36">
        <v>947.09999999999991</v>
      </c>
      <c r="N84" s="47">
        <f>1-(M84/L84)</f>
        <v>0.23000000000000009</v>
      </c>
      <c r="O84" s="48">
        <f>+'Trim Rwd'!H59</f>
        <v>257</v>
      </c>
      <c r="P84" s="49">
        <f>O84*(Q84-R84-S84)</f>
        <v>159597</v>
      </c>
      <c r="Q84" s="48">
        <v>650</v>
      </c>
      <c r="R84" s="492">
        <v>0</v>
      </c>
      <c r="S84" s="492">
        <v>29</v>
      </c>
      <c r="T84" s="38">
        <f>E84*M84*O84*Q84/100000000</f>
        <v>19.776631874999996</v>
      </c>
      <c r="U84" s="38">
        <f>E84*M84*O84*(Q84-R84-S84)/100000000</f>
        <v>18.894289837499997</v>
      </c>
      <c r="V84" s="38">
        <f>E84*G84*(1-N84)*O84/100*(R84+S84)/1000000</f>
        <v>0.88234203749999984</v>
      </c>
      <c r="W84" s="38">
        <f>+'19'!K7/1000</f>
        <v>29.672000000000001</v>
      </c>
      <c r="X84" s="39"/>
      <c r="Y84" s="212"/>
      <c r="Z84" s="38"/>
      <c r="AA84" s="38"/>
      <c r="AB84" s="38"/>
      <c r="AC84" s="38"/>
      <c r="AD84" s="38">
        <f>+AM84+BA84</f>
        <v>9</v>
      </c>
      <c r="AE84" s="231" t="s">
        <v>602</v>
      </c>
      <c r="AF84" s="38"/>
      <c r="AG84" s="38">
        <v>9</v>
      </c>
      <c r="AH84" s="38"/>
      <c r="AI84" s="494"/>
      <c r="AJ84" s="38"/>
      <c r="AK84" s="38"/>
      <c r="AL84" s="38"/>
      <c r="AM84" s="38">
        <f t="shared" si="48"/>
        <v>9</v>
      </c>
      <c r="AN84" s="84"/>
      <c r="AO84" s="38"/>
      <c r="AP84" s="38"/>
      <c r="AQ84" s="38"/>
      <c r="AR84" s="38">
        <f t="shared" ref="AR84:AR85" si="49"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>+AR84+AS84+AU84+AW84+AY84+AZ84</f>
        <v>0</v>
      </c>
      <c r="BB84" s="51"/>
      <c r="BC84" s="52">
        <v>12</v>
      </c>
      <c r="BD84" s="52"/>
      <c r="BE84" s="51"/>
      <c r="BF84" s="52"/>
    </row>
    <row r="85" spans="1:58" ht="12.95" customHeight="1">
      <c r="A85" s="41"/>
      <c r="B85" s="42"/>
      <c r="C85" s="406"/>
      <c r="D85" s="42"/>
      <c r="E85" s="43"/>
      <c r="F85" s="43"/>
      <c r="G85" s="44"/>
      <c r="H85" s="45"/>
      <c r="I85" s="46"/>
      <c r="J85" s="83"/>
      <c r="K85" s="83"/>
      <c r="L85" s="36"/>
      <c r="M85" s="36"/>
      <c r="N85" s="47"/>
      <c r="O85" s="48"/>
      <c r="P85" s="49"/>
      <c r="Q85" s="48"/>
      <c r="R85" s="492"/>
      <c r="S85" s="492"/>
      <c r="T85" s="38"/>
      <c r="U85" s="38"/>
      <c r="V85" s="38"/>
      <c r="W85" s="38"/>
      <c r="X85" s="39"/>
      <c r="Y85" s="212"/>
      <c r="Z85" s="38"/>
      <c r="AA85" s="38"/>
      <c r="AB85" s="38"/>
      <c r="AC85" s="38"/>
      <c r="AD85" s="38">
        <f>+AM85+BA85</f>
        <v>38</v>
      </c>
      <c r="AE85" s="231" t="s">
        <v>587</v>
      </c>
      <c r="AF85" s="34"/>
      <c r="AG85" s="34"/>
      <c r="AH85" s="582">
        <v>38</v>
      </c>
      <c r="AJ85" s="38"/>
      <c r="AK85" s="38"/>
      <c r="AL85" s="38"/>
      <c r="AM85" s="38">
        <f t="shared" si="48"/>
        <v>38</v>
      </c>
      <c r="AN85" s="38"/>
      <c r="AO85" s="38"/>
      <c r="AP85" s="38"/>
      <c r="AQ85" s="38"/>
      <c r="AR85" s="38">
        <f t="shared" si="49"/>
        <v>0</v>
      </c>
      <c r="AS85" s="38"/>
      <c r="AT85" s="38"/>
      <c r="AU85" s="38"/>
      <c r="AV85" s="38"/>
      <c r="AW85" s="38"/>
      <c r="AX85" s="38"/>
      <c r="AY85" s="38"/>
      <c r="AZ85" s="38"/>
      <c r="BA85" s="38">
        <f>+AR85+AS85+AU85+AW85+AY85+AZ85</f>
        <v>0</v>
      </c>
      <c r="BB85" s="34"/>
      <c r="BC85" s="495"/>
      <c r="BD85" s="495"/>
      <c r="BE85" s="34"/>
      <c r="BF85" s="495"/>
    </row>
    <row r="86" spans="1:58" ht="12.95" customHeight="1">
      <c r="A86" s="41"/>
      <c r="B86" s="3"/>
      <c r="C86" s="406"/>
      <c r="D86" s="42"/>
      <c r="E86" s="43"/>
      <c r="F86" s="43"/>
      <c r="G86" s="44"/>
      <c r="H86" s="45"/>
      <c r="I86" s="46"/>
      <c r="J86" s="83"/>
      <c r="K86" s="83"/>
      <c r="L86" s="36"/>
      <c r="M86" s="36"/>
      <c r="N86" s="47"/>
      <c r="O86" s="48"/>
      <c r="P86" s="49"/>
      <c r="Q86" s="35"/>
      <c r="R86" s="492"/>
      <c r="S86" s="492"/>
      <c r="T86" s="38"/>
      <c r="U86" s="38"/>
      <c r="V86" s="38"/>
      <c r="W86" s="38"/>
      <c r="X86" s="39"/>
      <c r="Y86" s="39"/>
      <c r="Z86" s="38"/>
      <c r="AA86" s="50"/>
      <c r="AB86" s="50"/>
      <c r="AC86" s="38"/>
      <c r="AD86" s="38"/>
      <c r="AE86" s="21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4"/>
      <c r="BC86" s="52"/>
      <c r="BD86" s="52"/>
      <c r="BE86" s="52"/>
      <c r="BF86" s="52"/>
    </row>
    <row r="87" spans="1:58" ht="12.75" customHeight="1">
      <c r="A87" s="41">
        <v>45858</v>
      </c>
      <c r="B87" s="42" t="s">
        <v>412</v>
      </c>
      <c r="C87" s="406">
        <f>(M87*E87*O87*Q87)/100000000</f>
        <v>43.812845999999993</v>
      </c>
      <c r="D87" s="42" t="s">
        <v>301</v>
      </c>
      <c r="E87" s="43">
        <v>12.5</v>
      </c>
      <c r="F87" s="43">
        <v>1</v>
      </c>
      <c r="G87" s="491">
        <v>1230</v>
      </c>
      <c r="H87" s="45">
        <v>0.23</v>
      </c>
      <c r="I87" s="46">
        <v>0.88</v>
      </c>
      <c r="J87" s="83">
        <f>E87*G87*(1-H87)*1440/1000000*2.74</f>
        <v>46.710971999999998</v>
      </c>
      <c r="K87" s="83">
        <f>(IF(G87&lt;L87,L87,G87)*(1-IF(H87&lt;N87,H87,N87))*E87*O87*Q87)/100000000</f>
        <v>43.812845999999993</v>
      </c>
      <c r="L87" s="36">
        <v>1230</v>
      </c>
      <c r="M87" s="36">
        <v>947.0999999999998</v>
      </c>
      <c r="N87" s="47">
        <f>1-(M87/L87)</f>
        <v>0.2300000000000002</v>
      </c>
      <c r="O87" s="48">
        <f>+'Trim Rwd'!H61</f>
        <v>257</v>
      </c>
      <c r="P87" s="49">
        <f>O87*(Q87-R87-S87)</f>
        <v>351833</v>
      </c>
      <c r="Q87" s="48">
        <v>1440</v>
      </c>
      <c r="R87" s="492">
        <v>0</v>
      </c>
      <c r="S87" s="492">
        <v>71</v>
      </c>
      <c r="T87" s="38">
        <f>E87*M87*O87*Q87/100000000</f>
        <v>43.812845999999993</v>
      </c>
      <c r="U87" s="38">
        <f>E87*M87*O87*(Q87-R87-S87)/100000000</f>
        <v>41.652629287499998</v>
      </c>
      <c r="V87" s="38">
        <f>E87*G87*(1-N87)*O87/100*(R87+S87)/1000000</f>
        <v>2.1602167124999996</v>
      </c>
      <c r="W87" s="38">
        <f>+'20'!K7/1000</f>
        <v>44.429000000000002</v>
      </c>
      <c r="X87" s="493">
        <f>SUM(W87:W90)/SUM(K87:K90)</f>
        <v>1.0140633183244934</v>
      </c>
      <c r="Y87" s="212">
        <f>+SUM(RBP!AG78:AG79)</f>
        <v>0</v>
      </c>
      <c r="Z87" s="38">
        <f>+'18'!D15/1000</f>
        <v>1.9724801735240289E-5</v>
      </c>
      <c r="AA87" s="50">
        <f>SUM(U87:U90)-SUM(W87:W90)-SUM(Z87:Z90)-SUM(Y87:Y90)</f>
        <v>-2.776390437301739</v>
      </c>
      <c r="AB87" s="50">
        <f>(SUM(K87:K90)-SUM(W87:W90)-SUM(Y87:Y90)-SUM(Z87:Z90)-SUM(AC87:AC90)-SUM(V87:V90))-AA87</f>
        <v>-4.4408920985006262E-15</v>
      </c>
      <c r="AC87" s="38">
        <f>K87-T87</f>
        <v>0</v>
      </c>
      <c r="AD87" s="38">
        <f>+AM87+BA87</f>
        <v>30</v>
      </c>
      <c r="AE87" s="231" t="s">
        <v>603</v>
      </c>
      <c r="AF87" s="38">
        <v>30</v>
      </c>
      <c r="AG87" s="38"/>
      <c r="AH87" s="38"/>
      <c r="AI87" s="494"/>
      <c r="AJ87" s="38"/>
      <c r="AK87" s="38"/>
      <c r="AL87" s="38"/>
      <c r="AM87" s="38">
        <f t="shared" ref="AM87:AM89" si="50">SUM(AF87:AL87)+AT87+AV87+AX87</f>
        <v>30</v>
      </c>
      <c r="AN87" s="38"/>
      <c r="AO87" s="38"/>
      <c r="AP87" s="38"/>
      <c r="AQ87" s="38"/>
      <c r="AR87" s="38">
        <f>SUM(AN87:AQ87)</f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>+AR87+AS87+AU87+AW87+AY87+AZ87</f>
        <v>0</v>
      </c>
      <c r="BB87" s="34">
        <v>9</v>
      </c>
      <c r="BC87" s="52"/>
      <c r="BD87" s="52"/>
      <c r="BE87" s="34"/>
      <c r="BF87" s="52"/>
    </row>
    <row r="88" spans="1:58" ht="12.95" customHeight="1">
      <c r="A88" s="41"/>
      <c r="B88" s="42"/>
      <c r="C88" s="406"/>
      <c r="D88" s="42"/>
      <c r="E88" s="43"/>
      <c r="F88" s="43"/>
      <c r="G88" s="491"/>
      <c r="H88" s="45"/>
      <c r="I88" s="46"/>
      <c r="J88" s="83"/>
      <c r="K88" s="83"/>
      <c r="L88" s="36"/>
      <c r="M88" s="36"/>
      <c r="N88" s="47"/>
      <c r="O88" s="48"/>
      <c r="P88" s="49"/>
      <c r="Q88" s="48"/>
      <c r="R88" s="492"/>
      <c r="S88" s="492"/>
      <c r="T88" s="38"/>
      <c r="U88" s="38"/>
      <c r="V88" s="38"/>
      <c r="W88" s="38"/>
      <c r="X88" s="39"/>
      <c r="Y88" s="212"/>
      <c r="Z88" s="38"/>
      <c r="AA88" s="38"/>
      <c r="AB88" s="38"/>
      <c r="AC88" s="38"/>
      <c r="AD88" s="38">
        <f>+AM88+BA88</f>
        <v>0</v>
      </c>
      <c r="AE88" s="231" t="s">
        <v>408</v>
      </c>
      <c r="AF88" s="38"/>
      <c r="AG88" s="38">
        <v>0</v>
      </c>
      <c r="AH88" s="38"/>
      <c r="AI88" s="494"/>
      <c r="AJ88" s="38"/>
      <c r="AK88" s="38"/>
      <c r="AL88" s="38"/>
      <c r="AM88" s="38">
        <f t="shared" si="50"/>
        <v>0</v>
      </c>
      <c r="AN88" s="84"/>
      <c r="AO88" s="38"/>
      <c r="AP88" s="38"/>
      <c r="AQ88" s="38"/>
      <c r="AR88" s="38">
        <f t="shared" ref="AR88:AR89" si="51">SUM(AN88:AQ88)</f>
        <v>0</v>
      </c>
      <c r="AS88" s="38"/>
      <c r="AT88" s="38"/>
      <c r="AU88" s="38"/>
      <c r="AV88" s="38"/>
      <c r="AW88" s="38"/>
      <c r="AX88" s="38"/>
      <c r="AY88" s="38"/>
      <c r="AZ88" s="38"/>
      <c r="BA88" s="38">
        <f>+AR88+AS88+AU88+AW88+AY88+AZ88</f>
        <v>0</v>
      </c>
      <c r="BB88" s="51"/>
      <c r="BC88" s="52">
        <v>0</v>
      </c>
      <c r="BD88" s="52"/>
      <c r="BE88" s="51"/>
      <c r="BF88" s="52"/>
    </row>
    <row r="89" spans="1:58" ht="12.95" customHeight="1">
      <c r="A89" s="41"/>
      <c r="B89" s="42"/>
      <c r="C89" s="406"/>
      <c r="D89" s="42"/>
      <c r="E89" s="43"/>
      <c r="F89" s="43"/>
      <c r="G89" s="44"/>
      <c r="H89" s="45"/>
      <c r="I89" s="46"/>
      <c r="J89" s="83"/>
      <c r="K89" s="83"/>
      <c r="L89" s="36"/>
      <c r="M89" s="36"/>
      <c r="N89" s="47"/>
      <c r="O89" s="48"/>
      <c r="P89" s="49"/>
      <c r="Q89" s="48"/>
      <c r="R89" s="492"/>
      <c r="S89" s="492"/>
      <c r="T89" s="38"/>
      <c r="U89" s="38"/>
      <c r="V89" s="38"/>
      <c r="W89" s="38"/>
      <c r="X89" s="39"/>
      <c r="Y89" s="212"/>
      <c r="Z89" s="38"/>
      <c r="AA89" s="38"/>
      <c r="AB89" s="38"/>
      <c r="AC89" s="38"/>
      <c r="AD89" s="38">
        <f>+AM89+BA89</f>
        <v>41</v>
      </c>
      <c r="AE89" s="231" t="s">
        <v>444</v>
      </c>
      <c r="AF89" s="34"/>
      <c r="AG89" s="34"/>
      <c r="AH89" s="582">
        <v>41</v>
      </c>
      <c r="AJ89" s="38"/>
      <c r="AK89" s="38"/>
      <c r="AL89" s="38"/>
      <c r="AM89" s="38">
        <f t="shared" si="50"/>
        <v>41</v>
      </c>
      <c r="AN89" s="38"/>
      <c r="AO89" s="38"/>
      <c r="AP89" s="38"/>
      <c r="AQ89" s="38"/>
      <c r="AR89" s="38">
        <f t="shared" si="51"/>
        <v>0</v>
      </c>
      <c r="AS89" s="38"/>
      <c r="AT89" s="38"/>
      <c r="AU89" s="38"/>
      <c r="AV89" s="38"/>
      <c r="AW89" s="38"/>
      <c r="AX89" s="38"/>
      <c r="AY89" s="38"/>
      <c r="AZ89" s="38"/>
      <c r="BA89" s="38">
        <f>+AR89+AS89+AU89+AW89+AY89+AZ89</f>
        <v>0</v>
      </c>
      <c r="BB89" s="34"/>
      <c r="BC89" s="495"/>
      <c r="BD89" s="495"/>
      <c r="BE89" s="34"/>
      <c r="BF89" s="495"/>
    </row>
    <row r="90" spans="1:58" ht="12.95" customHeight="1">
      <c r="A90" s="41"/>
      <c r="B90" s="42"/>
      <c r="C90" s="406"/>
      <c r="D90" s="42"/>
      <c r="E90" s="43"/>
      <c r="F90" s="43"/>
      <c r="G90" s="44"/>
      <c r="H90" s="45"/>
      <c r="I90" s="46"/>
      <c r="J90" s="83"/>
      <c r="K90" s="83"/>
      <c r="L90" s="36"/>
      <c r="M90" s="36"/>
      <c r="N90" s="47"/>
      <c r="O90" s="48"/>
      <c r="P90" s="49"/>
      <c r="Q90" s="35"/>
      <c r="R90" s="492"/>
      <c r="S90" s="492"/>
      <c r="T90" s="38"/>
      <c r="U90" s="38"/>
      <c r="V90" s="38"/>
      <c r="W90" s="38"/>
      <c r="X90" s="39"/>
      <c r="Y90" s="212"/>
      <c r="Z90" s="38"/>
      <c r="AA90" s="38"/>
      <c r="AB90" s="38"/>
      <c r="AC90" s="38"/>
      <c r="AD90" s="38"/>
      <c r="AE90" s="234"/>
      <c r="AF90" s="38"/>
      <c r="AG90" s="38"/>
      <c r="AH90" s="38"/>
      <c r="AI90" s="494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51"/>
      <c r="BC90" s="52"/>
      <c r="BD90" s="52"/>
      <c r="BE90" s="52"/>
      <c r="BF90" s="52"/>
    </row>
    <row r="91" spans="1:58" ht="12.75" customHeight="1">
      <c r="A91" s="41">
        <v>45859</v>
      </c>
      <c r="B91" s="42" t="s">
        <v>412</v>
      </c>
      <c r="C91" s="406">
        <f>(M91*E91*O91*Q91)/100000000</f>
        <v>8.9755483124999991</v>
      </c>
      <c r="D91" s="42" t="s">
        <v>301</v>
      </c>
      <c r="E91" s="43">
        <v>12.5</v>
      </c>
      <c r="F91" s="43">
        <v>1</v>
      </c>
      <c r="G91" s="491">
        <v>1230</v>
      </c>
      <c r="H91" s="45">
        <v>0.23</v>
      </c>
      <c r="I91" s="46">
        <v>0.88</v>
      </c>
      <c r="J91" s="83">
        <f>E91*G91*(1-H91)*1440/1000000*2.74</f>
        <v>46.710971999999998</v>
      </c>
      <c r="K91" s="83">
        <f>(IF(G91&lt;L91,L91,G91)*(1-IF(H91&lt;N91,H91,N91))*E91*O91*Q91)/100000000</f>
        <v>8.9755483124999991</v>
      </c>
      <c r="L91" s="36">
        <v>1230</v>
      </c>
      <c r="M91" s="36">
        <v>947.09999999999991</v>
      </c>
      <c r="N91" s="47">
        <f>1-(M91/L91)</f>
        <v>0.23000000000000009</v>
      </c>
      <c r="O91" s="48">
        <f>+'Trim Rwd'!H63</f>
        <v>257</v>
      </c>
      <c r="P91" s="49">
        <f>O91*(Q91-R91-S91)</f>
        <v>69390</v>
      </c>
      <c r="Q91" s="48">
        <v>295</v>
      </c>
      <c r="R91" s="492">
        <v>0</v>
      </c>
      <c r="S91" s="492">
        <v>25</v>
      </c>
      <c r="T91" s="38">
        <f>E91*M91*O91*Q91/100000000</f>
        <v>8.9755483124999991</v>
      </c>
      <c r="U91" s="38">
        <f>E91*M91*O91*(Q91-R91-S91)/100000000</f>
        <v>8.2149086249999996</v>
      </c>
      <c r="V91" s="38">
        <f>E91*G91*(1-N91)*O91/100*(R91+S91)/1000000</f>
        <v>0.76063968749999988</v>
      </c>
      <c r="W91" s="38">
        <f>+'21'!K7/1000</f>
        <v>11.255000000000001</v>
      </c>
      <c r="X91" s="493">
        <f>SUM(W91:W94)/SUM(K91:K94)</f>
        <v>0.91235652710721393</v>
      </c>
      <c r="Y91" s="212">
        <f>+SUM(RBP!AG82:AG83)</f>
        <v>0</v>
      </c>
      <c r="Z91" s="38">
        <f>+'18'!D19/1000</f>
        <v>0</v>
      </c>
      <c r="AA91" s="50">
        <f>SUM(U91:U94)-SUM(W91:W94)-SUM(Z91:Z94)-SUM(Y91:Y94)</f>
        <v>1.2368704437500071</v>
      </c>
      <c r="AB91" s="50">
        <f>(SUM(K91:K94)-SUM(W91:W94)-SUM(Y91:Y94)-SUM(Z91:Z94)-SUM(AC91:AC94)-SUM(V91:V94))-AA91</f>
        <v>-1.1990408665951691E-14</v>
      </c>
      <c r="AC91" s="38">
        <f>K91-T91</f>
        <v>0</v>
      </c>
      <c r="AD91" s="38">
        <f>+AM91+BA91</f>
        <v>33</v>
      </c>
      <c r="AE91" s="231" t="s">
        <v>488</v>
      </c>
      <c r="AF91" s="38">
        <v>33</v>
      </c>
      <c r="AG91" s="38"/>
      <c r="AH91" s="38"/>
      <c r="AI91" s="494"/>
      <c r="AJ91" s="38"/>
      <c r="AK91" s="38"/>
      <c r="AL91" s="38"/>
      <c r="AM91" s="38">
        <f t="shared" ref="AM91:AM93" si="52">SUM(AF91:AL91)+AT91+AV91+AX91</f>
        <v>33</v>
      </c>
      <c r="AN91" s="38"/>
      <c r="AO91" s="38"/>
      <c r="AP91" s="38"/>
      <c r="AQ91" s="38"/>
      <c r="AR91" s="38">
        <f>SUM(AN91:AQ91)</f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+AR91+AS91+AU91+AW91+AY91+AZ91</f>
        <v>0</v>
      </c>
      <c r="BB91" s="34">
        <v>10</v>
      </c>
      <c r="BC91" s="52"/>
      <c r="BD91" s="52"/>
      <c r="BE91" s="34"/>
      <c r="BF91" s="52"/>
    </row>
    <row r="92" spans="1:58" ht="12.95" customHeight="1">
      <c r="A92" s="41"/>
      <c r="B92" s="42" t="s">
        <v>7</v>
      </c>
      <c r="C92" s="406">
        <f>(M92*E92*O92*Q92)/100000000</f>
        <v>32.736215531249997</v>
      </c>
      <c r="D92" s="42" t="s">
        <v>301</v>
      </c>
      <c r="E92" s="43">
        <v>11.5</v>
      </c>
      <c r="F92" s="43">
        <v>1</v>
      </c>
      <c r="G92" s="491">
        <v>1230</v>
      </c>
      <c r="H92" s="45">
        <v>0.23</v>
      </c>
      <c r="I92" s="46">
        <v>0.88</v>
      </c>
      <c r="J92" s="83">
        <f>E92*G92*(1-H92)*1440/1000000*2.74</f>
        <v>42.974094239999999</v>
      </c>
      <c r="K92" s="83">
        <f>(IF(G92&lt;L92,L92,G92)*(1-IF(H92&lt;N92,H92,N92))*E92*O92*Q92)/100000000</f>
        <v>32.736215531249997</v>
      </c>
      <c r="L92" s="36">
        <v>1230</v>
      </c>
      <c r="M92" s="36">
        <v>947.09999999999991</v>
      </c>
      <c r="N92" s="47">
        <f>1-(M92/L92)</f>
        <v>0.23000000000000009</v>
      </c>
      <c r="O92" s="48">
        <f>+'Trim Rwd'!H64</f>
        <v>262.5</v>
      </c>
      <c r="P92" s="49">
        <f>O92*(Q92-R92-S92)</f>
        <v>285337.5</v>
      </c>
      <c r="Q92" s="48">
        <v>1145</v>
      </c>
      <c r="R92" s="492">
        <v>0</v>
      </c>
      <c r="S92" s="492">
        <f>83-S91</f>
        <v>58</v>
      </c>
      <c r="T92" s="38">
        <f>E92*M92*O92*Q92/100000000</f>
        <v>32.736215531249997</v>
      </c>
      <c r="U92" s="38">
        <f>E92*M92*O92*(Q92-R92-S92)/100000000</f>
        <v>31.077961818750001</v>
      </c>
      <c r="V92" s="38">
        <f>E92*G92*(1-N92)*O92/100*(R92+S92)/1000000</f>
        <v>1.6582537124999996</v>
      </c>
      <c r="W92" s="38">
        <f>+'21'!K12/1000</f>
        <v>26.800999999999998</v>
      </c>
      <c r="X92" s="39"/>
      <c r="Y92" s="212"/>
      <c r="Z92" s="38"/>
      <c r="AA92" s="38"/>
      <c r="AB92" s="38"/>
      <c r="AC92" s="38"/>
      <c r="AD92" s="38">
        <f>+AM92+BA92</f>
        <v>0</v>
      </c>
      <c r="AE92" s="231" t="s">
        <v>408</v>
      </c>
      <c r="AF92" s="38"/>
      <c r="AG92" s="38">
        <v>0</v>
      </c>
      <c r="AH92" s="38"/>
      <c r="AI92" s="494"/>
      <c r="AJ92" s="38"/>
      <c r="AK92" s="38"/>
      <c r="AL92" s="38"/>
      <c r="AM92" s="38">
        <f t="shared" si="52"/>
        <v>0</v>
      </c>
      <c r="AN92" s="84"/>
      <c r="AO92" s="38"/>
      <c r="AP92" s="38"/>
      <c r="AQ92" s="38"/>
      <c r="AR92" s="38">
        <f t="shared" ref="AR92:AR93" si="53">SUM(AN92:AQ92)</f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>+AR92+AS92+AU92+AW92+AY92+AZ92</f>
        <v>0</v>
      </c>
      <c r="BB92" s="51"/>
      <c r="BC92" s="52">
        <v>0</v>
      </c>
      <c r="BD92" s="52"/>
      <c r="BE92" s="51"/>
      <c r="BF92" s="52"/>
    </row>
    <row r="93" spans="1:58" ht="12.95" customHeight="1">
      <c r="A93" s="41"/>
      <c r="B93" s="42"/>
      <c r="C93" s="406"/>
      <c r="D93" s="42"/>
      <c r="E93" s="43"/>
      <c r="F93" s="43"/>
      <c r="G93" s="44"/>
      <c r="H93" s="45"/>
      <c r="I93" s="46"/>
      <c r="J93" s="83"/>
      <c r="K93" s="83"/>
      <c r="L93" s="36"/>
      <c r="M93" s="36"/>
      <c r="N93" s="47"/>
      <c r="O93" s="48"/>
      <c r="P93" s="49"/>
      <c r="Q93" s="48"/>
      <c r="R93" s="492"/>
      <c r="S93" s="492"/>
      <c r="T93" s="38"/>
      <c r="U93" s="38"/>
      <c r="V93" s="38"/>
      <c r="W93" s="38"/>
      <c r="X93" s="39"/>
      <c r="Y93" s="212"/>
      <c r="Z93" s="38"/>
      <c r="AA93" s="38"/>
      <c r="AB93" s="38"/>
      <c r="AC93" s="38"/>
      <c r="AD93" s="38">
        <f>+AM93+BA93</f>
        <v>50</v>
      </c>
      <c r="AE93" s="231" t="s">
        <v>456</v>
      </c>
      <c r="AF93" s="34"/>
      <c r="AG93" s="34"/>
      <c r="AH93" s="582">
        <v>50</v>
      </c>
      <c r="AJ93" s="38"/>
      <c r="AK93" s="38"/>
      <c r="AL93" s="38"/>
      <c r="AM93" s="38">
        <f t="shared" si="52"/>
        <v>50</v>
      </c>
      <c r="AN93" s="38"/>
      <c r="AO93" s="38"/>
      <c r="AP93" s="38"/>
      <c r="AQ93" s="38"/>
      <c r="AR93" s="38">
        <f t="shared" si="53"/>
        <v>0</v>
      </c>
      <c r="AS93" s="38"/>
      <c r="AT93" s="38"/>
      <c r="AU93" s="38"/>
      <c r="AV93" s="38"/>
      <c r="AW93" s="38"/>
      <c r="AX93" s="38"/>
      <c r="AY93" s="38"/>
      <c r="AZ93" s="38"/>
      <c r="BA93" s="38">
        <f>+AR93+AS93+AU93+AW93+AY93+AZ93</f>
        <v>0</v>
      </c>
      <c r="BB93" s="34"/>
      <c r="BC93" s="495"/>
      <c r="BD93" s="495"/>
      <c r="BE93" s="34"/>
      <c r="BF93" s="495"/>
    </row>
    <row r="94" spans="1:58" ht="12.95" customHeight="1">
      <c r="A94" s="41"/>
      <c r="B94" s="42"/>
      <c r="C94" s="406"/>
      <c r="D94" s="42"/>
      <c r="E94" s="43"/>
      <c r="F94" s="43"/>
      <c r="G94" s="44"/>
      <c r="H94" s="45"/>
      <c r="I94" s="46"/>
      <c r="J94" s="83"/>
      <c r="K94" s="83"/>
      <c r="L94" s="36"/>
      <c r="M94" s="36"/>
      <c r="N94" s="47"/>
      <c r="O94" s="48"/>
      <c r="P94" s="49"/>
      <c r="Q94" s="48"/>
      <c r="R94" s="492"/>
      <c r="S94" s="492"/>
      <c r="T94" s="38"/>
      <c r="U94" s="38"/>
      <c r="V94" s="38"/>
      <c r="W94" s="38"/>
      <c r="X94" s="39"/>
      <c r="Y94" s="212"/>
      <c r="Z94" s="38"/>
      <c r="AA94" s="38"/>
      <c r="AB94" s="38"/>
      <c r="AC94" s="38"/>
      <c r="AD94" s="38"/>
      <c r="AE94" s="231"/>
      <c r="AF94" s="34"/>
      <c r="AG94" s="34"/>
      <c r="AH94" s="34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4"/>
      <c r="BC94" s="495"/>
      <c r="BD94" s="495"/>
      <c r="BE94" s="34"/>
      <c r="BF94" s="495"/>
    </row>
    <row r="95" spans="1:58" ht="12.75" customHeight="1">
      <c r="A95" s="41">
        <v>45860</v>
      </c>
      <c r="B95" s="42" t="s">
        <v>7</v>
      </c>
      <c r="C95" s="406">
        <f>(M95*E95*O95*Q95)/100000000</f>
        <v>2.5731523125</v>
      </c>
      <c r="D95" s="42" t="s">
        <v>301</v>
      </c>
      <c r="E95" s="43">
        <v>11.5</v>
      </c>
      <c r="F95" s="43">
        <v>1</v>
      </c>
      <c r="G95" s="491">
        <v>1230</v>
      </c>
      <c r="H95" s="45">
        <v>0.23</v>
      </c>
      <c r="I95" s="46">
        <v>0.88</v>
      </c>
      <c r="J95" s="83">
        <f>E95*G95*(1-H95)*1440/1000000*2.74</f>
        <v>42.974094239999999</v>
      </c>
      <c r="K95" s="83">
        <f>(IF(G95&lt;L95,L95,G95)*(1-IF(H95&lt;N95,H95,N95))*E95*O95*Q95)/100000000</f>
        <v>2.5731523125</v>
      </c>
      <c r="L95" s="36">
        <v>1230</v>
      </c>
      <c r="M95" s="36">
        <v>947.09999999999991</v>
      </c>
      <c r="N95" s="47">
        <f>1-(M95/L95)</f>
        <v>0.23000000000000009</v>
      </c>
      <c r="O95" s="48">
        <f>+'Trim Rwd'!H66</f>
        <v>262.5</v>
      </c>
      <c r="P95" s="49">
        <f>O95*(Q95-R95-S95)</f>
        <v>20475</v>
      </c>
      <c r="Q95" s="48">
        <v>90</v>
      </c>
      <c r="R95" s="492">
        <v>0</v>
      </c>
      <c r="S95" s="492">
        <v>12</v>
      </c>
      <c r="T95" s="38">
        <f>E95*M95*O95*Q95/100000000</f>
        <v>2.5731523125</v>
      </c>
      <c r="U95" s="38">
        <f>E95*M95*O95*(Q95-R95-S95)/100000000</f>
        <v>2.2300653375000001</v>
      </c>
      <c r="V95" s="38">
        <f>E95*G95*(1-N95)*O95/100*(R95+S95)/1000000</f>
        <v>0.34308697499999996</v>
      </c>
      <c r="W95" s="38">
        <f>+'22'!K12/1000</f>
        <v>6.2510000000000003</v>
      </c>
      <c r="X95" s="493">
        <f>SUM(W95:W98)/SUM(K95:K98)</f>
        <v>0.86093664954417914</v>
      </c>
      <c r="Y95" s="212">
        <f>+SUM(RBP!AG86:AG87)</f>
        <v>0</v>
      </c>
      <c r="Z95" s="38">
        <f>+'18'!D23/1000</f>
        <v>0</v>
      </c>
      <c r="AA95" s="50">
        <f>SUM(U95:U98)-SUM(W95:W98)-SUM(Z95:Z98)-SUM(Y95:Y98)</f>
        <v>3.8161546708333347</v>
      </c>
      <c r="AB95" s="50">
        <f>(SUM(K95:K98)-SUM(W95:W98)-SUM(Y95:Y98)-SUM(Z95:Z98)-SUM(AC95:AC98)-SUM(V95:V98))-AA95</f>
        <v>0.48782066666667312</v>
      </c>
      <c r="AC95" s="38">
        <f>K95-T95</f>
        <v>0</v>
      </c>
      <c r="AD95" s="38">
        <f>+AM95+BA95</f>
        <v>25</v>
      </c>
      <c r="AE95" s="231" t="s">
        <v>619</v>
      </c>
      <c r="AF95" s="38">
        <v>25</v>
      </c>
      <c r="AG95" s="38"/>
      <c r="AH95" s="38"/>
      <c r="AI95" s="494"/>
      <c r="AJ95" s="38"/>
      <c r="AK95" s="38"/>
      <c r="AL95" s="38"/>
      <c r="AM95" s="38">
        <f t="shared" ref="AM95:AM97" si="54">SUM(AF95:AL95)+AT95+AV95+AX95</f>
        <v>25</v>
      </c>
      <c r="AN95" s="38"/>
      <c r="AO95" s="38"/>
      <c r="AP95" s="38"/>
      <c r="AQ95" s="38"/>
      <c r="AR95" s="38">
        <f>SUM(AN95:AQ95)</f>
        <v>0</v>
      </c>
      <c r="AS95" s="38"/>
      <c r="AT95" s="38"/>
      <c r="AU95" s="38"/>
      <c r="AV95" s="38"/>
      <c r="AW95" s="38"/>
      <c r="AX95" s="38"/>
      <c r="AY95" s="38"/>
      <c r="AZ95" s="38"/>
      <c r="BA95" s="38">
        <f>+AR95+AS95+AU95+AW95+AY95+AZ95</f>
        <v>0</v>
      </c>
      <c r="BB95" s="34">
        <v>7</v>
      </c>
      <c r="BC95" s="52"/>
      <c r="BD95" s="52"/>
      <c r="BE95" s="34"/>
      <c r="BF95" s="52">
        <v>1</v>
      </c>
    </row>
    <row r="96" spans="1:58" ht="12.95" customHeight="1">
      <c r="A96" s="41"/>
      <c r="B96" s="42" t="s">
        <v>7</v>
      </c>
      <c r="C96" s="406">
        <f>(M96*E96*O96*Q96)/100000000</f>
        <v>44.821139999999993</v>
      </c>
      <c r="D96" s="42" t="s">
        <v>301</v>
      </c>
      <c r="E96" s="43">
        <v>14</v>
      </c>
      <c r="F96" s="43">
        <v>1</v>
      </c>
      <c r="G96" s="491">
        <v>1230</v>
      </c>
      <c r="H96" s="45">
        <v>0.25</v>
      </c>
      <c r="I96" s="46">
        <v>0.88</v>
      </c>
      <c r="J96" s="83">
        <f>E96*G96*(1-H96)*1440/1000000*2.74</f>
        <v>50.957424000000003</v>
      </c>
      <c r="K96" s="83">
        <f>(IF(G96&lt;L96,L96,G96)*(1-IF(H96&lt;N96,H96,N96))*E96*O96*Q96)/100000000</f>
        <v>45.331650000000003</v>
      </c>
      <c r="L96" s="36">
        <v>1216.148148148148</v>
      </c>
      <c r="M96" s="36">
        <v>912.11111111111109</v>
      </c>
      <c r="N96" s="47">
        <f>1-(M96/L96)</f>
        <v>0.25</v>
      </c>
      <c r="O96" s="48">
        <f>+'Trim Rwd'!H67</f>
        <v>260</v>
      </c>
      <c r="P96" s="49">
        <f>O96*(Q96-R96-S96)</f>
        <v>335400</v>
      </c>
      <c r="Q96" s="48">
        <v>1350</v>
      </c>
      <c r="R96" s="492">
        <v>0</v>
      </c>
      <c r="S96" s="492">
        <v>60</v>
      </c>
      <c r="T96" s="38">
        <f>E96*M96*O96*Q96/100000000</f>
        <v>44.821139999999993</v>
      </c>
      <c r="U96" s="38">
        <f>E96*M96*O96*(Q96-R96-S96)/100000000</f>
        <v>42.829089333333329</v>
      </c>
      <c r="V96" s="38">
        <f>E96*G96*(1-N96)*O96/100*(R96+S96)/1000000</f>
        <v>2.0147400000000002</v>
      </c>
      <c r="W96" s="38">
        <f>+'22'!K14/1000</f>
        <v>34.991999999999997</v>
      </c>
      <c r="X96" s="39"/>
      <c r="Y96" s="212"/>
      <c r="Z96" s="38"/>
      <c r="AA96" s="38"/>
      <c r="AB96" s="38"/>
      <c r="AC96" s="38"/>
      <c r="AD96" s="38">
        <f>+AM96+BA96</f>
        <v>9</v>
      </c>
      <c r="AE96" s="231" t="s">
        <v>385</v>
      </c>
      <c r="AF96" s="38"/>
      <c r="AG96" s="38">
        <v>9</v>
      </c>
      <c r="AH96" s="38"/>
      <c r="AI96" s="494"/>
      <c r="AJ96" s="38"/>
      <c r="AK96" s="38"/>
      <c r="AL96" s="38"/>
      <c r="AM96" s="38">
        <f t="shared" si="54"/>
        <v>9</v>
      </c>
      <c r="AN96" s="84"/>
      <c r="AO96" s="38"/>
      <c r="AP96" s="38"/>
      <c r="AQ96" s="38"/>
      <c r="AR96" s="38">
        <f t="shared" ref="AR96:AR97" si="55">SUM(AN96:AQ96)</f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+AR96+AS96+AU96+AW96+AY96+AZ96</f>
        <v>0</v>
      </c>
      <c r="BB96" s="51"/>
      <c r="BC96" s="52">
        <v>5</v>
      </c>
      <c r="BD96" s="52"/>
      <c r="BE96" s="51"/>
      <c r="BF96" s="52"/>
    </row>
    <row r="97" spans="1:58" ht="12.95" customHeight="1">
      <c r="A97" s="41"/>
      <c r="B97" s="42"/>
      <c r="C97" s="406"/>
      <c r="D97" s="42"/>
      <c r="E97" s="43"/>
      <c r="F97" s="43"/>
      <c r="G97" s="44"/>
      <c r="H97" s="45"/>
      <c r="I97" s="46"/>
      <c r="J97" s="83"/>
      <c r="K97" s="83"/>
      <c r="L97" s="36"/>
      <c r="M97" s="36"/>
      <c r="N97" s="47"/>
      <c r="O97" s="48"/>
      <c r="P97" s="49"/>
      <c r="Q97" s="48"/>
      <c r="R97" s="492"/>
      <c r="S97" s="492"/>
      <c r="T97" s="38"/>
      <c r="U97" s="38"/>
      <c r="V97" s="38"/>
      <c r="W97" s="38"/>
      <c r="X97" s="39"/>
      <c r="Y97" s="212"/>
      <c r="Z97" s="38"/>
      <c r="AA97" s="38"/>
      <c r="AB97" s="38"/>
      <c r="AC97" s="38"/>
      <c r="AD97" s="38">
        <f>+AM97+BA97</f>
        <v>38</v>
      </c>
      <c r="AE97" s="231" t="s">
        <v>620</v>
      </c>
      <c r="AF97" s="34"/>
      <c r="AG97" s="34"/>
      <c r="AH97" s="582">
        <v>38</v>
      </c>
      <c r="AJ97" s="38"/>
      <c r="AK97" s="38"/>
      <c r="AL97" s="38"/>
      <c r="AM97" s="38">
        <f t="shared" si="54"/>
        <v>38</v>
      </c>
      <c r="AN97" s="38"/>
      <c r="AO97" s="38"/>
      <c r="AP97" s="38"/>
      <c r="AQ97" s="38"/>
      <c r="AR97" s="38">
        <f t="shared" si="55"/>
        <v>0</v>
      </c>
      <c r="AS97" s="38"/>
      <c r="AT97" s="38"/>
      <c r="AU97" s="38"/>
      <c r="AV97" s="38"/>
      <c r="AW97" s="38"/>
      <c r="AX97" s="38"/>
      <c r="AY97" s="38"/>
      <c r="AZ97" s="38"/>
      <c r="BA97" s="38">
        <f>+AR97+AS97+AU97+AW97+AY97+AZ97</f>
        <v>0</v>
      </c>
      <c r="BB97" s="34"/>
      <c r="BC97" s="495"/>
      <c r="BD97" s="495"/>
      <c r="BE97" s="34"/>
      <c r="BF97" s="495"/>
    </row>
    <row r="98" spans="1:58" ht="12.95" customHeight="1">
      <c r="A98" s="41"/>
      <c r="B98" s="42"/>
      <c r="C98" s="406"/>
      <c r="D98" s="42"/>
      <c r="E98" s="43"/>
      <c r="F98" s="43"/>
      <c r="G98" s="491"/>
      <c r="H98" s="45"/>
      <c r="I98" s="46"/>
      <c r="J98" s="83"/>
      <c r="K98" s="83"/>
      <c r="L98" s="36"/>
      <c r="M98" s="36"/>
      <c r="N98" s="47"/>
      <c r="O98" s="48"/>
      <c r="P98" s="49"/>
      <c r="Q98" s="48"/>
      <c r="R98" s="492"/>
      <c r="S98" s="492"/>
      <c r="T98" s="38"/>
      <c r="U98" s="38"/>
      <c r="V98" s="38"/>
      <c r="W98" s="38"/>
      <c r="X98" s="39"/>
      <c r="Y98" s="212"/>
      <c r="Z98" s="38"/>
      <c r="AA98" s="38"/>
      <c r="AB98" s="38"/>
      <c r="AC98" s="38"/>
      <c r="AD98" s="38"/>
      <c r="AE98" s="231"/>
      <c r="AF98" s="38"/>
      <c r="AG98" s="38"/>
      <c r="AH98" s="38"/>
      <c r="AI98" s="494"/>
      <c r="AJ98" s="38"/>
      <c r="AK98" s="38"/>
      <c r="AL98" s="38"/>
      <c r="AM98" s="38"/>
      <c r="AN98" s="84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51"/>
      <c r="BC98" s="52"/>
      <c r="BD98" s="52"/>
      <c r="BE98" s="52"/>
      <c r="BF98" s="52"/>
    </row>
    <row r="99" spans="1:58" ht="12.75" customHeight="1">
      <c r="A99" s="41">
        <v>45861</v>
      </c>
      <c r="B99" s="42" t="s">
        <v>7</v>
      </c>
      <c r="C99" s="406">
        <f>(M99*E99*O99*Q99)/100000000</f>
        <v>48.353760000000001</v>
      </c>
      <c r="D99" s="42" t="s">
        <v>301</v>
      </c>
      <c r="E99" s="43">
        <v>14</v>
      </c>
      <c r="F99" s="43">
        <v>1</v>
      </c>
      <c r="G99" s="491">
        <v>1230</v>
      </c>
      <c r="H99" s="45">
        <v>0.25</v>
      </c>
      <c r="I99" s="46">
        <v>0.88</v>
      </c>
      <c r="J99" s="83">
        <f>E99*G99*(1-H99)*1440/1000000*2.74</f>
        <v>50.957424000000003</v>
      </c>
      <c r="K99" s="83">
        <f>(IF(G99&lt;L99,L99,G99)*(1-IF(H99&lt;N99,H99,N99))*E99*O99*Q99)/100000000</f>
        <v>48.353760000000001</v>
      </c>
      <c r="L99" s="36">
        <v>1230</v>
      </c>
      <c r="M99" s="36">
        <v>922.5</v>
      </c>
      <c r="N99" s="47">
        <f>1-(M99/L99)</f>
        <v>0.25</v>
      </c>
      <c r="O99" s="48">
        <f>+'Trim Rwd'!H69</f>
        <v>260</v>
      </c>
      <c r="P99" s="49">
        <f>O99*(Q99-R99-S99)</f>
        <v>191620</v>
      </c>
      <c r="Q99" s="48">
        <v>1440</v>
      </c>
      <c r="R99" s="492">
        <v>660</v>
      </c>
      <c r="S99" s="492">
        <v>43</v>
      </c>
      <c r="T99" s="38">
        <f>E99*M99*O99*Q99/100000000</f>
        <v>48.353760000000001</v>
      </c>
      <c r="U99" s="38">
        <f>E99*M99*O99*(Q99-R99-S99)/100000000</f>
        <v>24.747723000000001</v>
      </c>
      <c r="V99" s="38">
        <f>E99*G99*(1-N99)*O99/100*(R99+S99)/1000000</f>
        <v>23.606037000000001</v>
      </c>
      <c r="W99" s="38">
        <f>+'23'!K14/1000</f>
        <v>26.443000000000001</v>
      </c>
      <c r="X99" s="493">
        <f>SUM(W99:W102)/SUM(K99:K102)</f>
        <v>0.54686543507681717</v>
      </c>
      <c r="Y99" s="212">
        <f>+SUM(RBP!AG90:AG91)</f>
        <v>0</v>
      </c>
      <c r="Z99" s="38">
        <f>+'18'!D27/1000</f>
        <v>0</v>
      </c>
      <c r="AA99" s="50">
        <f>SUM(U99:U102)-SUM(W99:W102)-SUM(Z99:Z102)-SUM(Y99:Y102)</f>
        <v>-1.6952770000000008</v>
      </c>
      <c r="AB99" s="50">
        <f>(SUM(K99:K102)-SUM(W99:W102)-SUM(Y99:Y102)-SUM(Z99:Z102)-SUM(AC99:AC102)-SUM(V99:V102))-AA99</f>
        <v>0</v>
      </c>
      <c r="AC99" s="38">
        <f>K99-T99</f>
        <v>0</v>
      </c>
      <c r="AD99" s="38">
        <f>+AM99+BA99</f>
        <v>0</v>
      </c>
      <c r="AE99" s="231" t="s">
        <v>383</v>
      </c>
      <c r="AF99" s="38">
        <v>0</v>
      </c>
      <c r="AG99" s="38"/>
      <c r="AH99" s="38"/>
      <c r="AI99" s="494"/>
      <c r="AJ99" s="38"/>
      <c r="AK99" s="38"/>
      <c r="AL99" s="38"/>
      <c r="AM99" s="38">
        <f t="shared" ref="AM99:AM101" si="56">SUM(AF99:AL99)+AT99+AV99+AX99</f>
        <v>0</v>
      </c>
      <c r="AN99" s="38"/>
      <c r="AO99" s="38"/>
      <c r="AP99" s="38"/>
      <c r="AQ99" s="38"/>
      <c r="AR99" s="38">
        <f>SUM(AN99:AQ99)</f>
        <v>0</v>
      </c>
      <c r="AS99" s="38"/>
      <c r="AT99" s="38"/>
      <c r="AU99" s="38"/>
      <c r="AV99" s="38"/>
      <c r="AW99" s="38"/>
      <c r="AX99" s="38"/>
      <c r="AY99" s="38"/>
      <c r="AZ99" s="38"/>
      <c r="BA99" s="38">
        <f>+AR99+AS99+AU99+AW99+AY99+AZ99</f>
        <v>0</v>
      </c>
      <c r="BB99" s="34">
        <v>0</v>
      </c>
      <c r="BC99" s="52"/>
      <c r="BD99" s="52"/>
      <c r="BE99" s="34"/>
      <c r="BF99" s="52"/>
    </row>
    <row r="100" spans="1:58" ht="12.95" customHeight="1">
      <c r="A100" s="41"/>
      <c r="B100" s="42"/>
      <c r="C100" s="406"/>
      <c r="D100" s="42"/>
      <c r="E100" s="43"/>
      <c r="F100" s="43"/>
      <c r="G100" s="491"/>
      <c r="H100" s="45"/>
      <c r="I100" s="46"/>
      <c r="J100" s="83"/>
      <c r="K100" s="83"/>
      <c r="L100" s="36"/>
      <c r="M100" s="36"/>
      <c r="N100" s="47"/>
      <c r="O100" s="48"/>
      <c r="P100" s="49"/>
      <c r="Q100" s="48"/>
      <c r="R100" s="492"/>
      <c r="S100" s="492"/>
      <c r="T100" s="38"/>
      <c r="U100" s="38"/>
      <c r="V100" s="38"/>
      <c r="W100" s="38"/>
      <c r="X100" s="39"/>
      <c r="Y100" s="212"/>
      <c r="Z100" s="38"/>
      <c r="AA100" s="38"/>
      <c r="AB100" s="38"/>
      <c r="AC100" s="38"/>
      <c r="AD100" s="38">
        <f>+AM100+BA100</f>
        <v>12</v>
      </c>
      <c r="AE100" s="231" t="s">
        <v>503</v>
      </c>
      <c r="AF100" s="38"/>
      <c r="AG100" s="38">
        <v>12</v>
      </c>
      <c r="AH100" s="38"/>
      <c r="AI100" s="494"/>
      <c r="AJ100" s="38"/>
      <c r="AK100" s="38"/>
      <c r="AL100" s="38"/>
      <c r="AM100" s="38">
        <f t="shared" si="56"/>
        <v>12</v>
      </c>
      <c r="AN100" s="84"/>
      <c r="AO100" s="38"/>
      <c r="AP100" s="38"/>
      <c r="AQ100" s="38"/>
      <c r="AR100" s="38">
        <f t="shared" ref="AR100:AR101" si="57">SUM(AN100:AQ100)</f>
        <v>0</v>
      </c>
      <c r="AS100" s="38"/>
      <c r="AT100" s="38"/>
      <c r="AU100" s="38"/>
      <c r="AV100" s="38"/>
      <c r="AW100" s="38"/>
      <c r="AX100" s="38"/>
      <c r="AY100" s="38"/>
      <c r="AZ100" s="38"/>
      <c r="BA100" s="38">
        <f>+AR100+AS100+AU100+AW100+AY100+AZ100</f>
        <v>0</v>
      </c>
      <c r="BB100" s="51"/>
      <c r="BC100" s="52">
        <v>6</v>
      </c>
      <c r="BD100" s="52"/>
      <c r="BE100" s="51"/>
      <c r="BF100" s="52"/>
    </row>
    <row r="101" spans="1:58" ht="12.95" customHeight="1">
      <c r="A101" s="41"/>
      <c r="B101" s="42"/>
      <c r="C101" s="406"/>
      <c r="D101" s="42"/>
      <c r="E101" s="43"/>
      <c r="F101" s="43"/>
      <c r="G101" s="44"/>
      <c r="H101" s="45"/>
      <c r="I101" s="46"/>
      <c r="J101" s="83"/>
      <c r="K101" s="83"/>
      <c r="L101" s="36"/>
      <c r="M101" s="36"/>
      <c r="N101" s="47"/>
      <c r="O101" s="48"/>
      <c r="P101" s="49"/>
      <c r="Q101" s="48"/>
      <c r="R101" s="492"/>
      <c r="S101" s="492"/>
      <c r="T101" s="38"/>
      <c r="U101" s="38"/>
      <c r="V101" s="38"/>
      <c r="W101" s="38"/>
      <c r="X101" s="39"/>
      <c r="Y101" s="212"/>
      <c r="Z101" s="38"/>
      <c r="AA101" s="38"/>
      <c r="AB101" s="38"/>
      <c r="AC101" s="38"/>
      <c r="AD101" s="38">
        <f>+AM101+BA101</f>
        <v>31</v>
      </c>
      <c r="AE101" s="231" t="s">
        <v>628</v>
      </c>
      <c r="AF101" s="34"/>
      <c r="AG101" s="34"/>
      <c r="AH101" s="582">
        <v>31</v>
      </c>
      <c r="AJ101" s="38"/>
      <c r="AK101" s="38"/>
      <c r="AL101" s="38"/>
      <c r="AM101" s="38">
        <f t="shared" si="56"/>
        <v>31</v>
      </c>
      <c r="AN101" s="38"/>
      <c r="AO101" s="38"/>
      <c r="AP101" s="38"/>
      <c r="AQ101" s="38"/>
      <c r="AR101" s="38">
        <f t="shared" si="57"/>
        <v>0</v>
      </c>
      <c r="AS101" s="38"/>
      <c r="AT101" s="38"/>
      <c r="AU101" s="38"/>
      <c r="AV101" s="38"/>
      <c r="AW101" s="38"/>
      <c r="AX101" s="38"/>
      <c r="AY101" s="38"/>
      <c r="AZ101" s="38"/>
      <c r="BA101" s="38">
        <f>+AR101+AS101+AU101+AW101+AY101+AZ101</f>
        <v>0</v>
      </c>
      <c r="BB101" s="34"/>
      <c r="BC101" s="495"/>
      <c r="BD101" s="495"/>
      <c r="BE101" s="34"/>
      <c r="BF101" s="495"/>
    </row>
    <row r="102" spans="1:58" ht="12.95" customHeight="1">
      <c r="A102" s="41"/>
      <c r="B102" s="42"/>
      <c r="C102" s="406"/>
      <c r="D102" s="42"/>
      <c r="E102" s="43"/>
      <c r="F102" s="43"/>
      <c r="G102" s="44"/>
      <c r="H102" s="45"/>
      <c r="I102" s="46"/>
      <c r="J102" s="83"/>
      <c r="K102" s="83"/>
      <c r="L102" s="36"/>
      <c r="M102" s="36"/>
      <c r="N102" s="47"/>
      <c r="O102" s="48"/>
      <c r="P102" s="49"/>
      <c r="Q102" s="48"/>
      <c r="R102" s="492"/>
      <c r="S102" s="492"/>
      <c r="T102" s="38"/>
      <c r="U102" s="38"/>
      <c r="V102" s="38"/>
      <c r="W102" s="38"/>
      <c r="X102" s="39"/>
      <c r="Y102" s="212"/>
      <c r="Z102" s="38"/>
      <c r="AA102" s="38"/>
      <c r="AB102" s="38"/>
      <c r="AC102" s="38"/>
      <c r="AD102" s="38">
        <f>+AM102+BA102</f>
        <v>660</v>
      </c>
      <c r="AE102" s="234" t="s">
        <v>625</v>
      </c>
      <c r="AF102" s="34"/>
      <c r="AG102" s="34"/>
      <c r="AH102" s="582"/>
      <c r="AJ102" s="38"/>
      <c r="AK102" s="38"/>
      <c r="AL102" s="38"/>
      <c r="AM102" s="38">
        <f t="shared" ref="AM102" si="58">SUM(AF102:AL102)+AT102+AV102+AX102</f>
        <v>0</v>
      </c>
      <c r="AN102" s="38"/>
      <c r="AO102" s="38"/>
      <c r="AP102" s="38">
        <v>660</v>
      </c>
      <c r="AQ102" s="38"/>
      <c r="AR102" s="38">
        <f t="shared" ref="AR102" si="59">SUM(AN102:AQ102)</f>
        <v>660</v>
      </c>
      <c r="AS102" s="38"/>
      <c r="AT102" s="38"/>
      <c r="AU102" s="38"/>
      <c r="AV102" s="38"/>
      <c r="AW102" s="38"/>
      <c r="AX102" s="38"/>
      <c r="AY102" s="38"/>
      <c r="AZ102" s="38"/>
      <c r="BA102" s="38">
        <f>+AR102+AS102+AU102+AW102+AY102+AZ102</f>
        <v>660</v>
      </c>
      <c r="BB102" s="34"/>
      <c r="BC102" s="495"/>
      <c r="BD102" s="495"/>
      <c r="BE102" s="34"/>
      <c r="BF102" s="495"/>
    </row>
    <row r="103" spans="1:58" ht="12.95" customHeight="1">
      <c r="A103" s="41"/>
      <c r="B103" s="42"/>
      <c r="C103" s="406"/>
      <c r="D103" s="42"/>
      <c r="E103" s="43"/>
      <c r="F103" s="43"/>
      <c r="G103" s="491"/>
      <c r="H103" s="45"/>
      <c r="I103" s="46"/>
      <c r="J103" s="83"/>
      <c r="K103" s="83"/>
      <c r="L103" s="36"/>
      <c r="M103" s="36"/>
      <c r="N103" s="47"/>
      <c r="O103" s="48"/>
      <c r="P103" s="49"/>
      <c r="Q103" s="48"/>
      <c r="R103" s="492"/>
      <c r="S103" s="492"/>
      <c r="T103" s="38"/>
      <c r="U103" s="38"/>
      <c r="V103" s="38"/>
      <c r="W103" s="38"/>
      <c r="X103" s="39"/>
      <c r="Y103" s="212"/>
      <c r="Z103" s="38"/>
      <c r="AA103" s="38"/>
      <c r="AB103" s="38"/>
      <c r="AC103" s="38"/>
      <c r="AD103" s="38"/>
      <c r="AE103" s="231"/>
      <c r="AF103" s="38"/>
      <c r="AG103" s="38"/>
      <c r="AH103" s="38"/>
      <c r="AI103" s="494"/>
      <c r="AJ103" s="38"/>
      <c r="AK103" s="38"/>
      <c r="AL103" s="38"/>
      <c r="AM103" s="38"/>
      <c r="AN103" s="84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51"/>
      <c r="BC103" s="52"/>
      <c r="BD103" s="52"/>
      <c r="BE103" s="52"/>
      <c r="BF103" s="52"/>
    </row>
    <row r="104" spans="1:58" ht="12.75" customHeight="1">
      <c r="A104" s="41">
        <v>45862</v>
      </c>
      <c r="B104" s="42" t="s">
        <v>7</v>
      </c>
      <c r="C104" s="406">
        <f>(M104*E104*O104*Q104)/100000000</f>
        <v>47.943792000000002</v>
      </c>
      <c r="D104" s="42" t="s">
        <v>301</v>
      </c>
      <c r="E104" s="43">
        <v>14</v>
      </c>
      <c r="F104" s="43">
        <v>1</v>
      </c>
      <c r="G104" s="491">
        <v>1230</v>
      </c>
      <c r="H104" s="45">
        <v>0.25</v>
      </c>
      <c r="I104" s="46">
        <v>0.88</v>
      </c>
      <c r="J104" s="83">
        <f>E104*G104*(1-H104)*1440/1000000*2.74</f>
        <v>50.957424000000003</v>
      </c>
      <c r="K104" s="83">
        <f>(IF(G104&lt;L104,L104,G104)*(1-IF(H104&lt;N104,H104,N104))*E104*O104*Q104)/100000000</f>
        <v>48.353760000000001</v>
      </c>
      <c r="L104" s="36">
        <v>1219.5714285714287</v>
      </c>
      <c r="M104" s="36">
        <v>914.67857142857144</v>
      </c>
      <c r="N104" s="47">
        <f>1-(M104/L104)</f>
        <v>0.25</v>
      </c>
      <c r="O104" s="48">
        <f>+'Trim Rwd'!H71</f>
        <v>260</v>
      </c>
      <c r="P104" s="49">
        <f>O104*(Q104-R104-S104)</f>
        <v>343460</v>
      </c>
      <c r="Q104" s="48">
        <v>1440</v>
      </c>
      <c r="R104" s="492">
        <v>40</v>
      </c>
      <c r="S104" s="492">
        <v>79</v>
      </c>
      <c r="T104" s="38">
        <f>E104*M104*O104*Q104/100000000</f>
        <v>47.943792000000002</v>
      </c>
      <c r="U104" s="38">
        <f>E104*M104*O104*(Q104-R104-S104)/100000000</f>
        <v>43.981770300000001</v>
      </c>
      <c r="V104" s="38">
        <f>E104*G104*(1-N104)*O104/100*(R104+S104)/1000000</f>
        <v>3.9959009999999999</v>
      </c>
      <c r="W104" s="38">
        <f>+'24'!K14/1000</f>
        <v>37.003999999999998</v>
      </c>
      <c r="X104" s="493">
        <f>SUM(W104:W107)/SUM(K104:K107)</f>
        <v>0.7652765782847083</v>
      </c>
      <c r="Y104" s="212">
        <f>+SUM(RBP!AG95:AG96)</f>
        <v>0</v>
      </c>
      <c r="Z104" s="38">
        <f>+'18'!D32/1000</f>
        <v>0</v>
      </c>
      <c r="AA104" s="50">
        <f>SUM(U104:U107)-SUM(W104:W107)-SUM(Z104:Z107)-SUM(Y104:Y107)</f>
        <v>6.9777703000000031</v>
      </c>
      <c r="AB104" s="50">
        <f>(SUM(K104:K107)-SUM(W104:W107)-SUM(Y104:Y107)-SUM(Z104:Z107)-SUM(AC104:AC107)-SUM(V104:V107))-AA104</f>
        <v>-3.3879299999998835E-2</v>
      </c>
      <c r="AC104" s="38">
        <f>K104-T104</f>
        <v>0.40996799999999922</v>
      </c>
      <c r="AD104" s="38">
        <f>+AM104+BA104</f>
        <v>22</v>
      </c>
      <c r="AE104" s="231" t="s">
        <v>619</v>
      </c>
      <c r="AF104" s="38">
        <v>22</v>
      </c>
      <c r="AG104" s="38"/>
      <c r="AH104" s="38"/>
      <c r="AI104" s="494"/>
      <c r="AJ104" s="38"/>
      <c r="AK104" s="38"/>
      <c r="AL104" s="38"/>
      <c r="AM104" s="38">
        <f t="shared" ref="AM104:AM106" si="60">SUM(AF104:AL104)+AT104+AV104+AX104</f>
        <v>22</v>
      </c>
      <c r="AN104" s="38"/>
      <c r="AO104" s="38"/>
      <c r="AP104" s="38"/>
      <c r="AQ104" s="38"/>
      <c r="AR104" s="38">
        <f>SUM(AN104:AQ104)</f>
        <v>0</v>
      </c>
      <c r="AS104" s="38"/>
      <c r="AT104" s="38"/>
      <c r="AU104" s="38"/>
      <c r="AV104" s="38"/>
      <c r="AW104" s="38"/>
      <c r="AX104" s="38"/>
      <c r="AY104" s="38"/>
      <c r="AZ104" s="38"/>
      <c r="BA104" s="38">
        <f>+AR104+AS104+AU104+AW104+AY104+AZ104</f>
        <v>0</v>
      </c>
      <c r="BB104" s="34">
        <v>7</v>
      </c>
      <c r="BC104" s="52"/>
      <c r="BD104" s="52"/>
      <c r="BE104" s="34"/>
      <c r="BF104" s="52"/>
    </row>
    <row r="105" spans="1:58" ht="12.95" customHeight="1">
      <c r="A105" s="41"/>
      <c r="B105" s="42"/>
      <c r="C105" s="406"/>
      <c r="D105" s="42"/>
      <c r="E105" s="43"/>
      <c r="F105" s="43"/>
      <c r="G105" s="491"/>
      <c r="H105" s="45"/>
      <c r="I105" s="46"/>
      <c r="J105" s="83"/>
      <c r="K105" s="83"/>
      <c r="L105" s="36"/>
      <c r="M105" s="36"/>
      <c r="N105" s="47"/>
      <c r="O105" s="48"/>
      <c r="P105" s="49"/>
      <c r="Q105" s="48"/>
      <c r="R105" s="492"/>
      <c r="S105" s="492"/>
      <c r="T105" s="38"/>
      <c r="U105" s="38"/>
      <c r="V105" s="38"/>
      <c r="W105" s="38"/>
      <c r="X105" s="39"/>
      <c r="Y105" s="212"/>
      <c r="Z105" s="38"/>
      <c r="AA105" s="38"/>
      <c r="AB105" s="38"/>
      <c r="AC105" s="38"/>
      <c r="AD105" s="38">
        <f>+AM105+BA105</f>
        <v>12</v>
      </c>
      <c r="AE105" s="231" t="s">
        <v>503</v>
      </c>
      <c r="AF105" s="38"/>
      <c r="AG105" s="38">
        <v>12</v>
      </c>
      <c r="AH105" s="38"/>
      <c r="AI105" s="494"/>
      <c r="AJ105" s="38"/>
      <c r="AK105" s="38"/>
      <c r="AL105" s="38"/>
      <c r="AM105" s="38">
        <f t="shared" si="60"/>
        <v>12</v>
      </c>
      <c r="AN105" s="84"/>
      <c r="AO105" s="38"/>
      <c r="AP105" s="38"/>
      <c r="AQ105" s="38"/>
      <c r="AR105" s="38">
        <f t="shared" ref="AR105:AR106" si="61">SUM(AN105:AQ105)</f>
        <v>0</v>
      </c>
      <c r="AS105" s="38"/>
      <c r="AT105" s="38"/>
      <c r="AU105" s="38"/>
      <c r="AV105" s="38"/>
      <c r="AW105" s="38"/>
      <c r="AX105" s="38"/>
      <c r="AY105" s="38"/>
      <c r="AZ105" s="38"/>
      <c r="BA105" s="38">
        <f>+AR105+AS105+AU105+AW105+AY105+AZ105</f>
        <v>0</v>
      </c>
      <c r="BB105" s="51"/>
      <c r="BC105" s="52">
        <v>6</v>
      </c>
      <c r="BD105" s="52"/>
      <c r="BE105" s="51"/>
      <c r="BF105" s="52"/>
    </row>
    <row r="106" spans="1:58" ht="12.95" customHeight="1">
      <c r="A106" s="41"/>
      <c r="B106" s="42"/>
      <c r="C106" s="406"/>
      <c r="D106" s="42"/>
      <c r="E106" s="43"/>
      <c r="F106" s="43"/>
      <c r="G106" s="44"/>
      <c r="H106" s="45"/>
      <c r="I106" s="46"/>
      <c r="J106" s="83"/>
      <c r="K106" s="83"/>
      <c r="L106" s="36"/>
      <c r="M106" s="36"/>
      <c r="N106" s="47"/>
      <c r="O106" s="48"/>
      <c r="P106" s="49"/>
      <c r="Q106" s="48"/>
      <c r="R106" s="492"/>
      <c r="S106" s="492"/>
      <c r="T106" s="38"/>
      <c r="U106" s="38"/>
      <c r="V106" s="38"/>
      <c r="W106" s="38"/>
      <c r="X106" s="39"/>
      <c r="Y106" s="212"/>
      <c r="Z106" s="38"/>
      <c r="AA106" s="38"/>
      <c r="AB106" s="38"/>
      <c r="AC106" s="38"/>
      <c r="AD106" s="38">
        <f>+AM106+BA106</f>
        <v>45</v>
      </c>
      <c r="AE106" s="231" t="s">
        <v>620</v>
      </c>
      <c r="AF106" s="34"/>
      <c r="AG106" s="34"/>
      <c r="AH106" s="582">
        <v>45</v>
      </c>
      <c r="AJ106" s="38"/>
      <c r="AK106" s="38"/>
      <c r="AL106" s="38"/>
      <c r="AM106" s="38">
        <f t="shared" si="60"/>
        <v>45</v>
      </c>
      <c r="AN106" s="38"/>
      <c r="AO106" s="38"/>
      <c r="AP106" s="38"/>
      <c r="AQ106" s="38"/>
      <c r="AR106" s="38">
        <f t="shared" si="61"/>
        <v>0</v>
      </c>
      <c r="AS106" s="38"/>
      <c r="AT106" s="38"/>
      <c r="AU106" s="38"/>
      <c r="AV106" s="38"/>
      <c r="AW106" s="38"/>
      <c r="AX106" s="38"/>
      <c r="AY106" s="38"/>
      <c r="AZ106" s="38"/>
      <c r="BA106" s="38">
        <f>+AR106+AS106+AU106+AW106+AY106+AZ106</f>
        <v>0</v>
      </c>
      <c r="BB106" s="34"/>
      <c r="BC106" s="495"/>
      <c r="BD106" s="495"/>
      <c r="BE106" s="34"/>
      <c r="BF106" s="495"/>
    </row>
    <row r="107" spans="1:58" ht="12.95" customHeight="1">
      <c r="A107" s="41"/>
      <c r="B107" s="42"/>
      <c r="C107" s="406"/>
      <c r="D107" s="42"/>
      <c r="E107" s="43"/>
      <c r="F107" s="43"/>
      <c r="G107" s="44"/>
      <c r="H107" s="45"/>
      <c r="I107" s="46"/>
      <c r="J107" s="83"/>
      <c r="K107" s="83"/>
      <c r="L107" s="36"/>
      <c r="M107" s="36"/>
      <c r="N107" s="47"/>
      <c r="O107" s="48"/>
      <c r="P107" s="49"/>
      <c r="Q107" s="48"/>
      <c r="R107" s="492"/>
      <c r="S107" s="492"/>
      <c r="T107" s="38"/>
      <c r="U107" s="38"/>
      <c r="V107" s="38"/>
      <c r="W107" s="38"/>
      <c r="X107" s="39"/>
      <c r="Y107" s="212"/>
      <c r="Z107" s="38"/>
      <c r="AA107" s="38"/>
      <c r="AB107" s="38"/>
      <c r="AC107" s="38"/>
      <c r="AD107" s="38">
        <f>+AM107+BA107</f>
        <v>40</v>
      </c>
      <c r="AE107" s="234" t="s">
        <v>633</v>
      </c>
      <c r="AF107" s="34"/>
      <c r="AG107" s="34"/>
      <c r="AH107" s="582"/>
      <c r="AJ107" s="38"/>
      <c r="AK107" s="38"/>
      <c r="AL107" s="38"/>
      <c r="AM107" s="38">
        <f t="shared" ref="AM107" si="62">SUM(AF107:AL107)+AT107+AV107+AX107</f>
        <v>0</v>
      </c>
      <c r="AN107" s="38"/>
      <c r="AO107" s="38"/>
      <c r="AP107" s="38">
        <v>40</v>
      </c>
      <c r="AQ107" s="38"/>
      <c r="AR107" s="38">
        <f t="shared" ref="AR107" si="63">SUM(AN107:AQ107)</f>
        <v>40</v>
      </c>
      <c r="AS107" s="38"/>
      <c r="AT107" s="38"/>
      <c r="AU107" s="38"/>
      <c r="AV107" s="38"/>
      <c r="AW107" s="38"/>
      <c r="AX107" s="38"/>
      <c r="AY107" s="38"/>
      <c r="AZ107" s="38"/>
      <c r="BA107" s="38">
        <f>+AR107+AS107+AU107+AW107+AY107+AZ107</f>
        <v>40</v>
      </c>
      <c r="BB107" s="34"/>
      <c r="BC107" s="495"/>
      <c r="BD107" s="495"/>
      <c r="BE107" s="34"/>
      <c r="BF107" s="495"/>
    </row>
    <row r="108" spans="1:58" ht="12.95" customHeight="1">
      <c r="A108" s="41"/>
      <c r="B108" s="42"/>
      <c r="C108" s="406"/>
      <c r="D108" s="42"/>
      <c r="E108" s="43"/>
      <c r="F108" s="43"/>
      <c r="G108" s="491"/>
      <c r="H108" s="45"/>
      <c r="I108" s="46"/>
      <c r="J108" s="83"/>
      <c r="K108" s="83"/>
      <c r="L108" s="36"/>
      <c r="M108" s="36"/>
      <c r="N108" s="47"/>
      <c r="O108" s="48"/>
      <c r="P108" s="49"/>
      <c r="Q108" s="48"/>
      <c r="R108" s="492"/>
      <c r="S108" s="492"/>
      <c r="T108" s="38"/>
      <c r="U108" s="38"/>
      <c r="V108" s="38"/>
      <c r="W108" s="38"/>
      <c r="X108" s="39"/>
      <c r="Y108" s="212"/>
      <c r="Z108" s="38"/>
      <c r="AA108" s="38"/>
      <c r="AB108" s="38"/>
      <c r="AC108" s="38"/>
      <c r="AD108" s="38"/>
      <c r="AE108" s="231"/>
      <c r="AF108" s="38"/>
      <c r="AG108" s="38"/>
      <c r="AH108" s="38"/>
      <c r="AI108" s="494"/>
      <c r="AJ108" s="38"/>
      <c r="AK108" s="38"/>
      <c r="AL108" s="38"/>
      <c r="AM108" s="38"/>
      <c r="AN108" s="84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51"/>
      <c r="BC108" s="52"/>
      <c r="BD108" s="52"/>
      <c r="BE108" s="52"/>
      <c r="BF108" s="52"/>
    </row>
    <row r="109" spans="1:58" ht="12.75" customHeight="1">
      <c r="A109" s="41">
        <v>45863</v>
      </c>
      <c r="B109" s="42" t="s">
        <v>7</v>
      </c>
      <c r="C109" s="406">
        <f>(M109*E109*O109*Q109)/100000000</f>
        <v>34.957540799999997</v>
      </c>
      <c r="D109" s="42" t="s">
        <v>301</v>
      </c>
      <c r="E109" s="43">
        <v>14</v>
      </c>
      <c r="F109" s="43">
        <v>1</v>
      </c>
      <c r="G109" s="491">
        <f>+L109</f>
        <v>1201.6666666666667</v>
      </c>
      <c r="H109" s="45">
        <v>0.26</v>
      </c>
      <c r="I109" s="46">
        <v>0.88</v>
      </c>
      <c r="J109" s="83">
        <f>E109*G109*(1-H109)*1440/1000000*2.74</f>
        <v>49.119826560000007</v>
      </c>
      <c r="K109" s="83">
        <f>(IF(G109&lt;L109,L109,G109)*(1-IF(H109&lt;N109,H109,N109))*E109*O109*Q109)/100000000</f>
        <v>34.957540799999997</v>
      </c>
      <c r="L109" s="36">
        <v>1201.6666666666667</v>
      </c>
      <c r="M109" s="36">
        <v>889.23333333333335</v>
      </c>
      <c r="N109" s="47">
        <f>1-(M109/L109)</f>
        <v>0.26</v>
      </c>
      <c r="O109" s="48">
        <f>+'Trim Rwd'!H73</f>
        <v>260</v>
      </c>
      <c r="P109" s="49">
        <f>O109*(Q109-R109-S109)</f>
        <v>265460</v>
      </c>
      <c r="Q109" s="48">
        <f>18*60</f>
        <v>1080</v>
      </c>
      <c r="R109" s="492">
        <v>0</v>
      </c>
      <c r="S109" s="492">
        <v>59</v>
      </c>
      <c r="T109" s="38">
        <f>E109*M109*O109*Q109/100000000</f>
        <v>34.957540799999997</v>
      </c>
      <c r="U109" s="38">
        <f>E109*M109*O109*(Q109-R109-S109)/100000000</f>
        <v>33.047823293333337</v>
      </c>
      <c r="V109" s="38">
        <f>E109*G109*(1-N109)*O109/100*(R109+S109)/1000000</f>
        <v>1.9097175066666667</v>
      </c>
      <c r="W109" s="38">
        <f>+'25'!K14/1000</f>
        <v>42.747999999999998</v>
      </c>
      <c r="X109" s="493">
        <f>SUM(W109:W112)/SUM(K109:K112)</f>
        <v>0.90864297593727716</v>
      </c>
      <c r="Y109" s="212">
        <f>+SUM(RBP!AG100:AG101)</f>
        <v>0</v>
      </c>
      <c r="Z109" s="38">
        <v>0</v>
      </c>
      <c r="AA109" s="50">
        <f>SUM(U109:U112)-SUM(W109:W112)-SUM(Z109:Z112)-SUM(Y109:Y112)</f>
        <v>1.884578293333341</v>
      </c>
      <c r="AB109" s="50">
        <f>(SUM(K109:K112)-SUM(W109:W112)-SUM(Y109:Y112)-SUM(Z109:Z112)-SUM(AC109:AC112)-SUM(V109:V112))-AA109</f>
        <v>-1.021405182655144E-14</v>
      </c>
      <c r="AC109" s="38">
        <f>K109-T109</f>
        <v>0</v>
      </c>
      <c r="AD109" s="38">
        <f>+AM109+BA109</f>
        <v>15</v>
      </c>
      <c r="AE109" s="231" t="s">
        <v>454</v>
      </c>
      <c r="AF109" s="38">
        <v>15</v>
      </c>
      <c r="AG109" s="38"/>
      <c r="AH109" s="38"/>
      <c r="AI109" s="494"/>
      <c r="AJ109" s="38"/>
      <c r="AK109" s="38"/>
      <c r="AL109" s="38"/>
      <c r="AM109" s="38">
        <f t="shared" ref="AM109:AM111" si="64">SUM(AF109:AL109)+AT109+AV109+AX109</f>
        <v>15</v>
      </c>
      <c r="AN109" s="38"/>
      <c r="AO109" s="38"/>
      <c r="AP109" s="38"/>
      <c r="AQ109" s="38"/>
      <c r="AR109" s="38">
        <f>SUM(AN109:AQ109)</f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>+AR109+AS109+AU109+AW109+AY109+AZ109</f>
        <v>0</v>
      </c>
      <c r="BB109" s="34">
        <v>5</v>
      </c>
      <c r="BC109" s="52"/>
      <c r="BD109" s="52"/>
      <c r="BE109" s="34"/>
      <c r="BF109" s="52">
        <v>1</v>
      </c>
    </row>
    <row r="110" spans="1:58" ht="12.95" customHeight="1">
      <c r="A110" s="41"/>
      <c r="B110" s="42" t="s">
        <v>7</v>
      </c>
      <c r="C110" s="406">
        <f>(M110*E110*O110*Q110)/100000000</f>
        <v>12.08844</v>
      </c>
      <c r="D110" s="42" t="s">
        <v>301</v>
      </c>
      <c r="E110" s="43">
        <v>14</v>
      </c>
      <c r="F110" s="43">
        <v>1</v>
      </c>
      <c r="G110" s="491">
        <v>1230</v>
      </c>
      <c r="H110" s="45">
        <v>0.25</v>
      </c>
      <c r="I110" s="46">
        <v>0.88</v>
      </c>
      <c r="J110" s="83">
        <f>E110*G110*(1-H110)*1440/1000000*2.74</f>
        <v>50.957424000000003</v>
      </c>
      <c r="K110" s="83">
        <f>(IF(G110&lt;L110,L110,G110)*(1-IF(H110&lt;N110,H110,N110))*E110*O110*Q110)/100000000</f>
        <v>12.08844</v>
      </c>
      <c r="L110" s="36">
        <v>1230</v>
      </c>
      <c r="M110" s="36">
        <v>922.5</v>
      </c>
      <c r="N110" s="47">
        <f>1-(M110/L110)</f>
        <v>0.25</v>
      </c>
      <c r="O110" s="48">
        <f>+'Trim Rwd'!H73</f>
        <v>260</v>
      </c>
      <c r="P110" s="49">
        <f>O110*(Q110-R110-S110)</f>
        <v>89700</v>
      </c>
      <c r="Q110" s="48">
        <f>6*60</f>
        <v>360</v>
      </c>
      <c r="R110" s="492">
        <v>0</v>
      </c>
      <c r="S110" s="492">
        <f>74-S109</f>
        <v>15</v>
      </c>
      <c r="T110" s="38">
        <f>E110*M110*O110*Q110/100000000</f>
        <v>12.08844</v>
      </c>
      <c r="U110" s="38">
        <f>E110*M110*O110*(Q110-R110-S110)/100000000</f>
        <v>11.584754999999999</v>
      </c>
      <c r="V110" s="38">
        <f>E110*G110*(1-N110)*O110/100*(R110+S110)/1000000</f>
        <v>0.50368500000000005</v>
      </c>
      <c r="W110" s="38">
        <f>+'24'!K20/1000</f>
        <v>0</v>
      </c>
      <c r="X110" s="39"/>
      <c r="Y110" s="212"/>
      <c r="Z110" s="38"/>
      <c r="AA110" s="38"/>
      <c r="AB110" s="38"/>
      <c r="AC110" s="38"/>
      <c r="AD110" s="38">
        <f>+AM110+BA110</f>
        <v>18</v>
      </c>
      <c r="AE110" s="231" t="s">
        <v>640</v>
      </c>
      <c r="AF110" s="38"/>
      <c r="AG110" s="38">
        <v>18</v>
      </c>
      <c r="AH110" s="38"/>
      <c r="AI110" s="494"/>
      <c r="AJ110" s="38"/>
      <c r="AK110" s="38"/>
      <c r="AL110" s="38"/>
      <c r="AM110" s="38">
        <f t="shared" si="64"/>
        <v>18</v>
      </c>
      <c r="AN110" s="84"/>
      <c r="AO110" s="38"/>
      <c r="AP110" s="38"/>
      <c r="AQ110" s="38"/>
      <c r="AR110" s="38">
        <f t="shared" ref="AR110:AR111" si="65">SUM(AN110:AQ110)</f>
        <v>0</v>
      </c>
      <c r="AS110" s="38"/>
      <c r="AT110" s="38"/>
      <c r="AU110" s="38"/>
      <c r="AV110" s="38"/>
      <c r="AW110" s="38"/>
      <c r="AX110" s="38"/>
      <c r="AY110" s="38"/>
      <c r="AZ110" s="38"/>
      <c r="BA110" s="38">
        <f>+AR110+AS110+AU110+AW110+AY110+AZ110</f>
        <v>0</v>
      </c>
      <c r="BB110" s="51"/>
      <c r="BC110" s="52">
        <v>27</v>
      </c>
      <c r="BD110" s="52"/>
      <c r="BE110" s="51"/>
      <c r="BF110" s="52"/>
    </row>
    <row r="111" spans="1:58" ht="12.95" customHeight="1">
      <c r="A111" s="41"/>
      <c r="B111" s="42"/>
      <c r="C111" s="406"/>
      <c r="D111" s="42"/>
      <c r="E111" s="43"/>
      <c r="F111" s="43"/>
      <c r="G111" s="44"/>
      <c r="H111" s="45"/>
      <c r="I111" s="46"/>
      <c r="J111" s="83"/>
      <c r="K111" s="83"/>
      <c r="L111" s="36"/>
      <c r="M111" s="36"/>
      <c r="N111" s="47"/>
      <c r="O111" s="48"/>
      <c r="P111" s="49"/>
      <c r="Q111" s="48"/>
      <c r="R111" s="492"/>
      <c r="S111" s="492"/>
      <c r="T111" s="38"/>
      <c r="U111" s="38"/>
      <c r="V111" s="38"/>
      <c r="W111" s="38"/>
      <c r="X111" s="39"/>
      <c r="Y111" s="212"/>
      <c r="Z111" s="38"/>
      <c r="AA111" s="38"/>
      <c r="AB111" s="38"/>
      <c r="AC111" s="38"/>
      <c r="AD111" s="38">
        <f>+AM111+BA111</f>
        <v>41</v>
      </c>
      <c r="AE111" s="231" t="s">
        <v>492</v>
      </c>
      <c r="AF111" s="34"/>
      <c r="AG111" s="34"/>
      <c r="AH111" s="582">
        <v>41</v>
      </c>
      <c r="AJ111" s="38"/>
      <c r="AK111" s="38"/>
      <c r="AL111" s="38"/>
      <c r="AM111" s="38">
        <f t="shared" si="64"/>
        <v>41</v>
      </c>
      <c r="AN111" s="38"/>
      <c r="AO111" s="38"/>
      <c r="AP111" s="38"/>
      <c r="AQ111" s="38"/>
      <c r="AR111" s="38">
        <f t="shared" si="65"/>
        <v>0</v>
      </c>
      <c r="AS111" s="38"/>
      <c r="AT111" s="38"/>
      <c r="AU111" s="38"/>
      <c r="AV111" s="38"/>
      <c r="AW111" s="38"/>
      <c r="AX111" s="38"/>
      <c r="AY111" s="38"/>
      <c r="AZ111" s="38"/>
      <c r="BA111" s="38">
        <f>+AR111+AS111+AU111+AW111+AY111+AZ111</f>
        <v>0</v>
      </c>
      <c r="BB111" s="34"/>
      <c r="BC111" s="495"/>
      <c r="BD111" s="495"/>
      <c r="BE111" s="34"/>
      <c r="BF111" s="495"/>
    </row>
    <row r="112" spans="1:58" ht="12.95" customHeight="1">
      <c r="A112" s="41"/>
      <c r="B112" s="42"/>
      <c r="C112" s="406"/>
      <c r="D112" s="42"/>
      <c r="E112" s="43"/>
      <c r="F112" s="43"/>
      <c r="G112" s="44"/>
      <c r="H112" s="45"/>
      <c r="I112" s="46"/>
      <c r="J112" s="83"/>
      <c r="K112" s="83"/>
      <c r="L112" s="36"/>
      <c r="M112" s="36"/>
      <c r="N112" s="47"/>
      <c r="O112" s="48"/>
      <c r="P112" s="49"/>
      <c r="Q112" s="48"/>
      <c r="R112" s="492"/>
      <c r="S112" s="492"/>
      <c r="T112" s="38"/>
      <c r="U112" s="38"/>
      <c r="V112" s="38"/>
      <c r="W112" s="38"/>
      <c r="X112" s="39"/>
      <c r="Y112" s="212"/>
      <c r="Z112" s="38"/>
      <c r="AA112" s="38"/>
      <c r="AB112" s="38"/>
      <c r="AC112" s="38"/>
      <c r="AD112" s="38"/>
      <c r="AE112" s="234"/>
      <c r="AF112" s="34"/>
      <c r="AG112" s="34"/>
      <c r="AH112" s="582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4"/>
      <c r="BC112" s="495"/>
      <c r="BD112" s="495"/>
      <c r="BE112" s="34"/>
      <c r="BF112" s="495"/>
    </row>
    <row r="113" spans="1:58" ht="12.75" customHeight="1">
      <c r="A113" s="41">
        <v>45864</v>
      </c>
      <c r="B113" s="42" t="s">
        <v>7</v>
      </c>
      <c r="C113" s="406">
        <f>(M113*E113*O113*Q113)/100000000</f>
        <v>48.273716399999998</v>
      </c>
      <c r="D113" s="42" t="s">
        <v>301</v>
      </c>
      <c r="E113" s="43">
        <v>14</v>
      </c>
      <c r="F113" s="43">
        <v>1</v>
      </c>
      <c r="G113" s="491">
        <v>1230</v>
      </c>
      <c r="H113" s="45">
        <v>0.25</v>
      </c>
      <c r="I113" s="46">
        <v>0.88</v>
      </c>
      <c r="J113" s="83">
        <f>E113*G113*(1-H113)*1440/1000000*2.74</f>
        <v>50.957424000000003</v>
      </c>
      <c r="K113" s="83">
        <f>(IF(G113&lt;L113,L113,G113)*(1-IF(H113&lt;N113,H113,N113))*E113*O113*Q113)/100000000</f>
        <v>49.32584514294286</v>
      </c>
      <c r="L113" s="36">
        <v>1203.7638888888889</v>
      </c>
      <c r="M113" s="36">
        <v>920.97291666666672</v>
      </c>
      <c r="N113" s="47">
        <f>1-(M113/L113)</f>
        <v>0.23492229234692108</v>
      </c>
      <c r="O113" s="48">
        <f>+'Trim Rwd'!H75</f>
        <v>260</v>
      </c>
      <c r="P113" s="49">
        <f>O113*(Q113-R113-S113)</f>
        <v>349960</v>
      </c>
      <c r="Q113" s="48">
        <v>1440</v>
      </c>
      <c r="R113" s="492">
        <v>0</v>
      </c>
      <c r="S113" s="492">
        <v>94</v>
      </c>
      <c r="T113" s="38">
        <f>E113*M113*O113*Q113/100000000</f>
        <v>48.273716399999998</v>
      </c>
      <c r="U113" s="38">
        <f>E113*M113*O113*(Q113-R113-S113)/100000000</f>
        <v>45.12251546833334</v>
      </c>
      <c r="V113" s="38">
        <f>E113*G113*(1-N113)*O113/100*(R113+S113)/1000000</f>
        <v>3.2198815579421032</v>
      </c>
      <c r="W113" s="38">
        <f>+'26'!K14/1000</f>
        <v>44.466999999999999</v>
      </c>
      <c r="X113" s="493">
        <f>SUM(W113:W116)/SUM(K113:K116)</f>
        <v>0.90149494390086438</v>
      </c>
      <c r="Y113" s="212">
        <f>+SUM(RBP!AG104:AG105)</f>
        <v>0</v>
      </c>
      <c r="Z113" s="38">
        <f>+'18'!D41/1000</f>
        <v>0</v>
      </c>
      <c r="AA113" s="50">
        <f>SUM(U113:U116)-SUM(W113:W116)-SUM(Z113:Z116)-SUM(Y113:Y116)</f>
        <v>0.65551546833334129</v>
      </c>
      <c r="AB113" s="50">
        <f>(SUM(K113:K116)-SUM(W113:W116)-SUM(Y113:Y116)-SUM(Z113:Z116)-SUM(AC113:AC116)-SUM(V113:V116))-AA113</f>
        <v>-6.8680626275445356E-2</v>
      </c>
      <c r="AC113" s="38">
        <f>K113-T113</f>
        <v>1.0521287429428625</v>
      </c>
      <c r="AD113" s="38">
        <f>+AM113+BA113</f>
        <v>9</v>
      </c>
      <c r="AE113" s="231" t="s">
        <v>394</v>
      </c>
      <c r="AF113" s="38">
        <v>9</v>
      </c>
      <c r="AG113" s="38"/>
      <c r="AH113" s="38"/>
      <c r="AI113" s="494"/>
      <c r="AJ113" s="38"/>
      <c r="AK113" s="38"/>
      <c r="AL113" s="38"/>
      <c r="AM113" s="38">
        <f t="shared" ref="AM113:AM115" si="66">SUM(AF113:AL113)+AT113+AV113+AX113</f>
        <v>9</v>
      </c>
      <c r="AN113" s="38"/>
      <c r="AO113" s="38"/>
      <c r="AP113" s="38"/>
      <c r="AQ113" s="38"/>
      <c r="AR113" s="38">
        <f>SUM(AN113:AQ113)</f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>+AR113+AS113+AU113+AW113+AY113+AZ113</f>
        <v>0</v>
      </c>
      <c r="BB113" s="34">
        <v>3</v>
      </c>
      <c r="BC113" s="52"/>
      <c r="BD113" s="52"/>
      <c r="BE113" s="34"/>
      <c r="BF113" s="52"/>
    </row>
    <row r="114" spans="1:58" ht="12.95" customHeight="1">
      <c r="A114" s="41"/>
      <c r="B114" s="42"/>
      <c r="C114" s="406"/>
      <c r="D114" s="42"/>
      <c r="E114" s="43"/>
      <c r="F114" s="43"/>
      <c r="G114" s="491"/>
      <c r="H114" s="45"/>
      <c r="I114" s="46"/>
      <c r="J114" s="83"/>
      <c r="K114" s="83"/>
      <c r="L114" s="36"/>
      <c r="M114" s="36"/>
      <c r="N114" s="47"/>
      <c r="O114" s="48"/>
      <c r="P114" s="49"/>
      <c r="Q114" s="48"/>
      <c r="R114" s="492"/>
      <c r="S114" s="492"/>
      <c r="T114" s="38"/>
      <c r="U114" s="38"/>
      <c r="V114" s="38"/>
      <c r="W114" s="38"/>
      <c r="X114" s="39"/>
      <c r="Y114" s="212"/>
      <c r="Z114" s="38"/>
      <c r="AA114" s="38"/>
      <c r="AB114" s="38"/>
      <c r="AC114" s="38"/>
      <c r="AD114" s="38">
        <f>+AM114+BA114</f>
        <v>38</v>
      </c>
      <c r="AE114" s="231" t="s">
        <v>658</v>
      </c>
      <c r="AF114" s="38"/>
      <c r="AG114" s="38">
        <v>38</v>
      </c>
      <c r="AH114" s="38"/>
      <c r="AI114" s="494"/>
      <c r="AJ114" s="38"/>
      <c r="AK114" s="38"/>
      <c r="AL114" s="38"/>
      <c r="AM114" s="38">
        <f t="shared" si="66"/>
        <v>38</v>
      </c>
      <c r="AN114" s="84"/>
      <c r="AO114" s="38"/>
      <c r="AP114" s="38"/>
      <c r="AQ114" s="38"/>
      <c r="AR114" s="38">
        <f t="shared" ref="AR114:AR115" si="67">SUM(AN114:AQ114)</f>
        <v>0</v>
      </c>
      <c r="AS114" s="38"/>
      <c r="AT114" s="38"/>
      <c r="AU114" s="38"/>
      <c r="AV114" s="38"/>
      <c r="AW114" s="38"/>
      <c r="AX114" s="38"/>
      <c r="AY114" s="38"/>
      <c r="AZ114" s="38"/>
      <c r="BA114" s="38">
        <f>+AR114+AS114+AU114+AW114+AY114+AZ114</f>
        <v>0</v>
      </c>
      <c r="BB114" s="51"/>
      <c r="BC114" s="52">
        <v>18</v>
      </c>
      <c r="BD114" s="52"/>
      <c r="BE114" s="51"/>
      <c r="BF114" s="52"/>
    </row>
    <row r="115" spans="1:58" ht="12.95" customHeight="1">
      <c r="A115" s="41"/>
      <c r="B115" s="42"/>
      <c r="C115" s="406"/>
      <c r="D115" s="42"/>
      <c r="E115" s="43"/>
      <c r="F115" s="43"/>
      <c r="G115" s="44"/>
      <c r="H115" s="45"/>
      <c r="I115" s="46"/>
      <c r="J115" s="83"/>
      <c r="K115" s="83"/>
      <c r="L115" s="36"/>
      <c r="M115" s="36"/>
      <c r="N115" s="47"/>
      <c r="O115" s="48"/>
      <c r="P115" s="49"/>
      <c r="Q115" s="48"/>
      <c r="R115" s="492"/>
      <c r="S115" s="492"/>
      <c r="T115" s="38"/>
      <c r="U115" s="38"/>
      <c r="V115" s="38"/>
      <c r="W115" s="38"/>
      <c r="X115" s="39"/>
      <c r="Y115" s="212"/>
      <c r="Z115" s="38"/>
      <c r="AA115" s="38"/>
      <c r="AB115" s="38"/>
      <c r="AC115" s="38"/>
      <c r="AD115" s="38">
        <f>+AM115+BA115</f>
        <v>47</v>
      </c>
      <c r="AE115" s="231" t="s">
        <v>659</v>
      </c>
      <c r="AF115" s="34"/>
      <c r="AG115" s="34"/>
      <c r="AH115" s="582">
        <v>47</v>
      </c>
      <c r="AJ115" s="38"/>
      <c r="AK115" s="38"/>
      <c r="AL115" s="38"/>
      <c r="AM115" s="38">
        <f t="shared" si="66"/>
        <v>47</v>
      </c>
      <c r="AN115" s="38"/>
      <c r="AO115" s="38"/>
      <c r="AP115" s="38"/>
      <c r="AQ115" s="38"/>
      <c r="AR115" s="38">
        <f t="shared" si="67"/>
        <v>0</v>
      </c>
      <c r="AS115" s="38"/>
      <c r="AT115" s="38"/>
      <c r="AU115" s="38"/>
      <c r="AV115" s="38"/>
      <c r="AW115" s="38"/>
      <c r="AX115" s="38"/>
      <c r="AY115" s="38"/>
      <c r="AZ115" s="38"/>
      <c r="BA115" s="38">
        <f>+AR115+AS115+AU115+AW115+AY115+AZ115</f>
        <v>0</v>
      </c>
      <c r="BB115" s="34"/>
      <c r="BC115" s="495"/>
      <c r="BD115" s="495"/>
      <c r="BE115" s="34"/>
      <c r="BF115" s="495"/>
    </row>
    <row r="116" spans="1:58" ht="12.95" customHeight="1">
      <c r="A116" s="41"/>
      <c r="B116" s="42"/>
      <c r="C116" s="406"/>
      <c r="D116" s="42"/>
      <c r="E116" s="43"/>
      <c r="F116" s="43"/>
      <c r="G116" s="44"/>
      <c r="H116" s="45"/>
      <c r="I116" s="46"/>
      <c r="J116" s="83"/>
      <c r="K116" s="83"/>
      <c r="L116" s="36"/>
      <c r="M116" s="36"/>
      <c r="N116" s="47"/>
      <c r="O116" s="48"/>
      <c r="P116" s="49"/>
      <c r="Q116" s="48"/>
      <c r="R116" s="492"/>
      <c r="S116" s="492"/>
      <c r="T116" s="38"/>
      <c r="U116" s="38"/>
      <c r="V116" s="38"/>
      <c r="W116" s="38"/>
      <c r="X116" s="493"/>
      <c r="Y116" s="212"/>
      <c r="Z116" s="38"/>
      <c r="AA116" s="50"/>
      <c r="AB116" s="50"/>
      <c r="AC116" s="38"/>
      <c r="AD116" s="38"/>
      <c r="AE116" s="231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4"/>
      <c r="BC116" s="52"/>
      <c r="BD116" s="495"/>
      <c r="BE116" s="34"/>
      <c r="BF116" s="495"/>
    </row>
    <row r="117" spans="1:58" ht="12.75" customHeight="1">
      <c r="A117" s="41">
        <v>45865</v>
      </c>
      <c r="B117" s="42" t="s">
        <v>7</v>
      </c>
      <c r="C117" s="406">
        <f>(M117*E117*O117*Q117)/100000000</f>
        <v>45.554690999999998</v>
      </c>
      <c r="D117" s="42" t="s">
        <v>301</v>
      </c>
      <c r="E117" s="43">
        <v>14</v>
      </c>
      <c r="F117" s="43">
        <v>1</v>
      </c>
      <c r="G117" s="491">
        <v>1230</v>
      </c>
      <c r="H117" s="45">
        <v>0.25</v>
      </c>
      <c r="I117" s="46">
        <v>0.88</v>
      </c>
      <c r="J117" s="83">
        <f>E117*G117*(1-H117)*1440/1000000*2.74</f>
        <v>50.957424000000003</v>
      </c>
      <c r="K117" s="83">
        <f>(IF(G117&lt;L117,L117,G117)*(1-IF(H117&lt;N117,H117,N117))*E117*O117*Q117)/100000000</f>
        <v>46.574072999999999</v>
      </c>
      <c r="L117" s="36">
        <v>1203.0785868781543</v>
      </c>
      <c r="M117" s="36">
        <v>902.30894015861577</v>
      </c>
      <c r="N117" s="47">
        <f>1-(M117/L117)</f>
        <v>0.25</v>
      </c>
      <c r="O117" s="48">
        <f>+'Trim Rwd'!H77</f>
        <v>260</v>
      </c>
      <c r="P117" s="49">
        <f>O117*(Q117-R117-S117)</f>
        <v>337220</v>
      </c>
      <c r="Q117" s="48">
        <v>1387</v>
      </c>
      <c r="R117" s="492">
        <v>0</v>
      </c>
      <c r="S117" s="492">
        <v>90</v>
      </c>
      <c r="T117" s="38">
        <f>E117*M117*O117*Q117/100000000</f>
        <v>45.554690999999998</v>
      </c>
      <c r="U117" s="38">
        <f>E117*M117*O117*(Q117-R117-S117)/100000000</f>
        <v>42.598726912040377</v>
      </c>
      <c r="V117" s="38">
        <f>E117*G117*(1-N117)*O117/100*(R117+S117)/1000000</f>
        <v>3.0221100000000001</v>
      </c>
      <c r="W117" s="38">
        <f>+'27'!K14/1000</f>
        <v>44.783999999999999</v>
      </c>
      <c r="X117" s="493">
        <f>SUM(W117:W120)/SUM(K117:K120)</f>
        <v>0.93086522002853345</v>
      </c>
      <c r="Y117" s="212">
        <f>+SUM(RBP!AG108:AG109)</f>
        <v>0</v>
      </c>
      <c r="Z117" s="38">
        <f>+'18'!D45/1000</f>
        <v>0</v>
      </c>
      <c r="AA117" s="50">
        <f>SUM(U117:U120)-SUM(W117:W120)-SUM(Z117:Z120)-SUM(Y117:Y120)</f>
        <v>-1.1129664679596232</v>
      </c>
      <c r="AB117" s="50">
        <f>(SUM(K117:K120)-SUM(W117:W120)-SUM(Y117:Y120)-SUM(Z117:Z120)-SUM(AC117:AC120)-SUM(V117:V120))-AA117</f>
        <v>-6.6145912040376231E-2</v>
      </c>
      <c r="AC117" s="38">
        <f>K117-T117</f>
        <v>1.0193820000000002</v>
      </c>
      <c r="AD117" s="38">
        <f>+AM117+BA117</f>
        <v>44</v>
      </c>
      <c r="AE117" s="231" t="s">
        <v>660</v>
      </c>
      <c r="AF117" s="38">
        <v>44</v>
      </c>
      <c r="AG117" s="38"/>
      <c r="AH117" s="38"/>
      <c r="AI117" s="494"/>
      <c r="AJ117" s="38"/>
      <c r="AK117" s="38"/>
      <c r="AL117" s="38"/>
      <c r="AM117" s="38">
        <f t="shared" ref="AM117:AM119" si="68">SUM(AF117:AL117)+AT117+AV117+AX117</f>
        <v>44</v>
      </c>
      <c r="AN117" s="38"/>
      <c r="AO117" s="38"/>
      <c r="AP117" s="38"/>
      <c r="AQ117" s="38"/>
      <c r="AR117" s="38">
        <f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>+AR117+AS117+AU117+AW117+AY117+AZ117</f>
        <v>0</v>
      </c>
      <c r="BB117" s="34">
        <v>11</v>
      </c>
      <c r="BC117" s="52"/>
      <c r="BD117" s="52"/>
      <c r="BE117" s="34"/>
      <c r="BF117" s="52"/>
    </row>
    <row r="118" spans="1:58" ht="12.95" customHeight="1">
      <c r="A118" s="41"/>
      <c r="B118" s="42" t="s">
        <v>7</v>
      </c>
      <c r="C118" s="406">
        <f>(M118*E118*O118*Q118)/100000000</f>
        <v>1.5360067799999997</v>
      </c>
      <c r="D118" s="42" t="s">
        <v>301</v>
      </c>
      <c r="E118" s="43">
        <v>12</v>
      </c>
      <c r="F118" s="43">
        <v>1</v>
      </c>
      <c r="G118" s="491">
        <v>1230</v>
      </c>
      <c r="H118" s="45">
        <v>0.23</v>
      </c>
      <c r="I118" s="46">
        <v>0.88</v>
      </c>
      <c r="J118" s="83">
        <f>E118*G118*(1-H118)*1440/1000000*2.74</f>
        <v>44.842533120000006</v>
      </c>
      <c r="K118" s="83">
        <f>(IF(G118&lt;L118,L118,G118)*(1-IF(H118&lt;N118,H118,N118))*E118*O118*Q118)/100000000</f>
        <v>1.5360067799999997</v>
      </c>
      <c r="L118" s="36">
        <v>1230</v>
      </c>
      <c r="M118" s="36">
        <v>947.09999999999991</v>
      </c>
      <c r="N118" s="47">
        <f>1-(M118/L118)</f>
        <v>0.23000000000000009</v>
      </c>
      <c r="O118" s="48">
        <f>+'Trim Rwd'!H78</f>
        <v>255</v>
      </c>
      <c r="P118" s="49">
        <f>O118*(Q118-R118-S118)</f>
        <v>9435</v>
      </c>
      <c r="Q118" s="48">
        <v>53</v>
      </c>
      <c r="R118" s="492">
        <v>0</v>
      </c>
      <c r="S118" s="492">
        <v>16</v>
      </c>
      <c r="T118" s="38">
        <f>E118*M118*O118*Q118/100000000</f>
        <v>1.5360067799999997</v>
      </c>
      <c r="U118" s="38">
        <f>E118*M118*O118*(Q118-R118-S118)/100000000</f>
        <v>1.0723066199999998</v>
      </c>
      <c r="V118" s="38">
        <f>E118*G118*(1-N118)*O118/100*(R118+S118)/1000000</f>
        <v>0.46370015999999992</v>
      </c>
      <c r="W118" s="38">
        <f>+'24'!K28/1000</f>
        <v>0</v>
      </c>
      <c r="X118" s="39"/>
      <c r="Y118" s="212"/>
      <c r="Z118" s="38"/>
      <c r="AA118" s="38"/>
      <c r="AB118" s="38"/>
      <c r="AC118" s="38"/>
      <c r="AD118" s="38">
        <f>+AM118+BA118</f>
        <v>0</v>
      </c>
      <c r="AE118" s="231" t="s">
        <v>408</v>
      </c>
      <c r="AF118" s="38"/>
      <c r="AG118" s="38">
        <v>0</v>
      </c>
      <c r="AH118" s="38"/>
      <c r="AI118" s="494"/>
      <c r="AJ118" s="38"/>
      <c r="AK118" s="38"/>
      <c r="AL118" s="38"/>
      <c r="AM118" s="38">
        <f t="shared" si="68"/>
        <v>0</v>
      </c>
      <c r="AN118" s="84"/>
      <c r="AO118" s="38"/>
      <c r="AP118" s="38"/>
      <c r="AQ118" s="38"/>
      <c r="AR118" s="38">
        <f t="shared" ref="AR118:AR119" si="69">SUM(AN118:AQ118)</f>
        <v>0</v>
      </c>
      <c r="AS118" s="38"/>
      <c r="AT118" s="38"/>
      <c r="AU118" s="38"/>
      <c r="AV118" s="38"/>
      <c r="AW118" s="38"/>
      <c r="AX118" s="38"/>
      <c r="AY118" s="38"/>
      <c r="AZ118" s="38"/>
      <c r="BA118" s="38">
        <f>+AR118+AS118+AU118+AW118+AY118+AZ118</f>
        <v>0</v>
      </c>
      <c r="BB118" s="51"/>
      <c r="BC118" s="52">
        <v>0</v>
      </c>
      <c r="BD118" s="52"/>
      <c r="BE118" s="51"/>
      <c r="BF118" s="52"/>
    </row>
    <row r="119" spans="1:58" ht="12.95" customHeight="1">
      <c r="A119" s="41"/>
      <c r="B119" s="42"/>
      <c r="C119" s="406"/>
      <c r="D119" s="42"/>
      <c r="E119" s="43"/>
      <c r="F119" s="43"/>
      <c r="G119" s="44"/>
      <c r="H119" s="45"/>
      <c r="I119" s="46"/>
      <c r="J119" s="83"/>
      <c r="K119" s="83"/>
      <c r="L119" s="36"/>
      <c r="M119" s="36"/>
      <c r="N119" s="47"/>
      <c r="O119" s="48"/>
      <c r="P119" s="49"/>
      <c r="Q119" s="48"/>
      <c r="R119" s="492"/>
      <c r="S119" s="492"/>
      <c r="T119" s="38"/>
      <c r="U119" s="38"/>
      <c r="V119" s="38"/>
      <c r="W119" s="38"/>
      <c r="X119" s="39"/>
      <c r="Y119" s="212"/>
      <c r="Z119" s="38"/>
      <c r="AA119" s="38"/>
      <c r="AB119" s="38"/>
      <c r="AC119" s="38"/>
      <c r="AD119" s="38">
        <f>+AM119+BA119</f>
        <v>62</v>
      </c>
      <c r="AE119" s="231" t="s">
        <v>620</v>
      </c>
      <c r="AF119" s="34"/>
      <c r="AG119" s="34"/>
      <c r="AH119" s="582">
        <v>62</v>
      </c>
      <c r="AJ119" s="38"/>
      <c r="AK119" s="38"/>
      <c r="AL119" s="38"/>
      <c r="AM119" s="38">
        <f t="shared" si="68"/>
        <v>62</v>
      </c>
      <c r="AN119" s="38"/>
      <c r="AO119" s="38"/>
      <c r="AP119" s="38"/>
      <c r="AQ119" s="38"/>
      <c r="AR119" s="38">
        <f t="shared" si="69"/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>+AR119+AS119+AU119+AW119+AY119+AZ119</f>
        <v>0</v>
      </c>
      <c r="BB119" s="34"/>
      <c r="BC119" s="495"/>
      <c r="BD119" s="495"/>
      <c r="BE119" s="34"/>
      <c r="BF119" s="495"/>
    </row>
    <row r="120" spans="1:58" ht="12.95" customHeight="1">
      <c r="A120" s="41"/>
      <c r="B120" s="42"/>
      <c r="C120" s="406"/>
      <c r="D120" s="42"/>
      <c r="E120" s="43"/>
      <c r="F120" s="43"/>
      <c r="G120" s="44"/>
      <c r="H120" s="45"/>
      <c r="I120" s="46"/>
      <c r="J120" s="83"/>
      <c r="K120" s="83"/>
      <c r="L120" s="36"/>
      <c r="M120" s="36"/>
      <c r="N120" s="47"/>
      <c r="O120" s="48"/>
      <c r="P120" s="49"/>
      <c r="Q120" s="35"/>
      <c r="R120" s="492"/>
      <c r="S120" s="492"/>
      <c r="T120" s="38"/>
      <c r="U120" s="38"/>
      <c r="V120" s="38"/>
      <c r="W120" s="38"/>
      <c r="X120" s="39"/>
      <c r="Y120" s="212"/>
      <c r="Z120" s="38"/>
      <c r="AA120" s="38"/>
      <c r="AB120" s="38"/>
      <c r="AC120" s="38"/>
      <c r="AD120" s="38"/>
      <c r="AE120" s="234"/>
      <c r="AF120" s="38"/>
      <c r="AG120" s="38"/>
      <c r="AH120" s="38"/>
      <c r="AI120" s="494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51"/>
      <c r="BC120" s="52"/>
      <c r="BD120" s="52"/>
      <c r="BE120" s="52"/>
      <c r="BF120" s="52"/>
    </row>
    <row r="121" spans="1:58" ht="12.75" customHeight="1">
      <c r="A121" s="41">
        <v>45866</v>
      </c>
      <c r="B121" s="42" t="s">
        <v>7</v>
      </c>
      <c r="C121" s="406">
        <f>(M121*E121*O121*Q121)/100000000</f>
        <v>42.702047242105252</v>
      </c>
      <c r="D121" s="42" t="s">
        <v>301</v>
      </c>
      <c r="E121" s="43">
        <v>12</v>
      </c>
      <c r="F121" s="43">
        <v>1</v>
      </c>
      <c r="G121" s="491">
        <v>1230</v>
      </c>
      <c r="H121" s="45">
        <v>0.23</v>
      </c>
      <c r="I121" s="46">
        <v>0.88</v>
      </c>
      <c r="J121" s="83">
        <f>E121*G121*(1-H121)*1440/1000000*2.74</f>
        <v>44.842533120000006</v>
      </c>
      <c r="K121" s="83">
        <f>(IF(G121&lt;L121,L121,G121)*(1-IF(H121&lt;N121,H121,N121))*E121*O121*Q121)/100000000</f>
        <v>42.702047242105252</v>
      </c>
      <c r="L121" s="36">
        <v>1230</v>
      </c>
      <c r="M121" s="36">
        <v>947.0999999999998</v>
      </c>
      <c r="N121" s="47">
        <f>1-(M121/L121)</f>
        <v>0.2300000000000002</v>
      </c>
      <c r="O121" s="48">
        <f>+'Trim Rwd'!H81</f>
        <v>260.92105263157896</v>
      </c>
      <c r="P121" s="49">
        <f>O121*(Q121-R121-S121)</f>
        <v>358505.5263157895</v>
      </c>
      <c r="Q121" s="48">
        <v>1440</v>
      </c>
      <c r="R121" s="492">
        <v>0</v>
      </c>
      <c r="S121" s="492">
        <v>66</v>
      </c>
      <c r="T121" s="38">
        <f>E121*M121*O121*Q121/100000000</f>
        <v>42.702047242105252</v>
      </c>
      <c r="U121" s="38">
        <f>E121*M121*O121*(Q121-R121-S121)/100000000</f>
        <v>40.744870076842098</v>
      </c>
      <c r="V121" s="38">
        <f>E121*G121*(1-N121)*O121/100*(R121+S121)/1000000</f>
        <v>1.9571771652631575</v>
      </c>
      <c r="W121" s="38">
        <f>+'28'!K9/1000</f>
        <v>39.575000000000003</v>
      </c>
      <c r="X121" s="493">
        <f>SUM(W121:W124)/SUM(K121:K124)</f>
        <v>0.96140589623814954</v>
      </c>
      <c r="Y121" s="212">
        <f>+SUM(RBP!AG112:AG113)</f>
        <v>0</v>
      </c>
      <c r="Z121" s="38">
        <v>0</v>
      </c>
      <c r="AA121" s="50">
        <f>SUM(U121:U124)-SUM(W121:W124)-SUM(Z121:Z124)-SUM(Y121:Y124)</f>
        <v>-0.30912992315790433</v>
      </c>
      <c r="AB121" s="50">
        <f>(SUM(K121:K124)-SUM(W121:W124)-SUM(Y121:Y124)-SUM(Z121:Z124)-SUM(AC121:AC124)-SUM(V121:V124))-AA121</f>
        <v>-3.5527136788005009E-15</v>
      </c>
      <c r="AC121" s="38">
        <f>K121-T121</f>
        <v>0</v>
      </c>
      <c r="AD121" s="38">
        <f>+AM121+BA121</f>
        <v>12</v>
      </c>
      <c r="AE121" s="231" t="s">
        <v>470</v>
      </c>
      <c r="AF121" s="38">
        <v>12</v>
      </c>
      <c r="AG121" s="38"/>
      <c r="AH121" s="38"/>
      <c r="AI121" s="494"/>
      <c r="AJ121" s="38"/>
      <c r="AK121" s="38"/>
      <c r="AL121" s="38"/>
      <c r="AM121" s="38">
        <f t="shared" ref="AM121:AM123" si="70">SUM(AF121:AL121)+AT121+AV121+AX121</f>
        <v>12</v>
      </c>
      <c r="AN121" s="38"/>
      <c r="AO121" s="38"/>
      <c r="AP121" s="38"/>
      <c r="AQ121" s="38"/>
      <c r="AR121" s="38">
        <f>SUM(AN121:AQ121)</f>
        <v>0</v>
      </c>
      <c r="AS121" s="38"/>
      <c r="AT121" s="38"/>
      <c r="AU121" s="38"/>
      <c r="AV121" s="38"/>
      <c r="AW121" s="38"/>
      <c r="AX121" s="38"/>
      <c r="AY121" s="38"/>
      <c r="AZ121" s="38"/>
      <c r="BA121" s="38">
        <f>+AR121+AS121+AU121+AW121+AY121+AZ121</f>
        <v>0</v>
      </c>
      <c r="BB121" s="34">
        <v>4</v>
      </c>
      <c r="BC121" s="52"/>
      <c r="BD121" s="52"/>
      <c r="BE121" s="34"/>
      <c r="BF121" s="52"/>
    </row>
    <row r="122" spans="1:58" ht="12.95" customHeight="1">
      <c r="A122" s="41"/>
      <c r="B122" s="42" t="s">
        <v>7</v>
      </c>
      <c r="C122" s="406"/>
      <c r="D122" s="42" t="s">
        <v>301</v>
      </c>
      <c r="E122" s="43">
        <v>14</v>
      </c>
      <c r="F122" s="43"/>
      <c r="G122" s="491"/>
      <c r="H122" s="45"/>
      <c r="I122" s="46"/>
      <c r="J122" s="83"/>
      <c r="K122" s="83"/>
      <c r="L122" s="36"/>
      <c r="M122" s="36"/>
      <c r="N122" s="47"/>
      <c r="O122" s="48"/>
      <c r="P122" s="49"/>
      <c r="Q122" s="48"/>
      <c r="R122" s="492"/>
      <c r="S122" s="492"/>
      <c r="T122" s="38"/>
      <c r="U122" s="38"/>
      <c r="V122" s="38"/>
      <c r="W122" s="38">
        <f>+'28'!K14/1000</f>
        <v>1.4790000000000001</v>
      </c>
      <c r="X122" s="39"/>
      <c r="Y122" s="212"/>
      <c r="Z122" s="38"/>
      <c r="AA122" s="38"/>
      <c r="AB122" s="38"/>
      <c r="AC122" s="38"/>
      <c r="AD122" s="38">
        <f>+AM122+BA122</f>
        <v>12</v>
      </c>
      <c r="AE122" s="231" t="s">
        <v>672</v>
      </c>
      <c r="AF122" s="38"/>
      <c r="AG122" s="38">
        <v>12</v>
      </c>
      <c r="AH122" s="38"/>
      <c r="AI122" s="494"/>
      <c r="AJ122" s="38"/>
      <c r="AK122" s="38"/>
      <c r="AL122" s="38"/>
      <c r="AM122" s="38">
        <f t="shared" si="70"/>
        <v>12</v>
      </c>
      <c r="AN122" s="84"/>
      <c r="AO122" s="38"/>
      <c r="AP122" s="38"/>
      <c r="AQ122" s="38"/>
      <c r="AR122" s="38">
        <f t="shared" ref="AR122:AR123" si="71">SUM(AN122:AQ122)</f>
        <v>0</v>
      </c>
      <c r="AS122" s="38"/>
      <c r="AT122" s="38"/>
      <c r="AU122" s="38"/>
      <c r="AV122" s="38"/>
      <c r="AW122" s="38"/>
      <c r="AX122" s="38"/>
      <c r="AY122" s="38"/>
      <c r="AZ122" s="38"/>
      <c r="BA122" s="38">
        <f>+AR122+AS122+AU122+AW122+AY122+AZ122</f>
        <v>0</v>
      </c>
      <c r="BB122" s="51"/>
      <c r="BC122" s="52">
        <v>7</v>
      </c>
      <c r="BD122" s="52"/>
      <c r="BE122" s="51"/>
      <c r="BF122" s="52"/>
    </row>
    <row r="123" spans="1:58" ht="12.95" customHeight="1">
      <c r="A123" s="41"/>
      <c r="B123" s="42"/>
      <c r="C123" s="406"/>
      <c r="D123" s="42"/>
      <c r="E123" s="43"/>
      <c r="F123" s="43"/>
      <c r="G123" s="44"/>
      <c r="H123" s="45"/>
      <c r="I123" s="46"/>
      <c r="J123" s="83"/>
      <c r="K123" s="83"/>
      <c r="L123" s="36"/>
      <c r="M123" s="36"/>
      <c r="N123" s="47"/>
      <c r="O123" s="48"/>
      <c r="P123" s="49"/>
      <c r="Q123" s="48"/>
      <c r="R123" s="492"/>
      <c r="S123" s="492"/>
      <c r="T123" s="38"/>
      <c r="U123" s="38"/>
      <c r="V123" s="38"/>
      <c r="W123" s="38"/>
      <c r="X123" s="39"/>
      <c r="Y123" s="212"/>
      <c r="Z123" s="38"/>
      <c r="AA123" s="38"/>
      <c r="AB123" s="38"/>
      <c r="AC123" s="38"/>
      <c r="AD123" s="38">
        <f>+AM123+BA123</f>
        <v>42</v>
      </c>
      <c r="AE123" s="231" t="s">
        <v>492</v>
      </c>
      <c r="AF123" s="34"/>
      <c r="AG123" s="34"/>
      <c r="AH123" s="582">
        <v>42</v>
      </c>
      <c r="AJ123" s="38"/>
      <c r="AK123" s="38"/>
      <c r="AL123" s="38"/>
      <c r="AM123" s="38">
        <f t="shared" si="70"/>
        <v>42</v>
      </c>
      <c r="AN123" s="38"/>
      <c r="AO123" s="38"/>
      <c r="AP123" s="38"/>
      <c r="AQ123" s="38"/>
      <c r="AR123" s="38">
        <f t="shared" si="71"/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>+AR123+AS123+AU123+AW123+AY123+AZ123</f>
        <v>0</v>
      </c>
      <c r="BB123" s="34"/>
      <c r="BC123" s="495"/>
      <c r="BD123" s="495"/>
      <c r="BE123" s="34"/>
      <c r="BF123" s="495"/>
    </row>
    <row r="124" spans="1:58" ht="12.95" customHeight="1">
      <c r="A124" s="41"/>
      <c r="B124" s="42"/>
      <c r="C124" s="406"/>
      <c r="D124" s="42"/>
      <c r="E124" s="43"/>
      <c r="F124" s="43"/>
      <c r="G124" s="44"/>
      <c r="H124" s="45"/>
      <c r="I124" s="46"/>
      <c r="J124" s="83"/>
      <c r="K124" s="83"/>
      <c r="L124" s="36"/>
      <c r="M124" s="36"/>
      <c r="N124" s="47"/>
      <c r="O124" s="48"/>
      <c r="P124" s="49"/>
      <c r="Q124" s="48"/>
      <c r="R124" s="492"/>
      <c r="S124" s="492"/>
      <c r="T124" s="38"/>
      <c r="U124" s="38"/>
      <c r="V124" s="38"/>
      <c r="W124" s="38"/>
      <c r="X124" s="39"/>
      <c r="Y124" s="212"/>
      <c r="Z124" s="38"/>
      <c r="AA124" s="38"/>
      <c r="AB124" s="38"/>
      <c r="AC124" s="38"/>
      <c r="AD124" s="38"/>
      <c r="AE124" s="231"/>
      <c r="AF124" s="34"/>
      <c r="AG124" s="34"/>
      <c r="AH124" s="34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4"/>
      <c r="BC124" s="495"/>
      <c r="BD124" s="52"/>
      <c r="BE124" s="52"/>
      <c r="BF124" s="52"/>
    </row>
    <row r="125" spans="1:58" ht="12.75" customHeight="1">
      <c r="A125" s="41">
        <v>45867</v>
      </c>
      <c r="B125" s="42" t="s">
        <v>7</v>
      </c>
      <c r="C125" s="406">
        <f>(M125*E125*O125*Q125)/100000000</f>
        <v>25.985109149999996</v>
      </c>
      <c r="D125" s="42" t="s">
        <v>301</v>
      </c>
      <c r="E125" s="43">
        <v>12</v>
      </c>
      <c r="F125" s="43">
        <v>1</v>
      </c>
      <c r="G125" s="491">
        <v>1230</v>
      </c>
      <c r="H125" s="45">
        <v>0.23</v>
      </c>
      <c r="I125" s="46">
        <v>0.88</v>
      </c>
      <c r="J125" s="83">
        <f>E125*G125*(1-H125)*1440/1000000*2.74</f>
        <v>44.842533120000006</v>
      </c>
      <c r="K125" s="83">
        <f>(IF(G125&lt;L125,L125,G125)*(1-IF(H125&lt;N125,H125,N125))*E125*O125*Q125)/100000000</f>
        <v>25.985109149999996</v>
      </c>
      <c r="L125" s="36">
        <v>1230</v>
      </c>
      <c r="M125" s="36">
        <v>947.09999999999991</v>
      </c>
      <c r="N125" s="47">
        <f>1-(M125/L125)</f>
        <v>0.23000000000000009</v>
      </c>
      <c r="O125" s="48">
        <f>+'Trim Rwd'!H84</f>
        <v>262.5</v>
      </c>
      <c r="P125" s="49">
        <f>O125*(Q125-R125-S125)</f>
        <v>217087.5</v>
      </c>
      <c r="Q125" s="48">
        <v>871</v>
      </c>
      <c r="R125" s="492">
        <v>0</v>
      </c>
      <c r="S125" s="492">
        <v>44</v>
      </c>
      <c r="T125" s="38">
        <f>E125*M125*O125*Q125/100000000</f>
        <v>25.985109149999996</v>
      </c>
      <c r="U125" s="38">
        <f>E125*M125*O125*(Q125-R125-S125)/100000000</f>
        <v>24.672428549999996</v>
      </c>
      <c r="V125" s="38">
        <f>E125*G125*(1-N125)*O125/100*(R125+S125)/1000000</f>
        <v>1.3126805999999995</v>
      </c>
      <c r="W125" s="38">
        <f>+'29'!K9/1000</f>
        <v>27.817</v>
      </c>
      <c r="X125" s="493">
        <f>SUM(W125:W128)/SUM(K125:K128)</f>
        <v>0.93739574162159067</v>
      </c>
      <c r="Y125" s="212">
        <f>+SUM(RBP!AG116:AG117)</f>
        <v>0</v>
      </c>
      <c r="Z125" s="38">
        <f>+'18'!D53/1000</f>
        <v>1.0335648148148148E-4</v>
      </c>
      <c r="AA125" s="50">
        <f>SUM(U125:U128)-SUM(W125:W128)-SUM(Z125:Z128)-SUM(Y125:Y128)</f>
        <v>0.49569065601851076</v>
      </c>
      <c r="AB125" s="50">
        <f>(SUM(K125:K128)-SUM(W125:W128)-SUM(Y125:Y128)-SUM(Z125:Z128)-SUM(AC125:AC128)-SUM(V125:V128))-AA125</f>
        <v>2.2759572004815709E-15</v>
      </c>
      <c r="AC125" s="38">
        <f>K125-T125</f>
        <v>0</v>
      </c>
      <c r="AD125" s="38">
        <f>+AM125+BA125</f>
        <v>17</v>
      </c>
      <c r="AE125" s="231" t="s">
        <v>471</v>
      </c>
      <c r="AF125" s="38">
        <v>17</v>
      </c>
      <c r="AG125" s="38"/>
      <c r="AH125" s="38"/>
      <c r="AI125" s="494"/>
      <c r="AJ125" s="38"/>
      <c r="AK125" s="38"/>
      <c r="AL125" s="38"/>
      <c r="AM125" s="38">
        <f t="shared" ref="AM125:AM127" si="72">SUM(AF125:AL125)+AT125+AV125+AX125</f>
        <v>17</v>
      </c>
      <c r="AN125" s="38"/>
      <c r="AO125" s="38"/>
      <c r="AP125" s="38"/>
      <c r="AQ125" s="38"/>
      <c r="AR125" s="38">
        <f>SUM(AN125:AQ125)</f>
        <v>0</v>
      </c>
      <c r="AS125" s="38"/>
      <c r="AT125" s="38"/>
      <c r="AU125" s="38"/>
      <c r="AV125" s="38"/>
      <c r="AW125" s="38"/>
      <c r="AX125" s="38"/>
      <c r="AY125" s="38"/>
      <c r="AZ125" s="38"/>
      <c r="BA125" s="38">
        <f>+AR125+AS125+AU125+AW125+AY125+AZ125</f>
        <v>0</v>
      </c>
      <c r="BB125" s="34">
        <v>8</v>
      </c>
      <c r="BC125" s="52"/>
      <c r="BD125" s="52"/>
      <c r="BE125" s="34"/>
      <c r="BF125" s="52"/>
    </row>
    <row r="126" spans="1:58" ht="12.95" customHeight="1">
      <c r="A126" s="41"/>
      <c r="B126" s="42" t="s">
        <v>7</v>
      </c>
      <c r="C126" s="406">
        <f>(M126*E126*O126*Q126)/100000000</f>
        <v>18.389959087499999</v>
      </c>
      <c r="D126" s="42" t="s">
        <v>301</v>
      </c>
      <c r="E126" s="43">
        <v>13</v>
      </c>
      <c r="F126" s="43">
        <v>1</v>
      </c>
      <c r="G126" s="491">
        <v>1230</v>
      </c>
      <c r="H126" s="45">
        <v>0.23</v>
      </c>
      <c r="I126" s="46">
        <v>0.88</v>
      </c>
      <c r="J126" s="83">
        <f>E126*G126*(1-H126)*1440/1000000*2.74</f>
        <v>48.579410880000005</v>
      </c>
      <c r="K126" s="83">
        <f>(IF(G126&lt;L126,L126,G126)*(1-IF(H126&lt;N126,H126,N126))*E126*O126*Q126)/100000000</f>
        <v>18.389959087499999</v>
      </c>
      <c r="L126" s="36">
        <v>1230</v>
      </c>
      <c r="M126" s="36">
        <v>947.09999999999991</v>
      </c>
      <c r="N126" s="47">
        <f>1-(M126/L126)</f>
        <v>0.23000000000000009</v>
      </c>
      <c r="O126" s="48">
        <f>+'Trim Rwd'!H85</f>
        <v>262.5</v>
      </c>
      <c r="P126" s="49">
        <f>O126*(Q126-R126-S126)</f>
        <v>141487.5</v>
      </c>
      <c r="Q126" s="48">
        <v>569</v>
      </c>
      <c r="R126" s="492">
        <v>0</v>
      </c>
      <c r="S126" s="492">
        <v>30</v>
      </c>
      <c r="T126" s="38">
        <f>E126*M126*O126*Q126/100000000</f>
        <v>18.389959087499999</v>
      </c>
      <c r="U126" s="38">
        <f>E126*M126*O126*(Q126-R126-S126)/100000000</f>
        <v>17.420365462500001</v>
      </c>
      <c r="V126" s="38">
        <f>E126*G126*(1-N126)*O126/100*(R126+S126)/1000000</f>
        <v>0.96959362500000001</v>
      </c>
      <c r="W126" s="38">
        <f>+'29'!K8/1000</f>
        <v>13.78</v>
      </c>
      <c r="X126" s="39"/>
      <c r="Y126" s="212"/>
      <c r="Z126" s="38"/>
      <c r="AA126" s="38"/>
      <c r="AB126" s="38"/>
      <c r="AC126" s="38"/>
      <c r="AD126" s="38">
        <f>+AM126+BA126</f>
        <v>8</v>
      </c>
      <c r="AE126" s="231" t="s">
        <v>459</v>
      </c>
      <c r="AF126" s="38"/>
      <c r="AG126" s="38">
        <v>8</v>
      </c>
      <c r="AH126" s="38"/>
      <c r="AI126" s="494"/>
      <c r="AJ126" s="38"/>
      <c r="AK126" s="38"/>
      <c r="AL126" s="38"/>
      <c r="AM126" s="38">
        <f t="shared" si="72"/>
        <v>8</v>
      </c>
      <c r="AN126" s="84"/>
      <c r="AO126" s="38"/>
      <c r="AP126" s="38"/>
      <c r="AQ126" s="38"/>
      <c r="AR126" s="38">
        <f t="shared" ref="AR126:AR127" si="73">SUM(AN126:AQ126)</f>
        <v>0</v>
      </c>
      <c r="AS126" s="38"/>
      <c r="AT126" s="38"/>
      <c r="AU126" s="38"/>
      <c r="AV126" s="38"/>
      <c r="AW126" s="38"/>
      <c r="AX126" s="38"/>
      <c r="AY126" s="38"/>
      <c r="AZ126" s="38"/>
      <c r="BA126" s="38">
        <f>+AR126+AS126+AU126+AW126+AY126+AZ126</f>
        <v>0</v>
      </c>
      <c r="BB126" s="51"/>
      <c r="BC126" s="52">
        <v>4</v>
      </c>
      <c r="BD126" s="52"/>
      <c r="BE126" s="51"/>
      <c r="BF126" s="52"/>
    </row>
    <row r="127" spans="1:58" ht="12.95" customHeight="1">
      <c r="A127" s="41"/>
      <c r="B127" s="42"/>
      <c r="C127" s="406"/>
      <c r="D127" s="42"/>
      <c r="E127" s="43"/>
      <c r="F127" s="43"/>
      <c r="G127" s="44"/>
      <c r="H127" s="45"/>
      <c r="I127" s="46"/>
      <c r="J127" s="83"/>
      <c r="K127" s="83"/>
      <c r="L127" s="36"/>
      <c r="M127" s="36"/>
      <c r="N127" s="47"/>
      <c r="O127" s="48"/>
      <c r="P127" s="49"/>
      <c r="Q127" s="48"/>
      <c r="R127" s="492"/>
      <c r="S127" s="492"/>
      <c r="T127" s="38"/>
      <c r="U127" s="38"/>
      <c r="V127" s="38"/>
      <c r="W127" s="38"/>
      <c r="X127" s="39"/>
      <c r="Y127" s="212"/>
      <c r="Z127" s="38"/>
      <c r="AA127" s="38"/>
      <c r="AB127" s="38"/>
      <c r="AC127" s="38"/>
      <c r="AD127" s="38">
        <f>+AM127+BA127</f>
        <v>49</v>
      </c>
      <c r="AE127" s="231" t="s">
        <v>492</v>
      </c>
      <c r="AF127" s="34"/>
      <c r="AG127" s="34"/>
      <c r="AH127" s="582">
        <v>49</v>
      </c>
      <c r="AJ127" s="38"/>
      <c r="AK127" s="38"/>
      <c r="AL127" s="38"/>
      <c r="AM127" s="38">
        <f t="shared" si="72"/>
        <v>49</v>
      </c>
      <c r="AN127" s="38"/>
      <c r="AO127" s="38"/>
      <c r="AP127" s="38"/>
      <c r="AQ127" s="38"/>
      <c r="AR127" s="38">
        <f t="shared" si="73"/>
        <v>0</v>
      </c>
      <c r="AS127" s="38"/>
      <c r="AT127" s="38"/>
      <c r="AU127" s="38"/>
      <c r="AV127" s="38"/>
      <c r="AW127" s="38"/>
      <c r="AX127" s="38"/>
      <c r="AY127" s="38"/>
      <c r="AZ127" s="38"/>
      <c r="BA127" s="38">
        <f>+AR127+AS127+AU127+AW127+AY127+AZ127</f>
        <v>0</v>
      </c>
      <c r="BB127" s="34"/>
      <c r="BC127" s="495"/>
      <c r="BD127" s="495"/>
      <c r="BE127" s="34"/>
      <c r="BF127" s="495"/>
    </row>
    <row r="128" spans="1:58" ht="12.95" customHeight="1">
      <c r="A128" s="41"/>
      <c r="B128" s="42"/>
      <c r="C128" s="406"/>
      <c r="D128" s="42"/>
      <c r="E128" s="43"/>
      <c r="F128" s="43"/>
      <c r="G128" s="44"/>
      <c r="H128" s="45"/>
      <c r="I128" s="46"/>
      <c r="J128" s="83"/>
      <c r="K128" s="83"/>
      <c r="L128" s="36"/>
      <c r="M128" s="36"/>
      <c r="N128" s="47"/>
      <c r="O128" s="48"/>
      <c r="P128" s="49"/>
      <c r="Q128" s="48"/>
      <c r="R128" s="492"/>
      <c r="S128" s="492"/>
      <c r="T128" s="38"/>
      <c r="U128" s="38"/>
      <c r="V128" s="38"/>
      <c r="W128" s="38"/>
      <c r="X128" s="39"/>
      <c r="Y128" s="212"/>
      <c r="Z128" s="38"/>
      <c r="AA128" s="38"/>
      <c r="AB128" s="38"/>
      <c r="AC128" s="38"/>
      <c r="AD128" s="38"/>
      <c r="AE128" s="231"/>
      <c r="AF128" s="34"/>
      <c r="AG128" s="34"/>
      <c r="AH128" s="34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4"/>
      <c r="BC128" s="495"/>
      <c r="BD128" s="52"/>
      <c r="BE128" s="52"/>
      <c r="BF128" s="52"/>
    </row>
    <row r="129" spans="1:58" ht="12.75" customHeight="1">
      <c r="A129" s="41">
        <v>45868</v>
      </c>
      <c r="B129" s="42" t="s">
        <v>7</v>
      </c>
      <c r="C129" s="406">
        <f>(M129*E129*O129*Q129)/100000000</f>
        <v>5.6559628125000003</v>
      </c>
      <c r="D129" s="42" t="s">
        <v>301</v>
      </c>
      <c r="E129" s="43">
        <v>13</v>
      </c>
      <c r="F129" s="43">
        <v>1</v>
      </c>
      <c r="G129" s="491">
        <v>1230</v>
      </c>
      <c r="H129" s="45">
        <v>0.23</v>
      </c>
      <c r="I129" s="46">
        <v>0.88</v>
      </c>
      <c r="J129" s="83">
        <f>E129*G129*(1-H129)*1440/1000000*2.74</f>
        <v>48.579410880000005</v>
      </c>
      <c r="K129" s="83">
        <f>(IF(G129&lt;L129,L129,G129)*(1-IF(H129&lt;N129,H129,N129))*E129*O129*Q129)/100000000</f>
        <v>5.6559628125000003</v>
      </c>
      <c r="L129" s="36">
        <v>1230</v>
      </c>
      <c r="M129" s="36">
        <v>947.09999999999991</v>
      </c>
      <c r="N129" s="47">
        <f>1-(M129/L129)</f>
        <v>0.23000000000000009</v>
      </c>
      <c r="O129" s="48">
        <f>+'Trim Rwd'!H87</f>
        <v>262.5</v>
      </c>
      <c r="P129" s="49">
        <f>O129*(Q129-R129-S129)</f>
        <v>41475</v>
      </c>
      <c r="Q129" s="48">
        <v>175</v>
      </c>
      <c r="R129" s="492">
        <v>0</v>
      </c>
      <c r="S129" s="492">
        <v>17</v>
      </c>
      <c r="T129" s="38">
        <f>E129*M129*O129*Q129/100000000</f>
        <v>5.6559628125000003</v>
      </c>
      <c r="U129" s="38">
        <f>E129*M129*O129*(Q129-R129-S129)/100000000</f>
        <v>5.1065264250000002</v>
      </c>
      <c r="V129" s="38">
        <f>E129*G129*(1-N129)*O129/100*(R129+S129)/1000000</f>
        <v>0.5494363874999999</v>
      </c>
      <c r="W129" s="38">
        <f>+'30'!K8/1000</f>
        <v>8.7520000000000007</v>
      </c>
      <c r="X129" s="493">
        <f>SUM(W129:W132)/SUM(K129:K132)</f>
        <v>0.93418120338973043</v>
      </c>
      <c r="Y129" s="212">
        <v>0</v>
      </c>
      <c r="Z129" s="38">
        <f>+'18'!D57/1000</f>
        <v>0</v>
      </c>
      <c r="AA129" s="50">
        <f>SUM(U129:U132)-SUM(W129:W132)-SUM(Z129:Z132)-SUM(Y129:Y132)</f>
        <v>0.64443212999999244</v>
      </c>
      <c r="AB129" s="50">
        <f>(SUM(K129:K132)-SUM(W129:W132)-SUM(Y129:Y132)-SUM(Z129:Z132)-SUM(AC129:AC132)-SUM(V129:V132))-AA129</f>
        <v>-1.9984014443252818E-15</v>
      </c>
      <c r="AC129" s="38">
        <f>K129-T129</f>
        <v>0</v>
      </c>
      <c r="AD129" s="38">
        <f>+AM129+BA129</f>
        <v>16</v>
      </c>
      <c r="AE129" s="231" t="s">
        <v>471</v>
      </c>
      <c r="AF129" s="38">
        <v>16</v>
      </c>
      <c r="AG129" s="38"/>
      <c r="AH129" s="38"/>
      <c r="AI129" s="494"/>
      <c r="AJ129" s="38"/>
      <c r="AK129" s="38"/>
      <c r="AL129" s="38"/>
      <c r="AM129" s="38">
        <f t="shared" ref="AM129:AM131" si="74">SUM(AF129:AL129)+AT129+AV129+AX129</f>
        <v>16</v>
      </c>
      <c r="AN129" s="38"/>
      <c r="AO129" s="38"/>
      <c r="AP129" s="38"/>
      <c r="AQ129" s="38"/>
      <c r="AR129" s="38">
        <f>SUM(AN129:AQ129)</f>
        <v>0</v>
      </c>
      <c r="AS129" s="38"/>
      <c r="AT129" s="38"/>
      <c r="AU129" s="38"/>
      <c r="AV129" s="38"/>
      <c r="AW129" s="38"/>
      <c r="AX129" s="38"/>
      <c r="AY129" s="38"/>
      <c r="AZ129" s="38"/>
      <c r="BA129" s="38">
        <f>+AR129+AS129+AU129+AW129+AY129+AZ129</f>
        <v>0</v>
      </c>
      <c r="BB129" s="34">
        <v>8</v>
      </c>
      <c r="BC129" s="52"/>
      <c r="BD129" s="52"/>
      <c r="BE129" s="34"/>
      <c r="BF129" s="52">
        <v>1</v>
      </c>
    </row>
    <row r="130" spans="1:58" ht="12.95" customHeight="1">
      <c r="A130" s="41"/>
      <c r="B130" s="42" t="s">
        <v>412</v>
      </c>
      <c r="C130" s="406">
        <f>(M130*E130*O130*Q130)/100000000</f>
        <v>41.896910054999992</v>
      </c>
      <c r="D130" s="42" t="s">
        <v>301</v>
      </c>
      <c r="E130" s="43">
        <v>13</v>
      </c>
      <c r="F130" s="43">
        <v>1</v>
      </c>
      <c r="G130" s="491">
        <v>1230</v>
      </c>
      <c r="H130" s="45">
        <v>0.23</v>
      </c>
      <c r="I130" s="46">
        <v>0.88</v>
      </c>
      <c r="J130" s="83">
        <f>E130*G130*(1-H130)*1440/1000000*2.74</f>
        <v>48.579410880000005</v>
      </c>
      <c r="K130" s="83">
        <f>(IF(G130&lt;L130,L130,G130)*(1-IF(H130&lt;N130,H130,N130))*E130*O130*Q130)/100000000</f>
        <v>41.896910054999992</v>
      </c>
      <c r="L130" s="36">
        <v>1230</v>
      </c>
      <c r="M130" s="36">
        <v>947.09999999999991</v>
      </c>
      <c r="N130" s="47">
        <f>1-(M130/L130)</f>
        <v>0.23000000000000009</v>
      </c>
      <c r="O130" s="48">
        <f>+'Trim Rwd'!H88</f>
        <v>269</v>
      </c>
      <c r="P130" s="49">
        <f>O130*(Q130-R130-S130)</f>
        <v>326835</v>
      </c>
      <c r="Q130" s="48">
        <v>1265</v>
      </c>
      <c r="R130" s="492">
        <v>0</v>
      </c>
      <c r="S130" s="492">
        <v>50</v>
      </c>
      <c r="T130" s="38">
        <f>E130*M130*O130*Q130/100000000</f>
        <v>41.896910054999992</v>
      </c>
      <c r="U130" s="38">
        <f>E130*M130*O130*(Q130-R130-S130)/100000000</f>
        <v>40.240905704999996</v>
      </c>
      <c r="V130" s="38">
        <f>E130*G130*(1-N130)*O130/100*(R130+S130)/1000000</f>
        <v>1.6560043500000001</v>
      </c>
      <c r="W130" s="38">
        <f>+'30'!K15/1000</f>
        <v>35.670999999999999</v>
      </c>
      <c r="X130" s="39"/>
      <c r="Y130" s="212"/>
      <c r="Z130" s="38">
        <f>+'30'!D16/1000</f>
        <v>0.28000000000000003</v>
      </c>
      <c r="AA130" s="38"/>
      <c r="AB130" s="38"/>
      <c r="AC130" s="38"/>
      <c r="AD130" s="38">
        <f>+AM130+BA130</f>
        <v>8</v>
      </c>
      <c r="AE130" s="231" t="s">
        <v>459</v>
      </c>
      <c r="AF130" s="38"/>
      <c r="AG130" s="38">
        <v>8</v>
      </c>
      <c r="AH130" s="38"/>
      <c r="AI130" s="494"/>
      <c r="AJ130" s="38"/>
      <c r="AK130" s="38"/>
      <c r="AL130" s="38"/>
      <c r="AM130" s="38">
        <f t="shared" si="74"/>
        <v>8</v>
      </c>
      <c r="AN130" s="84"/>
      <c r="AO130" s="38"/>
      <c r="AP130" s="38"/>
      <c r="AQ130" s="38"/>
      <c r="AR130" s="38">
        <f t="shared" ref="AR130:AR131" si="75">SUM(AN130:AQ130)</f>
        <v>0</v>
      </c>
      <c r="AS130" s="38"/>
      <c r="AT130" s="38"/>
      <c r="AU130" s="38"/>
      <c r="AV130" s="38"/>
      <c r="AW130" s="38"/>
      <c r="AX130" s="38"/>
      <c r="AY130" s="38"/>
      <c r="AZ130" s="38"/>
      <c r="BA130" s="38">
        <f>+AR130+AS130+AU130+AW130+AY130+AZ130</f>
        <v>0</v>
      </c>
      <c r="BB130" s="51"/>
      <c r="BC130" s="52">
        <v>4</v>
      </c>
      <c r="BD130" s="52"/>
      <c r="BE130" s="51"/>
      <c r="BF130" s="52"/>
    </row>
    <row r="131" spans="1:58" ht="12.95" customHeight="1">
      <c r="A131" s="41"/>
      <c r="B131" s="42"/>
      <c r="C131" s="406"/>
      <c r="D131" s="42"/>
      <c r="E131" s="43"/>
      <c r="F131" s="43"/>
      <c r="G131" s="44"/>
      <c r="H131" s="45"/>
      <c r="I131" s="46"/>
      <c r="J131" s="83"/>
      <c r="K131" s="83"/>
      <c r="L131" s="36"/>
      <c r="M131" s="36"/>
      <c r="N131" s="47"/>
      <c r="O131" s="48"/>
      <c r="P131" s="49"/>
      <c r="Q131" s="48"/>
      <c r="R131" s="492"/>
      <c r="S131" s="492"/>
      <c r="T131" s="38"/>
      <c r="U131" s="38"/>
      <c r="V131" s="38"/>
      <c r="W131" s="38"/>
      <c r="X131" s="39"/>
      <c r="Y131" s="212"/>
      <c r="Z131" s="38"/>
      <c r="AA131" s="38"/>
      <c r="AB131" s="38"/>
      <c r="AC131" s="38"/>
      <c r="AD131" s="38">
        <f>+AM131+BA131</f>
        <v>43</v>
      </c>
      <c r="AE131" s="231" t="s">
        <v>492</v>
      </c>
      <c r="AF131" s="34"/>
      <c r="AG131" s="34"/>
      <c r="AH131" s="582">
        <v>43</v>
      </c>
      <c r="AJ131" s="38"/>
      <c r="AK131" s="38"/>
      <c r="AL131" s="38"/>
      <c r="AM131" s="38">
        <f t="shared" si="74"/>
        <v>43</v>
      </c>
      <c r="AN131" s="38"/>
      <c r="AO131" s="38"/>
      <c r="AP131" s="38"/>
      <c r="AQ131" s="38"/>
      <c r="AR131" s="38">
        <f t="shared" si="75"/>
        <v>0</v>
      </c>
      <c r="AS131" s="38"/>
      <c r="AT131" s="38"/>
      <c r="AU131" s="38"/>
      <c r="AV131" s="38"/>
      <c r="AW131" s="38"/>
      <c r="AX131" s="38"/>
      <c r="AY131" s="38"/>
      <c r="AZ131" s="38"/>
      <c r="BA131" s="38">
        <f>+AR131+AS131+AU131+AW131+AY131+AZ131</f>
        <v>0</v>
      </c>
      <c r="BB131" s="34"/>
      <c r="BC131" s="495"/>
      <c r="BD131" s="495"/>
      <c r="BE131" s="34"/>
      <c r="BF131" s="495"/>
    </row>
    <row r="132" spans="1:58" ht="16.5" customHeight="1">
      <c r="A132" s="41"/>
      <c r="B132" s="42"/>
      <c r="C132" s="406"/>
      <c r="D132" s="42"/>
      <c r="E132" s="43"/>
      <c r="F132" s="43"/>
      <c r="G132" s="491"/>
      <c r="H132" s="45"/>
      <c r="I132" s="46"/>
      <c r="J132" s="83"/>
      <c r="K132" s="83"/>
      <c r="L132" s="36"/>
      <c r="M132" s="36"/>
      <c r="N132" s="47"/>
      <c r="O132" s="48"/>
      <c r="P132" s="49"/>
      <c r="Q132" s="48"/>
      <c r="R132" s="492"/>
      <c r="S132" s="492"/>
      <c r="T132" s="38"/>
      <c r="U132" s="38"/>
      <c r="V132" s="38"/>
      <c r="W132" s="38"/>
      <c r="X132" s="493"/>
      <c r="Y132" s="212"/>
      <c r="Z132" s="38"/>
      <c r="AA132" s="50"/>
      <c r="AB132" s="50"/>
      <c r="AC132" s="38"/>
      <c r="AD132" s="38"/>
      <c r="AE132" s="231"/>
      <c r="AF132" s="38"/>
      <c r="AG132" s="38"/>
      <c r="AH132" s="38"/>
      <c r="AI132" s="494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4"/>
      <c r="BC132" s="52"/>
      <c r="BD132" s="495"/>
      <c r="BE132" s="34"/>
      <c r="BF132" s="495"/>
    </row>
    <row r="133" spans="1:58" ht="12.75" customHeight="1">
      <c r="A133" s="41">
        <v>45869</v>
      </c>
      <c r="B133" s="42" t="s">
        <v>412</v>
      </c>
      <c r="C133" s="406">
        <f>(M133*E133*O133*Q133)/100000000</f>
        <v>47.692925279999997</v>
      </c>
      <c r="D133" s="42" t="s">
        <v>301</v>
      </c>
      <c r="E133" s="43">
        <v>13</v>
      </c>
      <c r="F133" s="43">
        <v>1</v>
      </c>
      <c r="G133" s="491">
        <v>1230</v>
      </c>
      <c r="H133" s="45">
        <v>0.23</v>
      </c>
      <c r="I133" s="46">
        <v>0.88</v>
      </c>
      <c r="J133" s="83">
        <f>E133*G133*(1-H133)*1440/1000000*2.74</f>
        <v>48.579410880000005</v>
      </c>
      <c r="K133" s="83">
        <f>(IF(G133&lt;L133,L133,G133)*(1-IF(H133&lt;N133,H133,N133))*E133*O133*Q133)/100000000</f>
        <v>47.692925279999997</v>
      </c>
      <c r="L133" s="36">
        <v>1230</v>
      </c>
      <c r="M133" s="36">
        <v>947.09999999999991</v>
      </c>
      <c r="N133" s="47">
        <f>1-(M133/L133)</f>
        <v>0.23000000000000009</v>
      </c>
      <c r="O133" s="48">
        <f>+'Trim Rwd'!H90</f>
        <v>269</v>
      </c>
      <c r="P133" s="49">
        <f>O133*(Q133-R133-S133)</f>
        <v>370413</v>
      </c>
      <c r="Q133" s="48">
        <v>1440</v>
      </c>
      <c r="R133" s="492">
        <v>0</v>
      </c>
      <c r="S133" s="492">
        <v>63</v>
      </c>
      <c r="T133" s="38">
        <f>E133*M133*O133*Q133/100000000</f>
        <v>47.692925279999997</v>
      </c>
      <c r="U133" s="38">
        <f>E133*M133*O133*(Q133-R133-S133)/100000000</f>
        <v>45.606359798999996</v>
      </c>
      <c r="V133" s="38">
        <f>E133*G133*(1-N133)*O133/100*(R133+S133)/1000000</f>
        <v>2.0865654810000001</v>
      </c>
      <c r="W133" s="38">
        <f>+'31'!K15/1000</f>
        <v>46.16</v>
      </c>
      <c r="X133" s="493">
        <f>SUM(W133:W136)/SUM(K133:K136)</f>
        <v>0.96785843453719056</v>
      </c>
      <c r="Y133" s="212">
        <f>+SUM(RBP!AG3:AG4)</f>
        <v>4.3100000000000005</v>
      </c>
      <c r="Z133" s="38">
        <f>+'18'!D61/1000</f>
        <v>0</v>
      </c>
      <c r="AA133" s="50">
        <f>SUM(U133:U136)-SUM(W133:W136)-SUM(Z133:Z136)-SUM(Y133:Y136)</f>
        <v>-4.8636402010000008</v>
      </c>
      <c r="AB133" s="50">
        <f>(SUM(K133:K136)-SUM(W133:W136)-SUM(Y133:Y136)-SUM(Z133:Z136)-SUM(AC133:AC136)-SUM(V133:V136))-AA133</f>
        <v>0</v>
      </c>
      <c r="AC133" s="38">
        <f>K133-T133</f>
        <v>0</v>
      </c>
      <c r="AD133" s="38">
        <f>+AM133+BA133</f>
        <v>14</v>
      </c>
      <c r="AE133" s="231" t="s">
        <v>619</v>
      </c>
      <c r="AF133" s="38">
        <v>14</v>
      </c>
      <c r="AG133" s="38"/>
      <c r="AH133" s="38"/>
      <c r="AI133" s="494"/>
      <c r="AJ133" s="38"/>
      <c r="AK133" s="38"/>
      <c r="AL133" s="38"/>
      <c r="AM133" s="38">
        <f t="shared" ref="AM133:AM135" si="76">SUM(AF133:AL133)+AT133+AV133+AX133</f>
        <v>14</v>
      </c>
      <c r="AN133" s="38"/>
      <c r="AO133" s="38"/>
      <c r="AP133" s="38"/>
      <c r="AQ133" s="38"/>
      <c r="AR133" s="38">
        <f>SUM(AN133:AQ133)</f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>+AR133+AS133+AU133+AW133+AY133+AZ133</f>
        <v>0</v>
      </c>
      <c r="BB133" s="34">
        <v>7</v>
      </c>
      <c r="BC133" s="52"/>
      <c r="BD133" s="52"/>
      <c r="BE133" s="34"/>
      <c r="BF133" s="52"/>
    </row>
    <row r="134" spans="1:58" ht="12.95" customHeight="1">
      <c r="A134" s="41"/>
      <c r="B134" s="42"/>
      <c r="C134" s="406"/>
      <c r="D134" s="42"/>
      <c r="E134" s="43"/>
      <c r="F134" s="43"/>
      <c r="G134" s="491"/>
      <c r="H134" s="45"/>
      <c r="I134" s="46"/>
      <c r="J134" s="83"/>
      <c r="K134" s="83"/>
      <c r="L134" s="36"/>
      <c r="M134" s="36"/>
      <c r="N134" s="47"/>
      <c r="O134" s="48"/>
      <c r="P134" s="49"/>
      <c r="Q134" s="48"/>
      <c r="R134" s="492"/>
      <c r="S134" s="492"/>
      <c r="T134" s="38"/>
      <c r="U134" s="38"/>
      <c r="V134" s="38"/>
      <c r="W134" s="38"/>
      <c r="X134" s="39"/>
      <c r="Y134" s="212"/>
      <c r="Z134" s="38"/>
      <c r="AA134" s="38"/>
      <c r="AB134" s="38"/>
      <c r="AC134" s="38"/>
      <c r="AD134" s="38">
        <f>+AM134+BA134</f>
        <v>14</v>
      </c>
      <c r="AE134" s="231" t="s">
        <v>672</v>
      </c>
      <c r="AF134" s="38"/>
      <c r="AG134" s="38">
        <v>14</v>
      </c>
      <c r="AH134" s="38"/>
      <c r="AI134" s="494"/>
      <c r="AJ134" s="38"/>
      <c r="AK134" s="38"/>
      <c r="AL134" s="38"/>
      <c r="AM134" s="38">
        <f t="shared" si="76"/>
        <v>14</v>
      </c>
      <c r="AN134" s="84"/>
      <c r="AO134" s="38"/>
      <c r="AP134" s="38"/>
      <c r="AQ134" s="38"/>
      <c r="AR134" s="38">
        <f t="shared" ref="AR134:AR135" si="77">SUM(AN134:AQ134)</f>
        <v>0</v>
      </c>
      <c r="AS134" s="38"/>
      <c r="AT134" s="38"/>
      <c r="AU134" s="38"/>
      <c r="AV134" s="38"/>
      <c r="AW134" s="38"/>
      <c r="AX134" s="38"/>
      <c r="AY134" s="38"/>
      <c r="AZ134" s="38"/>
      <c r="BA134" s="38">
        <f>+AR134+AS134+AU134+AW134+AY134+AZ134</f>
        <v>0</v>
      </c>
      <c r="BB134" s="51"/>
      <c r="BC134" s="52">
        <v>7</v>
      </c>
      <c r="BD134" s="52"/>
      <c r="BE134" s="51"/>
      <c r="BF134" s="52"/>
    </row>
    <row r="135" spans="1:58" ht="12.95" customHeight="1">
      <c r="A135" s="41"/>
      <c r="B135" s="42"/>
      <c r="C135" s="406"/>
      <c r="D135" s="42"/>
      <c r="E135" s="43"/>
      <c r="F135" s="43"/>
      <c r="G135" s="44"/>
      <c r="H135" s="45"/>
      <c r="I135" s="46"/>
      <c r="J135" s="83"/>
      <c r="K135" s="83"/>
      <c r="L135" s="36"/>
      <c r="M135" s="36"/>
      <c r="N135" s="47"/>
      <c r="O135" s="48"/>
      <c r="P135" s="49"/>
      <c r="Q135" s="48"/>
      <c r="R135" s="492"/>
      <c r="S135" s="492"/>
      <c r="T135" s="38"/>
      <c r="U135" s="38"/>
      <c r="V135" s="38"/>
      <c r="W135" s="38"/>
      <c r="X135" s="39"/>
      <c r="Y135" s="212"/>
      <c r="Z135" s="38"/>
      <c r="AA135" s="38"/>
      <c r="AB135" s="38"/>
      <c r="AC135" s="38"/>
      <c r="AD135" s="38">
        <f>+AM135+BA135</f>
        <v>35</v>
      </c>
      <c r="AE135" s="231" t="s">
        <v>620</v>
      </c>
      <c r="AF135" s="34"/>
      <c r="AG135" s="34"/>
      <c r="AH135" s="582">
        <v>35</v>
      </c>
      <c r="AJ135" s="38"/>
      <c r="AK135" s="38"/>
      <c r="AL135" s="38"/>
      <c r="AM135" s="38">
        <f t="shared" si="76"/>
        <v>35</v>
      </c>
      <c r="AN135" s="38"/>
      <c r="AO135" s="38"/>
      <c r="AP135" s="38"/>
      <c r="AQ135" s="38"/>
      <c r="AR135" s="38">
        <f t="shared" si="77"/>
        <v>0</v>
      </c>
      <c r="AS135" s="38"/>
      <c r="AT135" s="38"/>
      <c r="AU135" s="38"/>
      <c r="AV135" s="38"/>
      <c r="AW135" s="38"/>
      <c r="AX135" s="38"/>
      <c r="AY135" s="38"/>
      <c r="AZ135" s="38"/>
      <c r="BA135" s="38">
        <f>+AR135+AS135+AU135+AW135+AY135+AZ135</f>
        <v>0</v>
      </c>
      <c r="BB135" s="34"/>
      <c r="BC135" s="495"/>
      <c r="BD135" s="495"/>
      <c r="BE135" s="34"/>
      <c r="BF135" s="495"/>
    </row>
    <row r="136" spans="1:58" ht="12.95" customHeight="1">
      <c r="A136" s="41"/>
      <c r="B136" s="42"/>
      <c r="C136" s="406"/>
      <c r="D136" s="42"/>
      <c r="E136" s="43"/>
      <c r="F136" s="43"/>
      <c r="G136" s="44"/>
      <c r="H136" s="45"/>
      <c r="I136" s="46"/>
      <c r="J136" s="83"/>
      <c r="K136" s="83"/>
      <c r="L136" s="36"/>
      <c r="M136" s="36"/>
      <c r="N136" s="47"/>
      <c r="O136" s="48"/>
      <c r="P136" s="49"/>
      <c r="Q136" s="48"/>
      <c r="R136" s="492"/>
      <c r="S136" s="492"/>
      <c r="T136" s="38"/>
      <c r="U136" s="38"/>
      <c r="V136" s="38"/>
      <c r="W136" s="38"/>
      <c r="X136" s="493"/>
      <c r="Y136" s="212"/>
      <c r="Z136" s="38"/>
      <c r="AA136" s="50"/>
      <c r="AB136" s="50"/>
      <c r="AC136" s="38"/>
      <c r="AD136" s="38"/>
      <c r="AE136" s="231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4"/>
      <c r="BC136" s="52"/>
      <c r="BD136" s="495"/>
      <c r="BE136" s="34"/>
      <c r="BF136" s="495"/>
    </row>
    <row r="137" spans="1:58">
      <c r="R137" s="496"/>
      <c r="S137" s="496"/>
      <c r="AA137" s="248">
        <f>U137-W137-Z137</f>
        <v>0</v>
      </c>
      <c r="AB137" s="248"/>
      <c r="AC137" s="249">
        <f>K137-T137</f>
        <v>0</v>
      </c>
      <c r="AD137" s="38"/>
      <c r="AF137" s="53"/>
      <c r="AG137" s="53"/>
      <c r="AH137" s="53"/>
      <c r="AI137" s="53"/>
      <c r="AJ137" s="53"/>
      <c r="AK137" s="53"/>
      <c r="AL137" s="53"/>
      <c r="AM137" s="38">
        <f t="shared" ref="AM137" si="78">SUM(AF137:AL137)</f>
        <v>0</v>
      </c>
      <c r="AN137" s="53"/>
      <c r="AO137" s="53"/>
      <c r="AP137" s="53"/>
      <c r="AQ137" s="53"/>
      <c r="AR137" s="38">
        <f t="shared" ref="AR137" si="79">SUM(AN137:AQ137)</f>
        <v>0</v>
      </c>
      <c r="AS137" s="53"/>
      <c r="AT137" s="53"/>
      <c r="AU137" s="53"/>
      <c r="AV137" s="53"/>
      <c r="AW137" s="53"/>
      <c r="AX137" s="53"/>
      <c r="AY137" s="53"/>
      <c r="AZ137" s="53"/>
      <c r="BA137" s="38"/>
      <c r="BB137" s="34"/>
      <c r="BC137" s="52"/>
      <c r="BD137" s="52"/>
      <c r="BE137" s="52"/>
      <c r="BF137" s="52"/>
    </row>
    <row r="138" spans="1:58" s="28" customFormat="1" ht="12.95" customHeight="1">
      <c r="A138" s="57"/>
      <c r="B138" s="58"/>
      <c r="C138" s="407">
        <f>SUM(C6:C136)</f>
        <v>1395.1819411981614</v>
      </c>
      <c r="D138" s="58"/>
      <c r="E138" s="59"/>
      <c r="F138" s="59"/>
      <c r="G138" s="60"/>
      <c r="H138" s="60"/>
      <c r="I138" s="61">
        <v>0.85</v>
      </c>
      <c r="J138" s="83"/>
      <c r="K138" s="85">
        <f>SUM(K6:K136)</f>
        <v>1421.5442711957098</v>
      </c>
      <c r="L138" s="63"/>
      <c r="M138" s="63"/>
      <c r="N138" s="64"/>
      <c r="O138" s="65">
        <f>P138/(Q138-R138-S138)</f>
        <v>259.34705783954723</v>
      </c>
      <c r="P138" s="62">
        <f>SUM(P6:P136)</f>
        <v>10454279.90151215</v>
      </c>
      <c r="Q138" s="332">
        <f>SUM(Q6:Q137)</f>
        <v>44640</v>
      </c>
      <c r="R138" s="62">
        <f t="shared" ref="R138:W138" si="80">SUM(R6:R136)</f>
        <v>1983</v>
      </c>
      <c r="S138" s="62">
        <f t="shared" si="80"/>
        <v>2347</v>
      </c>
      <c r="T138" s="62">
        <f t="shared" si="80"/>
        <v>1395.1819411981614</v>
      </c>
      <c r="U138" s="62">
        <f t="shared" si="80"/>
        <v>1265.079082849441</v>
      </c>
      <c r="V138" s="356">
        <f t="shared" si="80"/>
        <v>137.12631571090171</v>
      </c>
      <c r="W138" s="438">
        <f t="shared" si="80"/>
        <v>1253.7050000000004</v>
      </c>
      <c r="X138" s="487">
        <f>W138/K138</f>
        <v>0.88193173114859513</v>
      </c>
      <c r="Y138" s="357">
        <f>SUM(Y6:Y136)</f>
        <v>4.3100000000000005</v>
      </c>
      <c r="Z138" s="438">
        <f>SUM(Z6:Z136)</f>
        <v>1.5791230812832167</v>
      </c>
      <c r="AA138" s="62">
        <f>SUM(AA6:AA136)</f>
        <v>5.4849597681579727</v>
      </c>
      <c r="AB138" s="62">
        <f>SUM(AB6:AB136)</f>
        <v>-0.73442867458194727</v>
      </c>
      <c r="AC138" s="62">
        <f>SUM(AC6:AC136)</f>
        <v>20.073301309948576</v>
      </c>
      <c r="AD138" s="38">
        <f>SUM(AD6:AD137)</f>
        <v>4330</v>
      </c>
      <c r="AE138" s="66"/>
      <c r="AF138" s="62">
        <f t="shared" ref="AF138:BF138" si="81">SUM(AF6:AF137)</f>
        <v>745</v>
      </c>
      <c r="AG138" s="62">
        <f t="shared" si="81"/>
        <v>291</v>
      </c>
      <c r="AH138" s="62">
        <f t="shared" si="81"/>
        <v>1293</v>
      </c>
      <c r="AI138" s="62">
        <f t="shared" si="81"/>
        <v>0</v>
      </c>
      <c r="AJ138" s="62">
        <f t="shared" si="81"/>
        <v>0</v>
      </c>
      <c r="AK138" s="62">
        <f t="shared" si="81"/>
        <v>0</v>
      </c>
      <c r="AL138" s="62">
        <f t="shared" si="81"/>
        <v>0</v>
      </c>
      <c r="AM138" s="62">
        <f t="shared" si="81"/>
        <v>2347</v>
      </c>
      <c r="AN138" s="53">
        <f t="shared" si="81"/>
        <v>0</v>
      </c>
      <c r="AO138" s="53">
        <f t="shared" si="81"/>
        <v>0</v>
      </c>
      <c r="AP138" s="53">
        <f t="shared" si="81"/>
        <v>700</v>
      </c>
      <c r="AQ138" s="53">
        <f t="shared" si="81"/>
        <v>0</v>
      </c>
      <c r="AR138" s="62">
        <f t="shared" si="81"/>
        <v>700</v>
      </c>
      <c r="AS138" s="62">
        <f t="shared" si="81"/>
        <v>1000</v>
      </c>
      <c r="AT138" s="62">
        <f t="shared" si="81"/>
        <v>0</v>
      </c>
      <c r="AU138" s="62">
        <f t="shared" si="81"/>
        <v>0</v>
      </c>
      <c r="AV138" s="62">
        <f t="shared" si="81"/>
        <v>18</v>
      </c>
      <c r="AW138" s="62">
        <f t="shared" si="81"/>
        <v>283</v>
      </c>
      <c r="AX138" s="62">
        <f t="shared" si="81"/>
        <v>0</v>
      </c>
      <c r="AY138" s="62">
        <f t="shared" si="81"/>
        <v>0</v>
      </c>
      <c r="AZ138" s="62">
        <f t="shared" si="81"/>
        <v>0</v>
      </c>
      <c r="BA138" s="62">
        <f t="shared" si="81"/>
        <v>1983</v>
      </c>
      <c r="BB138" s="53">
        <f t="shared" si="81"/>
        <v>248</v>
      </c>
      <c r="BC138" s="53">
        <f t="shared" si="81"/>
        <v>199</v>
      </c>
      <c r="BD138" s="53">
        <f t="shared" si="81"/>
        <v>15</v>
      </c>
      <c r="BE138" s="53">
        <f t="shared" si="81"/>
        <v>0</v>
      </c>
      <c r="BF138" s="53">
        <f t="shared" si="81"/>
        <v>9</v>
      </c>
    </row>
    <row r="139" spans="1:58" s="28" customFormat="1" ht="12.95" customHeight="1">
      <c r="A139" s="57"/>
      <c r="B139" s="58"/>
      <c r="C139" s="58"/>
      <c r="D139" s="58"/>
      <c r="E139" s="59"/>
      <c r="F139" s="59"/>
      <c r="G139" s="60"/>
      <c r="H139" s="60"/>
      <c r="I139" s="60"/>
      <c r="J139" s="86"/>
      <c r="K139" s="86"/>
      <c r="L139" s="63"/>
      <c r="M139" s="63"/>
      <c r="N139" s="64"/>
      <c r="O139" s="664"/>
      <c r="P139" s="665"/>
      <c r="Q139" s="60">
        <f>31*1440-Q138</f>
        <v>0</v>
      </c>
      <c r="R139" s="67">
        <f>R138/Q138</f>
        <v>4.4422043010752685E-2</v>
      </c>
      <c r="S139" s="67">
        <f>S138/Q138</f>
        <v>5.2576164874551974E-2</v>
      </c>
      <c r="T139" s="343"/>
      <c r="U139" s="343"/>
      <c r="V139" s="345">
        <f>V138/K138</f>
        <v>9.6462923096696837E-2</v>
      </c>
      <c r="W139" s="361" t="s">
        <v>168</v>
      </c>
      <c r="X139" s="488">
        <v>0.85</v>
      </c>
      <c r="Y139" s="358">
        <f>Y138/K138</f>
        <v>3.0319140158573542E-3</v>
      </c>
      <c r="Z139" s="68">
        <f>Z138/K138</f>
        <v>1.1108504415096141E-3</v>
      </c>
      <c r="AA139" s="68">
        <f>AA138/K138</f>
        <v>3.8584516003461393E-3</v>
      </c>
      <c r="AB139" s="68">
        <f>AB138/K138</f>
        <v>-5.1664143668504541E-4</v>
      </c>
      <c r="AC139" s="489">
        <f>AC138/K138</f>
        <v>1.4120771133680016E-2</v>
      </c>
      <c r="AD139" s="346"/>
      <c r="AE139" s="40"/>
      <c r="AF139" s="68">
        <f>AF138/$AD$138*$V$139</f>
        <v>1.6596969447353151E-2</v>
      </c>
      <c r="AG139" s="68">
        <f>AG138/$AD$138*$V$139</f>
        <v>6.4828430995701562E-3</v>
      </c>
      <c r="AH139" s="68">
        <f>AH138/$AD$138*$V$139</f>
        <v>2.8805210060976676E-2</v>
      </c>
      <c r="AI139" s="68">
        <f>AI138/$AD$138*$V$139</f>
        <v>0</v>
      </c>
      <c r="AJ139" s="68">
        <f t="shared" ref="AJ139:BA139" si="82">AJ138/$AD$138*$V$139</f>
        <v>0</v>
      </c>
      <c r="AK139" s="68">
        <f t="shared" si="82"/>
        <v>0</v>
      </c>
      <c r="AL139" s="68">
        <f t="shared" si="82"/>
        <v>0</v>
      </c>
      <c r="AM139" s="68">
        <f t="shared" si="82"/>
        <v>5.2286023211997101E-2</v>
      </c>
      <c r="AN139" s="68">
        <f t="shared" si="82"/>
        <v>0</v>
      </c>
      <c r="AO139" s="68">
        <f t="shared" si="82"/>
        <v>0</v>
      </c>
      <c r="AP139" s="68">
        <f t="shared" si="82"/>
        <v>1.5594467937110343E-2</v>
      </c>
      <c r="AQ139" s="68">
        <f t="shared" si="82"/>
        <v>0</v>
      </c>
      <c r="AR139" s="68">
        <f t="shared" si="82"/>
        <v>1.5594467937110343E-2</v>
      </c>
      <c r="AS139" s="68">
        <f t="shared" si="82"/>
        <v>2.227781133872906E-2</v>
      </c>
      <c r="AT139" s="68">
        <f t="shared" si="82"/>
        <v>0</v>
      </c>
      <c r="AU139" s="68">
        <f t="shared" si="82"/>
        <v>0</v>
      </c>
      <c r="AV139" s="68">
        <f>AV138/$AD$138*$V$139</f>
        <v>4.0100060409712317E-4</v>
      </c>
      <c r="AW139" s="68">
        <f t="shared" ref="AW139:AZ139" si="83">AW138/$AD$138*$V$139</f>
        <v>6.3046206088603236E-3</v>
      </c>
      <c r="AX139" s="68">
        <f t="shared" si="83"/>
        <v>0</v>
      </c>
      <c r="AY139" s="68">
        <f t="shared" si="83"/>
        <v>0</v>
      </c>
      <c r="AZ139" s="68">
        <f t="shared" si="83"/>
        <v>0</v>
      </c>
      <c r="BA139" s="68">
        <f t="shared" si="82"/>
        <v>4.4176899884699729E-2</v>
      </c>
      <c r="BB139" s="35" t="s">
        <v>167</v>
      </c>
      <c r="BC139" s="35" t="s">
        <v>167</v>
      </c>
      <c r="BD139" s="35" t="s">
        <v>393</v>
      </c>
      <c r="BE139" s="35" t="s">
        <v>393</v>
      </c>
      <c r="BF139" s="35" t="s">
        <v>393</v>
      </c>
    </row>
    <row r="140" spans="1:58" ht="12.95" customHeight="1">
      <c r="A140" s="57"/>
      <c r="B140" s="58"/>
      <c r="C140" s="58"/>
      <c r="D140" s="58"/>
      <c r="E140" s="59"/>
      <c r="F140" s="59"/>
      <c r="G140" s="35"/>
      <c r="H140" s="35"/>
      <c r="I140" s="35"/>
      <c r="J140" s="83"/>
      <c r="K140" s="83"/>
      <c r="L140" s="36"/>
      <c r="M140" s="36"/>
      <c r="N140" s="34"/>
      <c r="O140" s="37"/>
      <c r="P140" s="29"/>
      <c r="Q140" s="35"/>
      <c r="R140" s="38">
        <f>R138-(BA138)</f>
        <v>0</v>
      </c>
      <c r="S140" s="38">
        <f>S138-SUM(AF138:AL138)-AV138</f>
        <v>0</v>
      </c>
      <c r="T140" s="34"/>
      <c r="U140" s="34"/>
      <c r="V140" s="34"/>
      <c r="W140" s="359"/>
      <c r="X140" s="360"/>
      <c r="Y140" s="69">
        <f>+Y138-(SUM(RBP!AG3:AG4))</f>
        <v>0</v>
      </c>
      <c r="Z140" s="38"/>
      <c r="AA140" s="34"/>
      <c r="AB140" s="34"/>
      <c r="AC140" s="34"/>
      <c r="AD140" s="34"/>
      <c r="AE140" s="40"/>
      <c r="AF140" s="333"/>
      <c r="AG140" s="333"/>
      <c r="AH140" s="333"/>
      <c r="AI140" s="333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497">
        <f>BB138/($Q$138/1440)/2</f>
        <v>4</v>
      </c>
      <c r="BC140" s="497">
        <f>BC138/($Q$138/1440)/2</f>
        <v>3.2096774193548385</v>
      </c>
      <c r="BD140" s="497">
        <f>BD138/($Q$138/1440)</f>
        <v>0.4838709677419355</v>
      </c>
      <c r="BE140" s="497">
        <f t="shared" ref="BE140:BF140" si="84">BE138/($Q$138/1440)</f>
        <v>0</v>
      </c>
      <c r="BF140" s="497">
        <f t="shared" si="84"/>
        <v>0.29032258064516131</v>
      </c>
    </row>
    <row r="141" spans="1:58">
      <c r="A141" s="70"/>
      <c r="B141" s="71"/>
      <c r="C141" s="71"/>
      <c r="D141" s="71"/>
      <c r="E141" s="72"/>
      <c r="F141" s="72"/>
      <c r="G141" s="73"/>
      <c r="H141" s="73"/>
      <c r="I141" s="73"/>
      <c r="J141" s="87"/>
      <c r="K141" s="87"/>
      <c r="O141" s="74"/>
      <c r="P141" s="75"/>
      <c r="Q141" s="73"/>
      <c r="R141" s="54"/>
      <c r="S141" s="54"/>
      <c r="U141" s="76"/>
      <c r="V141" s="76"/>
      <c r="W141" s="77" t="s">
        <v>119</v>
      </c>
      <c r="X141" s="490">
        <f>W138/U138</f>
        <v>0.99100919222866146</v>
      </c>
      <c r="Y141" s="490"/>
      <c r="Z141" s="54"/>
      <c r="AD141" s="84"/>
      <c r="AE141" s="79"/>
      <c r="AF141" s="80"/>
      <c r="AG141" s="80"/>
      <c r="AH141" s="80"/>
      <c r="AI141" s="80"/>
      <c r="AJ141" s="80"/>
      <c r="AK141" s="80"/>
      <c r="AL141" s="80"/>
      <c r="AM141" s="80"/>
      <c r="AN141" s="78"/>
      <c r="AO141" s="78"/>
      <c r="AP141" s="78"/>
      <c r="AQ141" s="78"/>
      <c r="AR141" s="78"/>
      <c r="AS141" s="80"/>
      <c r="AT141" s="80"/>
      <c r="AU141" s="80"/>
      <c r="AV141" s="80"/>
      <c r="AW141" s="80"/>
      <c r="AX141" s="80"/>
      <c r="AY141" s="80"/>
      <c r="AZ141" s="80"/>
      <c r="BA141" s="78"/>
      <c r="BB141" s="28"/>
      <c r="BC141" s="78"/>
      <c r="BD141" s="78"/>
      <c r="BE141" s="28"/>
      <c r="BF141" s="78"/>
    </row>
    <row r="142" spans="1:58">
      <c r="A142" s="70"/>
      <c r="B142" s="71"/>
      <c r="C142" s="71"/>
      <c r="D142" s="71"/>
      <c r="E142" s="72"/>
      <c r="F142" s="72"/>
      <c r="G142" s="73"/>
      <c r="H142" s="73"/>
      <c r="I142" s="73"/>
      <c r="J142" s="87"/>
      <c r="K142" s="87"/>
      <c r="O142" s="74"/>
      <c r="P142" s="75"/>
      <c r="Q142" s="73"/>
      <c r="R142" s="54"/>
      <c r="S142" s="54"/>
      <c r="U142" s="76"/>
      <c r="V142" s="76"/>
      <c r="W142" s="77"/>
      <c r="X142" s="78"/>
      <c r="Y142" s="78"/>
      <c r="Z142" s="54"/>
      <c r="AA142" s="603">
        <f>+Z138-'31'!J56/1000</f>
        <v>1.230812832166972E-4</v>
      </c>
      <c r="AB142" s="90"/>
      <c r="AD142" s="84"/>
      <c r="AE142" s="79"/>
      <c r="AF142" s="80"/>
      <c r="AG142" s="80"/>
      <c r="AH142" s="80"/>
      <c r="AI142" s="80"/>
      <c r="AJ142" s="80"/>
      <c r="AK142" s="80"/>
      <c r="AL142" s="80"/>
      <c r="AM142" s="80"/>
      <c r="AN142" s="80"/>
      <c r="AO142" s="78"/>
      <c r="AP142" s="78"/>
      <c r="AQ142" s="78"/>
      <c r="AR142" s="80"/>
      <c r="AS142" s="78"/>
      <c r="AT142" s="78"/>
      <c r="AU142" s="78"/>
      <c r="AV142" s="78"/>
      <c r="AW142" s="78"/>
      <c r="AX142" s="78"/>
      <c r="AY142" s="78"/>
      <c r="AZ142" s="78"/>
      <c r="BA142" s="78"/>
      <c r="BB142" s="28"/>
      <c r="BC142" s="78"/>
      <c r="BD142" s="78"/>
      <c r="BE142" s="28"/>
      <c r="BF142" s="78"/>
    </row>
    <row r="143" spans="1:58">
      <c r="A143" s="70"/>
      <c r="B143" s="71"/>
      <c r="C143" s="71"/>
      <c r="D143" s="71"/>
      <c r="E143" s="72"/>
      <c r="F143" s="72"/>
      <c r="G143" s="73"/>
      <c r="H143" s="73"/>
      <c r="I143" s="73"/>
      <c r="J143" s="87"/>
      <c r="K143" s="87"/>
      <c r="O143" s="74"/>
      <c r="P143" s="75"/>
      <c r="Q143" s="73"/>
      <c r="R143" s="344"/>
      <c r="S143" s="54"/>
      <c r="U143" s="76"/>
      <c r="V143" s="76"/>
      <c r="W143" s="77" t="s">
        <v>143</v>
      </c>
      <c r="X143" s="333">
        <f>+W138+Y138</f>
        <v>1258.0150000000003</v>
      </c>
      <c r="Y143" s="78"/>
      <c r="Z143" s="54"/>
      <c r="AD143" s="84">
        <f>+AD138-'31'!D52</f>
        <v>0</v>
      </c>
      <c r="AE143" s="79"/>
      <c r="AF143" s="84"/>
      <c r="AG143" s="84"/>
      <c r="AH143" s="84"/>
      <c r="AI143" s="84"/>
      <c r="AJ143" s="78"/>
      <c r="AK143" s="78"/>
      <c r="AL143" s="78"/>
      <c r="AM143" s="80"/>
      <c r="AN143" s="78"/>
      <c r="AO143" s="78"/>
      <c r="AP143" s="78"/>
      <c r="AQ143" s="78"/>
      <c r="AR143" s="80"/>
      <c r="AS143" s="78"/>
      <c r="AT143" s="78"/>
      <c r="AU143" s="78"/>
      <c r="AV143" s="78"/>
      <c r="AW143" s="78"/>
      <c r="AX143" s="78"/>
      <c r="AY143" s="78"/>
      <c r="AZ143" s="78"/>
      <c r="BA143" s="78"/>
      <c r="BB143" s="28"/>
      <c r="BC143" s="78"/>
      <c r="BD143" s="78"/>
      <c r="BE143" s="28"/>
      <c r="BF143" s="78"/>
    </row>
    <row r="144" spans="1:58">
      <c r="A144" s="70"/>
      <c r="C144" s="71" t="s">
        <v>297</v>
      </c>
      <c r="D144" s="71"/>
      <c r="E144" s="72"/>
      <c r="F144" s="72"/>
      <c r="G144" s="73"/>
      <c r="H144" s="73"/>
      <c r="I144" s="73"/>
      <c r="J144" s="87"/>
      <c r="K144" s="87"/>
      <c r="O144" s="74"/>
      <c r="P144" s="75"/>
      <c r="Q144" s="73"/>
      <c r="R144" s="344"/>
      <c r="S144" s="54"/>
      <c r="U144" s="76"/>
      <c r="V144" s="354"/>
      <c r="W144" s="355"/>
      <c r="X144" s="349"/>
      <c r="Y144" s="355"/>
      <c r="Z144" s="349"/>
      <c r="AD144" s="342"/>
      <c r="AE144" s="79"/>
      <c r="AF144" s="342"/>
      <c r="AG144" s="342"/>
      <c r="AH144" s="342"/>
      <c r="AI144" s="342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28"/>
      <c r="BC144" s="78"/>
      <c r="BD144" s="78"/>
      <c r="BE144" s="28"/>
      <c r="BF144" s="78"/>
    </row>
    <row r="145" spans="1:57">
      <c r="A145" s="70"/>
      <c r="B145" s="71"/>
      <c r="C145" s="71" t="s">
        <v>298</v>
      </c>
      <c r="D145" s="71"/>
      <c r="E145" s="72"/>
      <c r="F145" s="72"/>
      <c r="G145" s="73"/>
      <c r="H145" s="73"/>
      <c r="I145" s="73"/>
      <c r="J145" s="87"/>
      <c r="K145" s="87"/>
      <c r="O145" s="74"/>
      <c r="P145" s="75"/>
      <c r="Q145" s="73"/>
      <c r="R145" s="344"/>
      <c r="S145" s="54"/>
      <c r="V145" s="347"/>
      <c r="W145" s="348" t="s">
        <v>304</v>
      </c>
      <c r="X145" s="347"/>
      <c r="Y145" s="347"/>
      <c r="Z145" s="349"/>
      <c r="AE145" s="79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28"/>
      <c r="BE145" s="28"/>
    </row>
    <row r="146" spans="1:57">
      <c r="A146" s="70"/>
      <c r="B146" s="71"/>
      <c r="C146" s="71"/>
      <c r="D146" s="71"/>
      <c r="E146" s="72"/>
      <c r="F146" s="72"/>
      <c r="G146" s="73"/>
      <c r="H146" s="73"/>
      <c r="I146" s="73"/>
      <c r="J146" s="87"/>
      <c r="K146" s="87"/>
      <c r="O146" s="74"/>
      <c r="P146" s="75"/>
      <c r="Q146" s="73"/>
      <c r="R146" s="344"/>
      <c r="S146" s="54"/>
      <c r="V146" s="347"/>
      <c r="W146" s="350" t="s">
        <v>293</v>
      </c>
      <c r="X146" s="498">
        <f>Y139</f>
        <v>3.0319140158573542E-3</v>
      </c>
      <c r="Y146" s="351"/>
      <c r="Z146" s="349"/>
      <c r="AE146" s="79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28"/>
      <c r="BE146" s="28"/>
    </row>
    <row r="147" spans="1:57">
      <c r="R147" s="90"/>
      <c r="V147" s="347"/>
      <c r="W147" s="350" t="s">
        <v>147</v>
      </c>
      <c r="X147" s="353">
        <f>Z139</f>
        <v>1.1108504415096141E-3</v>
      </c>
      <c r="Y147" s="352"/>
      <c r="Z147" s="347"/>
    </row>
    <row r="148" spans="1:57">
      <c r="R148" s="90"/>
      <c r="V148" s="347"/>
      <c r="W148" s="350" t="s">
        <v>148</v>
      </c>
      <c r="X148" s="353">
        <f>AC139</f>
        <v>1.4120771133680016E-2</v>
      </c>
      <c r="Y148" s="353"/>
      <c r="Z148" s="347"/>
    </row>
    <row r="149" spans="1:57">
      <c r="R149" s="90"/>
      <c r="V149" s="347"/>
      <c r="W149" s="350" t="s">
        <v>149</v>
      </c>
      <c r="X149" s="353">
        <f>AA139</f>
        <v>3.8584516003461393E-3</v>
      </c>
      <c r="Y149" s="352"/>
      <c r="Z149" s="347"/>
    </row>
    <row r="150" spans="1:57">
      <c r="V150" s="347"/>
      <c r="W150" s="350" t="s">
        <v>165</v>
      </c>
      <c r="X150" s="353">
        <f>AB139</f>
        <v>-5.1664143668504541E-4</v>
      </c>
      <c r="Y150" s="352" t="s">
        <v>163</v>
      </c>
      <c r="Z150" s="347"/>
    </row>
    <row r="151" spans="1:57">
      <c r="V151" s="347"/>
      <c r="W151" s="350" t="s">
        <v>221</v>
      </c>
      <c r="X151" s="353">
        <f>AF139</f>
        <v>1.6596969447353151E-2</v>
      </c>
      <c r="Y151" s="352"/>
      <c r="Z151" s="347"/>
    </row>
    <row r="152" spans="1:57">
      <c r="V152" s="347"/>
      <c r="W152" s="350" t="s">
        <v>222</v>
      </c>
      <c r="X152" s="353">
        <f>+AG139</f>
        <v>6.4828430995701562E-3</v>
      </c>
      <c r="Y152" s="352"/>
      <c r="Z152" s="347"/>
    </row>
    <row r="153" spans="1:57">
      <c r="V153" s="347"/>
      <c r="W153" s="350" t="s">
        <v>299</v>
      </c>
      <c r="X153" s="353">
        <f>+AH139</f>
        <v>2.8805210060976676E-2</v>
      </c>
      <c r="Y153" s="352"/>
      <c r="Z153" s="347"/>
    </row>
    <row r="154" spans="1:57">
      <c r="V154" s="347"/>
      <c r="W154" s="350" t="s">
        <v>223</v>
      </c>
      <c r="X154" s="353">
        <f>+AI139</f>
        <v>0</v>
      </c>
      <c r="Y154" s="352"/>
      <c r="Z154" s="347"/>
    </row>
    <row r="155" spans="1:57">
      <c r="V155" s="347"/>
      <c r="W155" s="350" t="s">
        <v>156</v>
      </c>
      <c r="X155" s="353">
        <f>+AJ139</f>
        <v>0</v>
      </c>
      <c r="Y155" s="352"/>
      <c r="Z155" s="347"/>
    </row>
    <row r="156" spans="1:57">
      <c r="V156" s="347"/>
      <c r="W156" s="350" t="s">
        <v>158</v>
      </c>
      <c r="X156" s="353">
        <f>+AK139</f>
        <v>0</v>
      </c>
      <c r="Y156" s="352"/>
      <c r="Z156" s="347"/>
    </row>
    <row r="157" spans="1:57">
      <c r="V157" s="347"/>
      <c r="W157" s="350" t="s">
        <v>157</v>
      </c>
      <c r="X157" s="353">
        <f>+AL139</f>
        <v>0</v>
      </c>
      <c r="Y157" s="352"/>
      <c r="Z157" s="347"/>
    </row>
    <row r="158" spans="1:57">
      <c r="V158" s="347"/>
      <c r="W158" s="350" t="s">
        <v>150</v>
      </c>
      <c r="X158" s="353">
        <f>+AN139</f>
        <v>0</v>
      </c>
      <c r="Y158" s="352"/>
      <c r="Z158" s="347"/>
    </row>
    <row r="159" spans="1:57">
      <c r="V159" s="347"/>
      <c r="W159" s="350" t="s">
        <v>160</v>
      </c>
      <c r="X159" s="353">
        <f>+AO139</f>
        <v>0</v>
      </c>
      <c r="Y159" s="352"/>
      <c r="Z159" s="347"/>
    </row>
    <row r="160" spans="1:57">
      <c r="V160" s="347"/>
      <c r="W160" s="350" t="s">
        <v>151</v>
      </c>
      <c r="X160" s="353">
        <f>+AP139</f>
        <v>1.5594467937110343E-2</v>
      </c>
      <c r="Y160" s="352"/>
      <c r="Z160" s="347"/>
    </row>
    <row r="161" spans="22:26">
      <c r="V161" s="347"/>
      <c r="W161" s="350" t="s">
        <v>159</v>
      </c>
      <c r="X161" s="353">
        <f>+AQ139</f>
        <v>0</v>
      </c>
      <c r="Y161" s="352"/>
      <c r="Z161" s="347"/>
    </row>
    <row r="162" spans="22:26">
      <c r="V162" s="347"/>
      <c r="W162" s="350" t="s">
        <v>162</v>
      </c>
      <c r="X162" s="353">
        <f>+AS139</f>
        <v>2.227781133872906E-2</v>
      </c>
      <c r="Y162" s="352"/>
      <c r="Z162" s="347"/>
    </row>
    <row r="163" spans="22:26">
      <c r="V163" s="347"/>
      <c r="W163" s="350" t="s">
        <v>300</v>
      </c>
      <c r="X163" s="353">
        <f>+AT139</f>
        <v>0</v>
      </c>
      <c r="Y163" s="352"/>
      <c r="Z163" s="347"/>
    </row>
    <row r="164" spans="22:26">
      <c r="V164" s="347"/>
      <c r="W164" s="350" t="s">
        <v>237</v>
      </c>
      <c r="X164" s="353">
        <f>+AU139</f>
        <v>0</v>
      </c>
      <c r="Y164" s="352"/>
      <c r="Z164" s="347"/>
    </row>
    <row r="165" spans="22:26">
      <c r="V165" s="347"/>
      <c r="W165" s="350" t="s">
        <v>306</v>
      </c>
      <c r="X165" s="353">
        <f>+AW139</f>
        <v>6.3046206088603236E-3</v>
      </c>
      <c r="Y165" s="352"/>
      <c r="Z165" s="347"/>
    </row>
    <row r="166" spans="22:26">
      <c r="V166" s="347"/>
      <c r="W166" s="350" t="s">
        <v>307</v>
      </c>
      <c r="X166" s="353">
        <f>+AV139</f>
        <v>4.0100060409712317E-4</v>
      </c>
      <c r="Y166" s="352"/>
      <c r="Z166" s="347"/>
    </row>
    <row r="167" spans="22:26">
      <c r="V167" s="347"/>
      <c r="W167" s="347" t="s">
        <v>161</v>
      </c>
      <c r="X167" s="353">
        <f>+AX139+AY139</f>
        <v>0</v>
      </c>
      <c r="Y167" s="353"/>
      <c r="Z167" s="347"/>
    </row>
    <row r="168" spans="22:26">
      <c r="V168" s="347"/>
      <c r="W168" s="347" t="s">
        <v>305</v>
      </c>
      <c r="X168" s="353">
        <f>+AZ139</f>
        <v>0</v>
      </c>
      <c r="Y168" s="347"/>
      <c r="Z168" s="347"/>
    </row>
    <row r="169" spans="22:26">
      <c r="V169" s="347"/>
      <c r="W169" s="347"/>
      <c r="X169" s="511">
        <f>SUM(X146:X168)</f>
        <v>0.11806826885140491</v>
      </c>
      <c r="Y169" s="347"/>
      <c r="Z169" s="347"/>
    </row>
    <row r="172" spans="22:26">
      <c r="X172" s="90">
        <f>+X169+X138</f>
        <v>1</v>
      </c>
    </row>
  </sheetData>
  <mergeCells count="50">
    <mergeCell ref="BD3:BD5"/>
    <mergeCell ref="BE3:BE5"/>
    <mergeCell ref="BF3:BF5"/>
    <mergeCell ref="S3:S5"/>
    <mergeCell ref="T3:T5"/>
    <mergeCell ref="AF4:AH4"/>
    <mergeCell ref="W3:W5"/>
    <mergeCell ref="X3:X5"/>
    <mergeCell ref="Z3:Z5"/>
    <mergeCell ref="Y3:Y5"/>
    <mergeCell ref="AI4:AI5"/>
    <mergeCell ref="AB3:AB5"/>
    <mergeCell ref="BB3:BB5"/>
    <mergeCell ref="BC3:BC5"/>
    <mergeCell ref="AN4:AN5"/>
    <mergeCell ref="AP4:AP5"/>
    <mergeCell ref="G3:K4"/>
    <mergeCell ref="C3:C5"/>
    <mergeCell ref="L3:N4"/>
    <mergeCell ref="O3:O5"/>
    <mergeCell ref="R3:R5"/>
    <mergeCell ref="A3:A5"/>
    <mergeCell ref="B3:B5"/>
    <mergeCell ref="D3:D5"/>
    <mergeCell ref="E3:E5"/>
    <mergeCell ref="F3:F5"/>
    <mergeCell ref="AZ3:AZ5"/>
    <mergeCell ref="O139:P139"/>
    <mergeCell ref="BA3:BA5"/>
    <mergeCell ref="AT3:AU4"/>
    <mergeCell ref="P3:P5"/>
    <mergeCell ref="AK4:AK5"/>
    <mergeCell ref="AA3:AA5"/>
    <mergeCell ref="AL4:AL5"/>
    <mergeCell ref="AM3:AM5"/>
    <mergeCell ref="Q3:Q5"/>
    <mergeCell ref="AC3:AC5"/>
    <mergeCell ref="AE3:AE5"/>
    <mergeCell ref="AD3:AD5"/>
    <mergeCell ref="AF3:AL3"/>
    <mergeCell ref="AO4:AO5"/>
    <mergeCell ref="AR4:AR5"/>
    <mergeCell ref="AJ4:AJ5"/>
    <mergeCell ref="V3:V5"/>
    <mergeCell ref="U3:U5"/>
    <mergeCell ref="AV3:AW3"/>
    <mergeCell ref="AX3:AY3"/>
    <mergeCell ref="AN3:AR3"/>
    <mergeCell ref="AS3:AS5"/>
    <mergeCell ref="AQ4:AQ5"/>
  </mergeCells>
  <phoneticPr fontId="32" type="noConversion"/>
  <conditionalFormatting sqref="B86:C86 C139 C137 B137:B139">
    <cfRule type="cellIs" dxfId="1317" priority="2083" stopIfTrue="1" operator="equal">
      <formula>"Towel"</formula>
    </cfRule>
    <cfRule type="cellIs" dxfId="1316" priority="2084" stopIfTrue="1" operator="equal">
      <formula>"Napkin Hs"</formula>
    </cfRule>
  </conditionalFormatting>
  <conditionalFormatting sqref="C86">
    <cfRule type="cellIs" dxfId="1315" priority="2082" stopIfTrue="1" operator="equal">
      <formula>"Napkin Hs"</formula>
    </cfRule>
  </conditionalFormatting>
  <conditionalFormatting sqref="C86">
    <cfRule type="cellIs" dxfId="1314" priority="2081" stopIfTrue="1" operator="equal">
      <formula>"Towel"</formula>
    </cfRule>
  </conditionalFormatting>
  <conditionalFormatting sqref="C86">
    <cfRule type="cellIs" dxfId="1313" priority="1839" stopIfTrue="1" operator="equal">
      <formula>"Towel"</formula>
    </cfRule>
    <cfRule type="cellIs" dxfId="1312" priority="1840" stopIfTrue="1" operator="equal">
      <formula>"Napkin Hs"</formula>
    </cfRule>
  </conditionalFormatting>
  <conditionalFormatting sqref="B74:C74">
    <cfRule type="cellIs" dxfId="1311" priority="1425" stopIfTrue="1" operator="equal">
      <formula>"Towel"</formula>
    </cfRule>
    <cfRule type="cellIs" dxfId="1310" priority="1426" stopIfTrue="1" operator="equal">
      <formula>"Napkin Hs"</formula>
    </cfRule>
  </conditionalFormatting>
  <conditionalFormatting sqref="C74">
    <cfRule type="cellIs" dxfId="1309" priority="1424" stopIfTrue="1" operator="equal">
      <formula>"Napkin Hs"</formula>
    </cfRule>
  </conditionalFormatting>
  <conditionalFormatting sqref="C74">
    <cfRule type="cellIs" dxfId="1308" priority="1421" stopIfTrue="1" operator="equal">
      <formula>"Towel"</formula>
    </cfRule>
    <cfRule type="cellIs" dxfId="1307" priority="1422" stopIfTrue="1" operator="equal">
      <formula>"Napkin Hs"</formula>
    </cfRule>
  </conditionalFormatting>
  <conditionalFormatting sqref="C74">
    <cfRule type="cellIs" dxfId="1306" priority="1423" stopIfTrue="1" operator="equal">
      <formula>"Towel"</formula>
    </cfRule>
  </conditionalFormatting>
  <conditionalFormatting sqref="B78:C78">
    <cfRule type="cellIs" dxfId="1305" priority="1395" stopIfTrue="1" operator="equal">
      <formula>"Towel"</formula>
    </cfRule>
    <cfRule type="cellIs" dxfId="1304" priority="1396" stopIfTrue="1" operator="equal">
      <formula>"Napkin Hs"</formula>
    </cfRule>
  </conditionalFormatting>
  <conditionalFormatting sqref="C78">
    <cfRule type="cellIs" dxfId="1303" priority="1391" stopIfTrue="1" operator="equal">
      <formula>"Towel"</formula>
    </cfRule>
    <cfRule type="cellIs" dxfId="1302" priority="1392" stopIfTrue="1" operator="equal">
      <formula>"Napkin Hs"</formula>
    </cfRule>
  </conditionalFormatting>
  <conditionalFormatting sqref="C78">
    <cfRule type="cellIs" dxfId="1301" priority="1394" stopIfTrue="1" operator="equal">
      <formula>"Napkin Hs"</formula>
    </cfRule>
  </conditionalFormatting>
  <conditionalFormatting sqref="C78">
    <cfRule type="cellIs" dxfId="1300" priority="1393" stopIfTrue="1" operator="equal">
      <formula>"Towel"</formula>
    </cfRule>
  </conditionalFormatting>
  <conditionalFormatting sqref="B82:C82">
    <cfRule type="cellIs" dxfId="1299" priority="1365" stopIfTrue="1" operator="equal">
      <formula>"Towel"</formula>
    </cfRule>
    <cfRule type="cellIs" dxfId="1298" priority="1366" stopIfTrue="1" operator="equal">
      <formula>"Napkin Hs"</formula>
    </cfRule>
  </conditionalFormatting>
  <conditionalFormatting sqref="C82">
    <cfRule type="cellIs" dxfId="1297" priority="1361" stopIfTrue="1" operator="equal">
      <formula>"Towel"</formula>
    </cfRule>
    <cfRule type="cellIs" dxfId="1296" priority="1362" stopIfTrue="1" operator="equal">
      <formula>"Napkin Hs"</formula>
    </cfRule>
  </conditionalFormatting>
  <conditionalFormatting sqref="C82">
    <cfRule type="cellIs" dxfId="1295" priority="1364" stopIfTrue="1" operator="equal">
      <formula>"Napkin Hs"</formula>
    </cfRule>
  </conditionalFormatting>
  <conditionalFormatting sqref="C82">
    <cfRule type="cellIs" dxfId="1294" priority="1363" stopIfTrue="1" operator="equal">
      <formula>"Towel"</formula>
    </cfRule>
  </conditionalFormatting>
  <conditionalFormatting sqref="B90:C90">
    <cfRule type="cellIs" dxfId="1293" priority="1359" stopIfTrue="1" operator="equal">
      <formula>"Towel"</formula>
    </cfRule>
    <cfRule type="cellIs" dxfId="1292" priority="1360" stopIfTrue="1" operator="equal">
      <formula>"Napkin Hs"</formula>
    </cfRule>
  </conditionalFormatting>
  <conditionalFormatting sqref="C90">
    <cfRule type="cellIs" dxfId="1291" priority="1358" stopIfTrue="1" operator="equal">
      <formula>"Napkin Hs"</formula>
    </cfRule>
  </conditionalFormatting>
  <conditionalFormatting sqref="C90">
    <cfRule type="cellIs" dxfId="1290" priority="1355" stopIfTrue="1" operator="equal">
      <formula>"Towel"</formula>
    </cfRule>
    <cfRule type="cellIs" dxfId="1289" priority="1356" stopIfTrue="1" operator="equal">
      <formula>"Napkin Hs"</formula>
    </cfRule>
  </conditionalFormatting>
  <conditionalFormatting sqref="C90">
    <cfRule type="cellIs" dxfId="1288" priority="1357" stopIfTrue="1" operator="equal">
      <formula>"Towel"</formula>
    </cfRule>
  </conditionalFormatting>
  <conditionalFormatting sqref="B94:C94">
    <cfRule type="cellIs" dxfId="1287" priority="1341" stopIfTrue="1" operator="equal">
      <formula>"Towel"</formula>
    </cfRule>
    <cfRule type="cellIs" dxfId="1286" priority="1342" stopIfTrue="1" operator="equal">
      <formula>"Napkin Hs"</formula>
    </cfRule>
  </conditionalFormatting>
  <conditionalFormatting sqref="C94">
    <cfRule type="cellIs" dxfId="1285" priority="1340" stopIfTrue="1" operator="equal">
      <formula>"Napkin Hs"</formula>
    </cfRule>
  </conditionalFormatting>
  <conditionalFormatting sqref="C94">
    <cfRule type="cellIs" dxfId="1284" priority="1337" stopIfTrue="1" operator="equal">
      <formula>"Towel"</formula>
    </cfRule>
    <cfRule type="cellIs" dxfId="1283" priority="1338" stopIfTrue="1" operator="equal">
      <formula>"Napkin Hs"</formula>
    </cfRule>
  </conditionalFormatting>
  <conditionalFormatting sqref="C94">
    <cfRule type="cellIs" dxfId="1282" priority="1339" stopIfTrue="1" operator="equal">
      <formula>"Towel"</formula>
    </cfRule>
  </conditionalFormatting>
  <conditionalFormatting sqref="B98:C98">
    <cfRule type="cellIs" dxfId="1281" priority="1311" stopIfTrue="1" operator="equal">
      <formula>"Towel"</formula>
    </cfRule>
    <cfRule type="cellIs" dxfId="1280" priority="1312" stopIfTrue="1" operator="equal">
      <formula>"Napkin Hs"</formula>
    </cfRule>
  </conditionalFormatting>
  <conditionalFormatting sqref="C98">
    <cfRule type="cellIs" dxfId="1279" priority="1310" stopIfTrue="1" operator="equal">
      <formula>"Napkin Hs"</formula>
    </cfRule>
  </conditionalFormatting>
  <conditionalFormatting sqref="C98">
    <cfRule type="cellIs" dxfId="1278" priority="1307" stopIfTrue="1" operator="equal">
      <formula>"Towel"</formula>
    </cfRule>
    <cfRule type="cellIs" dxfId="1277" priority="1308" stopIfTrue="1" operator="equal">
      <formula>"Napkin Hs"</formula>
    </cfRule>
  </conditionalFormatting>
  <conditionalFormatting sqref="C98">
    <cfRule type="cellIs" dxfId="1276" priority="1309" stopIfTrue="1" operator="equal">
      <formula>"Towel"</formula>
    </cfRule>
  </conditionalFormatting>
  <conditionalFormatting sqref="B103:C103">
    <cfRule type="cellIs" dxfId="1275" priority="1293" stopIfTrue="1" operator="equal">
      <formula>"Towel"</formula>
    </cfRule>
    <cfRule type="cellIs" dxfId="1274" priority="1294" stopIfTrue="1" operator="equal">
      <formula>"Napkin Hs"</formula>
    </cfRule>
  </conditionalFormatting>
  <conditionalFormatting sqref="C103">
    <cfRule type="cellIs" dxfId="1273" priority="1292" stopIfTrue="1" operator="equal">
      <formula>"Napkin Hs"</formula>
    </cfRule>
  </conditionalFormatting>
  <conditionalFormatting sqref="C103">
    <cfRule type="cellIs" dxfId="1272" priority="1289" stopIfTrue="1" operator="equal">
      <formula>"Towel"</formula>
    </cfRule>
    <cfRule type="cellIs" dxfId="1271" priority="1290" stopIfTrue="1" operator="equal">
      <formula>"Napkin Hs"</formula>
    </cfRule>
  </conditionalFormatting>
  <conditionalFormatting sqref="C103">
    <cfRule type="cellIs" dxfId="1270" priority="1291" stopIfTrue="1" operator="equal">
      <formula>"Towel"</formula>
    </cfRule>
  </conditionalFormatting>
  <conditionalFormatting sqref="B108:C108">
    <cfRule type="cellIs" dxfId="1269" priority="1275" stopIfTrue="1" operator="equal">
      <formula>"Towel"</formula>
    </cfRule>
    <cfRule type="cellIs" dxfId="1268" priority="1276" stopIfTrue="1" operator="equal">
      <formula>"Napkin Hs"</formula>
    </cfRule>
  </conditionalFormatting>
  <conditionalFormatting sqref="C108">
    <cfRule type="cellIs" dxfId="1267" priority="1274" stopIfTrue="1" operator="equal">
      <formula>"Napkin Hs"</formula>
    </cfRule>
  </conditionalFormatting>
  <conditionalFormatting sqref="C108">
    <cfRule type="cellIs" dxfId="1266" priority="1271" stopIfTrue="1" operator="equal">
      <formula>"Towel"</formula>
    </cfRule>
    <cfRule type="cellIs" dxfId="1265" priority="1272" stopIfTrue="1" operator="equal">
      <formula>"Napkin Hs"</formula>
    </cfRule>
  </conditionalFormatting>
  <conditionalFormatting sqref="C108">
    <cfRule type="cellIs" dxfId="1264" priority="1273" stopIfTrue="1" operator="equal">
      <formula>"Towel"</formula>
    </cfRule>
  </conditionalFormatting>
  <conditionalFormatting sqref="B116:C116">
    <cfRule type="cellIs" dxfId="1263" priority="1263" stopIfTrue="1" operator="equal">
      <formula>"Towel"</formula>
    </cfRule>
    <cfRule type="cellIs" dxfId="1262" priority="1264" stopIfTrue="1" operator="equal">
      <formula>"Napkin Hs"</formula>
    </cfRule>
  </conditionalFormatting>
  <conditionalFormatting sqref="C116">
    <cfRule type="cellIs" dxfId="1261" priority="1261" stopIfTrue="1" operator="equal">
      <formula>"Towel"</formula>
    </cfRule>
    <cfRule type="cellIs" dxfId="1260" priority="1262" stopIfTrue="1" operator="equal">
      <formula>"Napkin Hs"</formula>
    </cfRule>
  </conditionalFormatting>
  <conditionalFormatting sqref="C116">
    <cfRule type="cellIs" dxfId="1259" priority="1259" stopIfTrue="1" operator="equal">
      <formula>"Towel"</formula>
    </cfRule>
    <cfRule type="cellIs" dxfId="1258" priority="1260" stopIfTrue="1" operator="equal">
      <formula>"Napkin Hs"</formula>
    </cfRule>
  </conditionalFormatting>
  <conditionalFormatting sqref="B120:C120">
    <cfRule type="cellIs" dxfId="1257" priority="1239" stopIfTrue="1" operator="equal">
      <formula>"Towel"</formula>
    </cfRule>
    <cfRule type="cellIs" dxfId="1256" priority="1240" stopIfTrue="1" operator="equal">
      <formula>"Napkin Hs"</formula>
    </cfRule>
  </conditionalFormatting>
  <conditionalFormatting sqref="C120">
    <cfRule type="cellIs" dxfId="1255" priority="1238" stopIfTrue="1" operator="equal">
      <formula>"Napkin Hs"</formula>
    </cfRule>
  </conditionalFormatting>
  <conditionalFormatting sqref="C120">
    <cfRule type="cellIs" dxfId="1254" priority="1235" stopIfTrue="1" operator="equal">
      <formula>"Towel"</formula>
    </cfRule>
    <cfRule type="cellIs" dxfId="1253" priority="1236" stopIfTrue="1" operator="equal">
      <formula>"Napkin Hs"</formula>
    </cfRule>
  </conditionalFormatting>
  <conditionalFormatting sqref="C120">
    <cfRule type="cellIs" dxfId="1252" priority="1237" stopIfTrue="1" operator="equal">
      <formula>"Towel"</formula>
    </cfRule>
  </conditionalFormatting>
  <conditionalFormatting sqref="B124:C124">
    <cfRule type="cellIs" dxfId="1251" priority="1221" stopIfTrue="1" operator="equal">
      <formula>"Towel"</formula>
    </cfRule>
    <cfRule type="cellIs" dxfId="1250" priority="1222" stopIfTrue="1" operator="equal">
      <formula>"Napkin Hs"</formula>
    </cfRule>
  </conditionalFormatting>
  <conditionalFormatting sqref="C124">
    <cfRule type="cellIs" dxfId="1249" priority="1220" stopIfTrue="1" operator="equal">
      <formula>"Napkin Hs"</formula>
    </cfRule>
  </conditionalFormatting>
  <conditionalFormatting sqref="C124">
    <cfRule type="cellIs" dxfId="1248" priority="1217" stopIfTrue="1" operator="equal">
      <formula>"Towel"</formula>
    </cfRule>
    <cfRule type="cellIs" dxfId="1247" priority="1218" stopIfTrue="1" operator="equal">
      <formula>"Napkin Hs"</formula>
    </cfRule>
  </conditionalFormatting>
  <conditionalFormatting sqref="C124">
    <cfRule type="cellIs" dxfId="1246" priority="1219" stopIfTrue="1" operator="equal">
      <formula>"Towel"</formula>
    </cfRule>
  </conditionalFormatting>
  <conditionalFormatting sqref="B132:C132">
    <cfRule type="cellIs" dxfId="1245" priority="1161" stopIfTrue="1" operator="equal">
      <formula>"Towel"</formula>
    </cfRule>
    <cfRule type="cellIs" dxfId="1244" priority="1162" stopIfTrue="1" operator="equal">
      <formula>"Napkin Hs"</formula>
    </cfRule>
  </conditionalFormatting>
  <conditionalFormatting sqref="C132">
    <cfRule type="cellIs" dxfId="1243" priority="1157" stopIfTrue="1" operator="equal">
      <formula>"Towel"</formula>
    </cfRule>
    <cfRule type="cellIs" dxfId="1242" priority="1158" stopIfTrue="1" operator="equal">
      <formula>"Napkin Hs"</formula>
    </cfRule>
  </conditionalFormatting>
  <conditionalFormatting sqref="C132">
    <cfRule type="cellIs" dxfId="1241" priority="1160" stopIfTrue="1" operator="equal">
      <formula>"Napkin Hs"</formula>
    </cfRule>
  </conditionalFormatting>
  <conditionalFormatting sqref="C132">
    <cfRule type="cellIs" dxfId="1240" priority="1159" stopIfTrue="1" operator="equal">
      <formula>"Towel"</formula>
    </cfRule>
  </conditionalFormatting>
  <conditionalFormatting sqref="B69:C70">
    <cfRule type="cellIs" dxfId="1239" priority="659" stopIfTrue="1" operator="equal">
      <formula>"Towel"</formula>
    </cfRule>
    <cfRule type="cellIs" dxfId="1238" priority="660" stopIfTrue="1" operator="equal">
      <formula>"Napkin Hs"</formula>
    </cfRule>
  </conditionalFormatting>
  <conditionalFormatting sqref="C69:C70">
    <cfRule type="cellIs" dxfId="1237" priority="658" stopIfTrue="1" operator="equal">
      <formula>"Napkin Hs"</formula>
    </cfRule>
  </conditionalFormatting>
  <conditionalFormatting sqref="C69:C70">
    <cfRule type="cellIs" dxfId="1236" priority="655" stopIfTrue="1" operator="equal">
      <formula>"Towel"</formula>
    </cfRule>
    <cfRule type="cellIs" dxfId="1235" priority="656" stopIfTrue="1" operator="equal">
      <formula>"Napkin Hs"</formula>
    </cfRule>
  </conditionalFormatting>
  <conditionalFormatting sqref="C69:C70">
    <cfRule type="cellIs" dxfId="1234" priority="657" stopIfTrue="1" operator="equal">
      <formula>"Towel"</formula>
    </cfRule>
  </conditionalFormatting>
  <conditionalFormatting sqref="B48:C48 B10:C10 B6:C8">
    <cfRule type="cellIs" dxfId="1233" priority="641" stopIfTrue="1" operator="equal">
      <formula>"Towel"</formula>
    </cfRule>
    <cfRule type="cellIs" dxfId="1232" priority="642" stopIfTrue="1" operator="equal">
      <formula>"Napkin Hs"</formula>
    </cfRule>
  </conditionalFormatting>
  <conditionalFormatting sqref="B11:C11">
    <cfRule type="cellIs" dxfId="1231" priority="623" stopIfTrue="1" operator="equal">
      <formula>"Towel"</formula>
    </cfRule>
    <cfRule type="cellIs" dxfId="1230" priority="624" stopIfTrue="1" operator="equal">
      <formula>"Napkin Hs"</formula>
    </cfRule>
  </conditionalFormatting>
  <conditionalFormatting sqref="B16:C16">
    <cfRule type="cellIs" dxfId="1229" priority="629" stopIfTrue="1" operator="equal">
      <formula>"Towel"</formula>
    </cfRule>
    <cfRule type="cellIs" dxfId="1228" priority="630" stopIfTrue="1" operator="equal">
      <formula>"Napkin Hs"</formula>
    </cfRule>
  </conditionalFormatting>
  <conditionalFormatting sqref="B36:C36">
    <cfRule type="cellIs" dxfId="1227" priority="637" stopIfTrue="1" operator="equal">
      <formula>"Towel"</formula>
    </cfRule>
    <cfRule type="cellIs" dxfId="1226" priority="638" stopIfTrue="1" operator="equal">
      <formula>"Napkin Hs"</formula>
    </cfRule>
  </conditionalFormatting>
  <conditionalFormatting sqref="C48 C10 C6:C8">
    <cfRule type="cellIs" dxfId="1225" priority="640" stopIfTrue="1" operator="equal">
      <formula>"Napkin Hs"</formula>
    </cfRule>
  </conditionalFormatting>
  <conditionalFormatting sqref="C10 C6:C8">
    <cfRule type="cellIs" dxfId="1224" priority="625" stopIfTrue="1" operator="equal">
      <formula>"Towel"</formula>
    </cfRule>
    <cfRule type="cellIs" dxfId="1223" priority="626" stopIfTrue="1" operator="equal">
      <formula>"Napkin Hs"</formula>
    </cfRule>
  </conditionalFormatting>
  <conditionalFormatting sqref="C11 C16">
    <cfRule type="cellIs" dxfId="1222" priority="621" stopIfTrue="1" operator="equal">
      <formula>"Towel"</formula>
    </cfRule>
    <cfRule type="cellIs" dxfId="1221" priority="622" stopIfTrue="1" operator="equal">
      <formula>"Napkin Hs"</formula>
    </cfRule>
  </conditionalFormatting>
  <conditionalFormatting sqref="C11">
    <cfRule type="cellIs" dxfId="1220" priority="619" stopIfTrue="1" operator="equal">
      <formula>"Towel"</formula>
    </cfRule>
    <cfRule type="cellIs" dxfId="1219" priority="620" stopIfTrue="1" operator="equal">
      <formula>"Napkin Hs"</formula>
    </cfRule>
  </conditionalFormatting>
  <conditionalFormatting sqref="C16">
    <cfRule type="cellIs" dxfId="1218" priority="627" stopIfTrue="1" operator="equal">
      <formula>"Towel"</formula>
    </cfRule>
    <cfRule type="cellIs" dxfId="1217" priority="628" stopIfTrue="1" operator="equal">
      <formula>"Napkin Hs"</formula>
    </cfRule>
  </conditionalFormatting>
  <conditionalFormatting sqref="C48 C10 C6:C8">
    <cfRule type="cellIs" dxfId="1216" priority="639" stopIfTrue="1" operator="equal">
      <formula>"Towel"</formula>
    </cfRule>
  </conditionalFormatting>
  <conditionalFormatting sqref="C36">
    <cfRule type="cellIs" dxfId="1215" priority="635" stopIfTrue="1" operator="equal">
      <formula>"Towel"</formula>
    </cfRule>
    <cfRule type="cellIs" dxfId="1214" priority="636" stopIfTrue="1" operator="equal">
      <formula>"Napkin Hs"</formula>
    </cfRule>
  </conditionalFormatting>
  <conditionalFormatting sqref="C36">
    <cfRule type="cellIs" dxfId="1213" priority="633" stopIfTrue="1" operator="equal">
      <formula>"Towel"</formula>
    </cfRule>
    <cfRule type="cellIs" dxfId="1212" priority="634" stopIfTrue="1" operator="equal">
      <formula>"Napkin Hs"</formula>
    </cfRule>
  </conditionalFormatting>
  <conditionalFormatting sqref="C48">
    <cfRule type="cellIs" dxfId="1211" priority="631" stopIfTrue="1" operator="equal">
      <formula>"Towel"</formula>
    </cfRule>
    <cfRule type="cellIs" dxfId="1210" priority="632" stopIfTrue="1" operator="equal">
      <formula>"Napkin Hs"</formula>
    </cfRule>
  </conditionalFormatting>
  <conditionalFormatting sqref="B9:C9">
    <cfRule type="cellIs" dxfId="1209" priority="617" stopIfTrue="1" operator="equal">
      <formula>"Towel"</formula>
    </cfRule>
    <cfRule type="cellIs" dxfId="1208" priority="618" stopIfTrue="1" operator="equal">
      <formula>"Napkin Hs"</formula>
    </cfRule>
  </conditionalFormatting>
  <conditionalFormatting sqref="C9">
    <cfRule type="cellIs" dxfId="1207" priority="613" stopIfTrue="1" operator="equal">
      <formula>"Towel"</formula>
    </cfRule>
    <cfRule type="cellIs" dxfId="1206" priority="614" stopIfTrue="1" operator="equal">
      <formula>"Napkin Hs"</formula>
    </cfRule>
  </conditionalFormatting>
  <conditionalFormatting sqref="C9">
    <cfRule type="cellIs" dxfId="1205" priority="616" stopIfTrue="1" operator="equal">
      <formula>"Napkin Hs"</formula>
    </cfRule>
  </conditionalFormatting>
  <conditionalFormatting sqref="C9">
    <cfRule type="cellIs" dxfId="1204" priority="615" stopIfTrue="1" operator="equal">
      <formula>"Towel"</formula>
    </cfRule>
  </conditionalFormatting>
  <conditionalFormatting sqref="B40:C40">
    <cfRule type="cellIs" dxfId="1203" priority="611" stopIfTrue="1" operator="equal">
      <formula>"Towel"</formula>
    </cfRule>
    <cfRule type="cellIs" dxfId="1202" priority="612" stopIfTrue="1" operator="equal">
      <formula>"Napkin Hs"</formula>
    </cfRule>
  </conditionalFormatting>
  <conditionalFormatting sqref="C40">
    <cfRule type="cellIs" dxfId="1201" priority="610" stopIfTrue="1" operator="equal">
      <formula>"Napkin Hs"</formula>
    </cfRule>
  </conditionalFormatting>
  <conditionalFormatting sqref="C40">
    <cfRule type="cellIs" dxfId="1200" priority="607" stopIfTrue="1" operator="equal">
      <formula>"Towel"</formula>
    </cfRule>
    <cfRule type="cellIs" dxfId="1199" priority="608" stopIfTrue="1" operator="equal">
      <formula>"Napkin Hs"</formula>
    </cfRule>
  </conditionalFormatting>
  <conditionalFormatting sqref="C40">
    <cfRule type="cellIs" dxfId="1198" priority="609" stopIfTrue="1" operator="equal">
      <formula>"Towel"</formula>
    </cfRule>
  </conditionalFormatting>
  <conditionalFormatting sqref="B44:C44">
    <cfRule type="cellIs" dxfId="1197" priority="605" stopIfTrue="1" operator="equal">
      <formula>"Towel"</formula>
    </cfRule>
    <cfRule type="cellIs" dxfId="1196" priority="606" stopIfTrue="1" operator="equal">
      <formula>"Napkin Hs"</formula>
    </cfRule>
  </conditionalFormatting>
  <conditionalFormatting sqref="C44">
    <cfRule type="cellIs" dxfId="1195" priority="604" stopIfTrue="1" operator="equal">
      <formula>"Napkin Hs"</formula>
    </cfRule>
  </conditionalFormatting>
  <conditionalFormatting sqref="C44">
    <cfRule type="cellIs" dxfId="1194" priority="601" stopIfTrue="1" operator="equal">
      <formula>"Towel"</formula>
    </cfRule>
    <cfRule type="cellIs" dxfId="1193" priority="602" stopIfTrue="1" operator="equal">
      <formula>"Napkin Hs"</formula>
    </cfRule>
  </conditionalFormatting>
  <conditionalFormatting sqref="C44">
    <cfRule type="cellIs" dxfId="1192" priority="603" stopIfTrue="1" operator="equal">
      <formula>"Towel"</formula>
    </cfRule>
  </conditionalFormatting>
  <conditionalFormatting sqref="C16">
    <cfRule type="cellIs" dxfId="1191" priority="597" stopIfTrue="1" operator="equal">
      <formula>"Towel"</formula>
    </cfRule>
    <cfRule type="cellIs" dxfId="1190" priority="598" stopIfTrue="1" operator="equal">
      <formula>"Napkin Hs"</formula>
    </cfRule>
  </conditionalFormatting>
  <conditionalFormatting sqref="B16:C16">
    <cfRule type="cellIs" dxfId="1189" priority="599" stopIfTrue="1" operator="equal">
      <formula>"Towel"</formula>
    </cfRule>
    <cfRule type="cellIs" dxfId="1188" priority="600" stopIfTrue="1" operator="equal">
      <formula>"Napkin Hs"</formula>
    </cfRule>
  </conditionalFormatting>
  <conditionalFormatting sqref="C20">
    <cfRule type="cellIs" dxfId="1187" priority="591" stopIfTrue="1" operator="equal">
      <formula>"Towel"</formula>
    </cfRule>
    <cfRule type="cellIs" dxfId="1186" priority="592" stopIfTrue="1" operator="equal">
      <formula>"Napkin Hs"</formula>
    </cfRule>
  </conditionalFormatting>
  <conditionalFormatting sqref="B20:C20">
    <cfRule type="cellIs" dxfId="1185" priority="595" stopIfTrue="1" operator="equal">
      <formula>"Towel"</formula>
    </cfRule>
    <cfRule type="cellIs" dxfId="1184" priority="596" stopIfTrue="1" operator="equal">
      <formula>"Napkin Hs"</formula>
    </cfRule>
  </conditionalFormatting>
  <conditionalFormatting sqref="C20">
    <cfRule type="cellIs" dxfId="1183" priority="594" stopIfTrue="1" operator="equal">
      <formula>"Napkin Hs"</formula>
    </cfRule>
  </conditionalFormatting>
  <conditionalFormatting sqref="C20">
    <cfRule type="cellIs" dxfId="1182" priority="593" stopIfTrue="1" operator="equal">
      <formula>"Towel"</formula>
    </cfRule>
  </conditionalFormatting>
  <conditionalFormatting sqref="B20:C20">
    <cfRule type="cellIs" dxfId="1181" priority="589" stopIfTrue="1" operator="equal">
      <formula>"Towel"</formula>
    </cfRule>
    <cfRule type="cellIs" dxfId="1180" priority="590" stopIfTrue="1" operator="equal">
      <formula>"Napkin Hs"</formula>
    </cfRule>
  </conditionalFormatting>
  <conditionalFormatting sqref="C20">
    <cfRule type="cellIs" dxfId="1179" priority="585" stopIfTrue="1" operator="equal">
      <formula>"Towel"</formula>
    </cfRule>
    <cfRule type="cellIs" dxfId="1178" priority="586" stopIfTrue="1" operator="equal">
      <formula>"Napkin Hs"</formula>
    </cfRule>
  </conditionalFormatting>
  <conditionalFormatting sqref="C20">
    <cfRule type="cellIs" dxfId="1177" priority="588" stopIfTrue="1" operator="equal">
      <formula>"Napkin Hs"</formula>
    </cfRule>
  </conditionalFormatting>
  <conditionalFormatting sqref="C20">
    <cfRule type="cellIs" dxfId="1176" priority="587" stopIfTrue="1" operator="equal">
      <formula>"Towel"</formula>
    </cfRule>
  </conditionalFormatting>
  <conditionalFormatting sqref="B28:C28">
    <cfRule type="cellIs" dxfId="1175" priority="583" stopIfTrue="1" operator="equal">
      <formula>"Towel"</formula>
    </cfRule>
    <cfRule type="cellIs" dxfId="1174" priority="584" stopIfTrue="1" operator="equal">
      <formula>"Napkin Hs"</formula>
    </cfRule>
  </conditionalFormatting>
  <conditionalFormatting sqref="C28">
    <cfRule type="cellIs" dxfId="1173" priority="582" stopIfTrue="1" operator="equal">
      <formula>"Napkin Hs"</formula>
    </cfRule>
  </conditionalFormatting>
  <conditionalFormatting sqref="C28">
    <cfRule type="cellIs" dxfId="1172" priority="579" stopIfTrue="1" operator="equal">
      <formula>"Towel"</formula>
    </cfRule>
    <cfRule type="cellIs" dxfId="1171" priority="580" stopIfTrue="1" operator="equal">
      <formula>"Napkin Hs"</formula>
    </cfRule>
  </conditionalFormatting>
  <conditionalFormatting sqref="C28">
    <cfRule type="cellIs" dxfId="1170" priority="581" stopIfTrue="1" operator="equal">
      <formula>"Towel"</formula>
    </cfRule>
  </conditionalFormatting>
  <conditionalFormatting sqref="B28:C28">
    <cfRule type="cellIs" dxfId="1169" priority="577" stopIfTrue="1" operator="equal">
      <formula>"Towel"</formula>
    </cfRule>
    <cfRule type="cellIs" dxfId="1168" priority="578" stopIfTrue="1" operator="equal">
      <formula>"Napkin Hs"</formula>
    </cfRule>
  </conditionalFormatting>
  <conditionalFormatting sqref="C28">
    <cfRule type="cellIs" dxfId="1167" priority="576" stopIfTrue="1" operator="equal">
      <formula>"Napkin Hs"</formula>
    </cfRule>
  </conditionalFormatting>
  <conditionalFormatting sqref="C28">
    <cfRule type="cellIs" dxfId="1166" priority="573" stopIfTrue="1" operator="equal">
      <formula>"Towel"</formula>
    </cfRule>
    <cfRule type="cellIs" dxfId="1165" priority="574" stopIfTrue="1" operator="equal">
      <formula>"Napkin Hs"</formula>
    </cfRule>
  </conditionalFormatting>
  <conditionalFormatting sqref="C28">
    <cfRule type="cellIs" dxfId="1164" priority="575" stopIfTrue="1" operator="equal">
      <formula>"Towel"</formula>
    </cfRule>
  </conditionalFormatting>
  <conditionalFormatting sqref="B32:C32">
    <cfRule type="cellIs" dxfId="1163" priority="571" stopIfTrue="1" operator="equal">
      <formula>"Towel"</formula>
    </cfRule>
    <cfRule type="cellIs" dxfId="1162" priority="572" stopIfTrue="1" operator="equal">
      <formula>"Napkin Hs"</formula>
    </cfRule>
  </conditionalFormatting>
  <conditionalFormatting sqref="C32">
    <cfRule type="cellIs" dxfId="1161" priority="570" stopIfTrue="1" operator="equal">
      <formula>"Napkin Hs"</formula>
    </cfRule>
  </conditionalFormatting>
  <conditionalFormatting sqref="C32">
    <cfRule type="cellIs" dxfId="1160" priority="567" stopIfTrue="1" operator="equal">
      <formula>"Towel"</formula>
    </cfRule>
    <cfRule type="cellIs" dxfId="1159" priority="568" stopIfTrue="1" operator="equal">
      <formula>"Napkin Hs"</formula>
    </cfRule>
  </conditionalFormatting>
  <conditionalFormatting sqref="C32">
    <cfRule type="cellIs" dxfId="1158" priority="569" stopIfTrue="1" operator="equal">
      <formula>"Towel"</formula>
    </cfRule>
  </conditionalFormatting>
  <conditionalFormatting sqref="B32:C32">
    <cfRule type="cellIs" dxfId="1157" priority="565" stopIfTrue="1" operator="equal">
      <formula>"Towel"</formula>
    </cfRule>
    <cfRule type="cellIs" dxfId="1156" priority="566" stopIfTrue="1" operator="equal">
      <formula>"Napkin Hs"</formula>
    </cfRule>
  </conditionalFormatting>
  <conditionalFormatting sqref="C32">
    <cfRule type="cellIs" dxfId="1155" priority="564" stopIfTrue="1" operator="equal">
      <formula>"Napkin Hs"</formula>
    </cfRule>
  </conditionalFormatting>
  <conditionalFormatting sqref="C32">
    <cfRule type="cellIs" dxfId="1154" priority="561" stopIfTrue="1" operator="equal">
      <formula>"Towel"</formula>
    </cfRule>
    <cfRule type="cellIs" dxfId="1153" priority="562" stopIfTrue="1" operator="equal">
      <formula>"Napkin Hs"</formula>
    </cfRule>
  </conditionalFormatting>
  <conditionalFormatting sqref="C32">
    <cfRule type="cellIs" dxfId="1152" priority="563" stopIfTrue="1" operator="equal">
      <formula>"Towel"</formula>
    </cfRule>
  </conditionalFormatting>
  <conditionalFormatting sqref="B13:C15">
    <cfRule type="cellIs" dxfId="1151" priority="559" stopIfTrue="1" operator="equal">
      <formula>"Towel"</formula>
    </cfRule>
    <cfRule type="cellIs" dxfId="1150" priority="560" stopIfTrue="1" operator="equal">
      <formula>"Napkin Hs"</formula>
    </cfRule>
  </conditionalFormatting>
  <conditionalFormatting sqref="C13:C15">
    <cfRule type="cellIs" dxfId="1149" priority="558" stopIfTrue="1" operator="equal">
      <formula>"Napkin Hs"</formula>
    </cfRule>
  </conditionalFormatting>
  <conditionalFormatting sqref="C13:C15">
    <cfRule type="cellIs" dxfId="1148" priority="555" stopIfTrue="1" operator="equal">
      <formula>"Towel"</formula>
    </cfRule>
    <cfRule type="cellIs" dxfId="1147" priority="556" stopIfTrue="1" operator="equal">
      <formula>"Napkin Hs"</formula>
    </cfRule>
  </conditionalFormatting>
  <conditionalFormatting sqref="C13:C15">
    <cfRule type="cellIs" dxfId="1146" priority="557" stopIfTrue="1" operator="equal">
      <formula>"Towel"</formula>
    </cfRule>
  </conditionalFormatting>
  <conditionalFormatting sqref="B12:C12">
    <cfRule type="cellIs" dxfId="1145" priority="553" stopIfTrue="1" operator="equal">
      <formula>"Towel"</formula>
    </cfRule>
    <cfRule type="cellIs" dxfId="1144" priority="554" stopIfTrue="1" operator="equal">
      <formula>"Napkin Hs"</formula>
    </cfRule>
  </conditionalFormatting>
  <conditionalFormatting sqref="C12">
    <cfRule type="cellIs" dxfId="1143" priority="552" stopIfTrue="1" operator="equal">
      <formula>"Napkin Hs"</formula>
    </cfRule>
  </conditionalFormatting>
  <conditionalFormatting sqref="C12">
    <cfRule type="cellIs" dxfId="1142" priority="549" stopIfTrue="1" operator="equal">
      <formula>"Towel"</formula>
    </cfRule>
    <cfRule type="cellIs" dxfId="1141" priority="550" stopIfTrue="1" operator="equal">
      <formula>"Napkin Hs"</formula>
    </cfRule>
  </conditionalFormatting>
  <conditionalFormatting sqref="C12">
    <cfRule type="cellIs" dxfId="1140" priority="551" stopIfTrue="1" operator="equal">
      <formula>"Towel"</formula>
    </cfRule>
  </conditionalFormatting>
  <conditionalFormatting sqref="B18:C19">
    <cfRule type="cellIs" dxfId="1139" priority="547" stopIfTrue="1" operator="equal">
      <formula>"Towel"</formula>
    </cfRule>
    <cfRule type="cellIs" dxfId="1138" priority="548" stopIfTrue="1" operator="equal">
      <formula>"Napkin Hs"</formula>
    </cfRule>
  </conditionalFormatting>
  <conditionalFormatting sqref="C18:C19">
    <cfRule type="cellIs" dxfId="1137" priority="546" stopIfTrue="1" operator="equal">
      <formula>"Napkin Hs"</formula>
    </cfRule>
  </conditionalFormatting>
  <conditionalFormatting sqref="C18:C19">
    <cfRule type="cellIs" dxfId="1136" priority="543" stopIfTrue="1" operator="equal">
      <formula>"Towel"</formula>
    </cfRule>
    <cfRule type="cellIs" dxfId="1135" priority="544" stopIfTrue="1" operator="equal">
      <formula>"Napkin Hs"</formula>
    </cfRule>
  </conditionalFormatting>
  <conditionalFormatting sqref="C18:C19">
    <cfRule type="cellIs" dxfId="1134" priority="545" stopIfTrue="1" operator="equal">
      <formula>"Towel"</formula>
    </cfRule>
  </conditionalFormatting>
  <conditionalFormatting sqref="B17:C17">
    <cfRule type="cellIs" dxfId="1133" priority="541" stopIfTrue="1" operator="equal">
      <formula>"Towel"</formula>
    </cfRule>
    <cfRule type="cellIs" dxfId="1132" priority="542" stopIfTrue="1" operator="equal">
      <formula>"Napkin Hs"</formula>
    </cfRule>
  </conditionalFormatting>
  <conditionalFormatting sqref="C17">
    <cfRule type="cellIs" dxfId="1131" priority="540" stopIfTrue="1" operator="equal">
      <formula>"Napkin Hs"</formula>
    </cfRule>
  </conditionalFormatting>
  <conditionalFormatting sqref="C17">
    <cfRule type="cellIs" dxfId="1130" priority="537" stopIfTrue="1" operator="equal">
      <formula>"Towel"</formula>
    </cfRule>
    <cfRule type="cellIs" dxfId="1129" priority="538" stopIfTrue="1" operator="equal">
      <formula>"Napkin Hs"</formula>
    </cfRule>
  </conditionalFormatting>
  <conditionalFormatting sqref="C17">
    <cfRule type="cellIs" dxfId="1128" priority="539" stopIfTrue="1" operator="equal">
      <formula>"Towel"</formula>
    </cfRule>
  </conditionalFormatting>
  <conditionalFormatting sqref="C24">
    <cfRule type="cellIs" dxfId="1127" priority="531" stopIfTrue="1" operator="equal">
      <formula>"Towel"</formula>
    </cfRule>
    <cfRule type="cellIs" dxfId="1126" priority="532" stopIfTrue="1" operator="equal">
      <formula>"Napkin Hs"</formula>
    </cfRule>
  </conditionalFormatting>
  <conditionalFormatting sqref="B24:C24">
    <cfRule type="cellIs" dxfId="1125" priority="535" stopIfTrue="1" operator="equal">
      <formula>"Towel"</formula>
    </cfRule>
    <cfRule type="cellIs" dxfId="1124" priority="536" stopIfTrue="1" operator="equal">
      <formula>"Napkin Hs"</formula>
    </cfRule>
  </conditionalFormatting>
  <conditionalFormatting sqref="C24">
    <cfRule type="cellIs" dxfId="1123" priority="534" stopIfTrue="1" operator="equal">
      <formula>"Napkin Hs"</formula>
    </cfRule>
  </conditionalFormatting>
  <conditionalFormatting sqref="C24">
    <cfRule type="cellIs" dxfId="1122" priority="533" stopIfTrue="1" operator="equal">
      <formula>"Towel"</formula>
    </cfRule>
  </conditionalFormatting>
  <conditionalFormatting sqref="B24:C24">
    <cfRule type="cellIs" dxfId="1121" priority="529" stopIfTrue="1" operator="equal">
      <formula>"Towel"</formula>
    </cfRule>
    <cfRule type="cellIs" dxfId="1120" priority="530" stopIfTrue="1" operator="equal">
      <formula>"Napkin Hs"</formula>
    </cfRule>
  </conditionalFormatting>
  <conditionalFormatting sqref="C24">
    <cfRule type="cellIs" dxfId="1119" priority="525" stopIfTrue="1" operator="equal">
      <formula>"Towel"</formula>
    </cfRule>
    <cfRule type="cellIs" dxfId="1118" priority="526" stopIfTrue="1" operator="equal">
      <formula>"Napkin Hs"</formula>
    </cfRule>
  </conditionalFormatting>
  <conditionalFormatting sqref="C24">
    <cfRule type="cellIs" dxfId="1117" priority="528" stopIfTrue="1" operator="equal">
      <formula>"Napkin Hs"</formula>
    </cfRule>
  </conditionalFormatting>
  <conditionalFormatting sqref="C24">
    <cfRule type="cellIs" dxfId="1116" priority="527" stopIfTrue="1" operator="equal">
      <formula>"Towel"</formula>
    </cfRule>
  </conditionalFormatting>
  <conditionalFormatting sqref="B22:C23">
    <cfRule type="cellIs" dxfId="1115" priority="523" stopIfTrue="1" operator="equal">
      <formula>"Towel"</formula>
    </cfRule>
    <cfRule type="cellIs" dxfId="1114" priority="524" stopIfTrue="1" operator="equal">
      <formula>"Napkin Hs"</formula>
    </cfRule>
  </conditionalFormatting>
  <conditionalFormatting sqref="C22:C23">
    <cfRule type="cellIs" dxfId="1113" priority="522" stopIfTrue="1" operator="equal">
      <formula>"Napkin Hs"</formula>
    </cfRule>
  </conditionalFormatting>
  <conditionalFormatting sqref="C22:C23">
    <cfRule type="cellIs" dxfId="1112" priority="519" stopIfTrue="1" operator="equal">
      <formula>"Towel"</formula>
    </cfRule>
    <cfRule type="cellIs" dxfId="1111" priority="520" stopIfTrue="1" operator="equal">
      <formula>"Napkin Hs"</formula>
    </cfRule>
  </conditionalFormatting>
  <conditionalFormatting sqref="C22:C23">
    <cfRule type="cellIs" dxfId="1110" priority="521" stopIfTrue="1" operator="equal">
      <formula>"Towel"</formula>
    </cfRule>
  </conditionalFormatting>
  <conditionalFormatting sqref="B21:C21">
    <cfRule type="cellIs" dxfId="1109" priority="517" stopIfTrue="1" operator="equal">
      <formula>"Towel"</formula>
    </cfRule>
    <cfRule type="cellIs" dxfId="1108" priority="518" stopIfTrue="1" operator="equal">
      <formula>"Napkin Hs"</formula>
    </cfRule>
  </conditionalFormatting>
  <conditionalFormatting sqref="C21">
    <cfRule type="cellIs" dxfId="1107" priority="516" stopIfTrue="1" operator="equal">
      <formula>"Napkin Hs"</formula>
    </cfRule>
  </conditionalFormatting>
  <conditionalFormatting sqref="C21">
    <cfRule type="cellIs" dxfId="1106" priority="513" stopIfTrue="1" operator="equal">
      <formula>"Towel"</formula>
    </cfRule>
    <cfRule type="cellIs" dxfId="1105" priority="514" stopIfTrue="1" operator="equal">
      <formula>"Napkin Hs"</formula>
    </cfRule>
  </conditionalFormatting>
  <conditionalFormatting sqref="C21">
    <cfRule type="cellIs" dxfId="1104" priority="515" stopIfTrue="1" operator="equal">
      <formula>"Towel"</formula>
    </cfRule>
  </conditionalFormatting>
  <conditionalFormatting sqref="B25:C26">
    <cfRule type="cellIs" dxfId="1103" priority="511" stopIfTrue="1" operator="equal">
      <formula>"Towel"</formula>
    </cfRule>
    <cfRule type="cellIs" dxfId="1102" priority="512" stopIfTrue="1" operator="equal">
      <formula>"Napkin Hs"</formula>
    </cfRule>
  </conditionalFormatting>
  <conditionalFormatting sqref="C25:C26">
    <cfRule type="cellIs" dxfId="1101" priority="510" stopIfTrue="1" operator="equal">
      <formula>"Napkin Hs"</formula>
    </cfRule>
  </conditionalFormatting>
  <conditionalFormatting sqref="C25:C26">
    <cfRule type="cellIs" dxfId="1100" priority="507" stopIfTrue="1" operator="equal">
      <formula>"Towel"</formula>
    </cfRule>
    <cfRule type="cellIs" dxfId="1099" priority="508" stopIfTrue="1" operator="equal">
      <formula>"Napkin Hs"</formula>
    </cfRule>
  </conditionalFormatting>
  <conditionalFormatting sqref="C25:C26">
    <cfRule type="cellIs" dxfId="1098" priority="509" stopIfTrue="1" operator="equal">
      <formula>"Towel"</formula>
    </cfRule>
  </conditionalFormatting>
  <conditionalFormatting sqref="B30:C31">
    <cfRule type="cellIs" dxfId="1097" priority="505" stopIfTrue="1" operator="equal">
      <formula>"Towel"</formula>
    </cfRule>
    <cfRule type="cellIs" dxfId="1096" priority="506" stopIfTrue="1" operator="equal">
      <formula>"Napkin Hs"</formula>
    </cfRule>
  </conditionalFormatting>
  <conditionalFormatting sqref="C30:C31">
    <cfRule type="cellIs" dxfId="1095" priority="504" stopIfTrue="1" operator="equal">
      <formula>"Napkin Hs"</formula>
    </cfRule>
  </conditionalFormatting>
  <conditionalFormatting sqref="C30:C31">
    <cfRule type="cellIs" dxfId="1094" priority="501" stopIfTrue="1" operator="equal">
      <formula>"Towel"</formula>
    </cfRule>
    <cfRule type="cellIs" dxfId="1093" priority="502" stopIfTrue="1" operator="equal">
      <formula>"Napkin Hs"</formula>
    </cfRule>
  </conditionalFormatting>
  <conditionalFormatting sqref="C30:C31">
    <cfRule type="cellIs" dxfId="1092" priority="503" stopIfTrue="1" operator="equal">
      <formula>"Towel"</formula>
    </cfRule>
  </conditionalFormatting>
  <conditionalFormatting sqref="B27:C27">
    <cfRule type="cellIs" dxfId="1091" priority="499" stopIfTrue="1" operator="equal">
      <formula>"Towel"</formula>
    </cfRule>
    <cfRule type="cellIs" dxfId="1090" priority="500" stopIfTrue="1" operator="equal">
      <formula>"Napkin Hs"</formula>
    </cfRule>
  </conditionalFormatting>
  <conditionalFormatting sqref="C27">
    <cfRule type="cellIs" dxfId="1089" priority="498" stopIfTrue="1" operator="equal">
      <formula>"Napkin Hs"</formula>
    </cfRule>
  </conditionalFormatting>
  <conditionalFormatting sqref="C27">
    <cfRule type="cellIs" dxfId="1088" priority="495" stopIfTrue="1" operator="equal">
      <formula>"Towel"</formula>
    </cfRule>
    <cfRule type="cellIs" dxfId="1087" priority="496" stopIfTrue="1" operator="equal">
      <formula>"Napkin Hs"</formula>
    </cfRule>
  </conditionalFormatting>
  <conditionalFormatting sqref="C27">
    <cfRule type="cellIs" dxfId="1086" priority="497" stopIfTrue="1" operator="equal">
      <formula>"Towel"</formula>
    </cfRule>
  </conditionalFormatting>
  <conditionalFormatting sqref="B29:C29">
    <cfRule type="cellIs" dxfId="1085" priority="493" stopIfTrue="1" operator="equal">
      <formula>"Towel"</formula>
    </cfRule>
    <cfRule type="cellIs" dxfId="1084" priority="494" stopIfTrue="1" operator="equal">
      <formula>"Napkin Hs"</formula>
    </cfRule>
  </conditionalFormatting>
  <conditionalFormatting sqref="C29">
    <cfRule type="cellIs" dxfId="1083" priority="492" stopIfTrue="1" operator="equal">
      <formula>"Napkin Hs"</formula>
    </cfRule>
  </conditionalFormatting>
  <conditionalFormatting sqref="C29">
    <cfRule type="cellIs" dxfId="1082" priority="489" stopIfTrue="1" operator="equal">
      <formula>"Towel"</formula>
    </cfRule>
    <cfRule type="cellIs" dxfId="1081" priority="490" stopIfTrue="1" operator="equal">
      <formula>"Napkin Hs"</formula>
    </cfRule>
  </conditionalFormatting>
  <conditionalFormatting sqref="C29">
    <cfRule type="cellIs" dxfId="1080" priority="491" stopIfTrue="1" operator="equal">
      <formula>"Towel"</formula>
    </cfRule>
  </conditionalFormatting>
  <conditionalFormatting sqref="B35:C35">
    <cfRule type="cellIs" dxfId="1079" priority="487" stopIfTrue="1" operator="equal">
      <formula>"Towel"</formula>
    </cfRule>
    <cfRule type="cellIs" dxfId="1078" priority="488" stopIfTrue="1" operator="equal">
      <formula>"Napkin Hs"</formula>
    </cfRule>
  </conditionalFormatting>
  <conditionalFormatting sqref="C35">
    <cfRule type="cellIs" dxfId="1077" priority="486" stopIfTrue="1" operator="equal">
      <formula>"Napkin Hs"</formula>
    </cfRule>
  </conditionalFormatting>
  <conditionalFormatting sqref="C35">
    <cfRule type="cellIs" dxfId="1076" priority="483" stopIfTrue="1" operator="equal">
      <formula>"Towel"</formula>
    </cfRule>
    <cfRule type="cellIs" dxfId="1075" priority="484" stopIfTrue="1" operator="equal">
      <formula>"Napkin Hs"</formula>
    </cfRule>
  </conditionalFormatting>
  <conditionalFormatting sqref="C35">
    <cfRule type="cellIs" dxfId="1074" priority="485" stopIfTrue="1" operator="equal">
      <formula>"Towel"</formula>
    </cfRule>
  </conditionalFormatting>
  <conditionalFormatting sqref="B33:C34">
    <cfRule type="cellIs" dxfId="1073" priority="481" stopIfTrue="1" operator="equal">
      <formula>"Towel"</formula>
    </cfRule>
    <cfRule type="cellIs" dxfId="1072" priority="482" stopIfTrue="1" operator="equal">
      <formula>"Napkin Hs"</formula>
    </cfRule>
  </conditionalFormatting>
  <conditionalFormatting sqref="C33:C34">
    <cfRule type="cellIs" dxfId="1071" priority="480" stopIfTrue="1" operator="equal">
      <formula>"Napkin Hs"</formula>
    </cfRule>
  </conditionalFormatting>
  <conditionalFormatting sqref="C33:C34">
    <cfRule type="cellIs" dxfId="1070" priority="477" stopIfTrue="1" operator="equal">
      <formula>"Towel"</formula>
    </cfRule>
    <cfRule type="cellIs" dxfId="1069" priority="478" stopIfTrue="1" operator="equal">
      <formula>"Napkin Hs"</formula>
    </cfRule>
  </conditionalFormatting>
  <conditionalFormatting sqref="C33:C34">
    <cfRule type="cellIs" dxfId="1068" priority="479" stopIfTrue="1" operator="equal">
      <formula>"Towel"</formula>
    </cfRule>
  </conditionalFormatting>
  <conditionalFormatting sqref="B38:C39">
    <cfRule type="cellIs" dxfId="1067" priority="475" stopIfTrue="1" operator="equal">
      <formula>"Towel"</formula>
    </cfRule>
    <cfRule type="cellIs" dxfId="1066" priority="476" stopIfTrue="1" operator="equal">
      <formula>"Napkin Hs"</formula>
    </cfRule>
  </conditionalFormatting>
  <conditionalFormatting sqref="C38:C39">
    <cfRule type="cellIs" dxfId="1065" priority="474" stopIfTrue="1" operator="equal">
      <formula>"Napkin Hs"</formula>
    </cfRule>
  </conditionalFormatting>
  <conditionalFormatting sqref="C38:C39">
    <cfRule type="cellIs" dxfId="1064" priority="471" stopIfTrue="1" operator="equal">
      <formula>"Towel"</formula>
    </cfRule>
    <cfRule type="cellIs" dxfId="1063" priority="472" stopIfTrue="1" operator="equal">
      <formula>"Napkin Hs"</formula>
    </cfRule>
  </conditionalFormatting>
  <conditionalFormatting sqref="C38:C39">
    <cfRule type="cellIs" dxfId="1062" priority="473" stopIfTrue="1" operator="equal">
      <formula>"Towel"</formula>
    </cfRule>
  </conditionalFormatting>
  <conditionalFormatting sqref="B37:C37">
    <cfRule type="cellIs" dxfId="1061" priority="469" stopIfTrue="1" operator="equal">
      <formula>"Towel"</formula>
    </cfRule>
    <cfRule type="cellIs" dxfId="1060" priority="470" stopIfTrue="1" operator="equal">
      <formula>"Napkin Hs"</formula>
    </cfRule>
  </conditionalFormatting>
  <conditionalFormatting sqref="C37">
    <cfRule type="cellIs" dxfId="1059" priority="468" stopIfTrue="1" operator="equal">
      <formula>"Napkin Hs"</formula>
    </cfRule>
  </conditionalFormatting>
  <conditionalFormatting sqref="C37">
    <cfRule type="cellIs" dxfId="1058" priority="465" stopIfTrue="1" operator="equal">
      <formula>"Towel"</formula>
    </cfRule>
    <cfRule type="cellIs" dxfId="1057" priority="466" stopIfTrue="1" operator="equal">
      <formula>"Napkin Hs"</formula>
    </cfRule>
  </conditionalFormatting>
  <conditionalFormatting sqref="C37">
    <cfRule type="cellIs" dxfId="1056" priority="467" stopIfTrue="1" operator="equal">
      <formula>"Towel"</formula>
    </cfRule>
  </conditionalFormatting>
  <conditionalFormatting sqref="B42:C43">
    <cfRule type="cellIs" dxfId="1055" priority="463" stopIfTrue="1" operator="equal">
      <formula>"Towel"</formula>
    </cfRule>
    <cfRule type="cellIs" dxfId="1054" priority="464" stopIfTrue="1" operator="equal">
      <formula>"Napkin Hs"</formula>
    </cfRule>
  </conditionalFormatting>
  <conditionalFormatting sqref="C42:C43">
    <cfRule type="cellIs" dxfId="1053" priority="462" stopIfTrue="1" operator="equal">
      <formula>"Napkin Hs"</formula>
    </cfRule>
  </conditionalFormatting>
  <conditionalFormatting sqref="C42:C43">
    <cfRule type="cellIs" dxfId="1052" priority="459" stopIfTrue="1" operator="equal">
      <formula>"Towel"</formula>
    </cfRule>
    <cfRule type="cellIs" dxfId="1051" priority="460" stopIfTrue="1" operator="equal">
      <formula>"Napkin Hs"</formula>
    </cfRule>
  </conditionalFormatting>
  <conditionalFormatting sqref="C42:C43">
    <cfRule type="cellIs" dxfId="1050" priority="461" stopIfTrue="1" operator="equal">
      <formula>"Towel"</formula>
    </cfRule>
  </conditionalFormatting>
  <conditionalFormatting sqref="B41:C41">
    <cfRule type="cellIs" dxfId="1049" priority="457" stopIfTrue="1" operator="equal">
      <formula>"Towel"</formula>
    </cfRule>
    <cfRule type="cellIs" dxfId="1048" priority="458" stopIfTrue="1" operator="equal">
      <formula>"Napkin Hs"</formula>
    </cfRule>
  </conditionalFormatting>
  <conditionalFormatting sqref="C41">
    <cfRule type="cellIs" dxfId="1047" priority="456" stopIfTrue="1" operator="equal">
      <formula>"Napkin Hs"</formula>
    </cfRule>
  </conditionalFormatting>
  <conditionalFormatting sqref="C41">
    <cfRule type="cellIs" dxfId="1046" priority="453" stopIfTrue="1" operator="equal">
      <formula>"Towel"</formula>
    </cfRule>
    <cfRule type="cellIs" dxfId="1045" priority="454" stopIfTrue="1" operator="equal">
      <formula>"Napkin Hs"</formula>
    </cfRule>
  </conditionalFormatting>
  <conditionalFormatting sqref="C41">
    <cfRule type="cellIs" dxfId="1044" priority="455" stopIfTrue="1" operator="equal">
      <formula>"Towel"</formula>
    </cfRule>
  </conditionalFormatting>
  <conditionalFormatting sqref="B46:C47">
    <cfRule type="cellIs" dxfId="1043" priority="451" stopIfTrue="1" operator="equal">
      <formula>"Towel"</formula>
    </cfRule>
    <cfRule type="cellIs" dxfId="1042" priority="452" stopIfTrue="1" operator="equal">
      <formula>"Napkin Hs"</formula>
    </cfRule>
  </conditionalFormatting>
  <conditionalFormatting sqref="C46:C47">
    <cfRule type="cellIs" dxfId="1041" priority="450" stopIfTrue="1" operator="equal">
      <formula>"Napkin Hs"</formula>
    </cfRule>
  </conditionalFormatting>
  <conditionalFormatting sqref="C46:C47">
    <cfRule type="cellIs" dxfId="1040" priority="447" stopIfTrue="1" operator="equal">
      <formula>"Towel"</formula>
    </cfRule>
    <cfRule type="cellIs" dxfId="1039" priority="448" stopIfTrue="1" operator="equal">
      <formula>"Napkin Hs"</formula>
    </cfRule>
  </conditionalFormatting>
  <conditionalFormatting sqref="C46:C47">
    <cfRule type="cellIs" dxfId="1038" priority="449" stopIfTrue="1" operator="equal">
      <formula>"Towel"</formula>
    </cfRule>
  </conditionalFormatting>
  <conditionalFormatting sqref="B45:C45">
    <cfRule type="cellIs" dxfId="1037" priority="445" stopIfTrue="1" operator="equal">
      <formula>"Towel"</formula>
    </cfRule>
    <cfRule type="cellIs" dxfId="1036" priority="446" stopIfTrue="1" operator="equal">
      <formula>"Napkin Hs"</formula>
    </cfRule>
  </conditionalFormatting>
  <conditionalFormatting sqref="C45">
    <cfRule type="cellIs" dxfId="1035" priority="444" stopIfTrue="1" operator="equal">
      <formula>"Napkin Hs"</formula>
    </cfRule>
  </conditionalFormatting>
  <conditionalFormatting sqref="C45">
    <cfRule type="cellIs" dxfId="1034" priority="441" stopIfTrue="1" operator="equal">
      <formula>"Towel"</formula>
    </cfRule>
    <cfRule type="cellIs" dxfId="1033" priority="442" stopIfTrue="1" operator="equal">
      <formula>"Napkin Hs"</formula>
    </cfRule>
  </conditionalFormatting>
  <conditionalFormatting sqref="C45">
    <cfRule type="cellIs" dxfId="1032" priority="443" stopIfTrue="1" operator="equal">
      <formula>"Towel"</formula>
    </cfRule>
  </conditionalFormatting>
  <conditionalFormatting sqref="B52:C52">
    <cfRule type="cellIs" dxfId="1031" priority="439" stopIfTrue="1" operator="equal">
      <formula>"Towel"</formula>
    </cfRule>
    <cfRule type="cellIs" dxfId="1030" priority="440" stopIfTrue="1" operator="equal">
      <formula>"Napkin Hs"</formula>
    </cfRule>
  </conditionalFormatting>
  <conditionalFormatting sqref="C52">
    <cfRule type="cellIs" dxfId="1029" priority="438" stopIfTrue="1" operator="equal">
      <formula>"Napkin Hs"</formula>
    </cfRule>
  </conditionalFormatting>
  <conditionalFormatting sqref="C52">
    <cfRule type="cellIs" dxfId="1028" priority="435" stopIfTrue="1" operator="equal">
      <formula>"Towel"</formula>
    </cfRule>
    <cfRule type="cellIs" dxfId="1027" priority="436" stopIfTrue="1" operator="equal">
      <formula>"Napkin Hs"</formula>
    </cfRule>
  </conditionalFormatting>
  <conditionalFormatting sqref="C52">
    <cfRule type="cellIs" dxfId="1026" priority="437" stopIfTrue="1" operator="equal">
      <formula>"Towel"</formula>
    </cfRule>
  </conditionalFormatting>
  <conditionalFormatting sqref="B50:C51">
    <cfRule type="cellIs" dxfId="1025" priority="433" stopIfTrue="1" operator="equal">
      <formula>"Towel"</formula>
    </cfRule>
    <cfRule type="cellIs" dxfId="1024" priority="434" stopIfTrue="1" operator="equal">
      <formula>"Napkin Hs"</formula>
    </cfRule>
  </conditionalFormatting>
  <conditionalFormatting sqref="C50:C51">
    <cfRule type="cellIs" dxfId="1023" priority="432" stopIfTrue="1" operator="equal">
      <formula>"Napkin Hs"</formula>
    </cfRule>
  </conditionalFormatting>
  <conditionalFormatting sqref="C50:C51">
    <cfRule type="cellIs" dxfId="1022" priority="429" stopIfTrue="1" operator="equal">
      <formula>"Towel"</formula>
    </cfRule>
    <cfRule type="cellIs" dxfId="1021" priority="430" stopIfTrue="1" operator="equal">
      <formula>"Napkin Hs"</formula>
    </cfRule>
  </conditionalFormatting>
  <conditionalFormatting sqref="C50:C51">
    <cfRule type="cellIs" dxfId="1020" priority="431" stopIfTrue="1" operator="equal">
      <formula>"Towel"</formula>
    </cfRule>
  </conditionalFormatting>
  <conditionalFormatting sqref="B49:C49">
    <cfRule type="cellIs" dxfId="1019" priority="427" stopIfTrue="1" operator="equal">
      <formula>"Towel"</formula>
    </cfRule>
    <cfRule type="cellIs" dxfId="1018" priority="428" stopIfTrue="1" operator="equal">
      <formula>"Napkin Hs"</formula>
    </cfRule>
  </conditionalFormatting>
  <conditionalFormatting sqref="C49">
    <cfRule type="cellIs" dxfId="1017" priority="426" stopIfTrue="1" operator="equal">
      <formula>"Napkin Hs"</formula>
    </cfRule>
  </conditionalFormatting>
  <conditionalFormatting sqref="C49">
    <cfRule type="cellIs" dxfId="1016" priority="423" stopIfTrue="1" operator="equal">
      <formula>"Towel"</formula>
    </cfRule>
    <cfRule type="cellIs" dxfId="1015" priority="424" stopIfTrue="1" operator="equal">
      <formula>"Napkin Hs"</formula>
    </cfRule>
  </conditionalFormatting>
  <conditionalFormatting sqref="C49">
    <cfRule type="cellIs" dxfId="1014" priority="425" stopIfTrue="1" operator="equal">
      <formula>"Towel"</formula>
    </cfRule>
  </conditionalFormatting>
  <conditionalFormatting sqref="B56:C56">
    <cfRule type="cellIs" dxfId="1013" priority="421" stopIfTrue="1" operator="equal">
      <formula>"Towel"</formula>
    </cfRule>
    <cfRule type="cellIs" dxfId="1012" priority="422" stopIfTrue="1" operator="equal">
      <formula>"Napkin Hs"</formula>
    </cfRule>
  </conditionalFormatting>
  <conditionalFormatting sqref="C56">
    <cfRule type="cellIs" dxfId="1011" priority="420" stopIfTrue="1" operator="equal">
      <formula>"Napkin Hs"</formula>
    </cfRule>
  </conditionalFormatting>
  <conditionalFormatting sqref="C56">
    <cfRule type="cellIs" dxfId="1010" priority="417" stopIfTrue="1" operator="equal">
      <formula>"Towel"</formula>
    </cfRule>
    <cfRule type="cellIs" dxfId="1009" priority="418" stopIfTrue="1" operator="equal">
      <formula>"Napkin Hs"</formula>
    </cfRule>
  </conditionalFormatting>
  <conditionalFormatting sqref="C56">
    <cfRule type="cellIs" dxfId="1008" priority="419" stopIfTrue="1" operator="equal">
      <formula>"Towel"</formula>
    </cfRule>
  </conditionalFormatting>
  <conditionalFormatting sqref="B61:C61">
    <cfRule type="cellIs" dxfId="1007" priority="415" stopIfTrue="1" operator="equal">
      <formula>"Towel"</formula>
    </cfRule>
    <cfRule type="cellIs" dxfId="1006" priority="416" stopIfTrue="1" operator="equal">
      <formula>"Napkin Hs"</formula>
    </cfRule>
  </conditionalFormatting>
  <conditionalFormatting sqref="C61">
    <cfRule type="cellIs" dxfId="1005" priority="414" stopIfTrue="1" operator="equal">
      <formula>"Napkin Hs"</formula>
    </cfRule>
  </conditionalFormatting>
  <conditionalFormatting sqref="C61">
    <cfRule type="cellIs" dxfId="1004" priority="411" stopIfTrue="1" operator="equal">
      <formula>"Towel"</formula>
    </cfRule>
    <cfRule type="cellIs" dxfId="1003" priority="412" stopIfTrue="1" operator="equal">
      <formula>"Napkin Hs"</formula>
    </cfRule>
  </conditionalFormatting>
  <conditionalFormatting sqref="C61">
    <cfRule type="cellIs" dxfId="1002" priority="413" stopIfTrue="1" operator="equal">
      <formula>"Towel"</formula>
    </cfRule>
  </conditionalFormatting>
  <conditionalFormatting sqref="B54:C55">
    <cfRule type="cellIs" dxfId="1001" priority="409" stopIfTrue="1" operator="equal">
      <formula>"Towel"</formula>
    </cfRule>
    <cfRule type="cellIs" dxfId="1000" priority="410" stopIfTrue="1" operator="equal">
      <formula>"Napkin Hs"</formula>
    </cfRule>
  </conditionalFormatting>
  <conditionalFormatting sqref="C54:C55">
    <cfRule type="cellIs" dxfId="999" priority="408" stopIfTrue="1" operator="equal">
      <formula>"Napkin Hs"</formula>
    </cfRule>
  </conditionalFormatting>
  <conditionalFormatting sqref="C54:C55">
    <cfRule type="cellIs" dxfId="998" priority="405" stopIfTrue="1" operator="equal">
      <formula>"Towel"</formula>
    </cfRule>
    <cfRule type="cellIs" dxfId="997" priority="406" stopIfTrue="1" operator="equal">
      <formula>"Napkin Hs"</formula>
    </cfRule>
  </conditionalFormatting>
  <conditionalFormatting sqref="C54:C55">
    <cfRule type="cellIs" dxfId="996" priority="407" stopIfTrue="1" operator="equal">
      <formula>"Towel"</formula>
    </cfRule>
  </conditionalFormatting>
  <conditionalFormatting sqref="B53:C53">
    <cfRule type="cellIs" dxfId="995" priority="403" stopIfTrue="1" operator="equal">
      <formula>"Towel"</formula>
    </cfRule>
    <cfRule type="cellIs" dxfId="994" priority="404" stopIfTrue="1" operator="equal">
      <formula>"Napkin Hs"</formula>
    </cfRule>
  </conditionalFormatting>
  <conditionalFormatting sqref="C53">
    <cfRule type="cellIs" dxfId="993" priority="402" stopIfTrue="1" operator="equal">
      <formula>"Napkin Hs"</formula>
    </cfRule>
  </conditionalFormatting>
  <conditionalFormatting sqref="C53">
    <cfRule type="cellIs" dxfId="992" priority="399" stopIfTrue="1" operator="equal">
      <formula>"Towel"</formula>
    </cfRule>
    <cfRule type="cellIs" dxfId="991" priority="400" stopIfTrue="1" operator="equal">
      <formula>"Napkin Hs"</formula>
    </cfRule>
  </conditionalFormatting>
  <conditionalFormatting sqref="C53">
    <cfRule type="cellIs" dxfId="990" priority="401" stopIfTrue="1" operator="equal">
      <formula>"Towel"</formula>
    </cfRule>
  </conditionalFormatting>
  <conditionalFormatting sqref="B59:C60">
    <cfRule type="cellIs" dxfId="989" priority="397" stopIfTrue="1" operator="equal">
      <formula>"Towel"</formula>
    </cfRule>
    <cfRule type="cellIs" dxfId="988" priority="398" stopIfTrue="1" operator="equal">
      <formula>"Napkin Hs"</formula>
    </cfRule>
  </conditionalFormatting>
  <conditionalFormatting sqref="C59:C60">
    <cfRule type="cellIs" dxfId="987" priority="396" stopIfTrue="1" operator="equal">
      <formula>"Napkin Hs"</formula>
    </cfRule>
  </conditionalFormatting>
  <conditionalFormatting sqref="C59:C60">
    <cfRule type="cellIs" dxfId="986" priority="393" stopIfTrue="1" operator="equal">
      <formula>"Towel"</formula>
    </cfRule>
    <cfRule type="cellIs" dxfId="985" priority="394" stopIfTrue="1" operator="equal">
      <formula>"Napkin Hs"</formula>
    </cfRule>
  </conditionalFormatting>
  <conditionalFormatting sqref="C59:C60">
    <cfRule type="cellIs" dxfId="984" priority="395" stopIfTrue="1" operator="equal">
      <formula>"Towel"</formula>
    </cfRule>
  </conditionalFormatting>
  <conditionalFormatting sqref="B57:C58">
    <cfRule type="cellIs" dxfId="983" priority="391" stopIfTrue="1" operator="equal">
      <formula>"Towel"</formula>
    </cfRule>
    <cfRule type="cellIs" dxfId="982" priority="392" stopIfTrue="1" operator="equal">
      <formula>"Napkin Hs"</formula>
    </cfRule>
  </conditionalFormatting>
  <conditionalFormatting sqref="C57:C58">
    <cfRule type="cellIs" dxfId="981" priority="390" stopIfTrue="1" operator="equal">
      <formula>"Napkin Hs"</formula>
    </cfRule>
  </conditionalFormatting>
  <conditionalFormatting sqref="C57:C58">
    <cfRule type="cellIs" dxfId="980" priority="387" stopIfTrue="1" operator="equal">
      <formula>"Towel"</formula>
    </cfRule>
    <cfRule type="cellIs" dxfId="979" priority="388" stopIfTrue="1" operator="equal">
      <formula>"Napkin Hs"</formula>
    </cfRule>
  </conditionalFormatting>
  <conditionalFormatting sqref="C57:C58">
    <cfRule type="cellIs" dxfId="978" priority="389" stopIfTrue="1" operator="equal">
      <formula>"Towel"</formula>
    </cfRule>
  </conditionalFormatting>
  <conditionalFormatting sqref="C66">
    <cfRule type="cellIs" dxfId="977" priority="385" stopIfTrue="1" operator="equal">
      <formula>"Towel"</formula>
    </cfRule>
    <cfRule type="cellIs" dxfId="976" priority="386" stopIfTrue="1" operator="equal">
      <formula>"Napkin Hs"</formula>
    </cfRule>
  </conditionalFormatting>
  <conditionalFormatting sqref="C66">
    <cfRule type="cellIs" dxfId="975" priority="381" stopIfTrue="1" operator="equal">
      <formula>"Towel"</formula>
    </cfRule>
    <cfRule type="cellIs" dxfId="974" priority="382" stopIfTrue="1" operator="equal">
      <formula>"Napkin Hs"</formula>
    </cfRule>
  </conditionalFormatting>
  <conditionalFormatting sqref="C66">
    <cfRule type="cellIs" dxfId="973" priority="383" stopIfTrue="1" operator="equal">
      <formula>"Towel"</formula>
    </cfRule>
    <cfRule type="cellIs" dxfId="972" priority="384" stopIfTrue="1" operator="equal">
      <formula>"Napkin Hs"</formula>
    </cfRule>
  </conditionalFormatting>
  <conditionalFormatting sqref="B66">
    <cfRule type="cellIs" dxfId="971" priority="379" stopIfTrue="1" operator="equal">
      <formula>"Towel"</formula>
    </cfRule>
    <cfRule type="cellIs" dxfId="970" priority="380" stopIfTrue="1" operator="equal">
      <formula>"Napkin Hs"</formula>
    </cfRule>
  </conditionalFormatting>
  <conditionalFormatting sqref="B64:C64 C63">
    <cfRule type="cellIs" dxfId="969" priority="377" stopIfTrue="1" operator="equal">
      <formula>"Towel"</formula>
    </cfRule>
    <cfRule type="cellIs" dxfId="968" priority="378" stopIfTrue="1" operator="equal">
      <formula>"Napkin Hs"</formula>
    </cfRule>
  </conditionalFormatting>
  <conditionalFormatting sqref="C63:C64">
    <cfRule type="cellIs" dxfId="967" priority="376" stopIfTrue="1" operator="equal">
      <formula>"Napkin Hs"</formula>
    </cfRule>
  </conditionalFormatting>
  <conditionalFormatting sqref="C63:C64">
    <cfRule type="cellIs" dxfId="966" priority="373" stopIfTrue="1" operator="equal">
      <formula>"Towel"</formula>
    </cfRule>
    <cfRule type="cellIs" dxfId="965" priority="374" stopIfTrue="1" operator="equal">
      <formula>"Napkin Hs"</formula>
    </cfRule>
  </conditionalFormatting>
  <conditionalFormatting sqref="C63:C64">
    <cfRule type="cellIs" dxfId="964" priority="375" stopIfTrue="1" operator="equal">
      <formula>"Towel"</formula>
    </cfRule>
  </conditionalFormatting>
  <conditionalFormatting sqref="B65:C65">
    <cfRule type="cellIs" dxfId="963" priority="371" stopIfTrue="1" operator="equal">
      <formula>"Towel"</formula>
    </cfRule>
    <cfRule type="cellIs" dxfId="962" priority="372" stopIfTrue="1" operator="equal">
      <formula>"Napkin Hs"</formula>
    </cfRule>
  </conditionalFormatting>
  <conditionalFormatting sqref="C65">
    <cfRule type="cellIs" dxfId="961" priority="370" stopIfTrue="1" operator="equal">
      <formula>"Napkin Hs"</formula>
    </cfRule>
  </conditionalFormatting>
  <conditionalFormatting sqref="C65">
    <cfRule type="cellIs" dxfId="960" priority="367" stopIfTrue="1" operator="equal">
      <formula>"Towel"</formula>
    </cfRule>
    <cfRule type="cellIs" dxfId="959" priority="368" stopIfTrue="1" operator="equal">
      <formula>"Napkin Hs"</formula>
    </cfRule>
  </conditionalFormatting>
  <conditionalFormatting sqref="C65">
    <cfRule type="cellIs" dxfId="958" priority="369" stopIfTrue="1" operator="equal">
      <formula>"Towel"</formula>
    </cfRule>
  </conditionalFormatting>
  <conditionalFormatting sqref="B62:C62 B63">
    <cfRule type="cellIs" dxfId="957" priority="365" stopIfTrue="1" operator="equal">
      <formula>"Towel"</formula>
    </cfRule>
    <cfRule type="cellIs" dxfId="956" priority="366" stopIfTrue="1" operator="equal">
      <formula>"Napkin Hs"</formula>
    </cfRule>
  </conditionalFormatting>
  <conditionalFormatting sqref="C62">
    <cfRule type="cellIs" dxfId="955" priority="364" stopIfTrue="1" operator="equal">
      <formula>"Napkin Hs"</formula>
    </cfRule>
  </conditionalFormatting>
  <conditionalFormatting sqref="C62">
    <cfRule type="cellIs" dxfId="954" priority="361" stopIfTrue="1" operator="equal">
      <formula>"Towel"</formula>
    </cfRule>
    <cfRule type="cellIs" dxfId="953" priority="362" stopIfTrue="1" operator="equal">
      <formula>"Napkin Hs"</formula>
    </cfRule>
  </conditionalFormatting>
  <conditionalFormatting sqref="C62">
    <cfRule type="cellIs" dxfId="952" priority="363" stopIfTrue="1" operator="equal">
      <formula>"Towel"</formula>
    </cfRule>
  </conditionalFormatting>
  <conditionalFormatting sqref="B68:C68">
    <cfRule type="cellIs" dxfId="951" priority="359" stopIfTrue="1" operator="equal">
      <formula>"Towel"</formula>
    </cfRule>
    <cfRule type="cellIs" dxfId="950" priority="360" stopIfTrue="1" operator="equal">
      <formula>"Napkin Hs"</formula>
    </cfRule>
  </conditionalFormatting>
  <conditionalFormatting sqref="C68">
    <cfRule type="cellIs" dxfId="949" priority="358" stopIfTrue="1" operator="equal">
      <formula>"Napkin Hs"</formula>
    </cfRule>
  </conditionalFormatting>
  <conditionalFormatting sqref="C68">
    <cfRule type="cellIs" dxfId="948" priority="355" stopIfTrue="1" operator="equal">
      <formula>"Towel"</formula>
    </cfRule>
    <cfRule type="cellIs" dxfId="947" priority="356" stopIfTrue="1" operator="equal">
      <formula>"Napkin Hs"</formula>
    </cfRule>
  </conditionalFormatting>
  <conditionalFormatting sqref="C68">
    <cfRule type="cellIs" dxfId="946" priority="357" stopIfTrue="1" operator="equal">
      <formula>"Towel"</formula>
    </cfRule>
  </conditionalFormatting>
  <conditionalFormatting sqref="B67:C67">
    <cfRule type="cellIs" dxfId="945" priority="353" stopIfTrue="1" operator="equal">
      <formula>"Towel"</formula>
    </cfRule>
    <cfRule type="cellIs" dxfId="944" priority="354" stopIfTrue="1" operator="equal">
      <formula>"Napkin Hs"</formula>
    </cfRule>
  </conditionalFormatting>
  <conditionalFormatting sqref="C67">
    <cfRule type="cellIs" dxfId="943" priority="352" stopIfTrue="1" operator="equal">
      <formula>"Napkin Hs"</formula>
    </cfRule>
  </conditionalFormatting>
  <conditionalFormatting sqref="C67">
    <cfRule type="cellIs" dxfId="942" priority="349" stopIfTrue="1" operator="equal">
      <formula>"Towel"</formula>
    </cfRule>
    <cfRule type="cellIs" dxfId="941" priority="350" stopIfTrue="1" operator="equal">
      <formula>"Napkin Hs"</formula>
    </cfRule>
  </conditionalFormatting>
  <conditionalFormatting sqref="C67">
    <cfRule type="cellIs" dxfId="940" priority="351" stopIfTrue="1" operator="equal">
      <formula>"Towel"</formula>
    </cfRule>
  </conditionalFormatting>
  <conditionalFormatting sqref="B72:C73">
    <cfRule type="cellIs" dxfId="939" priority="347" stopIfTrue="1" operator="equal">
      <formula>"Towel"</formula>
    </cfRule>
    <cfRule type="cellIs" dxfId="938" priority="348" stopIfTrue="1" operator="equal">
      <formula>"Napkin Hs"</formula>
    </cfRule>
  </conditionalFormatting>
  <conditionalFormatting sqref="C72:C73">
    <cfRule type="cellIs" dxfId="937" priority="346" stopIfTrue="1" operator="equal">
      <formula>"Napkin Hs"</formula>
    </cfRule>
  </conditionalFormatting>
  <conditionalFormatting sqref="C72:C73">
    <cfRule type="cellIs" dxfId="936" priority="343" stopIfTrue="1" operator="equal">
      <formula>"Towel"</formula>
    </cfRule>
    <cfRule type="cellIs" dxfId="935" priority="344" stopIfTrue="1" operator="equal">
      <formula>"Napkin Hs"</formula>
    </cfRule>
  </conditionalFormatting>
  <conditionalFormatting sqref="C72:C73">
    <cfRule type="cellIs" dxfId="934" priority="345" stopIfTrue="1" operator="equal">
      <formula>"Towel"</formula>
    </cfRule>
  </conditionalFormatting>
  <conditionalFormatting sqref="B71:C71">
    <cfRule type="cellIs" dxfId="933" priority="335" stopIfTrue="1" operator="equal">
      <formula>"Towel"</formula>
    </cfRule>
    <cfRule type="cellIs" dxfId="932" priority="336" stopIfTrue="1" operator="equal">
      <formula>"Napkin Hs"</formula>
    </cfRule>
  </conditionalFormatting>
  <conditionalFormatting sqref="C71">
    <cfRule type="cellIs" dxfId="931" priority="334" stopIfTrue="1" operator="equal">
      <formula>"Napkin Hs"</formula>
    </cfRule>
  </conditionalFormatting>
  <conditionalFormatting sqref="C71">
    <cfRule type="cellIs" dxfId="930" priority="331" stopIfTrue="1" operator="equal">
      <formula>"Towel"</formula>
    </cfRule>
    <cfRule type="cellIs" dxfId="929" priority="332" stopIfTrue="1" operator="equal">
      <formula>"Napkin Hs"</formula>
    </cfRule>
  </conditionalFormatting>
  <conditionalFormatting sqref="C71">
    <cfRule type="cellIs" dxfId="928" priority="333" stopIfTrue="1" operator="equal">
      <formula>"Towel"</formula>
    </cfRule>
  </conditionalFormatting>
  <conditionalFormatting sqref="B76:C77">
    <cfRule type="cellIs" dxfId="927" priority="329" stopIfTrue="1" operator="equal">
      <formula>"Towel"</formula>
    </cfRule>
    <cfRule type="cellIs" dxfId="926" priority="330" stopIfTrue="1" operator="equal">
      <formula>"Napkin Hs"</formula>
    </cfRule>
  </conditionalFormatting>
  <conditionalFormatting sqref="C76:C77">
    <cfRule type="cellIs" dxfId="925" priority="328" stopIfTrue="1" operator="equal">
      <formula>"Napkin Hs"</formula>
    </cfRule>
  </conditionalFormatting>
  <conditionalFormatting sqref="C76:C77">
    <cfRule type="cellIs" dxfId="924" priority="325" stopIfTrue="1" operator="equal">
      <formula>"Towel"</formula>
    </cfRule>
    <cfRule type="cellIs" dxfId="923" priority="326" stopIfTrue="1" operator="equal">
      <formula>"Napkin Hs"</formula>
    </cfRule>
  </conditionalFormatting>
  <conditionalFormatting sqref="C76:C77">
    <cfRule type="cellIs" dxfId="922" priority="327" stopIfTrue="1" operator="equal">
      <formula>"Towel"</formula>
    </cfRule>
  </conditionalFormatting>
  <conditionalFormatting sqref="B75:C75">
    <cfRule type="cellIs" dxfId="921" priority="323" stopIfTrue="1" operator="equal">
      <formula>"Towel"</formula>
    </cfRule>
    <cfRule type="cellIs" dxfId="920" priority="324" stopIfTrue="1" operator="equal">
      <formula>"Napkin Hs"</formula>
    </cfRule>
  </conditionalFormatting>
  <conditionalFormatting sqref="C75">
    <cfRule type="cellIs" dxfId="919" priority="322" stopIfTrue="1" operator="equal">
      <formula>"Napkin Hs"</formula>
    </cfRule>
  </conditionalFormatting>
  <conditionalFormatting sqref="C75">
    <cfRule type="cellIs" dxfId="918" priority="319" stopIfTrue="1" operator="equal">
      <formula>"Towel"</formula>
    </cfRule>
    <cfRule type="cellIs" dxfId="917" priority="320" stopIfTrue="1" operator="equal">
      <formula>"Napkin Hs"</formula>
    </cfRule>
  </conditionalFormatting>
  <conditionalFormatting sqref="C75">
    <cfRule type="cellIs" dxfId="916" priority="321" stopIfTrue="1" operator="equal">
      <formula>"Towel"</formula>
    </cfRule>
  </conditionalFormatting>
  <conditionalFormatting sqref="B81:C81">
    <cfRule type="cellIs" dxfId="915" priority="317" stopIfTrue="1" operator="equal">
      <formula>"Towel"</formula>
    </cfRule>
    <cfRule type="cellIs" dxfId="914" priority="318" stopIfTrue="1" operator="equal">
      <formula>"Napkin Hs"</formula>
    </cfRule>
  </conditionalFormatting>
  <conditionalFormatting sqref="C81">
    <cfRule type="cellIs" dxfId="913" priority="316" stopIfTrue="1" operator="equal">
      <formula>"Napkin Hs"</formula>
    </cfRule>
  </conditionalFormatting>
  <conditionalFormatting sqref="C81">
    <cfRule type="cellIs" dxfId="912" priority="313" stopIfTrue="1" operator="equal">
      <formula>"Towel"</formula>
    </cfRule>
    <cfRule type="cellIs" dxfId="911" priority="314" stopIfTrue="1" operator="equal">
      <formula>"Napkin Hs"</formula>
    </cfRule>
  </conditionalFormatting>
  <conditionalFormatting sqref="C81">
    <cfRule type="cellIs" dxfId="910" priority="315" stopIfTrue="1" operator="equal">
      <formula>"Towel"</formula>
    </cfRule>
  </conditionalFormatting>
  <conditionalFormatting sqref="B79:C80">
    <cfRule type="cellIs" dxfId="909" priority="311" stopIfTrue="1" operator="equal">
      <formula>"Towel"</formula>
    </cfRule>
    <cfRule type="cellIs" dxfId="908" priority="312" stopIfTrue="1" operator="equal">
      <formula>"Napkin Hs"</formula>
    </cfRule>
  </conditionalFormatting>
  <conditionalFormatting sqref="C79:C80">
    <cfRule type="cellIs" dxfId="907" priority="310" stopIfTrue="1" operator="equal">
      <formula>"Napkin Hs"</formula>
    </cfRule>
  </conditionalFormatting>
  <conditionalFormatting sqref="C79:C80">
    <cfRule type="cellIs" dxfId="906" priority="307" stopIfTrue="1" operator="equal">
      <formula>"Towel"</formula>
    </cfRule>
    <cfRule type="cellIs" dxfId="905" priority="308" stopIfTrue="1" operator="equal">
      <formula>"Napkin Hs"</formula>
    </cfRule>
  </conditionalFormatting>
  <conditionalFormatting sqref="C79:C80">
    <cfRule type="cellIs" dxfId="904" priority="309" stopIfTrue="1" operator="equal">
      <formula>"Towel"</formula>
    </cfRule>
  </conditionalFormatting>
  <conditionalFormatting sqref="B85:C85">
    <cfRule type="cellIs" dxfId="903" priority="305" stopIfTrue="1" operator="equal">
      <formula>"Towel"</formula>
    </cfRule>
    <cfRule type="cellIs" dxfId="902" priority="306" stopIfTrue="1" operator="equal">
      <formula>"Napkin Hs"</formula>
    </cfRule>
  </conditionalFormatting>
  <conditionalFormatting sqref="C85">
    <cfRule type="cellIs" dxfId="901" priority="304" stopIfTrue="1" operator="equal">
      <formula>"Napkin Hs"</formula>
    </cfRule>
  </conditionalFormatting>
  <conditionalFormatting sqref="C85">
    <cfRule type="cellIs" dxfId="900" priority="301" stopIfTrue="1" operator="equal">
      <formula>"Towel"</formula>
    </cfRule>
    <cfRule type="cellIs" dxfId="899" priority="302" stopIfTrue="1" operator="equal">
      <formula>"Napkin Hs"</formula>
    </cfRule>
  </conditionalFormatting>
  <conditionalFormatting sqref="C85">
    <cfRule type="cellIs" dxfId="898" priority="303" stopIfTrue="1" operator="equal">
      <formula>"Towel"</formula>
    </cfRule>
  </conditionalFormatting>
  <conditionalFormatting sqref="B84:C84">
    <cfRule type="cellIs" dxfId="897" priority="299" stopIfTrue="1" operator="equal">
      <formula>"Towel"</formula>
    </cfRule>
    <cfRule type="cellIs" dxfId="896" priority="300" stopIfTrue="1" operator="equal">
      <formula>"Napkin Hs"</formula>
    </cfRule>
  </conditionalFormatting>
  <conditionalFormatting sqref="C84">
    <cfRule type="cellIs" dxfId="895" priority="298" stopIfTrue="1" operator="equal">
      <formula>"Napkin Hs"</formula>
    </cfRule>
  </conditionalFormatting>
  <conditionalFormatting sqref="C84">
    <cfRule type="cellIs" dxfId="894" priority="295" stopIfTrue="1" operator="equal">
      <formula>"Towel"</formula>
    </cfRule>
    <cfRule type="cellIs" dxfId="893" priority="296" stopIfTrue="1" operator="equal">
      <formula>"Napkin Hs"</formula>
    </cfRule>
  </conditionalFormatting>
  <conditionalFormatting sqref="C84">
    <cfRule type="cellIs" dxfId="892" priority="297" stopIfTrue="1" operator="equal">
      <formula>"Towel"</formula>
    </cfRule>
  </conditionalFormatting>
  <conditionalFormatting sqref="B83:C83">
    <cfRule type="cellIs" dxfId="891" priority="293" stopIfTrue="1" operator="equal">
      <formula>"Towel"</formula>
    </cfRule>
    <cfRule type="cellIs" dxfId="890" priority="294" stopIfTrue="1" operator="equal">
      <formula>"Napkin Hs"</formula>
    </cfRule>
  </conditionalFormatting>
  <conditionalFormatting sqref="C83">
    <cfRule type="cellIs" dxfId="889" priority="292" stopIfTrue="1" operator="equal">
      <formula>"Napkin Hs"</formula>
    </cfRule>
  </conditionalFormatting>
  <conditionalFormatting sqref="C83">
    <cfRule type="cellIs" dxfId="888" priority="289" stopIfTrue="1" operator="equal">
      <formula>"Towel"</formula>
    </cfRule>
    <cfRule type="cellIs" dxfId="887" priority="290" stopIfTrue="1" operator="equal">
      <formula>"Napkin Hs"</formula>
    </cfRule>
  </conditionalFormatting>
  <conditionalFormatting sqref="C83">
    <cfRule type="cellIs" dxfId="886" priority="291" stopIfTrue="1" operator="equal">
      <formula>"Towel"</formula>
    </cfRule>
  </conditionalFormatting>
  <conditionalFormatting sqref="B89:C89">
    <cfRule type="cellIs" dxfId="885" priority="287" stopIfTrue="1" operator="equal">
      <formula>"Towel"</formula>
    </cfRule>
    <cfRule type="cellIs" dxfId="884" priority="288" stopIfTrue="1" operator="equal">
      <formula>"Napkin Hs"</formula>
    </cfRule>
  </conditionalFormatting>
  <conditionalFormatting sqref="C89">
    <cfRule type="cellIs" dxfId="883" priority="286" stopIfTrue="1" operator="equal">
      <formula>"Napkin Hs"</formula>
    </cfRule>
  </conditionalFormatting>
  <conditionalFormatting sqref="C89">
    <cfRule type="cellIs" dxfId="882" priority="283" stopIfTrue="1" operator="equal">
      <formula>"Towel"</formula>
    </cfRule>
    <cfRule type="cellIs" dxfId="881" priority="284" stopIfTrue="1" operator="equal">
      <formula>"Napkin Hs"</formula>
    </cfRule>
  </conditionalFormatting>
  <conditionalFormatting sqref="C89">
    <cfRule type="cellIs" dxfId="880" priority="285" stopIfTrue="1" operator="equal">
      <formula>"Towel"</formula>
    </cfRule>
  </conditionalFormatting>
  <conditionalFormatting sqref="B88:C88">
    <cfRule type="cellIs" dxfId="879" priority="281" stopIfTrue="1" operator="equal">
      <formula>"Towel"</formula>
    </cfRule>
    <cfRule type="cellIs" dxfId="878" priority="282" stopIfTrue="1" operator="equal">
      <formula>"Napkin Hs"</formula>
    </cfRule>
  </conditionalFormatting>
  <conditionalFormatting sqref="C88">
    <cfRule type="cellIs" dxfId="877" priority="280" stopIfTrue="1" operator="equal">
      <formula>"Napkin Hs"</formula>
    </cfRule>
  </conditionalFormatting>
  <conditionalFormatting sqref="C88">
    <cfRule type="cellIs" dxfId="876" priority="277" stopIfTrue="1" operator="equal">
      <formula>"Towel"</formula>
    </cfRule>
    <cfRule type="cellIs" dxfId="875" priority="278" stopIfTrue="1" operator="equal">
      <formula>"Napkin Hs"</formula>
    </cfRule>
  </conditionalFormatting>
  <conditionalFormatting sqref="C88">
    <cfRule type="cellIs" dxfId="874" priority="279" stopIfTrue="1" operator="equal">
      <formula>"Towel"</formula>
    </cfRule>
  </conditionalFormatting>
  <conditionalFormatting sqref="B87:C87">
    <cfRule type="cellIs" dxfId="873" priority="269" stopIfTrue="1" operator="equal">
      <formula>"Towel"</formula>
    </cfRule>
    <cfRule type="cellIs" dxfId="872" priority="270" stopIfTrue="1" operator="equal">
      <formula>"Napkin Hs"</formula>
    </cfRule>
  </conditionalFormatting>
  <conditionalFormatting sqref="C87">
    <cfRule type="cellIs" dxfId="871" priority="268" stopIfTrue="1" operator="equal">
      <formula>"Napkin Hs"</formula>
    </cfRule>
  </conditionalFormatting>
  <conditionalFormatting sqref="C87">
    <cfRule type="cellIs" dxfId="870" priority="265" stopIfTrue="1" operator="equal">
      <formula>"Towel"</formula>
    </cfRule>
    <cfRule type="cellIs" dxfId="869" priority="266" stopIfTrue="1" operator="equal">
      <formula>"Napkin Hs"</formula>
    </cfRule>
  </conditionalFormatting>
  <conditionalFormatting sqref="C87">
    <cfRule type="cellIs" dxfId="868" priority="267" stopIfTrue="1" operator="equal">
      <formula>"Towel"</formula>
    </cfRule>
  </conditionalFormatting>
  <conditionalFormatting sqref="B93:C93">
    <cfRule type="cellIs" dxfId="867" priority="263" stopIfTrue="1" operator="equal">
      <formula>"Towel"</formula>
    </cfRule>
    <cfRule type="cellIs" dxfId="866" priority="264" stopIfTrue="1" operator="equal">
      <formula>"Napkin Hs"</formula>
    </cfRule>
  </conditionalFormatting>
  <conditionalFormatting sqref="C93">
    <cfRule type="cellIs" dxfId="865" priority="262" stopIfTrue="1" operator="equal">
      <formula>"Napkin Hs"</formula>
    </cfRule>
  </conditionalFormatting>
  <conditionalFormatting sqref="C93">
    <cfRule type="cellIs" dxfId="864" priority="259" stopIfTrue="1" operator="equal">
      <formula>"Towel"</formula>
    </cfRule>
    <cfRule type="cellIs" dxfId="863" priority="260" stopIfTrue="1" operator="equal">
      <formula>"Napkin Hs"</formula>
    </cfRule>
  </conditionalFormatting>
  <conditionalFormatting sqref="C93">
    <cfRule type="cellIs" dxfId="862" priority="261" stopIfTrue="1" operator="equal">
      <formula>"Towel"</formula>
    </cfRule>
  </conditionalFormatting>
  <conditionalFormatting sqref="B91:C91">
    <cfRule type="cellIs" dxfId="861" priority="251" stopIfTrue="1" operator="equal">
      <formula>"Towel"</formula>
    </cfRule>
    <cfRule type="cellIs" dxfId="860" priority="252" stopIfTrue="1" operator="equal">
      <formula>"Napkin Hs"</formula>
    </cfRule>
  </conditionalFormatting>
  <conditionalFormatting sqref="C91">
    <cfRule type="cellIs" dxfId="859" priority="250" stopIfTrue="1" operator="equal">
      <formula>"Napkin Hs"</formula>
    </cfRule>
  </conditionalFormatting>
  <conditionalFormatting sqref="C91">
    <cfRule type="cellIs" dxfId="858" priority="247" stopIfTrue="1" operator="equal">
      <formula>"Towel"</formula>
    </cfRule>
    <cfRule type="cellIs" dxfId="857" priority="248" stopIfTrue="1" operator="equal">
      <formula>"Napkin Hs"</formula>
    </cfRule>
  </conditionalFormatting>
  <conditionalFormatting sqref="C91">
    <cfRule type="cellIs" dxfId="856" priority="249" stopIfTrue="1" operator="equal">
      <formula>"Towel"</formula>
    </cfRule>
  </conditionalFormatting>
  <conditionalFormatting sqref="B92:C92">
    <cfRule type="cellIs" dxfId="855" priority="245" stopIfTrue="1" operator="equal">
      <formula>"Towel"</formula>
    </cfRule>
    <cfRule type="cellIs" dxfId="854" priority="246" stopIfTrue="1" operator="equal">
      <formula>"Napkin Hs"</formula>
    </cfRule>
  </conditionalFormatting>
  <conditionalFormatting sqref="C92">
    <cfRule type="cellIs" dxfId="853" priority="244" stopIfTrue="1" operator="equal">
      <formula>"Napkin Hs"</formula>
    </cfRule>
  </conditionalFormatting>
  <conditionalFormatting sqref="C92">
    <cfRule type="cellIs" dxfId="852" priority="241" stopIfTrue="1" operator="equal">
      <formula>"Towel"</formula>
    </cfRule>
    <cfRule type="cellIs" dxfId="851" priority="242" stopIfTrue="1" operator="equal">
      <formula>"Napkin Hs"</formula>
    </cfRule>
  </conditionalFormatting>
  <conditionalFormatting sqref="C92">
    <cfRule type="cellIs" dxfId="850" priority="243" stopIfTrue="1" operator="equal">
      <formula>"Towel"</formula>
    </cfRule>
  </conditionalFormatting>
  <conditionalFormatting sqref="B97:C97">
    <cfRule type="cellIs" dxfId="849" priority="239" stopIfTrue="1" operator="equal">
      <formula>"Towel"</formula>
    </cfRule>
    <cfRule type="cellIs" dxfId="848" priority="240" stopIfTrue="1" operator="equal">
      <formula>"Napkin Hs"</formula>
    </cfRule>
  </conditionalFormatting>
  <conditionalFormatting sqref="C97">
    <cfRule type="cellIs" dxfId="847" priority="238" stopIfTrue="1" operator="equal">
      <formula>"Napkin Hs"</formula>
    </cfRule>
  </conditionalFormatting>
  <conditionalFormatting sqref="C97">
    <cfRule type="cellIs" dxfId="846" priority="235" stopIfTrue="1" operator="equal">
      <formula>"Towel"</formula>
    </cfRule>
    <cfRule type="cellIs" dxfId="845" priority="236" stopIfTrue="1" operator="equal">
      <formula>"Napkin Hs"</formula>
    </cfRule>
  </conditionalFormatting>
  <conditionalFormatting sqref="C97">
    <cfRule type="cellIs" dxfId="844" priority="237" stopIfTrue="1" operator="equal">
      <formula>"Towel"</formula>
    </cfRule>
  </conditionalFormatting>
  <conditionalFormatting sqref="B95:C95">
    <cfRule type="cellIs" dxfId="843" priority="221" stopIfTrue="1" operator="equal">
      <formula>"Towel"</formula>
    </cfRule>
    <cfRule type="cellIs" dxfId="842" priority="222" stopIfTrue="1" operator="equal">
      <formula>"Napkin Hs"</formula>
    </cfRule>
  </conditionalFormatting>
  <conditionalFormatting sqref="C95">
    <cfRule type="cellIs" dxfId="841" priority="220" stopIfTrue="1" operator="equal">
      <formula>"Napkin Hs"</formula>
    </cfRule>
  </conditionalFormatting>
  <conditionalFormatting sqref="C95">
    <cfRule type="cellIs" dxfId="840" priority="217" stopIfTrue="1" operator="equal">
      <formula>"Towel"</formula>
    </cfRule>
    <cfRule type="cellIs" dxfId="839" priority="218" stopIfTrue="1" operator="equal">
      <formula>"Napkin Hs"</formula>
    </cfRule>
  </conditionalFormatting>
  <conditionalFormatting sqref="C95">
    <cfRule type="cellIs" dxfId="838" priority="219" stopIfTrue="1" operator="equal">
      <formula>"Towel"</formula>
    </cfRule>
  </conditionalFormatting>
  <conditionalFormatting sqref="B96:C96">
    <cfRule type="cellIs" dxfId="837" priority="215" stopIfTrue="1" operator="equal">
      <formula>"Towel"</formula>
    </cfRule>
    <cfRule type="cellIs" dxfId="836" priority="216" stopIfTrue="1" operator="equal">
      <formula>"Napkin Hs"</formula>
    </cfRule>
  </conditionalFormatting>
  <conditionalFormatting sqref="C96">
    <cfRule type="cellIs" dxfId="835" priority="214" stopIfTrue="1" operator="equal">
      <formula>"Napkin Hs"</formula>
    </cfRule>
  </conditionalFormatting>
  <conditionalFormatting sqref="C96">
    <cfRule type="cellIs" dxfId="834" priority="211" stopIfTrue="1" operator="equal">
      <formula>"Towel"</formula>
    </cfRule>
    <cfRule type="cellIs" dxfId="833" priority="212" stopIfTrue="1" operator="equal">
      <formula>"Napkin Hs"</formula>
    </cfRule>
  </conditionalFormatting>
  <conditionalFormatting sqref="C96">
    <cfRule type="cellIs" dxfId="832" priority="213" stopIfTrue="1" operator="equal">
      <formula>"Towel"</formula>
    </cfRule>
  </conditionalFormatting>
  <conditionalFormatting sqref="B101:C102">
    <cfRule type="cellIs" dxfId="831" priority="209" stopIfTrue="1" operator="equal">
      <formula>"Towel"</formula>
    </cfRule>
    <cfRule type="cellIs" dxfId="830" priority="210" stopIfTrue="1" operator="equal">
      <formula>"Napkin Hs"</formula>
    </cfRule>
  </conditionalFormatting>
  <conditionalFormatting sqref="C101:C102">
    <cfRule type="cellIs" dxfId="829" priority="208" stopIfTrue="1" operator="equal">
      <formula>"Napkin Hs"</formula>
    </cfRule>
  </conditionalFormatting>
  <conditionalFormatting sqref="C101:C102">
    <cfRule type="cellIs" dxfId="828" priority="205" stopIfTrue="1" operator="equal">
      <formula>"Towel"</formula>
    </cfRule>
    <cfRule type="cellIs" dxfId="827" priority="206" stopIfTrue="1" operator="equal">
      <formula>"Napkin Hs"</formula>
    </cfRule>
  </conditionalFormatting>
  <conditionalFormatting sqref="C101:C102">
    <cfRule type="cellIs" dxfId="826" priority="207" stopIfTrue="1" operator="equal">
      <formula>"Towel"</formula>
    </cfRule>
  </conditionalFormatting>
  <conditionalFormatting sqref="B100:C100">
    <cfRule type="cellIs" dxfId="825" priority="203" stopIfTrue="1" operator="equal">
      <formula>"Towel"</formula>
    </cfRule>
    <cfRule type="cellIs" dxfId="824" priority="204" stopIfTrue="1" operator="equal">
      <formula>"Napkin Hs"</formula>
    </cfRule>
  </conditionalFormatting>
  <conditionalFormatting sqref="C100">
    <cfRule type="cellIs" dxfId="823" priority="202" stopIfTrue="1" operator="equal">
      <formula>"Napkin Hs"</formula>
    </cfRule>
  </conditionalFormatting>
  <conditionalFormatting sqref="C100">
    <cfRule type="cellIs" dxfId="822" priority="199" stopIfTrue="1" operator="equal">
      <formula>"Towel"</formula>
    </cfRule>
    <cfRule type="cellIs" dxfId="821" priority="200" stopIfTrue="1" operator="equal">
      <formula>"Napkin Hs"</formula>
    </cfRule>
  </conditionalFormatting>
  <conditionalFormatting sqref="C100">
    <cfRule type="cellIs" dxfId="820" priority="201" stopIfTrue="1" operator="equal">
      <formula>"Towel"</formula>
    </cfRule>
  </conditionalFormatting>
  <conditionalFormatting sqref="B99:C99">
    <cfRule type="cellIs" dxfId="819" priority="191" stopIfTrue="1" operator="equal">
      <formula>"Towel"</formula>
    </cfRule>
    <cfRule type="cellIs" dxfId="818" priority="192" stopIfTrue="1" operator="equal">
      <formula>"Napkin Hs"</formula>
    </cfRule>
  </conditionalFormatting>
  <conditionalFormatting sqref="C99">
    <cfRule type="cellIs" dxfId="817" priority="190" stopIfTrue="1" operator="equal">
      <formula>"Napkin Hs"</formula>
    </cfRule>
  </conditionalFormatting>
  <conditionalFormatting sqref="C99">
    <cfRule type="cellIs" dxfId="816" priority="187" stopIfTrue="1" operator="equal">
      <formula>"Towel"</formula>
    </cfRule>
    <cfRule type="cellIs" dxfId="815" priority="188" stopIfTrue="1" operator="equal">
      <formula>"Napkin Hs"</formula>
    </cfRule>
  </conditionalFormatting>
  <conditionalFormatting sqref="C99">
    <cfRule type="cellIs" dxfId="814" priority="189" stopIfTrue="1" operator="equal">
      <formula>"Towel"</formula>
    </cfRule>
  </conditionalFormatting>
  <conditionalFormatting sqref="B106:C107">
    <cfRule type="cellIs" dxfId="813" priority="185" stopIfTrue="1" operator="equal">
      <formula>"Towel"</formula>
    </cfRule>
    <cfRule type="cellIs" dxfId="812" priority="186" stopIfTrue="1" operator="equal">
      <formula>"Napkin Hs"</formula>
    </cfRule>
  </conditionalFormatting>
  <conditionalFormatting sqref="C106:C107">
    <cfRule type="cellIs" dxfId="811" priority="184" stopIfTrue="1" operator="equal">
      <formula>"Napkin Hs"</formula>
    </cfRule>
  </conditionalFormatting>
  <conditionalFormatting sqref="C106:C107">
    <cfRule type="cellIs" dxfId="810" priority="181" stopIfTrue="1" operator="equal">
      <formula>"Towel"</formula>
    </cfRule>
    <cfRule type="cellIs" dxfId="809" priority="182" stopIfTrue="1" operator="equal">
      <formula>"Napkin Hs"</formula>
    </cfRule>
  </conditionalFormatting>
  <conditionalFormatting sqref="C106:C107">
    <cfRule type="cellIs" dxfId="808" priority="183" stopIfTrue="1" operator="equal">
      <formula>"Towel"</formula>
    </cfRule>
  </conditionalFormatting>
  <conditionalFormatting sqref="B105:C105">
    <cfRule type="cellIs" dxfId="807" priority="179" stopIfTrue="1" operator="equal">
      <formula>"Towel"</formula>
    </cfRule>
    <cfRule type="cellIs" dxfId="806" priority="180" stopIfTrue="1" operator="equal">
      <formula>"Napkin Hs"</formula>
    </cfRule>
  </conditionalFormatting>
  <conditionalFormatting sqref="C105">
    <cfRule type="cellIs" dxfId="805" priority="178" stopIfTrue="1" operator="equal">
      <formula>"Napkin Hs"</formula>
    </cfRule>
  </conditionalFormatting>
  <conditionalFormatting sqref="C105">
    <cfRule type="cellIs" dxfId="804" priority="175" stopIfTrue="1" operator="equal">
      <formula>"Towel"</formula>
    </cfRule>
    <cfRule type="cellIs" dxfId="803" priority="176" stopIfTrue="1" operator="equal">
      <formula>"Napkin Hs"</formula>
    </cfRule>
  </conditionalFormatting>
  <conditionalFormatting sqref="C105">
    <cfRule type="cellIs" dxfId="802" priority="177" stopIfTrue="1" operator="equal">
      <formula>"Towel"</formula>
    </cfRule>
  </conditionalFormatting>
  <conditionalFormatting sqref="B104:C104">
    <cfRule type="cellIs" dxfId="801" priority="173" stopIfTrue="1" operator="equal">
      <formula>"Towel"</formula>
    </cfRule>
    <cfRule type="cellIs" dxfId="800" priority="174" stopIfTrue="1" operator="equal">
      <formula>"Napkin Hs"</formula>
    </cfRule>
  </conditionalFormatting>
  <conditionalFormatting sqref="C104">
    <cfRule type="cellIs" dxfId="799" priority="172" stopIfTrue="1" operator="equal">
      <formula>"Napkin Hs"</formula>
    </cfRule>
  </conditionalFormatting>
  <conditionalFormatting sqref="C104">
    <cfRule type="cellIs" dxfId="798" priority="169" stopIfTrue="1" operator="equal">
      <formula>"Towel"</formula>
    </cfRule>
    <cfRule type="cellIs" dxfId="797" priority="170" stopIfTrue="1" operator="equal">
      <formula>"Napkin Hs"</formula>
    </cfRule>
  </conditionalFormatting>
  <conditionalFormatting sqref="C104">
    <cfRule type="cellIs" dxfId="796" priority="171" stopIfTrue="1" operator="equal">
      <formula>"Towel"</formula>
    </cfRule>
  </conditionalFormatting>
  <conditionalFormatting sqref="B111:C112">
    <cfRule type="cellIs" dxfId="795" priority="167" stopIfTrue="1" operator="equal">
      <formula>"Towel"</formula>
    </cfRule>
    <cfRule type="cellIs" dxfId="794" priority="168" stopIfTrue="1" operator="equal">
      <formula>"Napkin Hs"</formula>
    </cfRule>
  </conditionalFormatting>
  <conditionalFormatting sqref="C111:C112">
    <cfRule type="cellIs" dxfId="793" priority="166" stopIfTrue="1" operator="equal">
      <formula>"Napkin Hs"</formula>
    </cfRule>
  </conditionalFormatting>
  <conditionalFormatting sqref="C111:C112">
    <cfRule type="cellIs" dxfId="792" priority="163" stopIfTrue="1" operator="equal">
      <formula>"Towel"</formula>
    </cfRule>
    <cfRule type="cellIs" dxfId="791" priority="164" stopIfTrue="1" operator="equal">
      <formula>"Napkin Hs"</formula>
    </cfRule>
  </conditionalFormatting>
  <conditionalFormatting sqref="C111:C112">
    <cfRule type="cellIs" dxfId="790" priority="165" stopIfTrue="1" operator="equal">
      <formula>"Towel"</formula>
    </cfRule>
  </conditionalFormatting>
  <conditionalFormatting sqref="B109:C110">
    <cfRule type="cellIs" dxfId="789" priority="155" stopIfTrue="1" operator="equal">
      <formula>"Towel"</formula>
    </cfRule>
    <cfRule type="cellIs" dxfId="788" priority="156" stopIfTrue="1" operator="equal">
      <formula>"Napkin Hs"</formula>
    </cfRule>
  </conditionalFormatting>
  <conditionalFormatting sqref="C109:C110">
    <cfRule type="cellIs" dxfId="787" priority="154" stopIfTrue="1" operator="equal">
      <formula>"Napkin Hs"</formula>
    </cfRule>
  </conditionalFormatting>
  <conditionalFormatting sqref="C109:C110">
    <cfRule type="cellIs" dxfId="786" priority="151" stopIfTrue="1" operator="equal">
      <formula>"Towel"</formula>
    </cfRule>
    <cfRule type="cellIs" dxfId="785" priority="152" stopIfTrue="1" operator="equal">
      <formula>"Napkin Hs"</formula>
    </cfRule>
  </conditionalFormatting>
  <conditionalFormatting sqref="C109:C110">
    <cfRule type="cellIs" dxfId="784" priority="153" stopIfTrue="1" operator="equal">
      <formula>"Towel"</formula>
    </cfRule>
  </conditionalFormatting>
  <conditionalFormatting sqref="B115:C115">
    <cfRule type="cellIs" dxfId="783" priority="149" stopIfTrue="1" operator="equal">
      <formula>"Towel"</formula>
    </cfRule>
    <cfRule type="cellIs" dxfId="782" priority="150" stopIfTrue="1" operator="equal">
      <formula>"Napkin Hs"</formula>
    </cfRule>
  </conditionalFormatting>
  <conditionalFormatting sqref="C115">
    <cfRule type="cellIs" dxfId="781" priority="148" stopIfTrue="1" operator="equal">
      <formula>"Napkin Hs"</formula>
    </cfRule>
  </conditionalFormatting>
  <conditionalFormatting sqref="C115">
    <cfRule type="cellIs" dxfId="780" priority="145" stopIfTrue="1" operator="equal">
      <formula>"Towel"</formula>
    </cfRule>
    <cfRule type="cellIs" dxfId="779" priority="146" stopIfTrue="1" operator="equal">
      <formula>"Napkin Hs"</formula>
    </cfRule>
  </conditionalFormatting>
  <conditionalFormatting sqref="C115">
    <cfRule type="cellIs" dxfId="778" priority="147" stopIfTrue="1" operator="equal">
      <formula>"Towel"</formula>
    </cfRule>
  </conditionalFormatting>
  <conditionalFormatting sqref="B114:C114">
    <cfRule type="cellIs" dxfId="777" priority="143" stopIfTrue="1" operator="equal">
      <formula>"Towel"</formula>
    </cfRule>
    <cfRule type="cellIs" dxfId="776" priority="144" stopIfTrue="1" operator="equal">
      <formula>"Napkin Hs"</formula>
    </cfRule>
  </conditionalFormatting>
  <conditionalFormatting sqref="C114">
    <cfRule type="cellIs" dxfId="775" priority="142" stopIfTrue="1" operator="equal">
      <formula>"Napkin Hs"</formula>
    </cfRule>
  </conditionalFormatting>
  <conditionalFormatting sqref="C114">
    <cfRule type="cellIs" dxfId="774" priority="139" stopIfTrue="1" operator="equal">
      <formula>"Towel"</formula>
    </cfRule>
    <cfRule type="cellIs" dxfId="773" priority="140" stopIfTrue="1" operator="equal">
      <formula>"Napkin Hs"</formula>
    </cfRule>
  </conditionalFormatting>
  <conditionalFormatting sqref="C114">
    <cfRule type="cellIs" dxfId="772" priority="141" stopIfTrue="1" operator="equal">
      <formula>"Towel"</formula>
    </cfRule>
  </conditionalFormatting>
  <conditionalFormatting sqref="B113:C113">
    <cfRule type="cellIs" dxfId="771" priority="137" stopIfTrue="1" operator="equal">
      <formula>"Towel"</formula>
    </cfRule>
    <cfRule type="cellIs" dxfId="770" priority="138" stopIfTrue="1" operator="equal">
      <formula>"Napkin Hs"</formula>
    </cfRule>
  </conditionalFormatting>
  <conditionalFormatting sqref="C113">
    <cfRule type="cellIs" dxfId="769" priority="136" stopIfTrue="1" operator="equal">
      <formula>"Napkin Hs"</formula>
    </cfRule>
  </conditionalFormatting>
  <conditionalFormatting sqref="C113">
    <cfRule type="cellIs" dxfId="768" priority="133" stopIfTrue="1" operator="equal">
      <formula>"Towel"</formula>
    </cfRule>
    <cfRule type="cellIs" dxfId="767" priority="134" stopIfTrue="1" operator="equal">
      <formula>"Napkin Hs"</formula>
    </cfRule>
  </conditionalFormatting>
  <conditionalFormatting sqref="C113">
    <cfRule type="cellIs" dxfId="766" priority="135" stopIfTrue="1" operator="equal">
      <formula>"Towel"</formula>
    </cfRule>
  </conditionalFormatting>
  <conditionalFormatting sqref="B119:C119">
    <cfRule type="cellIs" dxfId="765" priority="131" stopIfTrue="1" operator="equal">
      <formula>"Towel"</formula>
    </cfRule>
    <cfRule type="cellIs" dxfId="764" priority="132" stopIfTrue="1" operator="equal">
      <formula>"Napkin Hs"</formula>
    </cfRule>
  </conditionalFormatting>
  <conditionalFormatting sqref="C119">
    <cfRule type="cellIs" dxfId="763" priority="130" stopIfTrue="1" operator="equal">
      <formula>"Napkin Hs"</formula>
    </cfRule>
  </conditionalFormatting>
  <conditionalFormatting sqref="C119">
    <cfRule type="cellIs" dxfId="762" priority="127" stopIfTrue="1" operator="equal">
      <formula>"Towel"</formula>
    </cfRule>
    <cfRule type="cellIs" dxfId="761" priority="128" stopIfTrue="1" operator="equal">
      <formula>"Napkin Hs"</formula>
    </cfRule>
  </conditionalFormatting>
  <conditionalFormatting sqref="C119">
    <cfRule type="cellIs" dxfId="760" priority="129" stopIfTrue="1" operator="equal">
      <formula>"Towel"</formula>
    </cfRule>
  </conditionalFormatting>
  <conditionalFormatting sqref="B117:C117">
    <cfRule type="cellIs" dxfId="759" priority="119" stopIfTrue="1" operator="equal">
      <formula>"Towel"</formula>
    </cfRule>
    <cfRule type="cellIs" dxfId="758" priority="120" stopIfTrue="1" operator="equal">
      <formula>"Napkin Hs"</formula>
    </cfRule>
  </conditionalFormatting>
  <conditionalFormatting sqref="C117">
    <cfRule type="cellIs" dxfId="757" priority="118" stopIfTrue="1" operator="equal">
      <formula>"Napkin Hs"</formula>
    </cfRule>
  </conditionalFormatting>
  <conditionalFormatting sqref="C117">
    <cfRule type="cellIs" dxfId="756" priority="115" stopIfTrue="1" operator="equal">
      <formula>"Towel"</formula>
    </cfRule>
    <cfRule type="cellIs" dxfId="755" priority="116" stopIfTrue="1" operator="equal">
      <formula>"Napkin Hs"</formula>
    </cfRule>
  </conditionalFormatting>
  <conditionalFormatting sqref="C117">
    <cfRule type="cellIs" dxfId="754" priority="117" stopIfTrue="1" operator="equal">
      <formula>"Towel"</formula>
    </cfRule>
  </conditionalFormatting>
  <conditionalFormatting sqref="B118:C118">
    <cfRule type="cellIs" dxfId="753" priority="113" stopIfTrue="1" operator="equal">
      <formula>"Towel"</formula>
    </cfRule>
    <cfRule type="cellIs" dxfId="752" priority="114" stopIfTrue="1" operator="equal">
      <formula>"Napkin Hs"</formula>
    </cfRule>
  </conditionalFormatting>
  <conditionalFormatting sqref="C118">
    <cfRule type="cellIs" dxfId="751" priority="112" stopIfTrue="1" operator="equal">
      <formula>"Napkin Hs"</formula>
    </cfRule>
  </conditionalFormatting>
  <conditionalFormatting sqref="C118">
    <cfRule type="cellIs" dxfId="750" priority="109" stopIfTrue="1" operator="equal">
      <formula>"Towel"</formula>
    </cfRule>
    <cfRule type="cellIs" dxfId="749" priority="110" stopIfTrue="1" operator="equal">
      <formula>"Napkin Hs"</formula>
    </cfRule>
  </conditionalFormatting>
  <conditionalFormatting sqref="C118">
    <cfRule type="cellIs" dxfId="748" priority="111" stopIfTrue="1" operator="equal">
      <formula>"Towel"</formula>
    </cfRule>
  </conditionalFormatting>
  <conditionalFormatting sqref="B123:C123">
    <cfRule type="cellIs" dxfId="747" priority="107" stopIfTrue="1" operator="equal">
      <formula>"Towel"</formula>
    </cfRule>
    <cfRule type="cellIs" dxfId="746" priority="108" stopIfTrue="1" operator="equal">
      <formula>"Napkin Hs"</formula>
    </cfRule>
  </conditionalFormatting>
  <conditionalFormatting sqref="C123">
    <cfRule type="cellIs" dxfId="745" priority="106" stopIfTrue="1" operator="equal">
      <formula>"Napkin Hs"</formula>
    </cfRule>
  </conditionalFormatting>
  <conditionalFormatting sqref="C123">
    <cfRule type="cellIs" dxfId="744" priority="103" stopIfTrue="1" operator="equal">
      <formula>"Towel"</formula>
    </cfRule>
    <cfRule type="cellIs" dxfId="743" priority="104" stopIfTrue="1" operator="equal">
      <formula>"Napkin Hs"</formula>
    </cfRule>
  </conditionalFormatting>
  <conditionalFormatting sqref="C123">
    <cfRule type="cellIs" dxfId="742" priority="105" stopIfTrue="1" operator="equal">
      <formula>"Towel"</formula>
    </cfRule>
  </conditionalFormatting>
  <conditionalFormatting sqref="C122">
    <cfRule type="cellIs" dxfId="741" priority="101" stopIfTrue="1" operator="equal">
      <formula>"Towel"</formula>
    </cfRule>
    <cfRule type="cellIs" dxfId="740" priority="102" stopIfTrue="1" operator="equal">
      <formula>"Napkin Hs"</formula>
    </cfRule>
  </conditionalFormatting>
  <conditionalFormatting sqref="C122">
    <cfRule type="cellIs" dxfId="739" priority="100" stopIfTrue="1" operator="equal">
      <formula>"Napkin Hs"</formula>
    </cfRule>
  </conditionalFormatting>
  <conditionalFormatting sqref="C122">
    <cfRule type="cellIs" dxfId="738" priority="97" stopIfTrue="1" operator="equal">
      <formula>"Towel"</formula>
    </cfRule>
    <cfRule type="cellIs" dxfId="737" priority="98" stopIfTrue="1" operator="equal">
      <formula>"Napkin Hs"</formula>
    </cfRule>
  </conditionalFormatting>
  <conditionalFormatting sqref="C122">
    <cfRule type="cellIs" dxfId="736" priority="99" stopIfTrue="1" operator="equal">
      <formula>"Towel"</formula>
    </cfRule>
  </conditionalFormatting>
  <conditionalFormatting sqref="B121:C121 B122">
    <cfRule type="cellIs" dxfId="735" priority="89" stopIfTrue="1" operator="equal">
      <formula>"Towel"</formula>
    </cfRule>
    <cfRule type="cellIs" dxfId="734" priority="90" stopIfTrue="1" operator="equal">
      <formula>"Napkin Hs"</formula>
    </cfRule>
  </conditionalFormatting>
  <conditionalFormatting sqref="C121">
    <cfRule type="cellIs" dxfId="733" priority="88" stopIfTrue="1" operator="equal">
      <formula>"Napkin Hs"</formula>
    </cfRule>
  </conditionalFormatting>
  <conditionalFormatting sqref="C121">
    <cfRule type="cellIs" dxfId="732" priority="85" stopIfTrue="1" operator="equal">
      <formula>"Towel"</formula>
    </cfRule>
    <cfRule type="cellIs" dxfId="731" priority="86" stopIfTrue="1" operator="equal">
      <formula>"Napkin Hs"</formula>
    </cfRule>
  </conditionalFormatting>
  <conditionalFormatting sqref="C121">
    <cfRule type="cellIs" dxfId="730" priority="87" stopIfTrue="1" operator="equal">
      <formula>"Towel"</formula>
    </cfRule>
  </conditionalFormatting>
  <conditionalFormatting sqref="B128:C128">
    <cfRule type="cellIs" dxfId="729" priority="83" stopIfTrue="1" operator="equal">
      <formula>"Towel"</formula>
    </cfRule>
    <cfRule type="cellIs" dxfId="728" priority="84" stopIfTrue="1" operator="equal">
      <formula>"Napkin Hs"</formula>
    </cfRule>
  </conditionalFormatting>
  <conditionalFormatting sqref="C128">
    <cfRule type="cellIs" dxfId="727" priority="82" stopIfTrue="1" operator="equal">
      <formula>"Napkin Hs"</formula>
    </cfRule>
  </conditionalFormatting>
  <conditionalFormatting sqref="C128">
    <cfRule type="cellIs" dxfId="726" priority="79" stopIfTrue="1" operator="equal">
      <formula>"Towel"</formula>
    </cfRule>
    <cfRule type="cellIs" dxfId="725" priority="80" stopIfTrue="1" operator="equal">
      <formula>"Napkin Hs"</formula>
    </cfRule>
  </conditionalFormatting>
  <conditionalFormatting sqref="C128">
    <cfRule type="cellIs" dxfId="724" priority="81" stopIfTrue="1" operator="equal">
      <formula>"Towel"</formula>
    </cfRule>
  </conditionalFormatting>
  <conditionalFormatting sqref="B127:C127">
    <cfRule type="cellIs" dxfId="723" priority="77" stopIfTrue="1" operator="equal">
      <formula>"Towel"</formula>
    </cfRule>
    <cfRule type="cellIs" dxfId="722" priority="78" stopIfTrue="1" operator="equal">
      <formula>"Napkin Hs"</formula>
    </cfRule>
  </conditionalFormatting>
  <conditionalFormatting sqref="C127">
    <cfRule type="cellIs" dxfId="721" priority="76" stopIfTrue="1" operator="equal">
      <formula>"Napkin Hs"</formula>
    </cfRule>
  </conditionalFormatting>
  <conditionalFormatting sqref="C127">
    <cfRule type="cellIs" dxfId="720" priority="73" stopIfTrue="1" operator="equal">
      <formula>"Towel"</formula>
    </cfRule>
    <cfRule type="cellIs" dxfId="719" priority="74" stopIfTrue="1" operator="equal">
      <formula>"Napkin Hs"</formula>
    </cfRule>
  </conditionalFormatting>
  <conditionalFormatting sqref="C127">
    <cfRule type="cellIs" dxfId="718" priority="75" stopIfTrue="1" operator="equal">
      <formula>"Towel"</formula>
    </cfRule>
  </conditionalFormatting>
  <conditionalFormatting sqref="B125:C125">
    <cfRule type="cellIs" dxfId="717" priority="65" stopIfTrue="1" operator="equal">
      <formula>"Towel"</formula>
    </cfRule>
    <cfRule type="cellIs" dxfId="716" priority="66" stopIfTrue="1" operator="equal">
      <formula>"Napkin Hs"</formula>
    </cfRule>
  </conditionalFormatting>
  <conditionalFormatting sqref="C125">
    <cfRule type="cellIs" dxfId="715" priority="64" stopIfTrue="1" operator="equal">
      <formula>"Napkin Hs"</formula>
    </cfRule>
  </conditionalFormatting>
  <conditionalFormatting sqref="C125">
    <cfRule type="cellIs" dxfId="714" priority="61" stopIfTrue="1" operator="equal">
      <formula>"Towel"</formula>
    </cfRule>
    <cfRule type="cellIs" dxfId="713" priority="62" stopIfTrue="1" operator="equal">
      <formula>"Napkin Hs"</formula>
    </cfRule>
  </conditionalFormatting>
  <conditionalFormatting sqref="C125">
    <cfRule type="cellIs" dxfId="712" priority="63" stopIfTrue="1" operator="equal">
      <formula>"Towel"</formula>
    </cfRule>
  </conditionalFormatting>
  <conditionalFormatting sqref="B126:C126">
    <cfRule type="cellIs" dxfId="711" priority="59" stopIfTrue="1" operator="equal">
      <formula>"Towel"</formula>
    </cfRule>
    <cfRule type="cellIs" dxfId="710" priority="60" stopIfTrue="1" operator="equal">
      <formula>"Napkin Hs"</formula>
    </cfRule>
  </conditionalFormatting>
  <conditionalFormatting sqref="C126">
    <cfRule type="cellIs" dxfId="709" priority="58" stopIfTrue="1" operator="equal">
      <formula>"Napkin Hs"</formula>
    </cfRule>
  </conditionalFormatting>
  <conditionalFormatting sqref="C126">
    <cfRule type="cellIs" dxfId="708" priority="55" stopIfTrue="1" operator="equal">
      <formula>"Towel"</formula>
    </cfRule>
    <cfRule type="cellIs" dxfId="707" priority="56" stopIfTrue="1" operator="equal">
      <formula>"Napkin Hs"</formula>
    </cfRule>
  </conditionalFormatting>
  <conditionalFormatting sqref="C126">
    <cfRule type="cellIs" dxfId="706" priority="57" stopIfTrue="1" operator="equal">
      <formula>"Towel"</formula>
    </cfRule>
  </conditionalFormatting>
  <conditionalFormatting sqref="B131:C131">
    <cfRule type="cellIs" dxfId="705" priority="53" stopIfTrue="1" operator="equal">
      <formula>"Towel"</formula>
    </cfRule>
    <cfRule type="cellIs" dxfId="704" priority="54" stopIfTrue="1" operator="equal">
      <formula>"Napkin Hs"</formula>
    </cfRule>
  </conditionalFormatting>
  <conditionalFormatting sqref="C131">
    <cfRule type="cellIs" dxfId="703" priority="52" stopIfTrue="1" operator="equal">
      <formula>"Napkin Hs"</formula>
    </cfRule>
  </conditionalFormatting>
  <conditionalFormatting sqref="C131">
    <cfRule type="cellIs" dxfId="702" priority="49" stopIfTrue="1" operator="equal">
      <formula>"Towel"</formula>
    </cfRule>
    <cfRule type="cellIs" dxfId="701" priority="50" stopIfTrue="1" operator="equal">
      <formula>"Napkin Hs"</formula>
    </cfRule>
  </conditionalFormatting>
  <conditionalFormatting sqref="C131">
    <cfRule type="cellIs" dxfId="700" priority="51" stopIfTrue="1" operator="equal">
      <formula>"Towel"</formula>
    </cfRule>
  </conditionalFormatting>
  <conditionalFormatting sqref="B130:C130">
    <cfRule type="cellIs" dxfId="699" priority="41" stopIfTrue="1" operator="equal">
      <formula>"Towel"</formula>
    </cfRule>
    <cfRule type="cellIs" dxfId="698" priority="42" stopIfTrue="1" operator="equal">
      <formula>"Napkin Hs"</formula>
    </cfRule>
  </conditionalFormatting>
  <conditionalFormatting sqref="C130">
    <cfRule type="cellIs" dxfId="697" priority="40" stopIfTrue="1" operator="equal">
      <formula>"Napkin Hs"</formula>
    </cfRule>
  </conditionalFormatting>
  <conditionalFormatting sqref="C130">
    <cfRule type="cellIs" dxfId="696" priority="37" stopIfTrue="1" operator="equal">
      <formula>"Towel"</formula>
    </cfRule>
    <cfRule type="cellIs" dxfId="695" priority="38" stopIfTrue="1" operator="equal">
      <formula>"Napkin Hs"</formula>
    </cfRule>
  </conditionalFormatting>
  <conditionalFormatting sqref="C130">
    <cfRule type="cellIs" dxfId="694" priority="39" stopIfTrue="1" operator="equal">
      <formula>"Towel"</formula>
    </cfRule>
  </conditionalFormatting>
  <conditionalFormatting sqref="B129:C129">
    <cfRule type="cellIs" dxfId="693" priority="35" stopIfTrue="1" operator="equal">
      <formula>"Towel"</formula>
    </cfRule>
    <cfRule type="cellIs" dxfId="692" priority="36" stopIfTrue="1" operator="equal">
      <formula>"Napkin Hs"</formula>
    </cfRule>
  </conditionalFormatting>
  <conditionalFormatting sqref="C129">
    <cfRule type="cellIs" dxfId="691" priority="34" stopIfTrue="1" operator="equal">
      <formula>"Napkin Hs"</formula>
    </cfRule>
  </conditionalFormatting>
  <conditionalFormatting sqref="C129">
    <cfRule type="cellIs" dxfId="690" priority="31" stopIfTrue="1" operator="equal">
      <formula>"Towel"</formula>
    </cfRule>
    <cfRule type="cellIs" dxfId="689" priority="32" stopIfTrue="1" operator="equal">
      <formula>"Napkin Hs"</formula>
    </cfRule>
  </conditionalFormatting>
  <conditionalFormatting sqref="C129">
    <cfRule type="cellIs" dxfId="688" priority="33" stopIfTrue="1" operator="equal">
      <formula>"Towel"</formula>
    </cfRule>
  </conditionalFormatting>
  <conditionalFormatting sqref="B136:C136">
    <cfRule type="cellIs" dxfId="687" priority="29" stopIfTrue="1" operator="equal">
      <formula>"Towel"</formula>
    </cfRule>
    <cfRule type="cellIs" dxfId="686" priority="30" stopIfTrue="1" operator="equal">
      <formula>"Napkin Hs"</formula>
    </cfRule>
  </conditionalFormatting>
  <conditionalFormatting sqref="C136">
    <cfRule type="cellIs" dxfId="685" priority="27" stopIfTrue="1" operator="equal">
      <formula>"Towel"</formula>
    </cfRule>
    <cfRule type="cellIs" dxfId="684" priority="28" stopIfTrue="1" operator="equal">
      <formula>"Napkin Hs"</formula>
    </cfRule>
  </conditionalFormatting>
  <conditionalFormatting sqref="C136">
    <cfRule type="cellIs" dxfId="683" priority="25" stopIfTrue="1" operator="equal">
      <formula>"Towel"</formula>
    </cfRule>
    <cfRule type="cellIs" dxfId="682" priority="26" stopIfTrue="1" operator="equal">
      <formula>"Napkin Hs"</formula>
    </cfRule>
  </conditionalFormatting>
  <conditionalFormatting sqref="B135:C135">
    <cfRule type="cellIs" dxfId="681" priority="23" stopIfTrue="1" operator="equal">
      <formula>"Towel"</formula>
    </cfRule>
    <cfRule type="cellIs" dxfId="680" priority="24" stopIfTrue="1" operator="equal">
      <formula>"Napkin Hs"</formula>
    </cfRule>
  </conditionalFormatting>
  <conditionalFormatting sqref="C135">
    <cfRule type="cellIs" dxfId="679" priority="22" stopIfTrue="1" operator="equal">
      <formula>"Napkin Hs"</formula>
    </cfRule>
  </conditionalFormatting>
  <conditionalFormatting sqref="C135">
    <cfRule type="cellIs" dxfId="678" priority="19" stopIfTrue="1" operator="equal">
      <formula>"Towel"</formula>
    </cfRule>
    <cfRule type="cellIs" dxfId="677" priority="20" stopIfTrue="1" operator="equal">
      <formula>"Napkin Hs"</formula>
    </cfRule>
  </conditionalFormatting>
  <conditionalFormatting sqref="C135">
    <cfRule type="cellIs" dxfId="676" priority="21" stopIfTrue="1" operator="equal">
      <formula>"Towel"</formula>
    </cfRule>
  </conditionalFormatting>
  <conditionalFormatting sqref="B134:C134">
    <cfRule type="cellIs" dxfId="675" priority="17" stopIfTrue="1" operator="equal">
      <formula>"Towel"</formula>
    </cfRule>
    <cfRule type="cellIs" dxfId="674" priority="18" stopIfTrue="1" operator="equal">
      <formula>"Napkin Hs"</formula>
    </cfRule>
  </conditionalFormatting>
  <conditionalFormatting sqref="C134">
    <cfRule type="cellIs" dxfId="673" priority="16" stopIfTrue="1" operator="equal">
      <formula>"Napkin Hs"</formula>
    </cfRule>
  </conditionalFormatting>
  <conditionalFormatting sqref="C134">
    <cfRule type="cellIs" dxfId="672" priority="13" stopIfTrue="1" operator="equal">
      <formula>"Towel"</formula>
    </cfRule>
    <cfRule type="cellIs" dxfId="671" priority="14" stopIfTrue="1" operator="equal">
      <formula>"Napkin Hs"</formula>
    </cfRule>
  </conditionalFormatting>
  <conditionalFormatting sqref="C134">
    <cfRule type="cellIs" dxfId="670" priority="15" stopIfTrue="1" operator="equal">
      <formula>"Towel"</formula>
    </cfRule>
  </conditionalFormatting>
  <conditionalFormatting sqref="B133:C133">
    <cfRule type="cellIs" dxfId="669" priority="5" stopIfTrue="1" operator="equal">
      <formula>"Towel"</formula>
    </cfRule>
    <cfRule type="cellIs" dxfId="668" priority="6" stopIfTrue="1" operator="equal">
      <formula>"Napkin Hs"</formula>
    </cfRule>
  </conditionalFormatting>
  <conditionalFormatting sqref="C133">
    <cfRule type="cellIs" dxfId="667" priority="4" stopIfTrue="1" operator="equal">
      <formula>"Napkin Hs"</formula>
    </cfRule>
  </conditionalFormatting>
  <conditionalFormatting sqref="C133">
    <cfRule type="cellIs" dxfId="666" priority="1" stopIfTrue="1" operator="equal">
      <formula>"Towel"</formula>
    </cfRule>
    <cfRule type="cellIs" dxfId="665" priority="2" stopIfTrue="1" operator="equal">
      <formula>"Napkin Hs"</formula>
    </cfRule>
  </conditionalFormatting>
  <conditionalFormatting sqref="C133">
    <cfRule type="cellIs" dxfId="664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14"/>
  <sheetViews>
    <sheetView zoomScale="90" zoomScaleNormal="90" workbookViewId="0">
      <pane xSplit="6" ySplit="6" topLeftCell="G137" activePane="bottomRight" state="frozen"/>
      <selection pane="topRight" activeCell="F1" sqref="F1"/>
      <selection pane="bottomLeft" activeCell="A7" sqref="A7"/>
      <selection pane="bottomRight" activeCell="K138" sqref="K138"/>
    </sheetView>
  </sheetViews>
  <sheetFormatPr defaultColWidth="10.28515625" defaultRowHeight="12"/>
  <cols>
    <col min="1" max="1" width="12.28515625" style="30" customWidth="1"/>
    <col min="2" max="3" width="14.140625" style="30" customWidth="1"/>
    <col min="4" max="4" width="10.28515625" style="30" customWidth="1"/>
    <col min="5" max="5" width="7.5703125" style="30" bestFit="1" customWidth="1"/>
    <col min="6" max="6" width="7" style="55" customWidth="1"/>
    <col min="7" max="9" width="10.28515625" style="30" customWidth="1"/>
    <col min="10" max="11" width="10.28515625" style="84" customWidth="1"/>
    <col min="12" max="13" width="12.7109375" style="56" customWidth="1"/>
    <col min="14" max="15" width="10.28515625" style="30" customWidth="1"/>
    <col min="16" max="16" width="16.85546875" style="30" bestFit="1" customWidth="1"/>
    <col min="17" max="17" width="12.7109375" style="331" customWidth="1"/>
    <col min="18" max="19" width="10.28515625" style="30" customWidth="1"/>
    <col min="20" max="20" width="10.7109375" style="30" customWidth="1"/>
    <col min="21" max="21" width="10.28515625" style="30" customWidth="1"/>
    <col min="22" max="22" width="12.28515625" style="30" customWidth="1"/>
    <col min="23" max="23" width="13" style="30" customWidth="1"/>
    <col min="24" max="24" width="10.28515625" style="30" customWidth="1"/>
    <col min="25" max="25" width="10.140625" style="30" customWidth="1"/>
    <col min="26" max="28" width="10.28515625" style="30" customWidth="1"/>
    <col min="29" max="29" width="12" style="30" customWidth="1"/>
    <col min="30" max="30" width="11.42578125" style="30" bestFit="1" customWidth="1"/>
    <col min="31" max="31" width="41.42578125" style="30" customWidth="1"/>
    <col min="32" max="38" width="10.28515625" style="30" customWidth="1"/>
    <col min="39" max="39" width="11.7109375" style="30" customWidth="1"/>
    <col min="40" max="41" width="10.28515625" style="30" customWidth="1"/>
    <col min="42" max="43" width="12.42578125" style="30" customWidth="1"/>
    <col min="44" max="44" width="29.7109375" style="30" bestFit="1" customWidth="1"/>
    <col min="45" max="16384" width="10.28515625" style="30"/>
  </cols>
  <sheetData>
    <row r="1" spans="1:58" s="23" customFormat="1" ht="15.75">
      <c r="A1" s="22" t="s">
        <v>186</v>
      </c>
      <c r="G1" s="24"/>
      <c r="H1" s="24"/>
      <c r="I1" s="24"/>
      <c r="J1" s="81"/>
      <c r="K1" s="81"/>
      <c r="L1" s="25"/>
      <c r="M1" s="25"/>
      <c r="O1" s="24"/>
      <c r="P1" s="26"/>
      <c r="Q1" s="24"/>
      <c r="R1" s="26"/>
      <c r="S1" s="26"/>
      <c r="W1" s="26"/>
      <c r="X1" s="27"/>
      <c r="Y1" s="27"/>
      <c r="Z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</row>
    <row r="2" spans="1:58" s="23" customFormat="1">
      <c r="A2" s="91"/>
      <c r="G2" s="24"/>
      <c r="H2" s="24"/>
      <c r="I2" s="24"/>
      <c r="J2" s="81"/>
      <c r="K2" s="81"/>
      <c r="L2" s="25"/>
      <c r="M2" s="25"/>
      <c r="O2" s="24"/>
      <c r="P2" s="26"/>
      <c r="Q2" s="24"/>
      <c r="R2" s="26"/>
      <c r="S2" s="26"/>
      <c r="W2" s="26"/>
      <c r="X2" s="27"/>
      <c r="Y2" s="27"/>
      <c r="Z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</row>
    <row r="3" spans="1:58" ht="24" customHeight="1">
      <c r="A3" s="650" t="s">
        <v>8</v>
      </c>
      <c r="B3" s="650" t="s">
        <v>9</v>
      </c>
      <c r="C3" s="650" t="s">
        <v>181</v>
      </c>
      <c r="D3" s="650" t="s">
        <v>91</v>
      </c>
      <c r="E3" s="650" t="s">
        <v>92</v>
      </c>
      <c r="F3" s="650" t="s">
        <v>93</v>
      </c>
      <c r="G3" s="679" t="s">
        <v>94</v>
      </c>
      <c r="H3" s="680"/>
      <c r="I3" s="680"/>
      <c r="J3" s="680"/>
      <c r="K3" s="681"/>
      <c r="L3" s="685" t="s">
        <v>95</v>
      </c>
      <c r="M3" s="686"/>
      <c r="N3" s="687"/>
      <c r="O3" s="675" t="s">
        <v>96</v>
      </c>
      <c r="P3" s="660" t="s">
        <v>108</v>
      </c>
      <c r="Q3" s="675" t="s">
        <v>97</v>
      </c>
      <c r="R3" s="667" t="s">
        <v>98</v>
      </c>
      <c r="S3" s="667" t="s">
        <v>99</v>
      </c>
      <c r="T3" s="650" t="s">
        <v>153</v>
      </c>
      <c r="U3" s="650" t="s">
        <v>152</v>
      </c>
      <c r="V3" s="650" t="s">
        <v>154</v>
      </c>
      <c r="W3" s="667" t="s">
        <v>144</v>
      </c>
      <c r="X3" s="703" t="s">
        <v>101</v>
      </c>
      <c r="Y3" s="703" t="s">
        <v>293</v>
      </c>
      <c r="Z3" s="667" t="s">
        <v>102</v>
      </c>
      <c r="AA3" s="650" t="s">
        <v>155</v>
      </c>
      <c r="AB3" s="650" t="s">
        <v>166</v>
      </c>
      <c r="AC3" s="650" t="s">
        <v>164</v>
      </c>
      <c r="AD3" s="650" t="s">
        <v>126</v>
      </c>
      <c r="AE3" s="650" t="s">
        <v>127</v>
      </c>
      <c r="AF3" s="678" t="s">
        <v>128</v>
      </c>
      <c r="AG3" s="678"/>
      <c r="AH3" s="678"/>
      <c r="AI3" s="678"/>
      <c r="AJ3" s="678"/>
      <c r="AK3" s="678"/>
      <c r="AL3" s="678"/>
      <c r="AM3" s="672" t="s">
        <v>129</v>
      </c>
      <c r="AN3" s="656" t="s">
        <v>103</v>
      </c>
      <c r="AO3" s="656"/>
      <c r="AP3" s="656"/>
      <c r="AQ3" s="656"/>
      <c r="AR3" s="656"/>
      <c r="AS3" s="657" t="s">
        <v>104</v>
      </c>
      <c r="AT3" s="668" t="s">
        <v>289</v>
      </c>
      <c r="AU3" s="669"/>
      <c r="AV3" s="652" t="s">
        <v>130</v>
      </c>
      <c r="AW3" s="653"/>
      <c r="AX3" s="654" t="s">
        <v>130</v>
      </c>
      <c r="AY3" s="655"/>
      <c r="AZ3" s="661" t="s">
        <v>305</v>
      </c>
      <c r="BA3" s="666" t="s">
        <v>105</v>
      </c>
      <c r="BB3" s="698" t="s">
        <v>106</v>
      </c>
      <c r="BC3" s="698" t="s">
        <v>107</v>
      </c>
      <c r="BD3" s="692" t="s">
        <v>390</v>
      </c>
      <c r="BE3" s="695" t="s">
        <v>391</v>
      </c>
      <c r="BF3" s="698" t="s">
        <v>392</v>
      </c>
    </row>
    <row r="4" spans="1:58" ht="12" customHeight="1">
      <c r="A4" s="651"/>
      <c r="B4" s="651"/>
      <c r="C4" s="651"/>
      <c r="D4" s="651"/>
      <c r="E4" s="651"/>
      <c r="F4" s="651"/>
      <c r="G4" s="682"/>
      <c r="H4" s="683"/>
      <c r="I4" s="683"/>
      <c r="J4" s="683"/>
      <c r="K4" s="684"/>
      <c r="L4" s="688"/>
      <c r="M4" s="689"/>
      <c r="N4" s="690"/>
      <c r="O4" s="676"/>
      <c r="P4" s="648"/>
      <c r="Q4" s="676"/>
      <c r="R4" s="691"/>
      <c r="S4" s="691"/>
      <c r="T4" s="651"/>
      <c r="U4" s="651"/>
      <c r="V4" s="651"/>
      <c r="W4" s="691"/>
      <c r="X4" s="704"/>
      <c r="Y4" s="704"/>
      <c r="Z4" s="691"/>
      <c r="AA4" s="651"/>
      <c r="AB4" s="651"/>
      <c r="AC4" s="651"/>
      <c r="AD4" s="651"/>
      <c r="AE4" s="651"/>
      <c r="AF4" s="700" t="s">
        <v>131</v>
      </c>
      <c r="AG4" s="701"/>
      <c r="AH4" s="702"/>
      <c r="AI4" s="648" t="s">
        <v>220</v>
      </c>
      <c r="AJ4" s="648" t="s">
        <v>15</v>
      </c>
      <c r="AK4" s="648" t="s">
        <v>132</v>
      </c>
      <c r="AL4" s="648" t="s">
        <v>18</v>
      </c>
      <c r="AM4" s="673"/>
      <c r="AN4" s="659" t="s">
        <v>109</v>
      </c>
      <c r="AO4" s="659" t="s">
        <v>15</v>
      </c>
      <c r="AP4" s="659" t="s">
        <v>110</v>
      </c>
      <c r="AQ4" s="659" t="s">
        <v>18</v>
      </c>
      <c r="AR4" s="666" t="s">
        <v>111</v>
      </c>
      <c r="AS4" s="657"/>
      <c r="AT4" s="670"/>
      <c r="AU4" s="671"/>
      <c r="AV4" s="505" t="s">
        <v>6</v>
      </c>
      <c r="AW4" s="505" t="s">
        <v>133</v>
      </c>
      <c r="AX4" s="506" t="s">
        <v>6</v>
      </c>
      <c r="AY4" s="507" t="s">
        <v>133</v>
      </c>
      <c r="AZ4" s="662"/>
      <c r="BA4" s="666"/>
      <c r="BB4" s="698"/>
      <c r="BC4" s="698"/>
      <c r="BD4" s="693"/>
      <c r="BE4" s="696"/>
      <c r="BF4" s="698"/>
    </row>
    <row r="5" spans="1:58" s="33" customFormat="1" ht="48">
      <c r="A5" s="651"/>
      <c r="B5" s="651"/>
      <c r="C5" s="677"/>
      <c r="D5" s="651"/>
      <c r="E5" s="651"/>
      <c r="F5" s="651"/>
      <c r="G5" s="596" t="s">
        <v>112</v>
      </c>
      <c r="H5" s="595" t="s">
        <v>113</v>
      </c>
      <c r="I5" s="31" t="s">
        <v>114</v>
      </c>
      <c r="J5" s="82" t="s">
        <v>115</v>
      </c>
      <c r="K5" s="82" t="s">
        <v>100</v>
      </c>
      <c r="L5" s="32" t="s">
        <v>116</v>
      </c>
      <c r="M5" s="32" t="s">
        <v>117</v>
      </c>
      <c r="N5" s="522" t="s">
        <v>118</v>
      </c>
      <c r="O5" s="676"/>
      <c r="P5" s="649"/>
      <c r="Q5" s="676"/>
      <c r="R5" s="691"/>
      <c r="S5" s="691"/>
      <c r="T5" s="651"/>
      <c r="U5" s="651"/>
      <c r="V5" s="651"/>
      <c r="W5" s="691"/>
      <c r="X5" s="704"/>
      <c r="Y5" s="705"/>
      <c r="Z5" s="691"/>
      <c r="AA5" s="651"/>
      <c r="AB5" s="677"/>
      <c r="AC5" s="651"/>
      <c r="AD5" s="677"/>
      <c r="AE5" s="651"/>
      <c r="AF5" s="435" t="s">
        <v>294</v>
      </c>
      <c r="AG5" s="521" t="s">
        <v>295</v>
      </c>
      <c r="AH5" s="521" t="s">
        <v>296</v>
      </c>
      <c r="AI5" s="649"/>
      <c r="AJ5" s="649"/>
      <c r="AK5" s="649"/>
      <c r="AL5" s="649"/>
      <c r="AM5" s="674"/>
      <c r="AN5" s="660"/>
      <c r="AO5" s="660"/>
      <c r="AP5" s="660"/>
      <c r="AQ5" s="660"/>
      <c r="AR5" s="667"/>
      <c r="AS5" s="658"/>
      <c r="AT5" s="523" t="s">
        <v>290</v>
      </c>
      <c r="AU5" s="523" t="s">
        <v>291</v>
      </c>
      <c r="AV5" s="508" t="s">
        <v>292</v>
      </c>
      <c r="AW5" s="508" t="s">
        <v>292</v>
      </c>
      <c r="AX5" s="506" t="s">
        <v>17</v>
      </c>
      <c r="AY5" s="506" t="s">
        <v>17</v>
      </c>
      <c r="AZ5" s="663"/>
      <c r="BA5" s="667"/>
      <c r="BB5" s="650"/>
      <c r="BC5" s="650"/>
      <c r="BD5" s="694"/>
      <c r="BE5" s="697"/>
      <c r="BF5" s="699"/>
    </row>
    <row r="6" spans="1:58" ht="12.75" customHeight="1">
      <c r="A6" s="41">
        <f>+Report1!A9</f>
        <v>45839</v>
      </c>
      <c r="B6" s="42" t="s">
        <v>412</v>
      </c>
      <c r="C6" s="406">
        <f>(M6*E6*O6*Q6)/100000000</f>
        <v>22.048230743895346</v>
      </c>
      <c r="D6" s="42" t="s">
        <v>301</v>
      </c>
      <c r="E6" s="43">
        <v>12.5</v>
      </c>
      <c r="F6" s="43">
        <v>1</v>
      </c>
      <c r="G6" s="491">
        <v>1230</v>
      </c>
      <c r="H6" s="45">
        <v>0.23</v>
      </c>
      <c r="I6" s="46">
        <v>0.88</v>
      </c>
      <c r="J6" s="83">
        <f>E6*G6*(1-H6)*1440/1000000*2.74</f>
        <v>46.710971999999998</v>
      </c>
      <c r="K6" s="83">
        <f>(IF(G6&lt;L6,L6,G6)*(1-IF(H6&lt;N6,H6,N6))*E6*O6*Q6)/100000000</f>
        <v>23.001744149999997</v>
      </c>
      <c r="L6" s="36">
        <v>1179.0116279069769</v>
      </c>
      <c r="M6" s="36">
        <v>907.838953488372</v>
      </c>
      <c r="N6" s="47">
        <f>1-(M6/L6)</f>
        <v>0.2300000000000002</v>
      </c>
      <c r="O6" s="48">
        <f>+'Trim Rwd'!H4</f>
        <v>257</v>
      </c>
      <c r="P6" s="49">
        <f>O6*(Q6-R6-S6)</f>
        <v>165508</v>
      </c>
      <c r="Q6" s="48">
        <f>834-78</f>
        <v>756</v>
      </c>
      <c r="R6" s="492">
        <f>146-78</f>
        <v>68</v>
      </c>
      <c r="S6" s="492">
        <v>44</v>
      </c>
      <c r="T6" s="38">
        <f>E6*M6*O6*Q6/100000000</f>
        <v>22.048230743895346</v>
      </c>
      <c r="U6" s="38">
        <f>E6*M6*O6*(Q6-R6-S6)/100000000</f>
        <v>18.781826189244185</v>
      </c>
      <c r="V6" s="38">
        <f>E6*G6*(1-N6)*O6/100*(R6+S6)/1000000</f>
        <v>3.4076657999999989</v>
      </c>
      <c r="W6" s="38">
        <f>+'1'!K7/1000</f>
        <v>21.164999999999999</v>
      </c>
      <c r="X6" s="493">
        <f>SUM(W6:W10)/SUM(K6:K10)</f>
        <v>0.84102784932927188</v>
      </c>
      <c r="Y6" s="212">
        <v>0</v>
      </c>
      <c r="Z6" s="38">
        <f>+'1'!D25/1000</f>
        <v>0</v>
      </c>
      <c r="AA6" s="50">
        <f>SUM(U6:U10)-SUM(W6:W10)-SUM(Z6:Z10)-SUM(Y6:Y10)</f>
        <v>0.79356530491745758</v>
      </c>
      <c r="AB6" s="50">
        <f>(SUM(K6:K10)-SUM(W6:W10)-SUM(Y6:Y10)-SUM(Z6:Z10)-SUM(AC6:AC10)-SUM(V6:V10))-AA6</f>
        <v>0.1612758189778889</v>
      </c>
      <c r="AC6" s="38">
        <f>K6-T6</f>
        <v>0.9535134061046513</v>
      </c>
      <c r="AD6" s="38">
        <f>+AM6+BA6</f>
        <v>21</v>
      </c>
      <c r="AE6" s="231" t="s">
        <v>413</v>
      </c>
      <c r="AF6" s="38">
        <v>21</v>
      </c>
      <c r="AG6" s="38"/>
      <c r="AH6" s="38"/>
      <c r="AI6" s="494"/>
      <c r="AJ6" s="38"/>
      <c r="AK6" s="38"/>
      <c r="AL6" s="38"/>
      <c r="AM6" s="38">
        <f t="shared" ref="AM6:AM10" si="0">SUM(AF6:AL6)+AT6+AV6+AX6</f>
        <v>21</v>
      </c>
      <c r="AN6" s="38"/>
      <c r="AO6" s="38"/>
      <c r="AP6" s="38"/>
      <c r="AQ6" s="38"/>
      <c r="AR6" s="38">
        <f>SUM(AN6:AQ6)</f>
        <v>0</v>
      </c>
      <c r="AS6" s="38"/>
      <c r="AT6" s="38"/>
      <c r="AU6" s="38"/>
      <c r="AV6" s="38"/>
      <c r="AW6" s="38"/>
      <c r="AX6" s="38"/>
      <c r="AY6" s="38"/>
      <c r="AZ6" s="38"/>
      <c r="BA6" s="38">
        <f>+AR6+AS6+AU6+AW6+AY6+AZ6</f>
        <v>0</v>
      </c>
      <c r="BB6" s="34">
        <v>6</v>
      </c>
      <c r="BC6" s="52"/>
      <c r="BD6" s="52">
        <v>3</v>
      </c>
      <c r="BE6" s="34"/>
      <c r="BF6" s="52"/>
    </row>
    <row r="7" spans="1:58" ht="12.95" customHeight="1">
      <c r="A7" s="41"/>
      <c r="B7" s="42" t="s">
        <v>7</v>
      </c>
      <c r="C7" s="406">
        <f>(M7*E7*O7*Q7)/100000000</f>
        <v>18.701611929000002</v>
      </c>
      <c r="D7" s="42" t="s">
        <v>301</v>
      </c>
      <c r="E7" s="43">
        <v>13</v>
      </c>
      <c r="F7" s="43">
        <v>1</v>
      </c>
      <c r="G7" s="491">
        <v>1230</v>
      </c>
      <c r="H7" s="45">
        <v>0.22</v>
      </c>
      <c r="I7" s="46">
        <v>0.88</v>
      </c>
      <c r="J7" s="83">
        <f>E7*G7*(1-H7)*1440/1000000*2.74</f>
        <v>49.210312320000007</v>
      </c>
      <c r="K7" s="83">
        <f>(IF(G7&lt;L7,L7,G7)*(1-IF(H7&lt;N7,H7,N7))*E7*O7*Q7)/100000000</f>
        <v>19.008755298000001</v>
      </c>
      <c r="L7" s="36">
        <v>1225.8415841584158</v>
      </c>
      <c r="M7" s="36">
        <v>943.89801980198013</v>
      </c>
      <c r="N7" s="47">
        <f>1-(M7/L7)</f>
        <v>0.22999999999999998</v>
      </c>
      <c r="O7" s="48">
        <f>+'Trim Rwd'!H5</f>
        <v>251.5</v>
      </c>
      <c r="P7" s="49">
        <f>O7*(Q7-R7-S7)</f>
        <v>141343</v>
      </c>
      <c r="Q7" s="48">
        <v>606</v>
      </c>
      <c r="R7" s="492">
        <v>0</v>
      </c>
      <c r="S7" s="492">
        <v>44</v>
      </c>
      <c r="T7" s="38">
        <f>E7*M7*O7*Q7/100000000</f>
        <v>18.701611929000002</v>
      </c>
      <c r="U7" s="38">
        <f>E7*M7*O7*(Q7-R7-S7)/100000000</f>
        <v>17.343739115673269</v>
      </c>
      <c r="V7" s="38">
        <f>E7*G7*(1-N7)*O7/100*(R7+S7)/1000000</f>
        <v>1.3624791180000002</v>
      </c>
      <c r="W7" s="38">
        <f>+'1'!K8/1000</f>
        <v>14.167</v>
      </c>
      <c r="X7" s="39"/>
      <c r="Y7" s="212"/>
      <c r="Z7" s="38"/>
      <c r="AA7" s="38"/>
      <c r="AB7" s="38"/>
      <c r="AC7" s="38"/>
      <c r="AD7" s="38">
        <f>+AM7+BA7</f>
        <v>10</v>
      </c>
      <c r="AE7" s="231" t="s">
        <v>385</v>
      </c>
      <c r="AF7" s="38"/>
      <c r="AG7" s="38">
        <v>10</v>
      </c>
      <c r="AH7" s="38"/>
      <c r="AI7" s="494"/>
      <c r="AJ7" s="38"/>
      <c r="AK7" s="38"/>
      <c r="AL7" s="38"/>
      <c r="AM7" s="38">
        <f t="shared" si="0"/>
        <v>10</v>
      </c>
      <c r="AN7" s="84"/>
      <c r="AO7" s="38"/>
      <c r="AP7" s="38"/>
      <c r="AQ7" s="38"/>
      <c r="AR7" s="38">
        <f t="shared" ref="AR7:AR10" si="1">SUM(AN7:AQ7)</f>
        <v>0</v>
      </c>
      <c r="AS7" s="38"/>
      <c r="AT7" s="38"/>
      <c r="AU7" s="38"/>
      <c r="AV7" s="38"/>
      <c r="AW7" s="38"/>
      <c r="AX7" s="38"/>
      <c r="AY7" s="38"/>
      <c r="AZ7" s="38"/>
      <c r="BA7" s="38">
        <f>+AR7+AS7+AU7+AW7+AY7+AZ7</f>
        <v>0</v>
      </c>
      <c r="BB7" s="51"/>
      <c r="BC7" s="52">
        <v>5</v>
      </c>
      <c r="BD7" s="52"/>
      <c r="BE7" s="51"/>
      <c r="BF7" s="52"/>
    </row>
    <row r="8" spans="1:58" ht="12.95" customHeight="1">
      <c r="A8" s="41"/>
      <c r="B8" s="42"/>
      <c r="C8" s="406"/>
      <c r="D8" s="42"/>
      <c r="E8" s="43"/>
      <c r="F8" s="43"/>
      <c r="G8" s="44"/>
      <c r="H8" s="45"/>
      <c r="I8" s="46"/>
      <c r="J8" s="83"/>
      <c r="K8" s="83"/>
      <c r="L8" s="36"/>
      <c r="M8" s="36"/>
      <c r="N8" s="47"/>
      <c r="O8" s="48"/>
      <c r="P8" s="49"/>
      <c r="Q8" s="48"/>
      <c r="R8" s="492"/>
      <c r="S8" s="492"/>
      <c r="T8" s="38"/>
      <c r="U8" s="38"/>
      <c r="V8" s="38"/>
      <c r="W8" s="38"/>
      <c r="X8" s="39"/>
      <c r="Y8" s="212"/>
      <c r="Z8" s="38"/>
      <c r="AA8" s="38"/>
      <c r="AB8" s="38"/>
      <c r="AC8" s="38"/>
      <c r="AD8" s="38">
        <f>+AM8+BA8</f>
        <v>39</v>
      </c>
      <c r="AE8" s="231" t="s">
        <v>414</v>
      </c>
      <c r="AF8" s="34"/>
      <c r="AG8" s="34"/>
      <c r="AH8" s="34">
        <v>39</v>
      </c>
      <c r="AJ8" s="38"/>
      <c r="AK8" s="38"/>
      <c r="AL8" s="38"/>
      <c r="AM8" s="38">
        <f t="shared" si="0"/>
        <v>39</v>
      </c>
      <c r="AN8" s="38"/>
      <c r="AO8" s="38"/>
      <c r="AP8" s="38"/>
      <c r="AQ8" s="38"/>
      <c r="AR8" s="38">
        <f t="shared" si="1"/>
        <v>0</v>
      </c>
      <c r="AS8" s="38"/>
      <c r="AT8" s="38"/>
      <c r="AU8" s="38"/>
      <c r="AV8" s="38"/>
      <c r="AW8" s="38"/>
      <c r="AX8" s="38"/>
      <c r="AY8" s="38"/>
      <c r="AZ8" s="38"/>
      <c r="BA8" s="38">
        <f>+AR8+AS8+AU8+AW8+AY8+AZ8</f>
        <v>0</v>
      </c>
      <c r="BB8" s="34"/>
      <c r="BC8" s="495"/>
      <c r="BD8" s="495"/>
      <c r="BE8" s="34"/>
      <c r="BF8" s="495"/>
    </row>
    <row r="9" spans="1:58" ht="12.95" customHeight="1">
      <c r="A9" s="41"/>
      <c r="B9" s="42"/>
      <c r="C9" s="406"/>
      <c r="D9" s="42"/>
      <c r="E9" s="43"/>
      <c r="F9" s="43"/>
      <c r="G9" s="44"/>
      <c r="H9" s="45"/>
      <c r="I9" s="46"/>
      <c r="J9" s="83"/>
      <c r="K9" s="83"/>
      <c r="L9" s="36"/>
      <c r="M9" s="36"/>
      <c r="N9" s="47"/>
      <c r="O9" s="48"/>
      <c r="P9" s="49"/>
      <c r="Q9" s="35"/>
      <c r="R9" s="492"/>
      <c r="S9" s="492"/>
      <c r="T9" s="38"/>
      <c r="U9" s="38"/>
      <c r="V9" s="38"/>
      <c r="W9" s="38"/>
      <c r="X9" s="39"/>
      <c r="Y9" s="212"/>
      <c r="Z9" s="38"/>
      <c r="AA9" s="38"/>
      <c r="AB9" s="38"/>
      <c r="AC9" s="38"/>
      <c r="AD9" s="38">
        <f>+AM9+BA9</f>
        <v>18</v>
      </c>
      <c r="AE9" s="234" t="s">
        <v>416</v>
      </c>
      <c r="AF9" s="38"/>
      <c r="AG9" s="38"/>
      <c r="AH9" s="38"/>
      <c r="AI9" s="494"/>
      <c r="AJ9" s="38"/>
      <c r="AK9" s="38"/>
      <c r="AL9" s="38"/>
      <c r="AM9" s="38">
        <f t="shared" si="0"/>
        <v>18</v>
      </c>
      <c r="AN9" s="38"/>
      <c r="AO9" s="38"/>
      <c r="AP9" s="38"/>
      <c r="AQ9" s="38"/>
      <c r="AR9" s="38">
        <f t="shared" si="1"/>
        <v>0</v>
      </c>
      <c r="AS9" s="38"/>
      <c r="AT9" s="38"/>
      <c r="AU9" s="38"/>
      <c r="AV9" s="38">
        <v>18</v>
      </c>
      <c r="AW9" s="38"/>
      <c r="AX9" s="38"/>
      <c r="AY9" s="38"/>
      <c r="AZ9" s="38"/>
      <c r="BA9" s="38">
        <f>+AR9+AS9+AU9+AW9+AY9+AZ9</f>
        <v>0</v>
      </c>
      <c r="BB9" s="51"/>
      <c r="BC9" s="52"/>
      <c r="BD9" s="52"/>
      <c r="BE9" s="51"/>
      <c r="BF9" s="52"/>
    </row>
    <row r="10" spans="1:58" ht="12.95" customHeight="1">
      <c r="A10" s="41"/>
      <c r="B10" s="42"/>
      <c r="C10" s="406"/>
      <c r="D10" s="42"/>
      <c r="E10" s="43"/>
      <c r="F10" s="43"/>
      <c r="G10" s="44"/>
      <c r="H10" s="45"/>
      <c r="I10" s="46"/>
      <c r="J10" s="83"/>
      <c r="K10" s="83"/>
      <c r="L10" s="36"/>
      <c r="M10" s="36"/>
      <c r="N10" s="47"/>
      <c r="O10" s="48"/>
      <c r="P10" s="49"/>
      <c r="Q10" s="35"/>
      <c r="R10" s="492"/>
      <c r="S10" s="492"/>
      <c r="T10" s="38"/>
      <c r="U10" s="38"/>
      <c r="V10" s="38"/>
      <c r="W10" s="38"/>
      <c r="X10" s="39"/>
      <c r="Y10" s="212"/>
      <c r="Z10" s="38"/>
      <c r="AA10" s="38"/>
      <c r="AB10" s="38"/>
      <c r="AC10" s="38"/>
      <c r="AD10" s="38">
        <f>+AM10+BA10</f>
        <v>68</v>
      </c>
      <c r="AE10" s="234" t="s">
        <v>415</v>
      </c>
      <c r="AF10" s="38"/>
      <c r="AG10" s="38"/>
      <c r="AH10" s="38"/>
      <c r="AI10" s="494"/>
      <c r="AJ10" s="38"/>
      <c r="AK10" s="38"/>
      <c r="AL10" s="38"/>
      <c r="AM10" s="38">
        <f t="shared" si="0"/>
        <v>0</v>
      </c>
      <c r="AN10" s="38"/>
      <c r="AO10" s="38"/>
      <c r="AP10" s="38"/>
      <c r="AQ10" s="38"/>
      <c r="AR10" s="38">
        <f t="shared" si="1"/>
        <v>0</v>
      </c>
      <c r="AS10" s="38"/>
      <c r="AT10" s="38"/>
      <c r="AU10" s="38"/>
      <c r="AV10" s="38"/>
      <c r="AW10" s="38">
        <f>146-78</f>
        <v>68</v>
      </c>
      <c r="AX10" s="38"/>
      <c r="AY10" s="38"/>
      <c r="AZ10" s="38"/>
      <c r="BA10" s="38">
        <f>+AR10+AS10+AU10+AW10+AY10+AZ10</f>
        <v>68</v>
      </c>
      <c r="BB10" s="51"/>
      <c r="BC10" s="52"/>
      <c r="BD10" s="52"/>
      <c r="BE10" s="34"/>
      <c r="BF10" s="52"/>
    </row>
    <row r="11" spans="1:58" ht="12.95" customHeight="1">
      <c r="A11" s="41"/>
      <c r="B11" s="42"/>
      <c r="C11" s="406"/>
      <c r="D11" s="42"/>
      <c r="E11" s="43"/>
      <c r="F11" s="43"/>
      <c r="G11" s="491"/>
      <c r="H11" s="45"/>
      <c r="I11" s="46"/>
      <c r="J11" s="83"/>
      <c r="K11" s="83"/>
      <c r="L11" s="36"/>
      <c r="M11" s="36"/>
      <c r="N11" s="47"/>
      <c r="O11" s="48"/>
      <c r="P11" s="49"/>
      <c r="Q11" s="48"/>
      <c r="R11" s="492"/>
      <c r="S11" s="492"/>
      <c r="T11" s="38"/>
      <c r="U11" s="38"/>
      <c r="V11" s="38"/>
      <c r="W11" s="38"/>
      <c r="X11" s="493"/>
      <c r="Y11" s="212"/>
      <c r="Z11" s="38"/>
      <c r="AA11" s="50"/>
      <c r="AB11" s="50"/>
      <c r="AC11" s="38"/>
      <c r="AD11" s="38"/>
      <c r="AE11" s="231"/>
      <c r="AF11" s="38"/>
      <c r="AG11" s="38"/>
      <c r="AH11" s="38"/>
      <c r="AI11" s="494"/>
      <c r="AJ11" s="38"/>
      <c r="AK11" s="38"/>
      <c r="AL11" s="38"/>
      <c r="AM11" s="38">
        <f t="shared" ref="AM11" si="2">SUM(AF11:AL11)+AT11+AV11+AX11</f>
        <v>0</v>
      </c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4"/>
      <c r="BC11" s="52"/>
      <c r="BD11" s="52"/>
      <c r="BE11" s="51"/>
      <c r="BF11" s="52"/>
    </row>
    <row r="12" spans="1:58" ht="12.75" customHeight="1">
      <c r="A12" s="41">
        <v>45840</v>
      </c>
      <c r="B12" s="42" t="s">
        <v>7</v>
      </c>
      <c r="C12" s="406">
        <f>(M12*E12*O12*Q12)/100000000</f>
        <v>38.838190520873788</v>
      </c>
      <c r="D12" s="42" t="s">
        <v>301</v>
      </c>
      <c r="E12" s="43">
        <v>13</v>
      </c>
      <c r="F12" s="43">
        <v>1</v>
      </c>
      <c r="G12" s="491">
        <v>1230</v>
      </c>
      <c r="H12" s="45">
        <v>0.22</v>
      </c>
      <c r="I12" s="46">
        <v>0.88</v>
      </c>
      <c r="J12" s="83">
        <f>E12*G12*(1-H12)*1440/1000000*2.74</f>
        <v>49.210312320000007</v>
      </c>
      <c r="K12" s="83">
        <f>(IF(G12&lt;L12,L12,G12)*(1-IF(H12&lt;N12,H12,N12))*E12*O12*Q12)/100000000</f>
        <v>39.836830409999997</v>
      </c>
      <c r="L12" s="36">
        <v>1214.7396293027361</v>
      </c>
      <c r="M12" s="36">
        <v>935.34951456310682</v>
      </c>
      <c r="N12" s="47">
        <f>1-(M12/L12)</f>
        <v>0.22999999999999998</v>
      </c>
      <c r="O12" s="48">
        <f>+'Trim Rwd'!H7</f>
        <v>251.5</v>
      </c>
      <c r="P12" s="49">
        <f>O12*(Q12-R12-S12)</f>
        <v>272877.5</v>
      </c>
      <c r="Q12" s="48">
        <f>1133+137</f>
        <v>1270</v>
      </c>
      <c r="R12" s="492">
        <v>137</v>
      </c>
      <c r="S12" s="492">
        <v>48</v>
      </c>
      <c r="T12" s="38">
        <f>E12*M12*O12*Q12/100000000</f>
        <v>38.838190520873788</v>
      </c>
      <c r="U12" s="38">
        <f>E12*M12*O12*(Q12-R12-S12)/100000000</f>
        <v>33.180658830825244</v>
      </c>
      <c r="V12" s="38">
        <f>E12*G12*(1-N12)*O12/100*(R12+S12)/1000000</f>
        <v>5.7286053825000005</v>
      </c>
      <c r="W12" s="38">
        <f>+'2'!K8/1000</f>
        <v>35.624000000000002</v>
      </c>
      <c r="X12" s="493">
        <f>SUM(W12:W15)/SUM(K12:K15)</f>
        <v>0.8370307996553662</v>
      </c>
      <c r="Y12" s="212">
        <v>0</v>
      </c>
      <c r="Z12" s="38">
        <f>+'1'!D31/1000</f>
        <v>0</v>
      </c>
      <c r="AA12" s="50">
        <f>SUM(U12:U15)-SUM(W12:W15)-SUM(Z12:Z15)-SUM(Y12:Y15)</f>
        <v>0.33100155082524196</v>
      </c>
      <c r="AB12" s="50">
        <f>(SUM(K12:K15)-SUM(W12:W15)-SUM(Y12:Y15)-SUM(Z12:Z15)-SUM(AC12:AC15)-SUM(V12:V15))-AA12</f>
        <v>-7.1073692451457227E-2</v>
      </c>
      <c r="AC12" s="38">
        <f>K12-T12</f>
        <v>0.99863988912620982</v>
      </c>
      <c r="AD12" s="38">
        <f>+AM12+BA12</f>
        <v>6</v>
      </c>
      <c r="AE12" s="231" t="s">
        <v>394</v>
      </c>
      <c r="AF12" s="38">
        <v>6</v>
      </c>
      <c r="AG12" s="38"/>
      <c r="AH12" s="38"/>
      <c r="AI12" s="494"/>
      <c r="AJ12" s="38"/>
      <c r="AK12" s="38"/>
      <c r="AL12" s="38"/>
      <c r="AM12" s="38">
        <f t="shared" ref="AM12:AM15" si="3">SUM(AF12:AL12)+AT12+AV12+AX12</f>
        <v>6</v>
      </c>
      <c r="AN12" s="38"/>
      <c r="AO12" s="38"/>
      <c r="AP12" s="38"/>
      <c r="AQ12" s="38"/>
      <c r="AR12" s="38">
        <f>SUM(AN12:AQ12)</f>
        <v>0</v>
      </c>
      <c r="AS12" s="38"/>
      <c r="AT12" s="38"/>
      <c r="AU12" s="38"/>
      <c r="AV12" s="38"/>
      <c r="AW12" s="38"/>
      <c r="AX12" s="38"/>
      <c r="AY12" s="38"/>
      <c r="AZ12" s="38"/>
      <c r="BA12" s="38">
        <f>+AR12+AS12+AU12+AW12+AY12+AZ12</f>
        <v>0</v>
      </c>
      <c r="BB12" s="34">
        <v>3</v>
      </c>
      <c r="BC12" s="52"/>
      <c r="BD12" s="52">
        <v>3</v>
      </c>
      <c r="BE12" s="34"/>
      <c r="BF12" s="52"/>
    </row>
    <row r="13" spans="1:58" ht="12.95" customHeight="1">
      <c r="A13" s="41"/>
      <c r="B13" s="42" t="s">
        <v>7</v>
      </c>
      <c r="C13" s="406">
        <f>(M13*E13*O13*Q13)/100000000</f>
        <v>4.7529266399999992</v>
      </c>
      <c r="D13" s="42" t="s">
        <v>301</v>
      </c>
      <c r="E13" s="43">
        <v>12</v>
      </c>
      <c r="F13" s="43">
        <v>1</v>
      </c>
      <c r="G13" s="491">
        <v>1230</v>
      </c>
      <c r="H13" s="45">
        <v>0.23</v>
      </c>
      <c r="I13" s="46">
        <v>0.88</v>
      </c>
      <c r="J13" s="83">
        <f>E13*G13*(1-H13)*1440/1000000*2.74</f>
        <v>44.842533120000006</v>
      </c>
      <c r="K13" s="83">
        <f>(IF(G13&lt;L13,L13,G13)*(1-IF(H13&lt;N13,H13,N13))*E13*O13*Q13)/100000000</f>
        <v>4.7529266399999992</v>
      </c>
      <c r="L13" s="36">
        <v>1230</v>
      </c>
      <c r="M13" s="36">
        <v>947.09999999999991</v>
      </c>
      <c r="N13" s="47">
        <f>1-(M13/L13)</f>
        <v>0.23000000000000009</v>
      </c>
      <c r="O13" s="48">
        <f>+'Trim Rwd'!H8</f>
        <v>246</v>
      </c>
      <c r="P13" s="49">
        <f>O13*(Q13-R13-S13)</f>
        <v>39360</v>
      </c>
      <c r="Q13" s="48">
        <v>170</v>
      </c>
      <c r="R13" s="492">
        <v>0</v>
      </c>
      <c r="S13" s="492">
        <v>10</v>
      </c>
      <c r="T13" s="38">
        <f>E13*M13*O13*Q13/100000000</f>
        <v>4.7529266399999992</v>
      </c>
      <c r="U13" s="38">
        <f>E13*M13*O13*(Q13-R13-S13)/100000000</f>
        <v>4.4733427199999998</v>
      </c>
      <c r="V13" s="38">
        <f>E13*G13*(1-N13)*O13/100*(R13+S13)/1000000</f>
        <v>0.27958391999999999</v>
      </c>
      <c r="W13" s="38">
        <f>+'2'!K9/1000</f>
        <v>1.6990000000000001</v>
      </c>
      <c r="X13" s="39"/>
      <c r="Y13" s="212"/>
      <c r="Z13" s="38"/>
      <c r="AA13" s="38"/>
      <c r="AB13" s="38"/>
      <c r="AC13" s="38"/>
      <c r="AD13" s="38">
        <f>+AM13+BA13</f>
        <v>8</v>
      </c>
      <c r="AE13" s="231" t="s">
        <v>385</v>
      </c>
      <c r="AF13" s="38"/>
      <c r="AG13" s="38">
        <v>8</v>
      </c>
      <c r="AH13" s="38"/>
      <c r="AI13" s="494"/>
      <c r="AJ13" s="38"/>
      <c r="AK13" s="38"/>
      <c r="AL13" s="38"/>
      <c r="AM13" s="38">
        <f t="shared" si="3"/>
        <v>8</v>
      </c>
      <c r="AN13" s="84"/>
      <c r="AO13" s="38"/>
      <c r="AP13" s="38"/>
      <c r="AQ13" s="38"/>
      <c r="AR13" s="38">
        <f t="shared" ref="AR13:AR15" si="4">SUM(AN13:AQ13)</f>
        <v>0</v>
      </c>
      <c r="AS13" s="38"/>
      <c r="AT13" s="38"/>
      <c r="AU13" s="38"/>
      <c r="AV13" s="38"/>
      <c r="AW13" s="38"/>
      <c r="AX13" s="38"/>
      <c r="AY13" s="38"/>
      <c r="AZ13" s="38"/>
      <c r="BA13" s="38">
        <f>+AR13+AS13+AU13+AW13+AY13+AZ13</f>
        <v>0</v>
      </c>
      <c r="BB13" s="51"/>
      <c r="BC13" s="52">
        <v>5</v>
      </c>
      <c r="BD13" s="52"/>
      <c r="BE13" s="51"/>
      <c r="BF13" s="52"/>
    </row>
    <row r="14" spans="1:58" ht="12.95" customHeight="1">
      <c r="A14" s="41"/>
      <c r="B14" s="42"/>
      <c r="C14" s="406"/>
      <c r="D14" s="42"/>
      <c r="E14" s="43"/>
      <c r="F14" s="43"/>
      <c r="G14" s="44"/>
      <c r="H14" s="45"/>
      <c r="I14" s="46"/>
      <c r="J14" s="83"/>
      <c r="K14" s="83"/>
      <c r="L14" s="36"/>
      <c r="M14" s="36"/>
      <c r="N14" s="47"/>
      <c r="O14" s="48"/>
      <c r="P14" s="49"/>
      <c r="Q14" s="48"/>
      <c r="R14" s="492"/>
      <c r="S14" s="492"/>
      <c r="T14" s="38"/>
      <c r="U14" s="38"/>
      <c r="V14" s="38"/>
      <c r="W14" s="38"/>
      <c r="X14" s="39"/>
      <c r="Y14" s="212"/>
      <c r="Z14" s="38"/>
      <c r="AA14" s="38"/>
      <c r="AB14" s="38"/>
      <c r="AC14" s="38"/>
      <c r="AD14" s="38">
        <f>+AM14+BA14</f>
        <v>44</v>
      </c>
      <c r="AE14" s="231" t="s">
        <v>444</v>
      </c>
      <c r="AF14" s="34"/>
      <c r="AG14" s="34"/>
      <c r="AH14" s="34">
        <v>44</v>
      </c>
      <c r="AJ14" s="38"/>
      <c r="AK14" s="38"/>
      <c r="AL14" s="38"/>
      <c r="AM14" s="38">
        <f t="shared" si="3"/>
        <v>44</v>
      </c>
      <c r="AN14" s="38"/>
      <c r="AO14" s="38"/>
      <c r="AP14" s="38"/>
      <c r="AQ14" s="38"/>
      <c r="AR14" s="38">
        <f t="shared" si="4"/>
        <v>0</v>
      </c>
      <c r="AS14" s="38"/>
      <c r="AT14" s="38"/>
      <c r="AU14" s="38"/>
      <c r="AV14" s="38"/>
      <c r="AW14" s="38"/>
      <c r="AX14" s="38"/>
      <c r="AY14" s="38"/>
      <c r="AZ14" s="38"/>
      <c r="BA14" s="38">
        <f>+AR14+AS14+AU14+AW14+AY14+AZ14</f>
        <v>0</v>
      </c>
      <c r="BB14" s="34"/>
      <c r="BC14" s="495"/>
      <c r="BD14" s="495"/>
      <c r="BE14" s="34"/>
      <c r="BF14" s="495"/>
    </row>
    <row r="15" spans="1:58" ht="12.95" customHeight="1">
      <c r="A15" s="41"/>
      <c r="B15" s="42"/>
      <c r="C15" s="406"/>
      <c r="D15" s="42"/>
      <c r="E15" s="43"/>
      <c r="F15" s="43"/>
      <c r="G15" s="44"/>
      <c r="H15" s="45"/>
      <c r="I15" s="46"/>
      <c r="J15" s="83"/>
      <c r="K15" s="83"/>
      <c r="L15" s="36"/>
      <c r="M15" s="36"/>
      <c r="N15" s="47"/>
      <c r="O15" s="48"/>
      <c r="P15" s="49"/>
      <c r="Q15" s="35"/>
      <c r="R15" s="492"/>
      <c r="S15" s="492"/>
      <c r="T15" s="38"/>
      <c r="U15" s="38"/>
      <c r="V15" s="38"/>
      <c r="W15" s="38"/>
      <c r="X15" s="39"/>
      <c r="Y15" s="212"/>
      <c r="Z15" s="38"/>
      <c r="AA15" s="38"/>
      <c r="AB15" s="38"/>
      <c r="AC15" s="38"/>
      <c r="AD15" s="38">
        <f>+AM15+BA15</f>
        <v>137</v>
      </c>
      <c r="AE15" s="234" t="s">
        <v>447</v>
      </c>
      <c r="AF15" s="38"/>
      <c r="AG15" s="38"/>
      <c r="AH15" s="38"/>
      <c r="AI15" s="494"/>
      <c r="AJ15" s="38"/>
      <c r="AK15" s="38"/>
      <c r="AL15" s="38"/>
      <c r="AM15" s="38">
        <f t="shared" si="3"/>
        <v>0</v>
      </c>
      <c r="AN15" s="38"/>
      <c r="AO15" s="38"/>
      <c r="AP15" s="38"/>
      <c r="AQ15" s="38"/>
      <c r="AR15" s="38">
        <f t="shared" si="4"/>
        <v>0</v>
      </c>
      <c r="AS15" s="38"/>
      <c r="AT15" s="38"/>
      <c r="AU15" s="38"/>
      <c r="AV15" s="38"/>
      <c r="AW15" s="38">
        <v>137</v>
      </c>
      <c r="AX15" s="38"/>
      <c r="AY15" s="38"/>
      <c r="AZ15" s="38"/>
      <c r="BA15" s="38">
        <f>+AR15+AS15+AU15+AW15+AY15+AZ15</f>
        <v>137</v>
      </c>
      <c r="BB15" s="51"/>
      <c r="BC15" s="52"/>
      <c r="BD15" s="52"/>
      <c r="BE15" s="34"/>
      <c r="BF15" s="52"/>
    </row>
    <row r="16" spans="1:58" ht="12.95" customHeight="1">
      <c r="A16" s="41"/>
      <c r="B16" s="42"/>
      <c r="C16" s="406"/>
      <c r="D16" s="42"/>
      <c r="E16" s="43"/>
      <c r="F16" s="43"/>
      <c r="G16" s="491"/>
      <c r="H16" s="45"/>
      <c r="I16" s="46"/>
      <c r="J16" s="83"/>
      <c r="K16" s="83"/>
      <c r="L16" s="36"/>
      <c r="M16" s="36"/>
      <c r="N16" s="47"/>
      <c r="O16" s="48"/>
      <c r="P16" s="49"/>
      <c r="Q16" s="48"/>
      <c r="R16" s="492"/>
      <c r="S16" s="492"/>
      <c r="T16" s="38"/>
      <c r="U16" s="38"/>
      <c r="V16" s="38"/>
      <c r="W16" s="38"/>
      <c r="X16" s="493"/>
      <c r="Y16" s="212"/>
      <c r="Z16" s="38"/>
      <c r="AA16" s="50"/>
      <c r="AB16" s="50"/>
      <c r="AC16" s="38"/>
      <c r="AD16" s="38"/>
      <c r="AE16" s="231"/>
      <c r="AF16" s="38"/>
      <c r="AG16" s="38"/>
      <c r="AH16" s="38"/>
      <c r="AI16" s="494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4"/>
      <c r="BC16" s="52"/>
      <c r="BD16" s="52">
        <v>5</v>
      </c>
      <c r="BE16" s="51"/>
      <c r="BF16" s="52"/>
    </row>
    <row r="17" spans="1:58" ht="12.75" customHeight="1">
      <c r="A17" s="41">
        <v>45841</v>
      </c>
      <c r="B17" s="42" t="s">
        <v>7</v>
      </c>
      <c r="C17" s="406">
        <f>(M17*E17*O17*Q17)/100000000</f>
        <v>43.372286132459003</v>
      </c>
      <c r="D17" s="42" t="s">
        <v>301</v>
      </c>
      <c r="E17" s="43">
        <v>12</v>
      </c>
      <c r="F17" s="43">
        <v>1</v>
      </c>
      <c r="G17" s="491">
        <v>1230</v>
      </c>
      <c r="H17" s="45">
        <v>0.23</v>
      </c>
      <c r="I17" s="46">
        <v>0.88</v>
      </c>
      <c r="J17" s="83">
        <f>E17*G17*(1-H17)*1440/1000000*2.74</f>
        <v>44.842533120000006</v>
      </c>
      <c r="K17" s="83">
        <f>(IF(G17&lt;L17,L17,G17)*(1-IF(H17&lt;N17,H17,N17))*E17*O17*Q17)/100000000</f>
        <v>43.372286132459003</v>
      </c>
      <c r="L17" s="36">
        <v>1230</v>
      </c>
      <c r="M17" s="36">
        <v>947.0999999999998</v>
      </c>
      <c r="N17" s="47">
        <f>1-(M17/L17)</f>
        <v>0.2300000000000002</v>
      </c>
      <c r="O17" s="48">
        <f>+'Trim Rwd'!H10</f>
        <v>265.01639344262293</v>
      </c>
      <c r="P17" s="49">
        <f>O17*(Q17-R17-S17)</f>
        <v>361217.34426229505</v>
      </c>
      <c r="Q17" s="48">
        <v>1440</v>
      </c>
      <c r="R17" s="492">
        <v>0</v>
      </c>
      <c r="S17" s="492">
        <v>77</v>
      </c>
      <c r="T17" s="38">
        <f>E17*M17*O17*Q17/100000000</f>
        <v>43.372286132459003</v>
      </c>
      <c r="U17" s="38">
        <f>E17*M17*O17*(Q17-R17-S17)/100000000</f>
        <v>41.053073610098345</v>
      </c>
      <c r="V17" s="38">
        <f>E17*G17*(1-N17)*O17/100*(R17+S17)/1000000</f>
        <v>2.319212522360655</v>
      </c>
      <c r="W17" s="38">
        <f>+'3'!K9/1000</f>
        <v>39.783000000000001</v>
      </c>
      <c r="X17" s="493">
        <f>SUM(W17:W20)/SUM(K17:K20)</f>
        <v>0.91724470964022242</v>
      </c>
      <c r="Y17" s="212">
        <f>+SUM(RBP!AG8:AG9)</f>
        <v>0</v>
      </c>
      <c r="Z17" s="38">
        <f>+'1'!D36/1000</f>
        <v>0</v>
      </c>
      <c r="AA17" s="50">
        <f>SUM(U17:U20)-SUM(W17:W20)-SUM(Z17:Z20)-SUM(Y17:Y20)</f>
        <v>1.2700736100983434</v>
      </c>
      <c r="AB17" s="50">
        <f>(SUM(K17:K20)-SUM(W17:W20)-SUM(Y17:Y20)-SUM(Z17:Z20)-SUM(AC17:AC20)-SUM(V17:V20))-AA17</f>
        <v>3.1086244689504383E-15</v>
      </c>
      <c r="AC17" s="38">
        <f>K17-T17</f>
        <v>0</v>
      </c>
      <c r="AD17" s="38">
        <f>+AM17+BA17</f>
        <v>15</v>
      </c>
      <c r="AE17" s="231" t="s">
        <v>454</v>
      </c>
      <c r="AF17" s="38">
        <v>15</v>
      </c>
      <c r="AG17" s="38"/>
      <c r="AH17" s="38"/>
      <c r="AI17" s="494"/>
      <c r="AJ17" s="38"/>
      <c r="AK17" s="38"/>
      <c r="AL17" s="38"/>
      <c r="AM17" s="38">
        <f t="shared" ref="AM17:AM19" si="5">SUM(AF17:AL17)+AT17+AV17+AX17</f>
        <v>15</v>
      </c>
      <c r="AN17" s="38"/>
      <c r="AO17" s="38"/>
      <c r="AP17" s="38"/>
      <c r="AQ17" s="38"/>
      <c r="AR17" s="38">
        <f>SUM(AN17:AQ17)</f>
        <v>0</v>
      </c>
      <c r="AS17" s="38"/>
      <c r="AT17" s="38"/>
      <c r="AU17" s="38"/>
      <c r="AV17" s="38"/>
      <c r="AW17" s="38"/>
      <c r="AX17" s="38"/>
      <c r="AY17" s="38"/>
      <c r="AZ17" s="38"/>
      <c r="BA17" s="38">
        <f>+AR17+AS17+AU17+AW17+AY17+AZ17</f>
        <v>0</v>
      </c>
      <c r="BB17" s="34">
        <v>5</v>
      </c>
      <c r="BC17" s="52"/>
      <c r="BD17" s="52"/>
      <c r="BE17" s="34"/>
      <c r="BF17" s="52"/>
    </row>
    <row r="18" spans="1:58" ht="12.95" customHeight="1">
      <c r="A18" s="41"/>
      <c r="B18" s="42"/>
      <c r="C18" s="406"/>
      <c r="D18" s="42"/>
      <c r="E18" s="43"/>
      <c r="F18" s="43"/>
      <c r="G18" s="491"/>
      <c r="H18" s="45"/>
      <c r="I18" s="46"/>
      <c r="J18" s="83"/>
      <c r="K18" s="83"/>
      <c r="L18" s="36"/>
      <c r="M18" s="36"/>
      <c r="N18" s="47"/>
      <c r="O18" s="48"/>
      <c r="P18" s="49"/>
      <c r="Q18" s="48"/>
      <c r="R18" s="492"/>
      <c r="S18" s="492"/>
      <c r="T18" s="38"/>
      <c r="U18" s="38"/>
      <c r="V18" s="38"/>
      <c r="W18" s="38"/>
      <c r="X18" s="39"/>
      <c r="Y18" s="212"/>
      <c r="Z18" s="38"/>
      <c r="AA18" s="38"/>
      <c r="AB18" s="38"/>
      <c r="AC18" s="38"/>
      <c r="AD18" s="38">
        <f>+AM18+BA18</f>
        <v>9</v>
      </c>
      <c r="AE18" s="231" t="s">
        <v>385</v>
      </c>
      <c r="AF18" s="38"/>
      <c r="AG18" s="38">
        <v>9</v>
      </c>
      <c r="AH18" s="38"/>
      <c r="AI18" s="494"/>
      <c r="AJ18" s="38"/>
      <c r="AK18" s="38"/>
      <c r="AL18" s="38"/>
      <c r="AM18" s="38">
        <f t="shared" si="5"/>
        <v>9</v>
      </c>
      <c r="AN18" s="84"/>
      <c r="AO18" s="38"/>
      <c r="AP18" s="38"/>
      <c r="AQ18" s="38"/>
      <c r="AR18" s="38">
        <f t="shared" ref="AR18:AR19" si="6">SUM(AN18:AQ18)</f>
        <v>0</v>
      </c>
      <c r="AS18" s="38"/>
      <c r="AT18" s="38"/>
      <c r="AU18" s="38"/>
      <c r="AV18" s="38"/>
      <c r="AW18" s="38"/>
      <c r="AX18" s="38"/>
      <c r="AY18" s="38"/>
      <c r="AZ18" s="38"/>
      <c r="BA18" s="38">
        <f>+AR18+AS18+AU18+AW18+AY18+AZ18</f>
        <v>0</v>
      </c>
      <c r="BB18" s="51"/>
      <c r="BC18" s="52">
        <v>5</v>
      </c>
      <c r="BD18" s="52"/>
      <c r="BE18" s="51"/>
      <c r="BF18" s="52"/>
    </row>
    <row r="19" spans="1:58" ht="12.95" customHeight="1">
      <c r="A19" s="41"/>
      <c r="B19" s="42"/>
      <c r="C19" s="406"/>
      <c r="D19" s="42"/>
      <c r="E19" s="43"/>
      <c r="F19" s="43"/>
      <c r="G19" s="44"/>
      <c r="H19" s="45"/>
      <c r="I19" s="46"/>
      <c r="J19" s="83"/>
      <c r="K19" s="83"/>
      <c r="L19" s="36"/>
      <c r="M19" s="36"/>
      <c r="N19" s="47"/>
      <c r="O19" s="48"/>
      <c r="P19" s="49"/>
      <c r="Q19" s="48"/>
      <c r="R19" s="492"/>
      <c r="S19" s="492"/>
      <c r="T19" s="38"/>
      <c r="U19" s="38"/>
      <c r="V19" s="38"/>
      <c r="W19" s="38"/>
      <c r="X19" s="39"/>
      <c r="Y19" s="212"/>
      <c r="Z19" s="38"/>
      <c r="AA19" s="38"/>
      <c r="AB19" s="38"/>
      <c r="AC19" s="38"/>
      <c r="AD19" s="38">
        <f>+AM19+BA19</f>
        <v>53</v>
      </c>
      <c r="AE19" s="231" t="s">
        <v>456</v>
      </c>
      <c r="AF19" s="34"/>
      <c r="AG19" s="34"/>
      <c r="AH19" s="34">
        <v>53</v>
      </c>
      <c r="AJ19" s="38"/>
      <c r="AK19" s="38"/>
      <c r="AL19" s="38"/>
      <c r="AM19" s="38">
        <f t="shared" si="5"/>
        <v>53</v>
      </c>
      <c r="AN19" s="38"/>
      <c r="AO19" s="38"/>
      <c r="AP19" s="38"/>
      <c r="AQ19" s="38"/>
      <c r="AR19" s="38">
        <f t="shared" si="6"/>
        <v>0</v>
      </c>
      <c r="AS19" s="38"/>
      <c r="AT19" s="38"/>
      <c r="AU19" s="38"/>
      <c r="AV19" s="38"/>
      <c r="AW19" s="38"/>
      <c r="AX19" s="38"/>
      <c r="AY19" s="38"/>
      <c r="AZ19" s="38"/>
      <c r="BA19" s="38">
        <f>+AR19+AS19+AU19+AW19+AY19+AZ19</f>
        <v>0</v>
      </c>
      <c r="BB19" s="34"/>
      <c r="BC19" s="495"/>
      <c r="BD19" s="495"/>
      <c r="BE19" s="34"/>
      <c r="BF19" s="495"/>
    </row>
    <row r="20" spans="1:58" ht="12.95" customHeight="1">
      <c r="A20" s="41"/>
      <c r="B20" s="42"/>
      <c r="C20" s="406"/>
      <c r="D20" s="42"/>
      <c r="E20" s="43"/>
      <c r="F20" s="43"/>
      <c r="G20" s="44"/>
      <c r="H20" s="45"/>
      <c r="I20" s="46"/>
      <c r="J20" s="83"/>
      <c r="K20" s="83"/>
      <c r="L20" s="36"/>
      <c r="M20" s="36"/>
      <c r="N20" s="47"/>
      <c r="O20" s="48"/>
      <c r="P20" s="49"/>
      <c r="Q20" s="35"/>
      <c r="R20" s="492"/>
      <c r="S20" s="492"/>
      <c r="T20" s="38"/>
      <c r="U20" s="38"/>
      <c r="V20" s="38"/>
      <c r="W20" s="38"/>
      <c r="X20" s="39"/>
      <c r="Y20" s="212"/>
      <c r="Z20" s="38"/>
      <c r="AA20" s="38"/>
      <c r="AB20" s="38"/>
      <c r="AC20" s="38"/>
      <c r="AD20" s="38"/>
      <c r="AE20" s="234"/>
      <c r="AF20" s="38"/>
      <c r="AG20" s="38"/>
      <c r="AH20" s="38"/>
      <c r="AI20" s="494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51"/>
      <c r="BC20" s="52"/>
      <c r="BD20" s="52"/>
      <c r="BE20" s="34"/>
      <c r="BF20" s="52"/>
    </row>
    <row r="21" spans="1:58" ht="12.75" customHeight="1">
      <c r="A21" s="41">
        <v>45842</v>
      </c>
      <c r="B21" s="42" t="s">
        <v>7</v>
      </c>
      <c r="C21" s="406">
        <f>(M21*E21*O21*Q21)/100000000</f>
        <v>43.533262079999993</v>
      </c>
      <c r="D21" s="42" t="s">
        <v>301</v>
      </c>
      <c r="E21" s="43">
        <v>12</v>
      </c>
      <c r="F21" s="43">
        <v>1</v>
      </c>
      <c r="G21" s="491">
        <v>1230</v>
      </c>
      <c r="H21" s="45">
        <v>0.23</v>
      </c>
      <c r="I21" s="46">
        <v>0.88</v>
      </c>
      <c r="J21" s="83">
        <f>E21*G21*(1-H21)*1440/1000000*2.74</f>
        <v>44.842533120000006</v>
      </c>
      <c r="K21" s="83">
        <f>(IF(G21&lt;L21,L21,G21)*(1-IF(H21&lt;N21,H21,N21))*E21*O21*Q21)/100000000</f>
        <v>43.533262079999993</v>
      </c>
      <c r="L21" s="36">
        <v>1230</v>
      </c>
      <c r="M21" s="36">
        <v>947.0999999999998</v>
      </c>
      <c r="N21" s="47">
        <f>1-(M21/L21)</f>
        <v>0.2300000000000002</v>
      </c>
      <c r="O21" s="48">
        <f>+'Trim Rwd'!H14</f>
        <v>266</v>
      </c>
      <c r="P21" s="49">
        <f>O21*(Q21-R21-S21)</f>
        <v>366548</v>
      </c>
      <c r="Q21" s="48">
        <v>1440</v>
      </c>
      <c r="R21" s="492">
        <v>0</v>
      </c>
      <c r="S21" s="492">
        <v>62</v>
      </c>
      <c r="T21" s="38">
        <f>E21*M21*O21*Q21/100000000</f>
        <v>43.533262079999993</v>
      </c>
      <c r="U21" s="38">
        <f>E21*M21*O21*(Q21-R21-S21)/100000000</f>
        <v>41.658913295999987</v>
      </c>
      <c r="V21" s="38">
        <f>E21*G21*(1-N21)*O21/100*(R21+S21)/1000000</f>
        <v>1.8743487839999995</v>
      </c>
      <c r="W21" s="38">
        <f>+'4'!K9/1000</f>
        <v>41.905999999999999</v>
      </c>
      <c r="X21" s="493">
        <f>SUM(W21:W24)/SUM(K21:K24)</f>
        <v>0.9626202585735566</v>
      </c>
      <c r="Y21" s="212">
        <v>0</v>
      </c>
      <c r="Z21" s="38">
        <f>+'1'!D40/1000</f>
        <v>0</v>
      </c>
      <c r="AA21" s="50">
        <f>SUM(U21:U24)-SUM(W21:W24)-SUM(Z21:Z24)-SUM(Y21:Y24)</f>
        <v>-0.24708670400001154</v>
      </c>
      <c r="AB21" s="50">
        <f>(SUM(K21:K24)-SUM(W21:W24)-SUM(Y21:Y24)-SUM(Z21:Z24)-SUM(AC21:AC24)-SUM(V21:V24))-AA21</f>
        <v>6.2172489379008766E-15</v>
      </c>
      <c r="AC21" s="38">
        <f>K21-T21</f>
        <v>0</v>
      </c>
      <c r="AD21" s="38">
        <f>+AM21+BA21</f>
        <v>9</v>
      </c>
      <c r="AE21" s="231" t="s">
        <v>394</v>
      </c>
      <c r="AF21" s="38">
        <v>9</v>
      </c>
      <c r="AG21" s="38"/>
      <c r="AH21" s="38"/>
      <c r="AI21" s="494"/>
      <c r="AJ21" s="38"/>
      <c r="AK21" s="38"/>
      <c r="AL21" s="38"/>
      <c r="AM21" s="38">
        <f t="shared" ref="AM21:AM23" si="7">SUM(AF21:AL21)+AT21+AV21+AX21</f>
        <v>9</v>
      </c>
      <c r="AN21" s="38"/>
      <c r="AO21" s="38"/>
      <c r="AP21" s="38"/>
      <c r="AQ21" s="38"/>
      <c r="AR21" s="38">
        <f>SUM(AN21:AQ21)</f>
        <v>0</v>
      </c>
      <c r="AS21" s="38"/>
      <c r="AT21" s="38"/>
      <c r="AU21" s="38"/>
      <c r="AV21" s="38"/>
      <c r="AW21" s="38"/>
      <c r="AX21" s="38"/>
      <c r="AY21" s="38"/>
      <c r="AZ21" s="38"/>
      <c r="BA21" s="38">
        <f>+AR21+AS21+AU21+AW21+AY21+AZ21</f>
        <v>0</v>
      </c>
      <c r="BB21" s="34">
        <v>3</v>
      </c>
      <c r="BC21" s="52"/>
      <c r="BD21" s="52"/>
      <c r="BE21" s="34"/>
      <c r="BF21" s="52"/>
    </row>
    <row r="22" spans="1:58" ht="12.95" customHeight="1">
      <c r="A22" s="41"/>
      <c r="B22" s="42"/>
      <c r="C22" s="406"/>
      <c r="D22" s="42"/>
      <c r="E22" s="43"/>
      <c r="F22" s="43"/>
      <c r="G22" s="491"/>
      <c r="H22" s="45"/>
      <c r="I22" s="46"/>
      <c r="J22" s="83"/>
      <c r="K22" s="83"/>
      <c r="L22" s="36"/>
      <c r="M22" s="36"/>
      <c r="N22" s="47"/>
      <c r="O22" s="48"/>
      <c r="P22" s="49"/>
      <c r="Q22" s="48"/>
      <c r="R22" s="492"/>
      <c r="S22" s="492"/>
      <c r="T22" s="38"/>
      <c r="U22" s="38"/>
      <c r="V22" s="38"/>
      <c r="W22" s="38"/>
      <c r="X22" s="39"/>
      <c r="Y22" s="212"/>
      <c r="Z22" s="38"/>
      <c r="AA22" s="38"/>
      <c r="AB22" s="38"/>
      <c r="AC22" s="38"/>
      <c r="AD22" s="38">
        <f>+AM22+BA22</f>
        <v>16</v>
      </c>
      <c r="AE22" s="231" t="s">
        <v>460</v>
      </c>
      <c r="AF22" s="38"/>
      <c r="AG22" s="38">
        <v>16</v>
      </c>
      <c r="AH22" s="38"/>
      <c r="AI22" s="494"/>
      <c r="AJ22" s="38"/>
      <c r="AK22" s="38"/>
      <c r="AL22" s="38"/>
      <c r="AM22" s="38">
        <f t="shared" si="7"/>
        <v>16</v>
      </c>
      <c r="AN22" s="84"/>
      <c r="AO22" s="38"/>
      <c r="AP22" s="38"/>
      <c r="AQ22" s="38"/>
      <c r="AR22" s="38">
        <f t="shared" ref="AR22:AR23" si="8">SUM(AN22:AQ22)</f>
        <v>0</v>
      </c>
      <c r="AS22" s="38"/>
      <c r="AT22" s="38"/>
      <c r="AU22" s="38"/>
      <c r="AV22" s="38"/>
      <c r="AW22" s="38"/>
      <c r="AX22" s="38"/>
      <c r="AY22" s="38"/>
      <c r="AZ22" s="38"/>
      <c r="BA22" s="38">
        <f>+AR22+AS22+AU22+AW22+AY22+AZ22</f>
        <v>0</v>
      </c>
      <c r="BB22" s="51"/>
      <c r="BC22" s="52">
        <v>9</v>
      </c>
      <c r="BD22" s="52"/>
      <c r="BE22" s="51"/>
      <c r="BF22" s="52"/>
    </row>
    <row r="23" spans="1:58" ht="12.95" customHeight="1">
      <c r="A23" s="41"/>
      <c r="B23" s="42"/>
      <c r="C23" s="406"/>
      <c r="D23" s="42"/>
      <c r="E23" s="43"/>
      <c r="F23" s="43"/>
      <c r="G23" s="44"/>
      <c r="H23" s="45"/>
      <c r="I23" s="46"/>
      <c r="J23" s="83"/>
      <c r="K23" s="83"/>
      <c r="L23" s="36"/>
      <c r="M23" s="36"/>
      <c r="N23" s="47"/>
      <c r="O23" s="48"/>
      <c r="P23" s="49"/>
      <c r="Q23" s="48"/>
      <c r="R23" s="492"/>
      <c r="S23" s="492"/>
      <c r="T23" s="38"/>
      <c r="U23" s="38"/>
      <c r="V23" s="38"/>
      <c r="W23" s="38"/>
      <c r="X23" s="39"/>
      <c r="Y23" s="212"/>
      <c r="Z23" s="38"/>
      <c r="AA23" s="38"/>
      <c r="AB23" s="38"/>
      <c r="AC23" s="38"/>
      <c r="AD23" s="38">
        <f>+AM23+BA23</f>
        <v>37</v>
      </c>
      <c r="AE23" s="231" t="s">
        <v>444</v>
      </c>
      <c r="AF23" s="34"/>
      <c r="AG23" s="34"/>
      <c r="AH23" s="34">
        <v>37</v>
      </c>
      <c r="AJ23" s="38"/>
      <c r="AK23" s="38"/>
      <c r="AL23" s="38"/>
      <c r="AM23" s="38">
        <f t="shared" si="7"/>
        <v>37</v>
      </c>
      <c r="AN23" s="38"/>
      <c r="AO23" s="38"/>
      <c r="AP23" s="38"/>
      <c r="AQ23" s="38"/>
      <c r="AR23" s="38">
        <f t="shared" si="8"/>
        <v>0</v>
      </c>
      <c r="AS23" s="38"/>
      <c r="AT23" s="38"/>
      <c r="AU23" s="38"/>
      <c r="AV23" s="38"/>
      <c r="AW23" s="38"/>
      <c r="AX23" s="38"/>
      <c r="AY23" s="38"/>
      <c r="AZ23" s="38"/>
      <c r="BA23" s="38">
        <f>+AR23+AS23+AU23+AW23+AY23+AZ23</f>
        <v>0</v>
      </c>
      <c r="BB23" s="34"/>
      <c r="BC23" s="495"/>
      <c r="BD23" s="495"/>
      <c r="BE23" s="34"/>
      <c r="BF23" s="495"/>
    </row>
    <row r="24" spans="1:58" ht="12.95" customHeight="1">
      <c r="A24" s="41"/>
      <c r="B24" s="42"/>
      <c r="C24" s="406"/>
      <c r="D24" s="42"/>
      <c r="E24" s="43"/>
      <c r="F24" s="43"/>
      <c r="G24" s="44"/>
      <c r="H24" s="45"/>
      <c r="I24" s="46"/>
      <c r="J24" s="83"/>
      <c r="K24" s="83"/>
      <c r="L24" s="36"/>
      <c r="M24" s="36"/>
      <c r="N24" s="47"/>
      <c r="O24" s="48"/>
      <c r="P24" s="49"/>
      <c r="Q24" s="35"/>
      <c r="R24" s="492"/>
      <c r="S24" s="492"/>
      <c r="T24" s="38"/>
      <c r="U24" s="38"/>
      <c r="V24" s="38"/>
      <c r="W24" s="38"/>
      <c r="X24" s="39"/>
      <c r="Y24" s="212"/>
      <c r="Z24" s="38"/>
      <c r="AA24" s="38"/>
      <c r="AB24" s="38"/>
      <c r="AC24" s="38"/>
      <c r="AD24" s="38"/>
      <c r="AE24" s="234"/>
      <c r="AF24" s="38"/>
      <c r="AG24" s="38"/>
      <c r="AH24" s="38"/>
      <c r="AI24" s="494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51"/>
      <c r="BC24" s="52"/>
      <c r="BD24" s="52"/>
      <c r="BE24" s="34"/>
      <c r="BF24" s="52"/>
    </row>
    <row r="25" spans="1:58" ht="12.75" customHeight="1">
      <c r="A25" s="41">
        <v>45843</v>
      </c>
      <c r="B25" s="42" t="s">
        <v>7</v>
      </c>
      <c r="C25" s="406">
        <f>(M25*E25*O25*Q25)/100000000</f>
        <v>5.8951292400000002</v>
      </c>
      <c r="D25" s="42" t="s">
        <v>301</v>
      </c>
      <c r="E25" s="43">
        <v>12</v>
      </c>
      <c r="F25" s="43">
        <v>1</v>
      </c>
      <c r="G25" s="491">
        <v>1230</v>
      </c>
      <c r="H25" s="45">
        <v>0.23</v>
      </c>
      <c r="I25" s="46">
        <v>0.88</v>
      </c>
      <c r="J25" s="83">
        <f>E25*G25*(1-H25)*1440/1000000*2.74</f>
        <v>44.842533120000006</v>
      </c>
      <c r="K25" s="83">
        <f>(IF(G25&lt;L25,L25,G25)*(1-IF(H25&lt;N25,H25,N25))*E25*O25*Q25)/100000000</f>
        <v>5.8951292400000002</v>
      </c>
      <c r="L25" s="36">
        <v>1230</v>
      </c>
      <c r="M25" s="36">
        <v>947.09999999999991</v>
      </c>
      <c r="N25" s="47">
        <f>1-(M25/L25)</f>
        <v>0.23000000000000009</v>
      </c>
      <c r="O25" s="48">
        <f>+'Trim Rwd'!H16</f>
        <v>266</v>
      </c>
      <c r="P25" s="49">
        <f>O25*(Q25-R25-S25)</f>
        <v>47880</v>
      </c>
      <c r="Q25" s="48">
        <v>195</v>
      </c>
      <c r="R25" s="492">
        <v>0</v>
      </c>
      <c r="S25" s="492">
        <v>15</v>
      </c>
      <c r="T25" s="38">
        <f>E25*M25*O25*Q25/100000000</f>
        <v>5.8951292400000002</v>
      </c>
      <c r="U25" s="38">
        <f>E25*M25*O25*(Q25-R25-S25)/100000000</f>
        <v>5.44165776</v>
      </c>
      <c r="V25" s="38">
        <f>E25*G25*(1-N25)*O25/100*(R25+S25)/1000000</f>
        <v>0.45347147999999998</v>
      </c>
      <c r="W25" s="38">
        <f>+'5'!K9/1000</f>
        <v>3.4079999999999999</v>
      </c>
      <c r="X25" s="493">
        <f>SUM(W25:W28)/SUM(K25:K28)</f>
        <v>0.90884412876151155</v>
      </c>
      <c r="Y25" s="212">
        <v>0</v>
      </c>
      <c r="Z25" s="38">
        <f>+'1'!D44/1000</f>
        <v>0</v>
      </c>
      <c r="AA25" s="50">
        <f>SUM(U25:U28)-SUM(W25:W28)-SUM(Z25:Z28)-SUM(Y25:Y28)</f>
        <v>1.7245653599999997</v>
      </c>
      <c r="AB25" s="50">
        <f>(SUM(K25:K28)-SUM(W25:W28)-SUM(Y25:Y28)-SUM(Z25:Z28)-SUM(AC25:AC28)-SUM(V25:V28))-AA25</f>
        <v>0.23107087499999857</v>
      </c>
      <c r="AC25" s="38">
        <f>K25-T25</f>
        <v>0</v>
      </c>
      <c r="AD25" s="38">
        <f>+AM25+BA25</f>
        <v>12</v>
      </c>
      <c r="AE25" s="231" t="s">
        <v>394</v>
      </c>
      <c r="AF25" s="38">
        <v>12</v>
      </c>
      <c r="AG25" s="38"/>
      <c r="AH25" s="38"/>
      <c r="AI25" s="494"/>
      <c r="AJ25" s="38"/>
      <c r="AK25" s="38"/>
      <c r="AL25" s="38"/>
      <c r="AM25" s="38">
        <f t="shared" ref="AM25:AM27" si="9">SUM(AF25:AL25)+AT25+AV25+AX25</f>
        <v>12</v>
      </c>
      <c r="AN25" s="38"/>
      <c r="AO25" s="38"/>
      <c r="AP25" s="38"/>
      <c r="AQ25" s="38"/>
      <c r="AR25" s="38">
        <f>SUM(AN25:AQ25)</f>
        <v>0</v>
      </c>
      <c r="AS25" s="38"/>
      <c r="AT25" s="38"/>
      <c r="AU25" s="38"/>
      <c r="AV25" s="38"/>
      <c r="AW25" s="38"/>
      <c r="AX25" s="38"/>
      <c r="AY25" s="38"/>
      <c r="AZ25" s="38"/>
      <c r="BA25" s="38">
        <f>+AR25+AS25+AU25+AW25+AY25+AZ25</f>
        <v>0</v>
      </c>
      <c r="BB25" s="34">
        <v>3</v>
      </c>
      <c r="BC25" s="52"/>
      <c r="BD25" s="52"/>
      <c r="BE25" s="34"/>
      <c r="BF25" s="52"/>
    </row>
    <row r="26" spans="1:58" ht="12.95" customHeight="1">
      <c r="A26" s="41"/>
      <c r="B26" s="42" t="s">
        <v>7</v>
      </c>
      <c r="C26" s="406">
        <f t="shared" ref="C26" si="10">(M26*E26*O26*Q26)/100000000</f>
        <v>17.792457374999998</v>
      </c>
      <c r="D26" s="42" t="s">
        <v>301</v>
      </c>
      <c r="E26" s="43">
        <v>12.5</v>
      </c>
      <c r="F26" s="43">
        <v>1</v>
      </c>
      <c r="G26" s="491">
        <v>1230</v>
      </c>
      <c r="H26" s="45">
        <v>0.22</v>
      </c>
      <c r="I26" s="46">
        <v>0.88</v>
      </c>
      <c r="J26" s="83">
        <f t="shared" ref="J26" si="11">E26*G26*(1-H26)*1440/1000000*2.74</f>
        <v>47.317608000000007</v>
      </c>
      <c r="K26" s="83">
        <f t="shared" ref="K26" si="12">(IF(G26&lt;L26,L26,G26)*(1-IF(H26&lt;N26,H26,N26))*E26*O26*Q26)/100000000</f>
        <v>18.023528249999998</v>
      </c>
      <c r="L26" s="36">
        <v>1230</v>
      </c>
      <c r="M26" s="36">
        <v>947.09999999999991</v>
      </c>
      <c r="N26" s="47">
        <f t="shared" ref="N26" si="13">1-(M26/L26)</f>
        <v>0.23000000000000009</v>
      </c>
      <c r="O26" s="48">
        <f>+'Trim Rwd'!H17</f>
        <v>266</v>
      </c>
      <c r="P26" s="49">
        <f t="shared" ref="P26" si="14">O26*(Q26-R26-S26)</f>
        <v>143640</v>
      </c>
      <c r="Q26" s="48">
        <v>565</v>
      </c>
      <c r="R26" s="492">
        <v>0</v>
      </c>
      <c r="S26" s="492">
        <v>25</v>
      </c>
      <c r="T26" s="38">
        <f t="shared" ref="T26" si="15">E26*M26*O26*Q26/100000000</f>
        <v>17.792457374999998</v>
      </c>
      <c r="U26" s="38">
        <f t="shared" ref="U26" si="16">E26*M26*O26*(Q26-R26-S26)/100000000</f>
        <v>17.005180499999998</v>
      </c>
      <c r="V26" s="38">
        <f t="shared" ref="V26" si="17">E26*G26*(1-N26)*O26/100*(R26+S26)/1000000</f>
        <v>0.78727687499999988</v>
      </c>
      <c r="W26" s="38">
        <f>+'5'!K10/1000</f>
        <v>19.792000000000002</v>
      </c>
      <c r="X26" s="39"/>
      <c r="Y26" s="212"/>
      <c r="Z26" s="38"/>
      <c r="AA26" s="38"/>
      <c r="AB26" s="38"/>
      <c r="AC26" s="38"/>
      <c r="AD26" s="38">
        <f>+AM26+BA26</f>
        <v>9</v>
      </c>
      <c r="AE26" s="231" t="s">
        <v>385</v>
      </c>
      <c r="AF26" s="38"/>
      <c r="AG26" s="38">
        <v>9</v>
      </c>
      <c r="AH26" s="38"/>
      <c r="AI26" s="494"/>
      <c r="AJ26" s="38"/>
      <c r="AK26" s="38"/>
      <c r="AL26" s="38"/>
      <c r="AM26" s="38">
        <f t="shared" si="9"/>
        <v>9</v>
      </c>
      <c r="AN26" s="84"/>
      <c r="AO26" s="38"/>
      <c r="AP26" s="38"/>
      <c r="AQ26" s="38"/>
      <c r="AR26" s="38">
        <f t="shared" ref="AR26:AR27" si="18">SUM(AN26:AQ26)</f>
        <v>0</v>
      </c>
      <c r="AS26" s="38"/>
      <c r="AT26" s="38"/>
      <c r="AU26" s="38"/>
      <c r="AV26" s="38"/>
      <c r="AW26" s="38"/>
      <c r="AX26" s="38"/>
      <c r="AY26" s="38"/>
      <c r="AZ26" s="38"/>
      <c r="BA26" s="38">
        <f>+AR26+AS26+AU26+AW26+AY26+AZ26</f>
        <v>0</v>
      </c>
      <c r="BB26" s="51"/>
      <c r="BC26" s="52">
        <v>5</v>
      </c>
      <c r="BD26" s="52"/>
      <c r="BE26" s="51"/>
      <c r="BF26" s="52"/>
    </row>
    <row r="27" spans="1:58" ht="12.95" customHeight="1">
      <c r="A27" s="41"/>
      <c r="B27" s="42" t="s">
        <v>7</v>
      </c>
      <c r="C27" s="406">
        <f>(M27*E27*O27*Q27)/100000000</f>
        <v>21.600699120000002</v>
      </c>
      <c r="D27" s="42" t="s">
        <v>301</v>
      </c>
      <c r="E27" s="43">
        <v>13</v>
      </c>
      <c r="F27" s="43">
        <v>1</v>
      </c>
      <c r="G27" s="491">
        <v>1230</v>
      </c>
      <c r="H27" s="45">
        <v>0.23</v>
      </c>
      <c r="I27" s="46">
        <v>0.88</v>
      </c>
      <c r="J27" s="83">
        <f>E27*G27*(1-H27)*1440/1000000*2.74</f>
        <v>48.579410880000005</v>
      </c>
      <c r="K27" s="83">
        <f>(IF(G27&lt;L27,L27,G27)*(1-IF(H27&lt;N27,H27,N27))*E27*O27*Q27)/100000000</f>
        <v>21.600699120000002</v>
      </c>
      <c r="L27" s="36">
        <v>1230</v>
      </c>
      <c r="M27" s="36">
        <v>947.09999999999991</v>
      </c>
      <c r="N27" s="47">
        <f>1-(M27/L27)</f>
        <v>0.23000000000000009</v>
      </c>
      <c r="O27" s="48">
        <f>+'Trim Rwd'!H18</f>
        <v>258</v>
      </c>
      <c r="P27" s="49">
        <f>O27*(Q27-R27-S27)</f>
        <v>167700</v>
      </c>
      <c r="Q27" s="48">
        <v>680</v>
      </c>
      <c r="R27" s="492">
        <v>0</v>
      </c>
      <c r="S27" s="492">
        <v>30</v>
      </c>
      <c r="T27" s="38">
        <f>E27*M27*O27*Q27/100000000</f>
        <v>21.600699120000002</v>
      </c>
      <c r="U27" s="38">
        <f>E27*M27*O27*(Q27-R27-S27)/100000000</f>
        <v>20.647727100000001</v>
      </c>
      <c r="V27" s="38">
        <f>E27*G27*(1-N27)*O27/100*(R27+S27)/1000000</f>
        <v>0.95297202000000003</v>
      </c>
      <c r="W27" s="38">
        <f>+'5'!K8/1000</f>
        <v>18.170000000000002</v>
      </c>
      <c r="X27" s="39"/>
      <c r="Y27" s="212"/>
      <c r="Z27" s="38"/>
      <c r="AA27" s="38"/>
      <c r="AB27" s="38"/>
      <c r="AC27" s="38"/>
      <c r="AD27" s="38">
        <f>+AM27+BA27</f>
        <v>49</v>
      </c>
      <c r="AE27" s="231" t="s">
        <v>456</v>
      </c>
      <c r="AF27" s="34"/>
      <c r="AG27" s="34"/>
      <c r="AH27" s="34">
        <v>49</v>
      </c>
      <c r="AJ27" s="38"/>
      <c r="AK27" s="38"/>
      <c r="AL27" s="38"/>
      <c r="AM27" s="38">
        <f t="shared" si="9"/>
        <v>49</v>
      </c>
      <c r="AN27" s="38"/>
      <c r="AO27" s="38"/>
      <c r="AP27" s="38"/>
      <c r="AQ27" s="38"/>
      <c r="AR27" s="38">
        <f t="shared" si="18"/>
        <v>0</v>
      </c>
      <c r="AS27" s="38"/>
      <c r="AT27" s="38"/>
      <c r="AU27" s="38"/>
      <c r="AV27" s="38"/>
      <c r="AW27" s="38"/>
      <c r="AX27" s="38"/>
      <c r="AY27" s="38"/>
      <c r="AZ27" s="38"/>
      <c r="BA27" s="38">
        <f>+AR27+AS27+AU27+AW27+AY27+AZ27</f>
        <v>0</v>
      </c>
      <c r="BB27" s="34"/>
      <c r="BC27" s="495"/>
      <c r="BD27" s="495"/>
      <c r="BE27" s="34"/>
      <c r="BF27" s="495"/>
    </row>
    <row r="28" spans="1:58" ht="12.95" customHeight="1">
      <c r="A28" s="41"/>
      <c r="B28" s="42"/>
      <c r="C28" s="406"/>
      <c r="D28" s="42"/>
      <c r="E28" s="43"/>
      <c r="F28" s="43"/>
      <c r="G28" s="491"/>
      <c r="H28" s="45"/>
      <c r="I28" s="46"/>
      <c r="J28" s="83"/>
      <c r="K28" s="83"/>
      <c r="L28" s="36"/>
      <c r="M28" s="36"/>
      <c r="N28" s="47"/>
      <c r="O28" s="48"/>
      <c r="P28" s="49"/>
      <c r="Q28" s="48"/>
      <c r="R28" s="492"/>
      <c r="S28" s="492"/>
      <c r="T28" s="38"/>
      <c r="U28" s="38"/>
      <c r="V28" s="38"/>
      <c r="W28" s="38"/>
      <c r="X28" s="39"/>
      <c r="Y28" s="212"/>
      <c r="Z28" s="38"/>
      <c r="AA28" s="38"/>
      <c r="AB28" s="38"/>
      <c r="AC28" s="38"/>
      <c r="AD28" s="38"/>
      <c r="AE28" s="231"/>
      <c r="AF28" s="38"/>
      <c r="AG28" s="38"/>
      <c r="AH28" s="38"/>
      <c r="AI28" s="494"/>
      <c r="AJ28" s="38"/>
      <c r="AK28" s="38"/>
      <c r="AL28" s="38"/>
      <c r="AM28" s="38"/>
      <c r="AN28" s="84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51"/>
      <c r="BC28" s="52"/>
      <c r="BD28" s="52"/>
      <c r="BE28" s="34"/>
      <c r="BF28" s="52"/>
    </row>
    <row r="29" spans="1:58" ht="12.75" customHeight="1">
      <c r="A29" s="41">
        <v>45844</v>
      </c>
      <c r="B29" s="42" t="s">
        <v>7</v>
      </c>
      <c r="C29" s="406">
        <f>(M29*E29*O29*Q29)/100000000</f>
        <v>46.353741033599995</v>
      </c>
      <c r="D29" s="42" t="s">
        <v>301</v>
      </c>
      <c r="E29" s="43">
        <v>13</v>
      </c>
      <c r="F29" s="43">
        <v>1</v>
      </c>
      <c r="G29" s="491">
        <v>1230</v>
      </c>
      <c r="H29" s="45">
        <v>0.23</v>
      </c>
      <c r="I29" s="46">
        <v>0.88</v>
      </c>
      <c r="J29" s="83">
        <f>E29*G29*(1-H29)*1440/1000000*2.74</f>
        <v>48.579410880000005</v>
      </c>
      <c r="K29" s="83">
        <f>(IF(G29&lt;L29,L29,G29)*(1-IF(H29&lt;N29,H29,N29))*E29*O29*Q29)/100000000</f>
        <v>46.353741033599995</v>
      </c>
      <c r="L29" s="36">
        <v>1230</v>
      </c>
      <c r="M29" s="36">
        <v>947.09999999999991</v>
      </c>
      <c r="N29" s="47">
        <f>1-(M29/L29)</f>
        <v>0.23000000000000009</v>
      </c>
      <c r="O29" s="48">
        <f>+'Trim Rwd'!H20</f>
        <v>261.44666666666666</v>
      </c>
      <c r="P29" s="49">
        <f>O29*(Q29-R29-S29)</f>
        <v>349815.64</v>
      </c>
      <c r="Q29" s="48">
        <v>1440</v>
      </c>
      <c r="R29" s="492">
        <v>0</v>
      </c>
      <c r="S29" s="492">
        <v>102</v>
      </c>
      <c r="T29" s="38">
        <f>E29*M29*O29*Q29/100000000</f>
        <v>46.353741033599995</v>
      </c>
      <c r="U29" s="38">
        <f>E29*M29*O29*(Q29-R29-S29)/100000000</f>
        <v>43.070351043719995</v>
      </c>
      <c r="V29" s="38">
        <f>E29*G29*(1-N29)*O29/100*(R29+S29)/1000000</f>
        <v>3.2833899898799999</v>
      </c>
      <c r="W29" s="38">
        <f>+'6'!K8/1000</f>
        <v>42.210999999999999</v>
      </c>
      <c r="X29" s="493">
        <f>SUM(W29:W32)/SUM(K29:K32)</f>
        <v>0.91062768740505562</v>
      </c>
      <c r="Y29" s="212">
        <f>+SUM(RBP!AG20:AG21)</f>
        <v>0</v>
      </c>
      <c r="Z29" s="38">
        <f>+'6'!D34/1000</f>
        <v>0.45800000000000002</v>
      </c>
      <c r="AA29" s="50">
        <f>SUM(U29:U32)-SUM(W29:W32)-SUM(Z29:Z32)-SUM(Y29:Y32)</f>
        <v>0.40135104371999669</v>
      </c>
      <c r="AB29" s="50">
        <f>(SUM(K29:K32)-SUM(W29:W32)-SUM(Y29:Y32)-SUM(Z29:Z32)-SUM(AC29:AC32)-SUM(V29:V32))-AA29</f>
        <v>0</v>
      </c>
      <c r="AC29" s="38">
        <f>K29-T29</f>
        <v>0</v>
      </c>
      <c r="AD29" s="38">
        <f>+AM29+BA29</f>
        <v>57</v>
      </c>
      <c r="AE29" s="231" t="s">
        <v>474</v>
      </c>
      <c r="AF29" s="38">
        <v>57</v>
      </c>
      <c r="AG29" s="38"/>
      <c r="AH29" s="38"/>
      <c r="AI29" s="494"/>
      <c r="AJ29" s="38"/>
      <c r="AK29" s="38"/>
      <c r="AL29" s="38"/>
      <c r="AM29" s="38">
        <f t="shared" ref="AM29:AM31" si="19">SUM(AF29:AL29)+AT29+AV29+AX29</f>
        <v>57</v>
      </c>
      <c r="AN29" s="38"/>
      <c r="AO29" s="38"/>
      <c r="AP29" s="38"/>
      <c r="AQ29" s="38"/>
      <c r="AR29" s="38">
        <f>SUM(AN29:AQ29)</f>
        <v>0</v>
      </c>
      <c r="AS29" s="38"/>
      <c r="AT29" s="38"/>
      <c r="AU29" s="38"/>
      <c r="AV29" s="38"/>
      <c r="AW29" s="38"/>
      <c r="AX29" s="38"/>
      <c r="AY29" s="38"/>
      <c r="AZ29" s="38"/>
      <c r="BA29" s="38">
        <f>+AR29+AS29+AU29+AW29+AY29+AZ29</f>
        <v>0</v>
      </c>
      <c r="BB29" s="34">
        <v>15</v>
      </c>
      <c r="BC29" s="52"/>
      <c r="BD29" s="52"/>
      <c r="BE29" s="34"/>
      <c r="BF29" s="52">
        <v>2</v>
      </c>
    </row>
    <row r="30" spans="1:58" ht="12.95" customHeight="1">
      <c r="A30" s="41"/>
      <c r="B30" s="42"/>
      <c r="C30" s="406"/>
      <c r="D30" s="42"/>
      <c r="E30" s="43"/>
      <c r="F30" s="43"/>
      <c r="G30" s="491"/>
      <c r="H30" s="45"/>
      <c r="I30" s="46"/>
      <c r="J30" s="83"/>
      <c r="K30" s="83"/>
      <c r="L30" s="36"/>
      <c r="M30" s="36"/>
      <c r="N30" s="47"/>
      <c r="O30" s="48"/>
      <c r="P30" s="49"/>
      <c r="Q30" s="48"/>
      <c r="R30" s="492"/>
      <c r="S30" s="492"/>
      <c r="T30" s="38"/>
      <c r="U30" s="38"/>
      <c r="V30" s="38"/>
      <c r="W30" s="38"/>
      <c r="X30" s="39"/>
      <c r="Y30" s="212"/>
      <c r="Z30" s="38"/>
      <c r="AA30" s="38"/>
      <c r="AB30" s="38"/>
      <c r="AC30" s="38"/>
      <c r="AD30" s="38">
        <f>+AM30+BA30</f>
        <v>0</v>
      </c>
      <c r="AE30" s="231" t="s">
        <v>408</v>
      </c>
      <c r="AF30" s="38"/>
      <c r="AG30" s="38">
        <v>0</v>
      </c>
      <c r="AH30" s="38"/>
      <c r="AI30" s="494"/>
      <c r="AJ30" s="38"/>
      <c r="AK30" s="38"/>
      <c r="AL30" s="38"/>
      <c r="AM30" s="38">
        <f t="shared" si="19"/>
        <v>0</v>
      </c>
      <c r="AN30" s="84"/>
      <c r="AO30" s="38"/>
      <c r="AP30" s="38"/>
      <c r="AQ30" s="38"/>
      <c r="AR30" s="38">
        <f t="shared" ref="AR30:AR31" si="20">SUM(AN30:AQ30)</f>
        <v>0</v>
      </c>
      <c r="AS30" s="38"/>
      <c r="AT30" s="38"/>
      <c r="AU30" s="38"/>
      <c r="AV30" s="38"/>
      <c r="AW30" s="38"/>
      <c r="AX30" s="38"/>
      <c r="AY30" s="38"/>
      <c r="AZ30" s="38"/>
      <c r="BA30" s="38">
        <f>+AR30+AS30+AU30+AW30+AY30+AZ30</f>
        <v>0</v>
      </c>
      <c r="BB30" s="51"/>
      <c r="BC30" s="52">
        <v>0</v>
      </c>
      <c r="BD30" s="52"/>
      <c r="BE30" s="51"/>
      <c r="BF30" s="52"/>
    </row>
    <row r="31" spans="1:58" ht="12.95" customHeight="1">
      <c r="A31" s="41"/>
      <c r="B31" s="42"/>
      <c r="C31" s="406"/>
      <c r="D31" s="42"/>
      <c r="E31" s="43"/>
      <c r="F31" s="43"/>
      <c r="G31" s="44"/>
      <c r="H31" s="45"/>
      <c r="I31" s="46"/>
      <c r="J31" s="83"/>
      <c r="K31" s="83"/>
      <c r="L31" s="36"/>
      <c r="M31" s="36"/>
      <c r="N31" s="47"/>
      <c r="O31" s="48"/>
      <c r="P31" s="49"/>
      <c r="Q31" s="48"/>
      <c r="R31" s="492"/>
      <c r="S31" s="492"/>
      <c r="T31" s="38"/>
      <c r="U31" s="38"/>
      <c r="V31" s="38"/>
      <c r="W31" s="38"/>
      <c r="X31" s="39"/>
      <c r="Y31" s="212"/>
      <c r="Z31" s="38"/>
      <c r="AA31" s="38"/>
      <c r="AB31" s="38"/>
      <c r="AC31" s="38"/>
      <c r="AD31" s="38">
        <f>+AM31+BA31</f>
        <v>45</v>
      </c>
      <c r="AE31" s="231" t="s">
        <v>444</v>
      </c>
      <c r="AF31" s="34"/>
      <c r="AG31" s="34"/>
      <c r="AH31" s="34">
        <v>45</v>
      </c>
      <c r="AJ31" s="38"/>
      <c r="AK31" s="38"/>
      <c r="AL31" s="38"/>
      <c r="AM31" s="38">
        <f t="shared" si="19"/>
        <v>45</v>
      </c>
      <c r="AN31" s="38"/>
      <c r="AO31" s="38"/>
      <c r="AP31" s="38"/>
      <c r="AQ31" s="38"/>
      <c r="AR31" s="38">
        <f t="shared" si="20"/>
        <v>0</v>
      </c>
      <c r="AS31" s="38"/>
      <c r="AT31" s="38"/>
      <c r="AU31" s="38"/>
      <c r="AV31" s="38"/>
      <c r="AW31" s="38"/>
      <c r="AX31" s="38"/>
      <c r="AY31" s="38"/>
      <c r="AZ31" s="38"/>
      <c r="BA31" s="38">
        <f>+AR31+AS31+AU31+AW31+AY31+AZ31</f>
        <v>0</v>
      </c>
      <c r="BB31" s="34"/>
      <c r="BC31" s="495"/>
      <c r="BD31" s="495"/>
      <c r="BE31" s="34"/>
      <c r="BF31" s="495"/>
    </row>
    <row r="32" spans="1:58" ht="12.95" customHeight="1">
      <c r="A32" s="41"/>
      <c r="B32" s="42"/>
      <c r="C32" s="406"/>
      <c r="D32" s="42"/>
      <c r="E32" s="43"/>
      <c r="F32" s="43"/>
      <c r="G32" s="491"/>
      <c r="H32" s="45"/>
      <c r="I32" s="46"/>
      <c r="J32" s="83"/>
      <c r="K32" s="83"/>
      <c r="L32" s="36"/>
      <c r="M32" s="36"/>
      <c r="N32" s="47"/>
      <c r="O32" s="48"/>
      <c r="P32" s="49"/>
      <c r="Q32" s="48"/>
      <c r="R32" s="492"/>
      <c r="S32" s="492"/>
      <c r="T32" s="38"/>
      <c r="U32" s="38"/>
      <c r="V32" s="38"/>
      <c r="W32" s="38"/>
      <c r="X32" s="493"/>
      <c r="Y32" s="212"/>
      <c r="Z32" s="38"/>
      <c r="AA32" s="38"/>
      <c r="AB32" s="38"/>
      <c r="AC32" s="38"/>
      <c r="AD32" s="38"/>
      <c r="AE32" s="231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4"/>
      <c r="BC32" s="52"/>
      <c r="BD32" s="52"/>
      <c r="BE32" s="34"/>
      <c r="BF32" s="52"/>
    </row>
    <row r="33" spans="1:58" ht="12.75" customHeight="1">
      <c r="A33" s="41">
        <v>45845</v>
      </c>
      <c r="B33" s="42" t="s">
        <v>7</v>
      </c>
      <c r="C33" s="406">
        <f>(M33*E33*O33*Q33)/100000000</f>
        <v>9.5706585974999996</v>
      </c>
      <c r="D33" s="42" t="s">
        <v>301</v>
      </c>
      <c r="E33" s="43">
        <v>13</v>
      </c>
      <c r="F33" s="43">
        <v>1</v>
      </c>
      <c r="G33" s="491">
        <v>1230</v>
      </c>
      <c r="H33" s="45">
        <v>0.23</v>
      </c>
      <c r="I33" s="46">
        <v>0.88</v>
      </c>
      <c r="J33" s="83">
        <f>E33*G33*(1-H33)*1440/1000000*2.74</f>
        <v>48.579410880000005</v>
      </c>
      <c r="K33" s="83">
        <f>(IF(G33&lt;L33,L33,G33)*(1-IF(H33&lt;N33,H33,N33))*E33*O33*Q33)/100000000</f>
        <v>9.5706585974999996</v>
      </c>
      <c r="L33" s="36">
        <v>1230</v>
      </c>
      <c r="M33" s="36">
        <v>947.09999999999991</v>
      </c>
      <c r="N33" s="47">
        <f>1-(M33/L33)</f>
        <v>0.23000000000000009</v>
      </c>
      <c r="O33" s="48">
        <f>+'Trim Rwd'!H23</f>
        <v>263.5</v>
      </c>
      <c r="P33" s="49">
        <f>O33*(Q33-R33-S33)</f>
        <v>69037</v>
      </c>
      <c r="Q33" s="48">
        <v>295</v>
      </c>
      <c r="R33" s="492">
        <v>0</v>
      </c>
      <c r="S33" s="492">
        <v>33</v>
      </c>
      <c r="T33" s="38">
        <f>E33*M33*O33*Q33/100000000</f>
        <v>9.5706585974999996</v>
      </c>
      <c r="U33" s="38">
        <f>E33*M33*O33*(Q33-R33-S33)/100000000</f>
        <v>8.5000425509999982</v>
      </c>
      <c r="V33" s="38">
        <f>E33*G33*(1-N33)*O33/100*(R33+S33)/1000000</f>
        <v>1.0706160464999999</v>
      </c>
      <c r="W33" s="38">
        <f>+'7'!K8/1000</f>
        <v>11.215999999999999</v>
      </c>
      <c r="X33" s="493">
        <f>SUM(W33:W36)/SUM(K33:K36)</f>
        <v>0.88237814726272978</v>
      </c>
      <c r="Y33" s="212">
        <f>+SUM(RBP!AG24:AG25)</f>
        <v>0</v>
      </c>
      <c r="Z33" s="38">
        <v>0</v>
      </c>
      <c r="AA33" s="50">
        <f>SUM(U33:U36)-SUM(W33:W36)-SUM(Z33:Z36)-SUM(Y33:Y36)</f>
        <v>0.70512038452402659</v>
      </c>
      <c r="AB33" s="50">
        <f>(SUM(K33:K36)-SUM(W33:W36)-SUM(Y33:Y36)-SUM(Z33:Z36)-SUM(AC33:AC36)-SUM(V33:V36))-AA33</f>
        <v>1.1583608739759781</v>
      </c>
      <c r="AC33" s="38">
        <f>K33-T33</f>
        <v>0</v>
      </c>
      <c r="AD33" s="38">
        <f>+AM33+BA33</f>
        <v>48</v>
      </c>
      <c r="AE33" s="231" t="s">
        <v>491</v>
      </c>
      <c r="AF33" s="38">
        <v>48</v>
      </c>
      <c r="AG33" s="38"/>
      <c r="AH33" s="38"/>
      <c r="AI33" s="494"/>
      <c r="AJ33" s="38"/>
      <c r="AK33" s="38"/>
      <c r="AL33" s="38"/>
      <c r="AM33" s="38">
        <f t="shared" ref="AM33:AM35" si="21">SUM(AF33:AL33)+AT33+AV33+AX33</f>
        <v>48</v>
      </c>
      <c r="AN33" s="38"/>
      <c r="AO33" s="38"/>
      <c r="AP33" s="38"/>
      <c r="AQ33" s="38"/>
      <c r="AR33" s="38">
        <f>SUM(AN33:AQ33)</f>
        <v>0</v>
      </c>
      <c r="AS33" s="38"/>
      <c r="AT33" s="38"/>
      <c r="AU33" s="38"/>
      <c r="AV33" s="38"/>
      <c r="AW33" s="38"/>
      <c r="AX33" s="38"/>
      <c r="AY33" s="38"/>
      <c r="AZ33" s="38"/>
      <c r="BA33" s="38">
        <f>+AR33+AS33+AU33+AW33+AY33+AZ33</f>
        <v>0</v>
      </c>
      <c r="BB33" s="34">
        <v>18</v>
      </c>
      <c r="BC33" s="52"/>
      <c r="BD33" s="52"/>
      <c r="BE33" s="34"/>
      <c r="BF33" s="52"/>
    </row>
    <row r="34" spans="1:58" ht="12.95" customHeight="1">
      <c r="A34" s="41"/>
      <c r="B34" s="42" t="s">
        <v>412</v>
      </c>
      <c r="C34" s="406">
        <f>(M34*E34*O34*Q34)/100000000</f>
        <v>34.937883981000006</v>
      </c>
      <c r="D34" s="42" t="s">
        <v>301</v>
      </c>
      <c r="E34" s="43">
        <v>13</v>
      </c>
      <c r="F34" s="43">
        <v>1</v>
      </c>
      <c r="G34" s="491">
        <v>1230</v>
      </c>
      <c r="H34" s="45">
        <v>0.23</v>
      </c>
      <c r="I34" s="46">
        <v>0.88</v>
      </c>
      <c r="J34" s="83">
        <f>E34*G34*(1-H34)*1440/1000000*2.74</f>
        <v>48.579410880000005</v>
      </c>
      <c r="K34" s="83">
        <f>(IF(G34&lt;L34,L34,G34)*(1-IF(H34&lt;N34,H34,N34))*E34*O34*Q34)/100000000</f>
        <v>36.160301677500001</v>
      </c>
      <c r="L34" s="36">
        <v>1188.4192139737991</v>
      </c>
      <c r="M34" s="36">
        <v>915.08279475982533</v>
      </c>
      <c r="N34" s="47">
        <f>1-(M34/L34)</f>
        <v>0.22999999999999998</v>
      </c>
      <c r="O34" s="48">
        <f>+'Trim Rwd'!H24</f>
        <v>256.5</v>
      </c>
      <c r="P34" s="49">
        <f>O34*(Q34-R34-S34)</f>
        <v>278302.5</v>
      </c>
      <c r="Q34" s="48">
        <v>1145</v>
      </c>
      <c r="R34" s="492">
        <v>0</v>
      </c>
      <c r="S34" s="492">
        <v>60</v>
      </c>
      <c r="T34" s="38">
        <f>E34*M34*O34*Q34/100000000</f>
        <v>34.937883981000006</v>
      </c>
      <c r="U34" s="38">
        <f>E34*M34*O34*(Q34-R34-S34)/100000000</f>
        <v>33.107077833524023</v>
      </c>
      <c r="V34" s="38">
        <f>E34*G34*(1-N34)*O34/100*(R34+S34)/1000000</f>
        <v>1.8948629699999999</v>
      </c>
      <c r="W34" s="38">
        <f>+'7'!K11/1000</f>
        <v>29.135999999999999</v>
      </c>
      <c r="X34" s="39"/>
      <c r="Y34" s="212"/>
      <c r="Z34" s="38">
        <f>+'7'!D7/1000</f>
        <v>0.55000000000000004</v>
      </c>
      <c r="AA34" s="38"/>
      <c r="AB34" s="38"/>
      <c r="AC34" s="38"/>
      <c r="AD34" s="38">
        <f>+AM34+BA34</f>
        <v>0</v>
      </c>
      <c r="AE34" s="231" t="s">
        <v>408</v>
      </c>
      <c r="AF34" s="38"/>
      <c r="AG34" s="38">
        <v>0</v>
      </c>
      <c r="AH34" s="38"/>
      <c r="AI34" s="494"/>
      <c r="AJ34" s="38"/>
      <c r="AK34" s="38"/>
      <c r="AL34" s="38"/>
      <c r="AM34" s="38">
        <f t="shared" si="21"/>
        <v>0</v>
      </c>
      <c r="AN34" s="84"/>
      <c r="AO34" s="38"/>
      <c r="AP34" s="38"/>
      <c r="AQ34" s="38"/>
      <c r="AR34" s="38">
        <f t="shared" ref="AR34:AR35" si="22">SUM(AN34:AQ34)</f>
        <v>0</v>
      </c>
      <c r="AS34" s="38"/>
      <c r="AT34" s="38"/>
      <c r="AU34" s="38"/>
      <c r="AV34" s="38"/>
      <c r="AW34" s="38"/>
      <c r="AX34" s="38"/>
      <c r="AY34" s="38"/>
      <c r="AZ34" s="38"/>
      <c r="BA34" s="38">
        <f>+AR34+AS34+AU34+AW34+AY34+AZ34</f>
        <v>0</v>
      </c>
      <c r="BB34" s="51"/>
      <c r="BC34" s="52">
        <v>0</v>
      </c>
      <c r="BD34" s="52"/>
      <c r="BE34" s="51"/>
      <c r="BF34" s="52"/>
    </row>
    <row r="35" spans="1:58" ht="12.95" customHeight="1">
      <c r="A35" s="41"/>
      <c r="B35" s="42"/>
      <c r="C35" s="406"/>
      <c r="D35" s="42"/>
      <c r="E35" s="43"/>
      <c r="F35" s="43"/>
      <c r="G35" s="44"/>
      <c r="H35" s="45"/>
      <c r="I35" s="46"/>
      <c r="J35" s="83"/>
      <c r="K35" s="83"/>
      <c r="L35" s="36"/>
      <c r="M35" s="36"/>
      <c r="N35" s="47"/>
      <c r="O35" s="48"/>
      <c r="P35" s="49"/>
      <c r="Q35" s="48"/>
      <c r="R35" s="492"/>
      <c r="S35" s="492"/>
      <c r="T35" s="38"/>
      <c r="U35" s="38"/>
      <c r="V35" s="38"/>
      <c r="W35" s="38"/>
      <c r="X35" s="39"/>
      <c r="Y35" s="212"/>
      <c r="Z35" s="38"/>
      <c r="AA35" s="38"/>
      <c r="AB35" s="38"/>
      <c r="AC35" s="38"/>
      <c r="AD35" s="38">
        <f>+AM35+BA35</f>
        <v>45</v>
      </c>
      <c r="AE35" s="231" t="s">
        <v>492</v>
      </c>
      <c r="AF35" s="34"/>
      <c r="AG35" s="34"/>
      <c r="AH35" s="34">
        <v>45</v>
      </c>
      <c r="AJ35" s="38"/>
      <c r="AK35" s="38"/>
      <c r="AL35" s="38"/>
      <c r="AM35" s="38">
        <f t="shared" si="21"/>
        <v>45</v>
      </c>
      <c r="AN35" s="38"/>
      <c r="AO35" s="38"/>
      <c r="AP35" s="38"/>
      <c r="AQ35" s="38"/>
      <c r="AR35" s="38">
        <f t="shared" si="22"/>
        <v>0</v>
      </c>
      <c r="AS35" s="38"/>
      <c r="AT35" s="38"/>
      <c r="AU35" s="38"/>
      <c r="AV35" s="38"/>
      <c r="AW35" s="38"/>
      <c r="AX35" s="38"/>
      <c r="AY35" s="38"/>
      <c r="AZ35" s="38"/>
      <c r="BA35" s="38">
        <f>+AR35+AS35+AU35+AW35+AY35+AZ35</f>
        <v>0</v>
      </c>
      <c r="BB35" s="34"/>
      <c r="BC35" s="495"/>
      <c r="BD35" s="495"/>
      <c r="BE35" s="34"/>
      <c r="BF35" s="495"/>
    </row>
    <row r="36" spans="1:58" ht="12.95" customHeight="1">
      <c r="A36" s="41"/>
      <c r="B36" s="42"/>
      <c r="C36" s="406"/>
      <c r="D36" s="42"/>
      <c r="E36" s="43"/>
      <c r="F36" s="43"/>
      <c r="G36" s="491"/>
      <c r="H36" s="45"/>
      <c r="I36" s="46"/>
      <c r="J36" s="83"/>
      <c r="K36" s="83"/>
      <c r="L36" s="36"/>
      <c r="M36" s="36"/>
      <c r="N36" s="47"/>
      <c r="O36" s="48"/>
      <c r="P36" s="49"/>
      <c r="Q36" s="48"/>
      <c r="R36" s="492"/>
      <c r="S36" s="492"/>
      <c r="T36" s="38"/>
      <c r="U36" s="38"/>
      <c r="V36" s="38"/>
      <c r="W36" s="38"/>
      <c r="X36" s="39"/>
      <c r="Y36" s="212"/>
      <c r="Z36" s="38"/>
      <c r="AA36" s="38"/>
      <c r="AB36" s="38"/>
      <c r="AC36" s="38"/>
      <c r="AD36" s="38"/>
      <c r="AE36" s="234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4"/>
      <c r="BC36" s="52"/>
      <c r="BD36" s="52"/>
      <c r="BE36" s="52"/>
      <c r="BF36" s="52"/>
    </row>
    <row r="37" spans="1:58" ht="12.75" customHeight="1">
      <c r="A37" s="41">
        <v>45846</v>
      </c>
      <c r="B37" s="42" t="s">
        <v>412</v>
      </c>
      <c r="C37" s="406">
        <f>(M37*E37*O37*Q37)/100000000</f>
        <v>46.864396800000002</v>
      </c>
      <c r="D37" s="42" t="s">
        <v>301</v>
      </c>
      <c r="E37" s="43">
        <v>13</v>
      </c>
      <c r="F37" s="43">
        <v>1</v>
      </c>
      <c r="G37" s="491">
        <v>1230</v>
      </c>
      <c r="H37" s="45">
        <v>0.23</v>
      </c>
      <c r="I37" s="46">
        <v>0.88</v>
      </c>
      <c r="J37" s="83">
        <f>E37*G37*(1-H37)*1440/1000000*2.74</f>
        <v>48.579410880000005</v>
      </c>
      <c r="K37" s="83">
        <f>(IF(G37&lt;L37,L37,G37)*(1-IF(H37&lt;N37,H37,N37))*E37*O37*Q37)/100000000</f>
        <v>47.248531200000002</v>
      </c>
      <c r="L37" s="36">
        <v>1220</v>
      </c>
      <c r="M37" s="36">
        <v>976</v>
      </c>
      <c r="N37" s="47">
        <f>1-(M37/L37)</f>
        <v>0.19999999999999996</v>
      </c>
      <c r="O37" s="48">
        <f>+'Trim Rwd'!H26</f>
        <v>256.5</v>
      </c>
      <c r="P37" s="49">
        <f>O37*(Q37-R37-S37)</f>
        <v>347557.5</v>
      </c>
      <c r="Q37" s="48">
        <v>1440</v>
      </c>
      <c r="R37" s="492">
        <v>0</v>
      </c>
      <c r="S37" s="492">
        <v>85</v>
      </c>
      <c r="T37" s="38">
        <f>E37*M37*O37*Q37/100000000</f>
        <v>46.864396800000002</v>
      </c>
      <c r="U37" s="38">
        <f>E37*M37*O37*(Q37-R37-S37)/100000000</f>
        <v>44.098095600000001</v>
      </c>
      <c r="V37" s="38">
        <f>E37*G37*(1-N37)*O37/100*(R37+S37)/1000000</f>
        <v>2.7889758000000002</v>
      </c>
      <c r="W37" s="38">
        <f>+'8'!K11/1000</f>
        <v>38.69</v>
      </c>
      <c r="X37" s="493">
        <f>SUM(W37:W40)/SUM(K37:K40)</f>
        <v>0.81886143372854725</v>
      </c>
      <c r="Y37" s="212">
        <f>+SUM(RBP!AG28:AG29)</f>
        <v>0</v>
      </c>
      <c r="Z37" s="38">
        <f>+'6'!D42/1000</f>
        <v>0</v>
      </c>
      <c r="AA37" s="50">
        <f>SUM(U37:U40)-SUM(W37:W40)-SUM(Z37:Z40)-SUM(Y37:Y40)</f>
        <v>5.4080956000000029</v>
      </c>
      <c r="AB37" s="50">
        <f>(SUM(K37:K40)-SUM(W37:W40)-SUM(Y37:Y40)-SUM(Z37:Z40)-SUM(AC37:AC40)-SUM(V37:V40))-AA37</f>
        <v>-2.2674599999999323E-2</v>
      </c>
      <c r="AC37" s="38">
        <f>K37-T37</f>
        <v>0.38413440000000065</v>
      </c>
      <c r="AD37" s="38">
        <f>+AM37+BA37</f>
        <v>45</v>
      </c>
      <c r="AE37" s="231" t="s">
        <v>504</v>
      </c>
      <c r="AF37" s="38">
        <v>45</v>
      </c>
      <c r="AG37" s="38"/>
      <c r="AH37" s="38"/>
      <c r="AI37" s="494"/>
      <c r="AJ37" s="38"/>
      <c r="AK37" s="38"/>
      <c r="AL37" s="38"/>
      <c r="AM37" s="38">
        <f t="shared" ref="AM37:AM39" si="23">SUM(AF37:AL37)+AT37+AV37+AX37</f>
        <v>45</v>
      </c>
      <c r="AN37" s="38"/>
      <c r="AO37" s="38"/>
      <c r="AP37" s="38"/>
      <c r="AQ37" s="38"/>
      <c r="AR37" s="38">
        <f>SUM(AN37:AQ37)</f>
        <v>0</v>
      </c>
      <c r="AS37" s="38"/>
      <c r="AT37" s="38"/>
      <c r="AU37" s="38"/>
      <c r="AV37" s="38"/>
      <c r="AW37" s="38"/>
      <c r="AX37" s="38"/>
      <c r="AY37" s="38"/>
      <c r="AZ37" s="38"/>
      <c r="BA37" s="38">
        <f>+AR37+AS37+AU37+AW37+AY37+AZ37</f>
        <v>0</v>
      </c>
      <c r="BB37" s="34">
        <v>13</v>
      </c>
      <c r="BC37" s="52"/>
      <c r="BD37" s="52">
        <v>4</v>
      </c>
      <c r="BE37" s="34"/>
      <c r="BF37" s="52"/>
    </row>
    <row r="38" spans="1:58" ht="12.95" customHeight="1">
      <c r="A38" s="41"/>
      <c r="B38" s="42"/>
      <c r="C38" s="406"/>
      <c r="D38" s="42"/>
      <c r="E38" s="43"/>
      <c r="F38" s="43"/>
      <c r="G38" s="491"/>
      <c r="H38" s="45"/>
      <c r="I38" s="46"/>
      <c r="J38" s="83"/>
      <c r="K38" s="83"/>
      <c r="L38" s="36"/>
      <c r="M38" s="36"/>
      <c r="N38" s="47"/>
      <c r="O38" s="48"/>
      <c r="P38" s="49"/>
      <c r="Q38" s="48"/>
      <c r="R38" s="492"/>
      <c r="S38" s="492"/>
      <c r="T38" s="38"/>
      <c r="U38" s="38"/>
      <c r="V38" s="38"/>
      <c r="W38" s="38"/>
      <c r="X38" s="39"/>
      <c r="Y38" s="212"/>
      <c r="Z38" s="38"/>
      <c r="AA38" s="38"/>
      <c r="AB38" s="38"/>
      <c r="AC38" s="38"/>
      <c r="AD38" s="38">
        <f>+AM38+BA38</f>
        <v>8</v>
      </c>
      <c r="AE38" s="231" t="s">
        <v>503</v>
      </c>
      <c r="AF38" s="38"/>
      <c r="AG38" s="38">
        <v>8</v>
      </c>
      <c r="AH38" s="38"/>
      <c r="AI38" s="494"/>
      <c r="AJ38" s="38"/>
      <c r="AK38" s="38"/>
      <c r="AL38" s="38"/>
      <c r="AM38" s="38">
        <f t="shared" si="23"/>
        <v>8</v>
      </c>
      <c r="AN38" s="84"/>
      <c r="AO38" s="38"/>
      <c r="AP38" s="38"/>
      <c r="AQ38" s="38"/>
      <c r="AR38" s="38">
        <f t="shared" ref="AR38:AR39" si="24">SUM(AN38:AQ38)</f>
        <v>0</v>
      </c>
      <c r="AS38" s="38"/>
      <c r="AT38" s="38"/>
      <c r="AU38" s="38"/>
      <c r="AV38" s="38"/>
      <c r="AW38" s="38"/>
      <c r="AX38" s="38"/>
      <c r="AY38" s="38"/>
      <c r="AZ38" s="38"/>
      <c r="BA38" s="38">
        <f>+AR38+AS38+AU38+AW38+AY38+AZ38</f>
        <v>0</v>
      </c>
      <c r="BB38" s="51"/>
      <c r="BC38" s="52">
        <v>6</v>
      </c>
      <c r="BD38" s="52"/>
      <c r="BE38" s="51"/>
      <c r="BF38" s="52"/>
    </row>
    <row r="39" spans="1:58" ht="12.95" customHeight="1">
      <c r="A39" s="41"/>
      <c r="B39" s="42"/>
      <c r="C39" s="406"/>
      <c r="D39" s="42"/>
      <c r="E39" s="43"/>
      <c r="F39" s="43"/>
      <c r="G39" s="44"/>
      <c r="H39" s="45"/>
      <c r="I39" s="46"/>
      <c r="J39" s="83"/>
      <c r="K39" s="83"/>
      <c r="L39" s="36"/>
      <c r="M39" s="36"/>
      <c r="N39" s="47"/>
      <c r="O39" s="48"/>
      <c r="P39" s="49"/>
      <c r="Q39" s="48"/>
      <c r="R39" s="492"/>
      <c r="S39" s="492"/>
      <c r="T39" s="38"/>
      <c r="U39" s="38"/>
      <c r="V39" s="38"/>
      <c r="W39" s="38"/>
      <c r="X39" s="39"/>
      <c r="Y39" s="212"/>
      <c r="Z39" s="38"/>
      <c r="AA39" s="38"/>
      <c r="AB39" s="38"/>
      <c r="AC39" s="38"/>
      <c r="AD39" s="38">
        <f>+AM39+BA39</f>
        <v>32</v>
      </c>
      <c r="AE39" s="231" t="s">
        <v>456</v>
      </c>
      <c r="AF39" s="34"/>
      <c r="AG39" s="34"/>
      <c r="AH39" s="34">
        <v>32</v>
      </c>
      <c r="AJ39" s="38"/>
      <c r="AK39" s="38"/>
      <c r="AL39" s="38"/>
      <c r="AM39" s="38">
        <f t="shared" si="23"/>
        <v>32</v>
      </c>
      <c r="AN39" s="38"/>
      <c r="AO39" s="38"/>
      <c r="AP39" s="38"/>
      <c r="AQ39" s="38"/>
      <c r="AR39" s="38">
        <f t="shared" si="24"/>
        <v>0</v>
      </c>
      <c r="AS39" s="38"/>
      <c r="AT39" s="38"/>
      <c r="AU39" s="38"/>
      <c r="AV39" s="38"/>
      <c r="AW39" s="38"/>
      <c r="AX39" s="38"/>
      <c r="AY39" s="38"/>
      <c r="AZ39" s="38"/>
      <c r="BA39" s="38">
        <f>+AR39+AS39+AU39+AW39+AY39+AZ39</f>
        <v>0</v>
      </c>
      <c r="BB39" s="34"/>
      <c r="BC39" s="495"/>
      <c r="BD39" s="495"/>
      <c r="BE39" s="34"/>
      <c r="BF39" s="495"/>
    </row>
    <row r="40" spans="1:58" ht="12.95" customHeight="1">
      <c r="A40" s="41"/>
      <c r="B40" s="42"/>
      <c r="C40" s="406"/>
      <c r="D40" s="42"/>
      <c r="E40" s="43"/>
      <c r="F40" s="43"/>
      <c r="G40" s="44"/>
      <c r="H40" s="45"/>
      <c r="I40" s="46"/>
      <c r="J40" s="83"/>
      <c r="K40" s="83"/>
      <c r="L40" s="36"/>
      <c r="M40" s="36"/>
      <c r="N40" s="47"/>
      <c r="O40" s="48"/>
      <c r="P40" s="49"/>
      <c r="Q40" s="48"/>
      <c r="R40" s="492"/>
      <c r="S40" s="492"/>
      <c r="T40" s="38"/>
      <c r="U40" s="38"/>
      <c r="V40" s="38"/>
      <c r="W40" s="38"/>
      <c r="X40" s="39"/>
      <c r="Y40" s="212"/>
      <c r="Z40" s="38"/>
      <c r="AA40" s="38"/>
      <c r="AB40" s="38"/>
      <c r="AC40" s="38"/>
      <c r="AD40" s="38"/>
      <c r="AE40" s="231"/>
      <c r="AF40" s="34"/>
      <c r="AG40" s="34"/>
      <c r="AH40" s="34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4"/>
      <c r="BC40" s="495"/>
      <c r="BD40" s="52"/>
      <c r="BE40" s="52"/>
      <c r="BF40" s="52"/>
    </row>
    <row r="41" spans="1:58" ht="12.75" customHeight="1">
      <c r="A41" s="41">
        <v>45847</v>
      </c>
      <c r="B41" s="42" t="s">
        <v>412</v>
      </c>
      <c r="C41" s="406">
        <f>(M41*E41*O41*Q41)/100000000</f>
        <v>43.997808855000002</v>
      </c>
      <c r="D41" s="42" t="s">
        <v>301</v>
      </c>
      <c r="E41" s="43">
        <v>13</v>
      </c>
      <c r="F41" s="43">
        <v>1</v>
      </c>
      <c r="G41" s="491">
        <v>1230</v>
      </c>
      <c r="H41" s="45">
        <v>0.23</v>
      </c>
      <c r="I41" s="46">
        <v>0.88</v>
      </c>
      <c r="J41" s="83">
        <f>E41*G41*(1-H41)*1440/1000000*2.74</f>
        <v>48.579410880000005</v>
      </c>
      <c r="K41" s="83">
        <f>(IF(G41&lt;L41,L41,G41)*(1-IF(H41&lt;N41,H41,N41))*E41*O41*Q41)/100000000</f>
        <v>44.725045365</v>
      </c>
      <c r="L41" s="36">
        <v>1210</v>
      </c>
      <c r="M41" s="36">
        <v>931.7</v>
      </c>
      <c r="N41" s="47">
        <f>1-(M41/L41)</f>
        <v>0.22999999999999998</v>
      </c>
      <c r="O41" s="48">
        <f>+'Trim Rwd'!H28</f>
        <v>252.26041666666666</v>
      </c>
      <c r="P41" s="49">
        <f>O41*(Q41-R41-S41)</f>
        <v>340047.04166666663</v>
      </c>
      <c r="Q41" s="48">
        <v>1440</v>
      </c>
      <c r="R41" s="492">
        <v>0</v>
      </c>
      <c r="S41" s="492">
        <v>92</v>
      </c>
      <c r="T41" s="38">
        <f>E41*M41*O41*Q41/100000000</f>
        <v>43.997808855000002</v>
      </c>
      <c r="U41" s="38">
        <f>E41*M41*O41*(Q41-R41-S41)/100000000</f>
        <v>41.186837733708337</v>
      </c>
      <c r="V41" s="38">
        <f>E41*G41*(1-N41)*O41/100*(R41+S41)/1000000</f>
        <v>2.8574334538750001</v>
      </c>
      <c r="W41" s="38">
        <f>+'9'!K11/1000</f>
        <v>45.328000000000003</v>
      </c>
      <c r="X41" s="493">
        <f>SUM(W41:W44)/SUM(K41:K44)</f>
        <v>1.0134813644140392</v>
      </c>
      <c r="Y41" s="212">
        <f>+SUM(RBP!AG32:AG33)</f>
        <v>0</v>
      </c>
      <c r="Z41" s="38">
        <f>+'6'!D46/1000</f>
        <v>0</v>
      </c>
      <c r="AA41" s="50">
        <f>SUM(U41:U44)-SUM(W41:W44)-SUM(Z41:Z44)-SUM(Y41:Y44)</f>
        <v>-4.1411622662916656</v>
      </c>
      <c r="AB41" s="50">
        <f>(SUM(K41:K44)-SUM(W41:W44)-SUM(Y41:Y44)-SUM(Z41:Z44)-SUM(AC41:AC44)-SUM(V41:V44))-AA41</f>
        <v>-4.6462332583335098E-2</v>
      </c>
      <c r="AC41" s="38">
        <f>K41-T41</f>
        <v>0.72723650999999734</v>
      </c>
      <c r="AD41" s="38">
        <f>+AM41+BA41</f>
        <v>47</v>
      </c>
      <c r="AE41" s="231" t="s">
        <v>504</v>
      </c>
      <c r="AF41" s="38">
        <v>47</v>
      </c>
      <c r="AG41" s="38"/>
      <c r="AH41" s="38"/>
      <c r="AI41" s="494"/>
      <c r="AJ41" s="38"/>
      <c r="AK41" s="38"/>
      <c r="AL41" s="38"/>
      <c r="AM41" s="38">
        <f t="shared" ref="AM41:AM43" si="25">SUM(AF41:AL41)+AT41+AV41+AX41</f>
        <v>47</v>
      </c>
      <c r="AN41" s="38"/>
      <c r="AO41" s="38"/>
      <c r="AP41" s="38"/>
      <c r="AQ41" s="38"/>
      <c r="AR41" s="38">
        <f>SUM(AN41:AQ41)</f>
        <v>0</v>
      </c>
      <c r="AS41" s="38"/>
      <c r="AT41" s="38"/>
      <c r="AU41" s="38"/>
      <c r="AV41" s="38"/>
      <c r="AW41" s="38"/>
      <c r="AX41" s="38"/>
      <c r="AY41" s="38"/>
      <c r="AZ41" s="38"/>
      <c r="BA41" s="38">
        <f>+AR41+AS41+AU41+AW41+AY41+AZ41</f>
        <v>0</v>
      </c>
      <c r="BB41" s="34">
        <v>13</v>
      </c>
      <c r="BC41" s="52"/>
      <c r="BD41" s="52"/>
      <c r="BE41" s="34"/>
      <c r="BF41" s="52"/>
    </row>
    <row r="42" spans="1:58" ht="12.95" customHeight="1">
      <c r="A42" s="41"/>
      <c r="B42" s="42"/>
      <c r="C42" s="406"/>
      <c r="D42" s="42"/>
      <c r="E42" s="43"/>
      <c r="F42" s="43"/>
      <c r="G42" s="491"/>
      <c r="H42" s="45"/>
      <c r="I42" s="46"/>
      <c r="J42" s="83"/>
      <c r="K42" s="83"/>
      <c r="L42" s="36"/>
      <c r="M42" s="36"/>
      <c r="N42" s="47"/>
      <c r="O42" s="48"/>
      <c r="P42" s="49"/>
      <c r="Q42" s="48"/>
      <c r="R42" s="492"/>
      <c r="S42" s="492"/>
      <c r="T42" s="38"/>
      <c r="U42" s="38"/>
      <c r="V42" s="38"/>
      <c r="W42" s="38"/>
      <c r="X42" s="39"/>
      <c r="Y42" s="212"/>
      <c r="Z42" s="38"/>
      <c r="AA42" s="38"/>
      <c r="AB42" s="38"/>
      <c r="AC42" s="38"/>
      <c r="AD42" s="38">
        <f>+AM42+BA42</f>
        <v>10</v>
      </c>
      <c r="AE42" s="231" t="s">
        <v>511</v>
      </c>
      <c r="AF42" s="38"/>
      <c r="AG42" s="38">
        <v>10</v>
      </c>
      <c r="AH42" s="38"/>
      <c r="AI42" s="494"/>
      <c r="AJ42" s="38"/>
      <c r="AK42" s="38"/>
      <c r="AL42" s="38"/>
      <c r="AM42" s="38">
        <f t="shared" si="25"/>
        <v>10</v>
      </c>
      <c r="AN42" s="84"/>
      <c r="AO42" s="38"/>
      <c r="AP42" s="38"/>
      <c r="AQ42" s="38"/>
      <c r="AR42" s="38">
        <f t="shared" ref="AR42:AR43" si="26">SUM(AN42:AQ42)</f>
        <v>0</v>
      </c>
      <c r="AS42" s="38"/>
      <c r="AT42" s="38"/>
      <c r="AU42" s="38"/>
      <c r="AV42" s="38"/>
      <c r="AW42" s="38"/>
      <c r="AX42" s="38"/>
      <c r="AY42" s="38"/>
      <c r="AZ42" s="38"/>
      <c r="BA42" s="38">
        <f>+AR42+AS42+AU42+AW42+AY42+AZ42</f>
        <v>0</v>
      </c>
      <c r="BB42" s="51"/>
      <c r="BC42" s="52">
        <v>10</v>
      </c>
      <c r="BD42" s="52"/>
      <c r="BE42" s="51"/>
      <c r="BF42" s="52"/>
    </row>
    <row r="43" spans="1:58" ht="12.95" customHeight="1">
      <c r="A43" s="41"/>
      <c r="B43" s="42"/>
      <c r="C43" s="406"/>
      <c r="D43" s="42"/>
      <c r="E43" s="43"/>
      <c r="F43" s="43"/>
      <c r="G43" s="44"/>
      <c r="H43" s="45"/>
      <c r="I43" s="46"/>
      <c r="J43" s="83"/>
      <c r="K43" s="83"/>
      <c r="L43" s="36"/>
      <c r="M43" s="36"/>
      <c r="N43" s="47"/>
      <c r="O43" s="48"/>
      <c r="P43" s="49"/>
      <c r="Q43" s="48"/>
      <c r="R43" s="492"/>
      <c r="S43" s="492"/>
      <c r="T43" s="38"/>
      <c r="U43" s="38"/>
      <c r="V43" s="38"/>
      <c r="W43" s="38"/>
      <c r="X43" s="39"/>
      <c r="Y43" s="212"/>
      <c r="Z43" s="38"/>
      <c r="AA43" s="38"/>
      <c r="AB43" s="38"/>
      <c r="AC43" s="38"/>
      <c r="AD43" s="38">
        <f>+AM43+BA43</f>
        <v>35</v>
      </c>
      <c r="AE43" s="231" t="s">
        <v>444</v>
      </c>
      <c r="AF43" s="34"/>
      <c r="AG43" s="34"/>
      <c r="AH43" s="34">
        <v>35</v>
      </c>
      <c r="AJ43" s="38"/>
      <c r="AK43" s="38"/>
      <c r="AL43" s="38"/>
      <c r="AM43" s="38">
        <f t="shared" si="25"/>
        <v>35</v>
      </c>
      <c r="AN43" s="38"/>
      <c r="AO43" s="38"/>
      <c r="AP43" s="38"/>
      <c r="AQ43" s="38"/>
      <c r="AR43" s="38">
        <f t="shared" si="26"/>
        <v>0</v>
      </c>
      <c r="AS43" s="38"/>
      <c r="AT43" s="38"/>
      <c r="AU43" s="38"/>
      <c r="AV43" s="38"/>
      <c r="AW43" s="38"/>
      <c r="AX43" s="38"/>
      <c r="AY43" s="38"/>
      <c r="AZ43" s="38"/>
      <c r="BA43" s="38">
        <f>+AR43+AS43+AU43+AW43+AY43+AZ43</f>
        <v>0</v>
      </c>
      <c r="BB43" s="34"/>
      <c r="BC43" s="495"/>
      <c r="BD43" s="495"/>
      <c r="BE43" s="34"/>
      <c r="BF43" s="495"/>
    </row>
    <row r="44" spans="1:58" ht="12.95" customHeight="1">
      <c r="A44" s="41"/>
      <c r="B44" s="42"/>
      <c r="C44" s="406"/>
      <c r="D44" s="42"/>
      <c r="E44" s="43"/>
      <c r="F44" s="43"/>
      <c r="G44" s="491"/>
      <c r="H44" s="45"/>
      <c r="I44" s="46"/>
      <c r="J44" s="83"/>
      <c r="K44" s="83"/>
      <c r="L44" s="36"/>
      <c r="M44" s="36"/>
      <c r="N44" s="47"/>
      <c r="O44" s="48"/>
      <c r="P44" s="49"/>
      <c r="Q44" s="48"/>
      <c r="R44" s="492"/>
      <c r="S44" s="492"/>
      <c r="T44" s="38"/>
      <c r="U44" s="38"/>
      <c r="V44" s="38"/>
      <c r="W44" s="38"/>
      <c r="X44" s="39"/>
      <c r="Y44" s="212"/>
      <c r="Z44" s="38"/>
      <c r="AA44" s="38"/>
      <c r="AB44" s="38"/>
      <c r="AC44" s="38"/>
      <c r="AD44" s="38"/>
      <c r="AE44" s="231"/>
      <c r="AF44" s="38"/>
      <c r="AG44" s="38"/>
      <c r="AH44" s="38"/>
      <c r="AI44" s="494"/>
      <c r="AJ44" s="38"/>
      <c r="AK44" s="38"/>
      <c r="AL44" s="38"/>
      <c r="AM44" s="38"/>
      <c r="AN44" s="84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51"/>
      <c r="BC44" s="52"/>
      <c r="BD44" s="52"/>
      <c r="BE44" s="51"/>
      <c r="BF44" s="52"/>
    </row>
    <row r="45" spans="1:58" ht="12.75" customHeight="1">
      <c r="A45" s="41">
        <v>45848</v>
      </c>
      <c r="B45" s="42" t="s">
        <v>412</v>
      </c>
      <c r="C45" s="406">
        <f>(M45*E45*O45*Q45)/100000000</f>
        <v>44.387208124071428</v>
      </c>
      <c r="D45" s="42" t="s">
        <v>301</v>
      </c>
      <c r="E45" s="43">
        <v>13</v>
      </c>
      <c r="F45" s="43">
        <v>1</v>
      </c>
      <c r="G45" s="491">
        <v>1230</v>
      </c>
      <c r="H45" s="45">
        <v>0.23</v>
      </c>
      <c r="I45" s="46">
        <v>0.88</v>
      </c>
      <c r="J45" s="83">
        <f>E45*G45*(1-H45)*1440/1000000*2.74</f>
        <v>48.579410880000005</v>
      </c>
      <c r="K45" s="83">
        <f>(IF(G45&lt;L45,L45,G45)*(1-IF(H45&lt;N45,H45,N45))*E45*O45*Q45)/100000000</f>
        <v>45.99032620204936</v>
      </c>
      <c r="L45" s="36">
        <v>1187.125</v>
      </c>
      <c r="M45" s="36">
        <v>926.08624999999995</v>
      </c>
      <c r="N45" s="47">
        <f>1-(M45/L45)</f>
        <v>0.21989154469832584</v>
      </c>
      <c r="O45" s="48">
        <f>+'Trim Rwd'!H32</f>
        <v>256.03571428571428</v>
      </c>
      <c r="P45" s="49">
        <f>O45*(Q45-R45-S45)</f>
        <v>343343.89285714284</v>
      </c>
      <c r="Q45" s="48">
        <v>1440</v>
      </c>
      <c r="R45" s="492">
        <v>0</v>
      </c>
      <c r="S45" s="492">
        <v>99</v>
      </c>
      <c r="T45" s="38">
        <f>E45*M45*O45*Q45/100000000</f>
        <v>44.387208124071428</v>
      </c>
      <c r="U45" s="38">
        <f>E45*M45*O45*(Q45-R45-S45)/100000000</f>
        <v>41.335587565541516</v>
      </c>
      <c r="V45" s="38">
        <f>E45*G45*(1-N45)*O45/100*(R45+S45)/1000000</f>
        <v>3.1618349263908936</v>
      </c>
      <c r="W45" s="38">
        <f>+'10'!K11/1000</f>
        <v>43.484999999999999</v>
      </c>
      <c r="X45" s="493">
        <f>SUM(W45:W48)/SUM(K45:K48)</f>
        <v>0.94552493080734612</v>
      </c>
      <c r="Y45" s="212">
        <f>+SUM(RBP!AG36:AG37)</f>
        <v>0</v>
      </c>
      <c r="Z45" s="38">
        <f>+'6'!D50/1000</f>
        <v>0</v>
      </c>
      <c r="AA45" s="50">
        <f>SUM(U45:U48)-SUM(W45:W48)-SUM(Z45:Z48)-SUM(Y45:Y48)</f>
        <v>-2.1494124344584833</v>
      </c>
      <c r="AB45" s="50">
        <f>(SUM(K45:K48)-SUM(W45:W48)-SUM(Y45:Y48)-SUM(Z45:Z48)-SUM(AC45:AC48)-SUM(V45:V48))-AA45</f>
        <v>-0.11021436786098171</v>
      </c>
      <c r="AC45" s="38">
        <f>K45-T45</f>
        <v>1.6031180779779319</v>
      </c>
      <c r="AD45" s="38">
        <f>+AM45+BA45</f>
        <v>49</v>
      </c>
      <c r="AE45" s="231" t="s">
        <v>504</v>
      </c>
      <c r="AF45" s="38">
        <v>49</v>
      </c>
      <c r="AG45" s="38"/>
      <c r="AH45" s="38"/>
      <c r="AI45" s="494"/>
      <c r="AJ45" s="38"/>
      <c r="AK45" s="38"/>
      <c r="AL45" s="38"/>
      <c r="AM45" s="38">
        <f t="shared" ref="AM45:AM47" si="27">SUM(AF45:AL45)+AT45+AV45+AX45</f>
        <v>49</v>
      </c>
      <c r="AN45" s="38"/>
      <c r="AO45" s="38"/>
      <c r="AP45" s="38"/>
      <c r="AQ45" s="38"/>
      <c r="AR45" s="38">
        <f>SUM(AN45:AQ45)</f>
        <v>0</v>
      </c>
      <c r="AS45" s="38"/>
      <c r="AT45" s="38"/>
      <c r="AU45" s="38"/>
      <c r="AV45" s="38"/>
      <c r="AW45" s="38"/>
      <c r="AX45" s="38"/>
      <c r="AY45" s="38"/>
      <c r="AZ45" s="38"/>
      <c r="BA45" s="38">
        <f>+AR45+AS45+AU45+AW45+AY45+AZ45</f>
        <v>0</v>
      </c>
      <c r="BB45" s="34">
        <v>13</v>
      </c>
      <c r="BC45" s="52"/>
      <c r="BD45" s="52"/>
      <c r="BE45" s="34"/>
      <c r="BF45" s="52">
        <v>3</v>
      </c>
    </row>
    <row r="46" spans="1:58" ht="12.95" customHeight="1">
      <c r="A46" s="41"/>
      <c r="B46" s="42"/>
      <c r="C46" s="406"/>
      <c r="D46" s="42"/>
      <c r="E46" s="43"/>
      <c r="F46" s="43"/>
      <c r="G46" s="491"/>
      <c r="H46" s="45"/>
      <c r="I46" s="46"/>
      <c r="J46" s="83"/>
      <c r="K46" s="83"/>
      <c r="L46" s="36"/>
      <c r="M46" s="36"/>
      <c r="N46" s="47"/>
      <c r="O46" s="48"/>
      <c r="P46" s="49"/>
      <c r="Q46" s="48"/>
      <c r="R46" s="492"/>
      <c r="S46" s="492"/>
      <c r="T46" s="38"/>
      <c r="U46" s="38"/>
      <c r="V46" s="38"/>
      <c r="W46" s="38"/>
      <c r="X46" s="39"/>
      <c r="Y46" s="212"/>
      <c r="Z46" s="38"/>
      <c r="AA46" s="38"/>
      <c r="AB46" s="38"/>
      <c r="AC46" s="38"/>
      <c r="AD46" s="38">
        <f>+AM46+BA46</f>
        <v>9</v>
      </c>
      <c r="AE46" s="231" t="s">
        <v>521</v>
      </c>
      <c r="AF46" s="38"/>
      <c r="AG46" s="38">
        <v>9</v>
      </c>
      <c r="AH46" s="38"/>
      <c r="AI46" s="494"/>
      <c r="AJ46" s="38"/>
      <c r="AK46" s="38"/>
      <c r="AL46" s="38"/>
      <c r="AM46" s="38">
        <f t="shared" si="27"/>
        <v>9</v>
      </c>
      <c r="AN46" s="84"/>
      <c r="AO46" s="38"/>
      <c r="AP46" s="38"/>
      <c r="AQ46" s="38"/>
      <c r="AR46" s="38">
        <f t="shared" ref="AR46:AR47" si="28">SUM(AN46:AQ46)</f>
        <v>0</v>
      </c>
      <c r="AS46" s="38"/>
      <c r="AT46" s="38"/>
      <c r="AU46" s="38"/>
      <c r="AV46" s="38"/>
      <c r="AW46" s="38"/>
      <c r="AX46" s="38"/>
      <c r="AY46" s="38"/>
      <c r="AZ46" s="38"/>
      <c r="BA46" s="38">
        <f>+AR46+AS46+AU46+AW46+AY46+AZ46</f>
        <v>0</v>
      </c>
      <c r="BB46" s="51"/>
      <c r="BC46" s="52">
        <v>8</v>
      </c>
      <c r="BD46" s="52"/>
      <c r="BE46" s="51"/>
      <c r="BF46" s="52"/>
    </row>
    <row r="47" spans="1:58" ht="12.95" customHeight="1">
      <c r="A47" s="41"/>
      <c r="B47" s="42"/>
      <c r="C47" s="406"/>
      <c r="D47" s="42"/>
      <c r="E47" s="43"/>
      <c r="F47" s="43"/>
      <c r="G47" s="44"/>
      <c r="H47" s="45"/>
      <c r="I47" s="46"/>
      <c r="J47" s="83"/>
      <c r="K47" s="83"/>
      <c r="L47" s="36"/>
      <c r="M47" s="36"/>
      <c r="N47" s="47"/>
      <c r="O47" s="48"/>
      <c r="P47" s="49"/>
      <c r="Q47" s="48"/>
      <c r="R47" s="492"/>
      <c r="S47" s="492"/>
      <c r="T47" s="38"/>
      <c r="U47" s="38"/>
      <c r="V47" s="38"/>
      <c r="W47" s="38"/>
      <c r="X47" s="39"/>
      <c r="Y47" s="212"/>
      <c r="Z47" s="38"/>
      <c r="AA47" s="38"/>
      <c r="AB47" s="38"/>
      <c r="AC47" s="38"/>
      <c r="AD47" s="38">
        <f>+AM47+BA47</f>
        <v>41</v>
      </c>
      <c r="AE47" s="231" t="s">
        <v>414</v>
      </c>
      <c r="AF47" s="34"/>
      <c r="AG47" s="34"/>
      <c r="AH47" s="34">
        <v>41</v>
      </c>
      <c r="AJ47" s="38"/>
      <c r="AK47" s="38"/>
      <c r="AL47" s="38"/>
      <c r="AM47" s="38">
        <f t="shared" si="27"/>
        <v>41</v>
      </c>
      <c r="AN47" s="38"/>
      <c r="AO47" s="38"/>
      <c r="AP47" s="38"/>
      <c r="AQ47" s="38"/>
      <c r="AR47" s="38">
        <f t="shared" si="28"/>
        <v>0</v>
      </c>
      <c r="AS47" s="38"/>
      <c r="AT47" s="38"/>
      <c r="AU47" s="38"/>
      <c r="AV47" s="38"/>
      <c r="AW47" s="38"/>
      <c r="AX47" s="38"/>
      <c r="AY47" s="38"/>
      <c r="AZ47" s="38"/>
      <c r="BA47" s="38">
        <f>+AR47+AS47+AU47+AW47+AY47+AZ47</f>
        <v>0</v>
      </c>
      <c r="BB47" s="34"/>
      <c r="BC47" s="495"/>
      <c r="BD47" s="495"/>
      <c r="BE47" s="34"/>
      <c r="BF47" s="495"/>
    </row>
    <row r="48" spans="1:58" ht="12.95" customHeight="1">
      <c r="A48" s="41"/>
      <c r="B48" s="42"/>
      <c r="C48" s="406"/>
      <c r="D48" s="42"/>
      <c r="E48" s="43"/>
      <c r="F48" s="43"/>
      <c r="G48" s="44"/>
      <c r="H48" s="45"/>
      <c r="I48" s="46"/>
      <c r="J48" s="83"/>
      <c r="K48" s="83"/>
      <c r="L48" s="36"/>
      <c r="M48" s="36"/>
      <c r="N48" s="47"/>
      <c r="O48" s="48"/>
      <c r="P48" s="49"/>
      <c r="Q48" s="48"/>
      <c r="R48" s="492"/>
      <c r="S48" s="492"/>
      <c r="T48" s="38"/>
      <c r="U48" s="38"/>
      <c r="V48" s="38"/>
      <c r="W48" s="38"/>
      <c r="X48" s="39"/>
      <c r="Y48" s="212"/>
      <c r="Z48" s="38"/>
      <c r="AA48" s="38"/>
      <c r="AB48" s="38"/>
      <c r="AC48" s="38"/>
      <c r="AD48" s="38"/>
      <c r="AE48" s="231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4"/>
      <c r="BC48" s="52"/>
      <c r="BD48" s="52"/>
      <c r="BE48" s="52"/>
      <c r="BF48" s="52"/>
    </row>
    <row r="49" spans="1:58" ht="12.75" customHeight="1">
      <c r="A49" s="41">
        <v>45849</v>
      </c>
      <c r="B49" s="42" t="s">
        <v>412</v>
      </c>
      <c r="C49" s="406">
        <f>(M49*E49*O49*Q49)/100000000</f>
        <v>44.389861015500003</v>
      </c>
      <c r="D49" s="42" t="s">
        <v>301</v>
      </c>
      <c r="E49" s="43">
        <v>13</v>
      </c>
      <c r="F49" s="43">
        <v>1</v>
      </c>
      <c r="G49" s="491">
        <v>1230</v>
      </c>
      <c r="H49" s="45">
        <v>0.23</v>
      </c>
      <c r="I49" s="46">
        <v>0.88</v>
      </c>
      <c r="J49" s="83">
        <f>E49*G49*(1-H49)*1440/1000000*2.74</f>
        <v>48.579410880000005</v>
      </c>
      <c r="K49" s="83">
        <f>(IF(G49&lt;L49,L49,G49)*(1-IF(H49&lt;N49,H49,N49))*E49*O49*Q49)/100000000</f>
        <v>45.476711280000004</v>
      </c>
      <c r="L49" s="36">
        <v>1200.6041666666667</v>
      </c>
      <c r="M49" s="36">
        <v>924.46520833333329</v>
      </c>
      <c r="N49" s="47">
        <f>1-(M49/L49)</f>
        <v>0.23000000000000009</v>
      </c>
      <c r="O49" s="48">
        <f>+'Trim Rwd'!H35</f>
        <v>256.5</v>
      </c>
      <c r="P49" s="49">
        <f>O49*(Q49-R49-S49)</f>
        <v>347814</v>
      </c>
      <c r="Q49" s="48">
        <v>1440</v>
      </c>
      <c r="R49" s="492">
        <v>0</v>
      </c>
      <c r="S49" s="492">
        <v>84</v>
      </c>
      <c r="T49" s="38">
        <f>E49*M49*O49*Q49/100000000</f>
        <v>44.389861015500003</v>
      </c>
      <c r="U49" s="38">
        <f>E49*M49*O49*(Q49-R49-S49)/100000000</f>
        <v>41.800452456262505</v>
      </c>
      <c r="V49" s="38">
        <f>E49*G49*(1-N49)*O49/100*(R49+S49)/1000000</f>
        <v>2.652808158</v>
      </c>
      <c r="W49" s="38">
        <f>+'11'!K11/1000</f>
        <v>43.048000000000002</v>
      </c>
      <c r="X49" s="493">
        <f>SUM(W49:W52)/SUM(K49:K52)</f>
        <v>0.94659439498501918</v>
      </c>
      <c r="Y49" s="212">
        <f>+SUM(RBP!AG40:AG41)</f>
        <v>0</v>
      </c>
      <c r="Z49" s="38">
        <f>+'6'!D54/1000</f>
        <v>0</v>
      </c>
      <c r="AA49" s="50">
        <f>SUM(U49:U52)-SUM(W49:W52)-SUM(Z49:Z52)-SUM(Y49:Y52)</f>
        <v>-1.2475475437374968</v>
      </c>
      <c r="AB49" s="50">
        <f>(SUM(K49:K52)-SUM(W49:W52)-SUM(Y49:Y52)-SUM(Z49:Z52)-SUM(AC49:AC52)-SUM(V49:V52))-AA49</f>
        <v>-6.3399598762502229E-2</v>
      </c>
      <c r="AC49" s="38">
        <f>K49-T49</f>
        <v>1.0868502645000007</v>
      </c>
      <c r="AD49" s="38">
        <f>+AM49+BA49</f>
        <v>41</v>
      </c>
      <c r="AE49" s="231" t="s">
        <v>528</v>
      </c>
      <c r="AF49" s="38">
        <v>41</v>
      </c>
      <c r="AG49" s="38"/>
      <c r="AH49" s="38"/>
      <c r="AI49" s="494"/>
      <c r="AJ49" s="38"/>
      <c r="AK49" s="38"/>
      <c r="AL49" s="38"/>
      <c r="AM49" s="38">
        <f t="shared" ref="AM49:AM51" si="29">SUM(AF49:AL49)+AT49+AV49+AX49</f>
        <v>41</v>
      </c>
      <c r="AN49" s="38"/>
      <c r="AO49" s="38"/>
      <c r="AP49" s="38"/>
      <c r="AQ49" s="38"/>
      <c r="AR49" s="38">
        <f>SUM(AN49:AQ49)</f>
        <v>0</v>
      </c>
      <c r="AS49" s="38"/>
      <c r="AT49" s="38"/>
      <c r="AU49" s="38"/>
      <c r="AV49" s="38"/>
      <c r="AW49" s="38"/>
      <c r="AX49" s="38"/>
      <c r="AY49" s="38"/>
      <c r="AZ49" s="38"/>
      <c r="BA49" s="38">
        <f>+AR49+AS49+AU49+AW49+AY49+AZ49</f>
        <v>0</v>
      </c>
      <c r="BB49" s="34">
        <v>28</v>
      </c>
      <c r="BC49" s="52"/>
      <c r="BD49" s="52"/>
      <c r="BE49" s="34"/>
      <c r="BF49" s="52">
        <v>1</v>
      </c>
    </row>
    <row r="50" spans="1:58" ht="12.95" customHeight="1">
      <c r="A50" s="41"/>
      <c r="B50" s="42"/>
      <c r="C50" s="406"/>
      <c r="D50" s="42"/>
      <c r="E50" s="43"/>
      <c r="F50" s="43"/>
      <c r="G50" s="491"/>
      <c r="H50" s="45"/>
      <c r="I50" s="46"/>
      <c r="J50" s="83"/>
      <c r="K50" s="83"/>
      <c r="L50" s="36"/>
      <c r="M50" s="36"/>
      <c r="N50" s="47"/>
      <c r="O50" s="48"/>
      <c r="P50" s="49"/>
      <c r="Q50" s="48"/>
      <c r="R50" s="492"/>
      <c r="S50" s="492"/>
      <c r="T50" s="38"/>
      <c r="U50" s="38"/>
      <c r="V50" s="38"/>
      <c r="W50" s="38"/>
      <c r="X50" s="39"/>
      <c r="Y50" s="212"/>
      <c r="Z50" s="38"/>
      <c r="AA50" s="38"/>
      <c r="AB50" s="38"/>
      <c r="AC50" s="38"/>
      <c r="AD50" s="38">
        <f>+AM50+BA50</f>
        <v>0</v>
      </c>
      <c r="AE50" s="231" t="s">
        <v>408</v>
      </c>
      <c r="AF50" s="38"/>
      <c r="AG50" s="38">
        <v>0</v>
      </c>
      <c r="AH50" s="38"/>
      <c r="AI50" s="494"/>
      <c r="AJ50" s="38"/>
      <c r="AK50" s="38"/>
      <c r="AL50" s="38"/>
      <c r="AM50" s="38">
        <f t="shared" si="29"/>
        <v>0</v>
      </c>
      <c r="AN50" s="84"/>
      <c r="AO50" s="38"/>
      <c r="AP50" s="38"/>
      <c r="AQ50" s="38"/>
      <c r="AR50" s="38">
        <f t="shared" ref="AR50:AR51" si="30">SUM(AN50:AQ50)</f>
        <v>0</v>
      </c>
      <c r="AS50" s="38"/>
      <c r="AT50" s="38"/>
      <c r="AU50" s="38"/>
      <c r="AV50" s="38"/>
      <c r="AW50" s="38"/>
      <c r="AX50" s="38"/>
      <c r="AY50" s="38"/>
      <c r="AZ50" s="38"/>
      <c r="BA50" s="38">
        <f>+AR50+AS50+AU50+AW50+AY50+AZ50</f>
        <v>0</v>
      </c>
      <c r="BB50" s="51"/>
      <c r="BC50" s="52">
        <v>0</v>
      </c>
      <c r="BD50" s="52"/>
      <c r="BE50" s="51"/>
      <c r="BF50" s="52"/>
    </row>
    <row r="51" spans="1:58" ht="12.95" customHeight="1">
      <c r="A51" s="41"/>
      <c r="B51" s="42"/>
      <c r="C51" s="406"/>
      <c r="D51" s="42"/>
      <c r="E51" s="43"/>
      <c r="F51" s="43"/>
      <c r="G51" s="44"/>
      <c r="H51" s="45"/>
      <c r="I51" s="46"/>
      <c r="J51" s="83"/>
      <c r="K51" s="83"/>
      <c r="L51" s="36"/>
      <c r="M51" s="36"/>
      <c r="N51" s="47"/>
      <c r="O51" s="48"/>
      <c r="P51" s="49"/>
      <c r="Q51" s="48"/>
      <c r="R51" s="492"/>
      <c r="S51" s="492"/>
      <c r="T51" s="38"/>
      <c r="U51" s="38"/>
      <c r="V51" s="38"/>
      <c r="W51" s="38"/>
      <c r="X51" s="39"/>
      <c r="Y51" s="212"/>
      <c r="Z51" s="38"/>
      <c r="AA51" s="38"/>
      <c r="AB51" s="38"/>
      <c r="AC51" s="38"/>
      <c r="AD51" s="38">
        <f>+AM51+BA51</f>
        <v>43</v>
      </c>
      <c r="AE51" s="231" t="s">
        <v>414</v>
      </c>
      <c r="AF51" s="34"/>
      <c r="AG51" s="34"/>
      <c r="AH51" s="34">
        <v>43</v>
      </c>
      <c r="AJ51" s="38"/>
      <c r="AK51" s="38"/>
      <c r="AL51" s="38"/>
      <c r="AM51" s="38">
        <f t="shared" si="29"/>
        <v>43</v>
      </c>
      <c r="AN51" s="38"/>
      <c r="AO51" s="38"/>
      <c r="AP51" s="38"/>
      <c r="AQ51" s="38"/>
      <c r="AR51" s="38">
        <f t="shared" si="30"/>
        <v>0</v>
      </c>
      <c r="AS51" s="38"/>
      <c r="AT51" s="38"/>
      <c r="AU51" s="38"/>
      <c r="AV51" s="38"/>
      <c r="AW51" s="38"/>
      <c r="AX51" s="38"/>
      <c r="AY51" s="38"/>
      <c r="AZ51" s="38"/>
      <c r="BA51" s="38">
        <f>+AR51+AS51+AU51+AW51+AY51+AZ51</f>
        <v>0</v>
      </c>
      <c r="BB51" s="34"/>
      <c r="BC51" s="495"/>
      <c r="BD51" s="495"/>
      <c r="BE51" s="34"/>
      <c r="BF51" s="495"/>
    </row>
    <row r="52" spans="1:58" ht="12.95" customHeight="1">
      <c r="A52" s="41"/>
      <c r="B52" s="42"/>
      <c r="C52" s="406"/>
      <c r="D52" s="42"/>
      <c r="E52" s="43"/>
      <c r="F52" s="43"/>
      <c r="G52" s="44"/>
      <c r="H52" s="45"/>
      <c r="I52" s="46"/>
      <c r="J52" s="83"/>
      <c r="K52" s="83"/>
      <c r="L52" s="36"/>
      <c r="M52" s="36"/>
      <c r="N52" s="47"/>
      <c r="O52" s="48"/>
      <c r="P52" s="49"/>
      <c r="Q52" s="35"/>
      <c r="R52" s="492"/>
      <c r="S52" s="492"/>
      <c r="T52" s="38"/>
      <c r="U52" s="38"/>
      <c r="V52" s="38"/>
      <c r="W52" s="38"/>
      <c r="X52" s="39"/>
      <c r="Y52" s="212"/>
      <c r="Z52" s="38"/>
      <c r="AA52" s="38"/>
      <c r="AB52" s="38"/>
      <c r="AC52" s="38"/>
      <c r="AD52" s="38"/>
      <c r="AE52" s="234"/>
      <c r="AF52" s="38"/>
      <c r="AG52" s="38"/>
      <c r="AH52" s="38"/>
      <c r="AI52" s="494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51"/>
      <c r="BC52" s="52"/>
      <c r="BD52" s="495"/>
      <c r="BE52" s="34"/>
      <c r="BF52" s="495"/>
    </row>
    <row r="53" spans="1:58" ht="12.75" customHeight="1">
      <c r="A53" s="41">
        <v>45850</v>
      </c>
      <c r="B53" s="42" t="s">
        <v>412</v>
      </c>
      <c r="C53" s="406">
        <f>(M53*E53*O53*Q53)/100000000</f>
        <v>44.751657600000001</v>
      </c>
      <c r="D53" s="42" t="s">
        <v>301</v>
      </c>
      <c r="E53" s="43">
        <v>13</v>
      </c>
      <c r="F53" s="43">
        <v>1</v>
      </c>
      <c r="G53" s="491">
        <v>1230</v>
      </c>
      <c r="H53" s="45">
        <v>0.23</v>
      </c>
      <c r="I53" s="46">
        <v>0.88</v>
      </c>
      <c r="J53" s="83">
        <f>E53*G53*(1-H53)*1440/1000000*2.74</f>
        <v>48.579410880000005</v>
      </c>
      <c r="K53" s="83">
        <f>(IF(G53&lt;L53,L53,G53)*(1-IF(H53&lt;N53,H53,N53))*E53*O53*Q53)/100000000</f>
        <v>45.870449039999997</v>
      </c>
      <c r="L53" s="36">
        <v>1200</v>
      </c>
      <c r="M53" s="36">
        <v>932</v>
      </c>
      <c r="N53" s="47">
        <f>1-(M53/L53)</f>
        <v>0.22333333333333338</v>
      </c>
      <c r="O53" s="48">
        <f>+'Trim Rwd'!H37</f>
        <v>256.5</v>
      </c>
      <c r="P53" s="49">
        <f>O53*(Q53-R53-S53)</f>
        <v>348840</v>
      </c>
      <c r="Q53" s="48">
        <v>1440</v>
      </c>
      <c r="R53" s="492">
        <v>0</v>
      </c>
      <c r="S53" s="492">
        <v>80</v>
      </c>
      <c r="T53" s="38">
        <f>E53*M53*O53*Q53/100000000</f>
        <v>44.751657600000001</v>
      </c>
      <c r="U53" s="38">
        <f>E53*M53*O53*(Q53-R53-S53)/100000000</f>
        <v>42.265454400000003</v>
      </c>
      <c r="V53" s="38">
        <f>E53*G53*(1-N53)*O53/100*(R53+S53)/1000000</f>
        <v>2.5483582800000004</v>
      </c>
      <c r="W53" s="38">
        <f>+'12'!K11/1000</f>
        <v>43.52</v>
      </c>
      <c r="X53" s="493">
        <f>SUM(W53:W56)/SUM(K53:K56)</f>
        <v>0.94875897033512024</v>
      </c>
      <c r="Y53" s="212">
        <f>+SUM(RBP!AG44:AG45)</f>
        <v>0</v>
      </c>
      <c r="Z53" s="38">
        <f>+'6'!D58/1000</f>
        <v>0</v>
      </c>
      <c r="AA53" s="50">
        <f>SUM(U53:U56)-SUM(W53:W56)-SUM(Z53:Z56)-SUM(Y53:Y56)</f>
        <v>-1.2545456000000001</v>
      </c>
      <c r="AB53" s="50">
        <f>(SUM(K53:K56)-SUM(W53:W56)-SUM(Y53:Y56)-SUM(Z53:Z56)-SUM(AC53:AC56)-SUM(V53:V56))-AA53</f>
        <v>-6.2155080000001917E-2</v>
      </c>
      <c r="AC53" s="38">
        <f>K53-T53</f>
        <v>1.1187914399999954</v>
      </c>
      <c r="AD53" s="38">
        <f>+AM53+BA53</f>
        <v>24</v>
      </c>
      <c r="AE53" s="231" t="s">
        <v>471</v>
      </c>
      <c r="AF53" s="38">
        <v>24</v>
      </c>
      <c r="AG53" s="38"/>
      <c r="AH53" s="38"/>
      <c r="AI53" s="494"/>
      <c r="AJ53" s="38"/>
      <c r="AK53" s="38"/>
      <c r="AL53" s="38"/>
      <c r="AM53" s="38">
        <f t="shared" ref="AM53:AM55" si="31">SUM(AF53:AL53)+AT53+AV53+AX53</f>
        <v>24</v>
      </c>
      <c r="AN53" s="38"/>
      <c r="AO53" s="38"/>
      <c r="AP53" s="38"/>
      <c r="AQ53" s="38"/>
      <c r="AR53" s="38">
        <f>SUM(AN53:AQ53)</f>
        <v>0</v>
      </c>
      <c r="AS53" s="38"/>
      <c r="AT53" s="38"/>
      <c r="AU53" s="38"/>
      <c r="AV53" s="38"/>
      <c r="AW53" s="38"/>
      <c r="AX53" s="38"/>
      <c r="AY53" s="38"/>
      <c r="AZ53" s="38"/>
      <c r="BA53" s="38">
        <f>+AR53+AS53+AU53+AW53+AY53+AZ53</f>
        <v>0</v>
      </c>
      <c r="BB53" s="34">
        <v>8</v>
      </c>
      <c r="BC53" s="52"/>
      <c r="BD53" s="52"/>
      <c r="BE53" s="34"/>
      <c r="BF53" s="52"/>
    </row>
    <row r="54" spans="1:58" ht="12.95" customHeight="1">
      <c r="A54" s="41"/>
      <c r="B54" s="42"/>
      <c r="C54" s="406"/>
      <c r="D54" s="42"/>
      <c r="E54" s="43"/>
      <c r="F54" s="43"/>
      <c r="G54" s="491"/>
      <c r="H54" s="45"/>
      <c r="I54" s="46"/>
      <c r="J54" s="83"/>
      <c r="K54" s="83"/>
      <c r="L54" s="36"/>
      <c r="M54" s="36"/>
      <c r="N54" s="47"/>
      <c r="O54" s="48"/>
      <c r="P54" s="49"/>
      <c r="Q54" s="48"/>
      <c r="R54" s="492"/>
      <c r="S54" s="492"/>
      <c r="T54" s="38"/>
      <c r="U54" s="38"/>
      <c r="V54" s="38"/>
      <c r="W54" s="38"/>
      <c r="X54" s="39"/>
      <c r="Y54" s="212"/>
      <c r="Z54" s="38"/>
      <c r="AA54" s="38"/>
      <c r="AB54" s="38"/>
      <c r="AC54" s="38"/>
      <c r="AD54" s="38">
        <f>+AM54+BA54</f>
        <v>10</v>
      </c>
      <c r="AE54" s="231" t="s">
        <v>460</v>
      </c>
      <c r="AF54" s="38"/>
      <c r="AG54" s="38">
        <v>10</v>
      </c>
      <c r="AH54" s="38"/>
      <c r="AI54" s="494"/>
      <c r="AJ54" s="38"/>
      <c r="AK54" s="38"/>
      <c r="AL54" s="38"/>
      <c r="AM54" s="38">
        <f t="shared" si="31"/>
        <v>10</v>
      </c>
      <c r="AN54" s="84"/>
      <c r="AO54" s="38"/>
      <c r="AP54" s="38"/>
      <c r="AQ54" s="38"/>
      <c r="AR54" s="38">
        <f t="shared" ref="AR54:AR55" si="32">SUM(AN54:AQ54)</f>
        <v>0</v>
      </c>
      <c r="AS54" s="38"/>
      <c r="AT54" s="38"/>
      <c r="AU54" s="38"/>
      <c r="AV54" s="38"/>
      <c r="AW54" s="38"/>
      <c r="AX54" s="38"/>
      <c r="AY54" s="38"/>
      <c r="AZ54" s="38"/>
      <c r="BA54" s="38">
        <f>+AR54+AS54+AU54+AW54+AY54+AZ54</f>
        <v>0</v>
      </c>
      <c r="BB54" s="51"/>
      <c r="BC54" s="52">
        <v>9</v>
      </c>
      <c r="BD54" s="52"/>
      <c r="BE54" s="51"/>
      <c r="BF54" s="52"/>
    </row>
    <row r="55" spans="1:58" ht="12.95" customHeight="1">
      <c r="A55" s="41"/>
      <c r="B55" s="42"/>
      <c r="C55" s="406"/>
      <c r="D55" s="42"/>
      <c r="E55" s="43"/>
      <c r="F55" s="43"/>
      <c r="G55" s="44"/>
      <c r="H55" s="45"/>
      <c r="I55" s="46"/>
      <c r="J55" s="83"/>
      <c r="K55" s="83"/>
      <c r="L55" s="36"/>
      <c r="M55" s="36"/>
      <c r="N55" s="47"/>
      <c r="O55" s="48"/>
      <c r="P55" s="49"/>
      <c r="Q55" s="48"/>
      <c r="R55" s="492"/>
      <c r="S55" s="492"/>
      <c r="T55" s="38"/>
      <c r="U55" s="38"/>
      <c r="V55" s="38"/>
      <c r="W55" s="38"/>
      <c r="X55" s="39"/>
      <c r="Y55" s="212"/>
      <c r="Z55" s="38"/>
      <c r="AA55" s="38"/>
      <c r="AB55" s="38"/>
      <c r="AC55" s="38"/>
      <c r="AD55" s="38">
        <f>+AM55+BA55</f>
        <v>46</v>
      </c>
      <c r="AE55" s="231" t="s">
        <v>492</v>
      </c>
      <c r="AF55" s="34"/>
      <c r="AG55" s="34"/>
      <c r="AH55" s="582">
        <v>46</v>
      </c>
      <c r="AJ55" s="38"/>
      <c r="AK55" s="38"/>
      <c r="AL55" s="38"/>
      <c r="AM55" s="38">
        <f t="shared" si="31"/>
        <v>46</v>
      </c>
      <c r="AN55" s="38"/>
      <c r="AO55" s="38"/>
      <c r="AP55" s="38"/>
      <c r="AQ55" s="38"/>
      <c r="AR55" s="38">
        <f t="shared" si="32"/>
        <v>0</v>
      </c>
      <c r="AS55" s="38"/>
      <c r="AT55" s="38"/>
      <c r="AU55" s="38"/>
      <c r="AV55" s="38"/>
      <c r="AW55" s="38"/>
      <c r="AX55" s="38"/>
      <c r="AY55" s="38"/>
      <c r="AZ55" s="38"/>
      <c r="BA55" s="38">
        <f>+AR55+AS55+AU55+AW55+AY55+AZ55</f>
        <v>0</v>
      </c>
      <c r="BB55" s="34"/>
      <c r="BC55" s="495"/>
      <c r="BD55" s="495"/>
      <c r="BE55" s="34"/>
      <c r="BF55" s="495"/>
    </row>
    <row r="56" spans="1:58" ht="12.95" customHeight="1">
      <c r="A56" s="41"/>
      <c r="B56" s="42"/>
      <c r="C56" s="406"/>
      <c r="D56" s="42"/>
      <c r="E56" s="43"/>
      <c r="F56" s="43"/>
      <c r="G56" s="44"/>
      <c r="H56" s="45"/>
      <c r="I56" s="46"/>
      <c r="J56" s="83"/>
      <c r="K56" s="83"/>
      <c r="L56" s="36"/>
      <c r="M56" s="36"/>
      <c r="N56" s="47"/>
      <c r="O56" s="48"/>
      <c r="P56" s="49"/>
      <c r="Q56" s="48"/>
      <c r="R56" s="492"/>
      <c r="S56" s="492"/>
      <c r="T56" s="38"/>
      <c r="U56" s="38"/>
      <c r="V56" s="38"/>
      <c r="W56" s="38"/>
      <c r="X56" s="39"/>
      <c r="Y56" s="212"/>
      <c r="Z56" s="38"/>
      <c r="AA56" s="38"/>
      <c r="AB56" s="38"/>
      <c r="AC56" s="38"/>
      <c r="AD56" s="38"/>
      <c r="AE56" s="231"/>
      <c r="AF56" s="34"/>
      <c r="AG56" s="34"/>
      <c r="AH56" s="34"/>
      <c r="AI56" s="34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4"/>
      <c r="BC56" s="495"/>
      <c r="BD56" s="495"/>
      <c r="BE56" s="34"/>
      <c r="BF56" s="495"/>
    </row>
    <row r="57" spans="1:58" ht="12.75" customHeight="1">
      <c r="A57" s="41">
        <v>45851</v>
      </c>
      <c r="B57" s="42" t="s">
        <v>412</v>
      </c>
      <c r="C57" s="406">
        <f>(M57*E57*O57*Q57)/100000000</f>
        <v>37.364031340149523</v>
      </c>
      <c r="D57" s="42" t="s">
        <v>301</v>
      </c>
      <c r="E57" s="43">
        <v>13</v>
      </c>
      <c r="F57" s="43">
        <v>1</v>
      </c>
      <c r="G57" s="491">
        <v>1230</v>
      </c>
      <c r="H57" s="45">
        <v>0.23</v>
      </c>
      <c r="I57" s="46">
        <v>0.88</v>
      </c>
      <c r="J57" s="83">
        <f>E57*G57*(1-H57)*1440/1000000*2.74</f>
        <v>48.579410880000005</v>
      </c>
      <c r="K57" s="83">
        <f>(IF(G57&lt;L57,L57,G57)*(1-IF(H57&lt;N57,H57,N57))*E57*O57*Q57)/100000000</f>
        <v>37.457953722403104</v>
      </c>
      <c r="L57" s="36">
        <v>1226.9158878504672</v>
      </c>
      <c r="M57" s="36">
        <v>947.19252336448585</v>
      </c>
      <c r="N57" s="47">
        <f>1-(M57/L57)</f>
        <v>0.22798903107861068</v>
      </c>
      <c r="O57" s="48">
        <f>+'Trim Rwd'!H39</f>
        <v>256.5</v>
      </c>
      <c r="P57" s="49">
        <f>O57*(Q57-R57-S57)</f>
        <v>259065</v>
      </c>
      <c r="Q57" s="48">
        <f>1070+113</f>
        <v>1183</v>
      </c>
      <c r="R57" s="492">
        <v>113</v>
      </c>
      <c r="S57" s="492">
        <v>60</v>
      </c>
      <c r="T57" s="38">
        <f>E57*M57*O57*Q57/100000000</f>
        <v>37.364031340149523</v>
      </c>
      <c r="U57" s="38">
        <f>E57*M57*O57*(Q57-R57-S57)/100000000</f>
        <v>31.899976038504668</v>
      </c>
      <c r="V57" s="38">
        <f>E57*G57*(1-N57)*O57/100*(R57+S57)/1000000</f>
        <v>5.47779035839031</v>
      </c>
      <c r="W57" s="38">
        <f>+'13'!K11/1000</f>
        <v>34.942</v>
      </c>
      <c r="X57" s="493">
        <f>SUM(W57:W60)/SUM(K57:K60)</f>
        <v>0.89669885768638002</v>
      </c>
      <c r="Y57" s="212">
        <f>+SUM(RBP!AG48:AG49)</f>
        <v>0</v>
      </c>
      <c r="Z57" s="38">
        <f>+'6'!D62/1000</f>
        <v>0</v>
      </c>
      <c r="AA57" s="50">
        <f>SUM(U57:U60)-SUM(W57:W60)-SUM(Z57:Z60)-SUM(Y57:Y60)</f>
        <v>-1.5916715414953302</v>
      </c>
      <c r="AB57" s="50">
        <f>(SUM(K57:K60)-SUM(W57:W60)-SUM(Y57:Y60)-SUM(Z57:Z60)-SUM(AC57:AC60)-SUM(V57:V60))-AA57</f>
        <v>3.7464553254541677E-2</v>
      </c>
      <c r="AC57" s="38">
        <f>K57-T57</f>
        <v>9.3922382253580849E-2</v>
      </c>
      <c r="AD57" s="38">
        <f>+AM57+BA57</f>
        <v>32</v>
      </c>
      <c r="AE57" s="231" t="s">
        <v>471</v>
      </c>
      <c r="AF57" s="38">
        <v>32</v>
      </c>
      <c r="AG57" s="38"/>
      <c r="AH57" s="38"/>
      <c r="AI57" s="38"/>
      <c r="AJ57" s="38"/>
      <c r="AK57" s="38"/>
      <c r="AL57" s="38"/>
      <c r="AM57" s="38">
        <f t="shared" ref="AM57:AM59" si="33">SUM(AF57:AL57)+AT57+AV57+AX57</f>
        <v>32</v>
      </c>
      <c r="AN57" s="38"/>
      <c r="AO57" s="38"/>
      <c r="AP57" s="38"/>
      <c r="AQ57" s="38"/>
      <c r="AR57" s="38">
        <f>SUM(AN57:AQ57)</f>
        <v>0</v>
      </c>
      <c r="AS57" s="38"/>
      <c r="AT57" s="38"/>
      <c r="AU57" s="38"/>
      <c r="AV57" s="38"/>
      <c r="AW57" s="38"/>
      <c r="AX57" s="38"/>
      <c r="AY57" s="38"/>
      <c r="AZ57" s="38"/>
      <c r="BA57" s="38">
        <f>+AR57+AS57+AU57+AW57+AY57+AZ57</f>
        <v>0</v>
      </c>
      <c r="BB57" s="34">
        <v>8</v>
      </c>
      <c r="BC57" s="52"/>
      <c r="BD57" s="52"/>
      <c r="BE57" s="34"/>
      <c r="BF57" s="52"/>
    </row>
    <row r="58" spans="1:58" ht="12.95" customHeight="1">
      <c r="A58" s="41"/>
      <c r="B58" s="42" t="s">
        <v>7</v>
      </c>
      <c r="C58" s="406">
        <f>(M58*E58*O58*Q58)/100000000</f>
        <v>6.8021719149999997</v>
      </c>
      <c r="D58" s="42" t="s">
        <v>301</v>
      </c>
      <c r="E58" s="43">
        <v>11.5</v>
      </c>
      <c r="F58" s="43">
        <v>1</v>
      </c>
      <c r="G58" s="491">
        <v>1230</v>
      </c>
      <c r="H58" s="45">
        <v>0.23</v>
      </c>
      <c r="I58" s="46">
        <v>0.88</v>
      </c>
      <c r="J58" s="83">
        <f>E58*G58*(1-H58)*1440/1000000*2.74</f>
        <v>42.974094239999999</v>
      </c>
      <c r="K58" s="83">
        <f>(IF(G58&lt;L58,L58,G58)*(1-IF(H58&lt;N58,H58,N58))*E58*O58*Q58)/100000000</f>
        <v>6.8579274225000004</v>
      </c>
      <c r="L58" s="36">
        <v>1220</v>
      </c>
      <c r="M58" s="36">
        <v>939.4</v>
      </c>
      <c r="N58" s="47">
        <f>1-(M58/L58)</f>
        <v>0.22999999999999998</v>
      </c>
      <c r="O58" s="48">
        <f>+'Trim Rwd'!H40</f>
        <v>245</v>
      </c>
      <c r="P58" s="49">
        <f>O58*(Q58-R58-S58)</f>
        <v>57820</v>
      </c>
      <c r="Q58" s="48">
        <v>257</v>
      </c>
      <c r="R58" s="492">
        <v>0</v>
      </c>
      <c r="S58" s="492">
        <v>21</v>
      </c>
      <c r="T58" s="38">
        <f>E58*M58*O58*Q58/100000000</f>
        <v>6.8021719149999997</v>
      </c>
      <c r="U58" s="38">
        <f>E58*M58*O58*(Q58-R58-S58)/100000000</f>
        <v>6.24635242</v>
      </c>
      <c r="V58" s="38">
        <f>E58*G58*(1-N58)*O58/100*(R58+S58)/1000000</f>
        <v>0.56037539250000001</v>
      </c>
      <c r="W58" s="38">
        <f>+'13'!K12/1000</f>
        <v>4.7960000000000003</v>
      </c>
      <c r="X58" s="39"/>
      <c r="Y58" s="212"/>
      <c r="Z58" s="38"/>
      <c r="AA58" s="38"/>
      <c r="AB58" s="38"/>
      <c r="AC58" s="38"/>
      <c r="AD58" s="38">
        <f>+AM58+BA58</f>
        <v>9</v>
      </c>
      <c r="AE58" s="231" t="s">
        <v>521</v>
      </c>
      <c r="AF58" s="38"/>
      <c r="AG58" s="38">
        <v>9</v>
      </c>
      <c r="AH58" s="38"/>
      <c r="AI58" s="38"/>
      <c r="AJ58" s="38"/>
      <c r="AK58" s="38"/>
      <c r="AL58" s="38"/>
      <c r="AM58" s="38">
        <f t="shared" si="33"/>
        <v>9</v>
      </c>
      <c r="AN58" s="84"/>
      <c r="AO58" s="38"/>
      <c r="AP58" s="38"/>
      <c r="AQ58" s="38"/>
      <c r="AR58" s="38">
        <f t="shared" ref="AR58:AR59" si="34">SUM(AN58:AQ58)</f>
        <v>0</v>
      </c>
      <c r="AS58" s="38"/>
      <c r="AT58" s="38"/>
      <c r="AU58" s="38"/>
      <c r="AV58" s="38"/>
      <c r="AW58" s="38"/>
      <c r="AX58" s="38"/>
      <c r="AY58" s="38"/>
      <c r="AZ58" s="38"/>
      <c r="BA58" s="38">
        <f>+AR58+AS58+AU58+AW58+AY58+AZ58</f>
        <v>0</v>
      </c>
      <c r="BB58" s="51"/>
      <c r="BC58" s="52">
        <v>8</v>
      </c>
      <c r="BD58" s="52"/>
      <c r="BE58" s="51"/>
      <c r="BF58" s="52"/>
    </row>
    <row r="59" spans="1:58" ht="12.95" customHeight="1">
      <c r="A59" s="41"/>
      <c r="B59" s="42"/>
      <c r="C59" s="406"/>
      <c r="D59" s="42"/>
      <c r="E59" s="43"/>
      <c r="F59" s="43"/>
      <c r="G59" s="44"/>
      <c r="H59" s="45"/>
      <c r="I59" s="46"/>
      <c r="J59" s="83"/>
      <c r="K59" s="83"/>
      <c r="L59" s="36"/>
      <c r="M59" s="36"/>
      <c r="N59" s="47"/>
      <c r="O59" s="48"/>
      <c r="P59" s="49"/>
      <c r="Q59" s="48"/>
      <c r="R59" s="492"/>
      <c r="S59" s="492"/>
      <c r="T59" s="38"/>
      <c r="U59" s="38"/>
      <c r="V59" s="38"/>
      <c r="W59" s="38"/>
      <c r="X59" s="39"/>
      <c r="Y59" s="212"/>
      <c r="Z59" s="38"/>
      <c r="AA59" s="38"/>
      <c r="AB59" s="38"/>
      <c r="AC59" s="38"/>
      <c r="AD59" s="38">
        <f>+AM59+BA59</f>
        <v>40</v>
      </c>
      <c r="AE59" s="231" t="s">
        <v>456</v>
      </c>
      <c r="AF59" s="34"/>
      <c r="AG59" s="34"/>
      <c r="AH59" s="34">
        <v>40</v>
      </c>
      <c r="AI59" s="34"/>
      <c r="AJ59" s="38"/>
      <c r="AK59" s="38"/>
      <c r="AL59" s="38"/>
      <c r="AM59" s="38">
        <f t="shared" si="33"/>
        <v>40</v>
      </c>
      <c r="AN59" s="38"/>
      <c r="AO59" s="38"/>
      <c r="AP59" s="38"/>
      <c r="AQ59" s="38"/>
      <c r="AR59" s="38">
        <f t="shared" si="34"/>
        <v>0</v>
      </c>
      <c r="AS59" s="38"/>
      <c r="AT59" s="38"/>
      <c r="AU59" s="38"/>
      <c r="AV59" s="38"/>
      <c r="AW59" s="38"/>
      <c r="AX59" s="38"/>
      <c r="AY59" s="38"/>
      <c r="AZ59" s="38"/>
      <c r="BA59" s="38">
        <f>+AR59+AS59+AU59+AW59+AY59+AZ59</f>
        <v>0</v>
      </c>
      <c r="BB59" s="34"/>
      <c r="BC59" s="495"/>
      <c r="BD59" s="495"/>
      <c r="BE59" s="34"/>
      <c r="BF59" s="495"/>
    </row>
    <row r="60" spans="1:58" ht="12.95" customHeight="1">
      <c r="A60" s="41"/>
      <c r="B60" s="42"/>
      <c r="C60" s="406"/>
      <c r="D60" s="42"/>
      <c r="E60" s="43"/>
      <c r="F60" s="43"/>
      <c r="G60" s="44"/>
      <c r="H60" s="45"/>
      <c r="I60" s="46"/>
      <c r="J60" s="83"/>
      <c r="K60" s="83"/>
      <c r="L60" s="36"/>
      <c r="M60" s="36"/>
      <c r="N60" s="47"/>
      <c r="O60" s="48"/>
      <c r="P60" s="49"/>
      <c r="Q60" s="48"/>
      <c r="R60" s="492"/>
      <c r="S60" s="492"/>
      <c r="T60" s="38"/>
      <c r="U60" s="38"/>
      <c r="V60" s="38"/>
      <c r="W60" s="38"/>
      <c r="X60" s="39"/>
      <c r="Y60" s="212"/>
      <c r="Z60" s="38"/>
      <c r="AA60" s="38"/>
      <c r="AB60" s="38"/>
      <c r="AC60" s="38"/>
      <c r="AD60" s="38">
        <f>+AM60+BA60</f>
        <v>113</v>
      </c>
      <c r="AE60" s="231" t="s">
        <v>540</v>
      </c>
      <c r="AF60" s="34"/>
      <c r="AG60" s="34"/>
      <c r="AH60" s="34"/>
      <c r="AI60" s="34"/>
      <c r="AJ60" s="38"/>
      <c r="AK60" s="38"/>
      <c r="AL60" s="38"/>
      <c r="AM60" s="38">
        <f t="shared" ref="AM60" si="35">SUM(AF60:AL60)+AT60+AV60+AX60</f>
        <v>0</v>
      </c>
      <c r="AN60" s="38"/>
      <c r="AO60" s="38"/>
      <c r="AP60" s="38"/>
      <c r="AQ60" s="38"/>
      <c r="AR60" s="38">
        <f t="shared" ref="AR60" si="36">SUM(AN60:AQ60)</f>
        <v>0</v>
      </c>
      <c r="AS60" s="38">
        <v>113</v>
      </c>
      <c r="AT60" s="38"/>
      <c r="AU60" s="38"/>
      <c r="AV60" s="38"/>
      <c r="AW60" s="38"/>
      <c r="AX60" s="38"/>
      <c r="AY60" s="38"/>
      <c r="AZ60" s="38"/>
      <c r="BA60" s="38">
        <f>+AR60+AS60+AU60+AW60+AY60+AZ60</f>
        <v>113</v>
      </c>
      <c r="BB60" s="34"/>
      <c r="BC60" s="495"/>
      <c r="BD60" s="495"/>
      <c r="BE60" s="34"/>
      <c r="BF60" s="495"/>
    </row>
    <row r="61" spans="1:58" ht="12.95" customHeight="1">
      <c r="A61" s="41"/>
      <c r="B61" s="42"/>
      <c r="C61" s="406"/>
      <c r="D61" s="42"/>
      <c r="E61" s="43"/>
      <c r="F61" s="43"/>
      <c r="G61" s="44"/>
      <c r="H61" s="45"/>
      <c r="I61" s="46"/>
      <c r="J61" s="83"/>
      <c r="K61" s="83"/>
      <c r="L61" s="36"/>
      <c r="M61" s="36"/>
      <c r="N61" s="47"/>
      <c r="O61" s="48"/>
      <c r="P61" s="49"/>
      <c r="Q61" s="48"/>
      <c r="R61" s="492"/>
      <c r="S61" s="492"/>
      <c r="T61" s="38"/>
      <c r="U61" s="38"/>
      <c r="V61" s="38"/>
      <c r="W61" s="38"/>
      <c r="X61" s="39"/>
      <c r="Y61" s="212"/>
      <c r="Z61" s="38"/>
      <c r="AA61" s="38"/>
      <c r="AB61" s="38"/>
      <c r="AC61" s="38"/>
      <c r="AD61" s="38"/>
      <c r="AE61" s="231"/>
      <c r="AF61" s="34"/>
      <c r="AG61" s="34"/>
      <c r="AH61" s="34"/>
      <c r="AI61" s="34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4"/>
      <c r="BC61" s="495"/>
      <c r="BD61" s="52"/>
      <c r="BE61" s="34"/>
      <c r="BF61" s="52"/>
    </row>
    <row r="62" spans="1:58" ht="12.75" customHeight="1">
      <c r="A62" s="41">
        <v>45852</v>
      </c>
      <c r="B62" s="42" t="s">
        <v>7</v>
      </c>
      <c r="C62" s="406">
        <f>(M62*E62*O62*Q62)/100000000</f>
        <v>34.243426900253169</v>
      </c>
      <c r="D62" s="42" t="s">
        <v>301</v>
      </c>
      <c r="E62" s="43">
        <v>12</v>
      </c>
      <c r="F62" s="43">
        <v>1</v>
      </c>
      <c r="G62" s="491">
        <v>1230</v>
      </c>
      <c r="H62" s="45">
        <v>0.23</v>
      </c>
      <c r="I62" s="46">
        <v>0.88</v>
      </c>
      <c r="J62" s="83">
        <f>E62*G62*(1-H62)*1440/1000000*2.74</f>
        <v>44.842533120000006</v>
      </c>
      <c r="K62" s="83">
        <f>(IF(G62&lt;L62,L62,G62)*(1-IF(H62&lt;N62,H62,N62))*E62*O62*Q62)/100000000</f>
        <v>43.53326208</v>
      </c>
      <c r="L62" s="36">
        <v>967.52260397830014</v>
      </c>
      <c r="M62" s="36">
        <v>744.99240506329124</v>
      </c>
      <c r="N62" s="47">
        <f>1-(M62/L62)</f>
        <v>0.22999999999999987</v>
      </c>
      <c r="O62" s="48">
        <f>+'Trim Rwd'!H43</f>
        <v>266</v>
      </c>
      <c r="P62" s="49">
        <f>O62*(Q62-R62-S62)</f>
        <v>139384</v>
      </c>
      <c r="Q62" s="48">
        <v>1440</v>
      </c>
      <c r="R62" s="492">
        <v>887</v>
      </c>
      <c r="S62" s="492">
        <v>29</v>
      </c>
      <c r="T62" s="38">
        <f>E62*M62*O62*Q62/100000000</f>
        <v>34.243426900253169</v>
      </c>
      <c r="U62" s="38">
        <f>E62*M62*O62*(Q62-R62-S62)/100000000</f>
        <v>12.460802566481012</v>
      </c>
      <c r="V62" s="38">
        <f>E62*G62*(1-N62)*O62/100*(R62+S62)/1000000</f>
        <v>27.691991712000007</v>
      </c>
      <c r="W62" s="38">
        <f>+'14'!K9/1000</f>
        <v>9.5060000000000002</v>
      </c>
      <c r="X62" s="493">
        <f>SUM(W62:W65)/SUM(K62:K65)</f>
        <v>0.24461755198658433</v>
      </c>
      <c r="Y62" s="212">
        <f>+SUM(RBP!AG53:AG54)</f>
        <v>0</v>
      </c>
      <c r="Z62" s="38">
        <f>+'6'!D67/1000</f>
        <v>0</v>
      </c>
      <c r="AA62" s="50">
        <f>SUM(U62:U65)-SUM(W62:W65)-SUM(Z62:Z65)-SUM(Y62:Y65)</f>
        <v>1.8118025664810116</v>
      </c>
      <c r="AB62" s="50">
        <f>(SUM(K62:K65)-SUM(W62:W65)-SUM(Y62:Y65)-SUM(Z62:Z65)-SUM(AC62:AC65)-SUM(V62:V65))-AA62</f>
        <v>-5.9093673782278504</v>
      </c>
      <c r="AC62" s="38">
        <f>K62-T62</f>
        <v>9.2898351797468308</v>
      </c>
      <c r="AD62" s="38">
        <f>+AM62+BA62</f>
        <v>8</v>
      </c>
      <c r="AE62" s="231" t="s">
        <v>470</v>
      </c>
      <c r="AF62" s="38">
        <v>8</v>
      </c>
      <c r="AG62" s="38"/>
      <c r="AH62" s="38"/>
      <c r="AI62" s="494"/>
      <c r="AJ62" s="38"/>
      <c r="AK62" s="38"/>
      <c r="AL62" s="38"/>
      <c r="AM62" s="38">
        <f t="shared" ref="AM62:AM64" si="37">SUM(AF62:AL62)+AT62+AV62+AX62</f>
        <v>8</v>
      </c>
      <c r="AN62" s="38"/>
      <c r="AO62" s="38"/>
      <c r="AP62" s="38"/>
      <c r="AQ62" s="38"/>
      <c r="AR62" s="38">
        <f>SUM(AN62:AQ62)</f>
        <v>0</v>
      </c>
      <c r="AS62" s="38"/>
      <c r="AT62" s="38"/>
      <c r="AU62" s="38"/>
      <c r="AV62" s="38"/>
      <c r="AW62" s="38"/>
      <c r="AX62" s="38"/>
      <c r="AY62" s="38"/>
      <c r="AZ62" s="38"/>
      <c r="BA62" s="38">
        <f>+AR62+AS62+AU62+AW62+AY62+AZ62</f>
        <v>0</v>
      </c>
      <c r="BB62" s="34">
        <v>4</v>
      </c>
      <c r="BC62" s="52"/>
      <c r="BD62" s="52"/>
      <c r="BE62" s="34"/>
      <c r="BF62" s="52"/>
    </row>
    <row r="63" spans="1:58" ht="12.95" customHeight="1">
      <c r="A63" s="41"/>
      <c r="B63" s="42" t="s">
        <v>7</v>
      </c>
      <c r="C63" s="406"/>
      <c r="D63" s="42"/>
      <c r="E63" s="43">
        <v>11.5</v>
      </c>
      <c r="F63" s="43"/>
      <c r="G63" s="491"/>
      <c r="H63" s="45"/>
      <c r="I63" s="46"/>
      <c r="J63" s="83"/>
      <c r="K63" s="83"/>
      <c r="L63" s="36"/>
      <c r="M63" s="36"/>
      <c r="N63" s="47"/>
      <c r="O63" s="48"/>
      <c r="P63" s="49"/>
      <c r="Q63" s="48"/>
      <c r="R63" s="492"/>
      <c r="S63" s="492"/>
      <c r="T63" s="38"/>
      <c r="U63" s="38"/>
      <c r="V63" s="38"/>
      <c r="W63" s="38">
        <f>+'14'!K12/1000</f>
        <v>1.143</v>
      </c>
      <c r="X63" s="39"/>
      <c r="Y63" s="212"/>
      <c r="Z63" s="38"/>
      <c r="AA63" s="38"/>
      <c r="AB63" s="38"/>
      <c r="AC63" s="38"/>
      <c r="AD63" s="38">
        <f>+AM63+BA63</f>
        <v>0</v>
      </c>
      <c r="AE63" s="231" t="s">
        <v>408</v>
      </c>
      <c r="AF63" s="38"/>
      <c r="AG63" s="38">
        <v>0</v>
      </c>
      <c r="AH63" s="38"/>
      <c r="AI63" s="494"/>
      <c r="AJ63" s="38"/>
      <c r="AK63" s="38"/>
      <c r="AL63" s="38"/>
      <c r="AM63" s="38">
        <f t="shared" si="37"/>
        <v>0</v>
      </c>
      <c r="AN63" s="84"/>
      <c r="AO63" s="38"/>
      <c r="AP63" s="38"/>
      <c r="AQ63" s="38"/>
      <c r="AR63" s="38">
        <f t="shared" ref="AR63:AR64" si="38">SUM(AN63:AQ63)</f>
        <v>0</v>
      </c>
      <c r="AS63" s="38"/>
      <c r="AT63" s="38"/>
      <c r="AU63" s="38"/>
      <c r="AV63" s="38"/>
      <c r="AW63" s="38"/>
      <c r="AX63" s="38"/>
      <c r="AY63" s="38"/>
      <c r="AZ63" s="38"/>
      <c r="BA63" s="38">
        <f>+AR63+AS63+AU63+AW63+AY63+AZ63</f>
        <v>0</v>
      </c>
      <c r="BB63" s="51"/>
      <c r="BC63" s="52">
        <v>0</v>
      </c>
      <c r="BD63" s="52"/>
      <c r="BE63" s="51"/>
      <c r="BF63" s="52"/>
    </row>
    <row r="64" spans="1:58" ht="12.95" customHeight="1">
      <c r="A64" s="41"/>
      <c r="B64" s="42"/>
      <c r="C64" s="406"/>
      <c r="D64" s="42"/>
      <c r="E64" s="43"/>
      <c r="F64" s="43"/>
      <c r="G64" s="44"/>
      <c r="H64" s="45"/>
      <c r="I64" s="46"/>
      <c r="J64" s="83"/>
      <c r="K64" s="83"/>
      <c r="L64" s="36"/>
      <c r="M64" s="36"/>
      <c r="N64" s="47"/>
      <c r="O64" s="48"/>
      <c r="P64" s="49"/>
      <c r="Q64" s="48"/>
      <c r="R64" s="492"/>
      <c r="S64" s="492"/>
      <c r="T64" s="38"/>
      <c r="U64" s="38"/>
      <c r="V64" s="38"/>
      <c r="W64" s="38"/>
      <c r="X64" s="39"/>
      <c r="Y64" s="212"/>
      <c r="Z64" s="38"/>
      <c r="AA64" s="38"/>
      <c r="AB64" s="38"/>
      <c r="AC64" s="38"/>
      <c r="AD64" s="38">
        <f>+AM64+BA64</f>
        <v>21</v>
      </c>
      <c r="AE64" s="231" t="s">
        <v>553</v>
      </c>
      <c r="AF64" s="34"/>
      <c r="AG64" s="34"/>
      <c r="AH64" s="582">
        <v>21</v>
      </c>
      <c r="AJ64" s="38"/>
      <c r="AK64" s="38"/>
      <c r="AL64" s="38"/>
      <c r="AM64" s="38">
        <f t="shared" si="37"/>
        <v>21</v>
      </c>
      <c r="AN64" s="38"/>
      <c r="AO64" s="38"/>
      <c r="AP64" s="38"/>
      <c r="AQ64" s="38"/>
      <c r="AR64" s="38">
        <f t="shared" si="38"/>
        <v>0</v>
      </c>
      <c r="AS64" s="38"/>
      <c r="AT64" s="38"/>
      <c r="AU64" s="38"/>
      <c r="AV64" s="38"/>
      <c r="AW64" s="38"/>
      <c r="AX64" s="38"/>
      <c r="AY64" s="38"/>
      <c r="AZ64" s="38"/>
      <c r="BA64" s="38">
        <f>+AR64+AS64+AU64+AW64+AY64+AZ64</f>
        <v>0</v>
      </c>
      <c r="BB64" s="34"/>
      <c r="BC64" s="495"/>
      <c r="BD64" s="495"/>
      <c r="BE64" s="34"/>
      <c r="BF64" s="495"/>
    </row>
    <row r="65" spans="1:58" ht="12.95" customHeight="1">
      <c r="A65" s="41"/>
      <c r="B65" s="42"/>
      <c r="C65" s="406"/>
      <c r="D65" s="42"/>
      <c r="E65" s="43"/>
      <c r="F65" s="43"/>
      <c r="G65" s="44"/>
      <c r="H65" s="45"/>
      <c r="I65" s="46"/>
      <c r="J65" s="83"/>
      <c r="K65" s="83"/>
      <c r="L65" s="36"/>
      <c r="M65" s="36"/>
      <c r="N65" s="47"/>
      <c r="O65" s="48"/>
      <c r="P65" s="49"/>
      <c r="Q65" s="48"/>
      <c r="R65" s="492"/>
      <c r="S65" s="492"/>
      <c r="T65" s="38"/>
      <c r="U65" s="38"/>
      <c r="V65" s="38"/>
      <c r="W65" s="38"/>
      <c r="X65" s="39"/>
      <c r="Y65" s="212"/>
      <c r="Z65" s="38"/>
      <c r="AA65" s="38"/>
      <c r="AB65" s="38"/>
      <c r="AC65" s="38"/>
      <c r="AD65" s="38">
        <f>+AM65+BA65</f>
        <v>887</v>
      </c>
      <c r="AE65" s="231" t="s">
        <v>540</v>
      </c>
      <c r="AF65" s="34"/>
      <c r="AG65" s="34"/>
      <c r="AH65" s="34"/>
      <c r="AI65" s="34"/>
      <c r="AJ65" s="38"/>
      <c r="AK65" s="38"/>
      <c r="AL65" s="38"/>
      <c r="AM65" s="38">
        <f t="shared" ref="AM65" si="39">SUM(AF65:AL65)+AT65+AV65+AX65</f>
        <v>0</v>
      </c>
      <c r="AN65" s="38"/>
      <c r="AO65" s="38"/>
      <c r="AP65" s="38"/>
      <c r="AQ65" s="38"/>
      <c r="AR65" s="38">
        <f t="shared" ref="AR65" si="40">SUM(AN65:AQ65)</f>
        <v>0</v>
      </c>
      <c r="AS65" s="38">
        <v>887</v>
      </c>
      <c r="AT65" s="38"/>
      <c r="AU65" s="38"/>
      <c r="AV65" s="38"/>
      <c r="AW65" s="38"/>
      <c r="AX65" s="38"/>
      <c r="AY65" s="38"/>
      <c r="AZ65" s="38"/>
      <c r="BA65" s="38">
        <f>+AR65+AS65+AU65+AW65+AY65+AZ65</f>
        <v>887</v>
      </c>
      <c r="BB65" s="34"/>
      <c r="BC65" s="495"/>
      <c r="BD65" s="495"/>
      <c r="BE65" s="34"/>
      <c r="BF65" s="495"/>
    </row>
    <row r="66" spans="1:58" ht="12.95" customHeight="1">
      <c r="A66" s="41"/>
      <c r="B66" s="42"/>
      <c r="C66" s="406"/>
      <c r="D66" s="42"/>
      <c r="E66" s="43"/>
      <c r="F66" s="43"/>
      <c r="G66" s="491"/>
      <c r="H66" s="45"/>
      <c r="I66" s="46"/>
      <c r="J66" s="83"/>
      <c r="K66" s="83"/>
      <c r="L66" s="36"/>
      <c r="M66" s="36"/>
      <c r="N66" s="47"/>
      <c r="O66" s="48"/>
      <c r="P66" s="49"/>
      <c r="Q66" s="48"/>
      <c r="R66" s="492"/>
      <c r="S66" s="492"/>
      <c r="T66" s="38"/>
      <c r="U66" s="38"/>
      <c r="V66" s="38"/>
      <c r="W66" s="38"/>
      <c r="X66" s="39"/>
      <c r="Y66" s="212"/>
      <c r="Z66" s="38"/>
      <c r="AA66" s="38"/>
      <c r="AB66" s="38"/>
      <c r="AC66" s="38"/>
      <c r="AD66" s="38"/>
      <c r="AE66" s="231"/>
      <c r="AF66" s="38"/>
      <c r="AG66" s="38"/>
      <c r="AH66" s="38"/>
      <c r="AI66" s="494"/>
      <c r="AJ66" s="38"/>
      <c r="AK66" s="38"/>
      <c r="AL66" s="38"/>
      <c r="AM66" s="38"/>
      <c r="AN66" s="84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51"/>
      <c r="BC66" s="52"/>
      <c r="BD66" s="52"/>
      <c r="BE66" s="52"/>
      <c r="BF66" s="52"/>
    </row>
    <row r="67" spans="1:58" ht="12.75" customHeight="1">
      <c r="A67" s="41">
        <v>45853</v>
      </c>
      <c r="B67" s="42" t="s">
        <v>7</v>
      </c>
      <c r="C67" s="406">
        <f>(M67*E67*O67*Q67)/100000000</f>
        <v>3.0418227840000003</v>
      </c>
      <c r="D67" s="42" t="s">
        <v>301</v>
      </c>
      <c r="E67" s="43">
        <v>12</v>
      </c>
      <c r="F67" s="43">
        <v>1</v>
      </c>
      <c r="G67" s="491">
        <v>1230</v>
      </c>
      <c r="H67" s="45">
        <v>0.23</v>
      </c>
      <c r="I67" s="46">
        <v>0.88</v>
      </c>
      <c r="J67" s="83">
        <f>E67*G67*(1-H67)*1440/1000000*2.74</f>
        <v>44.842533120000006</v>
      </c>
      <c r="K67" s="83">
        <f>(IF(G67&lt;L67,L67,G67)*(1-IF(H67&lt;N67,H67,N67))*E67*O67*Q67)/100000000</f>
        <v>3.3859203840000003</v>
      </c>
      <c r="L67" s="36">
        <v>1105</v>
      </c>
      <c r="M67" s="36">
        <v>850.85000000000014</v>
      </c>
      <c r="N67" s="47">
        <f>1-(M67/L67)</f>
        <v>0.22999999999999987</v>
      </c>
      <c r="O67" s="48">
        <f>+'Trim Rwd'!H45</f>
        <v>266</v>
      </c>
      <c r="P67" s="49">
        <f>O67*(Q67-R67-S67)</f>
        <v>25270</v>
      </c>
      <c r="Q67" s="48">
        <v>112</v>
      </c>
      <c r="R67" s="492">
        <v>0</v>
      </c>
      <c r="S67" s="492">
        <v>17</v>
      </c>
      <c r="T67" s="38">
        <f>E67*M67*O67*Q67/100000000</f>
        <v>3.0418227840000003</v>
      </c>
      <c r="U67" s="38">
        <f>E67*M67*O67*(Q67-R67-S67)/100000000</f>
        <v>2.5801175400000003</v>
      </c>
      <c r="V67" s="38">
        <f>E67*G67*(1-N67)*O67/100*(R67+S67)/1000000</f>
        <v>0.51393434400000015</v>
      </c>
      <c r="W67" s="38">
        <f>+'15'!K9/1000</f>
        <v>4.6820000000000004</v>
      </c>
      <c r="X67" s="493">
        <f>SUM(W67:W70)/SUM(K67:K70)</f>
        <v>0.85563426804771892</v>
      </c>
      <c r="Y67" s="212">
        <v>0</v>
      </c>
      <c r="Z67" s="38">
        <f>+'6'!D72/1000</f>
        <v>0</v>
      </c>
      <c r="AA67" s="50">
        <f>SUM(U67:U70)-SUM(W67:W70)-SUM(Z67:Z70)-SUM(Y67:Y70)</f>
        <v>0.81460557464336603</v>
      </c>
      <c r="AB67" s="50">
        <f>(SUM(K67:K70)-SUM(W67:W70)-SUM(Y67:Y70)-SUM(Z67:Z70)-SUM(AC67:AC70)-SUM(V67:V70))-AA67</f>
        <v>3.1686039077566361</v>
      </c>
      <c r="AC67" s="38">
        <f>K67-T67</f>
        <v>0.3440976</v>
      </c>
      <c r="AD67" s="38">
        <f>+AM67+BA67</f>
        <v>32</v>
      </c>
      <c r="AE67" s="231" t="s">
        <v>568</v>
      </c>
      <c r="AF67" s="38">
        <v>32</v>
      </c>
      <c r="AG67" s="38"/>
      <c r="AH67" s="38"/>
      <c r="AI67" s="38"/>
      <c r="AJ67" s="38"/>
      <c r="AK67" s="38"/>
      <c r="AL67" s="38"/>
      <c r="AM67" s="38">
        <f t="shared" ref="AM67" si="41">SUM(AF67:AL67)+AT67+AV67+AX67</f>
        <v>32</v>
      </c>
      <c r="AN67" s="38"/>
      <c r="AO67" s="38"/>
      <c r="AP67" s="38"/>
      <c r="AQ67" s="38"/>
      <c r="AR67" s="38">
        <f>SUM(AN67:AQ67)</f>
        <v>0</v>
      </c>
      <c r="AS67" s="38"/>
      <c r="AT67" s="38"/>
      <c r="AU67" s="38"/>
      <c r="AV67" s="38"/>
      <c r="AW67" s="38"/>
      <c r="AX67" s="38"/>
      <c r="AY67" s="38"/>
      <c r="AZ67" s="38"/>
      <c r="BA67" s="38">
        <f>+AR67+AS67+AU67+AW67+AY67+AZ67</f>
        <v>0</v>
      </c>
      <c r="BB67" s="34">
        <v>12</v>
      </c>
      <c r="BC67" s="52"/>
      <c r="BD67" s="52"/>
      <c r="BE67" s="34"/>
      <c r="BF67" s="52"/>
    </row>
    <row r="68" spans="1:58" ht="12.95" customHeight="1">
      <c r="A68" s="41"/>
      <c r="B68" s="42" t="s">
        <v>7</v>
      </c>
      <c r="C68" s="406">
        <f>(M68*E68*O68*Q68)/100000000</f>
        <v>40.280384944799984</v>
      </c>
      <c r="D68" s="42" t="s">
        <v>301</v>
      </c>
      <c r="E68" s="43">
        <v>13</v>
      </c>
      <c r="F68" s="43">
        <v>1</v>
      </c>
      <c r="G68" s="491">
        <v>1230</v>
      </c>
      <c r="H68" s="45">
        <v>0.22</v>
      </c>
      <c r="I68" s="46">
        <v>0.88</v>
      </c>
      <c r="J68" s="83">
        <f>E68*G68*(1-H68)*1440/1000000*2.74</f>
        <v>49.210312320000007</v>
      </c>
      <c r="K68" s="83">
        <f>(IF(G68&lt;L68,L68,G68)*(1-IF(H68&lt;N68,H68,N68))*E68*O68*Q68)/100000000</f>
        <v>43.627156934399999</v>
      </c>
      <c r="L68" s="36">
        <v>1150.3915662650602</v>
      </c>
      <c r="M68" s="36">
        <v>885.80150602409628</v>
      </c>
      <c r="N68" s="47">
        <f>1-(M68/L68)</f>
        <v>0.23000000000000009</v>
      </c>
      <c r="O68" s="48">
        <f>+'Trim Rwd'!H46</f>
        <v>263.39999999999998</v>
      </c>
      <c r="P68" s="49">
        <f>O68*(Q68-R68-S68)</f>
        <v>333991.19999999995</v>
      </c>
      <c r="Q68" s="48">
        <v>1328</v>
      </c>
      <c r="R68" s="492">
        <v>0</v>
      </c>
      <c r="S68" s="492">
        <v>60</v>
      </c>
      <c r="T68" s="38">
        <f>E68*M68*O68*Q68/100000000</f>
        <v>40.280384944799984</v>
      </c>
      <c r="U68" s="38">
        <f>E68*M68*O68*(Q68-R68-S68)/100000000</f>
        <v>38.460488034643362</v>
      </c>
      <c r="V68" s="38">
        <f>E68*G68*(1-N68)*O68/100*(R68+S68)/1000000</f>
        <v>1.9458358919999996</v>
      </c>
      <c r="W68" s="38">
        <f>+'15'!K8/1000</f>
        <v>35.543999999999997</v>
      </c>
      <c r="X68" s="39"/>
      <c r="Y68" s="212"/>
      <c r="Z68" s="38"/>
      <c r="AA68" s="38"/>
      <c r="AB68" s="38"/>
      <c r="AC68" s="38"/>
      <c r="AD68" s="38">
        <f>+AM68+BA68</f>
        <v>0</v>
      </c>
      <c r="AE68" s="231" t="s">
        <v>408</v>
      </c>
      <c r="AF68" s="38"/>
      <c r="AG68" s="38">
        <v>0</v>
      </c>
      <c r="AH68" s="38"/>
      <c r="AI68" s="38"/>
      <c r="AJ68" s="38"/>
      <c r="AK68" s="38"/>
      <c r="AL68" s="38"/>
      <c r="AM68" s="38">
        <f t="shared" ref="AM68:AM69" si="42">SUM(AF68:AL68)+AT68+AV68+AX68</f>
        <v>0</v>
      </c>
      <c r="AN68" s="84"/>
      <c r="AO68" s="38"/>
      <c r="AP68" s="38"/>
      <c r="AQ68" s="38"/>
      <c r="AR68" s="38">
        <f t="shared" ref="AR68:AR69" si="43">SUM(AN68:AQ68)</f>
        <v>0</v>
      </c>
      <c r="AS68" s="38"/>
      <c r="AT68" s="38"/>
      <c r="AU68" s="38"/>
      <c r="AV68" s="38"/>
      <c r="AW68" s="38"/>
      <c r="AX68" s="38"/>
      <c r="AY68" s="38"/>
      <c r="AZ68" s="38"/>
      <c r="BA68" s="38">
        <f>+AR68+AS68+AU68+AW68+AY68+AZ68</f>
        <v>0</v>
      </c>
      <c r="BB68" s="51"/>
      <c r="BC68" s="52">
        <v>0</v>
      </c>
      <c r="BD68" s="52"/>
      <c r="BE68" s="51"/>
      <c r="BF68" s="52"/>
    </row>
    <row r="69" spans="1:58" ht="12.95" customHeight="1">
      <c r="A69" s="41"/>
      <c r="B69" s="42"/>
      <c r="C69" s="406"/>
      <c r="D69" s="42"/>
      <c r="E69" s="43"/>
      <c r="F69" s="43"/>
      <c r="G69" s="44"/>
      <c r="H69" s="45"/>
      <c r="I69" s="46"/>
      <c r="J69" s="83"/>
      <c r="K69" s="83"/>
      <c r="L69" s="36"/>
      <c r="M69" s="36"/>
      <c r="N69" s="47"/>
      <c r="O69" s="48"/>
      <c r="P69" s="49"/>
      <c r="Q69" s="48"/>
      <c r="R69" s="492"/>
      <c r="S69" s="492"/>
      <c r="T69" s="38"/>
      <c r="U69" s="38"/>
      <c r="V69" s="38"/>
      <c r="W69" s="38"/>
      <c r="X69" s="39"/>
      <c r="Y69" s="212"/>
      <c r="Z69" s="38"/>
      <c r="AA69" s="38"/>
      <c r="AB69" s="38"/>
      <c r="AC69" s="38"/>
      <c r="AD69" s="38">
        <f>+AM69+BA69</f>
        <v>45</v>
      </c>
      <c r="AE69" s="231" t="s">
        <v>492</v>
      </c>
      <c r="AF69" s="34"/>
      <c r="AG69" s="34"/>
      <c r="AH69" s="34">
        <v>45</v>
      </c>
      <c r="AI69" s="34"/>
      <c r="AJ69" s="38"/>
      <c r="AK69" s="38"/>
      <c r="AL69" s="38"/>
      <c r="AM69" s="38">
        <f t="shared" si="42"/>
        <v>45</v>
      </c>
      <c r="AN69" s="38"/>
      <c r="AO69" s="38"/>
      <c r="AP69" s="38"/>
      <c r="AQ69" s="38"/>
      <c r="AR69" s="38">
        <f t="shared" si="43"/>
        <v>0</v>
      </c>
      <c r="AS69" s="38"/>
      <c r="AT69" s="38"/>
      <c r="AU69" s="38"/>
      <c r="AV69" s="38"/>
      <c r="AW69" s="38"/>
      <c r="AX69" s="38"/>
      <c r="AY69" s="38"/>
      <c r="AZ69" s="38"/>
      <c r="BA69" s="38">
        <f>+AR69+AS69+AU69+AW69+AY69+AZ69</f>
        <v>0</v>
      </c>
      <c r="BB69" s="34"/>
      <c r="BC69" s="495"/>
      <c r="BD69" s="495"/>
      <c r="BE69" s="34"/>
      <c r="BF69" s="495"/>
    </row>
    <row r="70" spans="1:58" ht="12.95" customHeight="1">
      <c r="A70" s="41"/>
      <c r="B70" s="42"/>
      <c r="C70" s="406"/>
      <c r="D70" s="42"/>
      <c r="E70" s="43"/>
      <c r="F70" s="43"/>
      <c r="G70" s="44"/>
      <c r="H70" s="45"/>
      <c r="I70" s="46"/>
      <c r="J70" s="83"/>
      <c r="K70" s="83"/>
      <c r="L70" s="36"/>
      <c r="M70" s="36"/>
      <c r="N70" s="47"/>
      <c r="O70" s="48"/>
      <c r="P70" s="49"/>
      <c r="Q70" s="48"/>
      <c r="R70" s="492"/>
      <c r="S70" s="492"/>
      <c r="T70" s="38"/>
      <c r="U70" s="38"/>
      <c r="V70" s="38"/>
      <c r="W70" s="38"/>
      <c r="X70" s="39"/>
      <c r="Y70" s="212"/>
      <c r="Z70" s="38"/>
      <c r="AA70" s="38"/>
      <c r="AB70" s="38"/>
      <c r="AC70" s="38"/>
      <c r="AD70" s="38"/>
      <c r="AE70" s="231"/>
      <c r="AF70" s="34"/>
      <c r="AG70" s="34"/>
      <c r="AH70" s="34"/>
      <c r="AI70" s="34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4"/>
      <c r="BC70" s="495"/>
      <c r="BD70" s="495"/>
      <c r="BE70" s="34"/>
      <c r="BF70" s="495"/>
    </row>
    <row r="71" spans="1:58" ht="12.75" customHeight="1">
      <c r="A71" s="41">
        <v>45854</v>
      </c>
      <c r="B71" s="42" t="s">
        <v>7</v>
      </c>
      <c r="C71" s="406">
        <f>(M71*E71*O71*Q71)/100000000</f>
        <v>45.519899039999991</v>
      </c>
      <c r="D71" s="42" t="s">
        <v>301</v>
      </c>
      <c r="E71" s="43">
        <v>13</v>
      </c>
      <c r="F71" s="43">
        <v>1</v>
      </c>
      <c r="G71" s="491">
        <v>1230</v>
      </c>
      <c r="H71" s="45">
        <v>0.23</v>
      </c>
      <c r="I71" s="46">
        <v>0.88</v>
      </c>
      <c r="J71" s="83">
        <f>E71*G71*(1-H71)*1440/1000000*2.74</f>
        <v>48.579410880000005</v>
      </c>
      <c r="K71" s="83">
        <f>(IF(G71&lt;L71,L71,G71)*(1-IF(H71&lt;N71,H71,N71))*E71*O71*Q71)/100000000</f>
        <v>45.519899039999991</v>
      </c>
      <c r="L71" s="36">
        <v>1230</v>
      </c>
      <c r="M71" s="36">
        <v>947.0999999999998</v>
      </c>
      <c r="N71" s="47">
        <f>1-(M71/L71)</f>
        <v>0.2300000000000002</v>
      </c>
      <c r="O71" s="48">
        <f>+'Trim Rwd'!H50</f>
        <v>256.74358974358972</v>
      </c>
      <c r="P71" s="49">
        <f>O71*(Q71-R71-S71)</f>
        <v>350198.25641025638</v>
      </c>
      <c r="Q71" s="48">
        <v>1440</v>
      </c>
      <c r="R71" s="492">
        <v>0</v>
      </c>
      <c r="S71" s="492">
        <v>76</v>
      </c>
      <c r="T71" s="38">
        <f>E71*M71*O71*Q71/100000000</f>
        <v>45.519899039999991</v>
      </c>
      <c r="U71" s="38">
        <f>E71*M71*O71*(Q71-R71-S71)/100000000</f>
        <v>43.117459923999988</v>
      </c>
      <c r="V71" s="38">
        <f>E71*G71*(1-N71)*O71/100*(R71+S71)/1000000</f>
        <v>2.4024391159999996</v>
      </c>
      <c r="W71" s="38">
        <f>+'16'!K8/1000</f>
        <v>42.908999999999999</v>
      </c>
      <c r="X71" s="493">
        <f>SUM(W71:W74)/SUM(K71:K74)</f>
        <v>0.94264268825144581</v>
      </c>
      <c r="Y71" s="212">
        <f>+SUM(RBP!AG62:AG63)</f>
        <v>0</v>
      </c>
      <c r="Z71" s="38">
        <f>+'6'!D76/1000</f>
        <v>0</v>
      </c>
      <c r="AA71" s="50">
        <f>SUM(U71:U74)-SUM(W71:W74)-SUM(Z71:Z74)-SUM(Y71:Y74)</f>
        <v>0.20845992399998892</v>
      </c>
      <c r="AB71" s="50">
        <f>(SUM(K71:K74)-SUM(W71:W74)-SUM(Y71:Y74)-SUM(Z71:Z74)-SUM(AC71:AC74)-SUM(V71:V74))-AA71</f>
        <v>3.9968028886505635E-15</v>
      </c>
      <c r="AC71" s="38">
        <f>K71-T71</f>
        <v>0</v>
      </c>
      <c r="AD71" s="38">
        <f>+AM71+BA71</f>
        <v>16</v>
      </c>
      <c r="AE71" s="231" t="s">
        <v>470</v>
      </c>
      <c r="AF71" s="38">
        <v>16</v>
      </c>
      <c r="AG71" s="38"/>
      <c r="AH71" s="38"/>
      <c r="AI71" s="494"/>
      <c r="AJ71" s="38"/>
      <c r="AK71" s="38"/>
      <c r="AL71" s="38"/>
      <c r="AM71" s="38">
        <f t="shared" ref="AM71:AM73" si="44">SUM(AF71:AL71)+AT71+AV71+AX71</f>
        <v>16</v>
      </c>
      <c r="AN71" s="38"/>
      <c r="AO71" s="38"/>
      <c r="AP71" s="38"/>
      <c r="AQ71" s="38"/>
      <c r="AR71" s="38">
        <f>SUM(AN71:AQ71)</f>
        <v>0</v>
      </c>
      <c r="AS71" s="38"/>
      <c r="AT71" s="38"/>
      <c r="AU71" s="38"/>
      <c r="AV71" s="38"/>
      <c r="AW71" s="38"/>
      <c r="AX71" s="38"/>
      <c r="AY71" s="38"/>
      <c r="AZ71" s="38"/>
      <c r="BA71" s="38">
        <f>+AR71+AS71+AU71+AW71+AY71+AZ71</f>
        <v>0</v>
      </c>
      <c r="BB71" s="34">
        <v>4</v>
      </c>
      <c r="BC71" s="52"/>
      <c r="BD71" s="52"/>
      <c r="BE71" s="34"/>
      <c r="BF71" s="52"/>
    </row>
    <row r="72" spans="1:58" ht="12.95" customHeight="1">
      <c r="A72" s="41"/>
      <c r="B72" s="42"/>
      <c r="C72" s="406"/>
      <c r="D72" s="42"/>
      <c r="E72" s="43"/>
      <c r="F72" s="43"/>
      <c r="G72" s="491"/>
      <c r="H72" s="45"/>
      <c r="I72" s="46"/>
      <c r="J72" s="83"/>
      <c r="K72" s="83"/>
      <c r="L72" s="36"/>
      <c r="M72" s="36"/>
      <c r="N72" s="47"/>
      <c r="O72" s="48"/>
      <c r="P72" s="49"/>
      <c r="Q72" s="48"/>
      <c r="R72" s="492"/>
      <c r="S72" s="492"/>
      <c r="T72" s="38"/>
      <c r="U72" s="38"/>
      <c r="V72" s="38"/>
      <c r="W72" s="38"/>
      <c r="X72" s="39"/>
      <c r="Y72" s="212"/>
      <c r="Z72" s="38"/>
      <c r="AA72" s="38"/>
      <c r="AB72" s="38"/>
      <c r="AC72" s="38"/>
      <c r="AD72" s="38">
        <f>+AM72+BA72</f>
        <v>17</v>
      </c>
      <c r="AE72" s="231" t="s">
        <v>511</v>
      </c>
      <c r="AF72" s="38"/>
      <c r="AG72" s="38">
        <v>17</v>
      </c>
      <c r="AH72" s="38"/>
      <c r="AI72" s="494"/>
      <c r="AJ72" s="38"/>
      <c r="AK72" s="38"/>
      <c r="AL72" s="38"/>
      <c r="AM72" s="38">
        <f t="shared" si="44"/>
        <v>17</v>
      </c>
      <c r="AN72" s="84"/>
      <c r="AO72" s="38"/>
      <c r="AP72" s="38"/>
      <c r="AQ72" s="38"/>
      <c r="AR72" s="38">
        <f t="shared" ref="AR72:AR73" si="45">SUM(AN72:AQ72)</f>
        <v>0</v>
      </c>
      <c r="AS72" s="38"/>
      <c r="AT72" s="38"/>
      <c r="AU72" s="38"/>
      <c r="AV72" s="38"/>
      <c r="AW72" s="38"/>
      <c r="AX72" s="38"/>
      <c r="AY72" s="38"/>
      <c r="AZ72" s="38"/>
      <c r="BA72" s="38">
        <f>+AR72+AS72+AU72+AW72+AY72+AZ72</f>
        <v>0</v>
      </c>
      <c r="BB72" s="51"/>
      <c r="BC72" s="52">
        <v>10</v>
      </c>
      <c r="BD72" s="52"/>
      <c r="BE72" s="51"/>
      <c r="BF72" s="52"/>
    </row>
    <row r="73" spans="1:58" ht="12.95" customHeight="1">
      <c r="A73" s="41"/>
      <c r="B73" s="42"/>
      <c r="C73" s="406"/>
      <c r="D73" s="42"/>
      <c r="E73" s="43"/>
      <c r="F73" s="43"/>
      <c r="G73" s="44"/>
      <c r="H73" s="45"/>
      <c r="I73" s="46"/>
      <c r="J73" s="83"/>
      <c r="K73" s="83"/>
      <c r="L73" s="36"/>
      <c r="M73" s="36"/>
      <c r="N73" s="47"/>
      <c r="O73" s="48"/>
      <c r="P73" s="49"/>
      <c r="Q73" s="48"/>
      <c r="R73" s="492"/>
      <c r="S73" s="492"/>
      <c r="T73" s="38"/>
      <c r="U73" s="38"/>
      <c r="V73" s="38"/>
      <c r="W73" s="38"/>
      <c r="X73" s="39"/>
      <c r="Y73" s="212"/>
      <c r="Z73" s="38"/>
      <c r="AA73" s="38"/>
      <c r="AB73" s="38"/>
      <c r="AC73" s="38"/>
      <c r="AD73" s="38">
        <f>+AM73+BA73</f>
        <v>43</v>
      </c>
      <c r="AE73" s="231" t="s">
        <v>575</v>
      </c>
      <c r="AF73" s="34"/>
      <c r="AG73" s="34"/>
      <c r="AH73" s="582">
        <v>43</v>
      </c>
      <c r="AJ73" s="38"/>
      <c r="AK73" s="38"/>
      <c r="AL73" s="38"/>
      <c r="AM73" s="38">
        <f t="shared" si="44"/>
        <v>43</v>
      </c>
      <c r="AN73" s="38"/>
      <c r="AO73" s="38"/>
      <c r="AP73" s="38"/>
      <c r="AQ73" s="38"/>
      <c r="AR73" s="38">
        <f t="shared" si="45"/>
        <v>0</v>
      </c>
      <c r="AS73" s="38"/>
      <c r="AT73" s="38"/>
      <c r="AU73" s="38"/>
      <c r="AV73" s="38"/>
      <c r="AW73" s="38"/>
      <c r="AX73" s="38"/>
      <c r="AY73" s="38"/>
      <c r="AZ73" s="38"/>
      <c r="BA73" s="38">
        <f>+AR73+AS73+AU73+AW73+AY73+AZ73</f>
        <v>0</v>
      </c>
      <c r="BB73" s="34"/>
      <c r="BC73" s="495"/>
      <c r="BD73" s="495"/>
      <c r="BE73" s="34"/>
      <c r="BF73" s="495"/>
    </row>
    <row r="74" spans="1:58" ht="12.95" customHeight="1">
      <c r="A74" s="41"/>
      <c r="B74" s="42"/>
      <c r="C74" s="406"/>
      <c r="D74" s="42"/>
      <c r="E74" s="43"/>
      <c r="F74" s="43"/>
      <c r="G74" s="491"/>
      <c r="H74" s="45"/>
      <c r="I74" s="46"/>
      <c r="J74" s="83"/>
      <c r="K74" s="83"/>
      <c r="L74" s="36"/>
      <c r="M74" s="36"/>
      <c r="N74" s="47"/>
      <c r="O74" s="48"/>
      <c r="P74" s="49"/>
      <c r="Q74" s="48"/>
      <c r="R74" s="492"/>
      <c r="S74" s="492"/>
      <c r="T74" s="38"/>
      <c r="U74" s="38"/>
      <c r="V74" s="38"/>
      <c r="W74" s="38"/>
      <c r="X74" s="39"/>
      <c r="Y74" s="212"/>
      <c r="Z74" s="38"/>
      <c r="AA74" s="38"/>
      <c r="AB74" s="38"/>
      <c r="AC74" s="38"/>
      <c r="AD74" s="38"/>
      <c r="AE74" s="231"/>
      <c r="AF74" s="34"/>
      <c r="AG74" s="34"/>
      <c r="AH74" s="34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4"/>
      <c r="BC74" s="495"/>
      <c r="BD74" s="52"/>
      <c r="BE74" s="52"/>
      <c r="BF74" s="52"/>
    </row>
    <row r="75" spans="1:58" ht="12.75" customHeight="1">
      <c r="A75" s="41">
        <v>45855</v>
      </c>
      <c r="B75" s="42" t="s">
        <v>7</v>
      </c>
      <c r="C75" s="406">
        <f>(M75*E75*O75*Q75)/100000000</f>
        <v>45.565359839999992</v>
      </c>
      <c r="D75" s="42" t="s">
        <v>301</v>
      </c>
      <c r="E75" s="43">
        <v>13</v>
      </c>
      <c r="F75" s="43">
        <v>1</v>
      </c>
      <c r="G75" s="491">
        <v>1230</v>
      </c>
      <c r="H75" s="45">
        <v>0.23</v>
      </c>
      <c r="I75" s="46">
        <v>0.88</v>
      </c>
      <c r="J75" s="83">
        <f>E75*G75*(1-H75)*1440/1000000*2.74</f>
        <v>48.579410880000005</v>
      </c>
      <c r="K75" s="83">
        <f>(IF(G75&lt;L75,L75,G75)*(1-IF(H75&lt;N75,H75,N75))*E75*O75*Q75)/100000000</f>
        <v>45.565359839999992</v>
      </c>
      <c r="L75" s="36">
        <v>1230</v>
      </c>
      <c r="M75" s="36">
        <v>947.0999999999998</v>
      </c>
      <c r="N75" s="47">
        <f>1-(M75/L75)</f>
        <v>0.2300000000000002</v>
      </c>
      <c r="O75" s="48">
        <f>+'Trim Rwd'!H53</f>
        <v>257</v>
      </c>
      <c r="P75" s="49">
        <f>O75*(Q75-R75-S75)</f>
        <v>349006</v>
      </c>
      <c r="Q75" s="48">
        <v>1440</v>
      </c>
      <c r="R75" s="492">
        <v>0</v>
      </c>
      <c r="S75" s="492">
        <v>82</v>
      </c>
      <c r="T75" s="38">
        <f>E75*M75*O75*Q75/100000000</f>
        <v>45.565359839999992</v>
      </c>
      <c r="U75" s="38">
        <f>E75*M75*O75*(Q75-R75-S75)/100000000</f>
        <v>42.970665737999994</v>
      </c>
      <c r="V75" s="38">
        <f>E75*G75*(1-N75)*O75/100*(R75+S75)/1000000</f>
        <v>2.5946941019999992</v>
      </c>
      <c r="W75" s="38">
        <f>+'17'!K8/1000</f>
        <v>43.463000000000001</v>
      </c>
      <c r="X75" s="493">
        <f>SUM(W75:W78)/SUM(K75:K78)</f>
        <v>0.95386056760261961</v>
      </c>
      <c r="Y75" s="212">
        <f>+SUM(RBP!AG66:AG67)</f>
        <v>0</v>
      </c>
      <c r="Z75" s="38">
        <f>+'6'!D80/1000</f>
        <v>0</v>
      </c>
      <c r="AA75" s="50">
        <f>SUM(U75:U78)-SUM(W75:W78)-SUM(Z75:Z78)-SUM(Y75:Y78)</f>
        <v>-0.49233426200000707</v>
      </c>
      <c r="AB75" s="50">
        <f>(SUM(K75:K78)-SUM(W75:W78)-SUM(Y75:Y78)-SUM(Z75:Z78)-SUM(AC75:AC78)-SUM(V75:V78))-AA75</f>
        <v>-8.8817841970012523E-16</v>
      </c>
      <c r="AC75" s="38">
        <f>K75-T75</f>
        <v>0</v>
      </c>
      <c r="AD75" s="38">
        <f>+AM75+BA75</f>
        <v>28</v>
      </c>
      <c r="AE75" s="231" t="s">
        <v>470</v>
      </c>
      <c r="AF75" s="38">
        <v>28</v>
      </c>
      <c r="AG75" s="38"/>
      <c r="AH75" s="38"/>
      <c r="AI75" s="494"/>
      <c r="AJ75" s="38"/>
      <c r="AK75" s="38"/>
      <c r="AL75" s="38"/>
      <c r="AM75" s="38">
        <f t="shared" ref="AM75:AM77" si="46">SUM(AF75:AL75)+AT75+AV75+AX75</f>
        <v>28</v>
      </c>
      <c r="AN75" s="38"/>
      <c r="AO75" s="38"/>
      <c r="AP75" s="38"/>
      <c r="AQ75" s="38"/>
      <c r="AR75" s="38">
        <f>SUM(AN75:AQ75)</f>
        <v>0</v>
      </c>
      <c r="AS75" s="38"/>
      <c r="AT75" s="38"/>
      <c r="AU75" s="38"/>
      <c r="AV75" s="38"/>
      <c r="AW75" s="38"/>
      <c r="AX75" s="38"/>
      <c r="AY75" s="38"/>
      <c r="AZ75" s="38"/>
      <c r="BA75" s="38">
        <f>+AR75+AS75+AU75+AW75+AY75+AZ75</f>
        <v>0</v>
      </c>
      <c r="BB75" s="34">
        <v>4</v>
      </c>
      <c r="BC75" s="52"/>
      <c r="BD75" s="52"/>
      <c r="BE75" s="34"/>
      <c r="BF75" s="52"/>
    </row>
    <row r="76" spans="1:58" ht="12.95" customHeight="1">
      <c r="A76" s="41"/>
      <c r="B76" s="42"/>
      <c r="C76" s="406"/>
      <c r="D76" s="42"/>
      <c r="E76" s="43"/>
      <c r="F76" s="43"/>
      <c r="G76" s="491"/>
      <c r="H76" s="45"/>
      <c r="I76" s="46"/>
      <c r="J76" s="83"/>
      <c r="K76" s="83"/>
      <c r="L76" s="36"/>
      <c r="M76" s="36"/>
      <c r="N76" s="47"/>
      <c r="O76" s="48"/>
      <c r="P76" s="49"/>
      <c r="Q76" s="48"/>
      <c r="R76" s="492"/>
      <c r="S76" s="492"/>
      <c r="T76" s="38"/>
      <c r="U76" s="38"/>
      <c r="V76" s="38"/>
      <c r="W76" s="38"/>
      <c r="X76" s="39"/>
      <c r="Y76" s="212"/>
      <c r="Z76" s="38"/>
      <c r="AA76" s="38"/>
      <c r="AB76" s="38"/>
      <c r="AC76" s="38"/>
      <c r="AD76" s="38">
        <f>+AM76+BA76</f>
        <v>18</v>
      </c>
      <c r="AE76" s="231" t="s">
        <v>511</v>
      </c>
      <c r="AF76" s="38"/>
      <c r="AG76" s="38">
        <v>18</v>
      </c>
      <c r="AH76" s="38"/>
      <c r="AI76" s="494"/>
      <c r="AJ76" s="38"/>
      <c r="AK76" s="38"/>
      <c r="AL76" s="38"/>
      <c r="AM76" s="38">
        <f t="shared" si="46"/>
        <v>18</v>
      </c>
      <c r="AN76" s="84"/>
      <c r="AO76" s="38"/>
      <c r="AP76" s="38"/>
      <c r="AQ76" s="38"/>
      <c r="AR76" s="38">
        <f t="shared" ref="AR76:AR77" si="47">SUM(AN76:AQ76)</f>
        <v>0</v>
      </c>
      <c r="AS76" s="38"/>
      <c r="AT76" s="38"/>
      <c r="AU76" s="38"/>
      <c r="AV76" s="38"/>
      <c r="AW76" s="38"/>
      <c r="AX76" s="38"/>
      <c r="AY76" s="38"/>
      <c r="AZ76" s="38"/>
      <c r="BA76" s="38">
        <f>+AR76+AS76+AU76+AW76+AY76+AZ76</f>
        <v>0</v>
      </c>
      <c r="BB76" s="51"/>
      <c r="BC76" s="52">
        <v>10</v>
      </c>
      <c r="BD76" s="52"/>
      <c r="BE76" s="51"/>
      <c r="BF76" s="52"/>
    </row>
    <row r="77" spans="1:58" ht="12.95" customHeight="1">
      <c r="A77" s="41"/>
      <c r="B77" s="42"/>
      <c r="C77" s="406"/>
      <c r="D77" s="42"/>
      <c r="E77" s="43"/>
      <c r="F77" s="43"/>
      <c r="G77" s="44"/>
      <c r="H77" s="45"/>
      <c r="I77" s="46"/>
      <c r="J77" s="83"/>
      <c r="K77" s="83"/>
      <c r="L77" s="36"/>
      <c r="M77" s="36"/>
      <c r="N77" s="47"/>
      <c r="O77" s="48"/>
      <c r="P77" s="49"/>
      <c r="Q77" s="48"/>
      <c r="R77" s="492"/>
      <c r="S77" s="492"/>
      <c r="T77" s="38"/>
      <c r="U77" s="38"/>
      <c r="V77" s="38"/>
      <c r="W77" s="38"/>
      <c r="X77" s="39"/>
      <c r="Y77" s="212"/>
      <c r="Z77" s="38"/>
      <c r="AA77" s="38"/>
      <c r="AB77" s="38"/>
      <c r="AC77" s="38"/>
      <c r="AD77" s="38">
        <f>+AM77+BA77</f>
        <v>36</v>
      </c>
      <c r="AE77" s="231" t="s">
        <v>575</v>
      </c>
      <c r="AF77" s="34"/>
      <c r="AG77" s="34"/>
      <c r="AH77" s="582">
        <v>36</v>
      </c>
      <c r="AJ77" s="38"/>
      <c r="AK77" s="38"/>
      <c r="AL77" s="38"/>
      <c r="AM77" s="38">
        <f t="shared" si="46"/>
        <v>36</v>
      </c>
      <c r="AN77" s="38"/>
      <c r="AO77" s="38"/>
      <c r="AP77" s="38"/>
      <c r="AQ77" s="38"/>
      <c r="AR77" s="38">
        <f t="shared" si="47"/>
        <v>0</v>
      </c>
      <c r="AS77" s="38"/>
      <c r="AT77" s="38"/>
      <c r="AU77" s="38"/>
      <c r="AV77" s="38"/>
      <c r="AW77" s="38"/>
      <c r="AX77" s="38"/>
      <c r="AY77" s="38"/>
      <c r="AZ77" s="38"/>
      <c r="BA77" s="38">
        <f>+AR77+AS77+AU77+AW77+AY77+AZ77</f>
        <v>0</v>
      </c>
      <c r="BB77" s="34"/>
      <c r="BC77" s="495"/>
      <c r="BD77" s="495"/>
      <c r="BE77" s="34"/>
      <c r="BF77" s="495"/>
    </row>
    <row r="78" spans="1:58" ht="12.95" customHeight="1">
      <c r="A78" s="41"/>
      <c r="B78" s="42"/>
      <c r="C78" s="406"/>
      <c r="D78" s="42"/>
      <c r="E78" s="43"/>
      <c r="F78" s="43"/>
      <c r="G78" s="491"/>
      <c r="H78" s="45"/>
      <c r="I78" s="46"/>
      <c r="J78" s="83"/>
      <c r="K78" s="83"/>
      <c r="L78" s="36"/>
      <c r="M78" s="36"/>
      <c r="N78" s="47"/>
      <c r="O78" s="48"/>
      <c r="P78" s="49"/>
      <c r="Q78" s="48"/>
      <c r="R78" s="492"/>
      <c r="S78" s="492"/>
      <c r="T78" s="38"/>
      <c r="U78" s="38"/>
      <c r="V78" s="38"/>
      <c r="W78" s="38"/>
      <c r="X78" s="39"/>
      <c r="Y78" s="212"/>
      <c r="Z78" s="38"/>
      <c r="AA78" s="38"/>
      <c r="AB78" s="38"/>
      <c r="AC78" s="38"/>
      <c r="AD78" s="38"/>
      <c r="AE78" s="231"/>
      <c r="AF78" s="38"/>
      <c r="AG78" s="38"/>
      <c r="AH78" s="38"/>
      <c r="AI78" s="494"/>
      <c r="AJ78" s="38"/>
      <c r="AK78" s="38"/>
      <c r="AL78" s="38"/>
      <c r="AM78" s="38"/>
      <c r="AN78" s="84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51"/>
      <c r="BC78" s="52"/>
      <c r="BD78" s="52"/>
      <c r="BE78" s="52"/>
      <c r="BF78" s="52"/>
    </row>
    <row r="79" spans="1:58" ht="12.75" customHeight="1">
      <c r="A79" s="41">
        <v>45856</v>
      </c>
      <c r="B79" s="42" t="s">
        <v>7</v>
      </c>
      <c r="C79" s="406">
        <f>(M79*E79*O79*Q79)/100000000</f>
        <v>23.731958249999995</v>
      </c>
      <c r="D79" s="42" t="s">
        <v>301</v>
      </c>
      <c r="E79" s="43">
        <v>13</v>
      </c>
      <c r="F79" s="43">
        <v>1</v>
      </c>
      <c r="G79" s="491">
        <v>1230</v>
      </c>
      <c r="H79" s="45">
        <v>0.23</v>
      </c>
      <c r="I79" s="46">
        <v>0.88</v>
      </c>
      <c r="J79" s="83">
        <f>E79*G79*(1-H79)*1440/1000000*2.74</f>
        <v>48.579410880000005</v>
      </c>
      <c r="K79" s="83">
        <f>(IF(G79&lt;L79,L79,G79)*(1-IF(H79&lt;N79,H79,N79))*E79*O79*Q79)/100000000</f>
        <v>23.731958249999995</v>
      </c>
      <c r="L79" s="36">
        <v>1230</v>
      </c>
      <c r="M79" s="36">
        <v>947.09999999999991</v>
      </c>
      <c r="N79" s="47">
        <f>1-(M79/L79)</f>
        <v>0.23000000000000009</v>
      </c>
      <c r="O79" s="48">
        <f>+'Trim Rwd'!H55</f>
        <v>257</v>
      </c>
      <c r="P79" s="49">
        <f>O79*(Q79-R79-S79)</f>
        <v>183498</v>
      </c>
      <c r="Q79" s="48">
        <v>750</v>
      </c>
      <c r="R79" s="492">
        <v>0</v>
      </c>
      <c r="S79" s="492">
        <v>36</v>
      </c>
      <c r="T79" s="38">
        <f>E79*M79*O79*Q79/100000000</f>
        <v>23.731958249999995</v>
      </c>
      <c r="U79" s="38">
        <f>E79*M79*O79*(Q79-R79-S79)/100000000</f>
        <v>22.592824253999996</v>
      </c>
      <c r="V79" s="38">
        <f>E79*G79*(1-N79)*O79/100*(R79+S79)/1000000</f>
        <v>1.1391339959999998</v>
      </c>
      <c r="W79" s="38">
        <f>+'18'!K8/1000</f>
        <v>24.780999999999999</v>
      </c>
      <c r="X79" s="493">
        <f>SUM(W79:W82)/SUM(K79:K82)</f>
        <v>0.95298113713059562</v>
      </c>
      <c r="Y79" s="212">
        <f>+SUM(RBP!AG70:AG71)</f>
        <v>0</v>
      </c>
      <c r="Z79" s="38">
        <f>+'18'!D7/1000</f>
        <v>0.29099999999999998</v>
      </c>
      <c r="AA79" s="50">
        <f>SUM(U79:U82)-SUM(W79:W82)-SUM(Z79:Z82)-SUM(Y79:Y82)</f>
        <v>-0.64406469600001115</v>
      </c>
      <c r="AB79" s="50">
        <f>(SUM(K79:K82)-SUM(W79:W82)-SUM(Y79:Y82)-SUM(Z79:Z82)-SUM(AC79:AC82)-SUM(V79:V82))-AA79</f>
        <v>0.60440118750000371</v>
      </c>
      <c r="AC79" s="38">
        <f>K79-T79</f>
        <v>0</v>
      </c>
      <c r="AD79" s="38">
        <f>+AM79+BA79</f>
        <v>6</v>
      </c>
      <c r="AE79" s="231" t="s">
        <v>394</v>
      </c>
      <c r="AF79" s="38">
        <v>6</v>
      </c>
      <c r="AG79" s="38"/>
      <c r="AH79" s="38"/>
      <c r="AI79" s="494"/>
      <c r="AJ79" s="38"/>
      <c r="AK79" s="38"/>
      <c r="AL79" s="38"/>
      <c r="AM79" s="38">
        <f t="shared" ref="AM79:AM81" si="48">SUM(AF79:AL79)+AT79+AV79+AX79</f>
        <v>6</v>
      </c>
      <c r="AN79" s="38"/>
      <c r="AO79" s="38"/>
      <c r="AP79" s="38"/>
      <c r="AQ79" s="38"/>
      <c r="AR79" s="38">
        <f>SUM(AN79:AQ79)</f>
        <v>0</v>
      </c>
      <c r="AS79" s="38"/>
      <c r="AT79" s="38"/>
      <c r="AU79" s="38"/>
      <c r="AV79" s="38"/>
      <c r="AW79" s="38"/>
      <c r="AX79" s="38"/>
      <c r="AY79" s="38"/>
      <c r="AZ79" s="38"/>
      <c r="BA79" s="38">
        <f>+AR79+AS79+AU79+AW79+AY79+AZ79</f>
        <v>0</v>
      </c>
      <c r="BB79" s="34">
        <v>3</v>
      </c>
      <c r="BC79" s="52"/>
      <c r="BD79" s="52"/>
      <c r="BE79" s="34"/>
      <c r="BF79" s="52"/>
    </row>
    <row r="80" spans="1:58" ht="12.95" customHeight="1">
      <c r="A80" s="41"/>
      <c r="B80" s="42" t="s">
        <v>412</v>
      </c>
      <c r="C80" s="406">
        <f>(M80*E80*O80*Q80)/100000000</f>
        <v>23.792145299999994</v>
      </c>
      <c r="D80" s="42" t="s">
        <v>301</v>
      </c>
      <c r="E80" s="43">
        <v>15</v>
      </c>
      <c r="F80" s="43">
        <v>1</v>
      </c>
      <c r="G80" s="491">
        <v>1195</v>
      </c>
      <c r="H80" s="45">
        <v>0.22</v>
      </c>
      <c r="I80" s="46">
        <v>0.88</v>
      </c>
      <c r="J80" s="83">
        <f>E80*G80*(1-H80)*1440/1000000*2.74</f>
        <v>55.165406400000002</v>
      </c>
      <c r="K80" s="83">
        <f>(IF(G80&lt;L80,L80,G80)*(1-IF(H80&lt;N80,H80,N80))*E80*O80*Q80)/100000000</f>
        <v>24.407504549999999</v>
      </c>
      <c r="L80" s="36">
        <v>1180</v>
      </c>
      <c r="M80" s="36">
        <v>908.59999999999991</v>
      </c>
      <c r="N80" s="47">
        <f>1-(M80/L80)</f>
        <v>0.23000000000000009</v>
      </c>
      <c r="O80" s="48">
        <f>+'Trim Rwd'!H56</f>
        <v>253</v>
      </c>
      <c r="P80" s="49">
        <f>O80*(Q80-R80-S80)</f>
        <v>168245</v>
      </c>
      <c r="Q80" s="48">
        <v>690</v>
      </c>
      <c r="R80" s="492">
        <v>0</v>
      </c>
      <c r="S80" s="492">
        <v>25</v>
      </c>
      <c r="T80" s="38">
        <f>E80*M80*O80*Q80/100000000</f>
        <v>23.792145299999994</v>
      </c>
      <c r="U80" s="38">
        <f>E80*M80*O80*(Q80-R80-S80)/100000000</f>
        <v>22.930111049999994</v>
      </c>
      <c r="V80" s="38">
        <f>E80*G80*(1-N80)*O80/100*(R80+S80)/1000000</f>
        <v>0.87299231249999987</v>
      </c>
      <c r="W80" s="38">
        <f>+'18'!K13/1000</f>
        <v>21.094999999999999</v>
      </c>
      <c r="X80" s="39"/>
      <c r="Y80" s="212"/>
      <c r="Z80" s="38"/>
      <c r="AA80" s="38"/>
      <c r="AB80" s="38"/>
      <c r="AC80" s="38"/>
      <c r="AD80" s="38">
        <f>+AM80+BA80</f>
        <v>18</v>
      </c>
      <c r="AE80" s="231" t="s">
        <v>586</v>
      </c>
      <c r="AF80" s="38"/>
      <c r="AG80" s="38">
        <v>18</v>
      </c>
      <c r="AH80" s="38"/>
      <c r="AI80" s="494"/>
      <c r="AJ80" s="38"/>
      <c r="AK80" s="38"/>
      <c r="AL80" s="38"/>
      <c r="AM80" s="38">
        <f t="shared" si="48"/>
        <v>18</v>
      </c>
      <c r="AN80" s="84"/>
      <c r="AO80" s="38"/>
      <c r="AP80" s="38"/>
      <c r="AQ80" s="38"/>
      <c r="AR80" s="38">
        <f t="shared" ref="AR80:AR81" si="49">SUM(AN80:AQ80)</f>
        <v>0</v>
      </c>
      <c r="AS80" s="38"/>
      <c r="AT80" s="38"/>
      <c r="AU80" s="38"/>
      <c r="AV80" s="38"/>
      <c r="AW80" s="38"/>
      <c r="AX80" s="38"/>
      <c r="AY80" s="38"/>
      <c r="AZ80" s="38"/>
      <c r="BA80" s="38">
        <f>+AR80+AS80+AU80+AW80+AY80+AZ80</f>
        <v>0</v>
      </c>
      <c r="BB80" s="51"/>
      <c r="BC80" s="52">
        <v>13</v>
      </c>
      <c r="BD80" s="52"/>
      <c r="BE80" s="51"/>
      <c r="BF80" s="52"/>
    </row>
    <row r="81" spans="1:58" ht="12.95" customHeight="1">
      <c r="A81" s="41"/>
      <c r="B81" s="42"/>
      <c r="C81" s="406"/>
      <c r="D81" s="42"/>
      <c r="E81" s="43"/>
      <c r="F81" s="43"/>
      <c r="G81" s="44"/>
      <c r="H81" s="45"/>
      <c r="I81" s="46"/>
      <c r="J81" s="83"/>
      <c r="K81" s="83"/>
      <c r="L81" s="36"/>
      <c r="M81" s="36"/>
      <c r="N81" s="47"/>
      <c r="O81" s="48"/>
      <c r="P81" s="49"/>
      <c r="Q81" s="48"/>
      <c r="R81" s="492"/>
      <c r="S81" s="492"/>
      <c r="T81" s="38"/>
      <c r="U81" s="38"/>
      <c r="V81" s="38"/>
      <c r="W81" s="38"/>
      <c r="X81" s="39"/>
      <c r="Y81" s="212"/>
      <c r="Z81" s="38"/>
      <c r="AA81" s="38"/>
      <c r="AB81" s="38"/>
      <c r="AC81" s="38"/>
      <c r="AD81" s="38">
        <f>+AM81+BA81</f>
        <v>37</v>
      </c>
      <c r="AE81" s="231" t="s">
        <v>587</v>
      </c>
      <c r="AF81" s="34"/>
      <c r="AG81" s="34"/>
      <c r="AH81" s="582">
        <v>37</v>
      </c>
      <c r="AJ81" s="38"/>
      <c r="AK81" s="38"/>
      <c r="AL81" s="38"/>
      <c r="AM81" s="38">
        <f t="shared" si="48"/>
        <v>37</v>
      </c>
      <c r="AN81" s="38"/>
      <c r="AO81" s="38"/>
      <c r="AP81" s="38"/>
      <c r="AQ81" s="38"/>
      <c r="AR81" s="38">
        <f t="shared" si="49"/>
        <v>0</v>
      </c>
      <c r="AS81" s="38"/>
      <c r="AT81" s="38"/>
      <c r="AU81" s="38"/>
      <c r="AV81" s="38"/>
      <c r="AW81" s="38"/>
      <c r="AX81" s="38"/>
      <c r="AY81" s="38"/>
      <c r="AZ81" s="38"/>
      <c r="BA81" s="38">
        <f>+AR81+AS81+AU81+AW81+AY81+AZ81</f>
        <v>0</v>
      </c>
      <c r="BB81" s="34"/>
      <c r="BC81" s="495"/>
      <c r="BD81" s="495"/>
      <c r="BE81" s="34"/>
      <c r="BF81" s="495"/>
    </row>
    <row r="82" spans="1:58" ht="13.5" customHeight="1">
      <c r="A82" s="41"/>
      <c r="B82" s="42"/>
      <c r="C82" s="406"/>
      <c r="D82" s="42"/>
      <c r="E82" s="43"/>
      <c r="F82" s="43"/>
      <c r="G82" s="491"/>
      <c r="H82" s="45"/>
      <c r="I82" s="46"/>
      <c r="J82" s="83"/>
      <c r="K82" s="83"/>
      <c r="L82" s="36"/>
      <c r="M82" s="36"/>
      <c r="N82" s="47"/>
      <c r="O82" s="48"/>
      <c r="P82" s="49"/>
      <c r="Q82" s="48"/>
      <c r="R82" s="492"/>
      <c r="S82" s="492"/>
      <c r="T82" s="38"/>
      <c r="U82" s="38"/>
      <c r="V82" s="38"/>
      <c r="W82" s="38"/>
      <c r="X82" s="493"/>
      <c r="Y82" s="212"/>
      <c r="Z82" s="38"/>
      <c r="AA82" s="50"/>
      <c r="AB82" s="50"/>
      <c r="AC82" s="38"/>
      <c r="AD82" s="38"/>
      <c r="AE82" s="231"/>
      <c r="AF82" s="38"/>
      <c r="AG82" s="38"/>
      <c r="AH82" s="38"/>
      <c r="AI82" s="494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4"/>
      <c r="BC82" s="52"/>
      <c r="BD82" s="52"/>
      <c r="BE82" s="52"/>
      <c r="BF82" s="52"/>
    </row>
    <row r="83" spans="1:58" ht="12.75" customHeight="1">
      <c r="A83" s="41">
        <v>45857</v>
      </c>
      <c r="B83" s="42" t="s">
        <v>412</v>
      </c>
      <c r="C83" s="406">
        <f>(M83*E83*O83*Q83)/100000000</f>
        <v>27.051518999999999</v>
      </c>
      <c r="D83" s="42" t="s">
        <v>301</v>
      </c>
      <c r="E83" s="43">
        <v>15</v>
      </c>
      <c r="F83" s="43">
        <v>1</v>
      </c>
      <c r="G83" s="491">
        <v>1195</v>
      </c>
      <c r="H83" s="45">
        <v>0.22</v>
      </c>
      <c r="I83" s="46">
        <v>0.88</v>
      </c>
      <c r="J83" s="83">
        <f>E83*G83*(1-H83)*1440/1000000*2.74</f>
        <v>55.165406400000002</v>
      </c>
      <c r="K83" s="83">
        <f>(IF(G83&lt;L83,L83,G83)*(1-IF(H83&lt;N83,H83,N83))*E83*O83*Q83)/100000000</f>
        <v>27.944824050000001</v>
      </c>
      <c r="L83" s="36">
        <v>1160</v>
      </c>
      <c r="M83" s="36">
        <v>902.30379746835445</v>
      </c>
      <c r="N83" s="47">
        <f>1-(M83/L83)</f>
        <v>0.22215189873417718</v>
      </c>
      <c r="O83" s="48">
        <f>+'Trim Rwd'!H58</f>
        <v>253</v>
      </c>
      <c r="P83" s="49">
        <f>O83*(Q83-R83-S83)</f>
        <v>192280</v>
      </c>
      <c r="Q83" s="48">
        <v>790</v>
      </c>
      <c r="R83" s="492">
        <v>0</v>
      </c>
      <c r="S83" s="492">
        <v>30</v>
      </c>
      <c r="T83" s="38">
        <f>E83*M83*O83*Q83/100000000</f>
        <v>27.051518999999999</v>
      </c>
      <c r="U83" s="38">
        <f>E83*M83*O83*(Q83-R83-S83)/100000000</f>
        <v>26.02424612658228</v>
      </c>
      <c r="V83" s="38">
        <f>E83*G83*(1-N83)*O83/100*(R83+S83)/1000000</f>
        <v>1.0582681756329115</v>
      </c>
      <c r="W83" s="38">
        <f>+'19'!K13/1000</f>
        <v>16.416</v>
      </c>
      <c r="X83" s="493">
        <f>SUM(W83:W86)/SUM(K83:K86)</f>
        <v>0.9657710375063332</v>
      </c>
      <c r="Y83" s="212">
        <f>+SUM(RBP!AG74:AG75)</f>
        <v>0</v>
      </c>
      <c r="Z83" s="38">
        <f>+'18'!D11/1000</f>
        <v>0</v>
      </c>
      <c r="AA83" s="50">
        <f>SUM(U83:U86)-SUM(W83:W86)-SUM(Z83:Z86)-SUM(Y83:Y86)</f>
        <v>-1.16946403591772</v>
      </c>
      <c r="AB83" s="50">
        <f>(SUM(K83:K86)-SUM(W83:W86)-SUM(Y83:Y86)-SUM(Z83:Z86)-SUM(AC83:AC86)-SUM(V83:V86))-AA83</f>
        <v>-3.0995302215193643E-2</v>
      </c>
      <c r="AC83" s="38">
        <f>K83-T83</f>
        <v>0.89330505000000215</v>
      </c>
      <c r="AD83" s="38">
        <f>+AM83+BA83</f>
        <v>12</v>
      </c>
      <c r="AE83" s="231" t="s">
        <v>413</v>
      </c>
      <c r="AF83" s="38">
        <v>12</v>
      </c>
      <c r="AG83" s="38"/>
      <c r="AH83" s="38"/>
      <c r="AI83" s="494"/>
      <c r="AJ83" s="38"/>
      <c r="AK83" s="38"/>
      <c r="AL83" s="38"/>
      <c r="AM83" s="38">
        <f t="shared" ref="AM83:AM85" si="50">SUM(AF83:AL83)+AT83+AV83+AX83</f>
        <v>12</v>
      </c>
      <c r="AN83" s="38"/>
      <c r="AO83" s="38"/>
      <c r="AP83" s="38"/>
      <c r="AQ83" s="38"/>
      <c r="AR83" s="38">
        <f>SUM(AN83:AQ83)</f>
        <v>0</v>
      </c>
      <c r="AS83" s="38"/>
      <c r="AT83" s="38"/>
      <c r="AU83" s="38"/>
      <c r="AV83" s="38"/>
      <c r="AW83" s="38"/>
      <c r="AX83" s="38"/>
      <c r="AY83" s="38"/>
      <c r="AZ83" s="38"/>
      <c r="BA83" s="38">
        <f>+AR83+AS83+AU83+AW83+AY83+AZ83</f>
        <v>0</v>
      </c>
      <c r="BB83" s="34">
        <v>6</v>
      </c>
      <c r="BC83" s="52"/>
      <c r="BD83" s="52"/>
      <c r="BE83" s="34"/>
      <c r="BF83" s="52"/>
    </row>
    <row r="84" spans="1:58" ht="12.95" customHeight="1">
      <c r="A84" s="41"/>
      <c r="B84" s="42" t="s">
        <v>412</v>
      </c>
      <c r="C84" s="406">
        <f>(M84*E84*O84*Q84)/100000000</f>
        <v>19.776631874999996</v>
      </c>
      <c r="D84" s="42" t="s">
        <v>301</v>
      </c>
      <c r="E84" s="43">
        <v>12.5</v>
      </c>
      <c r="F84" s="43">
        <v>1</v>
      </c>
      <c r="G84" s="491">
        <v>1230</v>
      </c>
      <c r="H84" s="45">
        <v>0.23</v>
      </c>
      <c r="I84" s="46">
        <v>0.88</v>
      </c>
      <c r="J84" s="83">
        <f>E84*G84*(1-H84)*1440/1000000*2.74</f>
        <v>46.710971999999998</v>
      </c>
      <c r="K84" s="83">
        <f>(IF(G84&lt;L84,L84,G84)*(1-IF(H84&lt;N84,H84,N84))*E84*O84*Q84)/100000000</f>
        <v>19.776631874999996</v>
      </c>
      <c r="L84" s="36">
        <v>1230</v>
      </c>
      <c r="M84" s="36">
        <v>947.09999999999991</v>
      </c>
      <c r="N84" s="47">
        <f>1-(M84/L84)</f>
        <v>0.23000000000000009</v>
      </c>
      <c r="O84" s="48">
        <f>+'Trim Rwd'!H59</f>
        <v>257</v>
      </c>
      <c r="P84" s="49">
        <f>O84*(Q84-R84-S84)</f>
        <v>159597</v>
      </c>
      <c r="Q84" s="48">
        <v>650</v>
      </c>
      <c r="R84" s="492">
        <v>0</v>
      </c>
      <c r="S84" s="492">
        <v>29</v>
      </c>
      <c r="T84" s="38">
        <f>E84*M84*O84*Q84/100000000</f>
        <v>19.776631874999996</v>
      </c>
      <c r="U84" s="38">
        <f>E84*M84*O84*(Q84-R84-S84)/100000000</f>
        <v>18.894289837499997</v>
      </c>
      <c r="V84" s="38">
        <f>E84*G84*(1-N84)*O84/100*(R84+S84)/1000000</f>
        <v>0.88234203749999984</v>
      </c>
      <c r="W84" s="38">
        <f>+'19'!K7/1000</f>
        <v>29.672000000000001</v>
      </c>
      <c r="X84" s="39"/>
      <c r="Y84" s="212"/>
      <c r="Z84" s="38"/>
      <c r="AA84" s="38"/>
      <c r="AB84" s="38"/>
      <c r="AC84" s="38"/>
      <c r="AD84" s="38">
        <f>+AM84+BA84</f>
        <v>9</v>
      </c>
      <c r="AE84" s="231" t="s">
        <v>602</v>
      </c>
      <c r="AF84" s="38"/>
      <c r="AG84" s="38">
        <v>9</v>
      </c>
      <c r="AH84" s="38"/>
      <c r="AI84" s="494"/>
      <c r="AJ84" s="38"/>
      <c r="AK84" s="38"/>
      <c r="AL84" s="38"/>
      <c r="AM84" s="38">
        <f t="shared" si="50"/>
        <v>9</v>
      </c>
      <c r="AN84" s="84"/>
      <c r="AO84" s="38"/>
      <c r="AP84" s="38"/>
      <c r="AQ84" s="38"/>
      <c r="AR84" s="38">
        <f t="shared" ref="AR84:AR85" si="51">SUM(AN84:AQ84)</f>
        <v>0</v>
      </c>
      <c r="AS84" s="38"/>
      <c r="AT84" s="38"/>
      <c r="AU84" s="38"/>
      <c r="AV84" s="38"/>
      <c r="AW84" s="38"/>
      <c r="AX84" s="38"/>
      <c r="AY84" s="38"/>
      <c r="AZ84" s="38"/>
      <c r="BA84" s="38">
        <f>+AR84+AS84+AU84+AW84+AY84+AZ84</f>
        <v>0</v>
      </c>
      <c r="BB84" s="51"/>
      <c r="BC84" s="52">
        <v>12</v>
      </c>
      <c r="BD84" s="52"/>
      <c r="BE84" s="51"/>
      <c r="BF84" s="52"/>
    </row>
    <row r="85" spans="1:58" ht="12.95" customHeight="1">
      <c r="A85" s="41"/>
      <c r="B85" s="42"/>
      <c r="C85" s="406"/>
      <c r="D85" s="42"/>
      <c r="E85" s="43"/>
      <c r="F85" s="43"/>
      <c r="G85" s="44"/>
      <c r="H85" s="45"/>
      <c r="I85" s="46"/>
      <c r="J85" s="83"/>
      <c r="K85" s="83"/>
      <c r="L85" s="36"/>
      <c r="M85" s="36"/>
      <c r="N85" s="47"/>
      <c r="O85" s="48"/>
      <c r="P85" s="49"/>
      <c r="Q85" s="48"/>
      <c r="R85" s="492"/>
      <c r="S85" s="492"/>
      <c r="T85" s="38"/>
      <c r="U85" s="38"/>
      <c r="V85" s="38"/>
      <c r="W85" s="38"/>
      <c r="X85" s="39"/>
      <c r="Y85" s="212"/>
      <c r="Z85" s="38"/>
      <c r="AA85" s="38"/>
      <c r="AB85" s="38"/>
      <c r="AC85" s="38"/>
      <c r="AD85" s="38">
        <f>+AM85+BA85</f>
        <v>38</v>
      </c>
      <c r="AE85" s="231" t="s">
        <v>587</v>
      </c>
      <c r="AF85" s="34"/>
      <c r="AG85" s="34"/>
      <c r="AH85" s="582">
        <v>38</v>
      </c>
      <c r="AJ85" s="38"/>
      <c r="AK85" s="38"/>
      <c r="AL85" s="38"/>
      <c r="AM85" s="38">
        <f t="shared" si="50"/>
        <v>38</v>
      </c>
      <c r="AN85" s="38"/>
      <c r="AO85" s="38"/>
      <c r="AP85" s="38"/>
      <c r="AQ85" s="38"/>
      <c r="AR85" s="38">
        <f t="shared" si="51"/>
        <v>0</v>
      </c>
      <c r="AS85" s="38"/>
      <c r="AT85" s="38"/>
      <c r="AU85" s="38"/>
      <c r="AV85" s="38"/>
      <c r="AW85" s="38"/>
      <c r="AX85" s="38"/>
      <c r="AY85" s="38"/>
      <c r="AZ85" s="38"/>
      <c r="BA85" s="38">
        <f>+AR85+AS85+AU85+AW85+AY85+AZ85</f>
        <v>0</v>
      </c>
      <c r="BB85" s="34"/>
      <c r="BC85" s="495"/>
      <c r="BD85" s="495"/>
      <c r="BE85" s="34"/>
      <c r="BF85" s="495"/>
    </row>
    <row r="86" spans="1:58" ht="12.95" customHeight="1">
      <c r="A86" s="41"/>
      <c r="B86" s="540"/>
      <c r="C86" s="406"/>
      <c r="D86" s="42"/>
      <c r="E86" s="43"/>
      <c r="F86" s="43"/>
      <c r="G86" s="44"/>
      <c r="H86" s="45"/>
      <c r="I86" s="46"/>
      <c r="J86" s="83"/>
      <c r="K86" s="83"/>
      <c r="L86" s="36"/>
      <c r="M86" s="36"/>
      <c r="N86" s="47"/>
      <c r="O86" s="48"/>
      <c r="P86" s="49"/>
      <c r="Q86" s="35"/>
      <c r="R86" s="492"/>
      <c r="S86" s="492"/>
      <c r="T86" s="38"/>
      <c r="U86" s="38"/>
      <c r="V86" s="38"/>
      <c r="W86" s="38"/>
      <c r="X86" s="39"/>
      <c r="Y86" s="39"/>
      <c r="Z86" s="38"/>
      <c r="AA86" s="50"/>
      <c r="AB86" s="50"/>
      <c r="AC86" s="38"/>
      <c r="AD86" s="38"/>
      <c r="AE86" s="21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4"/>
      <c r="BC86" s="52"/>
      <c r="BD86" s="52"/>
      <c r="BE86" s="52"/>
      <c r="BF86" s="52"/>
    </row>
    <row r="87" spans="1:58" ht="12.75" customHeight="1">
      <c r="A87" s="41">
        <v>45858</v>
      </c>
      <c r="B87" s="42" t="s">
        <v>412</v>
      </c>
      <c r="C87" s="406">
        <f>(M87*E87*O87*Q87)/100000000</f>
        <v>43.812845999999993</v>
      </c>
      <c r="D87" s="42" t="s">
        <v>301</v>
      </c>
      <c r="E87" s="43">
        <v>12.5</v>
      </c>
      <c r="F87" s="43">
        <v>1</v>
      </c>
      <c r="G87" s="491">
        <v>1230</v>
      </c>
      <c r="H87" s="45">
        <v>0.23</v>
      </c>
      <c r="I87" s="46">
        <v>0.88</v>
      </c>
      <c r="J87" s="83">
        <f>E87*G87*(1-H87)*1440/1000000*2.74</f>
        <v>46.710971999999998</v>
      </c>
      <c r="K87" s="83">
        <f>(IF(G87&lt;L87,L87,G87)*(1-IF(H87&lt;N87,H87,N87))*E87*O87*Q87)/100000000</f>
        <v>43.812845999999993</v>
      </c>
      <c r="L87" s="36">
        <v>1230</v>
      </c>
      <c r="M87" s="36">
        <v>947.0999999999998</v>
      </c>
      <c r="N87" s="47">
        <f>1-(M87/L87)</f>
        <v>0.2300000000000002</v>
      </c>
      <c r="O87" s="48">
        <f>+'Trim Rwd'!H61</f>
        <v>257</v>
      </c>
      <c r="P87" s="49">
        <f>O87*(Q87-R87-S87)</f>
        <v>351833</v>
      </c>
      <c r="Q87" s="48">
        <v>1440</v>
      </c>
      <c r="R87" s="492">
        <v>0</v>
      </c>
      <c r="S87" s="492">
        <v>71</v>
      </c>
      <c r="T87" s="38">
        <f>E87*M87*O87*Q87/100000000</f>
        <v>43.812845999999993</v>
      </c>
      <c r="U87" s="38">
        <f>E87*M87*O87*(Q87-R87-S87)/100000000</f>
        <v>41.652629287499998</v>
      </c>
      <c r="V87" s="38">
        <f>E87*G87*(1-N87)*O87/100*(R87+S87)/1000000</f>
        <v>2.1602167124999996</v>
      </c>
      <c r="W87" s="38">
        <f>+'20'!K7/1000</f>
        <v>44.429000000000002</v>
      </c>
      <c r="X87" s="493">
        <f>SUM(W87:W90)/SUM(K87:K90)</f>
        <v>1.0140633183244934</v>
      </c>
      <c r="Y87" s="212">
        <f>+SUM(RBP!AG78:AG79)</f>
        <v>0</v>
      </c>
      <c r="Z87" s="38">
        <f>+'18'!D15/1000</f>
        <v>1.9724801735240289E-5</v>
      </c>
      <c r="AA87" s="50">
        <f>SUM(U87:U90)-SUM(W87:W90)-SUM(Z87:Z90)-SUM(Y87:Y90)</f>
        <v>-2.776390437301739</v>
      </c>
      <c r="AB87" s="50">
        <f>(SUM(K87:K90)-SUM(W87:W90)-SUM(Y87:Y90)-SUM(Z87:Z90)-SUM(AC87:AC90)-SUM(V87:V90))-AA87</f>
        <v>-4.4408920985006262E-15</v>
      </c>
      <c r="AC87" s="38">
        <f>K87-T87</f>
        <v>0</v>
      </c>
      <c r="AD87" s="38">
        <f>+AM87+BA87</f>
        <v>30</v>
      </c>
      <c r="AE87" s="231" t="s">
        <v>603</v>
      </c>
      <c r="AF87" s="38">
        <v>30</v>
      </c>
      <c r="AG87" s="38"/>
      <c r="AH87" s="38"/>
      <c r="AI87" s="494"/>
      <c r="AJ87" s="38"/>
      <c r="AK87" s="38"/>
      <c r="AL87" s="38"/>
      <c r="AM87" s="38">
        <f t="shared" ref="AM87:AM89" si="52">SUM(AF87:AL87)+AT87+AV87+AX87</f>
        <v>30</v>
      </c>
      <c r="AN87" s="38"/>
      <c r="AO87" s="38"/>
      <c r="AP87" s="38"/>
      <c r="AQ87" s="38"/>
      <c r="AR87" s="38">
        <f>SUM(AN87:AQ87)</f>
        <v>0</v>
      </c>
      <c r="AS87" s="38"/>
      <c r="AT87" s="38"/>
      <c r="AU87" s="38"/>
      <c r="AV87" s="38"/>
      <c r="AW87" s="38"/>
      <c r="AX87" s="38"/>
      <c r="AY87" s="38"/>
      <c r="AZ87" s="38"/>
      <c r="BA87" s="38">
        <f>+AR87+AS87+AU87+AW87+AY87+AZ87</f>
        <v>0</v>
      </c>
      <c r="BB87" s="34">
        <v>9</v>
      </c>
      <c r="BC87" s="52"/>
      <c r="BD87" s="52"/>
      <c r="BE87" s="34"/>
      <c r="BF87" s="52"/>
    </row>
    <row r="88" spans="1:58" ht="12.95" customHeight="1">
      <c r="A88" s="41"/>
      <c r="B88" s="42"/>
      <c r="C88" s="406"/>
      <c r="D88" s="42"/>
      <c r="E88" s="43"/>
      <c r="F88" s="43"/>
      <c r="G88" s="491"/>
      <c r="H88" s="45"/>
      <c r="I88" s="46"/>
      <c r="J88" s="83"/>
      <c r="K88" s="83"/>
      <c r="L88" s="36"/>
      <c r="M88" s="36"/>
      <c r="N88" s="47"/>
      <c r="O88" s="48"/>
      <c r="P88" s="49"/>
      <c r="Q88" s="48"/>
      <c r="R88" s="492"/>
      <c r="S88" s="492"/>
      <c r="T88" s="38"/>
      <c r="U88" s="38"/>
      <c r="V88" s="38"/>
      <c r="W88" s="38"/>
      <c r="X88" s="39"/>
      <c r="Y88" s="212"/>
      <c r="Z88" s="38"/>
      <c r="AA88" s="38"/>
      <c r="AB88" s="38"/>
      <c r="AC88" s="38"/>
      <c r="AD88" s="38">
        <f>+AM88+BA88</f>
        <v>0</v>
      </c>
      <c r="AE88" s="231" t="s">
        <v>408</v>
      </c>
      <c r="AF88" s="38"/>
      <c r="AG88" s="38">
        <v>0</v>
      </c>
      <c r="AH88" s="38"/>
      <c r="AI88" s="494"/>
      <c r="AJ88" s="38"/>
      <c r="AK88" s="38"/>
      <c r="AL88" s="38"/>
      <c r="AM88" s="38">
        <f t="shared" si="52"/>
        <v>0</v>
      </c>
      <c r="AN88" s="84"/>
      <c r="AO88" s="38"/>
      <c r="AP88" s="38"/>
      <c r="AQ88" s="38"/>
      <c r="AR88" s="38">
        <f t="shared" ref="AR88:AR89" si="53">SUM(AN88:AQ88)</f>
        <v>0</v>
      </c>
      <c r="AS88" s="38"/>
      <c r="AT88" s="38"/>
      <c r="AU88" s="38"/>
      <c r="AV88" s="38"/>
      <c r="AW88" s="38"/>
      <c r="AX88" s="38"/>
      <c r="AY88" s="38"/>
      <c r="AZ88" s="38"/>
      <c r="BA88" s="38">
        <f>+AR88+AS88+AU88+AW88+AY88+AZ88</f>
        <v>0</v>
      </c>
      <c r="BB88" s="51"/>
      <c r="BC88" s="52">
        <v>0</v>
      </c>
      <c r="BD88" s="52"/>
      <c r="BE88" s="51"/>
      <c r="BF88" s="52"/>
    </row>
    <row r="89" spans="1:58" ht="12.95" customHeight="1">
      <c r="A89" s="41"/>
      <c r="B89" s="42"/>
      <c r="C89" s="406"/>
      <c r="D89" s="42"/>
      <c r="E89" s="43"/>
      <c r="F89" s="43"/>
      <c r="G89" s="44"/>
      <c r="H89" s="45"/>
      <c r="I89" s="46"/>
      <c r="J89" s="83"/>
      <c r="K89" s="83"/>
      <c r="L89" s="36"/>
      <c r="M89" s="36"/>
      <c r="N89" s="47"/>
      <c r="O89" s="48"/>
      <c r="P89" s="49"/>
      <c r="Q89" s="48"/>
      <c r="R89" s="492"/>
      <c r="S89" s="492"/>
      <c r="T89" s="38"/>
      <c r="U89" s="38"/>
      <c r="V89" s="38"/>
      <c r="W89" s="38"/>
      <c r="X89" s="39"/>
      <c r="Y89" s="212"/>
      <c r="Z89" s="38"/>
      <c r="AA89" s="38"/>
      <c r="AB89" s="38"/>
      <c r="AC89" s="38"/>
      <c r="AD89" s="38">
        <f>+AM89+BA89</f>
        <v>41</v>
      </c>
      <c r="AE89" s="231" t="s">
        <v>444</v>
      </c>
      <c r="AF89" s="34"/>
      <c r="AG89" s="34"/>
      <c r="AH89" s="582">
        <v>41</v>
      </c>
      <c r="AJ89" s="38"/>
      <c r="AK89" s="38"/>
      <c r="AL89" s="38"/>
      <c r="AM89" s="38">
        <f t="shared" si="52"/>
        <v>41</v>
      </c>
      <c r="AN89" s="38"/>
      <c r="AO89" s="38"/>
      <c r="AP89" s="38"/>
      <c r="AQ89" s="38"/>
      <c r="AR89" s="38">
        <f t="shared" si="53"/>
        <v>0</v>
      </c>
      <c r="AS89" s="38"/>
      <c r="AT89" s="38"/>
      <c r="AU89" s="38"/>
      <c r="AV89" s="38"/>
      <c r="AW89" s="38"/>
      <c r="AX89" s="38"/>
      <c r="AY89" s="38"/>
      <c r="AZ89" s="38"/>
      <c r="BA89" s="38">
        <f>+AR89+AS89+AU89+AW89+AY89+AZ89</f>
        <v>0</v>
      </c>
      <c r="BB89" s="34"/>
      <c r="BC89" s="495"/>
      <c r="BD89" s="495"/>
      <c r="BE89" s="34"/>
      <c r="BF89" s="495"/>
    </row>
    <row r="90" spans="1:58" ht="12.95" customHeight="1">
      <c r="A90" s="41"/>
      <c r="B90" s="42"/>
      <c r="C90" s="406"/>
      <c r="D90" s="42"/>
      <c r="E90" s="43"/>
      <c r="F90" s="43"/>
      <c r="G90" s="44"/>
      <c r="H90" s="45"/>
      <c r="I90" s="46"/>
      <c r="J90" s="83"/>
      <c r="K90" s="83"/>
      <c r="L90" s="36"/>
      <c r="M90" s="36"/>
      <c r="N90" s="47"/>
      <c r="O90" s="48"/>
      <c r="P90" s="49"/>
      <c r="Q90" s="35"/>
      <c r="R90" s="492"/>
      <c r="S90" s="492"/>
      <c r="T90" s="38"/>
      <c r="U90" s="38"/>
      <c r="V90" s="38"/>
      <c r="W90" s="38"/>
      <c r="X90" s="39"/>
      <c r="Y90" s="212"/>
      <c r="Z90" s="38"/>
      <c r="AA90" s="38"/>
      <c r="AB90" s="38"/>
      <c r="AC90" s="38"/>
      <c r="AD90" s="38"/>
      <c r="AE90" s="234"/>
      <c r="AF90" s="38"/>
      <c r="AG90" s="38"/>
      <c r="AH90" s="38"/>
      <c r="AI90" s="494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51"/>
      <c r="BC90" s="52"/>
      <c r="BD90" s="52"/>
      <c r="BE90" s="52"/>
      <c r="BF90" s="52"/>
    </row>
    <row r="91" spans="1:58" ht="12.75" customHeight="1">
      <c r="A91" s="41">
        <v>45859</v>
      </c>
      <c r="B91" s="42" t="s">
        <v>412</v>
      </c>
      <c r="C91" s="406">
        <f>(M91*E91*O91*Q91)/100000000</f>
        <v>8.9755483124999991</v>
      </c>
      <c r="D91" s="42" t="s">
        <v>301</v>
      </c>
      <c r="E91" s="43">
        <v>12.5</v>
      </c>
      <c r="F91" s="43">
        <v>1</v>
      </c>
      <c r="G91" s="491">
        <v>1230</v>
      </c>
      <c r="H91" s="45">
        <v>0.23</v>
      </c>
      <c r="I91" s="46">
        <v>0.88</v>
      </c>
      <c r="J91" s="83">
        <f>E91*G91*(1-H91)*1440/1000000*2.74</f>
        <v>46.710971999999998</v>
      </c>
      <c r="K91" s="83">
        <f>(IF(G91&lt;L91,L91,G91)*(1-IF(H91&lt;N91,H91,N91))*E91*O91*Q91)/100000000</f>
        <v>8.9755483124999991</v>
      </c>
      <c r="L91" s="36">
        <v>1230</v>
      </c>
      <c r="M91" s="36">
        <v>947.09999999999991</v>
      </c>
      <c r="N91" s="47">
        <f>1-(M91/L91)</f>
        <v>0.23000000000000009</v>
      </c>
      <c r="O91" s="48">
        <f>+'Trim Rwd'!H63</f>
        <v>257</v>
      </c>
      <c r="P91" s="49">
        <f>O91*(Q91-R91-S91)</f>
        <v>69390</v>
      </c>
      <c r="Q91" s="48">
        <v>295</v>
      </c>
      <c r="R91" s="492">
        <v>0</v>
      </c>
      <c r="S91" s="492">
        <v>25</v>
      </c>
      <c r="T91" s="38">
        <f>E91*M91*O91*Q91/100000000</f>
        <v>8.9755483124999991</v>
      </c>
      <c r="U91" s="38">
        <f>E91*M91*O91*(Q91-R91-S91)/100000000</f>
        <v>8.2149086249999996</v>
      </c>
      <c r="V91" s="38">
        <f>E91*G91*(1-N91)*O91/100*(R91+S91)/1000000</f>
        <v>0.76063968749999988</v>
      </c>
      <c r="W91" s="38">
        <f>+'21'!K7/1000</f>
        <v>11.255000000000001</v>
      </c>
      <c r="X91" s="493">
        <f>SUM(W91:W94)/SUM(K91:K94)</f>
        <v>0.91235652710721393</v>
      </c>
      <c r="Y91" s="212">
        <f>+SUM(RBP!AG82:AG83)</f>
        <v>0</v>
      </c>
      <c r="Z91" s="38">
        <f>+'18'!D19/1000</f>
        <v>0</v>
      </c>
      <c r="AA91" s="50">
        <f>SUM(U91:U94)-SUM(W91:W94)-SUM(Z91:Z94)-SUM(Y91:Y94)</f>
        <v>1.2368704437500071</v>
      </c>
      <c r="AB91" s="50">
        <f>(SUM(K91:K94)-SUM(W91:W94)-SUM(Y91:Y94)-SUM(Z91:Z94)-SUM(AC91:AC94)-SUM(V91:V94))-AA91</f>
        <v>-1.1990408665951691E-14</v>
      </c>
      <c r="AC91" s="38">
        <f>K91-T91</f>
        <v>0</v>
      </c>
      <c r="AD91" s="38">
        <f>+AM91+BA91</f>
        <v>33</v>
      </c>
      <c r="AE91" s="231" t="s">
        <v>488</v>
      </c>
      <c r="AF91" s="38">
        <v>33</v>
      </c>
      <c r="AG91" s="38"/>
      <c r="AH91" s="38"/>
      <c r="AI91" s="494"/>
      <c r="AJ91" s="38"/>
      <c r="AK91" s="38"/>
      <c r="AL91" s="38"/>
      <c r="AM91" s="38">
        <f t="shared" ref="AM91:AM93" si="54">SUM(AF91:AL91)+AT91+AV91+AX91</f>
        <v>33</v>
      </c>
      <c r="AN91" s="38"/>
      <c r="AO91" s="38"/>
      <c r="AP91" s="38"/>
      <c r="AQ91" s="38"/>
      <c r="AR91" s="38">
        <f>SUM(AN91:AQ91)</f>
        <v>0</v>
      </c>
      <c r="AS91" s="38"/>
      <c r="AT91" s="38"/>
      <c r="AU91" s="38"/>
      <c r="AV91" s="38"/>
      <c r="AW91" s="38"/>
      <c r="AX91" s="38"/>
      <c r="AY91" s="38"/>
      <c r="AZ91" s="38"/>
      <c r="BA91" s="38">
        <f>+AR91+AS91+AU91+AW91+AY91+AZ91</f>
        <v>0</v>
      </c>
      <c r="BB91" s="34">
        <v>10</v>
      </c>
      <c r="BC91" s="52"/>
      <c r="BD91" s="52"/>
      <c r="BE91" s="34"/>
      <c r="BF91" s="52"/>
    </row>
    <row r="92" spans="1:58" ht="12.95" customHeight="1">
      <c r="A92" s="41"/>
      <c r="B92" s="42" t="s">
        <v>7</v>
      </c>
      <c r="C92" s="406">
        <f>(M92*E92*O92*Q92)/100000000</f>
        <v>32.736215531249997</v>
      </c>
      <c r="D92" s="42" t="s">
        <v>301</v>
      </c>
      <c r="E92" s="43">
        <v>11.5</v>
      </c>
      <c r="F92" s="43">
        <v>1</v>
      </c>
      <c r="G92" s="491">
        <v>1230</v>
      </c>
      <c r="H92" s="45">
        <v>0.23</v>
      </c>
      <c r="I92" s="46">
        <v>0.88</v>
      </c>
      <c r="J92" s="83">
        <f>E92*G92*(1-H92)*1440/1000000*2.74</f>
        <v>42.974094239999999</v>
      </c>
      <c r="K92" s="83">
        <f>(IF(G92&lt;L92,L92,G92)*(1-IF(H92&lt;N92,H92,N92))*E92*O92*Q92)/100000000</f>
        <v>32.736215531249997</v>
      </c>
      <c r="L92" s="36">
        <v>1230</v>
      </c>
      <c r="M92" s="36">
        <v>947.09999999999991</v>
      </c>
      <c r="N92" s="47">
        <f>1-(M92/L92)</f>
        <v>0.23000000000000009</v>
      </c>
      <c r="O92" s="48">
        <f>+'Trim Rwd'!H64</f>
        <v>262.5</v>
      </c>
      <c r="P92" s="49">
        <f>O92*(Q92-R92-S92)</f>
        <v>285337.5</v>
      </c>
      <c r="Q92" s="48">
        <v>1145</v>
      </c>
      <c r="R92" s="492">
        <v>0</v>
      </c>
      <c r="S92" s="492">
        <f>83-S91</f>
        <v>58</v>
      </c>
      <c r="T92" s="38">
        <f>E92*M92*O92*Q92/100000000</f>
        <v>32.736215531249997</v>
      </c>
      <c r="U92" s="38">
        <f>E92*M92*O92*(Q92-R92-S92)/100000000</f>
        <v>31.077961818750001</v>
      </c>
      <c r="V92" s="38">
        <f>E92*G92*(1-N92)*O92/100*(R92+S92)/1000000</f>
        <v>1.6582537124999996</v>
      </c>
      <c r="W92" s="38">
        <f>+'21'!K12/1000</f>
        <v>26.800999999999998</v>
      </c>
      <c r="X92" s="39"/>
      <c r="Y92" s="212"/>
      <c r="Z92" s="38"/>
      <c r="AA92" s="38"/>
      <c r="AB92" s="38"/>
      <c r="AC92" s="38"/>
      <c r="AD92" s="38">
        <f>+AM92+BA92</f>
        <v>0</v>
      </c>
      <c r="AE92" s="231" t="s">
        <v>408</v>
      </c>
      <c r="AF92" s="38"/>
      <c r="AG92" s="38">
        <v>0</v>
      </c>
      <c r="AH92" s="38"/>
      <c r="AI92" s="494"/>
      <c r="AJ92" s="38"/>
      <c r="AK92" s="38"/>
      <c r="AL92" s="38"/>
      <c r="AM92" s="38">
        <f t="shared" si="54"/>
        <v>0</v>
      </c>
      <c r="AN92" s="84"/>
      <c r="AO92" s="38"/>
      <c r="AP92" s="38"/>
      <c r="AQ92" s="38"/>
      <c r="AR92" s="38">
        <f t="shared" ref="AR92:AR93" si="55">SUM(AN92:AQ92)</f>
        <v>0</v>
      </c>
      <c r="AS92" s="38"/>
      <c r="AT92" s="38"/>
      <c r="AU92" s="38"/>
      <c r="AV92" s="38"/>
      <c r="AW92" s="38"/>
      <c r="AX92" s="38"/>
      <c r="AY92" s="38"/>
      <c r="AZ92" s="38"/>
      <c r="BA92" s="38">
        <f>+AR92+AS92+AU92+AW92+AY92+AZ92</f>
        <v>0</v>
      </c>
      <c r="BB92" s="51"/>
      <c r="BC92" s="52">
        <v>0</v>
      </c>
      <c r="BD92" s="52"/>
      <c r="BE92" s="51"/>
      <c r="BF92" s="52"/>
    </row>
    <row r="93" spans="1:58" ht="12.95" customHeight="1">
      <c r="A93" s="41"/>
      <c r="B93" s="42"/>
      <c r="C93" s="406"/>
      <c r="D93" s="42"/>
      <c r="E93" s="43"/>
      <c r="F93" s="43"/>
      <c r="G93" s="44"/>
      <c r="H93" s="45"/>
      <c r="I93" s="46"/>
      <c r="J93" s="83"/>
      <c r="K93" s="83"/>
      <c r="L93" s="36"/>
      <c r="M93" s="36"/>
      <c r="N93" s="47"/>
      <c r="O93" s="48"/>
      <c r="P93" s="49"/>
      <c r="Q93" s="48"/>
      <c r="R93" s="492"/>
      <c r="S93" s="492"/>
      <c r="T93" s="38"/>
      <c r="U93" s="38"/>
      <c r="V93" s="38"/>
      <c r="W93" s="38"/>
      <c r="X93" s="39"/>
      <c r="Y93" s="212"/>
      <c r="Z93" s="38"/>
      <c r="AA93" s="38"/>
      <c r="AB93" s="38"/>
      <c r="AC93" s="38"/>
      <c r="AD93" s="38">
        <f>+AM93+BA93</f>
        <v>50</v>
      </c>
      <c r="AE93" s="231" t="s">
        <v>456</v>
      </c>
      <c r="AF93" s="34"/>
      <c r="AG93" s="34"/>
      <c r="AH93" s="582">
        <v>50</v>
      </c>
      <c r="AJ93" s="38"/>
      <c r="AK93" s="38"/>
      <c r="AL93" s="38"/>
      <c r="AM93" s="38">
        <f t="shared" si="54"/>
        <v>50</v>
      </c>
      <c r="AN93" s="38"/>
      <c r="AO93" s="38"/>
      <c r="AP93" s="38"/>
      <c r="AQ93" s="38"/>
      <c r="AR93" s="38">
        <f t="shared" si="55"/>
        <v>0</v>
      </c>
      <c r="AS93" s="38"/>
      <c r="AT93" s="38"/>
      <c r="AU93" s="38"/>
      <c r="AV93" s="38"/>
      <c r="AW93" s="38"/>
      <c r="AX93" s="38"/>
      <c r="AY93" s="38"/>
      <c r="AZ93" s="38"/>
      <c r="BA93" s="38">
        <f>+AR93+AS93+AU93+AW93+AY93+AZ93</f>
        <v>0</v>
      </c>
      <c r="BB93" s="34"/>
      <c r="BC93" s="495"/>
      <c r="BD93" s="495"/>
      <c r="BE93" s="34"/>
      <c r="BF93" s="495"/>
    </row>
    <row r="94" spans="1:58" ht="12.95" customHeight="1">
      <c r="A94" s="41"/>
      <c r="B94" s="42"/>
      <c r="C94" s="406"/>
      <c r="D94" s="42"/>
      <c r="E94" s="43"/>
      <c r="F94" s="43"/>
      <c r="G94" s="44"/>
      <c r="H94" s="45"/>
      <c r="I94" s="46"/>
      <c r="J94" s="83"/>
      <c r="K94" s="83"/>
      <c r="L94" s="36"/>
      <c r="M94" s="36"/>
      <c r="N94" s="47"/>
      <c r="O94" s="48"/>
      <c r="P94" s="49"/>
      <c r="Q94" s="48"/>
      <c r="R94" s="492"/>
      <c r="S94" s="492"/>
      <c r="T94" s="38"/>
      <c r="U94" s="38"/>
      <c r="V94" s="38"/>
      <c r="W94" s="38"/>
      <c r="X94" s="39"/>
      <c r="Y94" s="212"/>
      <c r="Z94" s="38"/>
      <c r="AA94" s="38"/>
      <c r="AB94" s="38"/>
      <c r="AC94" s="38"/>
      <c r="AD94" s="38"/>
      <c r="AE94" s="231"/>
      <c r="AF94" s="34"/>
      <c r="AG94" s="34"/>
      <c r="AH94" s="34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4"/>
      <c r="BC94" s="495"/>
      <c r="BD94" s="495"/>
      <c r="BE94" s="34"/>
      <c r="BF94" s="495"/>
    </row>
    <row r="95" spans="1:58" ht="12.75" customHeight="1">
      <c r="A95" s="41">
        <v>45860</v>
      </c>
      <c r="B95" s="42" t="s">
        <v>7</v>
      </c>
      <c r="C95" s="406">
        <f>(M95*E95*O95*Q95)/100000000</f>
        <v>2.5731523125</v>
      </c>
      <c r="D95" s="42" t="s">
        <v>301</v>
      </c>
      <c r="E95" s="43">
        <v>11.5</v>
      </c>
      <c r="F95" s="43">
        <v>1</v>
      </c>
      <c r="G95" s="491">
        <v>1230</v>
      </c>
      <c r="H95" s="45">
        <v>0.23</v>
      </c>
      <c r="I95" s="46">
        <v>0.88</v>
      </c>
      <c r="J95" s="83">
        <f>E95*G95*(1-H95)*1440/1000000*2.74</f>
        <v>42.974094239999999</v>
      </c>
      <c r="K95" s="83">
        <f>(IF(G95&lt;L95,L95,G95)*(1-IF(H95&lt;N95,H95,N95))*E95*O95*Q95)/100000000</f>
        <v>2.5731523125</v>
      </c>
      <c r="L95" s="36">
        <v>1230</v>
      </c>
      <c r="M95" s="36">
        <v>947.09999999999991</v>
      </c>
      <c r="N95" s="47">
        <f>1-(M95/L95)</f>
        <v>0.23000000000000009</v>
      </c>
      <c r="O95" s="48">
        <f>+'Trim Rwd'!H66</f>
        <v>262.5</v>
      </c>
      <c r="P95" s="49">
        <f>O95*(Q95-R95-S95)</f>
        <v>20475</v>
      </c>
      <c r="Q95" s="48">
        <v>90</v>
      </c>
      <c r="R95" s="492">
        <v>0</v>
      </c>
      <c r="S95" s="492">
        <v>12</v>
      </c>
      <c r="T95" s="38">
        <f>E95*M95*O95*Q95/100000000</f>
        <v>2.5731523125</v>
      </c>
      <c r="U95" s="38">
        <f>E95*M95*O95*(Q95-R95-S95)/100000000</f>
        <v>2.2300653375000001</v>
      </c>
      <c r="V95" s="38">
        <f>E95*G95*(1-N95)*O95/100*(R95+S95)/1000000</f>
        <v>0.34308697499999996</v>
      </c>
      <c r="W95" s="38">
        <f>+'22'!K12/1000</f>
        <v>6.2510000000000003</v>
      </c>
      <c r="X95" s="493">
        <f>SUM(W95:W98)/SUM(K95:K98)</f>
        <v>0.86093664954417914</v>
      </c>
      <c r="Y95" s="212">
        <f>+SUM(RBP!AG86:AG87)</f>
        <v>0</v>
      </c>
      <c r="Z95" s="38">
        <f>+'18'!D23/1000</f>
        <v>0</v>
      </c>
      <c r="AA95" s="50">
        <f>SUM(U95:U98)-SUM(W95:W98)-SUM(Z95:Z98)-SUM(Y95:Y98)</f>
        <v>3.8161546708333347</v>
      </c>
      <c r="AB95" s="50">
        <f>(SUM(K95:K98)-SUM(W95:W98)-SUM(Y95:Y98)-SUM(Z95:Z98)-SUM(AC95:AC98)-SUM(V95:V98))-AA95</f>
        <v>0.48782066666667312</v>
      </c>
      <c r="AC95" s="38">
        <f>K95-T95</f>
        <v>0</v>
      </c>
      <c r="AD95" s="38">
        <f>+AM95+BA95</f>
        <v>25</v>
      </c>
      <c r="AE95" s="231" t="s">
        <v>619</v>
      </c>
      <c r="AF95" s="38">
        <v>25</v>
      </c>
      <c r="AG95" s="38"/>
      <c r="AH95" s="38"/>
      <c r="AI95" s="494"/>
      <c r="AJ95" s="38"/>
      <c r="AK95" s="38"/>
      <c r="AL95" s="38"/>
      <c r="AM95" s="38">
        <f t="shared" ref="AM95:AM97" si="56">SUM(AF95:AL95)+AT95+AV95+AX95</f>
        <v>25</v>
      </c>
      <c r="AN95" s="38"/>
      <c r="AO95" s="38"/>
      <c r="AP95" s="38"/>
      <c r="AQ95" s="38"/>
      <c r="AR95" s="38">
        <f>SUM(AN95:AQ95)</f>
        <v>0</v>
      </c>
      <c r="AS95" s="38"/>
      <c r="AT95" s="38"/>
      <c r="AU95" s="38"/>
      <c r="AV95" s="38"/>
      <c r="AW95" s="38"/>
      <c r="AX95" s="38"/>
      <c r="AY95" s="38"/>
      <c r="AZ95" s="38"/>
      <c r="BA95" s="38">
        <f>+AR95+AS95+AU95+AW95+AY95+AZ95</f>
        <v>0</v>
      </c>
      <c r="BB95" s="34">
        <v>7</v>
      </c>
      <c r="BC95" s="52"/>
      <c r="BD95" s="52"/>
      <c r="BE95" s="34"/>
      <c r="BF95" s="52">
        <v>1</v>
      </c>
    </row>
    <row r="96" spans="1:58" ht="12.95" customHeight="1">
      <c r="A96" s="41"/>
      <c r="B96" s="42" t="s">
        <v>7</v>
      </c>
      <c r="C96" s="406">
        <f>(M96*E96*O96*Q96)/100000000</f>
        <v>44.821139999999993</v>
      </c>
      <c r="D96" s="42" t="s">
        <v>301</v>
      </c>
      <c r="E96" s="43">
        <v>14</v>
      </c>
      <c r="F96" s="43">
        <v>1</v>
      </c>
      <c r="G96" s="491">
        <v>1230</v>
      </c>
      <c r="H96" s="45">
        <v>0.25</v>
      </c>
      <c r="I96" s="46">
        <v>0.88</v>
      </c>
      <c r="J96" s="83">
        <f>E96*G96*(1-H96)*1440/1000000*2.74</f>
        <v>50.957424000000003</v>
      </c>
      <c r="K96" s="83">
        <f>(IF(G96&lt;L96,L96,G96)*(1-IF(H96&lt;N96,H96,N96))*E96*O96*Q96)/100000000</f>
        <v>45.331650000000003</v>
      </c>
      <c r="L96" s="36">
        <v>1216.148148148148</v>
      </c>
      <c r="M96" s="36">
        <v>912.11111111111109</v>
      </c>
      <c r="N96" s="47">
        <f>1-(M96/L96)</f>
        <v>0.25</v>
      </c>
      <c r="O96" s="48">
        <f>+'Trim Rwd'!H67</f>
        <v>260</v>
      </c>
      <c r="P96" s="49">
        <f>O96*(Q96-R96-S96)</f>
        <v>335400</v>
      </c>
      <c r="Q96" s="48">
        <v>1350</v>
      </c>
      <c r="R96" s="492">
        <v>0</v>
      </c>
      <c r="S96" s="492">
        <v>60</v>
      </c>
      <c r="T96" s="38">
        <f>E96*M96*O96*Q96/100000000</f>
        <v>44.821139999999993</v>
      </c>
      <c r="U96" s="38">
        <f>E96*M96*O96*(Q96-R96-S96)/100000000</f>
        <v>42.829089333333329</v>
      </c>
      <c r="V96" s="38">
        <f>E96*G96*(1-N96)*O96/100*(R96+S96)/1000000</f>
        <v>2.0147400000000002</v>
      </c>
      <c r="W96" s="38">
        <f>+'22'!K14/1000</f>
        <v>34.991999999999997</v>
      </c>
      <c r="X96" s="39"/>
      <c r="Y96" s="212"/>
      <c r="Z96" s="38"/>
      <c r="AA96" s="38"/>
      <c r="AB96" s="38"/>
      <c r="AC96" s="38"/>
      <c r="AD96" s="38">
        <f>+AM96+BA96</f>
        <v>9</v>
      </c>
      <c r="AE96" s="231" t="s">
        <v>385</v>
      </c>
      <c r="AF96" s="38"/>
      <c r="AG96" s="38">
        <v>9</v>
      </c>
      <c r="AH96" s="38"/>
      <c r="AI96" s="494"/>
      <c r="AJ96" s="38"/>
      <c r="AK96" s="38"/>
      <c r="AL96" s="38"/>
      <c r="AM96" s="38">
        <f t="shared" si="56"/>
        <v>9</v>
      </c>
      <c r="AN96" s="84"/>
      <c r="AO96" s="38"/>
      <c r="AP96" s="38"/>
      <c r="AQ96" s="38"/>
      <c r="AR96" s="38">
        <f t="shared" ref="AR96:AR97" si="57">SUM(AN96:AQ96)</f>
        <v>0</v>
      </c>
      <c r="AS96" s="38"/>
      <c r="AT96" s="38"/>
      <c r="AU96" s="38"/>
      <c r="AV96" s="38"/>
      <c r="AW96" s="38"/>
      <c r="AX96" s="38"/>
      <c r="AY96" s="38"/>
      <c r="AZ96" s="38"/>
      <c r="BA96" s="38">
        <f>+AR96+AS96+AU96+AW96+AY96+AZ96</f>
        <v>0</v>
      </c>
      <c r="BB96" s="51"/>
      <c r="BC96" s="52">
        <v>5</v>
      </c>
      <c r="BD96" s="52"/>
      <c r="BE96" s="51"/>
      <c r="BF96" s="52"/>
    </row>
    <row r="97" spans="1:58" ht="12.95" customHeight="1">
      <c r="A97" s="41"/>
      <c r="B97" s="42"/>
      <c r="C97" s="406"/>
      <c r="D97" s="42"/>
      <c r="E97" s="43"/>
      <c r="F97" s="43"/>
      <c r="G97" s="44"/>
      <c r="H97" s="45"/>
      <c r="I97" s="46"/>
      <c r="J97" s="83"/>
      <c r="K97" s="83"/>
      <c r="L97" s="36"/>
      <c r="M97" s="36"/>
      <c r="N97" s="47"/>
      <c r="O97" s="48"/>
      <c r="P97" s="49"/>
      <c r="Q97" s="48"/>
      <c r="R97" s="492"/>
      <c r="S97" s="492"/>
      <c r="T97" s="38"/>
      <c r="U97" s="38"/>
      <c r="V97" s="38"/>
      <c r="W97" s="38"/>
      <c r="X97" s="39"/>
      <c r="Y97" s="212"/>
      <c r="Z97" s="38"/>
      <c r="AA97" s="38"/>
      <c r="AB97" s="38"/>
      <c r="AC97" s="38"/>
      <c r="AD97" s="38">
        <f>+AM97+BA97</f>
        <v>38</v>
      </c>
      <c r="AE97" s="231" t="s">
        <v>620</v>
      </c>
      <c r="AF97" s="34"/>
      <c r="AG97" s="34"/>
      <c r="AH97" s="582">
        <v>38</v>
      </c>
      <c r="AJ97" s="38"/>
      <c r="AK97" s="38"/>
      <c r="AL97" s="38"/>
      <c r="AM97" s="38">
        <f t="shared" si="56"/>
        <v>38</v>
      </c>
      <c r="AN97" s="38"/>
      <c r="AO97" s="38"/>
      <c r="AP97" s="38"/>
      <c r="AQ97" s="38"/>
      <c r="AR97" s="38">
        <f t="shared" si="57"/>
        <v>0</v>
      </c>
      <c r="AS97" s="38"/>
      <c r="AT97" s="38"/>
      <c r="AU97" s="38"/>
      <c r="AV97" s="38"/>
      <c r="AW97" s="38"/>
      <c r="AX97" s="38"/>
      <c r="AY97" s="38"/>
      <c r="AZ97" s="38"/>
      <c r="BA97" s="38">
        <f>+AR97+AS97+AU97+AW97+AY97+AZ97</f>
        <v>0</v>
      </c>
      <c r="BB97" s="34"/>
      <c r="BC97" s="495"/>
      <c r="BD97" s="495"/>
      <c r="BE97" s="34"/>
      <c r="BF97" s="495"/>
    </row>
    <row r="98" spans="1:58" ht="12.95" customHeight="1">
      <c r="A98" s="41"/>
      <c r="B98" s="42"/>
      <c r="C98" s="406"/>
      <c r="D98" s="42"/>
      <c r="E98" s="43"/>
      <c r="F98" s="43"/>
      <c r="G98" s="491"/>
      <c r="H98" s="45"/>
      <c r="I98" s="46"/>
      <c r="J98" s="83"/>
      <c r="K98" s="83"/>
      <c r="L98" s="36"/>
      <c r="M98" s="36"/>
      <c r="N98" s="47"/>
      <c r="O98" s="48"/>
      <c r="P98" s="49"/>
      <c r="Q98" s="48"/>
      <c r="R98" s="492"/>
      <c r="S98" s="492"/>
      <c r="T98" s="38"/>
      <c r="U98" s="38"/>
      <c r="V98" s="38"/>
      <c r="W98" s="38"/>
      <c r="X98" s="39"/>
      <c r="Y98" s="212"/>
      <c r="Z98" s="38"/>
      <c r="AA98" s="38"/>
      <c r="AB98" s="38"/>
      <c r="AC98" s="38"/>
      <c r="AD98" s="38"/>
      <c r="AE98" s="231"/>
      <c r="AF98" s="38"/>
      <c r="AG98" s="38"/>
      <c r="AH98" s="38"/>
      <c r="AI98" s="494"/>
      <c r="AJ98" s="38"/>
      <c r="AK98" s="38"/>
      <c r="AL98" s="38"/>
      <c r="AM98" s="38"/>
      <c r="AN98" s="84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51"/>
      <c r="BC98" s="52"/>
      <c r="BD98" s="52"/>
      <c r="BE98" s="52"/>
      <c r="BF98" s="52"/>
    </row>
    <row r="99" spans="1:58" ht="12.75" customHeight="1">
      <c r="A99" s="41">
        <v>45861</v>
      </c>
      <c r="B99" s="42" t="s">
        <v>7</v>
      </c>
      <c r="C99" s="406">
        <f>(M99*E99*O99*Q99)/100000000</f>
        <v>48.353760000000001</v>
      </c>
      <c r="D99" s="42" t="s">
        <v>301</v>
      </c>
      <c r="E99" s="43">
        <v>14</v>
      </c>
      <c r="F99" s="43">
        <v>1</v>
      </c>
      <c r="G99" s="491">
        <v>1230</v>
      </c>
      <c r="H99" s="45">
        <v>0.25</v>
      </c>
      <c r="I99" s="46">
        <v>0.88</v>
      </c>
      <c r="J99" s="83">
        <f>E99*G99*(1-H99)*1440/1000000*2.74</f>
        <v>50.957424000000003</v>
      </c>
      <c r="K99" s="83">
        <f>(IF(G99&lt;L99,L99,G99)*(1-IF(H99&lt;N99,H99,N99))*E99*O99*Q99)/100000000</f>
        <v>48.353760000000001</v>
      </c>
      <c r="L99" s="36">
        <v>1230</v>
      </c>
      <c r="M99" s="36">
        <v>922.5</v>
      </c>
      <c r="N99" s="47">
        <f>1-(M99/L99)</f>
        <v>0.25</v>
      </c>
      <c r="O99" s="48">
        <f>+'Trim Rwd'!H69</f>
        <v>260</v>
      </c>
      <c r="P99" s="49">
        <f>O99*(Q99-R99-S99)</f>
        <v>191620</v>
      </c>
      <c r="Q99" s="48">
        <v>1440</v>
      </c>
      <c r="R99" s="492">
        <v>660</v>
      </c>
      <c r="S99" s="492">
        <v>43</v>
      </c>
      <c r="T99" s="38">
        <f>E99*M99*O99*Q99/100000000</f>
        <v>48.353760000000001</v>
      </c>
      <c r="U99" s="38">
        <f>E99*M99*O99*(Q99-R99-S99)/100000000</f>
        <v>24.747723000000001</v>
      </c>
      <c r="V99" s="38">
        <f>E99*G99*(1-N99)*O99/100*(R99+S99)/1000000</f>
        <v>23.606037000000001</v>
      </c>
      <c r="W99" s="38">
        <f>+'23'!K14/1000</f>
        <v>26.443000000000001</v>
      </c>
      <c r="X99" s="493">
        <f>SUM(W99:W102)/SUM(K99:K102)</f>
        <v>0.54686543507681717</v>
      </c>
      <c r="Y99" s="212">
        <f>+SUM(RBP!AG90:AG91)</f>
        <v>0</v>
      </c>
      <c r="Z99" s="38">
        <f>+'18'!D27/1000</f>
        <v>0</v>
      </c>
      <c r="AA99" s="50">
        <f>SUM(U99:U102)-SUM(W99:W102)-SUM(Z99:Z102)-SUM(Y99:Y102)</f>
        <v>-1.6952770000000008</v>
      </c>
      <c r="AB99" s="50">
        <f>(SUM(K99:K102)-SUM(W99:W102)-SUM(Y99:Y102)-SUM(Z99:Z102)-SUM(AC99:AC102)-SUM(V99:V102))-AA99</f>
        <v>0</v>
      </c>
      <c r="AC99" s="38">
        <f>K99-T99</f>
        <v>0</v>
      </c>
      <c r="AD99" s="38">
        <f>+AM99+BA99</f>
        <v>0</v>
      </c>
      <c r="AE99" s="231" t="s">
        <v>383</v>
      </c>
      <c r="AF99" s="38">
        <v>0</v>
      </c>
      <c r="AG99" s="38"/>
      <c r="AH99" s="38"/>
      <c r="AI99" s="494"/>
      <c r="AJ99" s="38"/>
      <c r="AK99" s="38"/>
      <c r="AL99" s="38"/>
      <c r="AM99" s="38">
        <f t="shared" ref="AM99:AM101" si="58">SUM(AF99:AL99)+AT99+AV99+AX99</f>
        <v>0</v>
      </c>
      <c r="AN99" s="38"/>
      <c r="AO99" s="38"/>
      <c r="AP99" s="38"/>
      <c r="AQ99" s="38"/>
      <c r="AR99" s="38">
        <f>SUM(AN99:AQ99)</f>
        <v>0</v>
      </c>
      <c r="AS99" s="38"/>
      <c r="AT99" s="38"/>
      <c r="AU99" s="38"/>
      <c r="AV99" s="38"/>
      <c r="AW99" s="38"/>
      <c r="AX99" s="38"/>
      <c r="AY99" s="38"/>
      <c r="AZ99" s="38"/>
      <c r="BA99" s="38">
        <f>+AR99+AS99+AU99+AW99+AY99+AZ99</f>
        <v>0</v>
      </c>
      <c r="BB99" s="34">
        <v>0</v>
      </c>
      <c r="BC99" s="52"/>
      <c r="BD99" s="52"/>
      <c r="BE99" s="34"/>
      <c r="BF99" s="52"/>
    </row>
    <row r="100" spans="1:58" ht="12.95" customHeight="1">
      <c r="A100" s="41"/>
      <c r="B100" s="42"/>
      <c r="C100" s="406"/>
      <c r="D100" s="42"/>
      <c r="E100" s="43"/>
      <c r="F100" s="43"/>
      <c r="G100" s="491"/>
      <c r="H100" s="45"/>
      <c r="I100" s="46"/>
      <c r="J100" s="83"/>
      <c r="K100" s="83"/>
      <c r="L100" s="36"/>
      <c r="M100" s="36"/>
      <c r="N100" s="47"/>
      <c r="O100" s="48"/>
      <c r="P100" s="49"/>
      <c r="Q100" s="48"/>
      <c r="R100" s="492"/>
      <c r="S100" s="492"/>
      <c r="T100" s="38"/>
      <c r="U100" s="38"/>
      <c r="V100" s="38"/>
      <c r="W100" s="38"/>
      <c r="X100" s="39"/>
      <c r="Y100" s="212"/>
      <c r="Z100" s="38"/>
      <c r="AA100" s="38"/>
      <c r="AB100" s="38"/>
      <c r="AC100" s="38"/>
      <c r="AD100" s="38">
        <f>+AM100+BA100</f>
        <v>12</v>
      </c>
      <c r="AE100" s="231" t="s">
        <v>503</v>
      </c>
      <c r="AF100" s="38"/>
      <c r="AG100" s="38">
        <v>12</v>
      </c>
      <c r="AH100" s="38"/>
      <c r="AI100" s="494"/>
      <c r="AJ100" s="38"/>
      <c r="AK100" s="38"/>
      <c r="AL100" s="38"/>
      <c r="AM100" s="38">
        <f t="shared" si="58"/>
        <v>12</v>
      </c>
      <c r="AN100" s="84"/>
      <c r="AO100" s="38"/>
      <c r="AP100" s="38"/>
      <c r="AQ100" s="38"/>
      <c r="AR100" s="38">
        <f t="shared" ref="AR100:AR101" si="59">SUM(AN100:AQ100)</f>
        <v>0</v>
      </c>
      <c r="AS100" s="38"/>
      <c r="AT100" s="38"/>
      <c r="AU100" s="38"/>
      <c r="AV100" s="38"/>
      <c r="AW100" s="38"/>
      <c r="AX100" s="38"/>
      <c r="AY100" s="38"/>
      <c r="AZ100" s="38"/>
      <c r="BA100" s="38">
        <f>+AR100+AS100+AU100+AW100+AY100+AZ100</f>
        <v>0</v>
      </c>
      <c r="BB100" s="51"/>
      <c r="BC100" s="52">
        <v>6</v>
      </c>
      <c r="BD100" s="52"/>
      <c r="BE100" s="51"/>
      <c r="BF100" s="52"/>
    </row>
    <row r="101" spans="1:58" ht="12.95" customHeight="1">
      <c r="A101" s="41"/>
      <c r="B101" s="42"/>
      <c r="C101" s="406"/>
      <c r="D101" s="42"/>
      <c r="E101" s="43"/>
      <c r="F101" s="43"/>
      <c r="G101" s="44"/>
      <c r="H101" s="45"/>
      <c r="I101" s="46"/>
      <c r="J101" s="83"/>
      <c r="K101" s="83"/>
      <c r="L101" s="36"/>
      <c r="M101" s="36"/>
      <c r="N101" s="47"/>
      <c r="O101" s="48"/>
      <c r="P101" s="49"/>
      <c r="Q101" s="48"/>
      <c r="R101" s="492"/>
      <c r="S101" s="492"/>
      <c r="T101" s="38"/>
      <c r="U101" s="38"/>
      <c r="V101" s="38"/>
      <c r="W101" s="38"/>
      <c r="X101" s="39"/>
      <c r="Y101" s="212"/>
      <c r="Z101" s="38"/>
      <c r="AA101" s="38"/>
      <c r="AB101" s="38"/>
      <c r="AC101" s="38"/>
      <c r="AD101" s="38">
        <f>+AM101+BA101</f>
        <v>31</v>
      </c>
      <c r="AE101" s="231" t="s">
        <v>628</v>
      </c>
      <c r="AF101" s="34"/>
      <c r="AG101" s="34"/>
      <c r="AH101" s="582">
        <v>31</v>
      </c>
      <c r="AJ101" s="38"/>
      <c r="AK101" s="38"/>
      <c r="AL101" s="38"/>
      <c r="AM101" s="38">
        <f t="shared" si="58"/>
        <v>31</v>
      </c>
      <c r="AN101" s="38"/>
      <c r="AO101" s="38"/>
      <c r="AP101" s="38"/>
      <c r="AQ101" s="38"/>
      <c r="AR101" s="38">
        <f t="shared" si="59"/>
        <v>0</v>
      </c>
      <c r="AS101" s="38"/>
      <c r="AT101" s="38"/>
      <c r="AU101" s="38"/>
      <c r="AV101" s="38"/>
      <c r="AW101" s="38"/>
      <c r="AX101" s="38"/>
      <c r="AY101" s="38"/>
      <c r="AZ101" s="38"/>
      <c r="BA101" s="38">
        <f>+AR101+AS101+AU101+AW101+AY101+AZ101</f>
        <v>0</v>
      </c>
      <c r="BB101" s="34"/>
      <c r="BC101" s="495"/>
      <c r="BD101" s="495"/>
      <c r="BE101" s="34"/>
      <c r="BF101" s="495"/>
    </row>
    <row r="102" spans="1:58" ht="12.95" customHeight="1">
      <c r="A102" s="41"/>
      <c r="B102" s="42"/>
      <c r="C102" s="406"/>
      <c r="D102" s="42"/>
      <c r="E102" s="43"/>
      <c r="F102" s="43"/>
      <c r="G102" s="44"/>
      <c r="H102" s="45"/>
      <c r="I102" s="46"/>
      <c r="J102" s="83"/>
      <c r="K102" s="83"/>
      <c r="L102" s="36"/>
      <c r="M102" s="36"/>
      <c r="N102" s="47"/>
      <c r="O102" s="48"/>
      <c r="P102" s="49"/>
      <c r="Q102" s="48"/>
      <c r="R102" s="492"/>
      <c r="S102" s="492"/>
      <c r="T102" s="38"/>
      <c r="U102" s="38"/>
      <c r="V102" s="38"/>
      <c r="W102" s="38"/>
      <c r="X102" s="39"/>
      <c r="Y102" s="212"/>
      <c r="Z102" s="38"/>
      <c r="AA102" s="38"/>
      <c r="AB102" s="38"/>
      <c r="AC102" s="38"/>
      <c r="AD102" s="38">
        <f>+AM102+BA102</f>
        <v>660</v>
      </c>
      <c r="AE102" s="234" t="s">
        <v>625</v>
      </c>
      <c r="AF102" s="34"/>
      <c r="AG102" s="34"/>
      <c r="AH102" s="582"/>
      <c r="AJ102" s="38"/>
      <c r="AK102" s="38"/>
      <c r="AL102" s="38"/>
      <c r="AM102" s="38">
        <f t="shared" ref="AM102" si="60">SUM(AF102:AL102)+AT102+AV102+AX102</f>
        <v>0</v>
      </c>
      <c r="AN102" s="38"/>
      <c r="AO102" s="38"/>
      <c r="AP102" s="38">
        <v>660</v>
      </c>
      <c r="AQ102" s="38"/>
      <c r="AR102" s="38">
        <f t="shared" ref="AR102" si="61">SUM(AN102:AQ102)</f>
        <v>660</v>
      </c>
      <c r="AS102" s="38"/>
      <c r="AT102" s="38"/>
      <c r="AU102" s="38"/>
      <c r="AV102" s="38"/>
      <c r="AW102" s="38"/>
      <c r="AX102" s="38"/>
      <c r="AY102" s="38"/>
      <c r="AZ102" s="38"/>
      <c r="BA102" s="38">
        <f>+AR102+AS102+AU102+AW102+AY102+AZ102</f>
        <v>660</v>
      </c>
      <c r="BB102" s="34"/>
      <c r="BC102" s="495"/>
      <c r="BD102" s="495"/>
      <c r="BE102" s="34"/>
      <c r="BF102" s="495"/>
    </row>
    <row r="103" spans="1:58" ht="12.95" customHeight="1">
      <c r="A103" s="41"/>
      <c r="B103" s="42"/>
      <c r="C103" s="406"/>
      <c r="D103" s="42"/>
      <c r="E103" s="43"/>
      <c r="F103" s="43"/>
      <c r="G103" s="491"/>
      <c r="H103" s="45"/>
      <c r="I103" s="46"/>
      <c r="J103" s="83"/>
      <c r="K103" s="83"/>
      <c r="L103" s="36"/>
      <c r="M103" s="36"/>
      <c r="N103" s="47"/>
      <c r="O103" s="48"/>
      <c r="P103" s="49"/>
      <c r="Q103" s="48"/>
      <c r="R103" s="492"/>
      <c r="S103" s="492"/>
      <c r="T103" s="38"/>
      <c r="U103" s="38"/>
      <c r="V103" s="38"/>
      <c r="W103" s="38"/>
      <c r="X103" s="39"/>
      <c r="Y103" s="212"/>
      <c r="Z103" s="38"/>
      <c r="AA103" s="38"/>
      <c r="AB103" s="38"/>
      <c r="AC103" s="38"/>
      <c r="AD103" s="38"/>
      <c r="AE103" s="231"/>
      <c r="AF103" s="38"/>
      <c r="AG103" s="38"/>
      <c r="AH103" s="38"/>
      <c r="AI103" s="494"/>
      <c r="AJ103" s="38"/>
      <c r="AK103" s="38"/>
      <c r="AL103" s="38"/>
      <c r="AM103" s="38"/>
      <c r="AN103" s="84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51"/>
      <c r="BC103" s="52"/>
      <c r="BD103" s="52"/>
      <c r="BE103" s="52"/>
      <c r="BF103" s="52"/>
    </row>
    <row r="104" spans="1:58" ht="12.75" customHeight="1">
      <c r="A104" s="41">
        <v>45862</v>
      </c>
      <c r="B104" s="42" t="s">
        <v>7</v>
      </c>
      <c r="C104" s="406">
        <f>(M104*E104*O104*Q104)/100000000</f>
        <v>47.943792000000002</v>
      </c>
      <c r="D104" s="42" t="s">
        <v>301</v>
      </c>
      <c r="E104" s="43">
        <v>14</v>
      </c>
      <c r="F104" s="43">
        <v>1</v>
      </c>
      <c r="G104" s="491">
        <v>1230</v>
      </c>
      <c r="H104" s="45">
        <v>0.25</v>
      </c>
      <c r="I104" s="46">
        <v>0.88</v>
      </c>
      <c r="J104" s="83">
        <f>E104*G104*(1-H104)*1440/1000000*2.74</f>
        <v>50.957424000000003</v>
      </c>
      <c r="K104" s="83">
        <f>(IF(G104&lt;L104,L104,G104)*(1-IF(H104&lt;N104,H104,N104))*E104*O104*Q104)/100000000</f>
        <v>48.353760000000001</v>
      </c>
      <c r="L104" s="36">
        <v>1219.5714285714287</v>
      </c>
      <c r="M104" s="36">
        <v>914.67857142857144</v>
      </c>
      <c r="N104" s="47">
        <f>1-(M104/L104)</f>
        <v>0.25</v>
      </c>
      <c r="O104" s="48">
        <f>+'Trim Rwd'!H71</f>
        <v>260</v>
      </c>
      <c r="P104" s="49">
        <f>O104*(Q104-R104-S104)</f>
        <v>343460</v>
      </c>
      <c r="Q104" s="48">
        <v>1440</v>
      </c>
      <c r="R104" s="492">
        <v>40</v>
      </c>
      <c r="S104" s="492">
        <v>79</v>
      </c>
      <c r="T104" s="38">
        <f>E104*M104*O104*Q104/100000000</f>
        <v>47.943792000000002</v>
      </c>
      <c r="U104" s="38">
        <f>E104*M104*O104*(Q104-R104-S104)/100000000</f>
        <v>43.981770300000001</v>
      </c>
      <c r="V104" s="38">
        <f>E104*G104*(1-N104)*O104/100*(R104+S104)/1000000</f>
        <v>3.9959009999999999</v>
      </c>
      <c r="W104" s="38">
        <f>+'24'!K14/1000</f>
        <v>37.003999999999998</v>
      </c>
      <c r="X104" s="493">
        <f>SUM(W104:W107)/SUM(K104:K107)</f>
        <v>0.7652765782847083</v>
      </c>
      <c r="Y104" s="212">
        <f>+SUM(RBP!AG95:AG96)</f>
        <v>0</v>
      </c>
      <c r="Z104" s="38">
        <f>+'18'!D32/1000</f>
        <v>0</v>
      </c>
      <c r="AA104" s="50">
        <f>SUM(U104:U107)-SUM(W104:W107)-SUM(Z104:Z107)-SUM(Y104:Y107)</f>
        <v>6.9777703000000031</v>
      </c>
      <c r="AB104" s="50">
        <f>(SUM(K104:K107)-SUM(W104:W107)-SUM(Y104:Y107)-SUM(Z104:Z107)-SUM(AC104:AC107)-SUM(V104:V107))-AA104</f>
        <v>-3.3879299999998835E-2</v>
      </c>
      <c r="AC104" s="38">
        <f>K104-T104</f>
        <v>0.40996799999999922</v>
      </c>
      <c r="AD104" s="38">
        <f>+AM104+BA104</f>
        <v>22</v>
      </c>
      <c r="AE104" s="231" t="s">
        <v>619</v>
      </c>
      <c r="AF104" s="38">
        <v>22</v>
      </c>
      <c r="AG104" s="38"/>
      <c r="AH104" s="38"/>
      <c r="AI104" s="494"/>
      <c r="AJ104" s="38"/>
      <c r="AK104" s="38"/>
      <c r="AL104" s="38"/>
      <c r="AM104" s="38">
        <f t="shared" ref="AM104:AM106" si="62">SUM(AF104:AL104)+AT104+AV104+AX104</f>
        <v>22</v>
      </c>
      <c r="AN104" s="38"/>
      <c r="AO104" s="38"/>
      <c r="AP104" s="38"/>
      <c r="AQ104" s="38"/>
      <c r="AR104" s="38">
        <f>SUM(AN104:AQ104)</f>
        <v>0</v>
      </c>
      <c r="AS104" s="38"/>
      <c r="AT104" s="38"/>
      <c r="AU104" s="38"/>
      <c r="AV104" s="38"/>
      <c r="AW104" s="38"/>
      <c r="AX104" s="38"/>
      <c r="AY104" s="38"/>
      <c r="AZ104" s="38"/>
      <c r="BA104" s="38">
        <f>+AR104+AS104+AU104+AW104+AY104+AZ104</f>
        <v>0</v>
      </c>
      <c r="BB104" s="34">
        <v>7</v>
      </c>
      <c r="BC104" s="52"/>
      <c r="BD104" s="52"/>
      <c r="BE104" s="34"/>
      <c r="BF104" s="52"/>
    </row>
    <row r="105" spans="1:58" ht="12.95" customHeight="1">
      <c r="A105" s="41"/>
      <c r="B105" s="42"/>
      <c r="C105" s="406"/>
      <c r="D105" s="42"/>
      <c r="E105" s="43"/>
      <c r="F105" s="43"/>
      <c r="G105" s="491"/>
      <c r="H105" s="45"/>
      <c r="I105" s="46"/>
      <c r="J105" s="83"/>
      <c r="K105" s="83"/>
      <c r="L105" s="36"/>
      <c r="M105" s="36"/>
      <c r="N105" s="47"/>
      <c r="O105" s="48"/>
      <c r="P105" s="49"/>
      <c r="Q105" s="48"/>
      <c r="R105" s="492"/>
      <c r="S105" s="492"/>
      <c r="T105" s="38"/>
      <c r="U105" s="38"/>
      <c r="V105" s="38"/>
      <c r="W105" s="38"/>
      <c r="X105" s="39"/>
      <c r="Y105" s="212"/>
      <c r="Z105" s="38"/>
      <c r="AA105" s="38"/>
      <c r="AB105" s="38"/>
      <c r="AC105" s="38"/>
      <c r="AD105" s="38">
        <f>+AM105+BA105</f>
        <v>12</v>
      </c>
      <c r="AE105" s="231" t="s">
        <v>503</v>
      </c>
      <c r="AF105" s="38"/>
      <c r="AG105" s="38">
        <v>12</v>
      </c>
      <c r="AH105" s="38"/>
      <c r="AI105" s="494"/>
      <c r="AJ105" s="38"/>
      <c r="AK105" s="38"/>
      <c r="AL105" s="38"/>
      <c r="AM105" s="38">
        <f t="shared" si="62"/>
        <v>12</v>
      </c>
      <c r="AN105" s="84"/>
      <c r="AO105" s="38"/>
      <c r="AP105" s="38"/>
      <c r="AQ105" s="38"/>
      <c r="AR105" s="38">
        <f t="shared" ref="AR105:AR106" si="63">SUM(AN105:AQ105)</f>
        <v>0</v>
      </c>
      <c r="AS105" s="38"/>
      <c r="AT105" s="38"/>
      <c r="AU105" s="38"/>
      <c r="AV105" s="38"/>
      <c r="AW105" s="38"/>
      <c r="AX105" s="38"/>
      <c r="AY105" s="38"/>
      <c r="AZ105" s="38"/>
      <c r="BA105" s="38">
        <f>+AR105+AS105+AU105+AW105+AY105+AZ105</f>
        <v>0</v>
      </c>
      <c r="BB105" s="51"/>
      <c r="BC105" s="52">
        <v>6</v>
      </c>
      <c r="BD105" s="52"/>
      <c r="BE105" s="51"/>
      <c r="BF105" s="52"/>
    </row>
    <row r="106" spans="1:58" ht="12.95" customHeight="1">
      <c r="A106" s="41"/>
      <c r="B106" s="42"/>
      <c r="C106" s="406"/>
      <c r="D106" s="42"/>
      <c r="E106" s="43"/>
      <c r="F106" s="43"/>
      <c r="G106" s="44"/>
      <c r="H106" s="45"/>
      <c r="I106" s="46"/>
      <c r="J106" s="83"/>
      <c r="K106" s="83"/>
      <c r="L106" s="36"/>
      <c r="M106" s="36"/>
      <c r="N106" s="47"/>
      <c r="O106" s="48"/>
      <c r="P106" s="49"/>
      <c r="Q106" s="48"/>
      <c r="R106" s="492"/>
      <c r="S106" s="492"/>
      <c r="T106" s="38"/>
      <c r="U106" s="38"/>
      <c r="V106" s="38"/>
      <c r="W106" s="38"/>
      <c r="X106" s="39"/>
      <c r="Y106" s="212"/>
      <c r="Z106" s="38"/>
      <c r="AA106" s="38"/>
      <c r="AB106" s="38"/>
      <c r="AC106" s="38"/>
      <c r="AD106" s="38">
        <f>+AM106+BA106</f>
        <v>45</v>
      </c>
      <c r="AE106" s="231" t="s">
        <v>620</v>
      </c>
      <c r="AF106" s="34"/>
      <c r="AG106" s="34"/>
      <c r="AH106" s="582">
        <v>45</v>
      </c>
      <c r="AJ106" s="38"/>
      <c r="AK106" s="38"/>
      <c r="AL106" s="38"/>
      <c r="AM106" s="38">
        <f t="shared" si="62"/>
        <v>45</v>
      </c>
      <c r="AN106" s="38"/>
      <c r="AO106" s="38"/>
      <c r="AP106" s="38"/>
      <c r="AQ106" s="38"/>
      <c r="AR106" s="38">
        <f t="shared" si="63"/>
        <v>0</v>
      </c>
      <c r="AS106" s="38"/>
      <c r="AT106" s="38"/>
      <c r="AU106" s="38"/>
      <c r="AV106" s="38"/>
      <c r="AW106" s="38"/>
      <c r="AX106" s="38"/>
      <c r="AY106" s="38"/>
      <c r="AZ106" s="38"/>
      <c r="BA106" s="38">
        <f>+AR106+AS106+AU106+AW106+AY106+AZ106</f>
        <v>0</v>
      </c>
      <c r="BB106" s="34"/>
      <c r="BC106" s="495"/>
      <c r="BD106" s="495"/>
      <c r="BE106" s="34"/>
      <c r="BF106" s="495"/>
    </row>
    <row r="107" spans="1:58" ht="12.95" customHeight="1">
      <c r="A107" s="41"/>
      <c r="B107" s="42"/>
      <c r="C107" s="406"/>
      <c r="D107" s="42"/>
      <c r="E107" s="43"/>
      <c r="F107" s="43"/>
      <c r="G107" s="44"/>
      <c r="H107" s="45"/>
      <c r="I107" s="46"/>
      <c r="J107" s="83"/>
      <c r="K107" s="83"/>
      <c r="L107" s="36"/>
      <c r="M107" s="36"/>
      <c r="N107" s="47"/>
      <c r="O107" s="48"/>
      <c r="P107" s="49"/>
      <c r="Q107" s="48"/>
      <c r="R107" s="492"/>
      <c r="S107" s="492"/>
      <c r="T107" s="38"/>
      <c r="U107" s="38"/>
      <c r="V107" s="38"/>
      <c r="W107" s="38"/>
      <c r="X107" s="39"/>
      <c r="Y107" s="212"/>
      <c r="Z107" s="38"/>
      <c r="AA107" s="38"/>
      <c r="AB107" s="38"/>
      <c r="AC107" s="38"/>
      <c r="AD107" s="38">
        <f>+AM107+BA107</f>
        <v>40</v>
      </c>
      <c r="AE107" s="234" t="s">
        <v>633</v>
      </c>
      <c r="AF107" s="34"/>
      <c r="AG107" s="34"/>
      <c r="AH107" s="582"/>
      <c r="AJ107" s="38"/>
      <c r="AK107" s="38"/>
      <c r="AL107" s="38"/>
      <c r="AM107" s="38">
        <f t="shared" ref="AM107" si="64">SUM(AF107:AL107)+AT107+AV107+AX107</f>
        <v>0</v>
      </c>
      <c r="AN107" s="38"/>
      <c r="AO107" s="38"/>
      <c r="AP107" s="38">
        <v>40</v>
      </c>
      <c r="AQ107" s="38"/>
      <c r="AR107" s="38">
        <f t="shared" ref="AR107" si="65">SUM(AN107:AQ107)</f>
        <v>40</v>
      </c>
      <c r="AS107" s="38"/>
      <c r="AT107" s="38"/>
      <c r="AU107" s="38"/>
      <c r="AV107" s="38"/>
      <c r="AW107" s="38"/>
      <c r="AX107" s="38"/>
      <c r="AY107" s="38"/>
      <c r="AZ107" s="38"/>
      <c r="BA107" s="38">
        <f>+AR107+AS107+AU107+AW107+AY107+AZ107</f>
        <v>40</v>
      </c>
      <c r="BB107" s="34"/>
      <c r="BC107" s="495"/>
      <c r="BD107" s="495"/>
      <c r="BE107" s="34"/>
      <c r="BF107" s="495"/>
    </row>
    <row r="108" spans="1:58" ht="12.95" customHeight="1">
      <c r="A108" s="41"/>
      <c r="B108" s="42"/>
      <c r="C108" s="406"/>
      <c r="D108" s="42"/>
      <c r="E108" s="43"/>
      <c r="F108" s="43"/>
      <c r="G108" s="491"/>
      <c r="H108" s="45"/>
      <c r="I108" s="46"/>
      <c r="J108" s="83"/>
      <c r="K108" s="83"/>
      <c r="L108" s="36"/>
      <c r="M108" s="36"/>
      <c r="N108" s="47"/>
      <c r="O108" s="48"/>
      <c r="P108" s="49"/>
      <c r="Q108" s="48"/>
      <c r="R108" s="492"/>
      <c r="S108" s="492"/>
      <c r="T108" s="38"/>
      <c r="U108" s="38"/>
      <c r="V108" s="38"/>
      <c r="W108" s="38"/>
      <c r="X108" s="39"/>
      <c r="Y108" s="212"/>
      <c r="Z108" s="38"/>
      <c r="AA108" s="38"/>
      <c r="AB108" s="38"/>
      <c r="AC108" s="38"/>
      <c r="AD108" s="38"/>
      <c r="AE108" s="231"/>
      <c r="AF108" s="38"/>
      <c r="AG108" s="38"/>
      <c r="AH108" s="38"/>
      <c r="AI108" s="494"/>
      <c r="AJ108" s="38"/>
      <c r="AK108" s="38"/>
      <c r="AL108" s="38"/>
      <c r="AM108" s="38"/>
      <c r="AN108" s="84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51"/>
      <c r="BC108" s="52"/>
      <c r="BD108" s="52"/>
      <c r="BE108" s="52"/>
      <c r="BF108" s="52"/>
    </row>
    <row r="109" spans="1:58" ht="12.75" customHeight="1">
      <c r="A109" s="41">
        <v>45863</v>
      </c>
      <c r="B109" s="42" t="s">
        <v>7</v>
      </c>
      <c r="C109" s="406">
        <f>(M109*E109*O109*Q109)/100000000</f>
        <v>34.957540799999997</v>
      </c>
      <c r="D109" s="42" t="s">
        <v>301</v>
      </c>
      <c r="E109" s="43">
        <v>14</v>
      </c>
      <c r="F109" s="43">
        <v>1</v>
      </c>
      <c r="G109" s="491">
        <f>+L109</f>
        <v>1201.6666666666667</v>
      </c>
      <c r="H109" s="45">
        <v>0.26</v>
      </c>
      <c r="I109" s="46">
        <v>0.88</v>
      </c>
      <c r="J109" s="83">
        <f>E109*G109*(1-H109)*1440/1000000*2.74</f>
        <v>49.119826560000007</v>
      </c>
      <c r="K109" s="83">
        <f>(IF(G109&lt;L109,L109,G109)*(1-IF(H109&lt;N109,H109,N109))*E109*O109*Q109)/100000000</f>
        <v>34.957540799999997</v>
      </c>
      <c r="L109" s="36">
        <v>1201.6666666666667</v>
      </c>
      <c r="M109" s="36">
        <v>889.23333333333335</v>
      </c>
      <c r="N109" s="47">
        <f>1-(M109/L109)</f>
        <v>0.26</v>
      </c>
      <c r="O109" s="48">
        <f>+'Trim Rwd'!H73</f>
        <v>260</v>
      </c>
      <c r="P109" s="49">
        <f>O109*(Q109-R109-S109)</f>
        <v>265460</v>
      </c>
      <c r="Q109" s="48">
        <f>18*60</f>
        <v>1080</v>
      </c>
      <c r="R109" s="492">
        <v>0</v>
      </c>
      <c r="S109" s="492">
        <v>59</v>
      </c>
      <c r="T109" s="38">
        <f>E109*M109*O109*Q109/100000000</f>
        <v>34.957540799999997</v>
      </c>
      <c r="U109" s="38">
        <f>E109*M109*O109*(Q109-R109-S109)/100000000</f>
        <v>33.047823293333337</v>
      </c>
      <c r="V109" s="38">
        <f>E109*G109*(1-N109)*O109/100*(R109+S109)/1000000</f>
        <v>1.9097175066666667</v>
      </c>
      <c r="W109" s="38">
        <f>+'25'!K14/1000</f>
        <v>42.747999999999998</v>
      </c>
      <c r="X109" s="493">
        <f>SUM(W109:W112)/SUM(K109:K112)</f>
        <v>0.90864297593727716</v>
      </c>
      <c r="Y109" s="212">
        <f>+SUM(RBP!AG100:AG101)</f>
        <v>0</v>
      </c>
      <c r="Z109" s="38">
        <v>0</v>
      </c>
      <c r="AA109" s="50">
        <f>SUM(U109:U112)-SUM(W109:W112)-SUM(Z109:Z112)-SUM(Y109:Y112)</f>
        <v>1.884578293333341</v>
      </c>
      <c r="AB109" s="50">
        <f>(SUM(K109:K112)-SUM(W109:W112)-SUM(Y109:Y112)-SUM(Z109:Z112)-SUM(AC109:AC112)-SUM(V109:V112))-AA109</f>
        <v>-1.021405182655144E-14</v>
      </c>
      <c r="AC109" s="38">
        <f>K109-T109</f>
        <v>0</v>
      </c>
      <c r="AD109" s="38">
        <f>+AM109+BA109</f>
        <v>15</v>
      </c>
      <c r="AE109" s="231" t="s">
        <v>454</v>
      </c>
      <c r="AF109" s="38">
        <v>15</v>
      </c>
      <c r="AG109" s="38"/>
      <c r="AH109" s="38"/>
      <c r="AI109" s="494"/>
      <c r="AJ109" s="38"/>
      <c r="AK109" s="38"/>
      <c r="AL109" s="38"/>
      <c r="AM109" s="38">
        <f t="shared" ref="AM109:AM111" si="66">SUM(AF109:AL109)+AT109+AV109+AX109</f>
        <v>15</v>
      </c>
      <c r="AN109" s="38"/>
      <c r="AO109" s="38"/>
      <c r="AP109" s="38"/>
      <c r="AQ109" s="38"/>
      <c r="AR109" s="38">
        <f>SUM(AN109:AQ109)</f>
        <v>0</v>
      </c>
      <c r="AS109" s="38"/>
      <c r="AT109" s="38"/>
      <c r="AU109" s="38"/>
      <c r="AV109" s="38"/>
      <c r="AW109" s="38"/>
      <c r="AX109" s="38"/>
      <c r="AY109" s="38"/>
      <c r="AZ109" s="38"/>
      <c r="BA109" s="38">
        <f>+AR109+AS109+AU109+AW109+AY109+AZ109</f>
        <v>0</v>
      </c>
      <c r="BB109" s="34">
        <v>5</v>
      </c>
      <c r="BC109" s="52"/>
      <c r="BD109" s="52"/>
      <c r="BE109" s="34"/>
      <c r="BF109" s="52">
        <v>1</v>
      </c>
    </row>
    <row r="110" spans="1:58" ht="12.95" customHeight="1">
      <c r="A110" s="41"/>
      <c r="B110" s="42" t="s">
        <v>7</v>
      </c>
      <c r="C110" s="406">
        <f>(M110*E110*O110*Q110)/100000000</f>
        <v>12.08844</v>
      </c>
      <c r="D110" s="42" t="s">
        <v>301</v>
      </c>
      <c r="E110" s="43">
        <v>14</v>
      </c>
      <c r="F110" s="43">
        <v>1</v>
      </c>
      <c r="G110" s="491">
        <v>1230</v>
      </c>
      <c r="H110" s="45">
        <v>0.25</v>
      </c>
      <c r="I110" s="46">
        <v>0.88</v>
      </c>
      <c r="J110" s="83">
        <f>E110*G110*(1-H110)*1440/1000000*2.74</f>
        <v>50.957424000000003</v>
      </c>
      <c r="K110" s="83">
        <f>(IF(G110&lt;L110,L110,G110)*(1-IF(H110&lt;N110,H110,N110))*E110*O110*Q110)/100000000</f>
        <v>12.08844</v>
      </c>
      <c r="L110" s="36">
        <v>1230</v>
      </c>
      <c r="M110" s="36">
        <v>922.5</v>
      </c>
      <c r="N110" s="47">
        <f>1-(M110/L110)</f>
        <v>0.25</v>
      </c>
      <c r="O110" s="48">
        <f>+'Trim Rwd'!H73</f>
        <v>260</v>
      </c>
      <c r="P110" s="49">
        <f>O110*(Q110-R110-S110)</f>
        <v>89700</v>
      </c>
      <c r="Q110" s="48">
        <f>6*60</f>
        <v>360</v>
      </c>
      <c r="R110" s="492">
        <v>0</v>
      </c>
      <c r="S110" s="492">
        <f>74-S109</f>
        <v>15</v>
      </c>
      <c r="T110" s="38">
        <f>E110*M110*O110*Q110/100000000</f>
        <v>12.08844</v>
      </c>
      <c r="U110" s="38">
        <f>E110*M110*O110*(Q110-R110-S110)/100000000</f>
        <v>11.584754999999999</v>
      </c>
      <c r="V110" s="38">
        <f>E110*G110*(1-N110)*O110/100*(R110+S110)/1000000</f>
        <v>0.50368500000000005</v>
      </c>
      <c r="W110" s="38">
        <f>+'24'!K20/1000</f>
        <v>0</v>
      </c>
      <c r="X110" s="39"/>
      <c r="Y110" s="212"/>
      <c r="Z110" s="38"/>
      <c r="AA110" s="38"/>
      <c r="AB110" s="38"/>
      <c r="AC110" s="38"/>
      <c r="AD110" s="38">
        <f>+AM110+BA110</f>
        <v>18</v>
      </c>
      <c r="AE110" s="231" t="s">
        <v>640</v>
      </c>
      <c r="AF110" s="38"/>
      <c r="AG110" s="38">
        <v>18</v>
      </c>
      <c r="AH110" s="38"/>
      <c r="AI110" s="494"/>
      <c r="AJ110" s="38"/>
      <c r="AK110" s="38"/>
      <c r="AL110" s="38"/>
      <c r="AM110" s="38">
        <f t="shared" si="66"/>
        <v>18</v>
      </c>
      <c r="AN110" s="84"/>
      <c r="AO110" s="38"/>
      <c r="AP110" s="38"/>
      <c r="AQ110" s="38"/>
      <c r="AR110" s="38">
        <f t="shared" ref="AR110:AR111" si="67">SUM(AN110:AQ110)</f>
        <v>0</v>
      </c>
      <c r="AS110" s="38"/>
      <c r="AT110" s="38"/>
      <c r="AU110" s="38"/>
      <c r="AV110" s="38"/>
      <c r="AW110" s="38"/>
      <c r="AX110" s="38"/>
      <c r="AY110" s="38"/>
      <c r="AZ110" s="38"/>
      <c r="BA110" s="38">
        <f>+AR110+AS110+AU110+AW110+AY110+AZ110</f>
        <v>0</v>
      </c>
      <c r="BB110" s="51"/>
      <c r="BC110" s="52">
        <v>27</v>
      </c>
      <c r="BD110" s="52"/>
      <c r="BE110" s="51"/>
      <c r="BF110" s="52"/>
    </row>
    <row r="111" spans="1:58" ht="12.95" customHeight="1">
      <c r="A111" s="41"/>
      <c r="B111" s="42"/>
      <c r="C111" s="406"/>
      <c r="D111" s="42"/>
      <c r="E111" s="43"/>
      <c r="F111" s="43"/>
      <c r="G111" s="44"/>
      <c r="H111" s="45"/>
      <c r="I111" s="46"/>
      <c r="J111" s="83"/>
      <c r="K111" s="83"/>
      <c r="L111" s="36"/>
      <c r="M111" s="36"/>
      <c r="N111" s="47"/>
      <c r="O111" s="48"/>
      <c r="P111" s="49"/>
      <c r="Q111" s="48"/>
      <c r="R111" s="492"/>
      <c r="S111" s="492"/>
      <c r="T111" s="38"/>
      <c r="U111" s="38"/>
      <c r="V111" s="38"/>
      <c r="W111" s="38"/>
      <c r="X111" s="39"/>
      <c r="Y111" s="212"/>
      <c r="Z111" s="38"/>
      <c r="AA111" s="38"/>
      <c r="AB111" s="38"/>
      <c r="AC111" s="38"/>
      <c r="AD111" s="38">
        <f>+AM111+BA111</f>
        <v>41</v>
      </c>
      <c r="AE111" s="231" t="s">
        <v>492</v>
      </c>
      <c r="AF111" s="34"/>
      <c r="AG111" s="34"/>
      <c r="AH111" s="582">
        <v>41</v>
      </c>
      <c r="AJ111" s="38"/>
      <c r="AK111" s="38"/>
      <c r="AL111" s="38"/>
      <c r="AM111" s="38">
        <f t="shared" si="66"/>
        <v>41</v>
      </c>
      <c r="AN111" s="38"/>
      <c r="AO111" s="38"/>
      <c r="AP111" s="38"/>
      <c r="AQ111" s="38"/>
      <c r="AR111" s="38">
        <f t="shared" si="67"/>
        <v>0</v>
      </c>
      <c r="AS111" s="38"/>
      <c r="AT111" s="38"/>
      <c r="AU111" s="38"/>
      <c r="AV111" s="38"/>
      <c r="AW111" s="38"/>
      <c r="AX111" s="38"/>
      <c r="AY111" s="38"/>
      <c r="AZ111" s="38"/>
      <c r="BA111" s="38">
        <f>+AR111+AS111+AU111+AW111+AY111+AZ111</f>
        <v>0</v>
      </c>
      <c r="BB111" s="34"/>
      <c r="BC111" s="495"/>
      <c r="BD111" s="495"/>
      <c r="BE111" s="34"/>
      <c r="BF111" s="495"/>
    </row>
    <row r="112" spans="1:58" ht="12.95" customHeight="1">
      <c r="A112" s="41"/>
      <c r="B112" s="42"/>
      <c r="C112" s="406"/>
      <c r="D112" s="42"/>
      <c r="E112" s="43"/>
      <c r="F112" s="43"/>
      <c r="G112" s="44"/>
      <c r="H112" s="45"/>
      <c r="I112" s="46"/>
      <c r="J112" s="83"/>
      <c r="K112" s="83"/>
      <c r="L112" s="36"/>
      <c r="M112" s="36"/>
      <c r="N112" s="47"/>
      <c r="O112" s="48"/>
      <c r="P112" s="49"/>
      <c r="Q112" s="48"/>
      <c r="R112" s="492"/>
      <c r="S112" s="492"/>
      <c r="T112" s="38"/>
      <c r="U112" s="38"/>
      <c r="V112" s="38"/>
      <c r="W112" s="38"/>
      <c r="X112" s="39"/>
      <c r="Y112" s="212"/>
      <c r="Z112" s="38"/>
      <c r="AA112" s="38"/>
      <c r="AB112" s="38"/>
      <c r="AC112" s="38"/>
      <c r="AD112" s="38"/>
      <c r="AE112" s="234"/>
      <c r="AF112" s="34"/>
      <c r="AG112" s="34"/>
      <c r="AH112" s="582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4"/>
      <c r="BC112" s="495"/>
      <c r="BD112" s="495"/>
      <c r="BE112" s="34"/>
      <c r="BF112" s="495"/>
    </row>
    <row r="113" spans="1:58" ht="12.75" customHeight="1">
      <c r="A113" s="41">
        <v>45864</v>
      </c>
      <c r="B113" s="42" t="s">
        <v>7</v>
      </c>
      <c r="C113" s="406">
        <f>(M113*E113*O113*Q113)/100000000</f>
        <v>48.273716399999998</v>
      </c>
      <c r="D113" s="42" t="s">
        <v>301</v>
      </c>
      <c r="E113" s="43">
        <v>14</v>
      </c>
      <c r="F113" s="43">
        <v>1</v>
      </c>
      <c r="G113" s="491">
        <v>1230</v>
      </c>
      <c r="H113" s="45">
        <v>0.25</v>
      </c>
      <c r="I113" s="46">
        <v>0.88</v>
      </c>
      <c r="J113" s="83">
        <f>E113*G113*(1-H113)*1440/1000000*2.74</f>
        <v>50.957424000000003</v>
      </c>
      <c r="K113" s="83">
        <f>(IF(G113&lt;L113,L113,G113)*(1-IF(H113&lt;N113,H113,N113))*E113*O113*Q113)/100000000</f>
        <v>49.32584514294286</v>
      </c>
      <c r="L113" s="36">
        <v>1203.7638888888889</v>
      </c>
      <c r="M113" s="36">
        <v>920.97291666666672</v>
      </c>
      <c r="N113" s="47">
        <f>1-(M113/L113)</f>
        <v>0.23492229234692108</v>
      </c>
      <c r="O113" s="48">
        <f>+'Trim Rwd'!H75</f>
        <v>260</v>
      </c>
      <c r="P113" s="49">
        <f>O113*(Q113-R113-S113)</f>
        <v>349960</v>
      </c>
      <c r="Q113" s="48">
        <v>1440</v>
      </c>
      <c r="R113" s="492">
        <v>0</v>
      </c>
      <c r="S113" s="492">
        <v>94</v>
      </c>
      <c r="T113" s="38">
        <f>E113*M113*O113*Q113/100000000</f>
        <v>48.273716399999998</v>
      </c>
      <c r="U113" s="38">
        <f>E113*M113*O113*(Q113-R113-S113)/100000000</f>
        <v>45.12251546833334</v>
      </c>
      <c r="V113" s="38">
        <f>E113*G113*(1-N113)*O113/100*(R113+S113)/1000000</f>
        <v>3.2198815579421032</v>
      </c>
      <c r="W113" s="38">
        <f>+'26'!K14/1000</f>
        <v>44.466999999999999</v>
      </c>
      <c r="X113" s="493">
        <f>SUM(W113:W116)/SUM(K113:K116)</f>
        <v>0.90149494390086438</v>
      </c>
      <c r="Y113" s="212">
        <f>+SUM(RBP!AG104:AG105)</f>
        <v>0</v>
      </c>
      <c r="Z113" s="38">
        <f>+'18'!D41/1000</f>
        <v>0</v>
      </c>
      <c r="AA113" s="50">
        <f>SUM(U113:U116)-SUM(W113:W116)-SUM(Z113:Z116)-SUM(Y113:Y116)</f>
        <v>0.65551546833334129</v>
      </c>
      <c r="AB113" s="50">
        <f>(SUM(K113:K116)-SUM(W113:W116)-SUM(Y113:Y116)-SUM(Z113:Z116)-SUM(AC113:AC116)-SUM(V113:V116))-AA113</f>
        <v>-6.8680626275445356E-2</v>
      </c>
      <c r="AC113" s="38">
        <f>K113-T113</f>
        <v>1.0521287429428625</v>
      </c>
      <c r="AD113" s="38">
        <f>+AM113+BA113</f>
        <v>9</v>
      </c>
      <c r="AE113" s="231" t="s">
        <v>394</v>
      </c>
      <c r="AF113" s="38">
        <v>9</v>
      </c>
      <c r="AG113" s="38"/>
      <c r="AH113" s="38"/>
      <c r="AI113" s="494"/>
      <c r="AJ113" s="38"/>
      <c r="AK113" s="38"/>
      <c r="AL113" s="38"/>
      <c r="AM113" s="38">
        <f t="shared" ref="AM113:AM115" si="68">SUM(AF113:AL113)+AT113+AV113+AX113</f>
        <v>9</v>
      </c>
      <c r="AN113" s="38"/>
      <c r="AO113" s="38"/>
      <c r="AP113" s="38"/>
      <c r="AQ113" s="38"/>
      <c r="AR113" s="38">
        <f>SUM(AN113:AQ113)</f>
        <v>0</v>
      </c>
      <c r="AS113" s="38"/>
      <c r="AT113" s="38"/>
      <c r="AU113" s="38"/>
      <c r="AV113" s="38"/>
      <c r="AW113" s="38"/>
      <c r="AX113" s="38"/>
      <c r="AY113" s="38"/>
      <c r="AZ113" s="38"/>
      <c r="BA113" s="38">
        <f>+AR113+AS113+AU113+AW113+AY113+AZ113</f>
        <v>0</v>
      </c>
      <c r="BB113" s="34">
        <v>3</v>
      </c>
      <c r="BC113" s="52"/>
      <c r="BD113" s="52"/>
      <c r="BE113" s="34"/>
      <c r="BF113" s="52"/>
    </row>
    <row r="114" spans="1:58" ht="12.95" customHeight="1">
      <c r="A114" s="41"/>
      <c r="B114" s="42"/>
      <c r="C114" s="406"/>
      <c r="D114" s="42"/>
      <c r="E114" s="43"/>
      <c r="F114" s="43"/>
      <c r="G114" s="491"/>
      <c r="H114" s="45"/>
      <c r="I114" s="46"/>
      <c r="J114" s="83"/>
      <c r="K114" s="83"/>
      <c r="L114" s="36"/>
      <c r="M114" s="36"/>
      <c r="N114" s="47"/>
      <c r="O114" s="48"/>
      <c r="P114" s="49"/>
      <c r="Q114" s="48"/>
      <c r="R114" s="492"/>
      <c r="S114" s="492"/>
      <c r="T114" s="38"/>
      <c r="U114" s="38"/>
      <c r="V114" s="38"/>
      <c r="W114" s="38"/>
      <c r="X114" s="39"/>
      <c r="Y114" s="212"/>
      <c r="Z114" s="38"/>
      <c r="AA114" s="38"/>
      <c r="AB114" s="38"/>
      <c r="AC114" s="38"/>
      <c r="AD114" s="38">
        <f>+AM114+BA114</f>
        <v>38</v>
      </c>
      <c r="AE114" s="231" t="s">
        <v>658</v>
      </c>
      <c r="AF114" s="38"/>
      <c r="AG114" s="38">
        <v>38</v>
      </c>
      <c r="AH114" s="38"/>
      <c r="AI114" s="494"/>
      <c r="AJ114" s="38"/>
      <c r="AK114" s="38"/>
      <c r="AL114" s="38"/>
      <c r="AM114" s="38">
        <f t="shared" si="68"/>
        <v>38</v>
      </c>
      <c r="AN114" s="84"/>
      <c r="AO114" s="38"/>
      <c r="AP114" s="38"/>
      <c r="AQ114" s="38"/>
      <c r="AR114" s="38">
        <f t="shared" ref="AR114:AR115" si="69">SUM(AN114:AQ114)</f>
        <v>0</v>
      </c>
      <c r="AS114" s="38"/>
      <c r="AT114" s="38"/>
      <c r="AU114" s="38"/>
      <c r="AV114" s="38"/>
      <c r="AW114" s="38"/>
      <c r="AX114" s="38"/>
      <c r="AY114" s="38"/>
      <c r="AZ114" s="38"/>
      <c r="BA114" s="38">
        <f>+AR114+AS114+AU114+AW114+AY114+AZ114</f>
        <v>0</v>
      </c>
      <c r="BB114" s="51"/>
      <c r="BC114" s="52">
        <v>18</v>
      </c>
      <c r="BD114" s="52"/>
      <c r="BE114" s="51"/>
      <c r="BF114" s="52"/>
    </row>
    <row r="115" spans="1:58" ht="12.95" customHeight="1">
      <c r="A115" s="41"/>
      <c r="B115" s="42"/>
      <c r="C115" s="406"/>
      <c r="D115" s="42"/>
      <c r="E115" s="43"/>
      <c r="F115" s="43"/>
      <c r="G115" s="44"/>
      <c r="H115" s="45"/>
      <c r="I115" s="46"/>
      <c r="J115" s="83"/>
      <c r="K115" s="83"/>
      <c r="L115" s="36"/>
      <c r="M115" s="36"/>
      <c r="N115" s="47"/>
      <c r="O115" s="48"/>
      <c r="P115" s="49"/>
      <c r="Q115" s="48"/>
      <c r="R115" s="492"/>
      <c r="S115" s="492"/>
      <c r="T115" s="38"/>
      <c r="U115" s="38"/>
      <c r="V115" s="38"/>
      <c r="W115" s="38"/>
      <c r="X115" s="39"/>
      <c r="Y115" s="212"/>
      <c r="Z115" s="38"/>
      <c r="AA115" s="38"/>
      <c r="AB115" s="38"/>
      <c r="AC115" s="38"/>
      <c r="AD115" s="38">
        <f>+AM115+BA115</f>
        <v>47</v>
      </c>
      <c r="AE115" s="231" t="s">
        <v>659</v>
      </c>
      <c r="AF115" s="34"/>
      <c r="AG115" s="34"/>
      <c r="AH115" s="582">
        <v>47</v>
      </c>
      <c r="AJ115" s="38"/>
      <c r="AK115" s="38"/>
      <c r="AL115" s="38"/>
      <c r="AM115" s="38">
        <f t="shared" si="68"/>
        <v>47</v>
      </c>
      <c r="AN115" s="38"/>
      <c r="AO115" s="38"/>
      <c r="AP115" s="38"/>
      <c r="AQ115" s="38"/>
      <c r="AR115" s="38">
        <f t="shared" si="69"/>
        <v>0</v>
      </c>
      <c r="AS115" s="38"/>
      <c r="AT115" s="38"/>
      <c r="AU115" s="38"/>
      <c r="AV115" s="38"/>
      <c r="AW115" s="38"/>
      <c r="AX115" s="38"/>
      <c r="AY115" s="38"/>
      <c r="AZ115" s="38"/>
      <c r="BA115" s="38">
        <f>+AR115+AS115+AU115+AW115+AY115+AZ115</f>
        <v>0</v>
      </c>
      <c r="BB115" s="34"/>
      <c r="BC115" s="495"/>
      <c r="BD115" s="495"/>
      <c r="BE115" s="34"/>
      <c r="BF115" s="495"/>
    </row>
    <row r="116" spans="1:58" ht="12.95" customHeight="1">
      <c r="A116" s="41"/>
      <c r="B116" s="42"/>
      <c r="C116" s="406"/>
      <c r="D116" s="42"/>
      <c r="E116" s="43"/>
      <c r="F116" s="43"/>
      <c r="G116" s="44"/>
      <c r="H116" s="45"/>
      <c r="I116" s="46"/>
      <c r="J116" s="83"/>
      <c r="K116" s="83"/>
      <c r="L116" s="36"/>
      <c r="M116" s="36"/>
      <c r="N116" s="47"/>
      <c r="O116" s="48"/>
      <c r="P116" s="49"/>
      <c r="Q116" s="48"/>
      <c r="R116" s="492"/>
      <c r="S116" s="492"/>
      <c r="T116" s="38"/>
      <c r="U116" s="38"/>
      <c r="V116" s="38"/>
      <c r="W116" s="38"/>
      <c r="X116" s="493"/>
      <c r="Y116" s="212"/>
      <c r="Z116" s="38"/>
      <c r="AA116" s="50"/>
      <c r="AB116" s="50"/>
      <c r="AC116" s="38"/>
      <c r="AD116" s="38"/>
      <c r="AE116" s="231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4"/>
      <c r="BC116" s="52"/>
      <c r="BD116" s="495"/>
      <c r="BE116" s="34"/>
      <c r="BF116" s="495"/>
    </row>
    <row r="117" spans="1:58" ht="12.75" customHeight="1">
      <c r="A117" s="41">
        <v>45865</v>
      </c>
      <c r="B117" s="42" t="s">
        <v>7</v>
      </c>
      <c r="C117" s="406">
        <f>(M117*E117*O117*Q117)/100000000</f>
        <v>45.554690999999998</v>
      </c>
      <c r="D117" s="42" t="s">
        <v>301</v>
      </c>
      <c r="E117" s="43">
        <v>14</v>
      </c>
      <c r="F117" s="43">
        <v>1</v>
      </c>
      <c r="G117" s="491">
        <v>1230</v>
      </c>
      <c r="H117" s="45">
        <v>0.25</v>
      </c>
      <c r="I117" s="46">
        <v>0.88</v>
      </c>
      <c r="J117" s="83">
        <f>E117*G117*(1-H117)*1440/1000000*2.74</f>
        <v>50.957424000000003</v>
      </c>
      <c r="K117" s="83">
        <f>(IF(G117&lt;L117,L117,G117)*(1-IF(H117&lt;N117,H117,N117))*E117*O117*Q117)/100000000</f>
        <v>46.574072999999999</v>
      </c>
      <c r="L117" s="36">
        <v>1203.0785868781543</v>
      </c>
      <c r="M117" s="36">
        <v>902.30894015861577</v>
      </c>
      <c r="N117" s="47">
        <f>1-(M117/L117)</f>
        <v>0.25</v>
      </c>
      <c r="O117" s="48">
        <f>+'Trim Rwd'!H77</f>
        <v>260</v>
      </c>
      <c r="P117" s="49">
        <f>O117*(Q117-R117-S117)</f>
        <v>337220</v>
      </c>
      <c r="Q117" s="48">
        <v>1387</v>
      </c>
      <c r="R117" s="492">
        <v>0</v>
      </c>
      <c r="S117" s="492">
        <v>90</v>
      </c>
      <c r="T117" s="38">
        <f>E117*M117*O117*Q117/100000000</f>
        <v>45.554690999999998</v>
      </c>
      <c r="U117" s="38">
        <f>E117*M117*O117*(Q117-R117-S117)/100000000</f>
        <v>42.598726912040377</v>
      </c>
      <c r="V117" s="38">
        <f>E117*G117*(1-N117)*O117/100*(R117+S117)/1000000</f>
        <v>3.0221100000000001</v>
      </c>
      <c r="W117" s="38">
        <f>+'27'!K14/1000</f>
        <v>44.783999999999999</v>
      </c>
      <c r="X117" s="493">
        <f>SUM(W117:W120)/SUM(K117:K120)</f>
        <v>0.93086522002853345</v>
      </c>
      <c r="Y117" s="212">
        <f>+SUM(RBP!AG108:AG109)</f>
        <v>0</v>
      </c>
      <c r="Z117" s="38">
        <f>+'18'!D45/1000</f>
        <v>0</v>
      </c>
      <c r="AA117" s="50">
        <f>SUM(U117:U120)-SUM(W117:W120)-SUM(Z117:Z120)-SUM(Y117:Y120)</f>
        <v>-1.1129664679596232</v>
      </c>
      <c r="AB117" s="50">
        <f>(SUM(K117:K120)-SUM(W117:W120)-SUM(Y117:Y120)-SUM(Z117:Z120)-SUM(AC117:AC120)-SUM(V117:V120))-AA117</f>
        <v>-6.6145912040376231E-2</v>
      </c>
      <c r="AC117" s="38">
        <f>K117-T117</f>
        <v>1.0193820000000002</v>
      </c>
      <c r="AD117" s="38">
        <f>+AM117+BA117</f>
        <v>44</v>
      </c>
      <c r="AE117" s="231" t="s">
        <v>660</v>
      </c>
      <c r="AF117" s="38">
        <v>44</v>
      </c>
      <c r="AG117" s="38"/>
      <c r="AH117" s="38"/>
      <c r="AI117" s="494"/>
      <c r="AJ117" s="38"/>
      <c r="AK117" s="38"/>
      <c r="AL117" s="38"/>
      <c r="AM117" s="38">
        <f t="shared" ref="AM117:AM119" si="70">SUM(AF117:AL117)+AT117+AV117+AX117</f>
        <v>44</v>
      </c>
      <c r="AN117" s="38"/>
      <c r="AO117" s="38"/>
      <c r="AP117" s="38"/>
      <c r="AQ117" s="38"/>
      <c r="AR117" s="38">
        <f>SUM(AN117:AQ117)</f>
        <v>0</v>
      </c>
      <c r="AS117" s="38"/>
      <c r="AT117" s="38"/>
      <c r="AU117" s="38"/>
      <c r="AV117" s="38"/>
      <c r="AW117" s="38"/>
      <c r="AX117" s="38"/>
      <c r="AY117" s="38"/>
      <c r="AZ117" s="38"/>
      <c r="BA117" s="38">
        <f>+AR117+AS117+AU117+AW117+AY117+AZ117</f>
        <v>0</v>
      </c>
      <c r="BB117" s="34">
        <v>11</v>
      </c>
      <c r="BC117" s="52"/>
      <c r="BD117" s="52"/>
      <c r="BE117" s="34"/>
      <c r="BF117" s="52"/>
    </row>
    <row r="118" spans="1:58" ht="12.95" customHeight="1">
      <c r="A118" s="41"/>
      <c r="B118" s="42" t="s">
        <v>7</v>
      </c>
      <c r="C118" s="406">
        <f>(M118*E118*O118*Q118)/100000000</f>
        <v>1.5360067799999997</v>
      </c>
      <c r="D118" s="42" t="s">
        <v>301</v>
      </c>
      <c r="E118" s="43">
        <v>12</v>
      </c>
      <c r="F118" s="43">
        <v>1</v>
      </c>
      <c r="G118" s="491">
        <v>1230</v>
      </c>
      <c r="H118" s="45">
        <v>0.23</v>
      </c>
      <c r="I118" s="46">
        <v>0.88</v>
      </c>
      <c r="J118" s="83">
        <f>E118*G118*(1-H118)*1440/1000000*2.74</f>
        <v>44.842533120000006</v>
      </c>
      <c r="K118" s="83">
        <f>(IF(G118&lt;L118,L118,G118)*(1-IF(H118&lt;N118,H118,N118))*E118*O118*Q118)/100000000</f>
        <v>1.5360067799999997</v>
      </c>
      <c r="L118" s="36">
        <v>1230</v>
      </c>
      <c r="M118" s="36">
        <v>947.09999999999991</v>
      </c>
      <c r="N118" s="47">
        <f>1-(M118/L118)</f>
        <v>0.23000000000000009</v>
      </c>
      <c r="O118" s="48">
        <f>+'Trim Rwd'!H78</f>
        <v>255</v>
      </c>
      <c r="P118" s="49">
        <f>O118*(Q118-R118-S118)</f>
        <v>9435</v>
      </c>
      <c r="Q118" s="48">
        <v>53</v>
      </c>
      <c r="R118" s="492">
        <v>0</v>
      </c>
      <c r="S118" s="492">
        <v>16</v>
      </c>
      <c r="T118" s="38">
        <f>E118*M118*O118*Q118/100000000</f>
        <v>1.5360067799999997</v>
      </c>
      <c r="U118" s="38">
        <f>E118*M118*O118*(Q118-R118-S118)/100000000</f>
        <v>1.0723066199999998</v>
      </c>
      <c r="V118" s="38">
        <f>E118*G118*(1-N118)*O118/100*(R118+S118)/1000000</f>
        <v>0.46370015999999992</v>
      </c>
      <c r="W118" s="38">
        <f>+'24'!K28/1000</f>
        <v>0</v>
      </c>
      <c r="X118" s="39"/>
      <c r="Y118" s="212"/>
      <c r="Z118" s="38"/>
      <c r="AA118" s="38"/>
      <c r="AB118" s="38"/>
      <c r="AC118" s="38"/>
      <c r="AD118" s="38">
        <f>+AM118+BA118</f>
        <v>0</v>
      </c>
      <c r="AE118" s="231" t="s">
        <v>408</v>
      </c>
      <c r="AF118" s="38"/>
      <c r="AG118" s="38">
        <v>0</v>
      </c>
      <c r="AH118" s="38"/>
      <c r="AI118" s="494"/>
      <c r="AJ118" s="38"/>
      <c r="AK118" s="38"/>
      <c r="AL118" s="38"/>
      <c r="AM118" s="38">
        <f t="shared" si="70"/>
        <v>0</v>
      </c>
      <c r="AN118" s="84"/>
      <c r="AO118" s="38"/>
      <c r="AP118" s="38"/>
      <c r="AQ118" s="38"/>
      <c r="AR118" s="38">
        <f t="shared" ref="AR118:AR119" si="71">SUM(AN118:AQ118)</f>
        <v>0</v>
      </c>
      <c r="AS118" s="38"/>
      <c r="AT118" s="38"/>
      <c r="AU118" s="38"/>
      <c r="AV118" s="38"/>
      <c r="AW118" s="38"/>
      <c r="AX118" s="38"/>
      <c r="AY118" s="38"/>
      <c r="AZ118" s="38"/>
      <c r="BA118" s="38">
        <f>+AR118+AS118+AU118+AW118+AY118+AZ118</f>
        <v>0</v>
      </c>
      <c r="BB118" s="51"/>
      <c r="BC118" s="52">
        <v>0</v>
      </c>
      <c r="BD118" s="52"/>
      <c r="BE118" s="51"/>
      <c r="BF118" s="52"/>
    </row>
    <row r="119" spans="1:58" ht="12.95" customHeight="1">
      <c r="A119" s="41"/>
      <c r="B119" s="42"/>
      <c r="C119" s="406"/>
      <c r="D119" s="42"/>
      <c r="E119" s="43"/>
      <c r="F119" s="43"/>
      <c r="G119" s="44"/>
      <c r="H119" s="45"/>
      <c r="I119" s="46"/>
      <c r="J119" s="83"/>
      <c r="K119" s="83"/>
      <c r="L119" s="36"/>
      <c r="M119" s="36"/>
      <c r="N119" s="47"/>
      <c r="O119" s="48"/>
      <c r="P119" s="49"/>
      <c r="Q119" s="48"/>
      <c r="R119" s="492"/>
      <c r="S119" s="492"/>
      <c r="T119" s="38"/>
      <c r="U119" s="38"/>
      <c r="V119" s="38"/>
      <c r="W119" s="38"/>
      <c r="X119" s="39"/>
      <c r="Y119" s="212"/>
      <c r="Z119" s="38"/>
      <c r="AA119" s="38"/>
      <c r="AB119" s="38"/>
      <c r="AC119" s="38"/>
      <c r="AD119" s="38">
        <f>+AM119+BA119</f>
        <v>62</v>
      </c>
      <c r="AE119" s="231" t="s">
        <v>620</v>
      </c>
      <c r="AF119" s="34"/>
      <c r="AG119" s="34"/>
      <c r="AH119" s="582">
        <v>62</v>
      </c>
      <c r="AJ119" s="38"/>
      <c r="AK119" s="38"/>
      <c r="AL119" s="38"/>
      <c r="AM119" s="38">
        <f t="shared" si="70"/>
        <v>62</v>
      </c>
      <c r="AN119" s="38"/>
      <c r="AO119" s="38"/>
      <c r="AP119" s="38"/>
      <c r="AQ119" s="38"/>
      <c r="AR119" s="38">
        <f t="shared" si="71"/>
        <v>0</v>
      </c>
      <c r="AS119" s="38"/>
      <c r="AT119" s="38"/>
      <c r="AU119" s="38"/>
      <c r="AV119" s="38"/>
      <c r="AW119" s="38"/>
      <c r="AX119" s="38"/>
      <c r="AY119" s="38"/>
      <c r="AZ119" s="38"/>
      <c r="BA119" s="38">
        <f>+AR119+AS119+AU119+AW119+AY119+AZ119</f>
        <v>0</v>
      </c>
      <c r="BB119" s="34"/>
      <c r="BC119" s="495"/>
      <c r="BD119" s="495"/>
      <c r="BE119" s="34"/>
      <c r="BF119" s="495"/>
    </row>
    <row r="120" spans="1:58" ht="12.95" customHeight="1">
      <c r="A120" s="41"/>
      <c r="B120" s="42"/>
      <c r="C120" s="406"/>
      <c r="D120" s="42"/>
      <c r="E120" s="43"/>
      <c r="F120" s="43"/>
      <c r="G120" s="44"/>
      <c r="H120" s="45"/>
      <c r="I120" s="46"/>
      <c r="J120" s="83"/>
      <c r="K120" s="83"/>
      <c r="L120" s="36"/>
      <c r="M120" s="36"/>
      <c r="N120" s="47"/>
      <c r="O120" s="48"/>
      <c r="P120" s="49"/>
      <c r="Q120" s="35"/>
      <c r="R120" s="492"/>
      <c r="S120" s="492"/>
      <c r="T120" s="38"/>
      <c r="U120" s="38"/>
      <c r="V120" s="38"/>
      <c r="W120" s="38"/>
      <c r="X120" s="39"/>
      <c r="Y120" s="212"/>
      <c r="Z120" s="38"/>
      <c r="AA120" s="38"/>
      <c r="AB120" s="38"/>
      <c r="AC120" s="38"/>
      <c r="AD120" s="38"/>
      <c r="AE120" s="234"/>
      <c r="AF120" s="38"/>
      <c r="AG120" s="38"/>
      <c r="AH120" s="38"/>
      <c r="AI120" s="494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51"/>
      <c r="BC120" s="52"/>
      <c r="BD120" s="52"/>
      <c r="BE120" s="52"/>
      <c r="BF120" s="52"/>
    </row>
    <row r="121" spans="1:58" ht="12.75" customHeight="1">
      <c r="A121" s="41">
        <v>45866</v>
      </c>
      <c r="B121" s="42" t="s">
        <v>7</v>
      </c>
      <c r="C121" s="406">
        <f>(M121*E121*O121*Q121)/100000000</f>
        <v>42.702047242105252</v>
      </c>
      <c r="D121" s="42" t="s">
        <v>301</v>
      </c>
      <c r="E121" s="43">
        <v>12</v>
      </c>
      <c r="F121" s="43">
        <v>1</v>
      </c>
      <c r="G121" s="491">
        <v>1230</v>
      </c>
      <c r="H121" s="45">
        <v>0.23</v>
      </c>
      <c r="I121" s="46">
        <v>0.88</v>
      </c>
      <c r="J121" s="83">
        <f>E121*G121*(1-H121)*1440/1000000*2.74</f>
        <v>44.842533120000006</v>
      </c>
      <c r="K121" s="83">
        <f>(IF(G121&lt;L121,L121,G121)*(1-IF(H121&lt;N121,H121,N121))*E121*O121*Q121)/100000000</f>
        <v>42.702047242105252</v>
      </c>
      <c r="L121" s="36">
        <v>1230</v>
      </c>
      <c r="M121" s="36">
        <v>947.0999999999998</v>
      </c>
      <c r="N121" s="47">
        <f>1-(M121/L121)</f>
        <v>0.2300000000000002</v>
      </c>
      <c r="O121" s="48">
        <f>+'Trim Rwd'!H81</f>
        <v>260.92105263157896</v>
      </c>
      <c r="P121" s="49">
        <f>O121*(Q121-R121-S121)</f>
        <v>358505.5263157895</v>
      </c>
      <c r="Q121" s="48">
        <v>1440</v>
      </c>
      <c r="R121" s="492">
        <v>0</v>
      </c>
      <c r="S121" s="492">
        <v>66</v>
      </c>
      <c r="T121" s="38">
        <f>E121*M121*O121*Q121/100000000</f>
        <v>42.702047242105252</v>
      </c>
      <c r="U121" s="38">
        <f>E121*M121*O121*(Q121-R121-S121)/100000000</f>
        <v>40.744870076842098</v>
      </c>
      <c r="V121" s="38">
        <f>E121*G121*(1-N121)*O121/100*(R121+S121)/1000000</f>
        <v>1.9571771652631575</v>
      </c>
      <c r="W121" s="38">
        <f>+'28'!K9/1000</f>
        <v>39.575000000000003</v>
      </c>
      <c r="X121" s="493">
        <f>SUM(W121:W124)/SUM(K121:K124)</f>
        <v>0.96140589623814954</v>
      </c>
      <c r="Y121" s="212">
        <f>+SUM(RBP!AG112:AG113)</f>
        <v>0</v>
      </c>
      <c r="Z121" s="38">
        <v>0</v>
      </c>
      <c r="AA121" s="50">
        <f>SUM(U121:U124)-SUM(W121:W124)-SUM(Z121:Z124)-SUM(Y121:Y124)</f>
        <v>-0.30912992315790433</v>
      </c>
      <c r="AB121" s="50">
        <f>(SUM(K121:K124)-SUM(W121:W124)-SUM(Y121:Y124)-SUM(Z121:Z124)-SUM(AC121:AC124)-SUM(V121:V124))-AA121</f>
        <v>-3.5527136788005009E-15</v>
      </c>
      <c r="AC121" s="38">
        <f>K121-T121</f>
        <v>0</v>
      </c>
      <c r="AD121" s="38">
        <f>+AM121+BA121</f>
        <v>12</v>
      </c>
      <c r="AE121" s="231" t="s">
        <v>470</v>
      </c>
      <c r="AF121" s="38">
        <v>12</v>
      </c>
      <c r="AG121" s="38"/>
      <c r="AH121" s="38"/>
      <c r="AI121" s="494"/>
      <c r="AJ121" s="38"/>
      <c r="AK121" s="38"/>
      <c r="AL121" s="38"/>
      <c r="AM121" s="38">
        <f t="shared" ref="AM121:AM123" si="72">SUM(AF121:AL121)+AT121+AV121+AX121</f>
        <v>12</v>
      </c>
      <c r="AN121" s="38"/>
      <c r="AO121" s="38"/>
      <c r="AP121" s="38"/>
      <c r="AQ121" s="38"/>
      <c r="AR121" s="38">
        <f>SUM(AN121:AQ121)</f>
        <v>0</v>
      </c>
      <c r="AS121" s="38"/>
      <c r="AT121" s="38"/>
      <c r="AU121" s="38"/>
      <c r="AV121" s="38"/>
      <c r="AW121" s="38"/>
      <c r="AX121" s="38"/>
      <c r="AY121" s="38"/>
      <c r="AZ121" s="38"/>
      <c r="BA121" s="38">
        <f>+AR121+AS121+AU121+AW121+AY121+AZ121</f>
        <v>0</v>
      </c>
      <c r="BB121" s="34">
        <v>4</v>
      </c>
      <c r="BC121" s="52"/>
      <c r="BD121" s="52"/>
      <c r="BE121" s="34"/>
      <c r="BF121" s="52"/>
    </row>
    <row r="122" spans="1:58" ht="12.95" customHeight="1">
      <c r="A122" s="41"/>
      <c r="B122" s="42" t="s">
        <v>7</v>
      </c>
      <c r="C122" s="406"/>
      <c r="D122" s="42" t="s">
        <v>301</v>
      </c>
      <c r="E122" s="43">
        <v>14</v>
      </c>
      <c r="F122" s="43"/>
      <c r="G122" s="491"/>
      <c r="H122" s="45"/>
      <c r="I122" s="46"/>
      <c r="J122" s="83"/>
      <c r="K122" s="83"/>
      <c r="L122" s="36"/>
      <c r="M122" s="36"/>
      <c r="N122" s="47"/>
      <c r="O122" s="48"/>
      <c r="P122" s="49"/>
      <c r="Q122" s="48"/>
      <c r="R122" s="492"/>
      <c r="S122" s="492"/>
      <c r="T122" s="38"/>
      <c r="U122" s="38"/>
      <c r="V122" s="38"/>
      <c r="W122" s="38">
        <f>+'28'!K14/1000</f>
        <v>1.4790000000000001</v>
      </c>
      <c r="X122" s="39"/>
      <c r="Y122" s="212"/>
      <c r="Z122" s="38"/>
      <c r="AA122" s="38"/>
      <c r="AB122" s="38"/>
      <c r="AC122" s="38"/>
      <c r="AD122" s="38">
        <f>+AM122+BA122</f>
        <v>12</v>
      </c>
      <c r="AE122" s="231" t="s">
        <v>672</v>
      </c>
      <c r="AF122" s="38"/>
      <c r="AG122" s="38">
        <v>12</v>
      </c>
      <c r="AH122" s="38"/>
      <c r="AI122" s="494"/>
      <c r="AJ122" s="38"/>
      <c r="AK122" s="38"/>
      <c r="AL122" s="38"/>
      <c r="AM122" s="38">
        <f t="shared" si="72"/>
        <v>12</v>
      </c>
      <c r="AN122" s="84"/>
      <c r="AO122" s="38"/>
      <c r="AP122" s="38"/>
      <c r="AQ122" s="38"/>
      <c r="AR122" s="38">
        <f t="shared" ref="AR122:AR123" si="73">SUM(AN122:AQ122)</f>
        <v>0</v>
      </c>
      <c r="AS122" s="38"/>
      <c r="AT122" s="38"/>
      <c r="AU122" s="38"/>
      <c r="AV122" s="38"/>
      <c r="AW122" s="38"/>
      <c r="AX122" s="38"/>
      <c r="AY122" s="38"/>
      <c r="AZ122" s="38"/>
      <c r="BA122" s="38">
        <f>+AR122+AS122+AU122+AW122+AY122+AZ122</f>
        <v>0</v>
      </c>
      <c r="BB122" s="51"/>
      <c r="BC122" s="52">
        <v>7</v>
      </c>
      <c r="BD122" s="52"/>
      <c r="BE122" s="51"/>
      <c r="BF122" s="52"/>
    </row>
    <row r="123" spans="1:58" ht="12.95" customHeight="1">
      <c r="A123" s="41"/>
      <c r="B123" s="42"/>
      <c r="C123" s="406"/>
      <c r="D123" s="42"/>
      <c r="E123" s="43"/>
      <c r="F123" s="43"/>
      <c r="G123" s="44"/>
      <c r="H123" s="45"/>
      <c r="I123" s="46"/>
      <c r="J123" s="83"/>
      <c r="K123" s="83"/>
      <c r="L123" s="36"/>
      <c r="M123" s="36"/>
      <c r="N123" s="47"/>
      <c r="O123" s="48"/>
      <c r="P123" s="49"/>
      <c r="Q123" s="48"/>
      <c r="R123" s="492"/>
      <c r="S123" s="492"/>
      <c r="T123" s="38"/>
      <c r="U123" s="38"/>
      <c r="V123" s="38"/>
      <c r="W123" s="38"/>
      <c r="X123" s="39"/>
      <c r="Y123" s="212"/>
      <c r="Z123" s="38"/>
      <c r="AA123" s="38"/>
      <c r="AB123" s="38"/>
      <c r="AC123" s="38"/>
      <c r="AD123" s="38">
        <f>+AM123+BA123</f>
        <v>42</v>
      </c>
      <c r="AE123" s="231" t="s">
        <v>492</v>
      </c>
      <c r="AF123" s="34"/>
      <c r="AG123" s="34"/>
      <c r="AH123" s="582">
        <v>42</v>
      </c>
      <c r="AJ123" s="38"/>
      <c r="AK123" s="38"/>
      <c r="AL123" s="38"/>
      <c r="AM123" s="38">
        <f t="shared" si="72"/>
        <v>42</v>
      </c>
      <c r="AN123" s="38"/>
      <c r="AO123" s="38"/>
      <c r="AP123" s="38"/>
      <c r="AQ123" s="38"/>
      <c r="AR123" s="38">
        <f t="shared" si="73"/>
        <v>0</v>
      </c>
      <c r="AS123" s="38"/>
      <c r="AT123" s="38"/>
      <c r="AU123" s="38"/>
      <c r="AV123" s="38"/>
      <c r="AW123" s="38"/>
      <c r="AX123" s="38"/>
      <c r="AY123" s="38"/>
      <c r="AZ123" s="38"/>
      <c r="BA123" s="38">
        <f>+AR123+AS123+AU123+AW123+AY123+AZ123</f>
        <v>0</v>
      </c>
      <c r="BB123" s="34"/>
      <c r="BC123" s="495"/>
      <c r="BD123" s="495"/>
      <c r="BE123" s="34"/>
      <c r="BF123" s="495"/>
    </row>
    <row r="124" spans="1:58" ht="12.95" customHeight="1">
      <c r="A124" s="41"/>
      <c r="B124" s="42"/>
      <c r="C124" s="406"/>
      <c r="D124" s="42"/>
      <c r="E124" s="43"/>
      <c r="F124" s="43"/>
      <c r="G124" s="44"/>
      <c r="H124" s="45"/>
      <c r="I124" s="46"/>
      <c r="J124" s="83"/>
      <c r="K124" s="83"/>
      <c r="L124" s="36"/>
      <c r="M124" s="36"/>
      <c r="N124" s="47"/>
      <c r="O124" s="48"/>
      <c r="P124" s="49"/>
      <c r="Q124" s="48"/>
      <c r="R124" s="492"/>
      <c r="S124" s="492"/>
      <c r="T124" s="38"/>
      <c r="U124" s="38"/>
      <c r="V124" s="38"/>
      <c r="W124" s="38"/>
      <c r="X124" s="39"/>
      <c r="Y124" s="212"/>
      <c r="Z124" s="38"/>
      <c r="AA124" s="38"/>
      <c r="AB124" s="38"/>
      <c r="AC124" s="38"/>
      <c r="AD124" s="38"/>
      <c r="AE124" s="231"/>
      <c r="AF124" s="34"/>
      <c r="AG124" s="34"/>
      <c r="AH124" s="34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4"/>
      <c r="BC124" s="495"/>
      <c r="BD124" s="52"/>
      <c r="BE124" s="52"/>
      <c r="BF124" s="52"/>
    </row>
    <row r="125" spans="1:58" ht="12.75" customHeight="1">
      <c r="A125" s="41">
        <v>45867</v>
      </c>
      <c r="B125" s="42" t="s">
        <v>7</v>
      </c>
      <c r="C125" s="406">
        <f>(M125*E125*O125*Q125)/100000000</f>
        <v>25.985109149999996</v>
      </c>
      <c r="D125" s="42" t="s">
        <v>301</v>
      </c>
      <c r="E125" s="43">
        <v>12</v>
      </c>
      <c r="F125" s="43">
        <v>1</v>
      </c>
      <c r="G125" s="491">
        <v>1230</v>
      </c>
      <c r="H125" s="45">
        <v>0.23</v>
      </c>
      <c r="I125" s="46">
        <v>0.88</v>
      </c>
      <c r="J125" s="83">
        <f>E125*G125*(1-H125)*1440/1000000*2.74</f>
        <v>44.842533120000006</v>
      </c>
      <c r="K125" s="83">
        <f>(IF(G125&lt;L125,L125,G125)*(1-IF(H125&lt;N125,H125,N125))*E125*O125*Q125)/100000000</f>
        <v>25.985109149999996</v>
      </c>
      <c r="L125" s="36">
        <v>1230</v>
      </c>
      <c r="M125" s="36">
        <v>947.09999999999991</v>
      </c>
      <c r="N125" s="47">
        <f>1-(M125/L125)</f>
        <v>0.23000000000000009</v>
      </c>
      <c r="O125" s="48">
        <f>+'Trim Rwd'!H84</f>
        <v>262.5</v>
      </c>
      <c r="P125" s="49">
        <f>O125*(Q125-R125-S125)</f>
        <v>217087.5</v>
      </c>
      <c r="Q125" s="48">
        <v>871</v>
      </c>
      <c r="R125" s="492">
        <v>0</v>
      </c>
      <c r="S125" s="492">
        <v>44</v>
      </c>
      <c r="T125" s="38">
        <f>E125*M125*O125*Q125/100000000</f>
        <v>25.985109149999996</v>
      </c>
      <c r="U125" s="38">
        <f>E125*M125*O125*(Q125-R125-S125)/100000000</f>
        <v>24.672428549999996</v>
      </c>
      <c r="V125" s="38">
        <f>E125*G125*(1-N125)*O125/100*(R125+S125)/1000000</f>
        <v>1.3126805999999995</v>
      </c>
      <c r="W125" s="38">
        <f>+'29'!K9/1000</f>
        <v>27.817</v>
      </c>
      <c r="X125" s="493">
        <f>SUM(W125:W128)/SUM(K125:K128)</f>
        <v>0.93739574162159067</v>
      </c>
      <c r="Y125" s="212">
        <f>+SUM(RBP!AG116:AG117)</f>
        <v>0</v>
      </c>
      <c r="Z125" s="38">
        <f>+'18'!D53/1000</f>
        <v>1.0335648148148148E-4</v>
      </c>
      <c r="AA125" s="50">
        <f>SUM(U125:U128)-SUM(W125:W128)-SUM(Z125:Z128)-SUM(Y125:Y128)</f>
        <v>0.49569065601851076</v>
      </c>
      <c r="AB125" s="50">
        <f>(SUM(K125:K128)-SUM(W125:W128)-SUM(Y125:Y128)-SUM(Z125:Z128)-SUM(AC125:AC128)-SUM(V125:V128))-AA125</f>
        <v>2.2759572004815709E-15</v>
      </c>
      <c r="AC125" s="38">
        <f>K125-T125</f>
        <v>0</v>
      </c>
      <c r="AD125" s="38">
        <f>+AM125+BA125</f>
        <v>17</v>
      </c>
      <c r="AE125" s="231" t="s">
        <v>471</v>
      </c>
      <c r="AF125" s="38">
        <v>17</v>
      </c>
      <c r="AG125" s="38"/>
      <c r="AH125" s="38"/>
      <c r="AI125" s="494"/>
      <c r="AJ125" s="38"/>
      <c r="AK125" s="38"/>
      <c r="AL125" s="38"/>
      <c r="AM125" s="38">
        <f t="shared" ref="AM125:AM127" si="74">SUM(AF125:AL125)+AT125+AV125+AX125</f>
        <v>17</v>
      </c>
      <c r="AN125" s="38"/>
      <c r="AO125" s="38"/>
      <c r="AP125" s="38"/>
      <c r="AQ125" s="38"/>
      <c r="AR125" s="38">
        <f>SUM(AN125:AQ125)</f>
        <v>0</v>
      </c>
      <c r="AS125" s="38"/>
      <c r="AT125" s="38"/>
      <c r="AU125" s="38"/>
      <c r="AV125" s="38"/>
      <c r="AW125" s="38"/>
      <c r="AX125" s="38"/>
      <c r="AY125" s="38"/>
      <c r="AZ125" s="38"/>
      <c r="BA125" s="38">
        <f>+AR125+AS125+AU125+AW125+AY125+AZ125</f>
        <v>0</v>
      </c>
      <c r="BB125" s="34">
        <v>8</v>
      </c>
      <c r="BC125" s="52"/>
      <c r="BD125" s="52"/>
      <c r="BE125" s="34"/>
      <c r="BF125" s="52"/>
    </row>
    <row r="126" spans="1:58" ht="12.95" customHeight="1">
      <c r="A126" s="41"/>
      <c r="B126" s="42" t="s">
        <v>7</v>
      </c>
      <c r="C126" s="406">
        <f>(M126*E126*O126*Q126)/100000000</f>
        <v>18.389959087499999</v>
      </c>
      <c r="D126" s="42" t="s">
        <v>301</v>
      </c>
      <c r="E126" s="43">
        <v>13</v>
      </c>
      <c r="F126" s="43">
        <v>1</v>
      </c>
      <c r="G126" s="491">
        <v>1230</v>
      </c>
      <c r="H126" s="45">
        <v>0.23</v>
      </c>
      <c r="I126" s="46">
        <v>0.88</v>
      </c>
      <c r="J126" s="83">
        <f>E126*G126*(1-H126)*1440/1000000*2.74</f>
        <v>48.579410880000005</v>
      </c>
      <c r="K126" s="83">
        <f>(IF(G126&lt;L126,L126,G126)*(1-IF(H126&lt;N126,H126,N126))*E126*O126*Q126)/100000000</f>
        <v>18.389959087499999</v>
      </c>
      <c r="L126" s="36">
        <v>1230</v>
      </c>
      <c r="M126" s="36">
        <v>947.09999999999991</v>
      </c>
      <c r="N126" s="47">
        <f>1-(M126/L126)</f>
        <v>0.23000000000000009</v>
      </c>
      <c r="O126" s="48">
        <f>+'Trim Rwd'!H85</f>
        <v>262.5</v>
      </c>
      <c r="P126" s="49">
        <f>O126*(Q126-R126-S126)</f>
        <v>141487.5</v>
      </c>
      <c r="Q126" s="48">
        <v>569</v>
      </c>
      <c r="R126" s="492">
        <v>0</v>
      </c>
      <c r="S126" s="492">
        <v>30</v>
      </c>
      <c r="T126" s="38">
        <f>E126*M126*O126*Q126/100000000</f>
        <v>18.389959087499999</v>
      </c>
      <c r="U126" s="38">
        <f>E126*M126*O126*(Q126-R126-S126)/100000000</f>
        <v>17.420365462500001</v>
      </c>
      <c r="V126" s="38">
        <f>E126*G126*(1-N126)*O126/100*(R126+S126)/1000000</f>
        <v>0.96959362500000001</v>
      </c>
      <c r="W126" s="38">
        <f>+'29'!K8/1000</f>
        <v>13.78</v>
      </c>
      <c r="X126" s="39"/>
      <c r="Y126" s="212"/>
      <c r="Z126" s="38"/>
      <c r="AA126" s="38"/>
      <c r="AB126" s="38"/>
      <c r="AC126" s="38"/>
      <c r="AD126" s="38">
        <f>+AM126+BA126</f>
        <v>8</v>
      </c>
      <c r="AE126" s="231" t="s">
        <v>459</v>
      </c>
      <c r="AF126" s="38"/>
      <c r="AG126" s="38">
        <v>8</v>
      </c>
      <c r="AH126" s="38"/>
      <c r="AI126" s="494"/>
      <c r="AJ126" s="38"/>
      <c r="AK126" s="38"/>
      <c r="AL126" s="38"/>
      <c r="AM126" s="38">
        <f t="shared" si="74"/>
        <v>8</v>
      </c>
      <c r="AN126" s="84"/>
      <c r="AO126" s="38"/>
      <c r="AP126" s="38"/>
      <c r="AQ126" s="38"/>
      <c r="AR126" s="38">
        <f t="shared" ref="AR126:AR127" si="75">SUM(AN126:AQ126)</f>
        <v>0</v>
      </c>
      <c r="AS126" s="38"/>
      <c r="AT126" s="38"/>
      <c r="AU126" s="38"/>
      <c r="AV126" s="38"/>
      <c r="AW126" s="38"/>
      <c r="AX126" s="38"/>
      <c r="AY126" s="38"/>
      <c r="AZ126" s="38"/>
      <c r="BA126" s="38">
        <f>+AR126+AS126+AU126+AW126+AY126+AZ126</f>
        <v>0</v>
      </c>
      <c r="BB126" s="51"/>
      <c r="BC126" s="52">
        <v>4</v>
      </c>
      <c r="BD126" s="52"/>
      <c r="BE126" s="51"/>
      <c r="BF126" s="52"/>
    </row>
    <row r="127" spans="1:58" ht="12.95" customHeight="1">
      <c r="A127" s="41"/>
      <c r="B127" s="42"/>
      <c r="C127" s="406"/>
      <c r="D127" s="42"/>
      <c r="E127" s="43"/>
      <c r="F127" s="43"/>
      <c r="G127" s="44"/>
      <c r="H127" s="45"/>
      <c r="I127" s="46"/>
      <c r="J127" s="83"/>
      <c r="K127" s="83"/>
      <c r="L127" s="36"/>
      <c r="M127" s="36"/>
      <c r="N127" s="47"/>
      <c r="O127" s="48"/>
      <c r="P127" s="49"/>
      <c r="Q127" s="48"/>
      <c r="R127" s="492"/>
      <c r="S127" s="492"/>
      <c r="T127" s="38"/>
      <c r="U127" s="38"/>
      <c r="V127" s="38"/>
      <c r="W127" s="38"/>
      <c r="X127" s="39"/>
      <c r="Y127" s="212"/>
      <c r="Z127" s="38"/>
      <c r="AA127" s="38"/>
      <c r="AB127" s="38"/>
      <c r="AC127" s="38"/>
      <c r="AD127" s="38">
        <f>+AM127+BA127</f>
        <v>49</v>
      </c>
      <c r="AE127" s="231" t="s">
        <v>492</v>
      </c>
      <c r="AF127" s="34"/>
      <c r="AG127" s="34"/>
      <c r="AH127" s="582">
        <v>49</v>
      </c>
      <c r="AJ127" s="38"/>
      <c r="AK127" s="38"/>
      <c r="AL127" s="38"/>
      <c r="AM127" s="38">
        <f t="shared" si="74"/>
        <v>49</v>
      </c>
      <c r="AN127" s="38"/>
      <c r="AO127" s="38"/>
      <c r="AP127" s="38"/>
      <c r="AQ127" s="38"/>
      <c r="AR127" s="38">
        <f t="shared" si="75"/>
        <v>0</v>
      </c>
      <c r="AS127" s="38"/>
      <c r="AT127" s="38"/>
      <c r="AU127" s="38"/>
      <c r="AV127" s="38"/>
      <c r="AW127" s="38"/>
      <c r="AX127" s="38"/>
      <c r="AY127" s="38"/>
      <c r="AZ127" s="38"/>
      <c r="BA127" s="38">
        <f>+AR127+AS127+AU127+AW127+AY127+AZ127</f>
        <v>0</v>
      </c>
      <c r="BB127" s="34"/>
      <c r="BC127" s="495"/>
      <c r="BD127" s="495"/>
      <c r="BE127" s="34"/>
      <c r="BF127" s="495"/>
    </row>
    <row r="128" spans="1:58" ht="12.95" customHeight="1">
      <c r="A128" s="41"/>
      <c r="B128" s="42"/>
      <c r="C128" s="406"/>
      <c r="D128" s="42"/>
      <c r="E128" s="43"/>
      <c r="F128" s="43"/>
      <c r="G128" s="44"/>
      <c r="H128" s="45"/>
      <c r="I128" s="46"/>
      <c r="J128" s="83"/>
      <c r="K128" s="83"/>
      <c r="L128" s="36"/>
      <c r="M128" s="36"/>
      <c r="N128" s="47"/>
      <c r="O128" s="48"/>
      <c r="P128" s="49"/>
      <c r="Q128" s="48"/>
      <c r="R128" s="492"/>
      <c r="S128" s="492"/>
      <c r="T128" s="38"/>
      <c r="U128" s="38"/>
      <c r="V128" s="38"/>
      <c r="W128" s="38"/>
      <c r="X128" s="39"/>
      <c r="Y128" s="212"/>
      <c r="Z128" s="38"/>
      <c r="AA128" s="38"/>
      <c r="AB128" s="38"/>
      <c r="AC128" s="38"/>
      <c r="AD128" s="38"/>
      <c r="AE128" s="231"/>
      <c r="AF128" s="34"/>
      <c r="AG128" s="34"/>
      <c r="AH128" s="34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4"/>
      <c r="BC128" s="495"/>
      <c r="BD128" s="52"/>
      <c r="BE128" s="52"/>
      <c r="BF128" s="52"/>
    </row>
    <row r="129" spans="1:58" ht="12.75" customHeight="1">
      <c r="A129" s="41">
        <v>45868</v>
      </c>
      <c r="B129" s="42" t="s">
        <v>7</v>
      </c>
      <c r="C129" s="406">
        <f>(M129*E129*O129*Q129)/100000000</f>
        <v>5.6559628125000003</v>
      </c>
      <c r="D129" s="42" t="s">
        <v>301</v>
      </c>
      <c r="E129" s="43">
        <v>13</v>
      </c>
      <c r="F129" s="43">
        <v>1</v>
      </c>
      <c r="G129" s="491">
        <v>1230</v>
      </c>
      <c r="H129" s="45">
        <v>0.23</v>
      </c>
      <c r="I129" s="46">
        <v>0.88</v>
      </c>
      <c r="J129" s="83">
        <f>E129*G129*(1-H129)*1440/1000000*2.74</f>
        <v>48.579410880000005</v>
      </c>
      <c r="K129" s="83">
        <f>(IF(G129&lt;L129,L129,G129)*(1-IF(H129&lt;N129,H129,N129))*E129*O129*Q129)/100000000</f>
        <v>5.6559628125000003</v>
      </c>
      <c r="L129" s="36">
        <v>1230</v>
      </c>
      <c r="M129" s="36">
        <v>947.09999999999991</v>
      </c>
      <c r="N129" s="47">
        <f>1-(M129/L129)</f>
        <v>0.23000000000000009</v>
      </c>
      <c r="O129" s="48">
        <f>+'Trim Rwd'!H87</f>
        <v>262.5</v>
      </c>
      <c r="P129" s="49">
        <f>O129*(Q129-R129-S129)</f>
        <v>41475</v>
      </c>
      <c r="Q129" s="48">
        <v>175</v>
      </c>
      <c r="R129" s="492">
        <v>0</v>
      </c>
      <c r="S129" s="492">
        <v>17</v>
      </c>
      <c r="T129" s="38">
        <f>E129*M129*O129*Q129/100000000</f>
        <v>5.6559628125000003</v>
      </c>
      <c r="U129" s="38">
        <f>E129*M129*O129*(Q129-R129-S129)/100000000</f>
        <v>5.1065264250000002</v>
      </c>
      <c r="V129" s="38">
        <f>E129*G129*(1-N129)*O129/100*(R129+S129)/1000000</f>
        <v>0.5494363874999999</v>
      </c>
      <c r="W129" s="38">
        <f>+'30'!K8/1000</f>
        <v>8.7520000000000007</v>
      </c>
      <c r="X129" s="493">
        <f>SUM(W129:W132)/SUM(K129:K132)</f>
        <v>0.93418120338973043</v>
      </c>
      <c r="Y129" s="212">
        <v>0</v>
      </c>
      <c r="Z129" s="38">
        <f>+'18'!D57/1000</f>
        <v>0</v>
      </c>
      <c r="AA129" s="50">
        <f>SUM(U129:U132)-SUM(W129:W132)-SUM(Z129:Z132)-SUM(Y129:Y132)</f>
        <v>0.64443212999999244</v>
      </c>
      <c r="AB129" s="50">
        <f>(SUM(K129:K132)-SUM(W129:W132)-SUM(Y129:Y132)-SUM(Z129:Z132)-SUM(AC129:AC132)-SUM(V129:V132))-AA129</f>
        <v>-1.9984014443252818E-15</v>
      </c>
      <c r="AC129" s="38">
        <f>K129-T129</f>
        <v>0</v>
      </c>
      <c r="AD129" s="38">
        <f>+AM129+BA129</f>
        <v>16</v>
      </c>
      <c r="AE129" s="231" t="s">
        <v>471</v>
      </c>
      <c r="AF129" s="38">
        <v>16</v>
      </c>
      <c r="AG129" s="38"/>
      <c r="AH129" s="38"/>
      <c r="AI129" s="494"/>
      <c r="AJ129" s="38"/>
      <c r="AK129" s="38"/>
      <c r="AL129" s="38"/>
      <c r="AM129" s="38">
        <f t="shared" ref="AM129:AM131" si="76">SUM(AF129:AL129)+AT129+AV129+AX129</f>
        <v>16</v>
      </c>
      <c r="AN129" s="38"/>
      <c r="AO129" s="38"/>
      <c r="AP129" s="38"/>
      <c r="AQ129" s="38"/>
      <c r="AR129" s="38">
        <f>SUM(AN129:AQ129)</f>
        <v>0</v>
      </c>
      <c r="AS129" s="38"/>
      <c r="AT129" s="38"/>
      <c r="AU129" s="38"/>
      <c r="AV129" s="38"/>
      <c r="AW129" s="38"/>
      <c r="AX129" s="38"/>
      <c r="AY129" s="38"/>
      <c r="AZ129" s="38"/>
      <c r="BA129" s="38">
        <f>+AR129+AS129+AU129+AW129+AY129+AZ129</f>
        <v>0</v>
      </c>
      <c r="BB129" s="34">
        <v>8</v>
      </c>
      <c r="BC129" s="52"/>
      <c r="BD129" s="52"/>
      <c r="BE129" s="34"/>
      <c r="BF129" s="52">
        <v>1</v>
      </c>
    </row>
    <row r="130" spans="1:58" ht="12.95" customHeight="1">
      <c r="A130" s="41"/>
      <c r="B130" s="42" t="s">
        <v>412</v>
      </c>
      <c r="C130" s="406">
        <f>(M130*E130*O130*Q130)/100000000</f>
        <v>41.896910054999992</v>
      </c>
      <c r="D130" s="42" t="s">
        <v>301</v>
      </c>
      <c r="E130" s="43">
        <v>13</v>
      </c>
      <c r="F130" s="43">
        <v>1</v>
      </c>
      <c r="G130" s="491">
        <v>1230</v>
      </c>
      <c r="H130" s="45">
        <v>0.23</v>
      </c>
      <c r="I130" s="46">
        <v>0.88</v>
      </c>
      <c r="J130" s="83">
        <f>E130*G130*(1-H130)*1440/1000000*2.74</f>
        <v>48.579410880000005</v>
      </c>
      <c r="K130" s="83">
        <f>(IF(G130&lt;L130,L130,G130)*(1-IF(H130&lt;N130,H130,N130))*E130*O130*Q130)/100000000</f>
        <v>41.896910054999992</v>
      </c>
      <c r="L130" s="36">
        <v>1230</v>
      </c>
      <c r="M130" s="36">
        <v>947.09999999999991</v>
      </c>
      <c r="N130" s="47">
        <f>1-(M130/L130)</f>
        <v>0.23000000000000009</v>
      </c>
      <c r="O130" s="48">
        <f>+'Trim Rwd'!H88</f>
        <v>269</v>
      </c>
      <c r="P130" s="49">
        <f>O130*(Q130-R130-S130)</f>
        <v>326835</v>
      </c>
      <c r="Q130" s="48">
        <v>1265</v>
      </c>
      <c r="R130" s="492">
        <v>0</v>
      </c>
      <c r="S130" s="492">
        <v>50</v>
      </c>
      <c r="T130" s="38">
        <f>E130*M130*O130*Q130/100000000</f>
        <v>41.896910054999992</v>
      </c>
      <c r="U130" s="38">
        <f>E130*M130*O130*(Q130-R130-S130)/100000000</f>
        <v>40.240905704999996</v>
      </c>
      <c r="V130" s="38">
        <f>E130*G130*(1-N130)*O130/100*(R130+S130)/1000000</f>
        <v>1.6560043500000001</v>
      </c>
      <c r="W130" s="38">
        <f>+'30'!K15/1000</f>
        <v>35.670999999999999</v>
      </c>
      <c r="X130" s="39"/>
      <c r="Y130" s="212"/>
      <c r="Z130" s="38">
        <f>+'30'!D16/1000</f>
        <v>0.28000000000000003</v>
      </c>
      <c r="AA130" s="38"/>
      <c r="AB130" s="38"/>
      <c r="AC130" s="38"/>
      <c r="AD130" s="38">
        <f>+AM130+BA130</f>
        <v>8</v>
      </c>
      <c r="AE130" s="231" t="s">
        <v>459</v>
      </c>
      <c r="AF130" s="38"/>
      <c r="AG130" s="38">
        <v>8</v>
      </c>
      <c r="AH130" s="38"/>
      <c r="AI130" s="494"/>
      <c r="AJ130" s="38"/>
      <c r="AK130" s="38"/>
      <c r="AL130" s="38"/>
      <c r="AM130" s="38">
        <f t="shared" si="76"/>
        <v>8</v>
      </c>
      <c r="AN130" s="84"/>
      <c r="AO130" s="38"/>
      <c r="AP130" s="38"/>
      <c r="AQ130" s="38"/>
      <c r="AR130" s="38">
        <f t="shared" ref="AR130:AR131" si="77">SUM(AN130:AQ130)</f>
        <v>0</v>
      </c>
      <c r="AS130" s="38"/>
      <c r="AT130" s="38"/>
      <c r="AU130" s="38"/>
      <c r="AV130" s="38"/>
      <c r="AW130" s="38"/>
      <c r="AX130" s="38"/>
      <c r="AY130" s="38"/>
      <c r="AZ130" s="38"/>
      <c r="BA130" s="38">
        <f>+AR130+AS130+AU130+AW130+AY130+AZ130</f>
        <v>0</v>
      </c>
      <c r="BB130" s="51"/>
      <c r="BC130" s="52">
        <v>4</v>
      </c>
      <c r="BD130" s="52"/>
      <c r="BE130" s="51"/>
      <c r="BF130" s="52"/>
    </row>
    <row r="131" spans="1:58" ht="12.95" customHeight="1">
      <c r="A131" s="41"/>
      <c r="B131" s="42"/>
      <c r="C131" s="406"/>
      <c r="D131" s="42"/>
      <c r="E131" s="43"/>
      <c r="F131" s="43"/>
      <c r="G131" s="44"/>
      <c r="H131" s="45"/>
      <c r="I131" s="46"/>
      <c r="J131" s="83"/>
      <c r="K131" s="83"/>
      <c r="L131" s="36"/>
      <c r="M131" s="36"/>
      <c r="N131" s="47"/>
      <c r="O131" s="48"/>
      <c r="P131" s="49"/>
      <c r="Q131" s="48"/>
      <c r="R131" s="492"/>
      <c r="S131" s="492"/>
      <c r="T131" s="38"/>
      <c r="U131" s="38"/>
      <c r="V131" s="38"/>
      <c r="W131" s="38"/>
      <c r="X131" s="39"/>
      <c r="Y131" s="212"/>
      <c r="Z131" s="38"/>
      <c r="AA131" s="38"/>
      <c r="AB131" s="38"/>
      <c r="AC131" s="38"/>
      <c r="AD131" s="38">
        <f>+AM131+BA131</f>
        <v>43</v>
      </c>
      <c r="AE131" s="231" t="s">
        <v>492</v>
      </c>
      <c r="AF131" s="34"/>
      <c r="AG131" s="34"/>
      <c r="AH131" s="582">
        <v>43</v>
      </c>
      <c r="AJ131" s="38"/>
      <c r="AK131" s="38"/>
      <c r="AL131" s="38"/>
      <c r="AM131" s="38">
        <f t="shared" si="76"/>
        <v>43</v>
      </c>
      <c r="AN131" s="38"/>
      <c r="AO131" s="38"/>
      <c r="AP131" s="38"/>
      <c r="AQ131" s="38"/>
      <c r="AR131" s="38">
        <f t="shared" si="77"/>
        <v>0</v>
      </c>
      <c r="AS131" s="38"/>
      <c r="AT131" s="38"/>
      <c r="AU131" s="38"/>
      <c r="AV131" s="38"/>
      <c r="AW131" s="38"/>
      <c r="AX131" s="38"/>
      <c r="AY131" s="38"/>
      <c r="AZ131" s="38"/>
      <c r="BA131" s="38">
        <f>+AR131+AS131+AU131+AW131+AY131+AZ131</f>
        <v>0</v>
      </c>
      <c r="BB131" s="34"/>
      <c r="BC131" s="495"/>
      <c r="BD131" s="495"/>
      <c r="BE131" s="34"/>
      <c r="BF131" s="495"/>
    </row>
    <row r="132" spans="1:58" ht="16.5" customHeight="1">
      <c r="A132" s="41"/>
      <c r="B132" s="42"/>
      <c r="C132" s="406"/>
      <c r="D132" s="42"/>
      <c r="E132" s="43"/>
      <c r="F132" s="43"/>
      <c r="G132" s="491"/>
      <c r="H132" s="45"/>
      <c r="I132" s="46"/>
      <c r="J132" s="83"/>
      <c r="K132" s="83"/>
      <c r="L132" s="36"/>
      <c r="M132" s="36"/>
      <c r="N132" s="47"/>
      <c r="O132" s="48"/>
      <c r="P132" s="49"/>
      <c r="Q132" s="48"/>
      <c r="R132" s="492"/>
      <c r="S132" s="492"/>
      <c r="T132" s="38"/>
      <c r="U132" s="38"/>
      <c r="V132" s="38"/>
      <c r="W132" s="38"/>
      <c r="X132" s="493"/>
      <c r="Y132" s="212"/>
      <c r="Z132" s="38"/>
      <c r="AA132" s="50"/>
      <c r="AB132" s="50"/>
      <c r="AC132" s="38"/>
      <c r="AD132" s="38"/>
      <c r="AE132" s="231"/>
      <c r="AF132" s="38"/>
      <c r="AG132" s="38"/>
      <c r="AH132" s="38"/>
      <c r="AI132" s="494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4"/>
      <c r="BC132" s="52"/>
      <c r="BD132" s="495"/>
      <c r="BE132" s="34"/>
      <c r="BF132" s="495"/>
    </row>
    <row r="133" spans="1:58" ht="12.75" customHeight="1">
      <c r="A133" s="41">
        <v>45869</v>
      </c>
      <c r="B133" s="42" t="s">
        <v>412</v>
      </c>
      <c r="C133" s="406">
        <f>(M133*E133*O133*Q133)/100000000</f>
        <v>47.692925279999997</v>
      </c>
      <c r="D133" s="42" t="s">
        <v>301</v>
      </c>
      <c r="E133" s="43">
        <v>13</v>
      </c>
      <c r="F133" s="43">
        <v>1</v>
      </c>
      <c r="G133" s="491">
        <v>1230</v>
      </c>
      <c r="H133" s="45">
        <v>0.23</v>
      </c>
      <c r="I133" s="46">
        <v>0.88</v>
      </c>
      <c r="J133" s="83">
        <f>E133*G133*(1-H133)*1440/1000000*2.74</f>
        <v>48.579410880000005</v>
      </c>
      <c r="K133" s="83">
        <f>(IF(G133&lt;L133,L133,G133)*(1-IF(H133&lt;N133,H133,N133))*E133*O133*Q133)/100000000</f>
        <v>47.692925279999997</v>
      </c>
      <c r="L133" s="36">
        <v>1230</v>
      </c>
      <c r="M133" s="36">
        <v>947.09999999999991</v>
      </c>
      <c r="N133" s="47">
        <f>1-(M133/L133)</f>
        <v>0.23000000000000009</v>
      </c>
      <c r="O133" s="48">
        <f>+'Trim Rwd'!H90</f>
        <v>269</v>
      </c>
      <c r="P133" s="49">
        <f>O133*(Q133-R133-S133)</f>
        <v>370413</v>
      </c>
      <c r="Q133" s="48">
        <v>1440</v>
      </c>
      <c r="R133" s="492">
        <v>0</v>
      </c>
      <c r="S133" s="492">
        <v>63</v>
      </c>
      <c r="T133" s="38">
        <f>E133*M133*O133*Q133/100000000</f>
        <v>47.692925279999997</v>
      </c>
      <c r="U133" s="38">
        <f>E133*M133*O133*(Q133-R133-S133)/100000000</f>
        <v>45.606359798999996</v>
      </c>
      <c r="V133" s="38">
        <f>E133*G133*(1-N133)*O133/100*(R133+S133)/1000000</f>
        <v>2.0865654810000001</v>
      </c>
      <c r="W133" s="38">
        <f>+'31'!K15/1000</f>
        <v>46.16</v>
      </c>
      <c r="X133" s="493">
        <f>SUM(W133:W136)/SUM(K133:K136)</f>
        <v>0.96785843453719056</v>
      </c>
      <c r="Y133" s="212">
        <f>+SUM(RBP!AG3:AG4)</f>
        <v>4.3100000000000005</v>
      </c>
      <c r="Z133" s="38">
        <f>+'18'!D61/1000</f>
        <v>0</v>
      </c>
      <c r="AA133" s="50">
        <f>SUM(U133:U136)-SUM(W133:W136)-SUM(Z133:Z136)-SUM(Y133:Y136)</f>
        <v>-4.8636402010000008</v>
      </c>
      <c r="AB133" s="50">
        <f>(SUM(K133:K136)-SUM(W133:W136)-SUM(Y133:Y136)-SUM(Z133:Z136)-SUM(AC133:AC136)-SUM(V133:V136))-AA133</f>
        <v>0</v>
      </c>
      <c r="AC133" s="38">
        <f>K133-T133</f>
        <v>0</v>
      </c>
      <c r="AD133" s="38">
        <f>+AM133+BA133</f>
        <v>14</v>
      </c>
      <c r="AE133" s="231" t="s">
        <v>619</v>
      </c>
      <c r="AF133" s="38">
        <v>14</v>
      </c>
      <c r="AG133" s="38"/>
      <c r="AH133" s="38"/>
      <c r="AI133" s="494"/>
      <c r="AJ133" s="38"/>
      <c r="AK133" s="38"/>
      <c r="AL133" s="38"/>
      <c r="AM133" s="38">
        <f t="shared" ref="AM133:AM135" si="78">SUM(AF133:AL133)+AT133+AV133+AX133</f>
        <v>14</v>
      </c>
      <c r="AN133" s="38"/>
      <c r="AO133" s="38"/>
      <c r="AP133" s="38"/>
      <c r="AQ133" s="38"/>
      <c r="AR133" s="38">
        <f>SUM(AN133:AQ133)</f>
        <v>0</v>
      </c>
      <c r="AS133" s="38"/>
      <c r="AT133" s="38"/>
      <c r="AU133" s="38"/>
      <c r="AV133" s="38"/>
      <c r="AW133" s="38"/>
      <c r="AX133" s="38"/>
      <c r="AY133" s="38"/>
      <c r="AZ133" s="38"/>
      <c r="BA133" s="38">
        <f>+AR133+AS133+AU133+AW133+AY133+AZ133</f>
        <v>0</v>
      </c>
      <c r="BB133" s="34">
        <v>7</v>
      </c>
      <c r="BC133" s="52"/>
      <c r="BD133" s="52"/>
      <c r="BE133" s="34"/>
      <c r="BF133" s="52"/>
    </row>
    <row r="134" spans="1:58" ht="12.95" customHeight="1">
      <c r="A134" s="41"/>
      <c r="B134" s="42"/>
      <c r="C134" s="406"/>
      <c r="D134" s="42"/>
      <c r="E134" s="43"/>
      <c r="F134" s="43"/>
      <c r="G134" s="491"/>
      <c r="H134" s="45"/>
      <c r="I134" s="46"/>
      <c r="J134" s="83"/>
      <c r="K134" s="83"/>
      <c r="L134" s="36"/>
      <c r="M134" s="36"/>
      <c r="N134" s="47"/>
      <c r="O134" s="48"/>
      <c r="P134" s="49"/>
      <c r="Q134" s="48"/>
      <c r="R134" s="492"/>
      <c r="S134" s="492"/>
      <c r="T134" s="38"/>
      <c r="U134" s="38"/>
      <c r="V134" s="38"/>
      <c r="W134" s="38"/>
      <c r="X134" s="39"/>
      <c r="Y134" s="212"/>
      <c r="Z134" s="38"/>
      <c r="AA134" s="38"/>
      <c r="AB134" s="38"/>
      <c r="AC134" s="38"/>
      <c r="AD134" s="38">
        <f>+AM134+BA134</f>
        <v>14</v>
      </c>
      <c r="AE134" s="231" t="s">
        <v>672</v>
      </c>
      <c r="AF134" s="38"/>
      <c r="AG134" s="38">
        <v>14</v>
      </c>
      <c r="AH134" s="38"/>
      <c r="AI134" s="494"/>
      <c r="AJ134" s="38"/>
      <c r="AK134" s="38"/>
      <c r="AL134" s="38"/>
      <c r="AM134" s="38">
        <f t="shared" si="78"/>
        <v>14</v>
      </c>
      <c r="AN134" s="84"/>
      <c r="AO134" s="38"/>
      <c r="AP134" s="38"/>
      <c r="AQ134" s="38"/>
      <c r="AR134" s="38">
        <f t="shared" ref="AR134:AR135" si="79">SUM(AN134:AQ134)</f>
        <v>0</v>
      </c>
      <c r="AS134" s="38"/>
      <c r="AT134" s="38"/>
      <c r="AU134" s="38"/>
      <c r="AV134" s="38"/>
      <c r="AW134" s="38"/>
      <c r="AX134" s="38"/>
      <c r="AY134" s="38"/>
      <c r="AZ134" s="38"/>
      <c r="BA134" s="38">
        <f>+AR134+AS134+AU134+AW134+AY134+AZ134</f>
        <v>0</v>
      </c>
      <c r="BB134" s="51"/>
      <c r="BC134" s="52">
        <v>7</v>
      </c>
      <c r="BD134" s="52"/>
      <c r="BE134" s="51"/>
      <c r="BF134" s="52"/>
    </row>
    <row r="135" spans="1:58" ht="12.95" customHeight="1">
      <c r="A135" s="41"/>
      <c r="B135" s="42"/>
      <c r="C135" s="406"/>
      <c r="D135" s="42"/>
      <c r="E135" s="43"/>
      <c r="F135" s="43"/>
      <c r="G135" s="44"/>
      <c r="H135" s="45"/>
      <c r="I135" s="46"/>
      <c r="J135" s="83"/>
      <c r="K135" s="83"/>
      <c r="L135" s="36"/>
      <c r="M135" s="36"/>
      <c r="N135" s="47"/>
      <c r="O135" s="48"/>
      <c r="P135" s="49"/>
      <c r="Q135" s="48"/>
      <c r="R135" s="492"/>
      <c r="S135" s="492"/>
      <c r="T135" s="38"/>
      <c r="U135" s="38"/>
      <c r="V135" s="38"/>
      <c r="W135" s="38"/>
      <c r="X135" s="39"/>
      <c r="Y135" s="212"/>
      <c r="Z135" s="38"/>
      <c r="AA135" s="38"/>
      <c r="AB135" s="38"/>
      <c r="AC135" s="38"/>
      <c r="AD135" s="38">
        <f>+AM135+BA135</f>
        <v>35</v>
      </c>
      <c r="AE135" s="231" t="s">
        <v>620</v>
      </c>
      <c r="AF135" s="34"/>
      <c r="AG135" s="34"/>
      <c r="AH135" s="582">
        <v>35</v>
      </c>
      <c r="AJ135" s="38"/>
      <c r="AK135" s="38"/>
      <c r="AL135" s="38"/>
      <c r="AM135" s="38">
        <f t="shared" si="78"/>
        <v>35</v>
      </c>
      <c r="AN135" s="38"/>
      <c r="AO135" s="38"/>
      <c r="AP135" s="38"/>
      <c r="AQ135" s="38"/>
      <c r="AR135" s="38">
        <f t="shared" si="79"/>
        <v>0</v>
      </c>
      <c r="AS135" s="38"/>
      <c r="AT135" s="38"/>
      <c r="AU135" s="38"/>
      <c r="AV135" s="38"/>
      <c r="AW135" s="38"/>
      <c r="AX135" s="38"/>
      <c r="AY135" s="38"/>
      <c r="AZ135" s="38"/>
      <c r="BA135" s="38">
        <f>+AR135+AS135+AU135+AW135+AY135+AZ135</f>
        <v>0</v>
      </c>
      <c r="BB135" s="34"/>
      <c r="BC135" s="495"/>
      <c r="BD135" s="495"/>
      <c r="BE135" s="34"/>
      <c r="BF135" s="495"/>
    </row>
    <row r="136" spans="1:58" ht="12.95" customHeight="1">
      <c r="A136" s="41"/>
      <c r="B136" s="42"/>
      <c r="C136" s="406"/>
      <c r="D136" s="42"/>
      <c r="E136" s="43"/>
      <c r="F136" s="43"/>
      <c r="G136" s="44"/>
      <c r="H136" s="45"/>
      <c r="I136" s="46"/>
      <c r="J136" s="83"/>
      <c r="K136" s="83"/>
      <c r="L136" s="36"/>
      <c r="M136" s="36"/>
      <c r="N136" s="47"/>
      <c r="O136" s="48"/>
      <c r="P136" s="49"/>
      <c r="Q136" s="48"/>
      <c r="R136" s="492"/>
      <c r="S136" s="492"/>
      <c r="T136" s="38"/>
      <c r="U136" s="38"/>
      <c r="V136" s="38"/>
      <c r="W136" s="38"/>
      <c r="X136" s="493"/>
      <c r="Y136" s="212"/>
      <c r="Z136" s="38"/>
      <c r="AA136" s="50"/>
      <c r="AB136" s="50"/>
      <c r="AC136" s="38"/>
      <c r="AD136" s="38"/>
      <c r="AE136" s="231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4"/>
      <c r="BC136" s="52"/>
      <c r="BD136" s="495"/>
      <c r="BE136" s="34"/>
      <c r="BF136" s="495"/>
    </row>
    <row r="137" spans="1:58">
      <c r="R137" s="496"/>
      <c r="S137" s="496"/>
      <c r="AA137" s="248">
        <f>U137-W137-Z137</f>
        <v>0</v>
      </c>
      <c r="AB137" s="248"/>
      <c r="AC137" s="249">
        <f>K137-T137</f>
        <v>0</v>
      </c>
      <c r="AD137" s="38"/>
      <c r="AF137" s="53"/>
      <c r="AG137" s="53"/>
      <c r="AH137" s="53"/>
      <c r="AI137" s="53"/>
      <c r="AJ137" s="53"/>
      <c r="AK137" s="53"/>
      <c r="AL137" s="53"/>
      <c r="AM137" s="38">
        <f t="shared" ref="AM137" si="80">SUM(AF137:AL137)</f>
        <v>0</v>
      </c>
      <c r="AN137" s="53"/>
      <c r="AO137" s="53"/>
      <c r="AP137" s="53"/>
      <c r="AQ137" s="53"/>
      <c r="AR137" s="38">
        <f t="shared" ref="AR137" si="81">SUM(AN137:AQ137)</f>
        <v>0</v>
      </c>
      <c r="AS137" s="53"/>
      <c r="AT137" s="53"/>
      <c r="AU137" s="53"/>
      <c r="AV137" s="53"/>
      <c r="AW137" s="53"/>
      <c r="AX137" s="53"/>
      <c r="AY137" s="53"/>
      <c r="AZ137" s="53"/>
      <c r="BA137" s="38"/>
      <c r="BB137" s="34"/>
      <c r="BC137" s="52"/>
      <c r="BD137" s="52"/>
      <c r="BE137" s="52"/>
      <c r="BF137" s="52"/>
    </row>
    <row r="138" spans="1:58" s="28" customFormat="1" ht="12.95" customHeight="1">
      <c r="A138" s="57"/>
      <c r="B138" s="58"/>
      <c r="C138" s="407">
        <f>SUM(C6:C136)</f>
        <v>1392.907123740458</v>
      </c>
      <c r="D138" s="58"/>
      <c r="E138" s="59"/>
      <c r="F138" s="59"/>
      <c r="G138" s="60"/>
      <c r="H138" s="60"/>
      <c r="I138" s="61">
        <v>0.85</v>
      </c>
      <c r="J138" s="83"/>
      <c r="K138" s="85">
        <f>SUM(K6:K136)</f>
        <v>1419.1710753707098</v>
      </c>
      <c r="L138" s="63"/>
      <c r="M138" s="63"/>
      <c r="N138" s="64"/>
      <c r="O138" s="65">
        <f>P138/(Q138-R138-S138)</f>
        <v>259.34705783954723</v>
      </c>
      <c r="P138" s="62">
        <f>SUM(P6:P136)</f>
        <v>10454279.90151215</v>
      </c>
      <c r="Q138" s="332">
        <f>SUM(Q6:Q137)</f>
        <v>44562</v>
      </c>
      <c r="R138" s="62">
        <f t="shared" ref="R138:W138" si="82">SUM(R6:R136)</f>
        <v>1905</v>
      </c>
      <c r="S138" s="62">
        <f t="shared" si="82"/>
        <v>2347</v>
      </c>
      <c r="T138" s="62">
        <f t="shared" si="82"/>
        <v>1392.907123740458</v>
      </c>
      <c r="U138" s="62">
        <f t="shared" si="82"/>
        <v>1265.079082849441</v>
      </c>
      <c r="V138" s="356">
        <f t="shared" si="82"/>
        <v>134.75311988590173</v>
      </c>
      <c r="W138" s="438">
        <f t="shared" si="82"/>
        <v>1253.7050000000004</v>
      </c>
      <c r="X138" s="487">
        <f>W138/K138</f>
        <v>0.88340653340367226</v>
      </c>
      <c r="Y138" s="357">
        <f>SUM(Y6:Y136)</f>
        <v>4.3100000000000005</v>
      </c>
      <c r="Z138" s="438">
        <f>SUM(Z6:Z136)</f>
        <v>1.5791230812832167</v>
      </c>
      <c r="AA138" s="62">
        <f>SUM(AA6:AA136)</f>
        <v>5.4849597681579727</v>
      </c>
      <c r="AB138" s="62">
        <f>SUM(AB6:AB136)</f>
        <v>-0.6360503072854391</v>
      </c>
      <c r="AC138" s="62">
        <f>SUM(AC6:AC136)</f>
        <v>19.974922942652064</v>
      </c>
      <c r="AD138" s="38">
        <f>SUM(AD6:AD137)</f>
        <v>4252</v>
      </c>
      <c r="AE138" s="66"/>
      <c r="AF138" s="62">
        <f t="shared" ref="AF138:BF138" si="83">SUM(AF6:AF137)</f>
        <v>745</v>
      </c>
      <c r="AG138" s="62">
        <f t="shared" si="83"/>
        <v>291</v>
      </c>
      <c r="AH138" s="62">
        <f t="shared" si="83"/>
        <v>1293</v>
      </c>
      <c r="AI138" s="62">
        <f t="shared" si="83"/>
        <v>0</v>
      </c>
      <c r="AJ138" s="62">
        <f t="shared" si="83"/>
        <v>0</v>
      </c>
      <c r="AK138" s="62">
        <f t="shared" si="83"/>
        <v>0</v>
      </c>
      <c r="AL138" s="62">
        <f t="shared" si="83"/>
        <v>0</v>
      </c>
      <c r="AM138" s="62">
        <f t="shared" si="83"/>
        <v>2347</v>
      </c>
      <c r="AN138" s="53">
        <f t="shared" si="83"/>
        <v>0</v>
      </c>
      <c r="AO138" s="53">
        <f t="shared" si="83"/>
        <v>0</v>
      </c>
      <c r="AP138" s="53">
        <f t="shared" si="83"/>
        <v>700</v>
      </c>
      <c r="AQ138" s="53">
        <f t="shared" si="83"/>
        <v>0</v>
      </c>
      <c r="AR138" s="62">
        <f t="shared" si="83"/>
        <v>700</v>
      </c>
      <c r="AS138" s="62">
        <f t="shared" si="83"/>
        <v>1000</v>
      </c>
      <c r="AT138" s="62">
        <f t="shared" si="83"/>
        <v>0</v>
      </c>
      <c r="AU138" s="62">
        <f t="shared" si="83"/>
        <v>0</v>
      </c>
      <c r="AV138" s="62">
        <f t="shared" si="83"/>
        <v>18</v>
      </c>
      <c r="AW138" s="62">
        <f t="shared" si="83"/>
        <v>205</v>
      </c>
      <c r="AX138" s="62">
        <f t="shared" si="83"/>
        <v>0</v>
      </c>
      <c r="AY138" s="62">
        <f t="shared" si="83"/>
        <v>0</v>
      </c>
      <c r="AZ138" s="62">
        <f t="shared" si="83"/>
        <v>0</v>
      </c>
      <c r="BA138" s="62">
        <f t="shared" si="83"/>
        <v>1905</v>
      </c>
      <c r="BB138" s="53">
        <f t="shared" si="83"/>
        <v>248</v>
      </c>
      <c r="BC138" s="53">
        <f t="shared" si="83"/>
        <v>199</v>
      </c>
      <c r="BD138" s="53">
        <f t="shared" si="83"/>
        <v>15</v>
      </c>
      <c r="BE138" s="53">
        <f t="shared" si="83"/>
        <v>0</v>
      </c>
      <c r="BF138" s="53">
        <f t="shared" si="83"/>
        <v>9</v>
      </c>
    </row>
    <row r="139" spans="1:58" s="28" customFormat="1" ht="12.95" customHeight="1">
      <c r="A139" s="57"/>
      <c r="B139" s="58"/>
      <c r="C139" s="58"/>
      <c r="D139" s="58"/>
      <c r="E139" s="59"/>
      <c r="F139" s="59"/>
      <c r="G139" s="60"/>
      <c r="H139" s="60"/>
      <c r="I139" s="60"/>
      <c r="J139" s="86"/>
      <c r="K139" s="86"/>
      <c r="L139" s="63"/>
      <c r="M139" s="63"/>
      <c r="N139" s="64"/>
      <c r="O139" s="664"/>
      <c r="P139" s="665"/>
      <c r="Q139" s="60">
        <f>31*1440-Q138</f>
        <v>78</v>
      </c>
      <c r="R139" s="67">
        <f>R138/Q138</f>
        <v>4.274942776356537E-2</v>
      </c>
      <c r="S139" s="67">
        <f>S138/Q138</f>
        <v>5.2668192630492348E-2</v>
      </c>
      <c r="T139" s="343"/>
      <c r="U139" s="343"/>
      <c r="V139" s="345">
        <f>V138/K138</f>
        <v>9.4951991500180549E-2</v>
      </c>
      <c r="W139" s="361" t="s">
        <v>168</v>
      </c>
      <c r="X139" s="488">
        <v>0.85</v>
      </c>
      <c r="Y139" s="358">
        <f>Y138/K138</f>
        <v>3.0369841062848329E-3</v>
      </c>
      <c r="Z139" s="68">
        <f>Z138/K138</f>
        <v>1.1127080509801997E-3</v>
      </c>
      <c r="AA139" s="68">
        <f>AA138/K138</f>
        <v>3.8649038606745948E-3</v>
      </c>
      <c r="AB139" s="68">
        <f>AB138/K138</f>
        <v>-4.4818437912377319E-4</v>
      </c>
      <c r="AC139" s="489">
        <f>AC138/K138</f>
        <v>1.4075063457331456E-2</v>
      </c>
      <c r="AD139" s="346"/>
      <c r="AE139" s="40"/>
      <c r="AF139" s="68">
        <f>AF138/$AD$138*$V$139</f>
        <v>1.6636696535191561E-2</v>
      </c>
      <c r="AG139" s="68">
        <f>AG138/$AD$138*$V$139</f>
        <v>6.4983606600546896E-3</v>
      </c>
      <c r="AH139" s="68">
        <f>AH138/$AD$138*$V$139</f>
        <v>2.8874159221480115E-2</v>
      </c>
      <c r="AI139" s="68">
        <f>AI138/$AD$138*$V$139</f>
        <v>0</v>
      </c>
      <c r="AJ139" s="68">
        <f t="shared" ref="AJ139:BA139" si="84">AJ138/$AD$138*$V$139</f>
        <v>0</v>
      </c>
      <c r="AK139" s="68">
        <f t="shared" si="84"/>
        <v>0</v>
      </c>
      <c r="AL139" s="68">
        <f t="shared" si="84"/>
        <v>0</v>
      </c>
      <c r="AM139" s="68">
        <f t="shared" si="84"/>
        <v>5.2411176869925628E-2</v>
      </c>
      <c r="AN139" s="68">
        <f t="shared" si="84"/>
        <v>0</v>
      </c>
      <c r="AO139" s="68">
        <f t="shared" si="84"/>
        <v>0</v>
      </c>
      <c r="AP139" s="68">
        <f t="shared" si="84"/>
        <v>1.5631795402193411E-2</v>
      </c>
      <c r="AQ139" s="68">
        <f t="shared" si="84"/>
        <v>0</v>
      </c>
      <c r="AR139" s="68">
        <f t="shared" si="84"/>
        <v>1.5631795402193411E-2</v>
      </c>
      <c r="AS139" s="68">
        <f t="shared" si="84"/>
        <v>2.2331136288847728E-2</v>
      </c>
      <c r="AT139" s="68">
        <f t="shared" si="84"/>
        <v>0</v>
      </c>
      <c r="AU139" s="68">
        <f t="shared" si="84"/>
        <v>0</v>
      </c>
      <c r="AV139" s="68">
        <f>AV138/$AD$138*$V$139</f>
        <v>4.0196045319925913E-4</v>
      </c>
      <c r="AW139" s="68">
        <f t="shared" ref="AW139:AZ139" si="85">AW138/$AD$138*$V$139</f>
        <v>4.577882939213785E-3</v>
      </c>
      <c r="AX139" s="68">
        <f t="shared" si="85"/>
        <v>0</v>
      </c>
      <c r="AY139" s="68">
        <f t="shared" si="85"/>
        <v>0</v>
      </c>
      <c r="AZ139" s="68">
        <f t="shared" si="85"/>
        <v>0</v>
      </c>
      <c r="BA139" s="68">
        <f t="shared" si="84"/>
        <v>4.2540814630254928E-2</v>
      </c>
      <c r="BB139" s="35" t="s">
        <v>167</v>
      </c>
      <c r="BC139" s="35" t="s">
        <v>167</v>
      </c>
      <c r="BD139" s="35" t="s">
        <v>393</v>
      </c>
      <c r="BE139" s="35" t="s">
        <v>393</v>
      </c>
      <c r="BF139" s="35" t="s">
        <v>393</v>
      </c>
    </row>
    <row r="140" spans="1:58" ht="12.95" customHeight="1">
      <c r="A140" s="57"/>
      <c r="B140" s="58"/>
      <c r="C140" s="58"/>
      <c r="D140" s="58"/>
      <c r="E140" s="59"/>
      <c r="F140" s="59"/>
      <c r="G140" s="35"/>
      <c r="H140" s="35"/>
      <c r="I140" s="35"/>
      <c r="J140" s="83"/>
      <c r="K140" s="83"/>
      <c r="L140" s="36"/>
      <c r="M140" s="36"/>
      <c r="N140" s="34"/>
      <c r="O140" s="37"/>
      <c r="P140" s="29"/>
      <c r="Q140" s="35"/>
      <c r="R140" s="38">
        <f>R138-(BA138)</f>
        <v>0</v>
      </c>
      <c r="S140" s="38">
        <f>S138-SUM(AF138:AL138)-AV138</f>
        <v>0</v>
      </c>
      <c r="T140" s="34"/>
      <c r="U140" s="34"/>
      <c r="V140" s="34"/>
      <c r="W140" s="359"/>
      <c r="X140" s="360"/>
      <c r="Y140" s="69">
        <f>+Y138-(SUM(RBP!AG3:AG4))</f>
        <v>0</v>
      </c>
      <c r="Z140" s="38"/>
      <c r="AA140" s="34"/>
      <c r="AB140" s="34"/>
      <c r="AC140" s="34"/>
      <c r="AD140" s="34"/>
      <c r="AE140" s="40"/>
      <c r="AF140" s="333"/>
      <c r="AG140" s="333"/>
      <c r="AH140" s="333"/>
      <c r="AI140" s="333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497">
        <f>BB138/($Q$138/1440)/2</f>
        <v>4.0070014810825372</v>
      </c>
      <c r="BC140" s="497">
        <f>BC138/($Q$138/1440)/2</f>
        <v>3.2152955432880033</v>
      </c>
      <c r="BD140" s="497">
        <f>BD138/($Q$138/1440)</f>
        <v>0.48471792109869394</v>
      </c>
      <c r="BE140" s="497">
        <f>BE138/($Q$138/1440)</f>
        <v>0</v>
      </c>
      <c r="BF140" s="497">
        <f>BF138/($Q$138/1440)</f>
        <v>0.29083075265921637</v>
      </c>
    </row>
    <row r="141" spans="1:58">
      <c r="A141" s="70"/>
      <c r="B141" s="71"/>
      <c r="C141" s="71"/>
      <c r="D141" s="71"/>
      <c r="E141" s="72"/>
      <c r="F141" s="72"/>
      <c r="G141" s="73"/>
      <c r="H141" s="73"/>
      <c r="I141" s="73"/>
      <c r="J141" s="87"/>
      <c r="K141" s="87"/>
      <c r="O141" s="74"/>
      <c r="P141" s="75"/>
      <c r="Q141" s="73"/>
      <c r="R141" s="54"/>
      <c r="S141" s="54"/>
      <c r="U141" s="76"/>
      <c r="V141" s="76"/>
      <c r="W141" s="77" t="s">
        <v>119</v>
      </c>
      <c r="X141" s="490">
        <f>W138/U138</f>
        <v>0.99100919222866146</v>
      </c>
      <c r="Y141" s="490"/>
      <c r="Z141" s="54"/>
      <c r="AD141" s="84"/>
      <c r="AE141" s="79"/>
      <c r="AF141" s="80"/>
      <c r="AG141" s="80"/>
      <c r="AH141" s="80"/>
      <c r="AI141" s="80"/>
      <c r="AJ141" s="80"/>
      <c r="AK141" s="80"/>
      <c r="AL141" s="80"/>
      <c r="AM141" s="80"/>
      <c r="AN141" s="78"/>
      <c r="AO141" s="78"/>
      <c r="AP141" s="78"/>
      <c r="AQ141" s="78"/>
      <c r="AR141" s="78"/>
      <c r="AS141" s="80"/>
      <c r="AT141" s="80"/>
      <c r="AU141" s="80"/>
      <c r="AV141" s="80"/>
      <c r="AW141" s="80"/>
      <c r="AX141" s="80"/>
      <c r="AY141" s="80"/>
      <c r="AZ141" s="80"/>
      <c r="BA141" s="78"/>
      <c r="BB141" s="28"/>
      <c r="BC141" s="78"/>
      <c r="BD141" s="78"/>
      <c r="BE141" s="28"/>
      <c r="BF141" s="78"/>
    </row>
    <row r="142" spans="1:58">
      <c r="A142" s="70"/>
      <c r="B142" s="71"/>
      <c r="C142" s="71"/>
      <c r="D142" s="71"/>
      <c r="E142" s="72"/>
      <c r="F142" s="72"/>
      <c r="G142" s="73"/>
      <c r="H142" s="73"/>
      <c r="I142" s="73"/>
      <c r="J142" s="87"/>
      <c r="K142" s="87"/>
      <c r="O142" s="74"/>
      <c r="P142" s="75"/>
      <c r="Q142" s="73"/>
      <c r="R142" s="54"/>
      <c r="S142" s="54"/>
      <c r="U142" s="76"/>
      <c r="V142" s="76"/>
      <c r="W142" s="77"/>
      <c r="X142" s="78"/>
      <c r="Y142" s="78"/>
      <c r="Z142" s="54"/>
      <c r="AA142" s="90"/>
      <c r="AB142" s="90"/>
      <c r="AD142" s="84"/>
      <c r="AE142" s="79"/>
      <c r="AF142" s="80"/>
      <c r="AG142" s="80"/>
      <c r="AH142" s="80"/>
      <c r="AI142" s="80"/>
      <c r="AJ142" s="80"/>
      <c r="AK142" s="80"/>
      <c r="AL142" s="80"/>
      <c r="AM142" s="80"/>
      <c r="AN142" s="80"/>
      <c r="AO142" s="78"/>
      <c r="AP142" s="78"/>
      <c r="AQ142" s="78"/>
      <c r="AR142" s="80"/>
      <c r="AS142" s="78"/>
      <c r="AT142" s="78"/>
      <c r="AU142" s="78"/>
      <c r="AV142" s="78"/>
      <c r="AW142" s="78"/>
      <c r="AX142" s="78"/>
      <c r="AY142" s="527"/>
      <c r="AZ142" s="78"/>
      <c r="BA142" s="78"/>
      <c r="BB142" s="28"/>
      <c r="BC142" s="78"/>
      <c r="BD142" s="78"/>
      <c r="BE142" s="28"/>
      <c r="BF142" s="78"/>
    </row>
    <row r="143" spans="1:58">
      <c r="A143" s="70"/>
      <c r="B143" s="71"/>
      <c r="C143" s="71"/>
      <c r="D143" s="71"/>
      <c r="E143" s="72"/>
      <c r="F143" s="72"/>
      <c r="G143" s="73"/>
      <c r="H143" s="73"/>
      <c r="I143" s="73"/>
      <c r="J143" s="87"/>
      <c r="K143" s="87"/>
      <c r="O143" s="74"/>
      <c r="P143" s="75"/>
      <c r="Q143" s="73"/>
      <c r="R143" s="344"/>
      <c r="S143" s="54"/>
      <c r="U143" s="76"/>
      <c r="V143" s="76"/>
      <c r="W143" s="77" t="s">
        <v>143</v>
      </c>
      <c r="X143" s="333">
        <f>+W138+Y138</f>
        <v>1258.0150000000003</v>
      </c>
      <c r="Y143" s="78"/>
      <c r="Z143" s="54"/>
      <c r="AD143" s="84"/>
      <c r="AE143" s="79"/>
      <c r="AF143" s="84"/>
      <c r="AG143" s="84"/>
      <c r="AH143" s="84"/>
      <c r="AI143" s="84"/>
      <c r="AJ143" s="78"/>
      <c r="AK143" s="78"/>
      <c r="AL143" s="78"/>
      <c r="AM143" s="80"/>
      <c r="AN143" s="78"/>
      <c r="AO143" s="78"/>
      <c r="AP143" s="78"/>
      <c r="AQ143" s="78"/>
      <c r="AR143" s="80"/>
      <c r="AS143" s="78"/>
      <c r="AT143" s="78"/>
      <c r="AU143" s="78"/>
      <c r="AV143" s="78"/>
      <c r="AW143" s="78"/>
      <c r="AX143" s="78"/>
      <c r="AY143" s="527">
        <f>+Efficiency1!AT138+Efficiency1!AU138+Efficiency1!AV138+Efficiency1!AW138+Efficiency1!AX138+Efficiency1!AY138+Efficiency1!AZ138</f>
        <v>301</v>
      </c>
      <c r="AZ143" s="527">
        <f>+AT138+AU138+AV138+AW138+AX138+AY138+AZ138</f>
        <v>223</v>
      </c>
      <c r="BA143" s="78"/>
      <c r="BB143" s="28"/>
      <c r="BC143" s="78"/>
      <c r="BD143" s="78"/>
      <c r="BE143" s="28"/>
      <c r="BF143" s="78"/>
    </row>
    <row r="144" spans="1:58">
      <c r="A144" s="70"/>
      <c r="C144" s="71" t="s">
        <v>297</v>
      </c>
      <c r="D144" s="71"/>
      <c r="E144" s="72"/>
      <c r="F144" s="72"/>
      <c r="G144" s="73"/>
      <c r="H144" s="73"/>
      <c r="I144" s="73"/>
      <c r="J144" s="87"/>
      <c r="K144" s="87"/>
      <c r="O144" s="74"/>
      <c r="P144" s="75"/>
      <c r="Q144" s="73"/>
      <c r="R144" s="344"/>
      <c r="S144" s="54"/>
      <c r="U144" s="76"/>
      <c r="V144" s="354"/>
      <c r="W144" s="355"/>
      <c r="X144" s="349"/>
      <c r="Y144" s="355"/>
      <c r="Z144" s="349"/>
      <c r="AD144" s="342"/>
      <c r="AE144" s="79"/>
      <c r="AF144" s="342"/>
      <c r="AG144" s="342"/>
      <c r="AH144" s="342"/>
      <c r="AI144" s="342"/>
      <c r="AJ144" s="78"/>
      <c r="AK144" s="78"/>
      <c r="AL144" s="78"/>
      <c r="AM144" s="78"/>
      <c r="AN144" s="78"/>
      <c r="AO144" s="78"/>
      <c r="AP144" s="78"/>
      <c r="AQ144" s="78"/>
      <c r="AR144" s="78"/>
      <c r="AT144" s="78"/>
      <c r="AU144" s="78"/>
      <c r="AV144" s="78"/>
      <c r="AW144" s="78"/>
      <c r="AX144" s="78" t="s">
        <v>426</v>
      </c>
      <c r="AY144" s="527">
        <v>223</v>
      </c>
      <c r="AZ144" s="527"/>
      <c r="BA144" s="78"/>
      <c r="BB144" s="28"/>
      <c r="BC144" s="78"/>
      <c r="BD144" s="78"/>
      <c r="BE144" s="28"/>
      <c r="BF144" s="78"/>
    </row>
    <row r="145" spans="1:57">
      <c r="A145" s="70"/>
      <c r="B145" s="71"/>
      <c r="C145" s="71" t="s">
        <v>298</v>
      </c>
      <c r="D145" s="71"/>
      <c r="E145" s="72"/>
      <c r="F145" s="72"/>
      <c r="G145" s="73"/>
      <c r="H145" s="73"/>
      <c r="I145" s="73"/>
      <c r="J145" s="87"/>
      <c r="K145" s="87"/>
      <c r="O145" s="74"/>
      <c r="P145" s="75"/>
      <c r="Q145" s="73"/>
      <c r="R145" s="344"/>
      <c r="S145" s="54"/>
      <c r="V145" s="347"/>
      <c r="W145" s="348" t="s">
        <v>304</v>
      </c>
      <c r="X145" s="347"/>
      <c r="Y145" s="347"/>
      <c r="Z145" s="349"/>
      <c r="AE145" s="79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S145" s="54"/>
      <c r="AT145" s="54"/>
      <c r="AU145" s="54"/>
      <c r="AV145" s="78"/>
      <c r="AW145" s="54"/>
      <c r="AX145" s="78" t="s">
        <v>427</v>
      </c>
      <c r="AY145" s="571">
        <f>+AY143-AY144</f>
        <v>78</v>
      </c>
      <c r="AZ145" s="571">
        <f>+AZ143-AY144</f>
        <v>0</v>
      </c>
      <c r="BA145" s="54"/>
      <c r="BB145" s="28"/>
      <c r="BE145" s="28"/>
    </row>
    <row r="146" spans="1:57">
      <c r="A146" s="70"/>
      <c r="B146" s="71"/>
      <c r="C146" s="71"/>
      <c r="D146" s="71"/>
      <c r="E146" s="72"/>
      <c r="F146" s="72"/>
      <c r="G146" s="73"/>
      <c r="H146" s="73"/>
      <c r="I146" s="73"/>
      <c r="J146" s="87"/>
      <c r="K146" s="87"/>
      <c r="O146" s="74"/>
      <c r="P146" s="75"/>
      <c r="Q146" s="73"/>
      <c r="R146" s="344"/>
      <c r="S146" s="54"/>
      <c r="V146" s="347"/>
      <c r="W146" s="350" t="s">
        <v>293</v>
      </c>
      <c r="X146" s="498">
        <f>Y139</f>
        <v>3.0369841062848329E-3</v>
      </c>
      <c r="Y146" s="351"/>
      <c r="Z146" s="349"/>
      <c r="AE146" s="79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S146" s="54"/>
      <c r="AT146" s="54"/>
      <c r="AU146" s="54"/>
      <c r="AV146" s="54"/>
      <c r="AW146" s="54"/>
      <c r="AX146" s="54"/>
      <c r="AY146" s="571"/>
      <c r="AZ146" s="571">
        <f>+AY145-Q139</f>
        <v>0</v>
      </c>
      <c r="BA146" s="54"/>
      <c r="BB146" s="28"/>
      <c r="BE146" s="28"/>
    </row>
    <row r="147" spans="1:57">
      <c r="R147" s="90"/>
      <c r="V147" s="347"/>
      <c r="W147" s="350" t="s">
        <v>147</v>
      </c>
      <c r="X147" s="353">
        <f>Z139</f>
        <v>1.1127080509801997E-3</v>
      </c>
      <c r="Y147" s="352"/>
      <c r="Z147" s="347"/>
      <c r="AY147" s="572"/>
      <c r="AZ147" s="572"/>
    </row>
    <row r="148" spans="1:57">
      <c r="F148" s="30"/>
      <c r="J148" s="30"/>
      <c r="K148" s="30"/>
      <c r="L148" s="30"/>
      <c r="M148" s="30"/>
      <c r="Q148" s="30"/>
      <c r="R148" s="90"/>
      <c r="V148" s="347"/>
      <c r="W148" s="350" t="s">
        <v>148</v>
      </c>
      <c r="X148" s="353">
        <f>AC139</f>
        <v>1.4075063457331456E-2</v>
      </c>
      <c r="Y148" s="353"/>
      <c r="Z148" s="347"/>
      <c r="AY148" s="572"/>
      <c r="AZ148" s="572"/>
    </row>
    <row r="149" spans="1:57">
      <c r="F149" s="30"/>
      <c r="J149" s="30"/>
      <c r="K149" s="30"/>
      <c r="L149" s="30"/>
      <c r="M149" s="30"/>
      <c r="Q149" s="30"/>
      <c r="R149" s="90"/>
      <c r="V149" s="347"/>
      <c r="W149" s="350" t="s">
        <v>149</v>
      </c>
      <c r="X149" s="353">
        <f>AA139</f>
        <v>3.8649038606745948E-3</v>
      </c>
      <c r="Y149" s="352"/>
      <c r="Z149" s="347"/>
    </row>
    <row r="150" spans="1:57">
      <c r="F150" s="30"/>
      <c r="J150" s="30"/>
      <c r="K150" s="30"/>
      <c r="L150" s="30"/>
      <c r="M150" s="30"/>
      <c r="Q150" s="30"/>
      <c r="V150" s="347"/>
      <c r="W150" s="350" t="s">
        <v>165</v>
      </c>
      <c r="X150" s="353">
        <f>AB139</f>
        <v>-4.4818437912377319E-4</v>
      </c>
      <c r="Y150" s="352" t="s">
        <v>163</v>
      </c>
      <c r="Z150" s="347"/>
    </row>
    <row r="151" spans="1:57">
      <c r="F151" s="30"/>
      <c r="J151" s="30"/>
      <c r="K151" s="30"/>
      <c r="L151" s="30"/>
      <c r="M151" s="30"/>
      <c r="Q151" s="30"/>
      <c r="V151" s="347"/>
      <c r="W151" s="350" t="s">
        <v>221</v>
      </c>
      <c r="X151" s="353">
        <f>AF139</f>
        <v>1.6636696535191561E-2</v>
      </c>
      <c r="Y151" s="352"/>
      <c r="Z151" s="347"/>
    </row>
    <row r="152" spans="1:57">
      <c r="F152" s="30"/>
      <c r="J152" s="30"/>
      <c r="K152" s="30"/>
      <c r="L152" s="30"/>
      <c r="M152" s="30"/>
      <c r="Q152" s="30"/>
      <c r="V152" s="347"/>
      <c r="W152" s="350" t="s">
        <v>222</v>
      </c>
      <c r="X152" s="353">
        <f>+AG139</f>
        <v>6.4983606600546896E-3</v>
      </c>
      <c r="Y152" s="352"/>
      <c r="Z152" s="347"/>
    </row>
    <row r="153" spans="1:57">
      <c r="F153" s="30"/>
      <c r="J153" s="30"/>
      <c r="K153" s="30"/>
      <c r="L153" s="30"/>
      <c r="M153" s="30"/>
      <c r="Q153" s="30"/>
      <c r="V153" s="347"/>
      <c r="W153" s="350" t="s">
        <v>299</v>
      </c>
      <c r="X153" s="353">
        <f>+AH139</f>
        <v>2.8874159221480115E-2</v>
      </c>
      <c r="Y153" s="352"/>
      <c r="Z153" s="347"/>
    </row>
    <row r="154" spans="1:57">
      <c r="F154" s="30"/>
      <c r="J154" s="30"/>
      <c r="K154" s="30"/>
      <c r="L154" s="30"/>
      <c r="M154" s="30"/>
      <c r="Q154" s="30"/>
      <c r="V154" s="347"/>
      <c r="W154" s="350" t="s">
        <v>223</v>
      </c>
      <c r="X154" s="353">
        <f>+AI139</f>
        <v>0</v>
      </c>
      <c r="Y154" s="352"/>
      <c r="Z154" s="347"/>
    </row>
    <row r="155" spans="1:57">
      <c r="F155" s="30"/>
      <c r="J155" s="30"/>
      <c r="K155" s="30"/>
      <c r="L155" s="30"/>
      <c r="M155" s="30"/>
      <c r="Q155" s="30"/>
      <c r="V155" s="347"/>
      <c r="W155" s="350" t="s">
        <v>156</v>
      </c>
      <c r="X155" s="353">
        <f>+AJ139</f>
        <v>0</v>
      </c>
      <c r="Y155" s="352"/>
      <c r="Z155" s="347"/>
    </row>
    <row r="156" spans="1:57">
      <c r="F156" s="30"/>
      <c r="J156" s="30"/>
      <c r="K156" s="30"/>
      <c r="L156" s="30"/>
      <c r="M156" s="30"/>
      <c r="Q156" s="30"/>
      <c r="V156" s="347"/>
      <c r="W156" s="350" t="s">
        <v>158</v>
      </c>
      <c r="X156" s="353">
        <f>+AK139</f>
        <v>0</v>
      </c>
      <c r="Y156" s="352"/>
      <c r="Z156" s="347"/>
    </row>
    <row r="157" spans="1:57">
      <c r="F157" s="30"/>
      <c r="J157" s="30"/>
      <c r="K157" s="30"/>
      <c r="L157" s="30"/>
      <c r="M157" s="30"/>
      <c r="Q157" s="30"/>
      <c r="V157" s="347"/>
      <c r="W157" s="350" t="s">
        <v>157</v>
      </c>
      <c r="X157" s="353">
        <f>+AL139</f>
        <v>0</v>
      </c>
      <c r="Y157" s="352"/>
      <c r="Z157" s="347"/>
    </row>
    <row r="158" spans="1:57">
      <c r="F158" s="30"/>
      <c r="J158" s="30"/>
      <c r="K158" s="30"/>
      <c r="L158" s="30"/>
      <c r="M158" s="30"/>
      <c r="Q158" s="30"/>
      <c r="V158" s="347"/>
      <c r="W158" s="350" t="s">
        <v>150</v>
      </c>
      <c r="X158" s="353">
        <f>+AN139</f>
        <v>0</v>
      </c>
      <c r="Y158" s="352"/>
      <c r="Z158" s="347"/>
    </row>
    <row r="159" spans="1:57">
      <c r="F159" s="30"/>
      <c r="J159" s="30"/>
      <c r="K159" s="30"/>
      <c r="L159" s="30"/>
      <c r="M159" s="30"/>
      <c r="Q159" s="30"/>
      <c r="V159" s="347"/>
      <c r="W159" s="350" t="s">
        <v>160</v>
      </c>
      <c r="X159" s="353">
        <f>+AO139</f>
        <v>0</v>
      </c>
      <c r="Y159" s="352"/>
      <c r="Z159" s="347"/>
    </row>
    <row r="160" spans="1:57">
      <c r="F160" s="30"/>
      <c r="J160" s="30"/>
      <c r="K160" s="30"/>
      <c r="L160" s="30"/>
      <c r="M160" s="30"/>
      <c r="Q160" s="30"/>
      <c r="V160" s="347"/>
      <c r="W160" s="350" t="s">
        <v>151</v>
      </c>
      <c r="X160" s="353">
        <f>+AP139</f>
        <v>1.5631795402193411E-2</v>
      </c>
      <c r="Y160" s="352"/>
      <c r="Z160" s="347"/>
    </row>
    <row r="161" spans="6:26">
      <c r="F161" s="30"/>
      <c r="J161" s="30"/>
      <c r="K161" s="30"/>
      <c r="L161" s="30"/>
      <c r="M161" s="30"/>
      <c r="Q161" s="30"/>
      <c r="V161" s="347"/>
      <c r="W161" s="350" t="s">
        <v>159</v>
      </c>
      <c r="X161" s="353">
        <f>+AQ139</f>
        <v>0</v>
      </c>
      <c r="Y161" s="352"/>
      <c r="Z161" s="347"/>
    </row>
    <row r="162" spans="6:26">
      <c r="F162" s="30"/>
      <c r="J162" s="30"/>
      <c r="K162" s="30"/>
      <c r="L162" s="30"/>
      <c r="M162" s="30"/>
      <c r="Q162" s="30"/>
      <c r="V162" s="347"/>
      <c r="W162" s="350" t="s">
        <v>162</v>
      </c>
      <c r="X162" s="353">
        <f>+AS139</f>
        <v>2.2331136288847728E-2</v>
      </c>
      <c r="Y162" s="352"/>
      <c r="Z162" s="347"/>
    </row>
    <row r="163" spans="6:26">
      <c r="F163" s="30"/>
      <c r="J163" s="30"/>
      <c r="K163" s="30"/>
      <c r="L163" s="30"/>
      <c r="M163" s="30"/>
      <c r="Q163" s="30"/>
      <c r="V163" s="347"/>
      <c r="W163" s="350" t="s">
        <v>300</v>
      </c>
      <c r="X163" s="353">
        <f>+AT139</f>
        <v>0</v>
      </c>
      <c r="Y163" s="352"/>
      <c r="Z163" s="347"/>
    </row>
    <row r="164" spans="6:26">
      <c r="F164" s="30"/>
      <c r="J164" s="30"/>
      <c r="K164" s="30"/>
      <c r="L164" s="30"/>
      <c r="M164" s="30"/>
      <c r="Q164" s="30"/>
      <c r="V164" s="347"/>
      <c r="W164" s="350" t="s">
        <v>237</v>
      </c>
      <c r="X164" s="353">
        <f>+AU139</f>
        <v>0</v>
      </c>
      <c r="Y164" s="352"/>
      <c r="Z164" s="347"/>
    </row>
    <row r="165" spans="6:26">
      <c r="F165" s="30"/>
      <c r="J165" s="30"/>
      <c r="K165" s="30"/>
      <c r="L165" s="30"/>
      <c r="M165" s="30"/>
      <c r="Q165" s="30"/>
      <c r="V165" s="347"/>
      <c r="W165" s="350" t="s">
        <v>306</v>
      </c>
      <c r="X165" s="353">
        <f>+AW139</f>
        <v>4.577882939213785E-3</v>
      </c>
      <c r="Y165" s="352"/>
      <c r="Z165" s="347"/>
    </row>
    <row r="166" spans="6:26">
      <c r="F166" s="30"/>
      <c r="J166" s="30"/>
      <c r="K166" s="30"/>
      <c r="L166" s="30"/>
      <c r="M166" s="30"/>
      <c r="Q166" s="30"/>
      <c r="V166" s="347"/>
      <c r="W166" s="350" t="s">
        <v>307</v>
      </c>
      <c r="X166" s="353">
        <f>+AV139</f>
        <v>4.0196045319925913E-4</v>
      </c>
      <c r="Y166" s="352"/>
      <c r="Z166" s="347"/>
    </row>
    <row r="167" spans="6:26">
      <c r="F167" s="30"/>
      <c r="J167" s="30"/>
      <c r="K167" s="30"/>
      <c r="L167" s="30"/>
      <c r="M167" s="30"/>
      <c r="Q167" s="30"/>
      <c r="V167" s="347"/>
      <c r="W167" s="347" t="s">
        <v>161</v>
      </c>
      <c r="X167" s="353">
        <f>+AX139+AY139</f>
        <v>0</v>
      </c>
      <c r="Y167" s="353"/>
      <c r="Z167" s="347"/>
    </row>
    <row r="168" spans="6:26">
      <c r="F168" s="30"/>
      <c r="J168" s="30"/>
      <c r="K168" s="30"/>
      <c r="L168" s="30"/>
      <c r="M168" s="30"/>
      <c r="Q168" s="30"/>
      <c r="V168" s="347"/>
      <c r="W168" s="347" t="s">
        <v>305</v>
      </c>
      <c r="X168" s="353">
        <f>+AZ139</f>
        <v>0</v>
      </c>
      <c r="Y168" s="347"/>
      <c r="Z168" s="347"/>
    </row>
    <row r="169" spans="6:26">
      <c r="F169" s="30"/>
      <c r="J169" s="30"/>
      <c r="K169" s="30"/>
      <c r="L169" s="30"/>
      <c r="M169" s="30"/>
      <c r="Q169" s="30"/>
      <c r="V169" s="347"/>
      <c r="W169" s="347"/>
      <c r="X169" s="511">
        <f>SUM(X146:X168)</f>
        <v>0.11659346659632785</v>
      </c>
      <c r="Y169" s="347"/>
      <c r="Z169" s="347"/>
    </row>
    <row r="172" spans="6:26">
      <c r="F172" s="30"/>
      <c r="J172" s="30"/>
      <c r="K172" s="30"/>
      <c r="L172" s="30"/>
      <c r="M172" s="30"/>
      <c r="Q172" s="30"/>
      <c r="X172" s="90">
        <f>+X169+X138</f>
        <v>1</v>
      </c>
    </row>
    <row r="180" spans="6:17">
      <c r="F180" s="30"/>
      <c r="J180" s="30"/>
      <c r="K180" s="30"/>
      <c r="L180" s="30"/>
      <c r="M180" s="30"/>
      <c r="Q180" s="30"/>
    </row>
    <row r="181" spans="6:17">
      <c r="F181" s="30"/>
      <c r="J181" s="30"/>
      <c r="K181" s="30"/>
      <c r="L181" s="30"/>
      <c r="M181" s="30"/>
      <c r="Q181" s="30"/>
    </row>
    <row r="182" spans="6:17">
      <c r="F182" s="30"/>
      <c r="J182" s="30"/>
      <c r="K182" s="30"/>
      <c r="L182" s="30"/>
      <c r="M182" s="30"/>
      <c r="Q182" s="30"/>
    </row>
    <row r="183" spans="6:17">
      <c r="F183" s="30"/>
      <c r="J183" s="30"/>
      <c r="K183" s="30"/>
      <c r="L183" s="30"/>
      <c r="M183" s="30"/>
      <c r="Q183" s="30"/>
    </row>
    <row r="184" spans="6:17">
      <c r="F184" s="30"/>
      <c r="J184" s="30"/>
      <c r="K184" s="30"/>
      <c r="L184" s="30"/>
      <c r="M184" s="30"/>
      <c r="Q184" s="30"/>
    </row>
    <row r="185" spans="6:17">
      <c r="F185" s="30"/>
      <c r="J185" s="30"/>
      <c r="K185" s="30"/>
      <c r="L185" s="30"/>
      <c r="M185" s="30"/>
      <c r="Q185" s="30"/>
    </row>
    <row r="186" spans="6:17">
      <c r="F186" s="30"/>
      <c r="J186" s="30"/>
      <c r="K186" s="30"/>
      <c r="L186" s="30"/>
      <c r="M186" s="30"/>
      <c r="Q186" s="30"/>
    </row>
    <row r="187" spans="6:17">
      <c r="F187" s="30"/>
      <c r="J187" s="30"/>
      <c r="K187" s="30"/>
      <c r="L187" s="30"/>
      <c r="M187" s="30"/>
      <c r="Q187" s="30"/>
    </row>
    <row r="188" spans="6:17">
      <c r="F188" s="30"/>
      <c r="J188" s="30"/>
      <c r="K188" s="30"/>
      <c r="L188" s="30"/>
      <c r="M188" s="30"/>
      <c r="Q188" s="30"/>
    </row>
    <row r="189" spans="6:17">
      <c r="F189" s="30"/>
      <c r="J189" s="30"/>
      <c r="K189" s="30"/>
      <c r="L189" s="30"/>
      <c r="M189" s="30"/>
      <c r="Q189" s="30"/>
    </row>
    <row r="190" spans="6:17">
      <c r="F190" s="30"/>
      <c r="J190" s="30"/>
      <c r="K190" s="30"/>
      <c r="L190" s="30"/>
      <c r="M190" s="30"/>
      <c r="Q190" s="30"/>
    </row>
    <row r="191" spans="6:17">
      <c r="F191" s="30"/>
      <c r="J191" s="30"/>
      <c r="K191" s="30"/>
      <c r="L191" s="30"/>
      <c r="M191" s="30"/>
      <c r="Q191" s="30"/>
    </row>
    <row r="192" spans="6:17">
      <c r="F192" s="30"/>
      <c r="J192" s="30"/>
      <c r="K192" s="30"/>
      <c r="L192" s="30"/>
      <c r="M192" s="30"/>
      <c r="Q192" s="30"/>
    </row>
    <row r="193" spans="6:17">
      <c r="F193" s="30"/>
      <c r="J193" s="30"/>
      <c r="K193" s="30"/>
      <c r="L193" s="30"/>
      <c r="M193" s="30"/>
      <c r="Q193" s="30"/>
    </row>
    <row r="194" spans="6:17">
      <c r="F194" s="30"/>
      <c r="J194" s="30"/>
      <c r="K194" s="30"/>
      <c r="L194" s="30"/>
      <c r="M194" s="30"/>
      <c r="Q194" s="30"/>
    </row>
    <row r="195" spans="6:17">
      <c r="F195" s="30"/>
      <c r="J195" s="30"/>
      <c r="K195" s="30"/>
      <c r="L195" s="30"/>
      <c r="M195" s="30"/>
      <c r="Q195" s="30"/>
    </row>
    <row r="196" spans="6:17">
      <c r="F196" s="30"/>
      <c r="J196" s="30"/>
      <c r="K196" s="30"/>
      <c r="L196" s="30"/>
      <c r="M196" s="30"/>
      <c r="Q196" s="30"/>
    </row>
    <row r="197" spans="6:17">
      <c r="F197" s="30"/>
      <c r="J197" s="30"/>
      <c r="K197" s="30"/>
      <c r="L197" s="30"/>
      <c r="M197" s="30"/>
      <c r="Q197" s="30"/>
    </row>
    <row r="198" spans="6:17">
      <c r="F198" s="30"/>
      <c r="J198" s="30"/>
      <c r="K198" s="30"/>
      <c r="L198" s="30"/>
      <c r="M198" s="30"/>
      <c r="Q198" s="30"/>
    </row>
    <row r="199" spans="6:17">
      <c r="F199" s="30"/>
      <c r="J199" s="30"/>
      <c r="K199" s="30"/>
      <c r="L199" s="30"/>
      <c r="M199" s="30"/>
      <c r="Q199" s="30"/>
    </row>
    <row r="200" spans="6:17">
      <c r="F200" s="30"/>
      <c r="J200" s="30"/>
      <c r="K200" s="30"/>
      <c r="L200" s="30"/>
      <c r="M200" s="30"/>
      <c r="Q200" s="30"/>
    </row>
    <row r="201" spans="6:17">
      <c r="F201" s="30"/>
      <c r="J201" s="30"/>
      <c r="K201" s="30"/>
      <c r="L201" s="30"/>
      <c r="M201" s="30"/>
      <c r="Q201" s="30"/>
    </row>
    <row r="202" spans="6:17">
      <c r="F202" s="30"/>
      <c r="J202" s="30"/>
      <c r="K202" s="30"/>
      <c r="L202" s="30"/>
      <c r="M202" s="30"/>
      <c r="Q202" s="30"/>
    </row>
    <row r="203" spans="6:17">
      <c r="F203" s="30"/>
      <c r="J203" s="30"/>
      <c r="K203" s="30"/>
      <c r="L203" s="30"/>
      <c r="M203" s="30"/>
      <c r="Q203" s="30"/>
    </row>
    <row r="204" spans="6:17">
      <c r="F204" s="30"/>
      <c r="J204" s="30"/>
      <c r="K204" s="30"/>
      <c r="L204" s="30"/>
      <c r="M204" s="30"/>
      <c r="Q204" s="30"/>
    </row>
    <row r="205" spans="6:17">
      <c r="F205" s="30"/>
      <c r="J205" s="30"/>
      <c r="K205" s="30"/>
      <c r="L205" s="30"/>
      <c r="M205" s="30"/>
      <c r="Q205" s="30"/>
    </row>
    <row r="206" spans="6:17">
      <c r="F206" s="30"/>
      <c r="J206" s="30"/>
      <c r="K206" s="30"/>
      <c r="L206" s="30"/>
      <c r="M206" s="30"/>
      <c r="Q206" s="30"/>
    </row>
    <row r="207" spans="6:17">
      <c r="F207" s="30"/>
      <c r="J207" s="30"/>
      <c r="K207" s="30"/>
      <c r="L207" s="30"/>
      <c r="M207" s="30"/>
      <c r="Q207" s="30"/>
    </row>
    <row r="208" spans="6:17">
      <c r="F208" s="30"/>
      <c r="J208" s="30"/>
      <c r="K208" s="30"/>
      <c r="L208" s="30"/>
      <c r="M208" s="30"/>
      <c r="Q208" s="30"/>
    </row>
    <row r="209" spans="6:17">
      <c r="F209" s="30"/>
      <c r="J209" s="30"/>
      <c r="K209" s="30"/>
      <c r="L209" s="30"/>
      <c r="M209" s="30"/>
      <c r="Q209" s="30"/>
    </row>
    <row r="210" spans="6:17">
      <c r="F210" s="30"/>
      <c r="J210" s="30"/>
      <c r="K210" s="30"/>
      <c r="L210" s="30"/>
      <c r="M210" s="30"/>
      <c r="Q210" s="30"/>
    </row>
    <row r="211" spans="6:17">
      <c r="F211" s="30"/>
      <c r="J211" s="30"/>
      <c r="K211" s="30"/>
      <c r="L211" s="30"/>
      <c r="M211" s="30"/>
      <c r="Q211" s="30"/>
    </row>
    <row r="214" spans="6:17">
      <c r="F214" s="30"/>
      <c r="J214" s="30"/>
      <c r="K214" s="30"/>
      <c r="L214" s="30"/>
      <c r="M214" s="30"/>
      <c r="Q214" s="30"/>
    </row>
  </sheetData>
  <mergeCells count="50">
    <mergeCell ref="X3:X5"/>
    <mergeCell ref="G3:K4"/>
    <mergeCell ref="L3:N4"/>
    <mergeCell ref="O3:O5"/>
    <mergeCell ref="P3:P5"/>
    <mergeCell ref="Q3:Q5"/>
    <mergeCell ref="R3:R5"/>
    <mergeCell ref="T3:T5"/>
    <mergeCell ref="U3:U5"/>
    <mergeCell ref="F3:F5"/>
    <mergeCell ref="A3:A5"/>
    <mergeCell ref="B3:B5"/>
    <mergeCell ref="C3:C5"/>
    <mergeCell ref="D3:D5"/>
    <mergeCell ref="E3:E5"/>
    <mergeCell ref="AZ3:AZ5"/>
    <mergeCell ref="AR4:AR5"/>
    <mergeCell ref="BD3:BD5"/>
    <mergeCell ref="BE3:BE5"/>
    <mergeCell ref="BF3:BF5"/>
    <mergeCell ref="BA3:BA5"/>
    <mergeCell ref="BB3:BB5"/>
    <mergeCell ref="BC3:BC5"/>
    <mergeCell ref="AT3:AU4"/>
    <mergeCell ref="AV3:AW3"/>
    <mergeCell ref="AX3:AY3"/>
    <mergeCell ref="AM3:AM5"/>
    <mergeCell ref="AN3:AR3"/>
    <mergeCell ref="AS3:AS5"/>
    <mergeCell ref="AF4:AH4"/>
    <mergeCell ref="AI4:AI5"/>
    <mergeCell ref="AJ4:AJ5"/>
    <mergeCell ref="AK4:AK5"/>
    <mergeCell ref="AQ4:AQ5"/>
    <mergeCell ref="O139:P139"/>
    <mergeCell ref="AL4:AL5"/>
    <mergeCell ref="AN4:AN5"/>
    <mergeCell ref="AO4:AO5"/>
    <mergeCell ref="AP4:AP5"/>
    <mergeCell ref="Y3:Y5"/>
    <mergeCell ref="Z3:Z5"/>
    <mergeCell ref="AA3:AA5"/>
    <mergeCell ref="AB3:AB5"/>
    <mergeCell ref="AC3:AC5"/>
    <mergeCell ref="AD3:AD5"/>
    <mergeCell ref="S3:S5"/>
    <mergeCell ref="V3:V5"/>
    <mergeCell ref="W3:W5"/>
    <mergeCell ref="AE3:AE5"/>
    <mergeCell ref="AF3:AL3"/>
  </mergeCells>
  <conditionalFormatting sqref="C139 B137:B139 C137">
    <cfRule type="cellIs" dxfId="663" priority="8307" stopIfTrue="1" operator="equal">
      <formula>"Towel"</formula>
    </cfRule>
    <cfRule type="cellIs" dxfId="662" priority="8308" stopIfTrue="1" operator="equal">
      <formula>"Napkin Hs"</formula>
    </cfRule>
  </conditionalFormatting>
  <conditionalFormatting sqref="B132:C132">
    <cfRule type="cellIs" dxfId="661" priority="719" stopIfTrue="1" operator="equal">
      <formula>"Towel"</formula>
    </cfRule>
    <cfRule type="cellIs" dxfId="660" priority="720" stopIfTrue="1" operator="equal">
      <formula>"Napkin Hs"</formula>
    </cfRule>
  </conditionalFormatting>
  <conditionalFormatting sqref="C132">
    <cfRule type="cellIs" dxfId="659" priority="715" stopIfTrue="1" operator="equal">
      <formula>"Towel"</formula>
    </cfRule>
    <cfRule type="cellIs" dxfId="658" priority="716" stopIfTrue="1" operator="equal">
      <formula>"Napkin Hs"</formula>
    </cfRule>
  </conditionalFormatting>
  <conditionalFormatting sqref="C132">
    <cfRule type="cellIs" dxfId="657" priority="718" stopIfTrue="1" operator="equal">
      <formula>"Napkin Hs"</formula>
    </cfRule>
  </conditionalFormatting>
  <conditionalFormatting sqref="C132">
    <cfRule type="cellIs" dxfId="656" priority="717" stopIfTrue="1" operator="equal">
      <formula>"Towel"</formula>
    </cfRule>
  </conditionalFormatting>
  <conditionalFormatting sqref="B131:C131">
    <cfRule type="cellIs" dxfId="655" priority="707" stopIfTrue="1" operator="equal">
      <formula>"Towel"</formula>
    </cfRule>
    <cfRule type="cellIs" dxfId="654" priority="708" stopIfTrue="1" operator="equal">
      <formula>"Napkin Hs"</formula>
    </cfRule>
  </conditionalFormatting>
  <conditionalFormatting sqref="C131">
    <cfRule type="cellIs" dxfId="653" priority="706" stopIfTrue="1" operator="equal">
      <formula>"Napkin Hs"</formula>
    </cfRule>
  </conditionalFormatting>
  <conditionalFormatting sqref="C131">
    <cfRule type="cellIs" dxfId="652" priority="703" stopIfTrue="1" operator="equal">
      <formula>"Towel"</formula>
    </cfRule>
    <cfRule type="cellIs" dxfId="651" priority="704" stopIfTrue="1" operator="equal">
      <formula>"Napkin Hs"</formula>
    </cfRule>
  </conditionalFormatting>
  <conditionalFormatting sqref="C131">
    <cfRule type="cellIs" dxfId="650" priority="705" stopIfTrue="1" operator="equal">
      <formula>"Towel"</formula>
    </cfRule>
  </conditionalFormatting>
  <conditionalFormatting sqref="B86:C86">
    <cfRule type="cellIs" dxfId="649" priority="689" stopIfTrue="1" operator="equal">
      <formula>"Towel"</formula>
    </cfRule>
    <cfRule type="cellIs" dxfId="648" priority="690" stopIfTrue="1" operator="equal">
      <formula>"Napkin Hs"</formula>
    </cfRule>
  </conditionalFormatting>
  <conditionalFormatting sqref="C86">
    <cfRule type="cellIs" dxfId="647" priority="688" stopIfTrue="1" operator="equal">
      <formula>"Napkin Hs"</formula>
    </cfRule>
  </conditionalFormatting>
  <conditionalFormatting sqref="C86">
    <cfRule type="cellIs" dxfId="646" priority="687" stopIfTrue="1" operator="equal">
      <formula>"Towel"</formula>
    </cfRule>
  </conditionalFormatting>
  <conditionalFormatting sqref="C86">
    <cfRule type="cellIs" dxfId="645" priority="685" stopIfTrue="1" operator="equal">
      <formula>"Towel"</formula>
    </cfRule>
    <cfRule type="cellIs" dxfId="644" priority="686" stopIfTrue="1" operator="equal">
      <formula>"Napkin Hs"</formula>
    </cfRule>
  </conditionalFormatting>
  <conditionalFormatting sqref="B74:C74">
    <cfRule type="cellIs" dxfId="643" priority="683" stopIfTrue="1" operator="equal">
      <formula>"Towel"</formula>
    </cfRule>
    <cfRule type="cellIs" dxfId="642" priority="684" stopIfTrue="1" operator="equal">
      <formula>"Napkin Hs"</formula>
    </cfRule>
  </conditionalFormatting>
  <conditionalFormatting sqref="C74">
    <cfRule type="cellIs" dxfId="641" priority="682" stopIfTrue="1" operator="equal">
      <formula>"Napkin Hs"</formula>
    </cfRule>
  </conditionalFormatting>
  <conditionalFormatting sqref="C74">
    <cfRule type="cellIs" dxfId="640" priority="679" stopIfTrue="1" operator="equal">
      <formula>"Towel"</formula>
    </cfRule>
    <cfRule type="cellIs" dxfId="639" priority="680" stopIfTrue="1" operator="equal">
      <formula>"Napkin Hs"</formula>
    </cfRule>
  </conditionalFormatting>
  <conditionalFormatting sqref="C74">
    <cfRule type="cellIs" dxfId="638" priority="681" stopIfTrue="1" operator="equal">
      <formula>"Towel"</formula>
    </cfRule>
  </conditionalFormatting>
  <conditionalFormatting sqref="B78:C78">
    <cfRule type="cellIs" dxfId="637" priority="677" stopIfTrue="1" operator="equal">
      <formula>"Towel"</formula>
    </cfRule>
    <cfRule type="cellIs" dxfId="636" priority="678" stopIfTrue="1" operator="equal">
      <formula>"Napkin Hs"</formula>
    </cfRule>
  </conditionalFormatting>
  <conditionalFormatting sqref="C78">
    <cfRule type="cellIs" dxfId="635" priority="673" stopIfTrue="1" operator="equal">
      <formula>"Towel"</formula>
    </cfRule>
    <cfRule type="cellIs" dxfId="634" priority="674" stopIfTrue="1" operator="equal">
      <formula>"Napkin Hs"</formula>
    </cfRule>
  </conditionalFormatting>
  <conditionalFormatting sqref="C78">
    <cfRule type="cellIs" dxfId="633" priority="676" stopIfTrue="1" operator="equal">
      <formula>"Napkin Hs"</formula>
    </cfRule>
  </conditionalFormatting>
  <conditionalFormatting sqref="C78">
    <cfRule type="cellIs" dxfId="632" priority="675" stopIfTrue="1" operator="equal">
      <formula>"Towel"</formula>
    </cfRule>
  </conditionalFormatting>
  <conditionalFormatting sqref="B82:C82">
    <cfRule type="cellIs" dxfId="631" priority="671" stopIfTrue="1" operator="equal">
      <formula>"Towel"</formula>
    </cfRule>
    <cfRule type="cellIs" dxfId="630" priority="672" stopIfTrue="1" operator="equal">
      <formula>"Napkin Hs"</formula>
    </cfRule>
  </conditionalFormatting>
  <conditionalFormatting sqref="C82">
    <cfRule type="cellIs" dxfId="629" priority="667" stopIfTrue="1" operator="equal">
      <formula>"Towel"</formula>
    </cfRule>
    <cfRule type="cellIs" dxfId="628" priority="668" stopIfTrue="1" operator="equal">
      <formula>"Napkin Hs"</formula>
    </cfRule>
  </conditionalFormatting>
  <conditionalFormatting sqref="C82">
    <cfRule type="cellIs" dxfId="627" priority="670" stopIfTrue="1" operator="equal">
      <formula>"Napkin Hs"</formula>
    </cfRule>
  </conditionalFormatting>
  <conditionalFormatting sqref="C82">
    <cfRule type="cellIs" dxfId="626" priority="669" stopIfTrue="1" operator="equal">
      <formula>"Towel"</formula>
    </cfRule>
  </conditionalFormatting>
  <conditionalFormatting sqref="B90:C90">
    <cfRule type="cellIs" dxfId="625" priority="665" stopIfTrue="1" operator="equal">
      <formula>"Towel"</formula>
    </cfRule>
    <cfRule type="cellIs" dxfId="624" priority="666" stopIfTrue="1" operator="equal">
      <formula>"Napkin Hs"</formula>
    </cfRule>
  </conditionalFormatting>
  <conditionalFormatting sqref="C90">
    <cfRule type="cellIs" dxfId="623" priority="664" stopIfTrue="1" operator="equal">
      <formula>"Napkin Hs"</formula>
    </cfRule>
  </conditionalFormatting>
  <conditionalFormatting sqref="C90">
    <cfRule type="cellIs" dxfId="622" priority="661" stopIfTrue="1" operator="equal">
      <formula>"Towel"</formula>
    </cfRule>
    <cfRule type="cellIs" dxfId="621" priority="662" stopIfTrue="1" operator="equal">
      <formula>"Napkin Hs"</formula>
    </cfRule>
  </conditionalFormatting>
  <conditionalFormatting sqref="C90">
    <cfRule type="cellIs" dxfId="620" priority="663" stopIfTrue="1" operator="equal">
      <formula>"Towel"</formula>
    </cfRule>
  </conditionalFormatting>
  <conditionalFormatting sqref="B94:C94">
    <cfRule type="cellIs" dxfId="619" priority="659" stopIfTrue="1" operator="equal">
      <formula>"Towel"</formula>
    </cfRule>
    <cfRule type="cellIs" dxfId="618" priority="660" stopIfTrue="1" operator="equal">
      <formula>"Napkin Hs"</formula>
    </cfRule>
  </conditionalFormatting>
  <conditionalFormatting sqref="C94">
    <cfRule type="cellIs" dxfId="617" priority="658" stopIfTrue="1" operator="equal">
      <formula>"Napkin Hs"</formula>
    </cfRule>
  </conditionalFormatting>
  <conditionalFormatting sqref="C94">
    <cfRule type="cellIs" dxfId="616" priority="655" stopIfTrue="1" operator="equal">
      <formula>"Towel"</formula>
    </cfRule>
    <cfRule type="cellIs" dxfId="615" priority="656" stopIfTrue="1" operator="equal">
      <formula>"Napkin Hs"</formula>
    </cfRule>
  </conditionalFormatting>
  <conditionalFormatting sqref="C94">
    <cfRule type="cellIs" dxfId="614" priority="657" stopIfTrue="1" operator="equal">
      <formula>"Towel"</formula>
    </cfRule>
  </conditionalFormatting>
  <conditionalFormatting sqref="B98:C98">
    <cfRule type="cellIs" dxfId="613" priority="653" stopIfTrue="1" operator="equal">
      <formula>"Towel"</formula>
    </cfRule>
    <cfRule type="cellIs" dxfId="612" priority="654" stopIfTrue="1" operator="equal">
      <formula>"Napkin Hs"</formula>
    </cfRule>
  </conditionalFormatting>
  <conditionalFormatting sqref="C98">
    <cfRule type="cellIs" dxfId="611" priority="652" stopIfTrue="1" operator="equal">
      <formula>"Napkin Hs"</formula>
    </cfRule>
  </conditionalFormatting>
  <conditionalFormatting sqref="C98">
    <cfRule type="cellIs" dxfId="610" priority="649" stopIfTrue="1" operator="equal">
      <formula>"Towel"</formula>
    </cfRule>
    <cfRule type="cellIs" dxfId="609" priority="650" stopIfTrue="1" operator="equal">
      <formula>"Napkin Hs"</formula>
    </cfRule>
  </conditionalFormatting>
  <conditionalFormatting sqref="C98">
    <cfRule type="cellIs" dxfId="608" priority="651" stopIfTrue="1" operator="equal">
      <formula>"Towel"</formula>
    </cfRule>
  </conditionalFormatting>
  <conditionalFormatting sqref="B103:C103">
    <cfRule type="cellIs" dxfId="607" priority="647" stopIfTrue="1" operator="equal">
      <formula>"Towel"</formula>
    </cfRule>
    <cfRule type="cellIs" dxfId="606" priority="648" stopIfTrue="1" operator="equal">
      <formula>"Napkin Hs"</formula>
    </cfRule>
  </conditionalFormatting>
  <conditionalFormatting sqref="C103">
    <cfRule type="cellIs" dxfId="605" priority="646" stopIfTrue="1" operator="equal">
      <formula>"Napkin Hs"</formula>
    </cfRule>
  </conditionalFormatting>
  <conditionalFormatting sqref="C103">
    <cfRule type="cellIs" dxfId="604" priority="643" stopIfTrue="1" operator="equal">
      <formula>"Towel"</formula>
    </cfRule>
    <cfRule type="cellIs" dxfId="603" priority="644" stopIfTrue="1" operator="equal">
      <formula>"Napkin Hs"</formula>
    </cfRule>
  </conditionalFormatting>
  <conditionalFormatting sqref="C103">
    <cfRule type="cellIs" dxfId="602" priority="645" stopIfTrue="1" operator="equal">
      <formula>"Towel"</formula>
    </cfRule>
  </conditionalFormatting>
  <conditionalFormatting sqref="B108:C108">
    <cfRule type="cellIs" dxfId="601" priority="641" stopIfTrue="1" operator="equal">
      <formula>"Towel"</formula>
    </cfRule>
    <cfRule type="cellIs" dxfId="600" priority="642" stopIfTrue="1" operator="equal">
      <formula>"Napkin Hs"</formula>
    </cfRule>
  </conditionalFormatting>
  <conditionalFormatting sqref="C108">
    <cfRule type="cellIs" dxfId="599" priority="640" stopIfTrue="1" operator="equal">
      <formula>"Napkin Hs"</formula>
    </cfRule>
  </conditionalFormatting>
  <conditionalFormatting sqref="C108">
    <cfRule type="cellIs" dxfId="598" priority="637" stopIfTrue="1" operator="equal">
      <formula>"Towel"</formula>
    </cfRule>
    <cfRule type="cellIs" dxfId="597" priority="638" stopIfTrue="1" operator="equal">
      <formula>"Napkin Hs"</formula>
    </cfRule>
  </conditionalFormatting>
  <conditionalFormatting sqref="C108">
    <cfRule type="cellIs" dxfId="596" priority="639" stopIfTrue="1" operator="equal">
      <formula>"Towel"</formula>
    </cfRule>
  </conditionalFormatting>
  <conditionalFormatting sqref="B116:C116">
    <cfRule type="cellIs" dxfId="595" priority="635" stopIfTrue="1" operator="equal">
      <formula>"Towel"</formula>
    </cfRule>
    <cfRule type="cellIs" dxfId="594" priority="636" stopIfTrue="1" operator="equal">
      <formula>"Napkin Hs"</formula>
    </cfRule>
  </conditionalFormatting>
  <conditionalFormatting sqref="C116">
    <cfRule type="cellIs" dxfId="593" priority="633" stopIfTrue="1" operator="equal">
      <formula>"Towel"</formula>
    </cfRule>
    <cfRule type="cellIs" dxfId="592" priority="634" stopIfTrue="1" operator="equal">
      <formula>"Napkin Hs"</formula>
    </cfRule>
  </conditionalFormatting>
  <conditionalFormatting sqref="C116">
    <cfRule type="cellIs" dxfId="591" priority="631" stopIfTrue="1" operator="equal">
      <formula>"Towel"</formula>
    </cfRule>
    <cfRule type="cellIs" dxfId="590" priority="632" stopIfTrue="1" operator="equal">
      <formula>"Napkin Hs"</formula>
    </cfRule>
  </conditionalFormatting>
  <conditionalFormatting sqref="B120:C120">
    <cfRule type="cellIs" dxfId="589" priority="629" stopIfTrue="1" operator="equal">
      <formula>"Towel"</formula>
    </cfRule>
    <cfRule type="cellIs" dxfId="588" priority="630" stopIfTrue="1" operator="equal">
      <formula>"Napkin Hs"</formula>
    </cfRule>
  </conditionalFormatting>
  <conditionalFormatting sqref="C120">
    <cfRule type="cellIs" dxfId="587" priority="628" stopIfTrue="1" operator="equal">
      <formula>"Napkin Hs"</formula>
    </cfRule>
  </conditionalFormatting>
  <conditionalFormatting sqref="C120">
    <cfRule type="cellIs" dxfId="586" priority="625" stopIfTrue="1" operator="equal">
      <formula>"Towel"</formula>
    </cfRule>
    <cfRule type="cellIs" dxfId="585" priority="626" stopIfTrue="1" operator="equal">
      <formula>"Napkin Hs"</formula>
    </cfRule>
  </conditionalFormatting>
  <conditionalFormatting sqref="C120">
    <cfRule type="cellIs" dxfId="584" priority="627" stopIfTrue="1" operator="equal">
      <formula>"Towel"</formula>
    </cfRule>
  </conditionalFormatting>
  <conditionalFormatting sqref="B124:C124">
    <cfRule type="cellIs" dxfId="583" priority="623" stopIfTrue="1" operator="equal">
      <formula>"Towel"</formula>
    </cfRule>
    <cfRule type="cellIs" dxfId="582" priority="624" stopIfTrue="1" operator="equal">
      <formula>"Napkin Hs"</formula>
    </cfRule>
  </conditionalFormatting>
  <conditionalFormatting sqref="C124">
    <cfRule type="cellIs" dxfId="581" priority="622" stopIfTrue="1" operator="equal">
      <formula>"Napkin Hs"</formula>
    </cfRule>
  </conditionalFormatting>
  <conditionalFormatting sqref="C124">
    <cfRule type="cellIs" dxfId="580" priority="619" stopIfTrue="1" operator="equal">
      <formula>"Towel"</formula>
    </cfRule>
    <cfRule type="cellIs" dxfId="579" priority="620" stopIfTrue="1" operator="equal">
      <formula>"Napkin Hs"</formula>
    </cfRule>
  </conditionalFormatting>
  <conditionalFormatting sqref="C124">
    <cfRule type="cellIs" dxfId="578" priority="621" stopIfTrue="1" operator="equal">
      <formula>"Towel"</formula>
    </cfRule>
  </conditionalFormatting>
  <conditionalFormatting sqref="B69:C70">
    <cfRule type="cellIs" dxfId="577" priority="617" stopIfTrue="1" operator="equal">
      <formula>"Towel"</formula>
    </cfRule>
    <cfRule type="cellIs" dxfId="576" priority="618" stopIfTrue="1" operator="equal">
      <formula>"Napkin Hs"</formula>
    </cfRule>
  </conditionalFormatting>
  <conditionalFormatting sqref="C69:C70">
    <cfRule type="cellIs" dxfId="575" priority="616" stopIfTrue="1" operator="equal">
      <formula>"Napkin Hs"</formula>
    </cfRule>
  </conditionalFormatting>
  <conditionalFormatting sqref="C69:C70">
    <cfRule type="cellIs" dxfId="574" priority="613" stopIfTrue="1" operator="equal">
      <formula>"Towel"</formula>
    </cfRule>
    <cfRule type="cellIs" dxfId="573" priority="614" stopIfTrue="1" operator="equal">
      <formula>"Napkin Hs"</formula>
    </cfRule>
  </conditionalFormatting>
  <conditionalFormatting sqref="C69:C70">
    <cfRule type="cellIs" dxfId="572" priority="615" stopIfTrue="1" operator="equal">
      <formula>"Towel"</formula>
    </cfRule>
  </conditionalFormatting>
  <conditionalFormatting sqref="B48:C48 B10:C10 B6:C8">
    <cfRule type="cellIs" dxfId="571" priority="611" stopIfTrue="1" operator="equal">
      <formula>"Towel"</formula>
    </cfRule>
    <cfRule type="cellIs" dxfId="570" priority="612" stopIfTrue="1" operator="equal">
      <formula>"Napkin Hs"</formula>
    </cfRule>
  </conditionalFormatting>
  <conditionalFormatting sqref="B11:C11">
    <cfRule type="cellIs" dxfId="569" priority="593" stopIfTrue="1" operator="equal">
      <formula>"Towel"</formula>
    </cfRule>
    <cfRule type="cellIs" dxfId="568" priority="594" stopIfTrue="1" operator="equal">
      <formula>"Napkin Hs"</formula>
    </cfRule>
  </conditionalFormatting>
  <conditionalFormatting sqref="B16:C16">
    <cfRule type="cellIs" dxfId="567" priority="599" stopIfTrue="1" operator="equal">
      <formula>"Towel"</formula>
    </cfRule>
    <cfRule type="cellIs" dxfId="566" priority="600" stopIfTrue="1" operator="equal">
      <formula>"Napkin Hs"</formula>
    </cfRule>
  </conditionalFormatting>
  <conditionalFormatting sqref="B36:C36">
    <cfRule type="cellIs" dxfId="565" priority="607" stopIfTrue="1" operator="equal">
      <formula>"Towel"</formula>
    </cfRule>
    <cfRule type="cellIs" dxfId="564" priority="608" stopIfTrue="1" operator="equal">
      <formula>"Napkin Hs"</formula>
    </cfRule>
  </conditionalFormatting>
  <conditionalFormatting sqref="C48 C10 C6:C8">
    <cfRule type="cellIs" dxfId="563" priority="610" stopIfTrue="1" operator="equal">
      <formula>"Napkin Hs"</formula>
    </cfRule>
  </conditionalFormatting>
  <conditionalFormatting sqref="C10 C6:C8">
    <cfRule type="cellIs" dxfId="562" priority="595" stopIfTrue="1" operator="equal">
      <formula>"Towel"</formula>
    </cfRule>
    <cfRule type="cellIs" dxfId="561" priority="596" stopIfTrue="1" operator="equal">
      <formula>"Napkin Hs"</formula>
    </cfRule>
  </conditionalFormatting>
  <conditionalFormatting sqref="C11 C16">
    <cfRule type="cellIs" dxfId="560" priority="591" stopIfTrue="1" operator="equal">
      <formula>"Towel"</formula>
    </cfRule>
    <cfRule type="cellIs" dxfId="559" priority="592" stopIfTrue="1" operator="equal">
      <formula>"Napkin Hs"</formula>
    </cfRule>
  </conditionalFormatting>
  <conditionalFormatting sqref="C11">
    <cfRule type="cellIs" dxfId="558" priority="589" stopIfTrue="1" operator="equal">
      <formula>"Towel"</formula>
    </cfRule>
    <cfRule type="cellIs" dxfId="557" priority="590" stopIfTrue="1" operator="equal">
      <formula>"Napkin Hs"</formula>
    </cfRule>
  </conditionalFormatting>
  <conditionalFormatting sqref="C16">
    <cfRule type="cellIs" dxfId="556" priority="597" stopIfTrue="1" operator="equal">
      <formula>"Towel"</formula>
    </cfRule>
    <cfRule type="cellIs" dxfId="555" priority="598" stopIfTrue="1" operator="equal">
      <formula>"Napkin Hs"</formula>
    </cfRule>
  </conditionalFormatting>
  <conditionalFormatting sqref="C48 C10 C6:C8">
    <cfRule type="cellIs" dxfId="554" priority="609" stopIfTrue="1" operator="equal">
      <formula>"Towel"</formula>
    </cfRule>
  </conditionalFormatting>
  <conditionalFormatting sqref="C36">
    <cfRule type="cellIs" dxfId="553" priority="605" stopIfTrue="1" operator="equal">
      <formula>"Towel"</formula>
    </cfRule>
    <cfRule type="cellIs" dxfId="552" priority="606" stopIfTrue="1" operator="equal">
      <formula>"Napkin Hs"</formula>
    </cfRule>
  </conditionalFormatting>
  <conditionalFormatting sqref="C36">
    <cfRule type="cellIs" dxfId="551" priority="603" stopIfTrue="1" operator="equal">
      <formula>"Towel"</formula>
    </cfRule>
    <cfRule type="cellIs" dxfId="550" priority="604" stopIfTrue="1" operator="equal">
      <formula>"Napkin Hs"</formula>
    </cfRule>
  </conditionalFormatting>
  <conditionalFormatting sqref="C48">
    <cfRule type="cellIs" dxfId="549" priority="601" stopIfTrue="1" operator="equal">
      <formula>"Towel"</formula>
    </cfRule>
    <cfRule type="cellIs" dxfId="548" priority="602" stopIfTrue="1" operator="equal">
      <formula>"Napkin Hs"</formula>
    </cfRule>
  </conditionalFormatting>
  <conditionalFormatting sqref="B9:C9">
    <cfRule type="cellIs" dxfId="547" priority="587" stopIfTrue="1" operator="equal">
      <formula>"Towel"</formula>
    </cfRule>
    <cfRule type="cellIs" dxfId="546" priority="588" stopIfTrue="1" operator="equal">
      <formula>"Napkin Hs"</formula>
    </cfRule>
  </conditionalFormatting>
  <conditionalFormatting sqref="C9">
    <cfRule type="cellIs" dxfId="545" priority="583" stopIfTrue="1" operator="equal">
      <formula>"Towel"</formula>
    </cfRule>
    <cfRule type="cellIs" dxfId="544" priority="584" stopIfTrue="1" operator="equal">
      <formula>"Napkin Hs"</formula>
    </cfRule>
  </conditionalFormatting>
  <conditionalFormatting sqref="C9">
    <cfRule type="cellIs" dxfId="543" priority="586" stopIfTrue="1" operator="equal">
      <formula>"Napkin Hs"</formula>
    </cfRule>
  </conditionalFormatting>
  <conditionalFormatting sqref="C9">
    <cfRule type="cellIs" dxfId="542" priority="585" stopIfTrue="1" operator="equal">
      <formula>"Towel"</formula>
    </cfRule>
  </conditionalFormatting>
  <conditionalFormatting sqref="B40:C40">
    <cfRule type="cellIs" dxfId="541" priority="581" stopIfTrue="1" operator="equal">
      <formula>"Towel"</formula>
    </cfRule>
    <cfRule type="cellIs" dxfId="540" priority="582" stopIfTrue="1" operator="equal">
      <formula>"Napkin Hs"</formula>
    </cfRule>
  </conditionalFormatting>
  <conditionalFormatting sqref="C40">
    <cfRule type="cellIs" dxfId="539" priority="580" stopIfTrue="1" operator="equal">
      <formula>"Napkin Hs"</formula>
    </cfRule>
  </conditionalFormatting>
  <conditionalFormatting sqref="C40">
    <cfRule type="cellIs" dxfId="538" priority="577" stopIfTrue="1" operator="equal">
      <formula>"Towel"</formula>
    </cfRule>
    <cfRule type="cellIs" dxfId="537" priority="578" stopIfTrue="1" operator="equal">
      <formula>"Napkin Hs"</formula>
    </cfRule>
  </conditionalFormatting>
  <conditionalFormatting sqref="C40">
    <cfRule type="cellIs" dxfId="536" priority="579" stopIfTrue="1" operator="equal">
      <formula>"Towel"</formula>
    </cfRule>
  </conditionalFormatting>
  <conditionalFormatting sqref="B44:C44">
    <cfRule type="cellIs" dxfId="535" priority="575" stopIfTrue="1" operator="equal">
      <formula>"Towel"</formula>
    </cfRule>
    <cfRule type="cellIs" dxfId="534" priority="576" stopIfTrue="1" operator="equal">
      <formula>"Napkin Hs"</formula>
    </cfRule>
  </conditionalFormatting>
  <conditionalFormatting sqref="C44">
    <cfRule type="cellIs" dxfId="533" priority="574" stopIfTrue="1" operator="equal">
      <formula>"Napkin Hs"</formula>
    </cfRule>
  </conditionalFormatting>
  <conditionalFormatting sqref="C44">
    <cfRule type="cellIs" dxfId="532" priority="571" stopIfTrue="1" operator="equal">
      <formula>"Towel"</formula>
    </cfRule>
    <cfRule type="cellIs" dxfId="531" priority="572" stopIfTrue="1" operator="equal">
      <formula>"Napkin Hs"</formula>
    </cfRule>
  </conditionalFormatting>
  <conditionalFormatting sqref="C44">
    <cfRule type="cellIs" dxfId="530" priority="573" stopIfTrue="1" operator="equal">
      <formula>"Towel"</formula>
    </cfRule>
  </conditionalFormatting>
  <conditionalFormatting sqref="C16">
    <cfRule type="cellIs" dxfId="529" priority="567" stopIfTrue="1" operator="equal">
      <formula>"Towel"</formula>
    </cfRule>
    <cfRule type="cellIs" dxfId="528" priority="568" stopIfTrue="1" operator="equal">
      <formula>"Napkin Hs"</formula>
    </cfRule>
  </conditionalFormatting>
  <conditionalFormatting sqref="B16:C16">
    <cfRule type="cellIs" dxfId="527" priority="569" stopIfTrue="1" operator="equal">
      <formula>"Towel"</formula>
    </cfRule>
    <cfRule type="cellIs" dxfId="526" priority="570" stopIfTrue="1" operator="equal">
      <formula>"Napkin Hs"</formula>
    </cfRule>
  </conditionalFormatting>
  <conditionalFormatting sqref="C20">
    <cfRule type="cellIs" dxfId="525" priority="561" stopIfTrue="1" operator="equal">
      <formula>"Towel"</formula>
    </cfRule>
    <cfRule type="cellIs" dxfId="524" priority="562" stopIfTrue="1" operator="equal">
      <formula>"Napkin Hs"</formula>
    </cfRule>
  </conditionalFormatting>
  <conditionalFormatting sqref="B20:C20">
    <cfRule type="cellIs" dxfId="523" priority="565" stopIfTrue="1" operator="equal">
      <formula>"Towel"</formula>
    </cfRule>
    <cfRule type="cellIs" dxfId="522" priority="566" stopIfTrue="1" operator="equal">
      <formula>"Napkin Hs"</formula>
    </cfRule>
  </conditionalFormatting>
  <conditionalFormatting sqref="C20">
    <cfRule type="cellIs" dxfId="521" priority="564" stopIfTrue="1" operator="equal">
      <formula>"Napkin Hs"</formula>
    </cfRule>
  </conditionalFormatting>
  <conditionalFormatting sqref="C20">
    <cfRule type="cellIs" dxfId="520" priority="563" stopIfTrue="1" operator="equal">
      <formula>"Towel"</formula>
    </cfRule>
  </conditionalFormatting>
  <conditionalFormatting sqref="B20:C20">
    <cfRule type="cellIs" dxfId="519" priority="559" stopIfTrue="1" operator="equal">
      <formula>"Towel"</formula>
    </cfRule>
    <cfRule type="cellIs" dxfId="518" priority="560" stopIfTrue="1" operator="equal">
      <formula>"Napkin Hs"</formula>
    </cfRule>
  </conditionalFormatting>
  <conditionalFormatting sqref="C20">
    <cfRule type="cellIs" dxfId="517" priority="555" stopIfTrue="1" operator="equal">
      <formula>"Towel"</formula>
    </cfRule>
    <cfRule type="cellIs" dxfId="516" priority="556" stopIfTrue="1" operator="equal">
      <formula>"Napkin Hs"</formula>
    </cfRule>
  </conditionalFormatting>
  <conditionalFormatting sqref="C20">
    <cfRule type="cellIs" dxfId="515" priority="558" stopIfTrue="1" operator="equal">
      <formula>"Napkin Hs"</formula>
    </cfRule>
  </conditionalFormatting>
  <conditionalFormatting sqref="C20">
    <cfRule type="cellIs" dxfId="514" priority="557" stopIfTrue="1" operator="equal">
      <formula>"Towel"</formula>
    </cfRule>
  </conditionalFormatting>
  <conditionalFormatting sqref="B28:C28">
    <cfRule type="cellIs" dxfId="513" priority="553" stopIfTrue="1" operator="equal">
      <formula>"Towel"</formula>
    </cfRule>
    <cfRule type="cellIs" dxfId="512" priority="554" stopIfTrue="1" operator="equal">
      <formula>"Napkin Hs"</formula>
    </cfRule>
  </conditionalFormatting>
  <conditionalFormatting sqref="C28">
    <cfRule type="cellIs" dxfId="511" priority="552" stopIfTrue="1" operator="equal">
      <formula>"Napkin Hs"</formula>
    </cfRule>
  </conditionalFormatting>
  <conditionalFormatting sqref="C28">
    <cfRule type="cellIs" dxfId="510" priority="549" stopIfTrue="1" operator="equal">
      <formula>"Towel"</formula>
    </cfRule>
    <cfRule type="cellIs" dxfId="509" priority="550" stopIfTrue="1" operator="equal">
      <formula>"Napkin Hs"</formula>
    </cfRule>
  </conditionalFormatting>
  <conditionalFormatting sqref="C28">
    <cfRule type="cellIs" dxfId="508" priority="551" stopIfTrue="1" operator="equal">
      <formula>"Towel"</formula>
    </cfRule>
  </conditionalFormatting>
  <conditionalFormatting sqref="B28:C28">
    <cfRule type="cellIs" dxfId="507" priority="547" stopIfTrue="1" operator="equal">
      <formula>"Towel"</formula>
    </cfRule>
    <cfRule type="cellIs" dxfId="506" priority="548" stopIfTrue="1" operator="equal">
      <formula>"Napkin Hs"</formula>
    </cfRule>
  </conditionalFormatting>
  <conditionalFormatting sqref="C28">
    <cfRule type="cellIs" dxfId="505" priority="546" stopIfTrue="1" operator="equal">
      <formula>"Napkin Hs"</formula>
    </cfRule>
  </conditionalFormatting>
  <conditionalFormatting sqref="C28">
    <cfRule type="cellIs" dxfId="504" priority="543" stopIfTrue="1" operator="equal">
      <formula>"Towel"</formula>
    </cfRule>
    <cfRule type="cellIs" dxfId="503" priority="544" stopIfTrue="1" operator="equal">
      <formula>"Napkin Hs"</formula>
    </cfRule>
  </conditionalFormatting>
  <conditionalFormatting sqref="C28">
    <cfRule type="cellIs" dxfId="502" priority="545" stopIfTrue="1" operator="equal">
      <formula>"Towel"</formula>
    </cfRule>
  </conditionalFormatting>
  <conditionalFormatting sqref="B32:C32">
    <cfRule type="cellIs" dxfId="501" priority="541" stopIfTrue="1" operator="equal">
      <formula>"Towel"</formula>
    </cfRule>
    <cfRule type="cellIs" dxfId="500" priority="542" stopIfTrue="1" operator="equal">
      <formula>"Napkin Hs"</formula>
    </cfRule>
  </conditionalFormatting>
  <conditionalFormatting sqref="C32">
    <cfRule type="cellIs" dxfId="499" priority="540" stopIfTrue="1" operator="equal">
      <formula>"Napkin Hs"</formula>
    </cfRule>
  </conditionalFormatting>
  <conditionalFormatting sqref="C32">
    <cfRule type="cellIs" dxfId="498" priority="537" stopIfTrue="1" operator="equal">
      <formula>"Towel"</formula>
    </cfRule>
    <cfRule type="cellIs" dxfId="497" priority="538" stopIfTrue="1" operator="equal">
      <formula>"Napkin Hs"</formula>
    </cfRule>
  </conditionalFormatting>
  <conditionalFormatting sqref="C32">
    <cfRule type="cellIs" dxfId="496" priority="539" stopIfTrue="1" operator="equal">
      <formula>"Towel"</formula>
    </cfRule>
  </conditionalFormatting>
  <conditionalFormatting sqref="B32:C32">
    <cfRule type="cellIs" dxfId="495" priority="535" stopIfTrue="1" operator="equal">
      <formula>"Towel"</formula>
    </cfRule>
    <cfRule type="cellIs" dxfId="494" priority="536" stopIfTrue="1" operator="equal">
      <formula>"Napkin Hs"</formula>
    </cfRule>
  </conditionalFormatting>
  <conditionalFormatting sqref="C32">
    <cfRule type="cellIs" dxfId="493" priority="534" stopIfTrue="1" operator="equal">
      <formula>"Napkin Hs"</formula>
    </cfRule>
  </conditionalFormatting>
  <conditionalFormatting sqref="C32">
    <cfRule type="cellIs" dxfId="492" priority="531" stopIfTrue="1" operator="equal">
      <formula>"Towel"</formula>
    </cfRule>
    <cfRule type="cellIs" dxfId="491" priority="532" stopIfTrue="1" operator="equal">
      <formula>"Napkin Hs"</formula>
    </cfRule>
  </conditionalFormatting>
  <conditionalFormatting sqref="C32">
    <cfRule type="cellIs" dxfId="490" priority="533" stopIfTrue="1" operator="equal">
      <formula>"Towel"</formula>
    </cfRule>
  </conditionalFormatting>
  <conditionalFormatting sqref="B13:C15">
    <cfRule type="cellIs" dxfId="489" priority="529" stopIfTrue="1" operator="equal">
      <formula>"Towel"</formula>
    </cfRule>
    <cfRule type="cellIs" dxfId="488" priority="530" stopIfTrue="1" operator="equal">
      <formula>"Napkin Hs"</formula>
    </cfRule>
  </conditionalFormatting>
  <conditionalFormatting sqref="C13:C15">
    <cfRule type="cellIs" dxfId="487" priority="528" stopIfTrue="1" operator="equal">
      <formula>"Napkin Hs"</formula>
    </cfRule>
  </conditionalFormatting>
  <conditionalFormatting sqref="C13:C15">
    <cfRule type="cellIs" dxfId="486" priority="525" stopIfTrue="1" operator="equal">
      <formula>"Towel"</formula>
    </cfRule>
    <cfRule type="cellIs" dxfId="485" priority="526" stopIfTrue="1" operator="equal">
      <formula>"Napkin Hs"</formula>
    </cfRule>
  </conditionalFormatting>
  <conditionalFormatting sqref="C13:C15">
    <cfRule type="cellIs" dxfId="484" priority="527" stopIfTrue="1" operator="equal">
      <formula>"Towel"</formula>
    </cfRule>
  </conditionalFormatting>
  <conditionalFormatting sqref="B12:C12">
    <cfRule type="cellIs" dxfId="483" priority="523" stopIfTrue="1" operator="equal">
      <formula>"Towel"</formula>
    </cfRule>
    <cfRule type="cellIs" dxfId="482" priority="524" stopIfTrue="1" operator="equal">
      <formula>"Napkin Hs"</formula>
    </cfRule>
  </conditionalFormatting>
  <conditionalFormatting sqref="C12">
    <cfRule type="cellIs" dxfId="481" priority="522" stopIfTrue="1" operator="equal">
      <formula>"Napkin Hs"</formula>
    </cfRule>
  </conditionalFormatting>
  <conditionalFormatting sqref="C12">
    <cfRule type="cellIs" dxfId="480" priority="519" stopIfTrue="1" operator="equal">
      <formula>"Towel"</formula>
    </cfRule>
    <cfRule type="cellIs" dxfId="479" priority="520" stopIfTrue="1" operator="equal">
      <formula>"Napkin Hs"</formula>
    </cfRule>
  </conditionalFormatting>
  <conditionalFormatting sqref="C12">
    <cfRule type="cellIs" dxfId="478" priority="521" stopIfTrue="1" operator="equal">
      <formula>"Towel"</formula>
    </cfRule>
  </conditionalFormatting>
  <conditionalFormatting sqref="B18:C19">
    <cfRule type="cellIs" dxfId="477" priority="517" stopIfTrue="1" operator="equal">
      <formula>"Towel"</formula>
    </cfRule>
    <cfRule type="cellIs" dxfId="476" priority="518" stopIfTrue="1" operator="equal">
      <formula>"Napkin Hs"</formula>
    </cfRule>
  </conditionalFormatting>
  <conditionalFormatting sqref="C18:C19">
    <cfRule type="cellIs" dxfId="475" priority="516" stopIfTrue="1" operator="equal">
      <formula>"Napkin Hs"</formula>
    </cfRule>
  </conditionalFormatting>
  <conditionalFormatting sqref="C18:C19">
    <cfRule type="cellIs" dxfId="474" priority="513" stopIfTrue="1" operator="equal">
      <formula>"Towel"</formula>
    </cfRule>
    <cfRule type="cellIs" dxfId="473" priority="514" stopIfTrue="1" operator="equal">
      <formula>"Napkin Hs"</formula>
    </cfRule>
  </conditionalFormatting>
  <conditionalFormatting sqref="C18:C19">
    <cfRule type="cellIs" dxfId="472" priority="515" stopIfTrue="1" operator="equal">
      <formula>"Towel"</formula>
    </cfRule>
  </conditionalFormatting>
  <conditionalFormatting sqref="B17:C17">
    <cfRule type="cellIs" dxfId="471" priority="511" stopIfTrue="1" operator="equal">
      <formula>"Towel"</formula>
    </cfRule>
    <cfRule type="cellIs" dxfId="470" priority="512" stopIfTrue="1" operator="equal">
      <formula>"Napkin Hs"</formula>
    </cfRule>
  </conditionalFormatting>
  <conditionalFormatting sqref="C17">
    <cfRule type="cellIs" dxfId="469" priority="510" stopIfTrue="1" operator="equal">
      <formula>"Napkin Hs"</formula>
    </cfRule>
  </conditionalFormatting>
  <conditionalFormatting sqref="C17">
    <cfRule type="cellIs" dxfId="468" priority="507" stopIfTrue="1" operator="equal">
      <formula>"Towel"</formula>
    </cfRule>
    <cfRule type="cellIs" dxfId="467" priority="508" stopIfTrue="1" operator="equal">
      <formula>"Napkin Hs"</formula>
    </cfRule>
  </conditionalFormatting>
  <conditionalFormatting sqref="C17">
    <cfRule type="cellIs" dxfId="466" priority="509" stopIfTrue="1" operator="equal">
      <formula>"Towel"</formula>
    </cfRule>
  </conditionalFormatting>
  <conditionalFormatting sqref="C24">
    <cfRule type="cellIs" dxfId="465" priority="501" stopIfTrue="1" operator="equal">
      <formula>"Towel"</formula>
    </cfRule>
    <cfRule type="cellIs" dxfId="464" priority="502" stopIfTrue="1" operator="equal">
      <formula>"Napkin Hs"</formula>
    </cfRule>
  </conditionalFormatting>
  <conditionalFormatting sqref="B24:C24">
    <cfRule type="cellIs" dxfId="463" priority="505" stopIfTrue="1" operator="equal">
      <formula>"Towel"</formula>
    </cfRule>
    <cfRule type="cellIs" dxfId="462" priority="506" stopIfTrue="1" operator="equal">
      <formula>"Napkin Hs"</formula>
    </cfRule>
  </conditionalFormatting>
  <conditionalFormatting sqref="C24">
    <cfRule type="cellIs" dxfId="461" priority="504" stopIfTrue="1" operator="equal">
      <formula>"Napkin Hs"</formula>
    </cfRule>
  </conditionalFormatting>
  <conditionalFormatting sqref="C24">
    <cfRule type="cellIs" dxfId="460" priority="503" stopIfTrue="1" operator="equal">
      <formula>"Towel"</formula>
    </cfRule>
  </conditionalFormatting>
  <conditionalFormatting sqref="B24:C24">
    <cfRule type="cellIs" dxfId="459" priority="499" stopIfTrue="1" operator="equal">
      <formula>"Towel"</formula>
    </cfRule>
    <cfRule type="cellIs" dxfId="458" priority="500" stopIfTrue="1" operator="equal">
      <formula>"Napkin Hs"</formula>
    </cfRule>
  </conditionalFormatting>
  <conditionalFormatting sqref="C24">
    <cfRule type="cellIs" dxfId="457" priority="495" stopIfTrue="1" operator="equal">
      <formula>"Towel"</formula>
    </cfRule>
    <cfRule type="cellIs" dxfId="456" priority="496" stopIfTrue="1" operator="equal">
      <formula>"Napkin Hs"</formula>
    </cfRule>
  </conditionalFormatting>
  <conditionalFormatting sqref="C24">
    <cfRule type="cellIs" dxfId="455" priority="498" stopIfTrue="1" operator="equal">
      <formula>"Napkin Hs"</formula>
    </cfRule>
  </conditionalFormatting>
  <conditionalFormatting sqref="C24">
    <cfRule type="cellIs" dxfId="454" priority="497" stopIfTrue="1" operator="equal">
      <formula>"Towel"</formula>
    </cfRule>
  </conditionalFormatting>
  <conditionalFormatting sqref="B22:C23">
    <cfRule type="cellIs" dxfId="453" priority="493" stopIfTrue="1" operator="equal">
      <formula>"Towel"</formula>
    </cfRule>
    <cfRule type="cellIs" dxfId="452" priority="494" stopIfTrue="1" operator="equal">
      <formula>"Napkin Hs"</formula>
    </cfRule>
  </conditionalFormatting>
  <conditionalFormatting sqref="C22:C23">
    <cfRule type="cellIs" dxfId="451" priority="492" stopIfTrue="1" operator="equal">
      <formula>"Napkin Hs"</formula>
    </cfRule>
  </conditionalFormatting>
  <conditionalFormatting sqref="C22:C23">
    <cfRule type="cellIs" dxfId="450" priority="489" stopIfTrue="1" operator="equal">
      <formula>"Towel"</formula>
    </cfRule>
    <cfRule type="cellIs" dxfId="449" priority="490" stopIfTrue="1" operator="equal">
      <formula>"Napkin Hs"</formula>
    </cfRule>
  </conditionalFormatting>
  <conditionalFormatting sqref="C22:C23">
    <cfRule type="cellIs" dxfId="448" priority="491" stopIfTrue="1" operator="equal">
      <formula>"Towel"</formula>
    </cfRule>
  </conditionalFormatting>
  <conditionalFormatting sqref="B21:C21">
    <cfRule type="cellIs" dxfId="447" priority="487" stopIfTrue="1" operator="equal">
      <formula>"Towel"</formula>
    </cfRule>
    <cfRule type="cellIs" dxfId="446" priority="488" stopIfTrue="1" operator="equal">
      <formula>"Napkin Hs"</formula>
    </cfRule>
  </conditionalFormatting>
  <conditionalFormatting sqref="C21">
    <cfRule type="cellIs" dxfId="445" priority="486" stopIfTrue="1" operator="equal">
      <formula>"Napkin Hs"</formula>
    </cfRule>
  </conditionalFormatting>
  <conditionalFormatting sqref="C21">
    <cfRule type="cellIs" dxfId="444" priority="483" stopIfTrue="1" operator="equal">
      <formula>"Towel"</formula>
    </cfRule>
    <cfRule type="cellIs" dxfId="443" priority="484" stopIfTrue="1" operator="equal">
      <formula>"Napkin Hs"</formula>
    </cfRule>
  </conditionalFormatting>
  <conditionalFormatting sqref="C21">
    <cfRule type="cellIs" dxfId="442" priority="485" stopIfTrue="1" operator="equal">
      <formula>"Towel"</formula>
    </cfRule>
  </conditionalFormatting>
  <conditionalFormatting sqref="B25:C26">
    <cfRule type="cellIs" dxfId="441" priority="481" stopIfTrue="1" operator="equal">
      <formula>"Towel"</formula>
    </cfRule>
    <cfRule type="cellIs" dxfId="440" priority="482" stopIfTrue="1" operator="equal">
      <formula>"Napkin Hs"</formula>
    </cfRule>
  </conditionalFormatting>
  <conditionalFormatting sqref="C25:C26">
    <cfRule type="cellIs" dxfId="439" priority="480" stopIfTrue="1" operator="equal">
      <formula>"Napkin Hs"</formula>
    </cfRule>
  </conditionalFormatting>
  <conditionalFormatting sqref="C25:C26">
    <cfRule type="cellIs" dxfId="438" priority="477" stopIfTrue="1" operator="equal">
      <formula>"Towel"</formula>
    </cfRule>
    <cfRule type="cellIs" dxfId="437" priority="478" stopIfTrue="1" operator="equal">
      <formula>"Napkin Hs"</formula>
    </cfRule>
  </conditionalFormatting>
  <conditionalFormatting sqref="C25:C26">
    <cfRule type="cellIs" dxfId="436" priority="479" stopIfTrue="1" operator="equal">
      <formula>"Towel"</formula>
    </cfRule>
  </conditionalFormatting>
  <conditionalFormatting sqref="B30:C31">
    <cfRule type="cellIs" dxfId="435" priority="475" stopIfTrue="1" operator="equal">
      <formula>"Towel"</formula>
    </cfRule>
    <cfRule type="cellIs" dxfId="434" priority="476" stopIfTrue="1" operator="equal">
      <formula>"Napkin Hs"</formula>
    </cfRule>
  </conditionalFormatting>
  <conditionalFormatting sqref="C30:C31">
    <cfRule type="cellIs" dxfId="433" priority="474" stopIfTrue="1" operator="equal">
      <formula>"Napkin Hs"</formula>
    </cfRule>
  </conditionalFormatting>
  <conditionalFormatting sqref="C30:C31">
    <cfRule type="cellIs" dxfId="432" priority="471" stopIfTrue="1" operator="equal">
      <formula>"Towel"</formula>
    </cfRule>
    <cfRule type="cellIs" dxfId="431" priority="472" stopIfTrue="1" operator="equal">
      <formula>"Napkin Hs"</formula>
    </cfRule>
  </conditionalFormatting>
  <conditionalFormatting sqref="C30:C31">
    <cfRule type="cellIs" dxfId="430" priority="473" stopIfTrue="1" operator="equal">
      <formula>"Towel"</formula>
    </cfRule>
  </conditionalFormatting>
  <conditionalFormatting sqref="B27:C27">
    <cfRule type="cellIs" dxfId="429" priority="469" stopIfTrue="1" operator="equal">
      <formula>"Towel"</formula>
    </cfRule>
    <cfRule type="cellIs" dxfId="428" priority="470" stopIfTrue="1" operator="equal">
      <formula>"Napkin Hs"</formula>
    </cfRule>
  </conditionalFormatting>
  <conditionalFormatting sqref="C27">
    <cfRule type="cellIs" dxfId="427" priority="468" stopIfTrue="1" operator="equal">
      <formula>"Napkin Hs"</formula>
    </cfRule>
  </conditionalFormatting>
  <conditionalFormatting sqref="C27">
    <cfRule type="cellIs" dxfId="426" priority="465" stopIfTrue="1" operator="equal">
      <formula>"Towel"</formula>
    </cfRule>
    <cfRule type="cellIs" dxfId="425" priority="466" stopIfTrue="1" operator="equal">
      <formula>"Napkin Hs"</formula>
    </cfRule>
  </conditionalFormatting>
  <conditionalFormatting sqref="C27">
    <cfRule type="cellIs" dxfId="424" priority="467" stopIfTrue="1" operator="equal">
      <formula>"Towel"</formula>
    </cfRule>
  </conditionalFormatting>
  <conditionalFormatting sqref="B29:C29">
    <cfRule type="cellIs" dxfId="423" priority="463" stopIfTrue="1" operator="equal">
      <formula>"Towel"</formula>
    </cfRule>
    <cfRule type="cellIs" dxfId="422" priority="464" stopIfTrue="1" operator="equal">
      <formula>"Napkin Hs"</formula>
    </cfRule>
  </conditionalFormatting>
  <conditionalFormatting sqref="C29">
    <cfRule type="cellIs" dxfId="421" priority="462" stopIfTrue="1" operator="equal">
      <formula>"Napkin Hs"</formula>
    </cfRule>
  </conditionalFormatting>
  <conditionalFormatting sqref="C29">
    <cfRule type="cellIs" dxfId="420" priority="459" stopIfTrue="1" operator="equal">
      <formula>"Towel"</formula>
    </cfRule>
    <cfRule type="cellIs" dxfId="419" priority="460" stopIfTrue="1" operator="equal">
      <formula>"Napkin Hs"</formula>
    </cfRule>
  </conditionalFormatting>
  <conditionalFormatting sqref="C29">
    <cfRule type="cellIs" dxfId="418" priority="461" stopIfTrue="1" operator="equal">
      <formula>"Towel"</formula>
    </cfRule>
  </conditionalFormatting>
  <conditionalFormatting sqref="B35:C35">
    <cfRule type="cellIs" dxfId="417" priority="457" stopIfTrue="1" operator="equal">
      <formula>"Towel"</formula>
    </cfRule>
    <cfRule type="cellIs" dxfId="416" priority="458" stopIfTrue="1" operator="equal">
      <formula>"Napkin Hs"</formula>
    </cfRule>
  </conditionalFormatting>
  <conditionalFormatting sqref="C35">
    <cfRule type="cellIs" dxfId="415" priority="456" stopIfTrue="1" operator="equal">
      <formula>"Napkin Hs"</formula>
    </cfRule>
  </conditionalFormatting>
  <conditionalFormatting sqref="C35">
    <cfRule type="cellIs" dxfId="414" priority="453" stopIfTrue="1" operator="equal">
      <formula>"Towel"</formula>
    </cfRule>
    <cfRule type="cellIs" dxfId="413" priority="454" stopIfTrue="1" operator="equal">
      <formula>"Napkin Hs"</formula>
    </cfRule>
  </conditionalFormatting>
  <conditionalFormatting sqref="C35">
    <cfRule type="cellIs" dxfId="412" priority="455" stopIfTrue="1" operator="equal">
      <formula>"Towel"</formula>
    </cfRule>
  </conditionalFormatting>
  <conditionalFormatting sqref="B33:C34">
    <cfRule type="cellIs" dxfId="411" priority="451" stopIfTrue="1" operator="equal">
      <formula>"Towel"</formula>
    </cfRule>
    <cfRule type="cellIs" dxfId="410" priority="452" stopIfTrue="1" operator="equal">
      <formula>"Napkin Hs"</formula>
    </cfRule>
  </conditionalFormatting>
  <conditionalFormatting sqref="C33:C34">
    <cfRule type="cellIs" dxfId="409" priority="450" stopIfTrue="1" operator="equal">
      <formula>"Napkin Hs"</formula>
    </cfRule>
  </conditionalFormatting>
  <conditionalFormatting sqref="C33:C34">
    <cfRule type="cellIs" dxfId="408" priority="447" stopIfTrue="1" operator="equal">
      <formula>"Towel"</formula>
    </cfRule>
    <cfRule type="cellIs" dxfId="407" priority="448" stopIfTrue="1" operator="equal">
      <formula>"Napkin Hs"</formula>
    </cfRule>
  </conditionalFormatting>
  <conditionalFormatting sqref="C33:C34">
    <cfRule type="cellIs" dxfId="406" priority="449" stopIfTrue="1" operator="equal">
      <formula>"Towel"</formula>
    </cfRule>
  </conditionalFormatting>
  <conditionalFormatting sqref="B38:C39">
    <cfRule type="cellIs" dxfId="405" priority="445" stopIfTrue="1" operator="equal">
      <formula>"Towel"</formula>
    </cfRule>
    <cfRule type="cellIs" dxfId="404" priority="446" stopIfTrue="1" operator="equal">
      <formula>"Napkin Hs"</formula>
    </cfRule>
  </conditionalFormatting>
  <conditionalFormatting sqref="C38:C39">
    <cfRule type="cellIs" dxfId="403" priority="444" stopIfTrue="1" operator="equal">
      <formula>"Napkin Hs"</formula>
    </cfRule>
  </conditionalFormatting>
  <conditionalFormatting sqref="C38:C39">
    <cfRule type="cellIs" dxfId="402" priority="441" stopIfTrue="1" operator="equal">
      <formula>"Towel"</formula>
    </cfRule>
    <cfRule type="cellIs" dxfId="401" priority="442" stopIfTrue="1" operator="equal">
      <formula>"Napkin Hs"</formula>
    </cfRule>
  </conditionalFormatting>
  <conditionalFormatting sqref="C38:C39">
    <cfRule type="cellIs" dxfId="400" priority="443" stopIfTrue="1" operator="equal">
      <formula>"Towel"</formula>
    </cfRule>
  </conditionalFormatting>
  <conditionalFormatting sqref="B37:C37">
    <cfRule type="cellIs" dxfId="399" priority="439" stopIfTrue="1" operator="equal">
      <formula>"Towel"</formula>
    </cfRule>
    <cfRule type="cellIs" dxfId="398" priority="440" stopIfTrue="1" operator="equal">
      <formula>"Napkin Hs"</formula>
    </cfRule>
  </conditionalFormatting>
  <conditionalFormatting sqref="C37">
    <cfRule type="cellIs" dxfId="397" priority="438" stopIfTrue="1" operator="equal">
      <formula>"Napkin Hs"</formula>
    </cfRule>
  </conditionalFormatting>
  <conditionalFormatting sqref="C37">
    <cfRule type="cellIs" dxfId="396" priority="435" stopIfTrue="1" operator="equal">
      <formula>"Towel"</formula>
    </cfRule>
    <cfRule type="cellIs" dxfId="395" priority="436" stopIfTrue="1" operator="equal">
      <formula>"Napkin Hs"</formula>
    </cfRule>
  </conditionalFormatting>
  <conditionalFormatting sqref="C37">
    <cfRule type="cellIs" dxfId="394" priority="437" stopIfTrue="1" operator="equal">
      <formula>"Towel"</formula>
    </cfRule>
  </conditionalFormatting>
  <conditionalFormatting sqref="B42:C43">
    <cfRule type="cellIs" dxfId="393" priority="433" stopIfTrue="1" operator="equal">
      <formula>"Towel"</formula>
    </cfRule>
    <cfRule type="cellIs" dxfId="392" priority="434" stopIfTrue="1" operator="equal">
      <formula>"Napkin Hs"</formula>
    </cfRule>
  </conditionalFormatting>
  <conditionalFormatting sqref="C42:C43">
    <cfRule type="cellIs" dxfId="391" priority="432" stopIfTrue="1" operator="equal">
      <formula>"Napkin Hs"</formula>
    </cfRule>
  </conditionalFormatting>
  <conditionalFormatting sqref="C42:C43">
    <cfRule type="cellIs" dxfId="390" priority="429" stopIfTrue="1" operator="equal">
      <formula>"Towel"</formula>
    </cfRule>
    <cfRule type="cellIs" dxfId="389" priority="430" stopIfTrue="1" operator="equal">
      <formula>"Napkin Hs"</formula>
    </cfRule>
  </conditionalFormatting>
  <conditionalFormatting sqref="C42:C43">
    <cfRule type="cellIs" dxfId="388" priority="431" stopIfTrue="1" operator="equal">
      <formula>"Towel"</formula>
    </cfRule>
  </conditionalFormatting>
  <conditionalFormatting sqref="B41:C41">
    <cfRule type="cellIs" dxfId="387" priority="427" stopIfTrue="1" operator="equal">
      <formula>"Towel"</formula>
    </cfRule>
    <cfRule type="cellIs" dxfId="386" priority="428" stopIfTrue="1" operator="equal">
      <formula>"Napkin Hs"</formula>
    </cfRule>
  </conditionalFormatting>
  <conditionalFormatting sqref="C41">
    <cfRule type="cellIs" dxfId="385" priority="426" stopIfTrue="1" operator="equal">
      <formula>"Napkin Hs"</formula>
    </cfRule>
  </conditionalFormatting>
  <conditionalFormatting sqref="C41">
    <cfRule type="cellIs" dxfId="384" priority="423" stopIfTrue="1" operator="equal">
      <formula>"Towel"</formula>
    </cfRule>
    <cfRule type="cellIs" dxfId="383" priority="424" stopIfTrue="1" operator="equal">
      <formula>"Napkin Hs"</formula>
    </cfRule>
  </conditionalFormatting>
  <conditionalFormatting sqref="C41">
    <cfRule type="cellIs" dxfId="382" priority="425" stopIfTrue="1" operator="equal">
      <formula>"Towel"</formula>
    </cfRule>
  </conditionalFormatting>
  <conditionalFormatting sqref="B46:C47">
    <cfRule type="cellIs" dxfId="381" priority="421" stopIfTrue="1" operator="equal">
      <formula>"Towel"</formula>
    </cfRule>
    <cfRule type="cellIs" dxfId="380" priority="422" stopIfTrue="1" operator="equal">
      <formula>"Napkin Hs"</formula>
    </cfRule>
  </conditionalFormatting>
  <conditionalFormatting sqref="C46:C47">
    <cfRule type="cellIs" dxfId="379" priority="420" stopIfTrue="1" operator="equal">
      <formula>"Napkin Hs"</formula>
    </cfRule>
  </conditionalFormatting>
  <conditionalFormatting sqref="C46:C47">
    <cfRule type="cellIs" dxfId="378" priority="417" stopIfTrue="1" operator="equal">
      <formula>"Towel"</formula>
    </cfRule>
    <cfRule type="cellIs" dxfId="377" priority="418" stopIfTrue="1" operator="equal">
      <formula>"Napkin Hs"</formula>
    </cfRule>
  </conditionalFormatting>
  <conditionalFormatting sqref="C46:C47">
    <cfRule type="cellIs" dxfId="376" priority="419" stopIfTrue="1" operator="equal">
      <formula>"Towel"</formula>
    </cfRule>
  </conditionalFormatting>
  <conditionalFormatting sqref="B45:C45">
    <cfRule type="cellIs" dxfId="375" priority="415" stopIfTrue="1" operator="equal">
      <formula>"Towel"</formula>
    </cfRule>
    <cfRule type="cellIs" dxfId="374" priority="416" stopIfTrue="1" operator="equal">
      <formula>"Napkin Hs"</formula>
    </cfRule>
  </conditionalFormatting>
  <conditionalFormatting sqref="C45">
    <cfRule type="cellIs" dxfId="373" priority="414" stopIfTrue="1" operator="equal">
      <formula>"Napkin Hs"</formula>
    </cfRule>
  </conditionalFormatting>
  <conditionalFormatting sqref="C45">
    <cfRule type="cellIs" dxfId="372" priority="411" stopIfTrue="1" operator="equal">
      <formula>"Towel"</formula>
    </cfRule>
    <cfRule type="cellIs" dxfId="371" priority="412" stopIfTrue="1" operator="equal">
      <formula>"Napkin Hs"</formula>
    </cfRule>
  </conditionalFormatting>
  <conditionalFormatting sqref="C45">
    <cfRule type="cellIs" dxfId="370" priority="413" stopIfTrue="1" operator="equal">
      <formula>"Towel"</formula>
    </cfRule>
  </conditionalFormatting>
  <conditionalFormatting sqref="B52:C52">
    <cfRule type="cellIs" dxfId="369" priority="409" stopIfTrue="1" operator="equal">
      <formula>"Towel"</formula>
    </cfRule>
    <cfRule type="cellIs" dxfId="368" priority="410" stopIfTrue="1" operator="equal">
      <formula>"Napkin Hs"</formula>
    </cfRule>
  </conditionalFormatting>
  <conditionalFormatting sqref="C52">
    <cfRule type="cellIs" dxfId="367" priority="408" stopIfTrue="1" operator="equal">
      <formula>"Napkin Hs"</formula>
    </cfRule>
  </conditionalFormatting>
  <conditionalFormatting sqref="C52">
    <cfRule type="cellIs" dxfId="366" priority="405" stopIfTrue="1" operator="equal">
      <formula>"Towel"</formula>
    </cfRule>
    <cfRule type="cellIs" dxfId="365" priority="406" stopIfTrue="1" operator="equal">
      <formula>"Napkin Hs"</formula>
    </cfRule>
  </conditionalFormatting>
  <conditionalFormatting sqref="C52">
    <cfRule type="cellIs" dxfId="364" priority="407" stopIfTrue="1" operator="equal">
      <formula>"Towel"</formula>
    </cfRule>
  </conditionalFormatting>
  <conditionalFormatting sqref="B50:C51">
    <cfRule type="cellIs" dxfId="363" priority="403" stopIfTrue="1" operator="equal">
      <formula>"Towel"</formula>
    </cfRule>
    <cfRule type="cellIs" dxfId="362" priority="404" stopIfTrue="1" operator="equal">
      <formula>"Napkin Hs"</formula>
    </cfRule>
  </conditionalFormatting>
  <conditionalFormatting sqref="C50:C51">
    <cfRule type="cellIs" dxfId="361" priority="402" stopIfTrue="1" operator="equal">
      <formula>"Napkin Hs"</formula>
    </cfRule>
  </conditionalFormatting>
  <conditionalFormatting sqref="C50:C51">
    <cfRule type="cellIs" dxfId="360" priority="399" stopIfTrue="1" operator="equal">
      <formula>"Towel"</formula>
    </cfRule>
    <cfRule type="cellIs" dxfId="359" priority="400" stopIfTrue="1" operator="equal">
      <formula>"Napkin Hs"</formula>
    </cfRule>
  </conditionalFormatting>
  <conditionalFormatting sqref="C50:C51">
    <cfRule type="cellIs" dxfId="358" priority="401" stopIfTrue="1" operator="equal">
      <formula>"Towel"</formula>
    </cfRule>
  </conditionalFormatting>
  <conditionalFormatting sqref="B49:C49">
    <cfRule type="cellIs" dxfId="357" priority="397" stopIfTrue="1" operator="equal">
      <formula>"Towel"</formula>
    </cfRule>
    <cfRule type="cellIs" dxfId="356" priority="398" stopIfTrue="1" operator="equal">
      <formula>"Napkin Hs"</formula>
    </cfRule>
  </conditionalFormatting>
  <conditionalFormatting sqref="C49">
    <cfRule type="cellIs" dxfId="355" priority="396" stopIfTrue="1" operator="equal">
      <formula>"Napkin Hs"</formula>
    </cfRule>
  </conditionalFormatting>
  <conditionalFormatting sqref="C49">
    <cfRule type="cellIs" dxfId="354" priority="393" stopIfTrue="1" operator="equal">
      <formula>"Towel"</formula>
    </cfRule>
    <cfRule type="cellIs" dxfId="353" priority="394" stopIfTrue="1" operator="equal">
      <formula>"Napkin Hs"</formula>
    </cfRule>
  </conditionalFormatting>
  <conditionalFormatting sqref="C49">
    <cfRule type="cellIs" dxfId="352" priority="395" stopIfTrue="1" operator="equal">
      <formula>"Towel"</formula>
    </cfRule>
  </conditionalFormatting>
  <conditionalFormatting sqref="B56:C56">
    <cfRule type="cellIs" dxfId="351" priority="391" stopIfTrue="1" operator="equal">
      <formula>"Towel"</formula>
    </cfRule>
    <cfRule type="cellIs" dxfId="350" priority="392" stopIfTrue="1" operator="equal">
      <formula>"Napkin Hs"</formula>
    </cfRule>
  </conditionalFormatting>
  <conditionalFormatting sqref="C56">
    <cfRule type="cellIs" dxfId="349" priority="390" stopIfTrue="1" operator="equal">
      <formula>"Napkin Hs"</formula>
    </cfRule>
  </conditionalFormatting>
  <conditionalFormatting sqref="C56">
    <cfRule type="cellIs" dxfId="348" priority="387" stopIfTrue="1" operator="equal">
      <formula>"Towel"</formula>
    </cfRule>
    <cfRule type="cellIs" dxfId="347" priority="388" stopIfTrue="1" operator="equal">
      <formula>"Napkin Hs"</formula>
    </cfRule>
  </conditionalFormatting>
  <conditionalFormatting sqref="C56">
    <cfRule type="cellIs" dxfId="346" priority="389" stopIfTrue="1" operator="equal">
      <formula>"Towel"</formula>
    </cfRule>
  </conditionalFormatting>
  <conditionalFormatting sqref="B61:C61">
    <cfRule type="cellIs" dxfId="345" priority="385" stopIfTrue="1" operator="equal">
      <formula>"Towel"</formula>
    </cfRule>
    <cfRule type="cellIs" dxfId="344" priority="386" stopIfTrue="1" operator="equal">
      <formula>"Napkin Hs"</formula>
    </cfRule>
  </conditionalFormatting>
  <conditionalFormatting sqref="C61">
    <cfRule type="cellIs" dxfId="343" priority="384" stopIfTrue="1" operator="equal">
      <formula>"Napkin Hs"</formula>
    </cfRule>
  </conditionalFormatting>
  <conditionalFormatting sqref="C61">
    <cfRule type="cellIs" dxfId="342" priority="381" stopIfTrue="1" operator="equal">
      <formula>"Towel"</formula>
    </cfRule>
    <cfRule type="cellIs" dxfId="341" priority="382" stopIfTrue="1" operator="equal">
      <formula>"Napkin Hs"</formula>
    </cfRule>
  </conditionalFormatting>
  <conditionalFormatting sqref="C61">
    <cfRule type="cellIs" dxfId="340" priority="383" stopIfTrue="1" operator="equal">
      <formula>"Towel"</formula>
    </cfRule>
  </conditionalFormatting>
  <conditionalFormatting sqref="B54:C55">
    <cfRule type="cellIs" dxfId="339" priority="379" stopIfTrue="1" operator="equal">
      <formula>"Towel"</formula>
    </cfRule>
    <cfRule type="cellIs" dxfId="338" priority="380" stopIfTrue="1" operator="equal">
      <formula>"Napkin Hs"</formula>
    </cfRule>
  </conditionalFormatting>
  <conditionalFormatting sqref="C54:C55">
    <cfRule type="cellIs" dxfId="337" priority="378" stopIfTrue="1" operator="equal">
      <formula>"Napkin Hs"</formula>
    </cfRule>
  </conditionalFormatting>
  <conditionalFormatting sqref="C54:C55">
    <cfRule type="cellIs" dxfId="336" priority="375" stopIfTrue="1" operator="equal">
      <formula>"Towel"</formula>
    </cfRule>
    <cfRule type="cellIs" dxfId="335" priority="376" stopIfTrue="1" operator="equal">
      <formula>"Napkin Hs"</formula>
    </cfRule>
  </conditionalFormatting>
  <conditionalFormatting sqref="C54:C55">
    <cfRule type="cellIs" dxfId="334" priority="377" stopIfTrue="1" operator="equal">
      <formula>"Towel"</formula>
    </cfRule>
  </conditionalFormatting>
  <conditionalFormatting sqref="B53:C53">
    <cfRule type="cellIs" dxfId="333" priority="373" stopIfTrue="1" operator="equal">
      <formula>"Towel"</formula>
    </cfRule>
    <cfRule type="cellIs" dxfId="332" priority="374" stopIfTrue="1" operator="equal">
      <formula>"Napkin Hs"</formula>
    </cfRule>
  </conditionalFormatting>
  <conditionalFormatting sqref="C53">
    <cfRule type="cellIs" dxfId="331" priority="372" stopIfTrue="1" operator="equal">
      <formula>"Napkin Hs"</formula>
    </cfRule>
  </conditionalFormatting>
  <conditionalFormatting sqref="C53">
    <cfRule type="cellIs" dxfId="330" priority="369" stopIfTrue="1" operator="equal">
      <formula>"Towel"</formula>
    </cfRule>
    <cfRule type="cellIs" dxfId="329" priority="370" stopIfTrue="1" operator="equal">
      <formula>"Napkin Hs"</formula>
    </cfRule>
  </conditionalFormatting>
  <conditionalFormatting sqref="C53">
    <cfRule type="cellIs" dxfId="328" priority="371" stopIfTrue="1" operator="equal">
      <formula>"Towel"</formula>
    </cfRule>
  </conditionalFormatting>
  <conditionalFormatting sqref="B59:C60">
    <cfRule type="cellIs" dxfId="327" priority="367" stopIfTrue="1" operator="equal">
      <formula>"Towel"</formula>
    </cfRule>
    <cfRule type="cellIs" dxfId="326" priority="368" stopIfTrue="1" operator="equal">
      <formula>"Napkin Hs"</formula>
    </cfRule>
  </conditionalFormatting>
  <conditionalFormatting sqref="C59:C60">
    <cfRule type="cellIs" dxfId="325" priority="366" stopIfTrue="1" operator="equal">
      <formula>"Napkin Hs"</formula>
    </cfRule>
  </conditionalFormatting>
  <conditionalFormatting sqref="C59:C60">
    <cfRule type="cellIs" dxfId="324" priority="363" stopIfTrue="1" operator="equal">
      <formula>"Towel"</formula>
    </cfRule>
    <cfRule type="cellIs" dxfId="323" priority="364" stopIfTrue="1" operator="equal">
      <formula>"Napkin Hs"</formula>
    </cfRule>
  </conditionalFormatting>
  <conditionalFormatting sqref="C59:C60">
    <cfRule type="cellIs" dxfId="322" priority="365" stopIfTrue="1" operator="equal">
      <formula>"Towel"</formula>
    </cfRule>
  </conditionalFormatting>
  <conditionalFormatting sqref="B57:C58">
    <cfRule type="cellIs" dxfId="321" priority="361" stopIfTrue="1" operator="equal">
      <formula>"Towel"</formula>
    </cfRule>
    <cfRule type="cellIs" dxfId="320" priority="362" stopIfTrue="1" operator="equal">
      <formula>"Napkin Hs"</formula>
    </cfRule>
  </conditionalFormatting>
  <conditionalFormatting sqref="C57:C58">
    <cfRule type="cellIs" dxfId="319" priority="360" stopIfTrue="1" operator="equal">
      <formula>"Napkin Hs"</formula>
    </cfRule>
  </conditionalFormatting>
  <conditionalFormatting sqref="C57:C58">
    <cfRule type="cellIs" dxfId="318" priority="357" stopIfTrue="1" operator="equal">
      <formula>"Towel"</formula>
    </cfRule>
    <cfRule type="cellIs" dxfId="317" priority="358" stopIfTrue="1" operator="equal">
      <formula>"Napkin Hs"</formula>
    </cfRule>
  </conditionalFormatting>
  <conditionalFormatting sqref="C57:C58">
    <cfRule type="cellIs" dxfId="316" priority="359" stopIfTrue="1" operator="equal">
      <formula>"Towel"</formula>
    </cfRule>
  </conditionalFormatting>
  <conditionalFormatting sqref="C66">
    <cfRule type="cellIs" dxfId="315" priority="355" stopIfTrue="1" operator="equal">
      <formula>"Towel"</formula>
    </cfRule>
    <cfRule type="cellIs" dxfId="314" priority="356" stopIfTrue="1" operator="equal">
      <formula>"Napkin Hs"</formula>
    </cfRule>
  </conditionalFormatting>
  <conditionalFormatting sqref="C66">
    <cfRule type="cellIs" dxfId="313" priority="351" stopIfTrue="1" operator="equal">
      <formula>"Towel"</formula>
    </cfRule>
    <cfRule type="cellIs" dxfId="312" priority="352" stopIfTrue="1" operator="equal">
      <formula>"Napkin Hs"</formula>
    </cfRule>
  </conditionalFormatting>
  <conditionalFormatting sqref="C66">
    <cfRule type="cellIs" dxfId="311" priority="353" stopIfTrue="1" operator="equal">
      <formula>"Towel"</formula>
    </cfRule>
    <cfRule type="cellIs" dxfId="310" priority="354" stopIfTrue="1" operator="equal">
      <formula>"Napkin Hs"</formula>
    </cfRule>
  </conditionalFormatting>
  <conditionalFormatting sqref="B66">
    <cfRule type="cellIs" dxfId="309" priority="349" stopIfTrue="1" operator="equal">
      <formula>"Towel"</formula>
    </cfRule>
    <cfRule type="cellIs" dxfId="308" priority="350" stopIfTrue="1" operator="equal">
      <formula>"Napkin Hs"</formula>
    </cfRule>
  </conditionalFormatting>
  <conditionalFormatting sqref="B64:C64 C63">
    <cfRule type="cellIs" dxfId="307" priority="347" stopIfTrue="1" operator="equal">
      <formula>"Towel"</formula>
    </cfRule>
    <cfRule type="cellIs" dxfId="306" priority="348" stopIfTrue="1" operator="equal">
      <formula>"Napkin Hs"</formula>
    </cfRule>
  </conditionalFormatting>
  <conditionalFormatting sqref="C63:C64">
    <cfRule type="cellIs" dxfId="305" priority="346" stopIfTrue="1" operator="equal">
      <formula>"Napkin Hs"</formula>
    </cfRule>
  </conditionalFormatting>
  <conditionalFormatting sqref="C63:C64">
    <cfRule type="cellIs" dxfId="304" priority="343" stopIfTrue="1" operator="equal">
      <formula>"Towel"</formula>
    </cfRule>
    <cfRule type="cellIs" dxfId="303" priority="344" stopIfTrue="1" operator="equal">
      <formula>"Napkin Hs"</formula>
    </cfRule>
  </conditionalFormatting>
  <conditionalFormatting sqref="C63:C64">
    <cfRule type="cellIs" dxfId="302" priority="345" stopIfTrue="1" operator="equal">
      <formula>"Towel"</formula>
    </cfRule>
  </conditionalFormatting>
  <conditionalFormatting sqref="B65:C65">
    <cfRule type="cellIs" dxfId="301" priority="341" stopIfTrue="1" operator="equal">
      <formula>"Towel"</formula>
    </cfRule>
    <cfRule type="cellIs" dxfId="300" priority="342" stopIfTrue="1" operator="equal">
      <formula>"Napkin Hs"</formula>
    </cfRule>
  </conditionalFormatting>
  <conditionalFormatting sqref="C65">
    <cfRule type="cellIs" dxfId="299" priority="340" stopIfTrue="1" operator="equal">
      <formula>"Napkin Hs"</formula>
    </cfRule>
  </conditionalFormatting>
  <conditionalFormatting sqref="C65">
    <cfRule type="cellIs" dxfId="298" priority="337" stopIfTrue="1" operator="equal">
      <formula>"Towel"</formula>
    </cfRule>
    <cfRule type="cellIs" dxfId="297" priority="338" stopIfTrue="1" operator="equal">
      <formula>"Napkin Hs"</formula>
    </cfRule>
  </conditionalFormatting>
  <conditionalFormatting sqref="C65">
    <cfRule type="cellIs" dxfId="296" priority="339" stopIfTrue="1" operator="equal">
      <formula>"Towel"</formula>
    </cfRule>
  </conditionalFormatting>
  <conditionalFormatting sqref="B62:C62 B63">
    <cfRule type="cellIs" dxfId="295" priority="335" stopIfTrue="1" operator="equal">
      <formula>"Towel"</formula>
    </cfRule>
    <cfRule type="cellIs" dxfId="294" priority="336" stopIfTrue="1" operator="equal">
      <formula>"Napkin Hs"</formula>
    </cfRule>
  </conditionalFormatting>
  <conditionalFormatting sqref="C62">
    <cfRule type="cellIs" dxfId="293" priority="334" stopIfTrue="1" operator="equal">
      <formula>"Napkin Hs"</formula>
    </cfRule>
  </conditionalFormatting>
  <conditionalFormatting sqref="C62">
    <cfRule type="cellIs" dxfId="292" priority="331" stopIfTrue="1" operator="equal">
      <formula>"Towel"</formula>
    </cfRule>
    <cfRule type="cellIs" dxfId="291" priority="332" stopIfTrue="1" operator="equal">
      <formula>"Napkin Hs"</formula>
    </cfRule>
  </conditionalFormatting>
  <conditionalFormatting sqref="C62">
    <cfRule type="cellIs" dxfId="290" priority="333" stopIfTrue="1" operator="equal">
      <formula>"Towel"</formula>
    </cfRule>
  </conditionalFormatting>
  <conditionalFormatting sqref="B68:C68">
    <cfRule type="cellIs" dxfId="289" priority="329" stopIfTrue="1" operator="equal">
      <formula>"Towel"</formula>
    </cfRule>
    <cfRule type="cellIs" dxfId="288" priority="330" stopIfTrue="1" operator="equal">
      <formula>"Napkin Hs"</formula>
    </cfRule>
  </conditionalFormatting>
  <conditionalFormatting sqref="C68">
    <cfRule type="cellIs" dxfId="287" priority="328" stopIfTrue="1" operator="equal">
      <formula>"Napkin Hs"</formula>
    </cfRule>
  </conditionalFormatting>
  <conditionalFormatting sqref="C68">
    <cfRule type="cellIs" dxfId="286" priority="325" stopIfTrue="1" operator="equal">
      <formula>"Towel"</formula>
    </cfRule>
    <cfRule type="cellIs" dxfId="285" priority="326" stopIfTrue="1" operator="equal">
      <formula>"Napkin Hs"</formula>
    </cfRule>
  </conditionalFormatting>
  <conditionalFormatting sqref="C68">
    <cfRule type="cellIs" dxfId="284" priority="327" stopIfTrue="1" operator="equal">
      <formula>"Towel"</formula>
    </cfRule>
  </conditionalFormatting>
  <conditionalFormatting sqref="B67:C67">
    <cfRule type="cellIs" dxfId="283" priority="323" stopIfTrue="1" operator="equal">
      <formula>"Towel"</formula>
    </cfRule>
    <cfRule type="cellIs" dxfId="282" priority="324" stopIfTrue="1" operator="equal">
      <formula>"Napkin Hs"</formula>
    </cfRule>
  </conditionalFormatting>
  <conditionalFormatting sqref="C67">
    <cfRule type="cellIs" dxfId="281" priority="322" stopIfTrue="1" operator="equal">
      <formula>"Napkin Hs"</formula>
    </cfRule>
  </conditionalFormatting>
  <conditionalFormatting sqref="C67">
    <cfRule type="cellIs" dxfId="280" priority="319" stopIfTrue="1" operator="equal">
      <formula>"Towel"</formula>
    </cfRule>
    <cfRule type="cellIs" dxfId="279" priority="320" stopIfTrue="1" operator="equal">
      <formula>"Napkin Hs"</formula>
    </cfRule>
  </conditionalFormatting>
  <conditionalFormatting sqref="C67">
    <cfRule type="cellIs" dxfId="278" priority="321" stopIfTrue="1" operator="equal">
      <formula>"Towel"</formula>
    </cfRule>
  </conditionalFormatting>
  <conditionalFormatting sqref="B72:C73">
    <cfRule type="cellIs" dxfId="277" priority="317" stopIfTrue="1" operator="equal">
      <formula>"Towel"</formula>
    </cfRule>
    <cfRule type="cellIs" dxfId="276" priority="318" stopIfTrue="1" operator="equal">
      <formula>"Napkin Hs"</formula>
    </cfRule>
  </conditionalFormatting>
  <conditionalFormatting sqref="C72:C73">
    <cfRule type="cellIs" dxfId="275" priority="316" stopIfTrue="1" operator="equal">
      <formula>"Napkin Hs"</formula>
    </cfRule>
  </conditionalFormatting>
  <conditionalFormatting sqref="C72:C73">
    <cfRule type="cellIs" dxfId="274" priority="313" stopIfTrue="1" operator="equal">
      <formula>"Towel"</formula>
    </cfRule>
    <cfRule type="cellIs" dxfId="273" priority="314" stopIfTrue="1" operator="equal">
      <formula>"Napkin Hs"</formula>
    </cfRule>
  </conditionalFormatting>
  <conditionalFormatting sqref="C72:C73">
    <cfRule type="cellIs" dxfId="272" priority="315" stopIfTrue="1" operator="equal">
      <formula>"Towel"</formula>
    </cfRule>
  </conditionalFormatting>
  <conditionalFormatting sqref="B71:C71">
    <cfRule type="cellIs" dxfId="271" priority="311" stopIfTrue="1" operator="equal">
      <formula>"Towel"</formula>
    </cfRule>
    <cfRule type="cellIs" dxfId="270" priority="312" stopIfTrue="1" operator="equal">
      <formula>"Napkin Hs"</formula>
    </cfRule>
  </conditionalFormatting>
  <conditionalFormatting sqref="C71">
    <cfRule type="cellIs" dxfId="269" priority="310" stopIfTrue="1" operator="equal">
      <formula>"Napkin Hs"</formula>
    </cfRule>
  </conditionalFormatting>
  <conditionalFormatting sqref="C71">
    <cfRule type="cellIs" dxfId="268" priority="307" stopIfTrue="1" operator="equal">
      <formula>"Towel"</formula>
    </cfRule>
    <cfRule type="cellIs" dxfId="267" priority="308" stopIfTrue="1" operator="equal">
      <formula>"Napkin Hs"</formula>
    </cfRule>
  </conditionalFormatting>
  <conditionalFormatting sqref="C71">
    <cfRule type="cellIs" dxfId="266" priority="309" stopIfTrue="1" operator="equal">
      <formula>"Towel"</formula>
    </cfRule>
  </conditionalFormatting>
  <conditionalFormatting sqref="B76:C77">
    <cfRule type="cellIs" dxfId="265" priority="305" stopIfTrue="1" operator="equal">
      <formula>"Towel"</formula>
    </cfRule>
    <cfRule type="cellIs" dxfId="264" priority="306" stopIfTrue="1" operator="equal">
      <formula>"Napkin Hs"</formula>
    </cfRule>
  </conditionalFormatting>
  <conditionalFormatting sqref="C76:C77">
    <cfRule type="cellIs" dxfId="263" priority="304" stopIfTrue="1" operator="equal">
      <formula>"Napkin Hs"</formula>
    </cfRule>
  </conditionalFormatting>
  <conditionalFormatting sqref="C76:C77">
    <cfRule type="cellIs" dxfId="262" priority="301" stopIfTrue="1" operator="equal">
      <formula>"Towel"</formula>
    </cfRule>
    <cfRule type="cellIs" dxfId="261" priority="302" stopIfTrue="1" operator="equal">
      <formula>"Napkin Hs"</formula>
    </cfRule>
  </conditionalFormatting>
  <conditionalFormatting sqref="C76:C77">
    <cfRule type="cellIs" dxfId="260" priority="303" stopIfTrue="1" operator="equal">
      <formula>"Towel"</formula>
    </cfRule>
  </conditionalFormatting>
  <conditionalFormatting sqref="B75:C75">
    <cfRule type="cellIs" dxfId="259" priority="299" stopIfTrue="1" operator="equal">
      <formula>"Towel"</formula>
    </cfRule>
    <cfRule type="cellIs" dxfId="258" priority="300" stopIfTrue="1" operator="equal">
      <formula>"Napkin Hs"</formula>
    </cfRule>
  </conditionalFormatting>
  <conditionalFormatting sqref="C75">
    <cfRule type="cellIs" dxfId="257" priority="298" stopIfTrue="1" operator="equal">
      <formula>"Napkin Hs"</formula>
    </cfRule>
  </conditionalFormatting>
  <conditionalFormatting sqref="C75">
    <cfRule type="cellIs" dxfId="256" priority="295" stopIfTrue="1" operator="equal">
      <formula>"Towel"</formula>
    </cfRule>
    <cfRule type="cellIs" dxfId="255" priority="296" stopIfTrue="1" operator="equal">
      <formula>"Napkin Hs"</formula>
    </cfRule>
  </conditionalFormatting>
  <conditionalFormatting sqref="C75">
    <cfRule type="cellIs" dxfId="254" priority="297" stopIfTrue="1" operator="equal">
      <formula>"Towel"</formula>
    </cfRule>
  </conditionalFormatting>
  <conditionalFormatting sqref="B81:C81">
    <cfRule type="cellIs" dxfId="253" priority="293" stopIfTrue="1" operator="equal">
      <formula>"Towel"</formula>
    </cfRule>
    <cfRule type="cellIs" dxfId="252" priority="294" stopIfTrue="1" operator="equal">
      <formula>"Napkin Hs"</formula>
    </cfRule>
  </conditionalFormatting>
  <conditionalFormatting sqref="C81">
    <cfRule type="cellIs" dxfId="251" priority="292" stopIfTrue="1" operator="equal">
      <formula>"Napkin Hs"</formula>
    </cfRule>
  </conditionalFormatting>
  <conditionalFormatting sqref="C81">
    <cfRule type="cellIs" dxfId="250" priority="289" stopIfTrue="1" operator="equal">
      <formula>"Towel"</formula>
    </cfRule>
    <cfRule type="cellIs" dxfId="249" priority="290" stopIfTrue="1" operator="equal">
      <formula>"Napkin Hs"</formula>
    </cfRule>
  </conditionalFormatting>
  <conditionalFormatting sqref="C81">
    <cfRule type="cellIs" dxfId="248" priority="291" stopIfTrue="1" operator="equal">
      <formula>"Towel"</formula>
    </cfRule>
  </conditionalFormatting>
  <conditionalFormatting sqref="B79:C80">
    <cfRule type="cellIs" dxfId="247" priority="287" stopIfTrue="1" operator="equal">
      <formula>"Towel"</formula>
    </cfRule>
    <cfRule type="cellIs" dxfId="246" priority="288" stopIfTrue="1" operator="equal">
      <formula>"Napkin Hs"</formula>
    </cfRule>
  </conditionalFormatting>
  <conditionalFormatting sqref="C79:C80">
    <cfRule type="cellIs" dxfId="245" priority="286" stopIfTrue="1" operator="equal">
      <formula>"Napkin Hs"</formula>
    </cfRule>
  </conditionalFormatting>
  <conditionalFormatting sqref="C79:C80">
    <cfRule type="cellIs" dxfId="244" priority="283" stopIfTrue="1" operator="equal">
      <formula>"Towel"</formula>
    </cfRule>
    <cfRule type="cellIs" dxfId="243" priority="284" stopIfTrue="1" operator="equal">
      <formula>"Napkin Hs"</formula>
    </cfRule>
  </conditionalFormatting>
  <conditionalFormatting sqref="C79:C80">
    <cfRule type="cellIs" dxfId="242" priority="285" stopIfTrue="1" operator="equal">
      <formula>"Towel"</formula>
    </cfRule>
  </conditionalFormatting>
  <conditionalFormatting sqref="B85:C85">
    <cfRule type="cellIs" dxfId="241" priority="281" stopIfTrue="1" operator="equal">
      <formula>"Towel"</formula>
    </cfRule>
    <cfRule type="cellIs" dxfId="240" priority="282" stopIfTrue="1" operator="equal">
      <formula>"Napkin Hs"</formula>
    </cfRule>
  </conditionalFormatting>
  <conditionalFormatting sqref="C85">
    <cfRule type="cellIs" dxfId="239" priority="280" stopIfTrue="1" operator="equal">
      <formula>"Napkin Hs"</formula>
    </cfRule>
  </conditionalFormatting>
  <conditionalFormatting sqref="C85">
    <cfRule type="cellIs" dxfId="238" priority="277" stopIfTrue="1" operator="equal">
      <formula>"Towel"</formula>
    </cfRule>
    <cfRule type="cellIs" dxfId="237" priority="278" stopIfTrue="1" operator="equal">
      <formula>"Napkin Hs"</formula>
    </cfRule>
  </conditionalFormatting>
  <conditionalFormatting sqref="C85">
    <cfRule type="cellIs" dxfId="236" priority="279" stopIfTrue="1" operator="equal">
      <formula>"Towel"</formula>
    </cfRule>
  </conditionalFormatting>
  <conditionalFormatting sqref="B84:C84">
    <cfRule type="cellIs" dxfId="235" priority="275" stopIfTrue="1" operator="equal">
      <formula>"Towel"</formula>
    </cfRule>
    <cfRule type="cellIs" dxfId="234" priority="276" stopIfTrue="1" operator="equal">
      <formula>"Napkin Hs"</formula>
    </cfRule>
  </conditionalFormatting>
  <conditionalFormatting sqref="C84">
    <cfRule type="cellIs" dxfId="233" priority="274" stopIfTrue="1" operator="equal">
      <formula>"Napkin Hs"</formula>
    </cfRule>
  </conditionalFormatting>
  <conditionalFormatting sqref="C84">
    <cfRule type="cellIs" dxfId="232" priority="271" stopIfTrue="1" operator="equal">
      <formula>"Towel"</formula>
    </cfRule>
    <cfRule type="cellIs" dxfId="231" priority="272" stopIfTrue="1" operator="equal">
      <formula>"Napkin Hs"</formula>
    </cfRule>
  </conditionalFormatting>
  <conditionalFormatting sqref="C84">
    <cfRule type="cellIs" dxfId="230" priority="273" stopIfTrue="1" operator="equal">
      <formula>"Towel"</formula>
    </cfRule>
  </conditionalFormatting>
  <conditionalFormatting sqref="B83:C83">
    <cfRule type="cellIs" dxfId="229" priority="269" stopIfTrue="1" operator="equal">
      <formula>"Towel"</formula>
    </cfRule>
    <cfRule type="cellIs" dxfId="228" priority="270" stopIfTrue="1" operator="equal">
      <formula>"Napkin Hs"</formula>
    </cfRule>
  </conditionalFormatting>
  <conditionalFormatting sqref="C83">
    <cfRule type="cellIs" dxfId="227" priority="268" stopIfTrue="1" operator="equal">
      <formula>"Napkin Hs"</formula>
    </cfRule>
  </conditionalFormatting>
  <conditionalFormatting sqref="C83">
    <cfRule type="cellIs" dxfId="226" priority="265" stopIfTrue="1" operator="equal">
      <formula>"Towel"</formula>
    </cfRule>
    <cfRule type="cellIs" dxfId="225" priority="266" stopIfTrue="1" operator="equal">
      <formula>"Napkin Hs"</formula>
    </cfRule>
  </conditionalFormatting>
  <conditionalFormatting sqref="C83">
    <cfRule type="cellIs" dxfId="224" priority="267" stopIfTrue="1" operator="equal">
      <formula>"Towel"</formula>
    </cfRule>
  </conditionalFormatting>
  <conditionalFormatting sqref="B89:C89">
    <cfRule type="cellIs" dxfId="223" priority="263" stopIfTrue="1" operator="equal">
      <formula>"Towel"</formula>
    </cfRule>
    <cfRule type="cellIs" dxfId="222" priority="264" stopIfTrue="1" operator="equal">
      <formula>"Napkin Hs"</formula>
    </cfRule>
  </conditionalFormatting>
  <conditionalFormatting sqref="C89">
    <cfRule type="cellIs" dxfId="221" priority="262" stopIfTrue="1" operator="equal">
      <formula>"Napkin Hs"</formula>
    </cfRule>
  </conditionalFormatting>
  <conditionalFormatting sqref="C89">
    <cfRule type="cellIs" dxfId="220" priority="259" stopIfTrue="1" operator="equal">
      <formula>"Towel"</formula>
    </cfRule>
    <cfRule type="cellIs" dxfId="219" priority="260" stopIfTrue="1" operator="equal">
      <formula>"Napkin Hs"</formula>
    </cfRule>
  </conditionalFormatting>
  <conditionalFormatting sqref="C89">
    <cfRule type="cellIs" dxfId="218" priority="261" stopIfTrue="1" operator="equal">
      <formula>"Towel"</formula>
    </cfRule>
  </conditionalFormatting>
  <conditionalFormatting sqref="B88:C88">
    <cfRule type="cellIs" dxfId="217" priority="257" stopIfTrue="1" operator="equal">
      <formula>"Towel"</formula>
    </cfRule>
    <cfRule type="cellIs" dxfId="216" priority="258" stopIfTrue="1" operator="equal">
      <formula>"Napkin Hs"</formula>
    </cfRule>
  </conditionalFormatting>
  <conditionalFormatting sqref="C88">
    <cfRule type="cellIs" dxfId="215" priority="256" stopIfTrue="1" operator="equal">
      <formula>"Napkin Hs"</formula>
    </cfRule>
  </conditionalFormatting>
  <conditionalFormatting sqref="C88">
    <cfRule type="cellIs" dxfId="214" priority="253" stopIfTrue="1" operator="equal">
      <formula>"Towel"</formula>
    </cfRule>
    <cfRule type="cellIs" dxfId="213" priority="254" stopIfTrue="1" operator="equal">
      <formula>"Napkin Hs"</formula>
    </cfRule>
  </conditionalFormatting>
  <conditionalFormatting sqref="C88">
    <cfRule type="cellIs" dxfId="212" priority="255" stopIfTrue="1" operator="equal">
      <formula>"Towel"</formula>
    </cfRule>
  </conditionalFormatting>
  <conditionalFormatting sqref="B87:C87">
    <cfRule type="cellIs" dxfId="211" priority="251" stopIfTrue="1" operator="equal">
      <formula>"Towel"</formula>
    </cfRule>
    <cfRule type="cellIs" dxfId="210" priority="252" stopIfTrue="1" operator="equal">
      <formula>"Napkin Hs"</formula>
    </cfRule>
  </conditionalFormatting>
  <conditionalFormatting sqref="C87">
    <cfRule type="cellIs" dxfId="209" priority="250" stopIfTrue="1" operator="equal">
      <formula>"Napkin Hs"</formula>
    </cfRule>
  </conditionalFormatting>
  <conditionalFormatting sqref="C87">
    <cfRule type="cellIs" dxfId="208" priority="247" stopIfTrue="1" operator="equal">
      <formula>"Towel"</formula>
    </cfRule>
    <cfRule type="cellIs" dxfId="207" priority="248" stopIfTrue="1" operator="equal">
      <formula>"Napkin Hs"</formula>
    </cfRule>
  </conditionalFormatting>
  <conditionalFormatting sqref="C87">
    <cfRule type="cellIs" dxfId="206" priority="249" stopIfTrue="1" operator="equal">
      <formula>"Towel"</formula>
    </cfRule>
  </conditionalFormatting>
  <conditionalFormatting sqref="B93:C93">
    <cfRule type="cellIs" dxfId="205" priority="245" stopIfTrue="1" operator="equal">
      <formula>"Towel"</formula>
    </cfRule>
    <cfRule type="cellIs" dxfId="204" priority="246" stopIfTrue="1" operator="equal">
      <formula>"Napkin Hs"</formula>
    </cfRule>
  </conditionalFormatting>
  <conditionalFormatting sqref="C93">
    <cfRule type="cellIs" dxfId="203" priority="244" stopIfTrue="1" operator="equal">
      <formula>"Napkin Hs"</formula>
    </cfRule>
  </conditionalFormatting>
  <conditionalFormatting sqref="C93">
    <cfRule type="cellIs" dxfId="202" priority="241" stopIfTrue="1" operator="equal">
      <formula>"Towel"</formula>
    </cfRule>
    <cfRule type="cellIs" dxfId="201" priority="242" stopIfTrue="1" operator="equal">
      <formula>"Napkin Hs"</formula>
    </cfRule>
  </conditionalFormatting>
  <conditionalFormatting sqref="C93">
    <cfRule type="cellIs" dxfId="200" priority="243" stopIfTrue="1" operator="equal">
      <formula>"Towel"</formula>
    </cfRule>
  </conditionalFormatting>
  <conditionalFormatting sqref="B91:C91">
    <cfRule type="cellIs" dxfId="199" priority="239" stopIfTrue="1" operator="equal">
      <formula>"Towel"</formula>
    </cfRule>
    <cfRule type="cellIs" dxfId="198" priority="240" stopIfTrue="1" operator="equal">
      <formula>"Napkin Hs"</formula>
    </cfRule>
  </conditionalFormatting>
  <conditionalFormatting sqref="C91">
    <cfRule type="cellIs" dxfId="197" priority="238" stopIfTrue="1" operator="equal">
      <formula>"Napkin Hs"</formula>
    </cfRule>
  </conditionalFormatting>
  <conditionalFormatting sqref="C91">
    <cfRule type="cellIs" dxfId="196" priority="235" stopIfTrue="1" operator="equal">
      <formula>"Towel"</formula>
    </cfRule>
    <cfRule type="cellIs" dxfId="195" priority="236" stopIfTrue="1" operator="equal">
      <formula>"Napkin Hs"</formula>
    </cfRule>
  </conditionalFormatting>
  <conditionalFormatting sqref="C91">
    <cfRule type="cellIs" dxfId="194" priority="237" stopIfTrue="1" operator="equal">
      <formula>"Towel"</formula>
    </cfRule>
  </conditionalFormatting>
  <conditionalFormatting sqref="B92:C92">
    <cfRule type="cellIs" dxfId="193" priority="233" stopIfTrue="1" operator="equal">
      <formula>"Towel"</formula>
    </cfRule>
    <cfRule type="cellIs" dxfId="192" priority="234" stopIfTrue="1" operator="equal">
      <formula>"Napkin Hs"</formula>
    </cfRule>
  </conditionalFormatting>
  <conditionalFormatting sqref="C92">
    <cfRule type="cellIs" dxfId="191" priority="232" stopIfTrue="1" operator="equal">
      <formula>"Napkin Hs"</formula>
    </cfRule>
  </conditionalFormatting>
  <conditionalFormatting sqref="C92">
    <cfRule type="cellIs" dxfId="190" priority="229" stopIfTrue="1" operator="equal">
      <formula>"Towel"</formula>
    </cfRule>
    <cfRule type="cellIs" dxfId="189" priority="230" stopIfTrue="1" operator="equal">
      <formula>"Napkin Hs"</formula>
    </cfRule>
  </conditionalFormatting>
  <conditionalFormatting sqref="C92">
    <cfRule type="cellIs" dxfId="188" priority="231" stopIfTrue="1" operator="equal">
      <formula>"Towel"</formula>
    </cfRule>
  </conditionalFormatting>
  <conditionalFormatting sqref="B97:C97">
    <cfRule type="cellIs" dxfId="187" priority="227" stopIfTrue="1" operator="equal">
      <formula>"Towel"</formula>
    </cfRule>
    <cfRule type="cellIs" dxfId="186" priority="228" stopIfTrue="1" operator="equal">
      <formula>"Napkin Hs"</formula>
    </cfRule>
  </conditionalFormatting>
  <conditionalFormatting sqref="C97">
    <cfRule type="cellIs" dxfId="185" priority="226" stopIfTrue="1" operator="equal">
      <formula>"Napkin Hs"</formula>
    </cfRule>
  </conditionalFormatting>
  <conditionalFormatting sqref="C97">
    <cfRule type="cellIs" dxfId="184" priority="223" stopIfTrue="1" operator="equal">
      <formula>"Towel"</formula>
    </cfRule>
    <cfRule type="cellIs" dxfId="183" priority="224" stopIfTrue="1" operator="equal">
      <formula>"Napkin Hs"</formula>
    </cfRule>
  </conditionalFormatting>
  <conditionalFormatting sqref="C97">
    <cfRule type="cellIs" dxfId="182" priority="225" stopIfTrue="1" operator="equal">
      <formula>"Towel"</formula>
    </cfRule>
  </conditionalFormatting>
  <conditionalFormatting sqref="B95:C95">
    <cfRule type="cellIs" dxfId="181" priority="221" stopIfTrue="1" operator="equal">
      <formula>"Towel"</formula>
    </cfRule>
    <cfRule type="cellIs" dxfId="180" priority="222" stopIfTrue="1" operator="equal">
      <formula>"Napkin Hs"</formula>
    </cfRule>
  </conditionalFormatting>
  <conditionalFormatting sqref="C95">
    <cfRule type="cellIs" dxfId="179" priority="220" stopIfTrue="1" operator="equal">
      <formula>"Napkin Hs"</formula>
    </cfRule>
  </conditionalFormatting>
  <conditionalFormatting sqref="C95">
    <cfRule type="cellIs" dxfId="178" priority="217" stopIfTrue="1" operator="equal">
      <formula>"Towel"</formula>
    </cfRule>
    <cfRule type="cellIs" dxfId="177" priority="218" stopIfTrue="1" operator="equal">
      <formula>"Napkin Hs"</formula>
    </cfRule>
  </conditionalFormatting>
  <conditionalFormatting sqref="C95">
    <cfRule type="cellIs" dxfId="176" priority="219" stopIfTrue="1" operator="equal">
      <formula>"Towel"</formula>
    </cfRule>
  </conditionalFormatting>
  <conditionalFormatting sqref="B96:C96">
    <cfRule type="cellIs" dxfId="175" priority="215" stopIfTrue="1" operator="equal">
      <formula>"Towel"</formula>
    </cfRule>
    <cfRule type="cellIs" dxfId="174" priority="216" stopIfTrue="1" operator="equal">
      <formula>"Napkin Hs"</formula>
    </cfRule>
  </conditionalFormatting>
  <conditionalFormatting sqref="C96">
    <cfRule type="cellIs" dxfId="173" priority="214" stopIfTrue="1" operator="equal">
      <formula>"Napkin Hs"</formula>
    </cfRule>
  </conditionalFormatting>
  <conditionalFormatting sqref="C96">
    <cfRule type="cellIs" dxfId="172" priority="211" stopIfTrue="1" operator="equal">
      <formula>"Towel"</formula>
    </cfRule>
    <cfRule type="cellIs" dxfId="171" priority="212" stopIfTrue="1" operator="equal">
      <formula>"Napkin Hs"</formula>
    </cfRule>
  </conditionalFormatting>
  <conditionalFormatting sqref="C96">
    <cfRule type="cellIs" dxfId="170" priority="213" stopIfTrue="1" operator="equal">
      <formula>"Towel"</formula>
    </cfRule>
  </conditionalFormatting>
  <conditionalFormatting sqref="B101:C102">
    <cfRule type="cellIs" dxfId="169" priority="209" stopIfTrue="1" operator="equal">
      <formula>"Towel"</formula>
    </cfRule>
    <cfRule type="cellIs" dxfId="168" priority="210" stopIfTrue="1" operator="equal">
      <formula>"Napkin Hs"</formula>
    </cfRule>
  </conditionalFormatting>
  <conditionalFormatting sqref="C101:C102">
    <cfRule type="cellIs" dxfId="167" priority="208" stopIfTrue="1" operator="equal">
      <formula>"Napkin Hs"</formula>
    </cfRule>
  </conditionalFormatting>
  <conditionalFormatting sqref="C101:C102">
    <cfRule type="cellIs" dxfId="166" priority="205" stopIfTrue="1" operator="equal">
      <formula>"Towel"</formula>
    </cfRule>
    <cfRule type="cellIs" dxfId="165" priority="206" stopIfTrue="1" operator="equal">
      <formula>"Napkin Hs"</formula>
    </cfRule>
  </conditionalFormatting>
  <conditionalFormatting sqref="C101:C102">
    <cfRule type="cellIs" dxfId="164" priority="207" stopIfTrue="1" operator="equal">
      <formula>"Towel"</formula>
    </cfRule>
  </conditionalFormatting>
  <conditionalFormatting sqref="B100:C100">
    <cfRule type="cellIs" dxfId="163" priority="203" stopIfTrue="1" operator="equal">
      <formula>"Towel"</formula>
    </cfRule>
    <cfRule type="cellIs" dxfId="162" priority="204" stopIfTrue="1" operator="equal">
      <formula>"Napkin Hs"</formula>
    </cfRule>
  </conditionalFormatting>
  <conditionalFormatting sqref="C100">
    <cfRule type="cellIs" dxfId="161" priority="202" stopIfTrue="1" operator="equal">
      <formula>"Napkin Hs"</formula>
    </cfRule>
  </conditionalFormatting>
  <conditionalFormatting sqref="C100">
    <cfRule type="cellIs" dxfId="160" priority="199" stopIfTrue="1" operator="equal">
      <formula>"Towel"</formula>
    </cfRule>
    <cfRule type="cellIs" dxfId="159" priority="200" stopIfTrue="1" operator="equal">
      <formula>"Napkin Hs"</formula>
    </cfRule>
  </conditionalFormatting>
  <conditionalFormatting sqref="C100">
    <cfRule type="cellIs" dxfId="158" priority="201" stopIfTrue="1" operator="equal">
      <formula>"Towel"</formula>
    </cfRule>
  </conditionalFormatting>
  <conditionalFormatting sqref="B99:C99">
    <cfRule type="cellIs" dxfId="157" priority="197" stopIfTrue="1" operator="equal">
      <formula>"Towel"</formula>
    </cfRule>
    <cfRule type="cellIs" dxfId="156" priority="198" stopIfTrue="1" operator="equal">
      <formula>"Napkin Hs"</formula>
    </cfRule>
  </conditionalFormatting>
  <conditionalFormatting sqref="C99">
    <cfRule type="cellIs" dxfId="155" priority="196" stopIfTrue="1" operator="equal">
      <formula>"Napkin Hs"</formula>
    </cfRule>
  </conditionalFormatting>
  <conditionalFormatting sqref="C99">
    <cfRule type="cellIs" dxfId="154" priority="193" stopIfTrue="1" operator="equal">
      <formula>"Towel"</formula>
    </cfRule>
    <cfRule type="cellIs" dxfId="153" priority="194" stopIfTrue="1" operator="equal">
      <formula>"Napkin Hs"</formula>
    </cfRule>
  </conditionalFormatting>
  <conditionalFormatting sqref="C99">
    <cfRule type="cellIs" dxfId="152" priority="195" stopIfTrue="1" operator="equal">
      <formula>"Towel"</formula>
    </cfRule>
  </conditionalFormatting>
  <conditionalFormatting sqref="B106:C107">
    <cfRule type="cellIs" dxfId="151" priority="191" stopIfTrue="1" operator="equal">
      <formula>"Towel"</formula>
    </cfRule>
    <cfRule type="cellIs" dxfId="150" priority="192" stopIfTrue="1" operator="equal">
      <formula>"Napkin Hs"</formula>
    </cfRule>
  </conditionalFormatting>
  <conditionalFormatting sqref="C106:C107">
    <cfRule type="cellIs" dxfId="149" priority="190" stopIfTrue="1" operator="equal">
      <formula>"Napkin Hs"</formula>
    </cfRule>
  </conditionalFormatting>
  <conditionalFormatting sqref="C106:C107">
    <cfRule type="cellIs" dxfId="148" priority="187" stopIfTrue="1" operator="equal">
      <formula>"Towel"</formula>
    </cfRule>
    <cfRule type="cellIs" dxfId="147" priority="188" stopIfTrue="1" operator="equal">
      <formula>"Napkin Hs"</formula>
    </cfRule>
  </conditionalFormatting>
  <conditionalFormatting sqref="C106:C107">
    <cfRule type="cellIs" dxfId="146" priority="189" stopIfTrue="1" operator="equal">
      <formula>"Towel"</formula>
    </cfRule>
  </conditionalFormatting>
  <conditionalFormatting sqref="B105:C105">
    <cfRule type="cellIs" dxfId="145" priority="185" stopIfTrue="1" operator="equal">
      <formula>"Towel"</formula>
    </cfRule>
    <cfRule type="cellIs" dxfId="144" priority="186" stopIfTrue="1" operator="equal">
      <formula>"Napkin Hs"</formula>
    </cfRule>
  </conditionalFormatting>
  <conditionalFormatting sqref="C105">
    <cfRule type="cellIs" dxfId="143" priority="184" stopIfTrue="1" operator="equal">
      <formula>"Napkin Hs"</formula>
    </cfRule>
  </conditionalFormatting>
  <conditionalFormatting sqref="C105">
    <cfRule type="cellIs" dxfId="142" priority="181" stopIfTrue="1" operator="equal">
      <formula>"Towel"</formula>
    </cfRule>
    <cfRule type="cellIs" dxfId="141" priority="182" stopIfTrue="1" operator="equal">
      <formula>"Napkin Hs"</formula>
    </cfRule>
  </conditionalFormatting>
  <conditionalFormatting sqref="C105">
    <cfRule type="cellIs" dxfId="140" priority="183" stopIfTrue="1" operator="equal">
      <formula>"Towel"</formula>
    </cfRule>
  </conditionalFormatting>
  <conditionalFormatting sqref="B104:C104">
    <cfRule type="cellIs" dxfId="139" priority="179" stopIfTrue="1" operator="equal">
      <formula>"Towel"</formula>
    </cfRule>
    <cfRule type="cellIs" dxfId="138" priority="180" stopIfTrue="1" operator="equal">
      <formula>"Napkin Hs"</formula>
    </cfRule>
  </conditionalFormatting>
  <conditionalFormatting sqref="C104">
    <cfRule type="cellIs" dxfId="137" priority="178" stopIfTrue="1" operator="equal">
      <formula>"Napkin Hs"</formula>
    </cfRule>
  </conditionalFormatting>
  <conditionalFormatting sqref="C104">
    <cfRule type="cellIs" dxfId="136" priority="175" stopIfTrue="1" operator="equal">
      <formula>"Towel"</formula>
    </cfRule>
    <cfRule type="cellIs" dxfId="135" priority="176" stopIfTrue="1" operator="equal">
      <formula>"Napkin Hs"</formula>
    </cfRule>
  </conditionalFormatting>
  <conditionalFormatting sqref="C104">
    <cfRule type="cellIs" dxfId="134" priority="177" stopIfTrue="1" operator="equal">
      <formula>"Towel"</formula>
    </cfRule>
  </conditionalFormatting>
  <conditionalFormatting sqref="B111:C112">
    <cfRule type="cellIs" dxfId="133" priority="173" stopIfTrue="1" operator="equal">
      <formula>"Towel"</formula>
    </cfRule>
    <cfRule type="cellIs" dxfId="132" priority="174" stopIfTrue="1" operator="equal">
      <formula>"Napkin Hs"</formula>
    </cfRule>
  </conditionalFormatting>
  <conditionalFormatting sqref="C111:C112">
    <cfRule type="cellIs" dxfId="131" priority="172" stopIfTrue="1" operator="equal">
      <formula>"Napkin Hs"</formula>
    </cfRule>
  </conditionalFormatting>
  <conditionalFormatting sqref="C111:C112">
    <cfRule type="cellIs" dxfId="130" priority="169" stopIfTrue="1" operator="equal">
      <formula>"Towel"</formula>
    </cfRule>
    <cfRule type="cellIs" dxfId="129" priority="170" stopIfTrue="1" operator="equal">
      <formula>"Napkin Hs"</formula>
    </cfRule>
  </conditionalFormatting>
  <conditionalFormatting sqref="C111:C112">
    <cfRule type="cellIs" dxfId="128" priority="171" stopIfTrue="1" operator="equal">
      <formula>"Towel"</formula>
    </cfRule>
  </conditionalFormatting>
  <conditionalFormatting sqref="B109:C110">
    <cfRule type="cellIs" dxfId="127" priority="167" stopIfTrue="1" operator="equal">
      <formula>"Towel"</formula>
    </cfRule>
    <cfRule type="cellIs" dxfId="126" priority="168" stopIfTrue="1" operator="equal">
      <formula>"Napkin Hs"</formula>
    </cfRule>
  </conditionalFormatting>
  <conditionalFormatting sqref="C109:C110">
    <cfRule type="cellIs" dxfId="125" priority="166" stopIfTrue="1" operator="equal">
      <formula>"Napkin Hs"</formula>
    </cfRule>
  </conditionalFormatting>
  <conditionalFormatting sqref="C109:C110">
    <cfRule type="cellIs" dxfId="124" priority="163" stopIfTrue="1" operator="equal">
      <formula>"Towel"</formula>
    </cfRule>
    <cfRule type="cellIs" dxfId="123" priority="164" stopIfTrue="1" operator="equal">
      <formula>"Napkin Hs"</formula>
    </cfRule>
  </conditionalFormatting>
  <conditionalFormatting sqref="C109:C110">
    <cfRule type="cellIs" dxfId="122" priority="165" stopIfTrue="1" operator="equal">
      <formula>"Towel"</formula>
    </cfRule>
  </conditionalFormatting>
  <conditionalFormatting sqref="B115:C115">
    <cfRule type="cellIs" dxfId="121" priority="161" stopIfTrue="1" operator="equal">
      <formula>"Towel"</formula>
    </cfRule>
    <cfRule type="cellIs" dxfId="120" priority="162" stopIfTrue="1" operator="equal">
      <formula>"Napkin Hs"</formula>
    </cfRule>
  </conditionalFormatting>
  <conditionalFormatting sqref="C115">
    <cfRule type="cellIs" dxfId="119" priority="160" stopIfTrue="1" operator="equal">
      <formula>"Napkin Hs"</formula>
    </cfRule>
  </conditionalFormatting>
  <conditionalFormatting sqref="C115">
    <cfRule type="cellIs" dxfId="118" priority="157" stopIfTrue="1" operator="equal">
      <formula>"Towel"</formula>
    </cfRule>
    <cfRule type="cellIs" dxfId="117" priority="158" stopIfTrue="1" operator="equal">
      <formula>"Napkin Hs"</formula>
    </cfRule>
  </conditionalFormatting>
  <conditionalFormatting sqref="C115">
    <cfRule type="cellIs" dxfId="116" priority="159" stopIfTrue="1" operator="equal">
      <formula>"Towel"</formula>
    </cfRule>
  </conditionalFormatting>
  <conditionalFormatting sqref="B114:C114">
    <cfRule type="cellIs" dxfId="115" priority="155" stopIfTrue="1" operator="equal">
      <formula>"Towel"</formula>
    </cfRule>
    <cfRule type="cellIs" dxfId="114" priority="156" stopIfTrue="1" operator="equal">
      <formula>"Napkin Hs"</formula>
    </cfRule>
  </conditionalFormatting>
  <conditionalFormatting sqref="C114">
    <cfRule type="cellIs" dxfId="113" priority="154" stopIfTrue="1" operator="equal">
      <formula>"Napkin Hs"</formula>
    </cfRule>
  </conditionalFormatting>
  <conditionalFormatting sqref="C114">
    <cfRule type="cellIs" dxfId="112" priority="151" stopIfTrue="1" operator="equal">
      <formula>"Towel"</formula>
    </cfRule>
    <cfRule type="cellIs" dxfId="111" priority="152" stopIfTrue="1" operator="equal">
      <formula>"Napkin Hs"</formula>
    </cfRule>
  </conditionalFormatting>
  <conditionalFormatting sqref="C114">
    <cfRule type="cellIs" dxfId="110" priority="153" stopIfTrue="1" operator="equal">
      <formula>"Towel"</formula>
    </cfRule>
  </conditionalFormatting>
  <conditionalFormatting sqref="B113:C113">
    <cfRule type="cellIs" dxfId="109" priority="149" stopIfTrue="1" operator="equal">
      <formula>"Towel"</formula>
    </cfRule>
    <cfRule type="cellIs" dxfId="108" priority="150" stopIfTrue="1" operator="equal">
      <formula>"Napkin Hs"</formula>
    </cfRule>
  </conditionalFormatting>
  <conditionalFormatting sqref="C113">
    <cfRule type="cellIs" dxfId="107" priority="148" stopIfTrue="1" operator="equal">
      <formula>"Napkin Hs"</formula>
    </cfRule>
  </conditionalFormatting>
  <conditionalFormatting sqref="C113">
    <cfRule type="cellIs" dxfId="106" priority="145" stopIfTrue="1" operator="equal">
      <formula>"Towel"</formula>
    </cfRule>
    <cfRule type="cellIs" dxfId="105" priority="146" stopIfTrue="1" operator="equal">
      <formula>"Napkin Hs"</formula>
    </cfRule>
  </conditionalFormatting>
  <conditionalFormatting sqref="C113">
    <cfRule type="cellIs" dxfId="104" priority="147" stopIfTrue="1" operator="equal">
      <formula>"Towel"</formula>
    </cfRule>
  </conditionalFormatting>
  <conditionalFormatting sqref="B119:C119">
    <cfRule type="cellIs" dxfId="103" priority="143" stopIfTrue="1" operator="equal">
      <formula>"Towel"</formula>
    </cfRule>
    <cfRule type="cellIs" dxfId="102" priority="144" stopIfTrue="1" operator="equal">
      <formula>"Napkin Hs"</formula>
    </cfRule>
  </conditionalFormatting>
  <conditionalFormatting sqref="C119">
    <cfRule type="cellIs" dxfId="101" priority="142" stopIfTrue="1" operator="equal">
      <formula>"Napkin Hs"</formula>
    </cfRule>
  </conditionalFormatting>
  <conditionalFormatting sqref="C119">
    <cfRule type="cellIs" dxfId="100" priority="139" stopIfTrue="1" operator="equal">
      <formula>"Towel"</formula>
    </cfRule>
    <cfRule type="cellIs" dxfId="99" priority="140" stopIfTrue="1" operator="equal">
      <formula>"Napkin Hs"</formula>
    </cfRule>
  </conditionalFormatting>
  <conditionalFormatting sqref="C119">
    <cfRule type="cellIs" dxfId="98" priority="141" stopIfTrue="1" operator="equal">
      <formula>"Towel"</formula>
    </cfRule>
  </conditionalFormatting>
  <conditionalFormatting sqref="B117:C117">
    <cfRule type="cellIs" dxfId="97" priority="137" stopIfTrue="1" operator="equal">
      <formula>"Towel"</formula>
    </cfRule>
    <cfRule type="cellIs" dxfId="96" priority="138" stopIfTrue="1" operator="equal">
      <formula>"Napkin Hs"</formula>
    </cfRule>
  </conditionalFormatting>
  <conditionalFormatting sqref="C117">
    <cfRule type="cellIs" dxfId="95" priority="136" stopIfTrue="1" operator="equal">
      <formula>"Napkin Hs"</formula>
    </cfRule>
  </conditionalFormatting>
  <conditionalFormatting sqref="C117">
    <cfRule type="cellIs" dxfId="94" priority="133" stopIfTrue="1" operator="equal">
      <formula>"Towel"</formula>
    </cfRule>
    <cfRule type="cellIs" dxfId="93" priority="134" stopIfTrue="1" operator="equal">
      <formula>"Napkin Hs"</formula>
    </cfRule>
  </conditionalFormatting>
  <conditionalFormatting sqref="C117">
    <cfRule type="cellIs" dxfId="92" priority="135" stopIfTrue="1" operator="equal">
      <formula>"Towel"</formula>
    </cfRule>
  </conditionalFormatting>
  <conditionalFormatting sqref="B118:C118">
    <cfRule type="cellIs" dxfId="91" priority="131" stopIfTrue="1" operator="equal">
      <formula>"Towel"</formula>
    </cfRule>
    <cfRule type="cellIs" dxfId="90" priority="132" stopIfTrue="1" operator="equal">
      <formula>"Napkin Hs"</formula>
    </cfRule>
  </conditionalFormatting>
  <conditionalFormatting sqref="C118">
    <cfRule type="cellIs" dxfId="89" priority="130" stopIfTrue="1" operator="equal">
      <formula>"Napkin Hs"</formula>
    </cfRule>
  </conditionalFormatting>
  <conditionalFormatting sqref="C118">
    <cfRule type="cellIs" dxfId="88" priority="127" stopIfTrue="1" operator="equal">
      <formula>"Towel"</formula>
    </cfRule>
    <cfRule type="cellIs" dxfId="87" priority="128" stopIfTrue="1" operator="equal">
      <formula>"Napkin Hs"</formula>
    </cfRule>
  </conditionalFormatting>
  <conditionalFormatting sqref="C118">
    <cfRule type="cellIs" dxfId="86" priority="129" stopIfTrue="1" operator="equal">
      <formula>"Towel"</formula>
    </cfRule>
  </conditionalFormatting>
  <conditionalFormatting sqref="B123:C123">
    <cfRule type="cellIs" dxfId="85" priority="125" stopIfTrue="1" operator="equal">
      <formula>"Towel"</formula>
    </cfRule>
    <cfRule type="cellIs" dxfId="84" priority="126" stopIfTrue="1" operator="equal">
      <formula>"Napkin Hs"</formula>
    </cfRule>
  </conditionalFormatting>
  <conditionalFormatting sqref="C123">
    <cfRule type="cellIs" dxfId="83" priority="124" stopIfTrue="1" operator="equal">
      <formula>"Napkin Hs"</formula>
    </cfRule>
  </conditionalFormatting>
  <conditionalFormatting sqref="C123">
    <cfRule type="cellIs" dxfId="82" priority="121" stopIfTrue="1" operator="equal">
      <formula>"Towel"</formula>
    </cfRule>
    <cfRule type="cellIs" dxfId="81" priority="122" stopIfTrue="1" operator="equal">
      <formula>"Napkin Hs"</formula>
    </cfRule>
  </conditionalFormatting>
  <conditionalFormatting sqref="C123">
    <cfRule type="cellIs" dxfId="80" priority="123" stopIfTrue="1" operator="equal">
      <formula>"Towel"</formula>
    </cfRule>
  </conditionalFormatting>
  <conditionalFormatting sqref="C122">
    <cfRule type="cellIs" dxfId="79" priority="119" stopIfTrue="1" operator="equal">
      <formula>"Towel"</formula>
    </cfRule>
    <cfRule type="cellIs" dxfId="78" priority="120" stopIfTrue="1" operator="equal">
      <formula>"Napkin Hs"</formula>
    </cfRule>
  </conditionalFormatting>
  <conditionalFormatting sqref="C122">
    <cfRule type="cellIs" dxfId="77" priority="118" stopIfTrue="1" operator="equal">
      <formula>"Napkin Hs"</formula>
    </cfRule>
  </conditionalFormatting>
  <conditionalFormatting sqref="C122">
    <cfRule type="cellIs" dxfId="76" priority="115" stopIfTrue="1" operator="equal">
      <formula>"Towel"</formula>
    </cfRule>
    <cfRule type="cellIs" dxfId="75" priority="116" stopIfTrue="1" operator="equal">
      <formula>"Napkin Hs"</formula>
    </cfRule>
  </conditionalFormatting>
  <conditionalFormatting sqref="C122">
    <cfRule type="cellIs" dxfId="74" priority="117" stopIfTrue="1" operator="equal">
      <formula>"Towel"</formula>
    </cfRule>
  </conditionalFormatting>
  <conditionalFormatting sqref="B121:C121 B122">
    <cfRule type="cellIs" dxfId="73" priority="113" stopIfTrue="1" operator="equal">
      <formula>"Towel"</formula>
    </cfRule>
    <cfRule type="cellIs" dxfId="72" priority="114" stopIfTrue="1" operator="equal">
      <formula>"Napkin Hs"</formula>
    </cfRule>
  </conditionalFormatting>
  <conditionalFormatting sqref="C121">
    <cfRule type="cellIs" dxfId="71" priority="112" stopIfTrue="1" operator="equal">
      <formula>"Napkin Hs"</formula>
    </cfRule>
  </conditionalFormatting>
  <conditionalFormatting sqref="C121">
    <cfRule type="cellIs" dxfId="70" priority="109" stopIfTrue="1" operator="equal">
      <formula>"Towel"</formula>
    </cfRule>
    <cfRule type="cellIs" dxfId="69" priority="110" stopIfTrue="1" operator="equal">
      <formula>"Napkin Hs"</formula>
    </cfRule>
  </conditionalFormatting>
  <conditionalFormatting sqref="C121">
    <cfRule type="cellIs" dxfId="68" priority="111" stopIfTrue="1" operator="equal">
      <formula>"Towel"</formula>
    </cfRule>
  </conditionalFormatting>
  <conditionalFormatting sqref="B128:C128">
    <cfRule type="cellIs" dxfId="67" priority="107" stopIfTrue="1" operator="equal">
      <formula>"Towel"</formula>
    </cfRule>
    <cfRule type="cellIs" dxfId="66" priority="108" stopIfTrue="1" operator="equal">
      <formula>"Napkin Hs"</formula>
    </cfRule>
  </conditionalFormatting>
  <conditionalFormatting sqref="C128">
    <cfRule type="cellIs" dxfId="65" priority="106" stopIfTrue="1" operator="equal">
      <formula>"Napkin Hs"</formula>
    </cfRule>
  </conditionalFormatting>
  <conditionalFormatting sqref="C128">
    <cfRule type="cellIs" dxfId="64" priority="103" stopIfTrue="1" operator="equal">
      <formula>"Towel"</formula>
    </cfRule>
    <cfRule type="cellIs" dxfId="63" priority="104" stopIfTrue="1" operator="equal">
      <formula>"Napkin Hs"</formula>
    </cfRule>
  </conditionalFormatting>
  <conditionalFormatting sqref="C128">
    <cfRule type="cellIs" dxfId="62" priority="105" stopIfTrue="1" operator="equal">
      <formula>"Towel"</formula>
    </cfRule>
  </conditionalFormatting>
  <conditionalFormatting sqref="B127:C127">
    <cfRule type="cellIs" dxfId="61" priority="101" stopIfTrue="1" operator="equal">
      <formula>"Towel"</formula>
    </cfRule>
    <cfRule type="cellIs" dxfId="60" priority="102" stopIfTrue="1" operator="equal">
      <formula>"Napkin Hs"</formula>
    </cfRule>
  </conditionalFormatting>
  <conditionalFormatting sqref="C127">
    <cfRule type="cellIs" dxfId="59" priority="100" stopIfTrue="1" operator="equal">
      <formula>"Napkin Hs"</formula>
    </cfRule>
  </conditionalFormatting>
  <conditionalFormatting sqref="C127">
    <cfRule type="cellIs" dxfId="58" priority="97" stopIfTrue="1" operator="equal">
      <formula>"Towel"</formula>
    </cfRule>
    <cfRule type="cellIs" dxfId="57" priority="98" stopIfTrue="1" operator="equal">
      <formula>"Napkin Hs"</formula>
    </cfRule>
  </conditionalFormatting>
  <conditionalFormatting sqref="C127">
    <cfRule type="cellIs" dxfId="56" priority="99" stopIfTrue="1" operator="equal">
      <formula>"Towel"</formula>
    </cfRule>
  </conditionalFormatting>
  <conditionalFormatting sqref="B125:C125">
    <cfRule type="cellIs" dxfId="55" priority="95" stopIfTrue="1" operator="equal">
      <formula>"Towel"</formula>
    </cfRule>
    <cfRule type="cellIs" dxfId="54" priority="96" stopIfTrue="1" operator="equal">
      <formula>"Napkin Hs"</formula>
    </cfRule>
  </conditionalFormatting>
  <conditionalFormatting sqref="C125">
    <cfRule type="cellIs" dxfId="53" priority="94" stopIfTrue="1" operator="equal">
      <formula>"Napkin Hs"</formula>
    </cfRule>
  </conditionalFormatting>
  <conditionalFormatting sqref="C125">
    <cfRule type="cellIs" dxfId="52" priority="91" stopIfTrue="1" operator="equal">
      <formula>"Towel"</formula>
    </cfRule>
    <cfRule type="cellIs" dxfId="51" priority="92" stopIfTrue="1" operator="equal">
      <formula>"Napkin Hs"</formula>
    </cfRule>
  </conditionalFormatting>
  <conditionalFormatting sqref="C125">
    <cfRule type="cellIs" dxfId="50" priority="93" stopIfTrue="1" operator="equal">
      <formula>"Towel"</formula>
    </cfRule>
  </conditionalFormatting>
  <conditionalFormatting sqref="B126:C126">
    <cfRule type="cellIs" dxfId="49" priority="89" stopIfTrue="1" operator="equal">
      <formula>"Towel"</formula>
    </cfRule>
    <cfRule type="cellIs" dxfId="48" priority="90" stopIfTrue="1" operator="equal">
      <formula>"Napkin Hs"</formula>
    </cfRule>
  </conditionalFormatting>
  <conditionalFormatting sqref="C126">
    <cfRule type="cellIs" dxfId="47" priority="88" stopIfTrue="1" operator="equal">
      <formula>"Napkin Hs"</formula>
    </cfRule>
  </conditionalFormatting>
  <conditionalFormatting sqref="C126">
    <cfRule type="cellIs" dxfId="46" priority="85" stopIfTrue="1" operator="equal">
      <formula>"Towel"</formula>
    </cfRule>
    <cfRule type="cellIs" dxfId="45" priority="86" stopIfTrue="1" operator="equal">
      <formula>"Napkin Hs"</formula>
    </cfRule>
  </conditionalFormatting>
  <conditionalFormatting sqref="C126">
    <cfRule type="cellIs" dxfId="44" priority="87" stopIfTrue="1" operator="equal">
      <formula>"Towel"</formula>
    </cfRule>
  </conditionalFormatting>
  <conditionalFormatting sqref="B130:C130">
    <cfRule type="cellIs" dxfId="43" priority="83" stopIfTrue="1" operator="equal">
      <formula>"Towel"</formula>
    </cfRule>
    <cfRule type="cellIs" dxfId="42" priority="84" stopIfTrue="1" operator="equal">
      <formula>"Napkin Hs"</formula>
    </cfRule>
  </conditionalFormatting>
  <conditionalFormatting sqref="C130">
    <cfRule type="cellIs" dxfId="41" priority="82" stopIfTrue="1" operator="equal">
      <formula>"Napkin Hs"</formula>
    </cfRule>
  </conditionalFormatting>
  <conditionalFormatting sqref="C130">
    <cfRule type="cellIs" dxfId="40" priority="79" stopIfTrue="1" operator="equal">
      <formula>"Towel"</formula>
    </cfRule>
    <cfRule type="cellIs" dxfId="39" priority="80" stopIfTrue="1" operator="equal">
      <formula>"Napkin Hs"</formula>
    </cfRule>
  </conditionalFormatting>
  <conditionalFormatting sqref="C130">
    <cfRule type="cellIs" dxfId="38" priority="81" stopIfTrue="1" operator="equal">
      <formula>"Towel"</formula>
    </cfRule>
  </conditionalFormatting>
  <conditionalFormatting sqref="B129:C129">
    <cfRule type="cellIs" dxfId="37" priority="77" stopIfTrue="1" operator="equal">
      <formula>"Towel"</formula>
    </cfRule>
    <cfRule type="cellIs" dxfId="36" priority="78" stopIfTrue="1" operator="equal">
      <formula>"Napkin Hs"</formula>
    </cfRule>
  </conditionalFormatting>
  <conditionalFormatting sqref="C129">
    <cfRule type="cellIs" dxfId="35" priority="76" stopIfTrue="1" operator="equal">
      <formula>"Napkin Hs"</formula>
    </cfRule>
  </conditionalFormatting>
  <conditionalFormatting sqref="C129">
    <cfRule type="cellIs" dxfId="34" priority="73" stopIfTrue="1" operator="equal">
      <formula>"Towel"</formula>
    </cfRule>
    <cfRule type="cellIs" dxfId="33" priority="74" stopIfTrue="1" operator="equal">
      <formula>"Napkin Hs"</formula>
    </cfRule>
  </conditionalFormatting>
  <conditionalFormatting sqref="C129">
    <cfRule type="cellIs" dxfId="32" priority="75" stopIfTrue="1" operator="equal">
      <formula>"Towel"</formula>
    </cfRule>
  </conditionalFormatting>
  <conditionalFormatting sqref="B136:C136">
    <cfRule type="cellIs" dxfId="31" priority="23" stopIfTrue="1" operator="equal">
      <formula>"Towel"</formula>
    </cfRule>
    <cfRule type="cellIs" dxfId="30" priority="24" stopIfTrue="1" operator="equal">
      <formula>"Napkin Hs"</formula>
    </cfRule>
  </conditionalFormatting>
  <conditionalFormatting sqref="C136">
    <cfRule type="cellIs" dxfId="29" priority="21" stopIfTrue="1" operator="equal">
      <formula>"Towel"</formula>
    </cfRule>
    <cfRule type="cellIs" dxfId="28" priority="22" stopIfTrue="1" operator="equal">
      <formula>"Napkin Hs"</formula>
    </cfRule>
  </conditionalFormatting>
  <conditionalFormatting sqref="C136">
    <cfRule type="cellIs" dxfId="27" priority="19" stopIfTrue="1" operator="equal">
      <formula>"Towel"</formula>
    </cfRule>
    <cfRule type="cellIs" dxfId="26" priority="20" stopIfTrue="1" operator="equal">
      <formula>"Napkin Hs"</formula>
    </cfRule>
  </conditionalFormatting>
  <conditionalFormatting sqref="B135:C135">
    <cfRule type="cellIs" dxfId="25" priority="17" stopIfTrue="1" operator="equal">
      <formula>"Towel"</formula>
    </cfRule>
    <cfRule type="cellIs" dxfId="24" priority="18" stopIfTrue="1" operator="equal">
      <formula>"Napkin Hs"</formula>
    </cfRule>
  </conditionalFormatting>
  <conditionalFormatting sqref="C135">
    <cfRule type="cellIs" dxfId="23" priority="16" stopIfTrue="1" operator="equal">
      <formula>"Napkin Hs"</formula>
    </cfRule>
  </conditionalFormatting>
  <conditionalFormatting sqref="C135">
    <cfRule type="cellIs" dxfId="22" priority="13" stopIfTrue="1" operator="equal">
      <formula>"Towel"</formula>
    </cfRule>
    <cfRule type="cellIs" dxfId="21" priority="14" stopIfTrue="1" operator="equal">
      <formula>"Napkin Hs"</formula>
    </cfRule>
  </conditionalFormatting>
  <conditionalFormatting sqref="C135">
    <cfRule type="cellIs" dxfId="20" priority="15" stopIfTrue="1" operator="equal">
      <formula>"Towel"</formula>
    </cfRule>
  </conditionalFormatting>
  <conditionalFormatting sqref="B134:C134">
    <cfRule type="cellIs" dxfId="19" priority="11" stopIfTrue="1" operator="equal">
      <formula>"Towel"</formula>
    </cfRule>
    <cfRule type="cellIs" dxfId="18" priority="12" stopIfTrue="1" operator="equal">
      <formula>"Napkin Hs"</formula>
    </cfRule>
  </conditionalFormatting>
  <conditionalFormatting sqref="C134">
    <cfRule type="cellIs" dxfId="17" priority="10" stopIfTrue="1" operator="equal">
      <formula>"Napkin Hs"</formula>
    </cfRule>
  </conditionalFormatting>
  <conditionalFormatting sqref="C134">
    <cfRule type="cellIs" dxfId="16" priority="7" stopIfTrue="1" operator="equal">
      <formula>"Towel"</formula>
    </cfRule>
    <cfRule type="cellIs" dxfId="15" priority="8" stopIfTrue="1" operator="equal">
      <formula>"Napkin Hs"</formula>
    </cfRule>
  </conditionalFormatting>
  <conditionalFormatting sqref="C134">
    <cfRule type="cellIs" dxfId="14" priority="9" stopIfTrue="1" operator="equal">
      <formula>"Towel"</formula>
    </cfRule>
  </conditionalFormatting>
  <conditionalFormatting sqref="B133:C133">
    <cfRule type="cellIs" dxfId="13" priority="5" stopIfTrue="1" operator="equal">
      <formula>"Towel"</formula>
    </cfRule>
    <cfRule type="cellIs" dxfId="12" priority="6" stopIfTrue="1" operator="equal">
      <formula>"Napkin Hs"</formula>
    </cfRule>
  </conditionalFormatting>
  <conditionalFormatting sqref="C133">
    <cfRule type="cellIs" dxfId="11" priority="4" stopIfTrue="1" operator="equal">
      <formula>"Napkin Hs"</formula>
    </cfRule>
  </conditionalFormatting>
  <conditionalFormatting sqref="C133">
    <cfRule type="cellIs" dxfId="10" priority="1" stopIfTrue="1" operator="equal">
      <formula>"Towel"</formula>
    </cfRule>
    <cfRule type="cellIs" dxfId="9" priority="2" stopIfTrue="1" operator="equal">
      <formula>"Napkin Hs"</formula>
    </cfRule>
  </conditionalFormatting>
  <conditionalFormatting sqref="C133">
    <cfRule type="cellIs" dxfId="8" priority="3" stopIfTrue="1" operator="equal">
      <formula>"Towel"</formula>
    </cfRule>
  </conditionalFormatting>
  <pageMargins left="0.75" right="0.75" top="1" bottom="1" header="0.5" footer="0.5"/>
  <pageSetup scale="2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45"/>
  <sheetViews>
    <sheetView topLeftCell="DZ4" workbookViewId="0">
      <selection activeCell="EK24" sqref="EK24"/>
    </sheetView>
  </sheetViews>
  <sheetFormatPr defaultColWidth="10.42578125" defaultRowHeight="12.75"/>
  <cols>
    <col min="1" max="1" width="8.140625" style="260" customWidth="1"/>
    <col min="2" max="2" width="13.5703125" style="260" customWidth="1"/>
    <col min="3" max="3" width="12.5703125" style="261" customWidth="1"/>
    <col min="4" max="4" width="11.140625" style="261" customWidth="1"/>
    <col min="5" max="5" width="11" style="262" customWidth="1"/>
    <col min="6" max="269" width="12.42578125" style="512" customWidth="1"/>
    <col min="270" max="272" width="9.28515625" style="512" customWidth="1"/>
    <col min="273" max="303" width="5.5703125" style="512" customWidth="1"/>
    <col min="304" max="304" width="8.7109375" style="512" bestFit="1" customWidth="1"/>
    <col min="305" max="305" width="7.7109375" style="512" customWidth="1"/>
    <col min="306" max="306" width="21" style="512" bestFit="1" customWidth="1"/>
    <col min="307" max="307" width="19.85546875" style="512" bestFit="1" customWidth="1"/>
    <col min="308" max="16384" width="10.42578125" style="260"/>
  </cols>
  <sheetData>
    <row r="1" spans="1:308" ht="15.75">
      <c r="A1" s="551"/>
      <c r="B1" s="257"/>
      <c r="C1" s="258"/>
      <c r="D1" s="258"/>
      <c r="E1" s="259"/>
    </row>
    <row r="2" spans="1:308" ht="15.75">
      <c r="A2" s="551"/>
    </row>
    <row r="3" spans="1:308" ht="15">
      <c r="A3" s="552"/>
    </row>
    <row r="4" spans="1:308" ht="15.75">
      <c r="A4" s="484" t="s">
        <v>288</v>
      </c>
    </row>
    <row r="5" spans="1:308" ht="13.5" thickBot="1">
      <c r="F5" s="716" t="s">
        <v>308</v>
      </c>
      <c r="G5" s="717"/>
      <c r="H5" s="717"/>
      <c r="I5" s="717"/>
      <c r="J5" s="717"/>
      <c r="K5" s="717"/>
      <c r="L5" s="717"/>
      <c r="M5" s="717"/>
      <c r="N5" s="717"/>
      <c r="O5" s="717"/>
      <c r="P5" s="717"/>
      <c r="Q5" s="717"/>
      <c r="R5" s="717"/>
      <c r="S5" s="717"/>
      <c r="T5" s="717"/>
      <c r="U5" s="717"/>
      <c r="V5" s="717"/>
      <c r="W5" s="717"/>
      <c r="X5" s="717"/>
      <c r="Y5" s="717"/>
      <c r="Z5" s="717"/>
      <c r="AA5" s="717"/>
      <c r="AB5" s="717"/>
      <c r="AC5" s="717"/>
      <c r="AD5" s="717"/>
      <c r="AE5" s="717"/>
      <c r="AF5" s="717"/>
      <c r="AG5" s="717"/>
      <c r="AH5" s="717"/>
      <c r="AI5" s="717"/>
      <c r="AJ5" s="717"/>
      <c r="AK5" s="717"/>
      <c r="AL5" s="717"/>
      <c r="AM5" s="717"/>
      <c r="AN5" s="717"/>
      <c r="AO5" s="717"/>
      <c r="AP5" s="717"/>
      <c r="AQ5" s="717"/>
      <c r="AR5" s="717"/>
      <c r="AS5" s="717"/>
      <c r="AT5" s="717"/>
      <c r="AU5" s="717"/>
      <c r="AV5" s="717"/>
      <c r="AW5" s="717"/>
      <c r="AX5" s="717"/>
      <c r="AY5" s="717"/>
      <c r="AZ5" s="717"/>
      <c r="BA5" s="717"/>
      <c r="BB5" s="717"/>
      <c r="BC5" s="717"/>
      <c r="BD5" s="717"/>
      <c r="BE5" s="717"/>
      <c r="BF5" s="717"/>
      <c r="BG5" s="717"/>
      <c r="BH5" s="717"/>
      <c r="BI5" s="717"/>
      <c r="BJ5" s="717"/>
      <c r="BK5" s="717"/>
      <c r="BL5" s="717"/>
      <c r="BM5" s="717"/>
      <c r="BN5" s="717"/>
      <c r="BO5" s="717"/>
      <c r="BP5" s="717"/>
      <c r="BQ5" s="717"/>
      <c r="BR5" s="717"/>
      <c r="BS5" s="717"/>
      <c r="BT5" s="717"/>
      <c r="BU5" s="717"/>
      <c r="BV5" s="717"/>
      <c r="BW5" s="717"/>
      <c r="BX5" s="717"/>
      <c r="BY5" s="717"/>
      <c r="BZ5" s="717"/>
      <c r="CA5" s="717"/>
      <c r="CB5" s="717"/>
      <c r="CC5" s="717"/>
      <c r="CD5" s="717"/>
      <c r="CE5" s="717"/>
      <c r="CF5" s="717"/>
      <c r="CG5" s="717"/>
      <c r="CH5" s="717"/>
      <c r="CI5" s="717"/>
      <c r="CJ5" s="717"/>
      <c r="CK5" s="717"/>
      <c r="CL5" s="717"/>
      <c r="CM5" s="717"/>
      <c r="CN5" s="717"/>
      <c r="CO5" s="717"/>
      <c r="CP5" s="717"/>
      <c r="CQ5" s="717"/>
      <c r="CR5" s="717"/>
      <c r="CS5" s="717"/>
      <c r="CT5" s="717"/>
      <c r="CU5" s="717"/>
      <c r="CV5" s="717"/>
      <c r="CW5" s="717"/>
      <c r="CX5" s="717"/>
      <c r="CY5" s="717"/>
      <c r="CZ5" s="717"/>
      <c r="DA5" s="717"/>
      <c r="DB5" s="717"/>
      <c r="DC5" s="717"/>
      <c r="DD5" s="717"/>
      <c r="DE5" s="717"/>
      <c r="DF5" s="717"/>
      <c r="DG5" s="717"/>
      <c r="DH5" s="717"/>
      <c r="DI5" s="717"/>
      <c r="DJ5" s="717"/>
      <c r="DK5" s="717"/>
      <c r="DL5" s="717"/>
      <c r="DM5" s="717"/>
      <c r="DN5" s="717"/>
      <c r="DO5" s="717"/>
      <c r="DP5" s="717"/>
      <c r="DQ5" s="717"/>
      <c r="DR5" s="717"/>
      <c r="DS5" s="717"/>
      <c r="DT5" s="717"/>
      <c r="DU5" s="717"/>
      <c r="DV5" s="717"/>
      <c r="DW5" s="717"/>
      <c r="DX5" s="717"/>
      <c r="DY5" s="717"/>
      <c r="DZ5" s="717"/>
      <c r="EA5" s="717"/>
      <c r="EB5" s="717"/>
      <c r="EC5" s="717"/>
      <c r="ED5" s="717"/>
      <c r="EE5" s="717"/>
      <c r="EF5" s="717"/>
      <c r="EG5" s="717"/>
      <c r="EH5" s="717"/>
      <c r="EI5" s="717"/>
      <c r="EJ5" s="717"/>
      <c r="EK5" s="717"/>
      <c r="EL5" s="717"/>
      <c r="EM5" s="717"/>
      <c r="EN5" s="717"/>
      <c r="EO5" s="717"/>
      <c r="EP5" s="717"/>
      <c r="EQ5" s="717"/>
      <c r="ER5" s="717"/>
      <c r="ES5" s="717"/>
      <c r="ET5" s="717"/>
      <c r="EU5" s="717"/>
      <c r="EV5" s="717"/>
      <c r="EW5" s="717"/>
      <c r="EX5" s="717"/>
      <c r="EY5" s="717"/>
      <c r="EZ5" s="717"/>
      <c r="FA5" s="717"/>
      <c r="FB5" s="717"/>
      <c r="FC5" s="717"/>
      <c r="FD5" s="717"/>
      <c r="FE5" s="717"/>
      <c r="FF5" s="717"/>
      <c r="FG5" s="717"/>
      <c r="FH5" s="717"/>
      <c r="FI5" s="717"/>
      <c r="FJ5" s="717"/>
      <c r="FK5" s="717"/>
      <c r="FL5" s="717"/>
      <c r="FM5" s="717"/>
      <c r="FN5" s="717"/>
      <c r="FO5" s="717"/>
      <c r="FP5" s="717"/>
      <c r="FQ5" s="717"/>
      <c r="FR5" s="717"/>
      <c r="FS5" s="717"/>
      <c r="FT5" s="717"/>
      <c r="FU5" s="717"/>
      <c r="FV5" s="717"/>
      <c r="FW5" s="717"/>
      <c r="FX5" s="717"/>
      <c r="FY5" s="717"/>
      <c r="FZ5" s="717"/>
      <c r="GA5" s="717"/>
      <c r="GB5" s="717"/>
      <c r="GC5" s="718"/>
      <c r="GD5" s="716" t="s">
        <v>309</v>
      </c>
      <c r="GE5" s="717"/>
      <c r="GF5" s="717"/>
      <c r="GG5" s="717"/>
      <c r="GH5" s="717"/>
      <c r="GI5" s="717"/>
      <c r="GJ5" s="717"/>
      <c r="GK5" s="717"/>
      <c r="GL5" s="717"/>
      <c r="GM5" s="717"/>
      <c r="GN5" s="717"/>
      <c r="GO5" s="717"/>
      <c r="GP5" s="717"/>
      <c r="GQ5" s="717"/>
      <c r="GR5" s="717"/>
      <c r="GS5" s="717"/>
      <c r="GT5" s="717"/>
      <c r="GU5" s="717"/>
      <c r="GV5" s="717"/>
      <c r="GW5" s="717"/>
      <c r="GX5" s="717"/>
      <c r="GY5" s="717"/>
      <c r="GZ5" s="717"/>
      <c r="HA5" s="717"/>
      <c r="HB5" s="717"/>
      <c r="HC5" s="717"/>
      <c r="HD5" s="717"/>
      <c r="HE5" s="717"/>
      <c r="HF5" s="717"/>
      <c r="HG5" s="717"/>
      <c r="HH5" s="717"/>
      <c r="HI5" s="717"/>
      <c r="HJ5" s="717"/>
      <c r="HK5" s="717"/>
      <c r="HL5" s="717"/>
      <c r="HM5" s="717"/>
      <c r="HN5" s="717"/>
      <c r="HO5" s="717"/>
      <c r="HP5" s="717"/>
      <c r="HQ5" s="717"/>
      <c r="HR5" s="717"/>
      <c r="HS5" s="717"/>
      <c r="HT5" s="717"/>
      <c r="HU5" s="717"/>
      <c r="HV5" s="717"/>
      <c r="HW5" s="717"/>
      <c r="HX5" s="717"/>
      <c r="HY5" s="717"/>
      <c r="HZ5" s="717"/>
      <c r="IA5" s="717"/>
      <c r="IB5" s="717"/>
      <c r="IC5" s="717"/>
      <c r="ID5" s="717"/>
      <c r="IE5" s="717"/>
      <c r="IF5" s="717"/>
      <c r="IG5" s="717"/>
      <c r="IH5" s="717"/>
      <c r="II5" s="717"/>
      <c r="IJ5" s="717"/>
      <c r="IK5" s="717"/>
      <c r="IL5" s="717"/>
      <c r="IM5" s="717"/>
      <c r="IN5" s="717"/>
      <c r="IO5" s="717"/>
      <c r="IP5" s="717"/>
      <c r="IQ5" s="717"/>
      <c r="IR5" s="717"/>
      <c r="IS5" s="717"/>
      <c r="IT5" s="717"/>
      <c r="IU5" s="717"/>
      <c r="IV5" s="717"/>
      <c r="IW5" s="717"/>
      <c r="IX5" s="717"/>
      <c r="IY5" s="717"/>
      <c r="IZ5" s="717"/>
      <c r="JA5" s="717"/>
      <c r="JB5" s="717"/>
      <c r="JC5" s="717"/>
      <c r="JD5" s="717"/>
      <c r="JE5" s="717"/>
      <c r="JF5" s="717"/>
      <c r="JG5" s="717"/>
      <c r="JH5" s="717"/>
      <c r="JI5" s="717"/>
      <c r="JJ5" s="717"/>
      <c r="JK5" s="717"/>
      <c r="JL5" s="717"/>
      <c r="JM5" s="717"/>
      <c r="JN5" s="717"/>
      <c r="JO5" s="717"/>
      <c r="JP5" s="717"/>
      <c r="JQ5" s="717"/>
      <c r="JR5" s="717"/>
      <c r="JS5" s="717"/>
      <c r="JT5" s="717"/>
      <c r="JU5" s="717"/>
      <c r="JV5" s="717"/>
      <c r="JW5" s="717"/>
      <c r="JX5" s="717"/>
      <c r="JY5" s="717"/>
      <c r="JZ5" s="717"/>
      <c r="KA5" s="717"/>
      <c r="KB5" s="717"/>
      <c r="KC5" s="717"/>
      <c r="KD5" s="717"/>
      <c r="KE5" s="717"/>
      <c r="KF5" s="717"/>
      <c r="KG5" s="717"/>
      <c r="KH5" s="717"/>
      <c r="KI5" s="717"/>
      <c r="KJ5" s="717"/>
      <c r="KK5" s="717"/>
      <c r="KL5" s="717"/>
      <c r="KM5" s="717"/>
      <c r="KN5" s="717"/>
      <c r="KO5" s="717"/>
      <c r="KP5" s="717"/>
      <c r="KQ5" s="717"/>
      <c r="KR5" s="717"/>
      <c r="KS5" s="718"/>
      <c r="KT5" s="719" t="s">
        <v>310</v>
      </c>
      <c r="KU5" s="719" t="s">
        <v>309</v>
      </c>
    </row>
    <row r="6" spans="1:308">
      <c r="A6" s="720" t="s">
        <v>29</v>
      </c>
      <c r="B6" s="723" t="s">
        <v>4</v>
      </c>
      <c r="C6" s="723" t="s">
        <v>5</v>
      </c>
      <c r="D6" s="726" t="s">
        <v>41</v>
      </c>
      <c r="E6" s="729" t="s">
        <v>39</v>
      </c>
      <c r="F6" s="706" t="s">
        <v>311</v>
      </c>
      <c r="G6" s="715"/>
      <c r="H6" s="707"/>
      <c r="I6" s="706" t="s">
        <v>312</v>
      </c>
      <c r="J6" s="715"/>
      <c r="K6" s="707"/>
      <c r="L6" s="706" t="s">
        <v>313</v>
      </c>
      <c r="M6" s="715"/>
      <c r="N6" s="707"/>
      <c r="O6" s="706" t="s">
        <v>314</v>
      </c>
      <c r="P6" s="715"/>
      <c r="Q6" s="707"/>
      <c r="R6" s="706" t="s">
        <v>315</v>
      </c>
      <c r="S6" s="715"/>
      <c r="T6" s="707"/>
      <c r="U6" s="706" t="s">
        <v>316</v>
      </c>
      <c r="V6" s="715"/>
      <c r="W6" s="707"/>
      <c r="X6" s="706" t="s">
        <v>317</v>
      </c>
      <c r="Y6" s="715"/>
      <c r="Z6" s="707"/>
      <c r="AA6" s="706" t="s">
        <v>318</v>
      </c>
      <c r="AB6" s="715"/>
      <c r="AC6" s="707"/>
      <c r="AD6" s="706" t="s">
        <v>319</v>
      </c>
      <c r="AE6" s="715"/>
      <c r="AF6" s="707"/>
      <c r="AG6" s="706" t="s">
        <v>320</v>
      </c>
      <c r="AH6" s="715"/>
      <c r="AI6" s="707"/>
      <c r="AJ6" s="706" t="s">
        <v>321</v>
      </c>
      <c r="AK6" s="715"/>
      <c r="AL6" s="707"/>
      <c r="AM6" s="706" t="s">
        <v>322</v>
      </c>
      <c r="AN6" s="715"/>
      <c r="AO6" s="707"/>
      <c r="AP6" s="706" t="s">
        <v>323</v>
      </c>
      <c r="AQ6" s="715"/>
      <c r="AR6" s="707"/>
      <c r="AS6" s="706" t="s">
        <v>324</v>
      </c>
      <c r="AT6" s="715"/>
      <c r="AU6" s="707"/>
      <c r="AV6" s="706" t="s">
        <v>325</v>
      </c>
      <c r="AW6" s="715"/>
      <c r="AX6" s="707"/>
      <c r="AY6" s="712" t="s">
        <v>326</v>
      </c>
      <c r="AZ6" s="713"/>
      <c r="BA6" s="713"/>
      <c r="BB6" s="712" t="s">
        <v>327</v>
      </c>
      <c r="BC6" s="713"/>
      <c r="BD6" s="714"/>
      <c r="BE6" s="712" t="s">
        <v>328</v>
      </c>
      <c r="BF6" s="713"/>
      <c r="BG6" s="713"/>
      <c r="BH6" s="712" t="s">
        <v>329</v>
      </c>
      <c r="BI6" s="713"/>
      <c r="BJ6" s="714"/>
      <c r="BK6" s="712" t="s">
        <v>330</v>
      </c>
      <c r="BL6" s="713"/>
      <c r="BM6" s="713"/>
      <c r="BN6" s="712" t="s">
        <v>331</v>
      </c>
      <c r="BO6" s="713"/>
      <c r="BP6" s="714"/>
      <c r="BQ6" s="712" t="s">
        <v>332</v>
      </c>
      <c r="BR6" s="713"/>
      <c r="BS6" s="713"/>
      <c r="BT6" s="712" t="s">
        <v>333</v>
      </c>
      <c r="BU6" s="713"/>
      <c r="BV6" s="714"/>
      <c r="BW6" s="712" t="s">
        <v>334</v>
      </c>
      <c r="BX6" s="713"/>
      <c r="BY6" s="713"/>
      <c r="BZ6" s="712" t="s">
        <v>335</v>
      </c>
      <c r="CA6" s="713"/>
      <c r="CB6" s="714"/>
      <c r="CC6" s="712" t="s">
        <v>336</v>
      </c>
      <c r="CD6" s="713"/>
      <c r="CE6" s="713"/>
      <c r="CF6" s="712" t="s">
        <v>337</v>
      </c>
      <c r="CG6" s="713"/>
      <c r="CH6" s="714"/>
      <c r="CI6" s="712" t="s">
        <v>338</v>
      </c>
      <c r="CJ6" s="713"/>
      <c r="CK6" s="713"/>
      <c r="CL6" s="712" t="s">
        <v>339</v>
      </c>
      <c r="CM6" s="713"/>
      <c r="CN6" s="714"/>
      <c r="CO6" s="712" t="s">
        <v>340</v>
      </c>
      <c r="CP6" s="713"/>
      <c r="CQ6" s="713"/>
      <c r="CR6" s="712" t="s">
        <v>341</v>
      </c>
      <c r="CS6" s="713"/>
      <c r="CT6" s="714"/>
      <c r="CU6" s="712" t="s">
        <v>224</v>
      </c>
      <c r="CV6" s="713"/>
      <c r="CW6" s="713"/>
      <c r="CX6" s="712" t="s">
        <v>342</v>
      </c>
      <c r="CY6" s="713"/>
      <c r="CZ6" s="714"/>
      <c r="DA6" s="712" t="s">
        <v>343</v>
      </c>
      <c r="DB6" s="713"/>
      <c r="DC6" s="713"/>
      <c r="DD6" s="712" t="s">
        <v>344</v>
      </c>
      <c r="DE6" s="713"/>
      <c r="DF6" s="714"/>
      <c r="DG6" s="712" t="s">
        <v>345</v>
      </c>
      <c r="DH6" s="713"/>
      <c r="DI6" s="713"/>
      <c r="DJ6" s="712" t="s">
        <v>346</v>
      </c>
      <c r="DK6" s="713"/>
      <c r="DL6" s="714"/>
      <c r="DM6" s="712" t="s">
        <v>347</v>
      </c>
      <c r="DN6" s="713"/>
      <c r="DO6" s="713"/>
      <c r="DP6" s="712" t="s">
        <v>348</v>
      </c>
      <c r="DQ6" s="713"/>
      <c r="DR6" s="714"/>
      <c r="DS6" s="712" t="s">
        <v>349</v>
      </c>
      <c r="DT6" s="713"/>
      <c r="DU6" s="713"/>
      <c r="DV6" s="712" t="s">
        <v>350</v>
      </c>
      <c r="DW6" s="713"/>
      <c r="DX6" s="714"/>
      <c r="DY6" s="712" t="s">
        <v>351</v>
      </c>
      <c r="DZ6" s="713"/>
      <c r="EA6" s="713"/>
      <c r="EB6" s="712" t="s">
        <v>380</v>
      </c>
      <c r="EC6" s="713"/>
      <c r="ED6" s="714"/>
      <c r="EE6" s="712" t="s">
        <v>428</v>
      </c>
      <c r="EF6" s="713"/>
      <c r="EG6" s="713"/>
      <c r="EH6" s="712" t="s">
        <v>430</v>
      </c>
      <c r="EI6" s="713"/>
      <c r="EJ6" s="714"/>
      <c r="EK6" s="712" t="s">
        <v>429</v>
      </c>
      <c r="EL6" s="713"/>
      <c r="EM6" s="714"/>
      <c r="EN6" s="712"/>
      <c r="EO6" s="713"/>
      <c r="EP6" s="714"/>
      <c r="EQ6" s="712"/>
      <c r="ER6" s="713"/>
      <c r="ES6" s="713"/>
      <c r="ET6" s="712"/>
      <c r="EU6" s="713"/>
      <c r="EV6" s="714"/>
      <c r="EW6" s="712"/>
      <c r="EX6" s="713"/>
      <c r="EY6" s="713"/>
      <c r="EZ6" s="712"/>
      <c r="FA6" s="713"/>
      <c r="FB6" s="714"/>
      <c r="FC6" s="712"/>
      <c r="FD6" s="713"/>
      <c r="FE6" s="713"/>
      <c r="FF6" s="712"/>
      <c r="FG6" s="713"/>
      <c r="FH6" s="714"/>
      <c r="FI6" s="712"/>
      <c r="FJ6" s="713"/>
      <c r="FK6" s="713"/>
      <c r="FL6" s="712"/>
      <c r="FM6" s="713"/>
      <c r="FN6" s="714"/>
      <c r="FO6" s="712"/>
      <c r="FP6" s="713"/>
      <c r="FQ6" s="713"/>
      <c r="FR6" s="712"/>
      <c r="FS6" s="713"/>
      <c r="FT6" s="714"/>
      <c r="FU6" s="712"/>
      <c r="FV6" s="713"/>
      <c r="FW6" s="713"/>
      <c r="FX6" s="712"/>
      <c r="FY6" s="713"/>
      <c r="FZ6" s="714"/>
      <c r="GA6" s="712"/>
      <c r="GB6" s="713"/>
      <c r="GC6" s="713"/>
      <c r="GD6" s="712" t="s">
        <v>352</v>
      </c>
      <c r="GE6" s="713"/>
      <c r="GF6" s="714"/>
      <c r="GG6" s="712" t="s">
        <v>353</v>
      </c>
      <c r="GH6" s="713"/>
      <c r="GI6" s="713"/>
      <c r="GJ6" s="712" t="s">
        <v>354</v>
      </c>
      <c r="GK6" s="713"/>
      <c r="GL6" s="714"/>
      <c r="GM6" s="712" t="s">
        <v>355</v>
      </c>
      <c r="GN6" s="713"/>
      <c r="GO6" s="713"/>
      <c r="GP6" s="712" t="s">
        <v>356</v>
      </c>
      <c r="GQ6" s="713"/>
      <c r="GR6" s="714"/>
      <c r="GS6" s="712" t="s">
        <v>357</v>
      </c>
      <c r="GT6" s="713"/>
      <c r="GU6" s="713"/>
      <c r="GV6" s="712" t="s">
        <v>358</v>
      </c>
      <c r="GW6" s="713"/>
      <c r="GX6" s="714"/>
      <c r="GY6" s="712" t="s">
        <v>359</v>
      </c>
      <c r="GZ6" s="713"/>
      <c r="HA6" s="713"/>
      <c r="HB6" s="712" t="s">
        <v>335</v>
      </c>
      <c r="HC6" s="713"/>
      <c r="HD6" s="714"/>
      <c r="HE6" s="712" t="s">
        <v>350</v>
      </c>
      <c r="HF6" s="713"/>
      <c r="HG6" s="713"/>
      <c r="HH6" s="712" t="s">
        <v>349</v>
      </c>
      <c r="HI6" s="713"/>
      <c r="HJ6" s="714"/>
      <c r="HK6" s="712" t="s">
        <v>331</v>
      </c>
      <c r="HL6" s="713"/>
      <c r="HM6" s="713"/>
      <c r="HN6" s="712" t="s">
        <v>360</v>
      </c>
      <c r="HO6" s="713"/>
      <c r="HP6" s="714"/>
      <c r="HQ6" s="712" t="s">
        <v>224</v>
      </c>
      <c r="HR6" s="713"/>
      <c r="HS6" s="713"/>
      <c r="HT6" s="712" t="s">
        <v>361</v>
      </c>
      <c r="HU6" s="713"/>
      <c r="HV6" s="714"/>
      <c r="HW6" s="712" t="s">
        <v>362</v>
      </c>
      <c r="HX6" s="713"/>
      <c r="HY6" s="713"/>
      <c r="HZ6" s="712" t="s">
        <v>363</v>
      </c>
      <c r="IA6" s="713"/>
      <c r="IB6" s="714"/>
      <c r="IC6" s="712" t="s">
        <v>364</v>
      </c>
      <c r="ID6" s="713"/>
      <c r="IE6" s="713"/>
      <c r="IF6" s="712" t="s">
        <v>365</v>
      </c>
      <c r="IG6" s="713"/>
      <c r="IH6" s="714"/>
      <c r="II6" s="708" t="s">
        <v>337</v>
      </c>
      <c r="IJ6" s="708"/>
      <c r="IK6" s="708"/>
      <c r="IL6" s="712" t="s">
        <v>340</v>
      </c>
      <c r="IM6" s="713"/>
      <c r="IN6" s="714"/>
      <c r="IO6" s="712" t="s">
        <v>341</v>
      </c>
      <c r="IP6" s="713"/>
      <c r="IQ6" s="713"/>
      <c r="IR6" s="712" t="s">
        <v>336</v>
      </c>
      <c r="IS6" s="713"/>
      <c r="IT6" s="714"/>
      <c r="IU6" s="712" t="s">
        <v>366</v>
      </c>
      <c r="IV6" s="713"/>
      <c r="IW6" s="713"/>
      <c r="IX6" s="712" t="s">
        <v>343</v>
      </c>
      <c r="IY6" s="713"/>
      <c r="IZ6" s="714"/>
      <c r="JA6" s="712" t="s">
        <v>367</v>
      </c>
      <c r="JB6" s="713"/>
      <c r="JC6" s="713"/>
      <c r="JD6" s="712" t="s">
        <v>368</v>
      </c>
      <c r="JE6" s="713"/>
      <c r="JF6" s="714"/>
      <c r="JG6" s="712" t="s">
        <v>369</v>
      </c>
      <c r="JH6" s="713"/>
      <c r="JI6" s="713"/>
      <c r="JJ6" s="712" t="s">
        <v>381</v>
      </c>
      <c r="JK6" s="713"/>
      <c r="JL6" s="714"/>
      <c r="JM6" s="712"/>
      <c r="JN6" s="713"/>
      <c r="JO6" s="713"/>
      <c r="JP6" s="712"/>
      <c r="JQ6" s="713"/>
      <c r="JR6" s="714"/>
      <c r="JS6" s="712"/>
      <c r="JT6" s="713"/>
      <c r="JU6" s="713"/>
      <c r="JV6" s="712"/>
      <c r="JW6" s="713"/>
      <c r="JX6" s="714"/>
      <c r="JY6" s="712"/>
      <c r="JZ6" s="713"/>
      <c r="KA6" s="713"/>
      <c r="KB6" s="712"/>
      <c r="KC6" s="713"/>
      <c r="KD6" s="714"/>
      <c r="KE6" s="712"/>
      <c r="KF6" s="713"/>
      <c r="KG6" s="713"/>
      <c r="KH6" s="712"/>
      <c r="KI6" s="713"/>
      <c r="KJ6" s="714"/>
      <c r="KK6" s="712"/>
      <c r="KL6" s="713"/>
      <c r="KM6" s="713"/>
      <c r="KN6" s="712"/>
      <c r="KO6" s="713"/>
      <c r="KP6" s="714"/>
      <c r="KQ6" s="708"/>
      <c r="KR6" s="708"/>
      <c r="KS6" s="708"/>
      <c r="KT6" s="719"/>
      <c r="KU6" s="719"/>
    </row>
    <row r="7" spans="1:308">
      <c r="A7" s="721"/>
      <c r="B7" s="724"/>
      <c r="C7" s="724"/>
      <c r="D7" s="727"/>
      <c r="E7" s="730"/>
      <c r="F7" s="706" t="s">
        <v>134</v>
      </c>
      <c r="G7" s="707"/>
      <c r="H7" s="513" t="s">
        <v>370</v>
      </c>
      <c r="I7" s="706" t="s">
        <v>134</v>
      </c>
      <c r="J7" s="707"/>
      <c r="K7" s="513" t="s">
        <v>370</v>
      </c>
      <c r="L7" s="706" t="s">
        <v>134</v>
      </c>
      <c r="M7" s="707"/>
      <c r="N7" s="513" t="s">
        <v>370</v>
      </c>
      <c r="O7" s="706" t="s">
        <v>134</v>
      </c>
      <c r="P7" s="707"/>
      <c r="Q7" s="513" t="s">
        <v>370</v>
      </c>
      <c r="R7" s="706" t="s">
        <v>134</v>
      </c>
      <c r="S7" s="707"/>
      <c r="T7" s="513" t="s">
        <v>370</v>
      </c>
      <c r="U7" s="706" t="s">
        <v>134</v>
      </c>
      <c r="V7" s="707"/>
      <c r="W7" s="513" t="s">
        <v>370</v>
      </c>
      <c r="X7" s="706" t="s">
        <v>134</v>
      </c>
      <c r="Y7" s="707"/>
      <c r="Z7" s="513" t="s">
        <v>370</v>
      </c>
      <c r="AA7" s="706" t="s">
        <v>134</v>
      </c>
      <c r="AB7" s="707"/>
      <c r="AC7" s="513" t="s">
        <v>370</v>
      </c>
      <c r="AD7" s="706" t="s">
        <v>134</v>
      </c>
      <c r="AE7" s="707"/>
      <c r="AF7" s="513" t="s">
        <v>370</v>
      </c>
      <c r="AG7" s="706" t="s">
        <v>134</v>
      </c>
      <c r="AH7" s="707"/>
      <c r="AI7" s="513" t="s">
        <v>370</v>
      </c>
      <c r="AJ7" s="706" t="s">
        <v>134</v>
      </c>
      <c r="AK7" s="707"/>
      <c r="AL7" s="513" t="s">
        <v>370</v>
      </c>
      <c r="AM7" s="706" t="s">
        <v>134</v>
      </c>
      <c r="AN7" s="707"/>
      <c r="AO7" s="513" t="s">
        <v>370</v>
      </c>
      <c r="AP7" s="706" t="s">
        <v>134</v>
      </c>
      <c r="AQ7" s="707"/>
      <c r="AR7" s="513" t="s">
        <v>370</v>
      </c>
      <c r="AS7" s="706" t="s">
        <v>134</v>
      </c>
      <c r="AT7" s="707"/>
      <c r="AU7" s="513" t="s">
        <v>370</v>
      </c>
      <c r="AV7" s="706" t="s">
        <v>134</v>
      </c>
      <c r="AW7" s="707"/>
      <c r="AX7" s="513" t="s">
        <v>370</v>
      </c>
      <c r="AY7" s="706" t="s">
        <v>134</v>
      </c>
      <c r="AZ7" s="707"/>
      <c r="BA7" s="513" t="s">
        <v>370</v>
      </c>
      <c r="BB7" s="706" t="s">
        <v>134</v>
      </c>
      <c r="BC7" s="707"/>
      <c r="BD7" s="513" t="s">
        <v>370</v>
      </c>
      <c r="BE7" s="706" t="s">
        <v>134</v>
      </c>
      <c r="BF7" s="707"/>
      <c r="BG7" s="513" t="s">
        <v>370</v>
      </c>
      <c r="BH7" s="706" t="s">
        <v>134</v>
      </c>
      <c r="BI7" s="707"/>
      <c r="BJ7" s="513" t="s">
        <v>370</v>
      </c>
      <c r="BK7" s="706" t="s">
        <v>134</v>
      </c>
      <c r="BL7" s="707"/>
      <c r="BM7" s="513" t="s">
        <v>370</v>
      </c>
      <c r="BN7" s="706" t="s">
        <v>134</v>
      </c>
      <c r="BO7" s="707"/>
      <c r="BP7" s="513" t="s">
        <v>370</v>
      </c>
      <c r="BQ7" s="706" t="s">
        <v>134</v>
      </c>
      <c r="BR7" s="707"/>
      <c r="BS7" s="513" t="s">
        <v>370</v>
      </c>
      <c r="BT7" s="706" t="s">
        <v>134</v>
      </c>
      <c r="BU7" s="707"/>
      <c r="BV7" s="513" t="s">
        <v>370</v>
      </c>
      <c r="BW7" s="706" t="s">
        <v>134</v>
      </c>
      <c r="BX7" s="707"/>
      <c r="BY7" s="513" t="s">
        <v>370</v>
      </c>
      <c r="BZ7" s="706" t="s">
        <v>134</v>
      </c>
      <c r="CA7" s="707"/>
      <c r="CB7" s="513" t="s">
        <v>370</v>
      </c>
      <c r="CC7" s="706" t="s">
        <v>134</v>
      </c>
      <c r="CD7" s="707"/>
      <c r="CE7" s="513" t="s">
        <v>370</v>
      </c>
      <c r="CF7" s="706" t="s">
        <v>134</v>
      </c>
      <c r="CG7" s="707"/>
      <c r="CH7" s="513" t="s">
        <v>370</v>
      </c>
      <c r="CI7" s="706" t="s">
        <v>134</v>
      </c>
      <c r="CJ7" s="707"/>
      <c r="CK7" s="513" t="s">
        <v>370</v>
      </c>
      <c r="CL7" s="706" t="s">
        <v>134</v>
      </c>
      <c r="CM7" s="707"/>
      <c r="CN7" s="513" t="s">
        <v>370</v>
      </c>
      <c r="CO7" s="706" t="s">
        <v>134</v>
      </c>
      <c r="CP7" s="707"/>
      <c r="CQ7" s="513" t="s">
        <v>370</v>
      </c>
      <c r="CR7" s="706" t="s">
        <v>134</v>
      </c>
      <c r="CS7" s="707"/>
      <c r="CT7" s="513" t="s">
        <v>370</v>
      </c>
      <c r="CU7" s="706" t="s">
        <v>134</v>
      </c>
      <c r="CV7" s="707"/>
      <c r="CW7" s="513" t="s">
        <v>370</v>
      </c>
      <c r="CX7" s="706" t="s">
        <v>134</v>
      </c>
      <c r="CY7" s="707"/>
      <c r="CZ7" s="513" t="s">
        <v>370</v>
      </c>
      <c r="DA7" s="706" t="s">
        <v>134</v>
      </c>
      <c r="DB7" s="707"/>
      <c r="DC7" s="513" t="s">
        <v>370</v>
      </c>
      <c r="DD7" s="706" t="s">
        <v>134</v>
      </c>
      <c r="DE7" s="707"/>
      <c r="DF7" s="513" t="s">
        <v>370</v>
      </c>
      <c r="DG7" s="706" t="s">
        <v>134</v>
      </c>
      <c r="DH7" s="707"/>
      <c r="DI7" s="513" t="s">
        <v>370</v>
      </c>
      <c r="DJ7" s="706" t="s">
        <v>134</v>
      </c>
      <c r="DK7" s="707"/>
      <c r="DL7" s="513" t="s">
        <v>370</v>
      </c>
      <c r="DM7" s="706" t="s">
        <v>134</v>
      </c>
      <c r="DN7" s="707"/>
      <c r="DO7" s="513" t="s">
        <v>370</v>
      </c>
      <c r="DP7" s="706" t="s">
        <v>134</v>
      </c>
      <c r="DQ7" s="707"/>
      <c r="DR7" s="513" t="s">
        <v>370</v>
      </c>
      <c r="DS7" s="706" t="s">
        <v>134</v>
      </c>
      <c r="DT7" s="707"/>
      <c r="DU7" s="513" t="s">
        <v>370</v>
      </c>
      <c r="DV7" s="706" t="s">
        <v>134</v>
      </c>
      <c r="DW7" s="707"/>
      <c r="DX7" s="513" t="s">
        <v>370</v>
      </c>
      <c r="DY7" s="706" t="s">
        <v>134</v>
      </c>
      <c r="DZ7" s="707"/>
      <c r="EA7" s="513" t="s">
        <v>370</v>
      </c>
      <c r="EB7" s="706" t="s">
        <v>134</v>
      </c>
      <c r="EC7" s="707"/>
      <c r="ED7" s="513" t="s">
        <v>370</v>
      </c>
      <c r="EE7" s="706" t="s">
        <v>134</v>
      </c>
      <c r="EF7" s="707"/>
      <c r="EG7" s="513" t="s">
        <v>370</v>
      </c>
      <c r="EH7" s="706" t="s">
        <v>134</v>
      </c>
      <c r="EI7" s="707"/>
      <c r="EJ7" s="513" t="s">
        <v>370</v>
      </c>
      <c r="EK7" s="706" t="s">
        <v>134</v>
      </c>
      <c r="EL7" s="707"/>
      <c r="EM7" s="513" t="s">
        <v>370</v>
      </c>
      <c r="EN7" s="706" t="s">
        <v>134</v>
      </c>
      <c r="EO7" s="707"/>
      <c r="EP7" s="513" t="s">
        <v>370</v>
      </c>
      <c r="EQ7" s="706" t="s">
        <v>134</v>
      </c>
      <c r="ER7" s="707"/>
      <c r="ES7" s="513" t="s">
        <v>370</v>
      </c>
      <c r="ET7" s="706" t="s">
        <v>134</v>
      </c>
      <c r="EU7" s="707"/>
      <c r="EV7" s="513" t="s">
        <v>370</v>
      </c>
      <c r="EW7" s="706" t="s">
        <v>134</v>
      </c>
      <c r="EX7" s="707"/>
      <c r="EY7" s="513" t="s">
        <v>370</v>
      </c>
      <c r="EZ7" s="706" t="s">
        <v>134</v>
      </c>
      <c r="FA7" s="707"/>
      <c r="FB7" s="513" t="s">
        <v>370</v>
      </c>
      <c r="FC7" s="706" t="s">
        <v>134</v>
      </c>
      <c r="FD7" s="707"/>
      <c r="FE7" s="513" t="s">
        <v>370</v>
      </c>
      <c r="FF7" s="706" t="s">
        <v>134</v>
      </c>
      <c r="FG7" s="707"/>
      <c r="FH7" s="513" t="s">
        <v>370</v>
      </c>
      <c r="FI7" s="706" t="s">
        <v>134</v>
      </c>
      <c r="FJ7" s="707"/>
      <c r="FK7" s="513" t="s">
        <v>370</v>
      </c>
      <c r="FL7" s="706" t="s">
        <v>134</v>
      </c>
      <c r="FM7" s="707"/>
      <c r="FN7" s="513" t="s">
        <v>370</v>
      </c>
      <c r="FO7" s="706" t="s">
        <v>134</v>
      </c>
      <c r="FP7" s="707"/>
      <c r="FQ7" s="513" t="s">
        <v>370</v>
      </c>
      <c r="FR7" s="706" t="s">
        <v>134</v>
      </c>
      <c r="FS7" s="707"/>
      <c r="FT7" s="513" t="s">
        <v>370</v>
      </c>
      <c r="FU7" s="706" t="s">
        <v>134</v>
      </c>
      <c r="FV7" s="707"/>
      <c r="FW7" s="513" t="s">
        <v>370</v>
      </c>
      <c r="FX7" s="706" t="s">
        <v>134</v>
      </c>
      <c r="FY7" s="707"/>
      <c r="FZ7" s="513" t="s">
        <v>370</v>
      </c>
      <c r="GA7" s="706" t="s">
        <v>134</v>
      </c>
      <c r="GB7" s="707"/>
      <c r="GC7" s="513" t="s">
        <v>370</v>
      </c>
      <c r="GD7" s="706" t="s">
        <v>134</v>
      </c>
      <c r="GE7" s="707"/>
      <c r="GF7" s="513" t="s">
        <v>370</v>
      </c>
      <c r="GG7" s="706" t="s">
        <v>134</v>
      </c>
      <c r="GH7" s="707"/>
      <c r="GI7" s="513" t="s">
        <v>370</v>
      </c>
      <c r="GJ7" s="706" t="s">
        <v>134</v>
      </c>
      <c r="GK7" s="707"/>
      <c r="GL7" s="513" t="s">
        <v>370</v>
      </c>
      <c r="GM7" s="706" t="s">
        <v>134</v>
      </c>
      <c r="GN7" s="707"/>
      <c r="GO7" s="513" t="s">
        <v>370</v>
      </c>
      <c r="GP7" s="706" t="s">
        <v>134</v>
      </c>
      <c r="GQ7" s="707"/>
      <c r="GR7" s="513" t="s">
        <v>370</v>
      </c>
      <c r="GS7" s="706" t="s">
        <v>134</v>
      </c>
      <c r="GT7" s="707"/>
      <c r="GU7" s="513" t="s">
        <v>370</v>
      </c>
      <c r="GV7" s="706" t="s">
        <v>134</v>
      </c>
      <c r="GW7" s="707"/>
      <c r="GX7" s="513" t="s">
        <v>370</v>
      </c>
      <c r="GY7" s="706" t="s">
        <v>134</v>
      </c>
      <c r="GZ7" s="707"/>
      <c r="HA7" s="513" t="s">
        <v>370</v>
      </c>
      <c r="HB7" s="706" t="s">
        <v>134</v>
      </c>
      <c r="HC7" s="707"/>
      <c r="HD7" s="513" t="s">
        <v>370</v>
      </c>
      <c r="HE7" s="706" t="s">
        <v>134</v>
      </c>
      <c r="HF7" s="707"/>
      <c r="HG7" s="513" t="s">
        <v>370</v>
      </c>
      <c r="HH7" s="706" t="s">
        <v>134</v>
      </c>
      <c r="HI7" s="707"/>
      <c r="HJ7" s="513" t="s">
        <v>370</v>
      </c>
      <c r="HK7" s="706" t="s">
        <v>134</v>
      </c>
      <c r="HL7" s="707"/>
      <c r="HM7" s="513" t="s">
        <v>370</v>
      </c>
      <c r="HN7" s="706" t="s">
        <v>134</v>
      </c>
      <c r="HO7" s="707"/>
      <c r="HP7" s="513" t="s">
        <v>370</v>
      </c>
      <c r="HQ7" s="706" t="s">
        <v>134</v>
      </c>
      <c r="HR7" s="707"/>
      <c r="HS7" s="513" t="s">
        <v>370</v>
      </c>
      <c r="HT7" s="706" t="s">
        <v>134</v>
      </c>
      <c r="HU7" s="707"/>
      <c r="HV7" s="513" t="s">
        <v>370</v>
      </c>
      <c r="HW7" s="706" t="s">
        <v>134</v>
      </c>
      <c r="HX7" s="707"/>
      <c r="HY7" s="513" t="s">
        <v>370</v>
      </c>
      <c r="HZ7" s="706" t="s">
        <v>134</v>
      </c>
      <c r="IA7" s="707"/>
      <c r="IB7" s="513" t="s">
        <v>370</v>
      </c>
      <c r="IC7" s="706" t="s">
        <v>134</v>
      </c>
      <c r="ID7" s="707"/>
      <c r="IE7" s="513" t="s">
        <v>370</v>
      </c>
      <c r="IF7" s="706" t="s">
        <v>134</v>
      </c>
      <c r="IG7" s="707"/>
      <c r="IH7" s="513" t="s">
        <v>370</v>
      </c>
      <c r="II7" s="708" t="s">
        <v>134</v>
      </c>
      <c r="IJ7" s="708"/>
      <c r="IK7" s="514" t="s">
        <v>370</v>
      </c>
      <c r="IL7" s="706" t="s">
        <v>134</v>
      </c>
      <c r="IM7" s="707"/>
      <c r="IN7" s="513" t="s">
        <v>370</v>
      </c>
      <c r="IO7" s="706" t="s">
        <v>134</v>
      </c>
      <c r="IP7" s="707"/>
      <c r="IQ7" s="513" t="s">
        <v>370</v>
      </c>
      <c r="IR7" s="706" t="s">
        <v>134</v>
      </c>
      <c r="IS7" s="707"/>
      <c r="IT7" s="513" t="s">
        <v>370</v>
      </c>
      <c r="IU7" s="706" t="s">
        <v>134</v>
      </c>
      <c r="IV7" s="707"/>
      <c r="IW7" s="513" t="s">
        <v>370</v>
      </c>
      <c r="IX7" s="706" t="s">
        <v>134</v>
      </c>
      <c r="IY7" s="707"/>
      <c r="IZ7" s="513" t="s">
        <v>370</v>
      </c>
      <c r="JA7" s="706" t="s">
        <v>134</v>
      </c>
      <c r="JB7" s="707"/>
      <c r="JC7" s="513" t="s">
        <v>370</v>
      </c>
      <c r="JD7" s="706" t="s">
        <v>134</v>
      </c>
      <c r="JE7" s="707"/>
      <c r="JF7" s="513" t="s">
        <v>370</v>
      </c>
      <c r="JG7" s="706" t="s">
        <v>134</v>
      </c>
      <c r="JH7" s="707"/>
      <c r="JI7" s="513" t="s">
        <v>370</v>
      </c>
      <c r="JJ7" s="706" t="s">
        <v>134</v>
      </c>
      <c r="JK7" s="707"/>
      <c r="JL7" s="513" t="s">
        <v>370</v>
      </c>
      <c r="JM7" s="706" t="s">
        <v>134</v>
      </c>
      <c r="JN7" s="707"/>
      <c r="JO7" s="513" t="s">
        <v>370</v>
      </c>
      <c r="JP7" s="706" t="s">
        <v>134</v>
      </c>
      <c r="JQ7" s="707"/>
      <c r="JR7" s="513" t="s">
        <v>370</v>
      </c>
      <c r="JS7" s="706" t="s">
        <v>134</v>
      </c>
      <c r="JT7" s="707"/>
      <c r="JU7" s="513" t="s">
        <v>370</v>
      </c>
      <c r="JV7" s="706" t="s">
        <v>134</v>
      </c>
      <c r="JW7" s="707"/>
      <c r="JX7" s="513" t="s">
        <v>370</v>
      </c>
      <c r="JY7" s="706" t="s">
        <v>134</v>
      </c>
      <c r="JZ7" s="707"/>
      <c r="KA7" s="513" t="s">
        <v>370</v>
      </c>
      <c r="KB7" s="706" t="s">
        <v>134</v>
      </c>
      <c r="KC7" s="707"/>
      <c r="KD7" s="513" t="s">
        <v>370</v>
      </c>
      <c r="KE7" s="706" t="s">
        <v>134</v>
      </c>
      <c r="KF7" s="707"/>
      <c r="KG7" s="513" t="s">
        <v>370</v>
      </c>
      <c r="KH7" s="706" t="s">
        <v>134</v>
      </c>
      <c r="KI7" s="707"/>
      <c r="KJ7" s="513" t="s">
        <v>370</v>
      </c>
      <c r="KK7" s="706" t="s">
        <v>134</v>
      </c>
      <c r="KL7" s="707"/>
      <c r="KM7" s="513" t="s">
        <v>370</v>
      </c>
      <c r="KN7" s="706" t="s">
        <v>134</v>
      </c>
      <c r="KO7" s="707"/>
      <c r="KP7" s="513" t="s">
        <v>370</v>
      </c>
      <c r="KQ7" s="708" t="s">
        <v>134</v>
      </c>
      <c r="KR7" s="708"/>
      <c r="KS7" s="514" t="s">
        <v>370</v>
      </c>
      <c r="KT7" s="719"/>
      <c r="KU7" s="719"/>
    </row>
    <row r="8" spans="1:308" ht="13.5" thickBot="1">
      <c r="A8" s="722"/>
      <c r="B8" s="725"/>
      <c r="C8" s="725"/>
      <c r="D8" s="728"/>
      <c r="E8" s="731"/>
      <c r="F8" s="528" t="s">
        <v>136</v>
      </c>
      <c r="G8" s="528" t="s">
        <v>40</v>
      </c>
      <c r="H8" s="529"/>
      <c r="I8" s="528" t="s">
        <v>136</v>
      </c>
      <c r="J8" s="528" t="s">
        <v>40</v>
      </c>
      <c r="K8" s="529"/>
      <c r="L8" s="528" t="s">
        <v>136</v>
      </c>
      <c r="M8" s="528" t="s">
        <v>40</v>
      </c>
      <c r="N8" s="529"/>
      <c r="O8" s="528" t="s">
        <v>136</v>
      </c>
      <c r="P8" s="528" t="s">
        <v>40</v>
      </c>
      <c r="Q8" s="529"/>
      <c r="R8" s="528" t="s">
        <v>136</v>
      </c>
      <c r="S8" s="528" t="s">
        <v>40</v>
      </c>
      <c r="T8" s="529"/>
      <c r="U8" s="528" t="s">
        <v>136</v>
      </c>
      <c r="V8" s="528" t="s">
        <v>40</v>
      </c>
      <c r="W8" s="529"/>
      <c r="X8" s="528" t="s">
        <v>136</v>
      </c>
      <c r="Y8" s="528" t="s">
        <v>40</v>
      </c>
      <c r="Z8" s="529"/>
      <c r="AA8" s="528" t="s">
        <v>136</v>
      </c>
      <c r="AB8" s="528" t="s">
        <v>40</v>
      </c>
      <c r="AC8" s="529"/>
      <c r="AD8" s="528" t="s">
        <v>136</v>
      </c>
      <c r="AE8" s="528" t="s">
        <v>40</v>
      </c>
      <c r="AF8" s="529"/>
      <c r="AG8" s="528" t="s">
        <v>136</v>
      </c>
      <c r="AH8" s="528" t="s">
        <v>40</v>
      </c>
      <c r="AI8" s="529"/>
      <c r="AJ8" s="528" t="s">
        <v>136</v>
      </c>
      <c r="AK8" s="528" t="s">
        <v>40</v>
      </c>
      <c r="AL8" s="529"/>
      <c r="AM8" s="528" t="s">
        <v>136</v>
      </c>
      <c r="AN8" s="528" t="s">
        <v>40</v>
      </c>
      <c r="AO8" s="529"/>
      <c r="AP8" s="528" t="s">
        <v>136</v>
      </c>
      <c r="AQ8" s="528" t="s">
        <v>40</v>
      </c>
      <c r="AR8" s="529"/>
      <c r="AS8" s="528" t="s">
        <v>136</v>
      </c>
      <c r="AT8" s="528" t="s">
        <v>40</v>
      </c>
      <c r="AU8" s="529"/>
      <c r="AV8" s="528" t="s">
        <v>136</v>
      </c>
      <c r="AW8" s="528" t="s">
        <v>40</v>
      </c>
      <c r="AX8" s="529"/>
      <c r="AY8" s="528" t="s">
        <v>136</v>
      </c>
      <c r="AZ8" s="528" t="s">
        <v>40</v>
      </c>
      <c r="BA8" s="529"/>
      <c r="BB8" s="528" t="s">
        <v>136</v>
      </c>
      <c r="BC8" s="528" t="s">
        <v>40</v>
      </c>
      <c r="BD8" s="529"/>
      <c r="BE8" s="528" t="s">
        <v>136</v>
      </c>
      <c r="BF8" s="528" t="s">
        <v>40</v>
      </c>
      <c r="BG8" s="529"/>
      <c r="BH8" s="528" t="s">
        <v>136</v>
      </c>
      <c r="BI8" s="528" t="s">
        <v>40</v>
      </c>
      <c r="BJ8" s="529"/>
      <c r="BK8" s="528" t="s">
        <v>136</v>
      </c>
      <c r="BL8" s="528" t="s">
        <v>40</v>
      </c>
      <c r="BM8" s="529"/>
      <c r="BN8" s="528" t="s">
        <v>136</v>
      </c>
      <c r="BO8" s="528" t="s">
        <v>40</v>
      </c>
      <c r="BP8" s="529"/>
      <c r="BQ8" s="528" t="s">
        <v>136</v>
      </c>
      <c r="BR8" s="528" t="s">
        <v>40</v>
      </c>
      <c r="BS8" s="529"/>
      <c r="BT8" s="528" t="s">
        <v>136</v>
      </c>
      <c r="BU8" s="528" t="s">
        <v>40</v>
      </c>
      <c r="BV8" s="529"/>
      <c r="BW8" s="528" t="s">
        <v>136</v>
      </c>
      <c r="BX8" s="528" t="s">
        <v>40</v>
      </c>
      <c r="BY8" s="529"/>
      <c r="BZ8" s="528" t="s">
        <v>136</v>
      </c>
      <c r="CA8" s="528" t="s">
        <v>40</v>
      </c>
      <c r="CB8" s="529"/>
      <c r="CC8" s="528" t="s">
        <v>136</v>
      </c>
      <c r="CD8" s="528" t="s">
        <v>40</v>
      </c>
      <c r="CE8" s="529"/>
      <c r="CF8" s="528" t="s">
        <v>136</v>
      </c>
      <c r="CG8" s="528" t="s">
        <v>40</v>
      </c>
      <c r="CH8" s="529"/>
      <c r="CI8" s="528" t="s">
        <v>136</v>
      </c>
      <c r="CJ8" s="528" t="s">
        <v>40</v>
      </c>
      <c r="CK8" s="529"/>
      <c r="CL8" s="528" t="s">
        <v>136</v>
      </c>
      <c r="CM8" s="528" t="s">
        <v>40</v>
      </c>
      <c r="CN8" s="529"/>
      <c r="CO8" s="528" t="s">
        <v>136</v>
      </c>
      <c r="CP8" s="528" t="s">
        <v>40</v>
      </c>
      <c r="CQ8" s="529"/>
      <c r="CR8" s="528" t="s">
        <v>136</v>
      </c>
      <c r="CS8" s="528" t="s">
        <v>40</v>
      </c>
      <c r="CT8" s="529"/>
      <c r="CU8" s="528" t="s">
        <v>136</v>
      </c>
      <c r="CV8" s="528" t="s">
        <v>40</v>
      </c>
      <c r="CW8" s="529"/>
      <c r="CX8" s="528" t="s">
        <v>136</v>
      </c>
      <c r="CY8" s="528" t="s">
        <v>40</v>
      </c>
      <c r="CZ8" s="529"/>
      <c r="DA8" s="528" t="s">
        <v>136</v>
      </c>
      <c r="DB8" s="528" t="s">
        <v>40</v>
      </c>
      <c r="DC8" s="529"/>
      <c r="DD8" s="528" t="s">
        <v>136</v>
      </c>
      <c r="DE8" s="528" t="s">
        <v>40</v>
      </c>
      <c r="DF8" s="529"/>
      <c r="DG8" s="528" t="s">
        <v>136</v>
      </c>
      <c r="DH8" s="528" t="s">
        <v>40</v>
      </c>
      <c r="DI8" s="529"/>
      <c r="DJ8" s="528" t="s">
        <v>136</v>
      </c>
      <c r="DK8" s="528" t="s">
        <v>40</v>
      </c>
      <c r="DL8" s="529"/>
      <c r="DM8" s="528" t="s">
        <v>136</v>
      </c>
      <c r="DN8" s="528" t="s">
        <v>40</v>
      </c>
      <c r="DO8" s="529"/>
      <c r="DP8" s="528" t="s">
        <v>136</v>
      </c>
      <c r="DQ8" s="528" t="s">
        <v>40</v>
      </c>
      <c r="DR8" s="529"/>
      <c r="DS8" s="528" t="s">
        <v>136</v>
      </c>
      <c r="DT8" s="528" t="s">
        <v>40</v>
      </c>
      <c r="DU8" s="529"/>
      <c r="DV8" s="528" t="s">
        <v>136</v>
      </c>
      <c r="DW8" s="528" t="s">
        <v>40</v>
      </c>
      <c r="DX8" s="529"/>
      <c r="DY8" s="528" t="s">
        <v>136</v>
      </c>
      <c r="DZ8" s="528" t="s">
        <v>40</v>
      </c>
      <c r="EA8" s="529"/>
      <c r="EB8" s="528" t="s">
        <v>136</v>
      </c>
      <c r="EC8" s="528" t="s">
        <v>40</v>
      </c>
      <c r="ED8" s="513"/>
      <c r="EE8" s="528" t="s">
        <v>136</v>
      </c>
      <c r="EF8" s="528" t="s">
        <v>40</v>
      </c>
      <c r="EG8" s="529"/>
      <c r="EH8" s="528" t="s">
        <v>136</v>
      </c>
      <c r="EI8" s="528" t="s">
        <v>40</v>
      </c>
      <c r="EJ8" s="529"/>
      <c r="EK8" s="528" t="s">
        <v>136</v>
      </c>
      <c r="EL8" s="528" t="s">
        <v>40</v>
      </c>
      <c r="EM8" s="529"/>
      <c r="EN8" s="528" t="s">
        <v>136</v>
      </c>
      <c r="EO8" s="528" t="s">
        <v>40</v>
      </c>
      <c r="EP8" s="529"/>
      <c r="EQ8" s="528" t="s">
        <v>136</v>
      </c>
      <c r="ER8" s="528" t="s">
        <v>40</v>
      </c>
      <c r="ES8" s="529"/>
      <c r="ET8" s="528" t="s">
        <v>136</v>
      </c>
      <c r="EU8" s="528" t="s">
        <v>40</v>
      </c>
      <c r="EV8" s="529"/>
      <c r="EW8" s="528" t="s">
        <v>136</v>
      </c>
      <c r="EX8" s="528" t="s">
        <v>40</v>
      </c>
      <c r="EY8" s="529"/>
      <c r="EZ8" s="528" t="s">
        <v>136</v>
      </c>
      <c r="FA8" s="528" t="s">
        <v>40</v>
      </c>
      <c r="FB8" s="529"/>
      <c r="FC8" s="528" t="s">
        <v>136</v>
      </c>
      <c r="FD8" s="528" t="s">
        <v>40</v>
      </c>
      <c r="FE8" s="529"/>
      <c r="FF8" s="528" t="s">
        <v>136</v>
      </c>
      <c r="FG8" s="528" t="s">
        <v>40</v>
      </c>
      <c r="FH8" s="529"/>
      <c r="FI8" s="528" t="s">
        <v>136</v>
      </c>
      <c r="FJ8" s="528" t="s">
        <v>40</v>
      </c>
      <c r="FK8" s="529"/>
      <c r="FL8" s="528" t="s">
        <v>136</v>
      </c>
      <c r="FM8" s="528" t="s">
        <v>40</v>
      </c>
      <c r="FN8" s="529"/>
      <c r="FO8" s="528" t="s">
        <v>136</v>
      </c>
      <c r="FP8" s="528" t="s">
        <v>40</v>
      </c>
      <c r="FQ8" s="529"/>
      <c r="FR8" s="528" t="s">
        <v>136</v>
      </c>
      <c r="FS8" s="528" t="s">
        <v>40</v>
      </c>
      <c r="FT8" s="529"/>
      <c r="FU8" s="528" t="s">
        <v>136</v>
      </c>
      <c r="FV8" s="528" t="s">
        <v>40</v>
      </c>
      <c r="FW8" s="529"/>
      <c r="FX8" s="528" t="s">
        <v>136</v>
      </c>
      <c r="FY8" s="528" t="s">
        <v>40</v>
      </c>
      <c r="FZ8" s="529"/>
      <c r="GA8" s="528" t="s">
        <v>136</v>
      </c>
      <c r="GB8" s="528" t="s">
        <v>40</v>
      </c>
      <c r="GC8" s="529"/>
      <c r="GD8" s="528" t="s">
        <v>136</v>
      </c>
      <c r="GE8" s="528" t="s">
        <v>40</v>
      </c>
      <c r="GF8" s="529"/>
      <c r="GG8" s="528" t="s">
        <v>136</v>
      </c>
      <c r="GH8" s="528" t="s">
        <v>40</v>
      </c>
      <c r="GI8" s="529"/>
      <c r="GJ8" s="528" t="s">
        <v>136</v>
      </c>
      <c r="GK8" s="528" t="s">
        <v>40</v>
      </c>
      <c r="GL8" s="529"/>
      <c r="GM8" s="528" t="s">
        <v>136</v>
      </c>
      <c r="GN8" s="528" t="s">
        <v>40</v>
      </c>
      <c r="GO8" s="529"/>
      <c r="GP8" s="528" t="s">
        <v>136</v>
      </c>
      <c r="GQ8" s="528" t="s">
        <v>40</v>
      </c>
      <c r="GR8" s="529"/>
      <c r="GS8" s="528" t="s">
        <v>136</v>
      </c>
      <c r="GT8" s="528" t="s">
        <v>40</v>
      </c>
      <c r="GU8" s="529"/>
      <c r="GV8" s="528" t="s">
        <v>136</v>
      </c>
      <c r="GW8" s="528" t="s">
        <v>40</v>
      </c>
      <c r="GX8" s="529"/>
      <c r="GY8" s="528" t="s">
        <v>136</v>
      </c>
      <c r="GZ8" s="528" t="s">
        <v>40</v>
      </c>
      <c r="HA8" s="529"/>
      <c r="HB8" s="528" t="s">
        <v>136</v>
      </c>
      <c r="HC8" s="528" t="s">
        <v>40</v>
      </c>
      <c r="HD8" s="529"/>
      <c r="HE8" s="528" t="s">
        <v>136</v>
      </c>
      <c r="HF8" s="528" t="s">
        <v>40</v>
      </c>
      <c r="HG8" s="529"/>
      <c r="HH8" s="528" t="s">
        <v>136</v>
      </c>
      <c r="HI8" s="528" t="s">
        <v>40</v>
      </c>
      <c r="HJ8" s="529"/>
      <c r="HK8" s="528" t="s">
        <v>136</v>
      </c>
      <c r="HL8" s="528" t="s">
        <v>40</v>
      </c>
      <c r="HM8" s="529"/>
      <c r="HN8" s="528" t="s">
        <v>136</v>
      </c>
      <c r="HO8" s="528" t="s">
        <v>40</v>
      </c>
      <c r="HP8" s="529"/>
      <c r="HQ8" s="528" t="s">
        <v>136</v>
      </c>
      <c r="HR8" s="528" t="s">
        <v>40</v>
      </c>
      <c r="HS8" s="529"/>
      <c r="HT8" s="528" t="s">
        <v>136</v>
      </c>
      <c r="HU8" s="528" t="s">
        <v>40</v>
      </c>
      <c r="HV8" s="529"/>
      <c r="HW8" s="528" t="s">
        <v>136</v>
      </c>
      <c r="HX8" s="528" t="s">
        <v>40</v>
      </c>
      <c r="HY8" s="529"/>
      <c r="HZ8" s="528" t="s">
        <v>136</v>
      </c>
      <c r="IA8" s="528" t="s">
        <v>40</v>
      </c>
      <c r="IB8" s="529"/>
      <c r="IC8" s="528" t="s">
        <v>136</v>
      </c>
      <c r="ID8" s="528" t="s">
        <v>40</v>
      </c>
      <c r="IE8" s="529"/>
      <c r="IF8" s="528" t="s">
        <v>136</v>
      </c>
      <c r="IG8" s="528" t="s">
        <v>40</v>
      </c>
      <c r="IH8" s="529"/>
      <c r="II8" s="528" t="s">
        <v>136</v>
      </c>
      <c r="IJ8" s="528" t="s">
        <v>40</v>
      </c>
      <c r="IK8" s="529"/>
      <c r="IL8" s="528" t="s">
        <v>136</v>
      </c>
      <c r="IM8" s="528" t="s">
        <v>40</v>
      </c>
      <c r="IN8" s="529"/>
      <c r="IO8" s="528" t="s">
        <v>136</v>
      </c>
      <c r="IP8" s="528" t="s">
        <v>40</v>
      </c>
      <c r="IQ8" s="529"/>
      <c r="IR8" s="528" t="s">
        <v>136</v>
      </c>
      <c r="IS8" s="528" t="s">
        <v>40</v>
      </c>
      <c r="IT8" s="529"/>
      <c r="IU8" s="528" t="s">
        <v>136</v>
      </c>
      <c r="IV8" s="528" t="s">
        <v>40</v>
      </c>
      <c r="IW8" s="529"/>
      <c r="IX8" s="528" t="s">
        <v>136</v>
      </c>
      <c r="IY8" s="528" t="s">
        <v>40</v>
      </c>
      <c r="IZ8" s="529"/>
      <c r="JA8" s="528" t="s">
        <v>136</v>
      </c>
      <c r="JB8" s="528" t="s">
        <v>40</v>
      </c>
      <c r="JC8" s="529"/>
      <c r="JD8" s="528" t="s">
        <v>136</v>
      </c>
      <c r="JE8" s="528" t="s">
        <v>40</v>
      </c>
      <c r="JF8" s="529"/>
      <c r="JG8" s="528" t="s">
        <v>136</v>
      </c>
      <c r="JH8" s="528" t="s">
        <v>40</v>
      </c>
      <c r="JI8" s="529"/>
      <c r="JJ8" s="528" t="s">
        <v>136</v>
      </c>
      <c r="JK8" s="528" t="s">
        <v>40</v>
      </c>
      <c r="JL8" s="529" t="s">
        <v>382</v>
      </c>
      <c r="JM8" s="528" t="s">
        <v>136</v>
      </c>
      <c r="JN8" s="528" t="s">
        <v>40</v>
      </c>
      <c r="JO8" s="529" t="s">
        <v>382</v>
      </c>
      <c r="JP8" s="528" t="s">
        <v>136</v>
      </c>
      <c r="JQ8" s="528" t="s">
        <v>40</v>
      </c>
      <c r="JR8" s="529" t="s">
        <v>382</v>
      </c>
      <c r="JS8" s="528" t="s">
        <v>136</v>
      </c>
      <c r="JT8" s="528" t="s">
        <v>40</v>
      </c>
      <c r="JU8" s="529" t="s">
        <v>382</v>
      </c>
      <c r="JV8" s="528" t="s">
        <v>136</v>
      </c>
      <c r="JW8" s="528" t="s">
        <v>40</v>
      </c>
      <c r="JX8" s="529" t="s">
        <v>382</v>
      </c>
      <c r="JY8" s="528" t="s">
        <v>136</v>
      </c>
      <c r="JZ8" s="528" t="s">
        <v>40</v>
      </c>
      <c r="KA8" s="529" t="s">
        <v>382</v>
      </c>
      <c r="KB8" s="528" t="s">
        <v>136</v>
      </c>
      <c r="KC8" s="528" t="s">
        <v>40</v>
      </c>
      <c r="KD8" s="529" t="s">
        <v>382</v>
      </c>
      <c r="KE8" s="528" t="s">
        <v>136</v>
      </c>
      <c r="KF8" s="528" t="s">
        <v>40</v>
      </c>
      <c r="KG8" s="529" t="s">
        <v>382</v>
      </c>
      <c r="KH8" s="528" t="s">
        <v>136</v>
      </c>
      <c r="KI8" s="528" t="s">
        <v>40</v>
      </c>
      <c r="KJ8" s="529" t="s">
        <v>382</v>
      </c>
      <c r="KK8" s="528" t="s">
        <v>136</v>
      </c>
      <c r="KL8" s="528" t="s">
        <v>40</v>
      </c>
      <c r="KM8" s="529" t="s">
        <v>382</v>
      </c>
      <c r="KN8" s="528" t="s">
        <v>136</v>
      </c>
      <c r="KO8" s="528" t="s">
        <v>40</v>
      </c>
      <c r="KP8" s="529" t="s">
        <v>382</v>
      </c>
      <c r="KQ8" s="528" t="s">
        <v>136</v>
      </c>
      <c r="KR8" s="528" t="s">
        <v>40</v>
      </c>
      <c r="KS8" s="529" t="s">
        <v>382</v>
      </c>
      <c r="KT8" s="719"/>
      <c r="KU8" s="719"/>
    </row>
    <row r="9" spans="1:308">
      <c r="A9" s="264">
        <f>+Report1!A9</f>
        <v>45839</v>
      </c>
      <c r="B9" s="265" t="str">
        <f>+Report1!B9</f>
        <v>Toilet/Facial</v>
      </c>
      <c r="C9" s="265" t="str">
        <f>+Report1!C9</f>
        <v>12,5/13</v>
      </c>
      <c r="D9" s="266">
        <f>+Report1!P9</f>
        <v>36.692</v>
      </c>
      <c r="E9" s="553">
        <f>+Report1!R9</f>
        <v>35.332000000000001</v>
      </c>
      <c r="F9" s="515"/>
      <c r="G9" s="516">
        <f t="shared" ref="G9:G39" si="0">+F9/$E9</f>
        <v>0</v>
      </c>
      <c r="H9" s="517">
        <f>+F9*$H$8</f>
        <v>0</v>
      </c>
      <c r="I9" s="515">
        <v>104.65116279069775</v>
      </c>
      <c r="J9" s="516">
        <f t="shared" ref="J9:J39" si="1">+I9/$E9</f>
        <v>2.9619371332134539</v>
      </c>
      <c r="K9" s="517">
        <f>+I9*$H$8</f>
        <v>0</v>
      </c>
      <c r="L9" s="515"/>
      <c r="M9" s="516">
        <f t="shared" ref="M9:M39" si="2">+L9/$E9</f>
        <v>0</v>
      </c>
      <c r="N9" s="517">
        <f>+L9*$H$8</f>
        <v>0</v>
      </c>
      <c r="O9" s="515">
        <v>7.5</v>
      </c>
      <c r="P9" s="516">
        <f t="shared" ref="P9:P39" si="3">+O9/$E9</f>
        <v>0.21227216121363071</v>
      </c>
      <c r="Q9" s="517">
        <f>+O9*$H$8</f>
        <v>0</v>
      </c>
      <c r="R9" s="515"/>
      <c r="S9" s="516">
        <f t="shared" ref="S9:S39" si="4">+R9/$E9</f>
        <v>0</v>
      </c>
      <c r="T9" s="517">
        <f>+R9*$H$8</f>
        <v>0</v>
      </c>
      <c r="U9" s="515">
        <v>7.6875</v>
      </c>
      <c r="V9" s="516">
        <f t="shared" ref="V9:V39" si="5">+U9/$E9</f>
        <v>0.21757896524397147</v>
      </c>
      <c r="W9" s="517">
        <f>+U9*$H$8</f>
        <v>0</v>
      </c>
      <c r="X9" s="515"/>
      <c r="Y9" s="516">
        <f t="shared" ref="Y9:Y39" si="6">+X9/$E9</f>
        <v>0</v>
      </c>
      <c r="Z9" s="517">
        <f>+X9*$H$8</f>
        <v>0</v>
      </c>
      <c r="AA9" s="515">
        <v>10.9375</v>
      </c>
      <c r="AB9" s="516">
        <f t="shared" ref="AB9:AB39" si="7">+AA9/$E9</f>
        <v>0.30956356843654476</v>
      </c>
      <c r="AC9" s="517">
        <f>+AA9*$H$8</f>
        <v>0</v>
      </c>
      <c r="AD9" s="515"/>
      <c r="AE9" s="516">
        <f t="shared" ref="AE9:AE39" si="8">+AD9/$E9</f>
        <v>0</v>
      </c>
      <c r="AF9" s="517">
        <f>+AD9*$H$8</f>
        <v>0</v>
      </c>
      <c r="AG9" s="515"/>
      <c r="AH9" s="516">
        <f t="shared" ref="AH9:AH39" si="9">+AG9/$E9</f>
        <v>0</v>
      </c>
      <c r="AI9" s="517">
        <f>+AG9*$H$8</f>
        <v>0</v>
      </c>
      <c r="AJ9" s="515">
        <v>5.8688999999999965</v>
      </c>
      <c r="AK9" s="516">
        <f t="shared" ref="AK9:AK39" si="10">+AJ9/$E9</f>
        <v>0.16610721159289019</v>
      </c>
      <c r="AL9" s="517">
        <f>+AJ9*$H$8</f>
        <v>0</v>
      </c>
      <c r="AM9" s="515"/>
      <c r="AN9" s="516">
        <f t="shared" ref="AN9:AN39" si="11">+AM9/$E9</f>
        <v>0</v>
      </c>
      <c r="AO9" s="517">
        <f>+AM9*$H$8</f>
        <v>0</v>
      </c>
      <c r="AP9" s="515">
        <v>39.873417721519047</v>
      </c>
      <c r="AQ9" s="516">
        <f t="shared" ref="AQ9:AQ39" si="12">+AP9/$E9</f>
        <v>1.1285355406294306</v>
      </c>
      <c r="AR9" s="517">
        <f>+AP9*$H$8</f>
        <v>0</v>
      </c>
      <c r="AS9" s="515"/>
      <c r="AT9" s="516">
        <f t="shared" ref="AT9:AT39" si="13">+AS9/$E9</f>
        <v>0</v>
      </c>
      <c r="AU9" s="517">
        <f>+AS9*$H$8</f>
        <v>0</v>
      </c>
      <c r="AV9" s="515">
        <v>6.9375</v>
      </c>
      <c r="AW9" s="516">
        <f t="shared" ref="AW9:AW39" si="14">+AV9/$E9</f>
        <v>0.19635174912260839</v>
      </c>
      <c r="AX9" s="517">
        <f>+AV9*$H$8</f>
        <v>0</v>
      </c>
      <c r="AY9" s="515">
        <v>42</v>
      </c>
      <c r="AZ9" s="516">
        <f t="shared" ref="AZ9:AZ39" si="15">+AY9/$E9</f>
        <v>1.188724102796332</v>
      </c>
      <c r="BA9" s="517">
        <f>+AY9*$H$8</f>
        <v>0</v>
      </c>
      <c r="BB9" s="515"/>
      <c r="BC9" s="516">
        <f t="shared" ref="BC9:BC39" si="16">+BB9/$E9</f>
        <v>0</v>
      </c>
      <c r="BD9" s="517">
        <f>+BB9*$H$8</f>
        <v>0</v>
      </c>
      <c r="BE9" s="515"/>
      <c r="BF9" s="516">
        <f t="shared" ref="BF9:BF39" si="17">+BE9/$E9</f>
        <v>0</v>
      </c>
      <c r="BG9" s="517">
        <f>+BE9*$H$8</f>
        <v>0</v>
      </c>
      <c r="BH9" s="515"/>
      <c r="BI9" s="516">
        <f t="shared" ref="BI9:BI39" si="18">+BH9/$E9</f>
        <v>0</v>
      </c>
      <c r="BJ9" s="517">
        <f>+BH9*$H$8</f>
        <v>0</v>
      </c>
      <c r="BK9" s="515"/>
      <c r="BL9" s="516">
        <f t="shared" ref="BL9:BL39" si="19">+BK9/$E9</f>
        <v>0</v>
      </c>
      <c r="BM9" s="517">
        <f>+BK9*$H$8</f>
        <v>0</v>
      </c>
      <c r="BN9" s="515"/>
      <c r="BO9" s="516">
        <f t="shared" ref="BO9:BO39" si="20">+BN9/$E9</f>
        <v>0</v>
      </c>
      <c r="BP9" s="517">
        <f>+BN9*$H$8</f>
        <v>0</v>
      </c>
      <c r="BQ9" s="515"/>
      <c r="BR9" s="516">
        <f t="shared" ref="BR9:BR39" si="21">+BQ9/$E9</f>
        <v>0</v>
      </c>
      <c r="BS9" s="517">
        <f>+BQ9*$H$8</f>
        <v>0</v>
      </c>
      <c r="BT9" s="515"/>
      <c r="BU9" s="516">
        <f t="shared" ref="BU9:BU39" si="22">+BT9/$E9</f>
        <v>0</v>
      </c>
      <c r="BV9" s="517">
        <f>+BT9*$H$8</f>
        <v>0</v>
      </c>
      <c r="BW9" s="515"/>
      <c r="BX9" s="516">
        <f t="shared" ref="BX9:BX39" si="23">+BW9/$E9</f>
        <v>0</v>
      </c>
      <c r="BY9" s="517">
        <f>+BW9*$H$8</f>
        <v>0</v>
      </c>
      <c r="BZ9" s="515"/>
      <c r="CA9" s="516">
        <f t="shared" ref="CA9:CA39" si="24">+BZ9/$E9</f>
        <v>0</v>
      </c>
      <c r="CB9" s="517">
        <f>+BZ9*$H$8</f>
        <v>0</v>
      </c>
      <c r="CC9" s="515"/>
      <c r="CD9" s="516">
        <f t="shared" ref="CD9:CD39" si="25">+CC9/$E9</f>
        <v>0</v>
      </c>
      <c r="CE9" s="517">
        <f>+CC9*$H$8</f>
        <v>0</v>
      </c>
      <c r="CF9" s="515">
        <v>0.90000000000000302</v>
      </c>
      <c r="CG9" s="516">
        <f t="shared" ref="CG9:CG39" si="26">+CF9/$E9</f>
        <v>2.5472659345635768E-2</v>
      </c>
      <c r="CH9" s="517">
        <f>+CF9*$H$8</f>
        <v>0</v>
      </c>
      <c r="CI9" s="515"/>
      <c r="CJ9" s="516">
        <f t="shared" ref="CJ9:CJ39" si="27">+CI9/$E9</f>
        <v>0</v>
      </c>
      <c r="CK9" s="517">
        <f>+CI9*$H$8</f>
        <v>0</v>
      </c>
      <c r="CL9" s="515"/>
      <c r="CM9" s="516">
        <f t="shared" ref="CM9:CM39" si="28">+CL9/$E9</f>
        <v>0</v>
      </c>
      <c r="CN9" s="517">
        <f>+CL9*$H$8</f>
        <v>0</v>
      </c>
      <c r="CO9" s="515"/>
      <c r="CP9" s="516">
        <f t="shared" ref="CP9:CP39" si="29">+CO9/$E9</f>
        <v>0</v>
      </c>
      <c r="CQ9" s="517">
        <f>+CO9*$H$8</f>
        <v>0</v>
      </c>
      <c r="CR9" s="515"/>
      <c r="CS9" s="516">
        <f t="shared" ref="CS9:CS39" si="30">+CR9/$E9</f>
        <v>0</v>
      </c>
      <c r="CT9" s="517">
        <f>+CR9*$H$8</f>
        <v>0</v>
      </c>
      <c r="CU9" s="515"/>
      <c r="CV9" s="516">
        <f t="shared" ref="CV9:CV39" si="31">+CU9/$E9</f>
        <v>0</v>
      </c>
      <c r="CW9" s="517">
        <f>+CU9*$H$8</f>
        <v>0</v>
      </c>
      <c r="CX9" s="515"/>
      <c r="CY9" s="516">
        <f t="shared" ref="CY9:CY39" si="32">+CX9/$E9</f>
        <v>0</v>
      </c>
      <c r="CZ9" s="517">
        <f>+CX9*$H$8</f>
        <v>0</v>
      </c>
      <c r="DA9" s="515">
        <v>72.674418604651237</v>
      </c>
      <c r="DB9" s="516">
        <f t="shared" ref="DB9:DB39" si="33">+DA9/$E9</f>
        <v>2.0569007869537881</v>
      </c>
      <c r="DC9" s="517">
        <f>+DA9*$H$8</f>
        <v>0</v>
      </c>
      <c r="DD9" s="515"/>
      <c r="DE9" s="516">
        <f t="shared" ref="DE9:DE39" si="34">+DD9/$E9</f>
        <v>0</v>
      </c>
      <c r="DF9" s="517">
        <f>+DD9*$H$8</f>
        <v>0</v>
      </c>
      <c r="DG9" s="515"/>
      <c r="DH9" s="516">
        <f t="shared" ref="DH9:DH39" si="35">+DG9/$E9</f>
        <v>0</v>
      </c>
      <c r="DI9" s="517">
        <v>0</v>
      </c>
      <c r="DJ9" s="515"/>
      <c r="DK9" s="516">
        <f t="shared" ref="DK9:DK39" si="36">+DJ9/$E9</f>
        <v>0</v>
      </c>
      <c r="DL9" s="517">
        <f>+DJ9*$H$8</f>
        <v>0</v>
      </c>
      <c r="DM9" s="515"/>
      <c r="DN9" s="516">
        <f t="shared" ref="DN9:DN39" si="37">+DM9/$E9</f>
        <v>0</v>
      </c>
      <c r="DO9" s="517">
        <f>+DM9*$H$8</f>
        <v>0</v>
      </c>
      <c r="DP9" s="515"/>
      <c r="DQ9" s="516">
        <f t="shared" ref="DQ9:DQ39" si="38">+DP9/$E9</f>
        <v>0</v>
      </c>
      <c r="DR9" s="517">
        <f>+DP9*$H$8</f>
        <v>0</v>
      </c>
      <c r="DS9" s="515"/>
      <c r="DT9" s="516">
        <f t="shared" ref="DT9:DT39" si="39">+DS9/$E9</f>
        <v>0</v>
      </c>
      <c r="DU9" s="517">
        <f>+DS9*$H$8</f>
        <v>0</v>
      </c>
      <c r="DV9" s="515"/>
      <c r="DW9" s="516">
        <f t="shared" ref="DW9:DW39" si="40">+DV9/$E9</f>
        <v>0</v>
      </c>
      <c r="DX9" s="517">
        <f>+DV9*$H$8</f>
        <v>0</v>
      </c>
      <c r="DY9" s="515"/>
      <c r="DZ9" s="516">
        <f t="shared" ref="DZ9:DZ39" si="41">+DY9/$E9</f>
        <v>0</v>
      </c>
      <c r="EA9" s="517">
        <f>+DY9*$H$8</f>
        <v>0</v>
      </c>
      <c r="EB9" s="515"/>
      <c r="EC9" s="516">
        <f t="shared" ref="EC9:EC39" si="42">+EB9/$E9</f>
        <v>0</v>
      </c>
      <c r="ED9" s="517">
        <f>+EB9*$H$8</f>
        <v>0</v>
      </c>
      <c r="EE9" s="515">
        <v>10.901162790697754</v>
      </c>
      <c r="EF9" s="516">
        <f t="shared" ref="EF9:EF39" si="43">+EE9/$E9</f>
        <v>0.3085351180430701</v>
      </c>
      <c r="EG9" s="517">
        <f>+EE9*$H$8</f>
        <v>0</v>
      </c>
      <c r="EH9" s="515">
        <v>17.611764705882365</v>
      </c>
      <c r="EI9" s="516">
        <f t="shared" ref="EI9:EI39" si="44">+EH9/$E9</f>
        <v>0.49846498092047903</v>
      </c>
      <c r="EJ9" s="517">
        <f>+EH9*$H$8</f>
        <v>0</v>
      </c>
      <c r="EK9" s="515">
        <v>2.5999999999999943</v>
      </c>
      <c r="EL9" s="516">
        <f t="shared" ref="EL9:EL39" si="45">+EK9/$E9</f>
        <v>7.3587682554058481E-2</v>
      </c>
      <c r="EM9" s="517">
        <f>+EK9*$H$8</f>
        <v>0</v>
      </c>
      <c r="EN9" s="515"/>
      <c r="EO9" s="516">
        <f t="shared" ref="EO9:EO39" si="46">+EN9/$E9</f>
        <v>0</v>
      </c>
      <c r="EP9" s="517">
        <f>+EN9*$H$8</f>
        <v>0</v>
      </c>
      <c r="EQ9" s="515"/>
      <c r="ER9" s="516">
        <f t="shared" ref="ER9:ER39" si="47">+EQ9/$E9</f>
        <v>0</v>
      </c>
      <c r="ES9" s="517">
        <f>+EQ9*$H$8</f>
        <v>0</v>
      </c>
      <c r="ET9" s="515"/>
      <c r="EU9" s="516">
        <f t="shared" ref="EU9:EU39" si="48">+ET9/$E9</f>
        <v>0</v>
      </c>
      <c r="EV9" s="517">
        <f>+ET9*$H$8</f>
        <v>0</v>
      </c>
      <c r="EW9" s="515"/>
      <c r="EX9" s="516">
        <f t="shared" ref="EX9:EX39" si="49">+EW9/$E9</f>
        <v>0</v>
      </c>
      <c r="EY9" s="517">
        <f>+EW9*$H$8</f>
        <v>0</v>
      </c>
      <c r="EZ9" s="515"/>
      <c r="FA9" s="516">
        <f t="shared" ref="FA9:FA39" si="50">+EZ9/$E9</f>
        <v>0</v>
      </c>
      <c r="FB9" s="517">
        <f>+EZ9*$H$8</f>
        <v>0</v>
      </c>
      <c r="FC9" s="515"/>
      <c r="FD9" s="516">
        <f t="shared" ref="FD9:FD39" si="51">+FC9/$E9</f>
        <v>0</v>
      </c>
      <c r="FE9" s="517">
        <f>+FC9*$H$8</f>
        <v>0</v>
      </c>
      <c r="FF9" s="515"/>
      <c r="FG9" s="516">
        <f t="shared" ref="FG9:FG39" si="52">+FF9/$E9</f>
        <v>0</v>
      </c>
      <c r="FH9" s="517">
        <f>+FF9*$H$8</f>
        <v>0</v>
      </c>
      <c r="FI9" s="515"/>
      <c r="FJ9" s="516">
        <f t="shared" ref="FJ9:FJ39" si="53">+FI9/$E9</f>
        <v>0</v>
      </c>
      <c r="FK9" s="517">
        <f>+FI9*$H$8</f>
        <v>0</v>
      </c>
      <c r="FL9" s="515"/>
      <c r="FM9" s="516">
        <f t="shared" ref="FM9:FM39" si="54">+FL9/$E9</f>
        <v>0</v>
      </c>
      <c r="FN9" s="517">
        <f>+FL9*$H$8</f>
        <v>0</v>
      </c>
      <c r="FO9" s="515"/>
      <c r="FP9" s="516">
        <f t="shared" ref="FP9:FP39" si="55">+FO9/$E9</f>
        <v>0</v>
      </c>
      <c r="FQ9" s="517">
        <f>+FO9*$H$8</f>
        <v>0</v>
      </c>
      <c r="FR9" s="515"/>
      <c r="FS9" s="516">
        <f t="shared" ref="FS9:FS39" si="56">+FR9/$E9</f>
        <v>0</v>
      </c>
      <c r="FT9" s="517">
        <f>+FR9*$H$8</f>
        <v>0</v>
      </c>
      <c r="FU9" s="515"/>
      <c r="FV9" s="516">
        <f t="shared" ref="FV9:FV39" si="57">+FU9/$E9</f>
        <v>0</v>
      </c>
      <c r="FW9" s="517">
        <f>+FU9*$H$8</f>
        <v>0</v>
      </c>
      <c r="FX9" s="515"/>
      <c r="FY9" s="516">
        <f t="shared" ref="FY9:FY39" si="58">+FX9/$E9</f>
        <v>0</v>
      </c>
      <c r="FZ9" s="517">
        <f>+FX9*$H$8</f>
        <v>0</v>
      </c>
      <c r="GA9" s="515"/>
      <c r="GB9" s="516">
        <f t="shared" ref="GB9:GB39" si="59">+GA9/$E9</f>
        <v>0</v>
      </c>
      <c r="GC9" s="517">
        <f>+GA9*$H$8</f>
        <v>0</v>
      </c>
      <c r="GD9" s="515"/>
      <c r="GE9" s="516">
        <f t="shared" ref="GE9:GE39" si="60">+GD9/$E9</f>
        <v>0</v>
      </c>
      <c r="GF9" s="517">
        <f>+GD9*$H$8</f>
        <v>0</v>
      </c>
      <c r="GG9" s="515"/>
      <c r="GH9" s="516">
        <f t="shared" ref="GH9:GH39" si="61">+GG9/$E9</f>
        <v>0</v>
      </c>
      <c r="GI9" s="517">
        <f>+GG9*$H$8</f>
        <v>0</v>
      </c>
      <c r="GJ9" s="515"/>
      <c r="GK9" s="516">
        <f t="shared" ref="GK9:GK39" si="62">+GJ9/$E9</f>
        <v>0</v>
      </c>
      <c r="GL9" s="517">
        <f>+GJ9*$H$8</f>
        <v>0</v>
      </c>
      <c r="GM9" s="515"/>
      <c r="GN9" s="516">
        <f t="shared" ref="GN9:GN39" si="63">+GM9/$E9</f>
        <v>0</v>
      </c>
      <c r="GO9" s="517">
        <f>+GM9*$H$8</f>
        <v>0</v>
      </c>
      <c r="GP9" s="515"/>
      <c r="GQ9" s="516">
        <f t="shared" ref="GQ9:GQ39" si="64">+GP9/$E9</f>
        <v>0</v>
      </c>
      <c r="GR9" s="517">
        <f>+GP9*$H$8</f>
        <v>0</v>
      </c>
      <c r="GS9" s="515"/>
      <c r="GT9" s="516">
        <f t="shared" ref="GT9:GT39" si="65">+GS9/$E9</f>
        <v>0</v>
      </c>
      <c r="GU9" s="517">
        <f>+GS9*$H$8</f>
        <v>0</v>
      </c>
      <c r="GV9" s="515"/>
      <c r="GW9" s="516">
        <f t="shared" ref="GW9:GW39" si="66">+GV9/$E9</f>
        <v>0</v>
      </c>
      <c r="GX9" s="517">
        <f>+GV9*$H$8</f>
        <v>0</v>
      </c>
      <c r="GY9" s="515"/>
      <c r="GZ9" s="516">
        <f t="shared" ref="GZ9:GZ39" si="67">+GY9/$E9</f>
        <v>0</v>
      </c>
      <c r="HA9" s="517">
        <f>+GY9*$H$8</f>
        <v>0</v>
      </c>
      <c r="HB9" s="515"/>
      <c r="HC9" s="516">
        <f t="shared" ref="HC9:HC39" si="68">+HB9/$E9</f>
        <v>0</v>
      </c>
      <c r="HD9" s="517">
        <f>+HB9*$H$8</f>
        <v>0</v>
      </c>
      <c r="HE9" s="515"/>
      <c r="HF9" s="516">
        <f t="shared" ref="HF9:HF39" si="69">+HE9/$E9</f>
        <v>0</v>
      </c>
      <c r="HG9" s="517">
        <f>+HE9*$H$8</f>
        <v>0</v>
      </c>
      <c r="HH9" s="515"/>
      <c r="HI9" s="516">
        <f t="shared" ref="HI9:HI39" si="70">+HH9/$E9</f>
        <v>0</v>
      </c>
      <c r="HJ9" s="517">
        <f>+HH9*$H$8</f>
        <v>0</v>
      </c>
      <c r="HK9" s="515"/>
      <c r="HL9" s="516">
        <f t="shared" ref="HL9:HL39" si="71">+HK9/$E9</f>
        <v>0</v>
      </c>
      <c r="HM9" s="517">
        <f>+HK9*$H$8</f>
        <v>0</v>
      </c>
      <c r="HN9" s="515"/>
      <c r="HO9" s="516">
        <f t="shared" ref="HO9:HO39" si="72">+HN9/$E9</f>
        <v>0</v>
      </c>
      <c r="HP9" s="517">
        <f>+HN9*$H$8</f>
        <v>0</v>
      </c>
      <c r="HQ9" s="515"/>
      <c r="HR9" s="516">
        <f t="shared" ref="HR9:HR39" si="73">+HQ9/$E9</f>
        <v>0</v>
      </c>
      <c r="HS9" s="517">
        <f>+HQ9*$H$8</f>
        <v>0</v>
      </c>
      <c r="HT9" s="515"/>
      <c r="HU9" s="516">
        <f t="shared" ref="HU9:HU39" si="74">+HT9/$E9</f>
        <v>0</v>
      </c>
      <c r="HV9" s="517">
        <f>+HT9*$H$8</f>
        <v>0</v>
      </c>
      <c r="HW9" s="515"/>
      <c r="HX9" s="516">
        <f t="shared" ref="HX9:HX39" si="75">+HW9/$E9</f>
        <v>0</v>
      </c>
      <c r="HY9" s="517">
        <f>+HW9*$H$8</f>
        <v>0</v>
      </c>
      <c r="HZ9" s="515"/>
      <c r="IA9" s="516">
        <f t="shared" ref="IA9:IA39" si="76">+HZ9/$E9</f>
        <v>0</v>
      </c>
      <c r="IB9" s="517">
        <f>+HZ9*$H$8</f>
        <v>0</v>
      </c>
      <c r="IC9" s="515"/>
      <c r="ID9" s="516">
        <f t="shared" ref="ID9:ID39" si="77">+IC9/$E9</f>
        <v>0</v>
      </c>
      <c r="IE9" s="517">
        <f>+IC9*$H$8</f>
        <v>0</v>
      </c>
      <c r="IF9" s="515"/>
      <c r="IG9" s="516">
        <f t="shared" ref="IG9:IG39" si="78">+IF9/$E9</f>
        <v>0</v>
      </c>
      <c r="IH9" s="517">
        <f>+IF9*$H$8</f>
        <v>0</v>
      </c>
      <c r="II9" s="515"/>
      <c r="IJ9" s="516">
        <f t="shared" ref="IJ9:IJ39" si="79">+II9/$E9</f>
        <v>0</v>
      </c>
      <c r="IK9" s="517">
        <f>+II9*$H$8</f>
        <v>0</v>
      </c>
      <c r="IL9" s="515"/>
      <c r="IM9" s="516">
        <f t="shared" ref="IM9:IM39" si="80">+IL9/$E9</f>
        <v>0</v>
      </c>
      <c r="IN9" s="517">
        <f>+IL9*$H$8</f>
        <v>0</v>
      </c>
      <c r="IO9" s="515"/>
      <c r="IP9" s="516">
        <f t="shared" ref="IP9:IP39" si="81">+IO9/$E9</f>
        <v>0</v>
      </c>
      <c r="IQ9" s="517">
        <f>+IO9*$H$8</f>
        <v>0</v>
      </c>
      <c r="IR9" s="515"/>
      <c r="IS9" s="516">
        <f t="shared" ref="IS9:IS39" si="82">+IR9/$E9</f>
        <v>0</v>
      </c>
      <c r="IT9" s="517">
        <f>+IR9*$H$8</f>
        <v>0</v>
      </c>
      <c r="IU9" s="515"/>
      <c r="IV9" s="516">
        <f t="shared" ref="IV9:IV39" si="83">+IU9/$E9</f>
        <v>0</v>
      </c>
      <c r="IW9" s="517">
        <f>+IU9*$H$8</f>
        <v>0</v>
      </c>
      <c r="IX9" s="515"/>
      <c r="IY9" s="516">
        <f t="shared" ref="IY9:IY39" si="84">+IX9/$E9</f>
        <v>0</v>
      </c>
      <c r="IZ9" s="517">
        <f>+IX9*$H$8</f>
        <v>0</v>
      </c>
      <c r="JA9" s="515"/>
      <c r="JB9" s="516">
        <f t="shared" ref="JB9:JB39" si="85">+JA9/$E9</f>
        <v>0</v>
      </c>
      <c r="JC9" s="517">
        <f>+JA9*$H$8</f>
        <v>0</v>
      </c>
      <c r="JD9" s="515"/>
      <c r="JE9" s="516">
        <f t="shared" ref="JE9:JE39" si="86">+JD9/$E9</f>
        <v>0</v>
      </c>
      <c r="JF9" s="517">
        <f>+JD9*$H$8</f>
        <v>0</v>
      </c>
      <c r="JG9" s="515"/>
      <c r="JH9" s="516">
        <f t="shared" ref="JH9:JH39" si="87">+JG9/$E9</f>
        <v>0</v>
      </c>
      <c r="JI9" s="517">
        <f>+JG9*$H$8</f>
        <v>0</v>
      </c>
      <c r="JJ9" s="515"/>
      <c r="JK9" s="517" t="str">
        <f t="shared" ref="JK9:JK39" si="88">IFERROR((JJ9/$L9),"0")</f>
        <v>0</v>
      </c>
      <c r="JL9" s="517" t="str">
        <f t="shared" ref="JL9:JL39" si="89">IFERROR(((JJ9*JL$8)/$L9),"0")</f>
        <v>0</v>
      </c>
      <c r="JM9" s="515"/>
      <c r="JN9" s="517" t="str">
        <f t="shared" ref="JN9:JN39" si="90">IFERROR((JM9/$L9),"0")</f>
        <v>0</v>
      </c>
      <c r="JO9" s="517" t="str">
        <f t="shared" ref="JO9:JO39" si="91">IFERROR(((JM9*JO$8)/$L9),"0")</f>
        <v>0</v>
      </c>
      <c r="JP9" s="515"/>
      <c r="JQ9" s="517" t="str">
        <f t="shared" ref="JQ9:JQ39" si="92">IFERROR((JP9/$L9),"0")</f>
        <v>0</v>
      </c>
      <c r="JR9" s="517" t="str">
        <f t="shared" ref="JR9:JR39" si="93">IFERROR(((JP9*JR$8)/$L9),"0")</f>
        <v>0</v>
      </c>
      <c r="JS9" s="515"/>
      <c r="JT9" s="517" t="str">
        <f t="shared" ref="JT9:JT39" si="94">IFERROR((JS9/$L9),"0")</f>
        <v>0</v>
      </c>
      <c r="JU9" s="517" t="str">
        <f t="shared" ref="JU9:JU39" si="95">IFERROR(((JS9*JU$8)/$L9),"0")</f>
        <v>0</v>
      </c>
      <c r="JV9" s="515"/>
      <c r="JW9" s="517" t="str">
        <f t="shared" ref="JW9:JW39" si="96">IFERROR((JV9/$L9),"0")</f>
        <v>0</v>
      </c>
      <c r="JX9" s="517" t="str">
        <f t="shared" ref="JX9:JX39" si="97">IFERROR(((JV9*JX$8)/$L9),"0")</f>
        <v>0</v>
      </c>
      <c r="JY9" s="515"/>
      <c r="JZ9" s="517" t="str">
        <f t="shared" ref="JZ9:JZ39" si="98">IFERROR((JY9/$L9),"0")</f>
        <v>0</v>
      </c>
      <c r="KA9" s="517" t="str">
        <f t="shared" ref="KA9:KA39" si="99">IFERROR(((JY9*KA$8)/$L9),"0")</f>
        <v>0</v>
      </c>
      <c r="KB9" s="515"/>
      <c r="KC9" s="517" t="str">
        <f t="shared" ref="KC9:KC39" si="100">IFERROR((KB9/$L9),"0")</f>
        <v>0</v>
      </c>
      <c r="KD9" s="517" t="str">
        <f t="shared" ref="KD9:KD39" si="101">IFERROR(((KB9*KD$8)/$L9),"0")</f>
        <v>0</v>
      </c>
      <c r="KE9" s="515"/>
      <c r="KF9" s="517" t="str">
        <f t="shared" ref="KF9:KF39" si="102">IFERROR((KE9/$L9),"0")</f>
        <v>0</v>
      </c>
      <c r="KG9" s="517" t="str">
        <f t="shared" ref="KG9:KG39" si="103">IFERROR(((KE9*KG$8)/$L9),"0")</f>
        <v>0</v>
      </c>
      <c r="KH9" s="515"/>
      <c r="KI9" s="517" t="str">
        <f t="shared" ref="KI9:KI39" si="104">IFERROR((KH9/$L9),"0")</f>
        <v>0</v>
      </c>
      <c r="KJ9" s="517" t="str">
        <f t="shared" ref="KJ9:KJ39" si="105">IFERROR(((KH9*KJ$8)/$L9),"0")</f>
        <v>0</v>
      </c>
      <c r="KK9" s="515"/>
      <c r="KL9" s="517" t="str">
        <f t="shared" ref="KL9:KL39" si="106">IFERROR((KK9/$L9),"0")</f>
        <v>0</v>
      </c>
      <c r="KM9" s="517" t="str">
        <f t="shared" ref="KM9:KM39" si="107">IFERROR(((KK9*KM$8)/$L9),"0")</f>
        <v>0</v>
      </c>
      <c r="KN9" s="515"/>
      <c r="KO9" s="517" t="str">
        <f t="shared" ref="KO9:KO39" si="108">IFERROR((KN9/$L9),"0")</f>
        <v>0</v>
      </c>
      <c r="KP9" s="517" t="str">
        <f t="shared" ref="KP9:KP39" si="109">IFERROR(((KN9*KP$8)/$L9),"0")</f>
        <v>0</v>
      </c>
      <c r="KQ9" s="515"/>
      <c r="KR9" s="517" t="str">
        <f t="shared" ref="KR9:KR39" si="110">IFERROR((KQ9/$L9),"0")</f>
        <v>0</v>
      </c>
      <c r="KS9" s="517" t="str">
        <f t="shared" ref="KS9:KS39" si="111">IFERROR(((KQ9*KS$8)/$L9),"0")</f>
        <v>0</v>
      </c>
      <c r="KT9" s="517">
        <f>H9+K9+N9+Q9+T9+W9+Z9+AC9+AF9+AI9+AL9+AO9+AR9+AU9+AX9+BA9+BD9+BG9+BJ9+BM9+BP9+BS9+BV9+BY9+CB9+CE9+CH9+CK9+CN9+CQ9+CT9+CW9+CZ9+DC9+DF9+DI9+DL9+DO9+DR9+DU9+DX9+EA9+ED9+EG9+EJ9+EM9+EP9+ES9+EV9+EY9+FB9+FE9+FH9+FK9+FN9+FQ9+FT9+FW9+FZ9+GC9</f>
        <v>0</v>
      </c>
      <c r="KU9" s="517">
        <f>GF9+GI9+GL9+GO9+GR9+GU9+GX9+HA9+HD9+HG9+HJ9+HM9+HP9+HS9+HV9+HY9+IB9+IE9+IH9+IK9+IN9+IQ9+IT9+IW9+IZ9+JC9+JF9+JI9+JL9+JO9+JR9+JU9+JX9++KA9+KD9+KG9+KJ9++KM9+KP9+KS9</f>
        <v>0</v>
      </c>
      <c r="KV9" s="263">
        <f>+F9+I9+L9+O9+R9+U9+X9+AA9+AD9+AG9+AJ9+AM9+AP9+AS9+AV9+AY9+BB9+BE9+BH9+BK9+BN9+BQ9+BT9+BW9+BZ9+CC9+CF9+CI9+CL9+CO9+CR9+CU9+CX9+DA9+DD9+DJ9+DM9+DP9+DS9+DV9+DY9+EB9+GG9+GJ9+GM9+GP9+GS9+HN9+II9+IR9+GV9+IU9++HT9+HW9+HZ9+IC9+JA9+JJ9+JM9+HB9+EE9+GD9+EH9++EK9</f>
        <v>330.14332661344815</v>
      </c>
    </row>
    <row r="10" spans="1:308">
      <c r="A10" s="264">
        <f>+A9+1</f>
        <v>45840</v>
      </c>
      <c r="B10" s="265" t="str">
        <f>+Report1!B10</f>
        <v>Facial</v>
      </c>
      <c r="C10" s="265" t="str">
        <f>+Report1!C10</f>
        <v>13/12</v>
      </c>
      <c r="D10" s="266">
        <f>+Report1!P10</f>
        <v>39.07</v>
      </c>
      <c r="E10" s="553">
        <f>+Report1!R10</f>
        <v>37.323</v>
      </c>
      <c r="F10" s="515"/>
      <c r="G10" s="516">
        <f t="shared" si="0"/>
        <v>0</v>
      </c>
      <c r="H10" s="517">
        <f t="shared" ref="H10:H39" si="112">+F10*$H$8</f>
        <v>0</v>
      </c>
      <c r="I10" s="515">
        <v>279.06976744186045</v>
      </c>
      <c r="J10" s="516">
        <f t="shared" si="1"/>
        <v>7.4771526255086798</v>
      </c>
      <c r="K10" s="517">
        <f t="shared" ref="K10:K39" si="113">+I10*$H$8</f>
        <v>0</v>
      </c>
      <c r="L10" s="515"/>
      <c r="M10" s="516">
        <f t="shared" si="2"/>
        <v>0</v>
      </c>
      <c r="N10" s="517">
        <f t="shared" ref="N10:N39" si="114">+L10*$H$8</f>
        <v>0</v>
      </c>
      <c r="O10" s="515">
        <v>7.5</v>
      </c>
      <c r="P10" s="516">
        <f t="shared" si="3"/>
        <v>0.20094847681054578</v>
      </c>
      <c r="Q10" s="517">
        <f t="shared" ref="Q10:Q39" si="115">+O10*$H$8</f>
        <v>0</v>
      </c>
      <c r="R10" s="515"/>
      <c r="S10" s="516">
        <f t="shared" si="4"/>
        <v>0</v>
      </c>
      <c r="T10" s="517">
        <f t="shared" ref="T10:T39" si="116">+R10*$H$8</f>
        <v>0</v>
      </c>
      <c r="U10" s="515">
        <v>8.9687499999999716</v>
      </c>
      <c r="V10" s="516">
        <f t="shared" si="5"/>
        <v>0.24030088685261022</v>
      </c>
      <c r="W10" s="517">
        <f t="shared" ref="W10:W39" si="117">+U10*$H$8</f>
        <v>0</v>
      </c>
      <c r="X10" s="515"/>
      <c r="Y10" s="516">
        <f t="shared" si="6"/>
        <v>0</v>
      </c>
      <c r="Z10" s="517">
        <f t="shared" ref="Z10:Z39" si="118">+X10*$H$8</f>
        <v>0</v>
      </c>
      <c r="AA10" s="515">
        <v>9.375</v>
      </c>
      <c r="AB10" s="516">
        <f t="shared" si="7"/>
        <v>0.25118559601318224</v>
      </c>
      <c r="AC10" s="517">
        <f t="shared" ref="AC10:AC39" si="119">+AA10*$H$8</f>
        <v>0</v>
      </c>
      <c r="AD10" s="515"/>
      <c r="AE10" s="516">
        <f t="shared" si="8"/>
        <v>0</v>
      </c>
      <c r="AF10" s="517">
        <f t="shared" ref="AF10:AF39" si="120">+AD10*$H$8</f>
        <v>0</v>
      </c>
      <c r="AG10" s="515"/>
      <c r="AH10" s="516">
        <f t="shared" si="9"/>
        <v>0</v>
      </c>
      <c r="AI10" s="517">
        <f t="shared" ref="AI10:AI39" si="121">+AG10*$H$8</f>
        <v>0</v>
      </c>
      <c r="AJ10" s="515">
        <v>5.875</v>
      </c>
      <c r="AK10" s="516">
        <f t="shared" si="10"/>
        <v>0.15740964016826087</v>
      </c>
      <c r="AL10" s="517">
        <f t="shared" ref="AL10:AL39" si="122">+AJ10*$H$8</f>
        <v>0</v>
      </c>
      <c r="AM10" s="515"/>
      <c r="AN10" s="516">
        <f t="shared" si="11"/>
        <v>0</v>
      </c>
      <c r="AO10" s="517">
        <f t="shared" ref="AO10:AO39" si="123">+AM10*$H$8</f>
        <v>0</v>
      </c>
      <c r="AP10" s="515">
        <v>45.569620253164516</v>
      </c>
      <c r="AQ10" s="516">
        <f t="shared" si="12"/>
        <v>1.2209527704944543</v>
      </c>
      <c r="AR10" s="517">
        <f t="shared" ref="AR10:AR39" si="124">+AP10*$H$8</f>
        <v>0</v>
      </c>
      <c r="AS10" s="515"/>
      <c r="AT10" s="516">
        <f t="shared" si="13"/>
        <v>0</v>
      </c>
      <c r="AU10" s="517">
        <f t="shared" ref="AU10:AU39" si="125">+AS10*$H$8</f>
        <v>0</v>
      </c>
      <c r="AV10" s="515">
        <v>6.9374999999999858</v>
      </c>
      <c r="AW10" s="516">
        <f t="shared" si="14"/>
        <v>0.18587734104975445</v>
      </c>
      <c r="AX10" s="517">
        <f t="shared" ref="AX10:AX39" si="126">+AV10*$H$8</f>
        <v>0</v>
      </c>
      <c r="AY10" s="515">
        <v>37.333333333333314</v>
      </c>
      <c r="AZ10" s="516">
        <f t="shared" si="15"/>
        <v>1.0002768623458274</v>
      </c>
      <c r="BA10" s="517">
        <f t="shared" ref="BA10:BA39" si="127">+AY10*$H$8</f>
        <v>0</v>
      </c>
      <c r="BB10" s="515"/>
      <c r="BC10" s="516">
        <f t="shared" si="16"/>
        <v>0</v>
      </c>
      <c r="BD10" s="517">
        <f t="shared" ref="BD10:BD39" si="128">+BB10*$H$8</f>
        <v>0</v>
      </c>
      <c r="BE10" s="515"/>
      <c r="BF10" s="516">
        <f t="shared" si="17"/>
        <v>0</v>
      </c>
      <c r="BG10" s="517">
        <f t="shared" ref="BG10:BG39" si="129">+BE10*$H$8</f>
        <v>0</v>
      </c>
      <c r="BH10" s="515"/>
      <c r="BI10" s="516">
        <f t="shared" si="18"/>
        <v>0</v>
      </c>
      <c r="BJ10" s="517">
        <f t="shared" ref="BJ10:BJ39" si="130">+BH10*$H$8</f>
        <v>0</v>
      </c>
      <c r="BK10" s="515"/>
      <c r="BL10" s="516">
        <f t="shared" si="19"/>
        <v>0</v>
      </c>
      <c r="BM10" s="517">
        <f t="shared" ref="BM10:BM39" si="131">+BK10*$H$8</f>
        <v>0</v>
      </c>
      <c r="BN10" s="515"/>
      <c r="BO10" s="516">
        <f t="shared" si="20"/>
        <v>0</v>
      </c>
      <c r="BP10" s="517">
        <f t="shared" ref="BP10:BP39" si="132">+BN10*$H$8</f>
        <v>0</v>
      </c>
      <c r="BQ10" s="515"/>
      <c r="BR10" s="516">
        <f t="shared" si="21"/>
        <v>0</v>
      </c>
      <c r="BS10" s="517">
        <f t="shared" ref="BS10:BS39" si="133">+BQ10*$H$8</f>
        <v>0</v>
      </c>
      <c r="BT10" s="515"/>
      <c r="BU10" s="516">
        <f t="shared" si="22"/>
        <v>0</v>
      </c>
      <c r="BV10" s="517">
        <f t="shared" ref="BV10:BV39" si="134">+BT10*$H$8</f>
        <v>0</v>
      </c>
      <c r="BW10" s="515"/>
      <c r="BX10" s="516">
        <f t="shared" si="23"/>
        <v>0</v>
      </c>
      <c r="BY10" s="517">
        <f t="shared" ref="BY10:BY39" si="135">+BW10*$H$8</f>
        <v>0</v>
      </c>
      <c r="BZ10" s="515"/>
      <c r="CA10" s="516">
        <f t="shared" si="24"/>
        <v>0</v>
      </c>
      <c r="CB10" s="517">
        <f t="shared" ref="CB10:CB39" si="136">+BZ10*$H$8</f>
        <v>0</v>
      </c>
      <c r="CC10" s="515"/>
      <c r="CD10" s="516">
        <f t="shared" si="25"/>
        <v>0</v>
      </c>
      <c r="CE10" s="517">
        <f t="shared" ref="CE10:CE39" si="137">+CC10*$H$8</f>
        <v>0</v>
      </c>
      <c r="CF10" s="515">
        <v>0.3000000000000016</v>
      </c>
      <c r="CG10" s="516">
        <f t="shared" si="26"/>
        <v>8.0379390724218732E-3</v>
      </c>
      <c r="CH10" s="517">
        <f t="shared" ref="CH10:CH39" si="138">+CF10*$H$8</f>
        <v>0</v>
      </c>
      <c r="CI10" s="515"/>
      <c r="CJ10" s="516">
        <f t="shared" si="27"/>
        <v>0</v>
      </c>
      <c r="CK10" s="517">
        <f t="shared" ref="CK10:CK39" si="139">+CI10*$H$8</f>
        <v>0</v>
      </c>
      <c r="CL10" s="515"/>
      <c r="CM10" s="516">
        <f t="shared" si="28"/>
        <v>0</v>
      </c>
      <c r="CN10" s="517">
        <f t="shared" ref="CN10:CN39" si="140">+CL10*$H$8</f>
        <v>0</v>
      </c>
      <c r="CO10" s="515"/>
      <c r="CP10" s="516">
        <f t="shared" si="29"/>
        <v>0</v>
      </c>
      <c r="CQ10" s="517">
        <f t="shared" ref="CQ10:CQ39" si="141">+CO10*$H$8</f>
        <v>0</v>
      </c>
      <c r="CR10" s="515"/>
      <c r="CS10" s="516">
        <f t="shared" si="30"/>
        <v>0</v>
      </c>
      <c r="CT10" s="517">
        <f t="shared" ref="CT10:CT39" si="142">+CR10*$H$8</f>
        <v>0</v>
      </c>
      <c r="CU10" s="515"/>
      <c r="CV10" s="516">
        <f t="shared" si="31"/>
        <v>0</v>
      </c>
      <c r="CW10" s="517">
        <f t="shared" ref="CW10:CW39" si="143">+CU10*$H$8</f>
        <v>0</v>
      </c>
      <c r="CX10" s="515"/>
      <c r="CY10" s="516">
        <f t="shared" si="32"/>
        <v>0</v>
      </c>
      <c r="CZ10" s="517">
        <f t="shared" ref="CZ10:CZ39" si="144">+CX10*$H$8</f>
        <v>0</v>
      </c>
      <c r="DA10" s="515"/>
      <c r="DB10" s="516">
        <f t="shared" si="33"/>
        <v>0</v>
      </c>
      <c r="DC10" s="517">
        <f t="shared" ref="DC10:DC39" si="145">+DA10*$H$8</f>
        <v>0</v>
      </c>
      <c r="DD10" s="515"/>
      <c r="DE10" s="516">
        <f t="shared" si="34"/>
        <v>0</v>
      </c>
      <c r="DF10" s="517">
        <f t="shared" ref="DF10:DF39" si="146">+DD10*$H$8</f>
        <v>0</v>
      </c>
      <c r="DG10" s="515"/>
      <c r="DH10" s="516">
        <f t="shared" si="35"/>
        <v>0</v>
      </c>
      <c r="DI10" s="517">
        <v>0</v>
      </c>
      <c r="DJ10" s="515"/>
      <c r="DK10" s="516">
        <f t="shared" si="36"/>
        <v>0</v>
      </c>
      <c r="DL10" s="517">
        <f t="shared" ref="DL10:DL39" si="147">+DJ10*$H$8</f>
        <v>0</v>
      </c>
      <c r="DM10" s="515"/>
      <c r="DN10" s="516">
        <f t="shared" si="37"/>
        <v>0</v>
      </c>
      <c r="DO10" s="517">
        <f t="shared" ref="DO10:DO39" si="148">+DM10*$H$8</f>
        <v>0</v>
      </c>
      <c r="DP10" s="515"/>
      <c r="DQ10" s="516">
        <f t="shared" si="38"/>
        <v>0</v>
      </c>
      <c r="DR10" s="517">
        <f t="shared" ref="DR10:DR39" si="149">+DP10*$H$8</f>
        <v>0</v>
      </c>
      <c r="DS10" s="515"/>
      <c r="DT10" s="516">
        <f t="shared" si="39"/>
        <v>0</v>
      </c>
      <c r="DU10" s="517">
        <f t="shared" ref="DU10:DU39" si="150">+DS10*$H$8</f>
        <v>0</v>
      </c>
      <c r="DV10" s="515"/>
      <c r="DW10" s="516">
        <f t="shared" si="40"/>
        <v>0</v>
      </c>
      <c r="DX10" s="517">
        <f t="shared" ref="DX10:DX39" si="151">+DV10*$H$8</f>
        <v>0</v>
      </c>
      <c r="DY10" s="515"/>
      <c r="DZ10" s="516">
        <f t="shared" si="41"/>
        <v>0</v>
      </c>
      <c r="EA10" s="517">
        <f t="shared" ref="EA10:EA39" si="152">+DY10*$H$8</f>
        <v>0</v>
      </c>
      <c r="EB10" s="515"/>
      <c r="EC10" s="516">
        <f t="shared" si="42"/>
        <v>0</v>
      </c>
      <c r="ED10" s="517">
        <f t="shared" ref="ED10:ED39" si="153">+EB10*$H$8</f>
        <v>0</v>
      </c>
      <c r="EE10" s="515">
        <v>14.534883720930111</v>
      </c>
      <c r="EF10" s="516">
        <f t="shared" si="43"/>
        <v>0.38943503257857381</v>
      </c>
      <c r="EG10" s="517">
        <f t="shared" ref="EG10:EG39" si="154">+EE10*$H$8</f>
        <v>0</v>
      </c>
      <c r="EH10" s="515">
        <v>23.482352941176487</v>
      </c>
      <c r="EI10" s="516">
        <f t="shared" si="44"/>
        <v>0.62916574072760723</v>
      </c>
      <c r="EJ10" s="517">
        <f t="shared" ref="EJ10:EJ39" si="155">+EH10*$H$8</f>
        <v>0</v>
      </c>
      <c r="EK10" s="515">
        <v>3</v>
      </c>
      <c r="EL10" s="516">
        <f t="shared" si="45"/>
        <v>8.0379390724218305E-2</v>
      </c>
      <c r="EM10" s="517">
        <f t="shared" ref="EM10:EM39" si="156">+EK10*$H$8</f>
        <v>0</v>
      </c>
      <c r="EN10" s="515"/>
      <c r="EO10" s="516">
        <f t="shared" si="46"/>
        <v>0</v>
      </c>
      <c r="EP10" s="517">
        <f t="shared" ref="EP10:EP39" si="157">+EN10*$H$8</f>
        <v>0</v>
      </c>
      <c r="EQ10" s="515"/>
      <c r="ER10" s="516">
        <f t="shared" si="47"/>
        <v>0</v>
      </c>
      <c r="ES10" s="517">
        <f t="shared" ref="ES10:ES39" si="158">+EQ10*$H$8</f>
        <v>0</v>
      </c>
      <c r="ET10" s="515"/>
      <c r="EU10" s="516">
        <f t="shared" si="48"/>
        <v>0</v>
      </c>
      <c r="EV10" s="517">
        <f t="shared" ref="EV10:EV39" si="159">+ET10*$H$8</f>
        <v>0</v>
      </c>
      <c r="EW10" s="515"/>
      <c r="EX10" s="516">
        <f t="shared" si="49"/>
        <v>0</v>
      </c>
      <c r="EY10" s="517">
        <f t="shared" ref="EY10:EY39" si="160">+EW10*$H$8</f>
        <v>0</v>
      </c>
      <c r="EZ10" s="515"/>
      <c r="FA10" s="516">
        <f t="shared" si="50"/>
        <v>0</v>
      </c>
      <c r="FB10" s="517">
        <f t="shared" ref="FB10:FB39" si="161">+EZ10*$H$8</f>
        <v>0</v>
      </c>
      <c r="FC10" s="515"/>
      <c r="FD10" s="516">
        <f t="shared" si="51"/>
        <v>0</v>
      </c>
      <c r="FE10" s="517">
        <f t="shared" ref="FE10:FE39" si="162">+FC10*$H$8</f>
        <v>0</v>
      </c>
      <c r="FF10" s="515"/>
      <c r="FG10" s="516">
        <f t="shared" si="52"/>
        <v>0</v>
      </c>
      <c r="FH10" s="517">
        <f t="shared" ref="FH10:FH39" si="163">+FF10*$H$8</f>
        <v>0</v>
      </c>
      <c r="FI10" s="515"/>
      <c r="FJ10" s="516">
        <f t="shared" si="53"/>
        <v>0</v>
      </c>
      <c r="FK10" s="517">
        <f t="shared" ref="FK10:FK39" si="164">+FI10*$H$8</f>
        <v>0</v>
      </c>
      <c r="FL10" s="515"/>
      <c r="FM10" s="516">
        <f t="shared" si="54"/>
        <v>0</v>
      </c>
      <c r="FN10" s="517">
        <f t="shared" ref="FN10:FN39" si="165">+FL10*$H$8</f>
        <v>0</v>
      </c>
      <c r="FO10" s="515"/>
      <c r="FP10" s="516">
        <f t="shared" si="55"/>
        <v>0</v>
      </c>
      <c r="FQ10" s="517">
        <f t="shared" ref="FQ10:FQ39" si="166">+FO10*$H$8</f>
        <v>0</v>
      </c>
      <c r="FR10" s="515"/>
      <c r="FS10" s="516">
        <f t="shared" si="56"/>
        <v>0</v>
      </c>
      <c r="FT10" s="517">
        <f t="shared" ref="FT10:FT39" si="167">+FR10*$H$8</f>
        <v>0</v>
      </c>
      <c r="FU10" s="515"/>
      <c r="FV10" s="516">
        <f t="shared" si="57"/>
        <v>0</v>
      </c>
      <c r="FW10" s="517">
        <f t="shared" ref="FW10:FW39" si="168">+FU10*$H$8</f>
        <v>0</v>
      </c>
      <c r="FX10" s="515"/>
      <c r="FY10" s="516">
        <f t="shared" si="58"/>
        <v>0</v>
      </c>
      <c r="FZ10" s="517">
        <f t="shared" ref="FZ10:FZ39" si="169">+FX10*$H$8</f>
        <v>0</v>
      </c>
      <c r="GA10" s="515"/>
      <c r="GB10" s="516">
        <f t="shared" si="59"/>
        <v>0</v>
      </c>
      <c r="GC10" s="517">
        <f t="shared" ref="GC10:GC39" si="170">+GA10*$H$8</f>
        <v>0</v>
      </c>
      <c r="GD10" s="515"/>
      <c r="GE10" s="516">
        <f t="shared" si="60"/>
        <v>0</v>
      </c>
      <c r="GF10" s="517">
        <f t="shared" ref="GF10:GF39" si="171">+GD10*$H$8</f>
        <v>0</v>
      </c>
      <c r="GG10" s="515"/>
      <c r="GH10" s="516">
        <f t="shared" si="61"/>
        <v>0</v>
      </c>
      <c r="GI10" s="517">
        <f t="shared" ref="GI10:GI39" si="172">+GG10*$H$8</f>
        <v>0</v>
      </c>
      <c r="GJ10" s="515"/>
      <c r="GK10" s="516">
        <f t="shared" si="62"/>
        <v>0</v>
      </c>
      <c r="GL10" s="517">
        <f t="shared" ref="GL10:GL39" si="173">+GJ10*$H$8</f>
        <v>0</v>
      </c>
      <c r="GM10" s="515"/>
      <c r="GN10" s="516">
        <f t="shared" si="63"/>
        <v>0</v>
      </c>
      <c r="GO10" s="517">
        <f t="shared" ref="GO10:GO39" si="174">+GM10*$H$8</f>
        <v>0</v>
      </c>
      <c r="GP10" s="515"/>
      <c r="GQ10" s="516">
        <f t="shared" si="64"/>
        <v>0</v>
      </c>
      <c r="GR10" s="517">
        <f t="shared" ref="GR10:GR39" si="175">+GP10*$H$8</f>
        <v>0</v>
      </c>
      <c r="GS10" s="515"/>
      <c r="GT10" s="516">
        <f t="shared" si="65"/>
        <v>0</v>
      </c>
      <c r="GU10" s="517">
        <f t="shared" ref="GU10:GU39" si="176">+GS10*$H$8</f>
        <v>0</v>
      </c>
      <c r="GV10" s="515"/>
      <c r="GW10" s="516">
        <f t="shared" si="66"/>
        <v>0</v>
      </c>
      <c r="GX10" s="517">
        <f t="shared" ref="GX10:GX39" si="177">+GV10*$H$8</f>
        <v>0</v>
      </c>
      <c r="GY10" s="515"/>
      <c r="GZ10" s="516">
        <f t="shared" si="67"/>
        <v>0</v>
      </c>
      <c r="HA10" s="517">
        <f t="shared" ref="HA10:HA39" si="178">+GY10*$H$8</f>
        <v>0</v>
      </c>
      <c r="HB10" s="515"/>
      <c r="HC10" s="516">
        <f t="shared" si="68"/>
        <v>0</v>
      </c>
      <c r="HD10" s="517">
        <f t="shared" ref="HD10:HD39" si="179">+HB10*$H$8</f>
        <v>0</v>
      </c>
      <c r="HE10" s="515"/>
      <c r="HF10" s="516">
        <f t="shared" si="69"/>
        <v>0</v>
      </c>
      <c r="HG10" s="517">
        <f t="shared" ref="HG10:HG39" si="180">+HE10*$H$8</f>
        <v>0</v>
      </c>
      <c r="HH10" s="515"/>
      <c r="HI10" s="516">
        <f t="shared" si="70"/>
        <v>0</v>
      </c>
      <c r="HJ10" s="517">
        <f t="shared" ref="HJ10:HJ39" si="181">+HH10*$H$8</f>
        <v>0</v>
      </c>
      <c r="HK10" s="515"/>
      <c r="HL10" s="516">
        <f t="shared" si="71"/>
        <v>0</v>
      </c>
      <c r="HM10" s="517">
        <f t="shared" ref="HM10:HM39" si="182">+HK10*$H$8</f>
        <v>0</v>
      </c>
      <c r="HN10" s="515"/>
      <c r="HO10" s="516">
        <f t="shared" si="72"/>
        <v>0</v>
      </c>
      <c r="HP10" s="517">
        <f t="shared" ref="HP10:HP39" si="183">+HN10*$H$8</f>
        <v>0</v>
      </c>
      <c r="HQ10" s="515"/>
      <c r="HR10" s="516">
        <f t="shared" si="73"/>
        <v>0</v>
      </c>
      <c r="HS10" s="517">
        <f t="shared" ref="HS10:HS39" si="184">+HQ10*$H$8</f>
        <v>0</v>
      </c>
      <c r="HT10" s="515"/>
      <c r="HU10" s="516">
        <f t="shared" si="74"/>
        <v>0</v>
      </c>
      <c r="HV10" s="517">
        <f t="shared" ref="HV10:HV39" si="185">+HT10*$H$8</f>
        <v>0</v>
      </c>
      <c r="HW10" s="515"/>
      <c r="HX10" s="516">
        <f t="shared" si="75"/>
        <v>0</v>
      </c>
      <c r="HY10" s="517">
        <f t="shared" ref="HY10:HY39" si="186">+HW10*$H$8</f>
        <v>0</v>
      </c>
      <c r="HZ10" s="515"/>
      <c r="IA10" s="516">
        <f t="shared" si="76"/>
        <v>0</v>
      </c>
      <c r="IB10" s="517">
        <f t="shared" ref="IB10:IB39" si="187">+HZ10*$H$8</f>
        <v>0</v>
      </c>
      <c r="IC10" s="515"/>
      <c r="ID10" s="516">
        <f t="shared" si="77"/>
        <v>0</v>
      </c>
      <c r="IE10" s="517">
        <f t="shared" ref="IE10:IE39" si="188">+IC10*$H$8</f>
        <v>0</v>
      </c>
      <c r="IF10" s="515"/>
      <c r="IG10" s="516">
        <f t="shared" si="78"/>
        <v>0</v>
      </c>
      <c r="IH10" s="517">
        <f t="shared" ref="IH10:IH39" si="189">+IF10*$H$8</f>
        <v>0</v>
      </c>
      <c r="II10" s="515"/>
      <c r="IJ10" s="516">
        <f t="shared" si="79"/>
        <v>0</v>
      </c>
      <c r="IK10" s="517">
        <f t="shared" ref="IK10:IK39" si="190">+II10*$H$8</f>
        <v>0</v>
      </c>
      <c r="IL10" s="515"/>
      <c r="IM10" s="516">
        <f t="shared" si="80"/>
        <v>0</v>
      </c>
      <c r="IN10" s="517">
        <f t="shared" ref="IN10:IN39" si="191">+IL10*$H$8</f>
        <v>0</v>
      </c>
      <c r="IO10" s="515"/>
      <c r="IP10" s="516">
        <f t="shared" si="81"/>
        <v>0</v>
      </c>
      <c r="IQ10" s="517">
        <f t="shared" ref="IQ10:IQ39" si="192">+IO10*$H$8</f>
        <v>0</v>
      </c>
      <c r="IR10" s="515"/>
      <c r="IS10" s="516">
        <f t="shared" si="82"/>
        <v>0</v>
      </c>
      <c r="IT10" s="517">
        <f t="shared" ref="IT10:IT39" si="193">+IR10*$H$8</f>
        <v>0</v>
      </c>
      <c r="IU10" s="515"/>
      <c r="IV10" s="516">
        <f t="shared" si="83"/>
        <v>0</v>
      </c>
      <c r="IW10" s="517">
        <f t="shared" ref="IW10:IW39" si="194">+IU10*$H$8</f>
        <v>0</v>
      </c>
      <c r="IX10" s="515"/>
      <c r="IY10" s="516">
        <f t="shared" si="84"/>
        <v>0</v>
      </c>
      <c r="IZ10" s="517">
        <f t="shared" ref="IZ10:IZ39" si="195">+IX10*$H$8</f>
        <v>0</v>
      </c>
      <c r="JA10" s="515"/>
      <c r="JB10" s="516">
        <f t="shared" si="85"/>
        <v>0</v>
      </c>
      <c r="JC10" s="517">
        <f t="shared" ref="JC10:JC39" si="196">+JA10*$H$8</f>
        <v>0</v>
      </c>
      <c r="JD10" s="515"/>
      <c r="JE10" s="516">
        <f t="shared" si="86"/>
        <v>0</v>
      </c>
      <c r="JF10" s="517">
        <f t="shared" ref="JF10:JF39" si="197">+JD10*$H$8</f>
        <v>0</v>
      </c>
      <c r="JG10" s="515"/>
      <c r="JH10" s="516">
        <f t="shared" si="87"/>
        <v>0</v>
      </c>
      <c r="JI10" s="517">
        <f t="shared" ref="JI10:JI39" si="198">+JG10*$H$8</f>
        <v>0</v>
      </c>
      <c r="JJ10" s="515"/>
      <c r="JK10" s="517" t="str">
        <f t="shared" si="88"/>
        <v>0</v>
      </c>
      <c r="JL10" s="517" t="str">
        <f t="shared" si="89"/>
        <v>0</v>
      </c>
      <c r="JM10" s="515"/>
      <c r="JN10" s="517" t="str">
        <f t="shared" si="90"/>
        <v>0</v>
      </c>
      <c r="JO10" s="517" t="str">
        <f t="shared" si="91"/>
        <v>0</v>
      </c>
      <c r="JP10" s="515"/>
      <c r="JQ10" s="517" t="str">
        <f t="shared" si="92"/>
        <v>0</v>
      </c>
      <c r="JR10" s="517" t="str">
        <f t="shared" si="93"/>
        <v>0</v>
      </c>
      <c r="JS10" s="515"/>
      <c r="JT10" s="517" t="str">
        <f t="shared" si="94"/>
        <v>0</v>
      </c>
      <c r="JU10" s="517" t="str">
        <f t="shared" si="95"/>
        <v>0</v>
      </c>
      <c r="JV10" s="515"/>
      <c r="JW10" s="517" t="str">
        <f t="shared" si="96"/>
        <v>0</v>
      </c>
      <c r="JX10" s="517" t="str">
        <f t="shared" si="97"/>
        <v>0</v>
      </c>
      <c r="JY10" s="515"/>
      <c r="JZ10" s="517" t="str">
        <f t="shared" si="98"/>
        <v>0</v>
      </c>
      <c r="KA10" s="517" t="str">
        <f t="shared" si="99"/>
        <v>0</v>
      </c>
      <c r="KB10" s="515"/>
      <c r="KC10" s="517" t="str">
        <f t="shared" si="100"/>
        <v>0</v>
      </c>
      <c r="KD10" s="517" t="str">
        <f t="shared" si="101"/>
        <v>0</v>
      </c>
      <c r="KE10" s="515"/>
      <c r="KF10" s="517" t="str">
        <f t="shared" si="102"/>
        <v>0</v>
      </c>
      <c r="KG10" s="517" t="str">
        <f t="shared" si="103"/>
        <v>0</v>
      </c>
      <c r="KH10" s="515"/>
      <c r="KI10" s="517" t="str">
        <f t="shared" si="104"/>
        <v>0</v>
      </c>
      <c r="KJ10" s="517" t="str">
        <f t="shared" si="105"/>
        <v>0</v>
      </c>
      <c r="KK10" s="515"/>
      <c r="KL10" s="517" t="str">
        <f t="shared" si="106"/>
        <v>0</v>
      </c>
      <c r="KM10" s="517" t="str">
        <f t="shared" si="107"/>
        <v>0</v>
      </c>
      <c r="KN10" s="515"/>
      <c r="KO10" s="517" t="str">
        <f t="shared" si="108"/>
        <v>0</v>
      </c>
      <c r="KP10" s="517" t="str">
        <f t="shared" si="109"/>
        <v>0</v>
      </c>
      <c r="KQ10" s="515"/>
      <c r="KR10" s="517" t="str">
        <f t="shared" si="110"/>
        <v>0</v>
      </c>
      <c r="KS10" s="517" t="str">
        <f t="shared" si="111"/>
        <v>0</v>
      </c>
      <c r="KT10" s="517">
        <f>H10+K10+N10+Q10+T10+W10+Z10+AC10+AF10+AI10+AL10+AO10+AR10+AU10+AX10+BA10+BD10+BG10+BJ10+BM10+BP10+BS10+BV10+BY10+CB10+CE10+CH10+CK10+CN10+CQ10+CT10+CW10+CZ10+DC10+DF10+DI10+DL10+DO10+DR10+DU10+DX10+EA10+ED10+EG10+EJ10+EM10+EP10+ES10+EV10+EY10+FB10+FE10+FH10+FK10+FN10+FQ10+FT10+FW10+FZ10+GC10</f>
        <v>0</v>
      </c>
      <c r="KU10" s="517">
        <f>GF10+GI10+GL10+GO10+GR10+GU10+GX10+HA10+HD10+HG10+HJ10+HM10+HP10+HS10+HV10+HY10+IB10+IE10+IH10+IK10+IN10+IQ10+IT10+IW10+IZ10+JC10+JF10+JI10+JL10+JO10+JR10+JU10+JX10++KA10+KD10+KG10+KJ10++KM10+KP10+KS10</f>
        <v>0</v>
      </c>
      <c r="KV10" s="263">
        <f t="shared" ref="KV10:KV41" si="199">+F10+I10+L10+O10+R10+U10+X10+AA10+AD10+AG10+AJ10+AM10+AP10+AS10+AV10+AY10+BB10+BE10+BH10+BK10+BN10+BQ10+BT10+BW10+BZ10+CC10+CF10+CI10+CL10+CO10+CR10+CU10+CX10+DA10+DD10+DJ10+DM10+DP10+DS10+DV10+DY10+EB10+GG10+GJ10+GM10+GP10+GS10+HN10+II10+IR10+GV10+IU10++HT10+HW10+HZ10+IC10+JA10+JJ10+JM10+HB10+EE10+GD10+EH10++EK10</f>
        <v>441.94620769046492</v>
      </c>
    </row>
    <row r="11" spans="1:308">
      <c r="A11" s="264">
        <f t="shared" ref="A11:A39" si="200">+A10+1</f>
        <v>45841</v>
      </c>
      <c r="B11" s="265" t="str">
        <f>+Report1!B11</f>
        <v>Facial</v>
      </c>
      <c r="C11" s="265" t="str">
        <f>+Report1!C11</f>
        <v>12</v>
      </c>
      <c r="D11" s="266">
        <f>+Report1!P11</f>
        <v>41.875999999999998</v>
      </c>
      <c r="E11" s="553">
        <f>+Report1!R11</f>
        <v>39.783000000000001</v>
      </c>
      <c r="F11" s="515"/>
      <c r="G11" s="516">
        <f t="shared" si="0"/>
        <v>0</v>
      </c>
      <c r="H11" s="517">
        <f t="shared" si="112"/>
        <v>0</v>
      </c>
      <c r="I11" s="515">
        <v>302.32558139534899</v>
      </c>
      <c r="J11" s="516">
        <f t="shared" si="1"/>
        <v>7.5993660959542764</v>
      </c>
      <c r="K11" s="517">
        <f t="shared" si="113"/>
        <v>0</v>
      </c>
      <c r="L11" s="515"/>
      <c r="M11" s="516">
        <f t="shared" si="2"/>
        <v>0</v>
      </c>
      <c r="N11" s="517">
        <f t="shared" si="114"/>
        <v>0</v>
      </c>
      <c r="O11" s="515">
        <v>9</v>
      </c>
      <c r="P11" s="516">
        <f t="shared" si="3"/>
        <v>0.22622728301033104</v>
      </c>
      <c r="Q11" s="517">
        <f t="shared" si="115"/>
        <v>0</v>
      </c>
      <c r="R11" s="515"/>
      <c r="S11" s="516">
        <f t="shared" si="4"/>
        <v>0</v>
      </c>
      <c r="T11" s="517">
        <f t="shared" si="116"/>
        <v>0</v>
      </c>
      <c r="U11" s="515">
        <v>8.9687500000000284</v>
      </c>
      <c r="V11" s="516">
        <f t="shared" si="5"/>
        <v>0.22544177161099033</v>
      </c>
      <c r="W11" s="517">
        <f t="shared" si="117"/>
        <v>0</v>
      </c>
      <c r="X11" s="515"/>
      <c r="Y11" s="516">
        <f t="shared" si="6"/>
        <v>0</v>
      </c>
      <c r="Z11" s="517">
        <f t="shared" si="118"/>
        <v>0</v>
      </c>
      <c r="AA11" s="515">
        <v>9.3750000000000142</v>
      </c>
      <c r="AB11" s="516">
        <f t="shared" si="7"/>
        <v>0.23565341980242852</v>
      </c>
      <c r="AC11" s="517">
        <f t="shared" si="119"/>
        <v>0</v>
      </c>
      <c r="AD11" s="515"/>
      <c r="AE11" s="516">
        <f t="shared" si="8"/>
        <v>0</v>
      </c>
      <c r="AF11" s="517">
        <f t="shared" si="120"/>
        <v>0</v>
      </c>
      <c r="AG11" s="515"/>
      <c r="AH11" s="516">
        <f t="shared" si="9"/>
        <v>0</v>
      </c>
      <c r="AI11" s="517">
        <f t="shared" si="121"/>
        <v>0</v>
      </c>
      <c r="AJ11" s="515"/>
      <c r="AK11" s="516">
        <f t="shared" si="10"/>
        <v>0</v>
      </c>
      <c r="AL11" s="517">
        <f t="shared" si="122"/>
        <v>0</v>
      </c>
      <c r="AM11" s="515"/>
      <c r="AN11" s="516">
        <f t="shared" si="11"/>
        <v>0</v>
      </c>
      <c r="AO11" s="517">
        <f t="shared" si="123"/>
        <v>0</v>
      </c>
      <c r="AP11" s="515">
        <v>48.417721518987349</v>
      </c>
      <c r="AQ11" s="516">
        <f t="shared" si="12"/>
        <v>1.2170455098657051</v>
      </c>
      <c r="AR11" s="517">
        <f t="shared" si="124"/>
        <v>0</v>
      </c>
      <c r="AS11" s="515"/>
      <c r="AT11" s="516">
        <f t="shared" si="13"/>
        <v>0</v>
      </c>
      <c r="AU11" s="517">
        <f t="shared" si="125"/>
        <v>0</v>
      </c>
      <c r="AV11" s="515">
        <v>8.3250000000000171</v>
      </c>
      <c r="AW11" s="516">
        <f t="shared" si="14"/>
        <v>0.20926023678455663</v>
      </c>
      <c r="AX11" s="517">
        <f t="shared" si="126"/>
        <v>0</v>
      </c>
      <c r="AY11" s="515">
        <v>51.333333333333371</v>
      </c>
      <c r="AZ11" s="516">
        <f t="shared" si="15"/>
        <v>1.2903333919848521</v>
      </c>
      <c r="BA11" s="517">
        <f t="shared" si="127"/>
        <v>0</v>
      </c>
      <c r="BB11" s="515"/>
      <c r="BC11" s="516">
        <f t="shared" si="16"/>
        <v>0</v>
      </c>
      <c r="BD11" s="517">
        <f t="shared" si="128"/>
        <v>0</v>
      </c>
      <c r="BE11" s="515"/>
      <c r="BF11" s="516">
        <f t="shared" si="17"/>
        <v>0</v>
      </c>
      <c r="BG11" s="517">
        <f t="shared" si="129"/>
        <v>0</v>
      </c>
      <c r="BH11" s="515"/>
      <c r="BI11" s="516">
        <f t="shared" si="18"/>
        <v>0</v>
      </c>
      <c r="BJ11" s="517">
        <f t="shared" si="130"/>
        <v>0</v>
      </c>
      <c r="BK11" s="515"/>
      <c r="BL11" s="516">
        <f t="shared" si="19"/>
        <v>0</v>
      </c>
      <c r="BM11" s="517">
        <f t="shared" si="131"/>
        <v>0</v>
      </c>
      <c r="BN11" s="515"/>
      <c r="BO11" s="516">
        <f t="shared" si="20"/>
        <v>0</v>
      </c>
      <c r="BP11" s="517">
        <f t="shared" si="132"/>
        <v>0</v>
      </c>
      <c r="BQ11" s="515"/>
      <c r="BR11" s="516">
        <f t="shared" si="21"/>
        <v>0</v>
      </c>
      <c r="BS11" s="517">
        <f t="shared" si="133"/>
        <v>0</v>
      </c>
      <c r="BT11" s="515"/>
      <c r="BU11" s="516">
        <f t="shared" si="22"/>
        <v>0</v>
      </c>
      <c r="BV11" s="517">
        <f t="shared" si="134"/>
        <v>0</v>
      </c>
      <c r="BW11" s="515"/>
      <c r="BX11" s="516">
        <f t="shared" si="23"/>
        <v>0</v>
      </c>
      <c r="BY11" s="517">
        <f t="shared" si="135"/>
        <v>0</v>
      </c>
      <c r="BZ11" s="515"/>
      <c r="CA11" s="516">
        <f t="shared" si="24"/>
        <v>0</v>
      </c>
      <c r="CB11" s="517">
        <f t="shared" si="136"/>
        <v>0</v>
      </c>
      <c r="CC11" s="515"/>
      <c r="CD11" s="516">
        <f t="shared" si="25"/>
        <v>0</v>
      </c>
      <c r="CE11" s="517">
        <f t="shared" si="137"/>
        <v>0</v>
      </c>
      <c r="CF11" s="515">
        <v>0.59999999999999787</v>
      </c>
      <c r="CG11" s="516">
        <f t="shared" si="26"/>
        <v>1.5081818867355349E-2</v>
      </c>
      <c r="CH11" s="517">
        <f t="shared" si="138"/>
        <v>0</v>
      </c>
      <c r="CI11" s="515"/>
      <c r="CJ11" s="516">
        <f t="shared" si="27"/>
        <v>0</v>
      </c>
      <c r="CK11" s="517">
        <f t="shared" si="139"/>
        <v>0</v>
      </c>
      <c r="CL11" s="515"/>
      <c r="CM11" s="516">
        <f t="shared" si="28"/>
        <v>0</v>
      </c>
      <c r="CN11" s="517">
        <f t="shared" si="140"/>
        <v>0</v>
      </c>
      <c r="CO11" s="515"/>
      <c r="CP11" s="516">
        <f t="shared" si="29"/>
        <v>0</v>
      </c>
      <c r="CQ11" s="517">
        <f t="shared" si="141"/>
        <v>0</v>
      </c>
      <c r="CR11" s="515"/>
      <c r="CS11" s="516">
        <f t="shared" si="30"/>
        <v>0</v>
      </c>
      <c r="CT11" s="517">
        <f t="shared" si="142"/>
        <v>0</v>
      </c>
      <c r="CU11" s="515"/>
      <c r="CV11" s="516">
        <f t="shared" si="31"/>
        <v>0</v>
      </c>
      <c r="CW11" s="517">
        <f t="shared" si="143"/>
        <v>0</v>
      </c>
      <c r="CX11" s="515"/>
      <c r="CY11" s="516">
        <f t="shared" si="32"/>
        <v>0</v>
      </c>
      <c r="CZ11" s="517">
        <f t="shared" si="144"/>
        <v>0</v>
      </c>
      <c r="DA11" s="515"/>
      <c r="DB11" s="516">
        <f t="shared" si="33"/>
        <v>0</v>
      </c>
      <c r="DC11" s="517">
        <f t="shared" si="145"/>
        <v>0</v>
      </c>
      <c r="DD11" s="515"/>
      <c r="DE11" s="516">
        <f t="shared" si="34"/>
        <v>0</v>
      </c>
      <c r="DF11" s="517">
        <f t="shared" si="146"/>
        <v>0</v>
      </c>
      <c r="DG11" s="515"/>
      <c r="DH11" s="516">
        <f t="shared" si="35"/>
        <v>0</v>
      </c>
      <c r="DI11" s="517">
        <v>0</v>
      </c>
      <c r="DJ11" s="515"/>
      <c r="DK11" s="516">
        <f t="shared" si="36"/>
        <v>0</v>
      </c>
      <c r="DL11" s="517">
        <f t="shared" si="147"/>
        <v>0</v>
      </c>
      <c r="DM11" s="515"/>
      <c r="DN11" s="516">
        <f t="shared" si="37"/>
        <v>0</v>
      </c>
      <c r="DO11" s="517">
        <f t="shared" si="148"/>
        <v>0</v>
      </c>
      <c r="DP11" s="515"/>
      <c r="DQ11" s="516">
        <f t="shared" si="38"/>
        <v>0</v>
      </c>
      <c r="DR11" s="517">
        <f t="shared" si="149"/>
        <v>0</v>
      </c>
      <c r="DS11" s="515"/>
      <c r="DT11" s="516">
        <f t="shared" si="39"/>
        <v>0</v>
      </c>
      <c r="DU11" s="517">
        <f t="shared" si="150"/>
        <v>0</v>
      </c>
      <c r="DV11" s="515"/>
      <c r="DW11" s="516">
        <f t="shared" si="40"/>
        <v>0</v>
      </c>
      <c r="DX11" s="517">
        <f t="shared" si="151"/>
        <v>0</v>
      </c>
      <c r="DY11" s="515"/>
      <c r="DZ11" s="516">
        <f t="shared" si="41"/>
        <v>0</v>
      </c>
      <c r="EA11" s="517">
        <f t="shared" si="152"/>
        <v>0</v>
      </c>
      <c r="EB11" s="515"/>
      <c r="EC11" s="516">
        <f t="shared" si="42"/>
        <v>0</v>
      </c>
      <c r="ED11" s="517">
        <f t="shared" si="153"/>
        <v>0</v>
      </c>
      <c r="EE11" s="515">
        <v>14.534883720930225</v>
      </c>
      <c r="EF11" s="516">
        <f t="shared" si="43"/>
        <v>0.36535413922857057</v>
      </c>
      <c r="EG11" s="517">
        <f t="shared" si="154"/>
        <v>0</v>
      </c>
      <c r="EH11" s="515">
        <v>23.482352941176487</v>
      </c>
      <c r="EI11" s="516">
        <f t="shared" si="44"/>
        <v>0.59026098939689031</v>
      </c>
      <c r="EJ11" s="517">
        <f t="shared" si="155"/>
        <v>0</v>
      </c>
      <c r="EK11" s="515">
        <v>3</v>
      </c>
      <c r="EL11" s="516">
        <f t="shared" si="45"/>
        <v>7.5409094336777019E-2</v>
      </c>
      <c r="EM11" s="517">
        <f t="shared" si="156"/>
        <v>0</v>
      </c>
      <c r="EN11" s="515"/>
      <c r="EO11" s="516">
        <f t="shared" si="46"/>
        <v>0</v>
      </c>
      <c r="EP11" s="517">
        <f t="shared" si="157"/>
        <v>0</v>
      </c>
      <c r="EQ11" s="515"/>
      <c r="ER11" s="516">
        <f t="shared" si="47"/>
        <v>0</v>
      </c>
      <c r="ES11" s="517">
        <f t="shared" si="158"/>
        <v>0</v>
      </c>
      <c r="ET11" s="515"/>
      <c r="EU11" s="516">
        <f t="shared" si="48"/>
        <v>0</v>
      </c>
      <c r="EV11" s="517">
        <f t="shared" si="159"/>
        <v>0</v>
      </c>
      <c r="EW11" s="515"/>
      <c r="EX11" s="516">
        <f t="shared" si="49"/>
        <v>0</v>
      </c>
      <c r="EY11" s="517">
        <f t="shared" si="160"/>
        <v>0</v>
      </c>
      <c r="EZ11" s="515"/>
      <c r="FA11" s="516">
        <f t="shared" si="50"/>
        <v>0</v>
      </c>
      <c r="FB11" s="517">
        <f t="shared" si="161"/>
        <v>0</v>
      </c>
      <c r="FC11" s="515"/>
      <c r="FD11" s="516">
        <f t="shared" si="51"/>
        <v>0</v>
      </c>
      <c r="FE11" s="517">
        <f t="shared" si="162"/>
        <v>0</v>
      </c>
      <c r="FF11" s="515"/>
      <c r="FG11" s="516">
        <f t="shared" si="52"/>
        <v>0</v>
      </c>
      <c r="FH11" s="517">
        <f t="shared" si="163"/>
        <v>0</v>
      </c>
      <c r="FI11" s="515"/>
      <c r="FJ11" s="516">
        <f t="shared" si="53"/>
        <v>0</v>
      </c>
      <c r="FK11" s="517">
        <f t="shared" si="164"/>
        <v>0</v>
      </c>
      <c r="FL11" s="515"/>
      <c r="FM11" s="516">
        <f t="shared" si="54"/>
        <v>0</v>
      </c>
      <c r="FN11" s="517">
        <f t="shared" si="165"/>
        <v>0</v>
      </c>
      <c r="FO11" s="515"/>
      <c r="FP11" s="516">
        <f t="shared" si="55"/>
        <v>0</v>
      </c>
      <c r="FQ11" s="517">
        <f t="shared" si="166"/>
        <v>0</v>
      </c>
      <c r="FR11" s="515"/>
      <c r="FS11" s="516">
        <f t="shared" si="56"/>
        <v>0</v>
      </c>
      <c r="FT11" s="517">
        <f t="shared" si="167"/>
        <v>0</v>
      </c>
      <c r="FU11" s="515"/>
      <c r="FV11" s="516">
        <f t="shared" si="57"/>
        <v>0</v>
      </c>
      <c r="FW11" s="517">
        <f t="shared" si="168"/>
        <v>0</v>
      </c>
      <c r="FX11" s="515"/>
      <c r="FY11" s="516">
        <f t="shared" si="58"/>
        <v>0</v>
      </c>
      <c r="FZ11" s="517">
        <f t="shared" si="169"/>
        <v>0</v>
      </c>
      <c r="GA11" s="515"/>
      <c r="GB11" s="516">
        <f t="shared" si="59"/>
        <v>0</v>
      </c>
      <c r="GC11" s="517">
        <f t="shared" si="170"/>
        <v>0</v>
      </c>
      <c r="GD11" s="515"/>
      <c r="GE11" s="516">
        <f t="shared" si="60"/>
        <v>0</v>
      </c>
      <c r="GF11" s="517">
        <f t="shared" si="171"/>
        <v>0</v>
      </c>
      <c r="GG11" s="515"/>
      <c r="GH11" s="516">
        <f t="shared" si="61"/>
        <v>0</v>
      </c>
      <c r="GI11" s="517">
        <f t="shared" si="172"/>
        <v>0</v>
      </c>
      <c r="GJ11" s="515"/>
      <c r="GK11" s="516">
        <f t="shared" si="62"/>
        <v>0</v>
      </c>
      <c r="GL11" s="517">
        <f t="shared" si="173"/>
        <v>0</v>
      </c>
      <c r="GM11" s="515"/>
      <c r="GN11" s="516">
        <f t="shared" si="63"/>
        <v>0</v>
      </c>
      <c r="GO11" s="517">
        <f t="shared" si="174"/>
        <v>0</v>
      </c>
      <c r="GP11" s="515"/>
      <c r="GQ11" s="516">
        <f t="shared" si="64"/>
        <v>0</v>
      </c>
      <c r="GR11" s="517">
        <f t="shared" si="175"/>
        <v>0</v>
      </c>
      <c r="GS11" s="515"/>
      <c r="GT11" s="516">
        <f t="shared" si="65"/>
        <v>0</v>
      </c>
      <c r="GU11" s="517">
        <f t="shared" si="176"/>
        <v>0</v>
      </c>
      <c r="GV11" s="515"/>
      <c r="GW11" s="516">
        <f t="shared" si="66"/>
        <v>0</v>
      </c>
      <c r="GX11" s="517">
        <f t="shared" si="177"/>
        <v>0</v>
      </c>
      <c r="GY11" s="515"/>
      <c r="GZ11" s="516">
        <f t="shared" si="67"/>
        <v>0</v>
      </c>
      <c r="HA11" s="517">
        <f t="shared" si="178"/>
        <v>0</v>
      </c>
      <c r="HB11" s="515"/>
      <c r="HC11" s="516">
        <f t="shared" si="68"/>
        <v>0</v>
      </c>
      <c r="HD11" s="517">
        <f t="shared" si="179"/>
        <v>0</v>
      </c>
      <c r="HE11" s="515"/>
      <c r="HF11" s="516">
        <f t="shared" si="69"/>
        <v>0</v>
      </c>
      <c r="HG11" s="517">
        <f t="shared" si="180"/>
        <v>0</v>
      </c>
      <c r="HH11" s="515"/>
      <c r="HI11" s="516">
        <f t="shared" si="70"/>
        <v>0</v>
      </c>
      <c r="HJ11" s="517">
        <f t="shared" si="181"/>
        <v>0</v>
      </c>
      <c r="HK11" s="515"/>
      <c r="HL11" s="516">
        <f t="shared" si="71"/>
        <v>0</v>
      </c>
      <c r="HM11" s="517">
        <f t="shared" si="182"/>
        <v>0</v>
      </c>
      <c r="HN11" s="515"/>
      <c r="HO11" s="516">
        <f t="shared" si="72"/>
        <v>0</v>
      </c>
      <c r="HP11" s="517">
        <f t="shared" si="183"/>
        <v>0</v>
      </c>
      <c r="HQ11" s="515"/>
      <c r="HR11" s="516">
        <f t="shared" si="73"/>
        <v>0</v>
      </c>
      <c r="HS11" s="517">
        <f t="shared" si="184"/>
        <v>0</v>
      </c>
      <c r="HT11" s="515"/>
      <c r="HU11" s="516">
        <f t="shared" si="74"/>
        <v>0</v>
      </c>
      <c r="HV11" s="517">
        <f t="shared" si="185"/>
        <v>0</v>
      </c>
      <c r="HW11" s="515"/>
      <c r="HX11" s="516">
        <f t="shared" si="75"/>
        <v>0</v>
      </c>
      <c r="HY11" s="517">
        <f t="shared" si="186"/>
        <v>0</v>
      </c>
      <c r="HZ11" s="515"/>
      <c r="IA11" s="516">
        <f t="shared" si="76"/>
        <v>0</v>
      </c>
      <c r="IB11" s="517">
        <f t="shared" si="187"/>
        <v>0</v>
      </c>
      <c r="IC11" s="515"/>
      <c r="ID11" s="516">
        <f t="shared" si="77"/>
        <v>0</v>
      </c>
      <c r="IE11" s="517">
        <f t="shared" si="188"/>
        <v>0</v>
      </c>
      <c r="IF11" s="515"/>
      <c r="IG11" s="516">
        <f t="shared" si="78"/>
        <v>0</v>
      </c>
      <c r="IH11" s="517">
        <f t="shared" si="189"/>
        <v>0</v>
      </c>
      <c r="II11" s="515"/>
      <c r="IJ11" s="516">
        <f t="shared" si="79"/>
        <v>0</v>
      </c>
      <c r="IK11" s="517">
        <f t="shared" si="190"/>
        <v>0</v>
      </c>
      <c r="IL11" s="515"/>
      <c r="IM11" s="516">
        <f t="shared" si="80"/>
        <v>0</v>
      </c>
      <c r="IN11" s="517">
        <f t="shared" si="191"/>
        <v>0</v>
      </c>
      <c r="IO11" s="515"/>
      <c r="IP11" s="516">
        <f t="shared" si="81"/>
        <v>0</v>
      </c>
      <c r="IQ11" s="517">
        <f t="shared" si="192"/>
        <v>0</v>
      </c>
      <c r="IR11" s="515"/>
      <c r="IS11" s="516">
        <f t="shared" si="82"/>
        <v>0</v>
      </c>
      <c r="IT11" s="517">
        <f t="shared" si="193"/>
        <v>0</v>
      </c>
      <c r="IU11" s="515"/>
      <c r="IV11" s="516">
        <f t="shared" si="83"/>
        <v>0</v>
      </c>
      <c r="IW11" s="517">
        <f t="shared" si="194"/>
        <v>0</v>
      </c>
      <c r="IX11" s="515"/>
      <c r="IY11" s="516">
        <f t="shared" si="84"/>
        <v>0</v>
      </c>
      <c r="IZ11" s="517">
        <f t="shared" si="195"/>
        <v>0</v>
      </c>
      <c r="JA11" s="515"/>
      <c r="JB11" s="516">
        <f t="shared" si="85"/>
        <v>0</v>
      </c>
      <c r="JC11" s="517">
        <f t="shared" si="196"/>
        <v>0</v>
      </c>
      <c r="JD11" s="515"/>
      <c r="JE11" s="516">
        <f t="shared" si="86"/>
        <v>0</v>
      </c>
      <c r="JF11" s="517">
        <f t="shared" si="197"/>
        <v>0</v>
      </c>
      <c r="JG11" s="515"/>
      <c r="JH11" s="516">
        <f t="shared" si="87"/>
        <v>0</v>
      </c>
      <c r="JI11" s="517">
        <f t="shared" si="198"/>
        <v>0</v>
      </c>
      <c r="JJ11" s="515"/>
      <c r="JK11" s="517" t="str">
        <f t="shared" si="88"/>
        <v>0</v>
      </c>
      <c r="JL11" s="517" t="str">
        <f t="shared" si="89"/>
        <v>0</v>
      </c>
      <c r="JM11" s="515"/>
      <c r="JN11" s="517" t="str">
        <f t="shared" si="90"/>
        <v>0</v>
      </c>
      <c r="JO11" s="517" t="str">
        <f t="shared" si="91"/>
        <v>0</v>
      </c>
      <c r="JP11" s="515"/>
      <c r="JQ11" s="517" t="str">
        <f t="shared" si="92"/>
        <v>0</v>
      </c>
      <c r="JR11" s="517" t="str">
        <f t="shared" si="93"/>
        <v>0</v>
      </c>
      <c r="JS11" s="515"/>
      <c r="JT11" s="517" t="str">
        <f t="shared" si="94"/>
        <v>0</v>
      </c>
      <c r="JU11" s="517" t="str">
        <f t="shared" si="95"/>
        <v>0</v>
      </c>
      <c r="JV11" s="515"/>
      <c r="JW11" s="517" t="str">
        <f t="shared" si="96"/>
        <v>0</v>
      </c>
      <c r="JX11" s="517" t="str">
        <f t="shared" si="97"/>
        <v>0</v>
      </c>
      <c r="JY11" s="515"/>
      <c r="JZ11" s="517" t="str">
        <f t="shared" si="98"/>
        <v>0</v>
      </c>
      <c r="KA11" s="517" t="str">
        <f t="shared" si="99"/>
        <v>0</v>
      </c>
      <c r="KB11" s="515"/>
      <c r="KC11" s="517" t="str">
        <f t="shared" si="100"/>
        <v>0</v>
      </c>
      <c r="KD11" s="517" t="str">
        <f t="shared" si="101"/>
        <v>0</v>
      </c>
      <c r="KE11" s="515"/>
      <c r="KF11" s="517" t="str">
        <f t="shared" si="102"/>
        <v>0</v>
      </c>
      <c r="KG11" s="517" t="str">
        <f t="shared" si="103"/>
        <v>0</v>
      </c>
      <c r="KH11" s="515"/>
      <c r="KI11" s="517" t="str">
        <f t="shared" si="104"/>
        <v>0</v>
      </c>
      <c r="KJ11" s="517" t="str">
        <f t="shared" si="105"/>
        <v>0</v>
      </c>
      <c r="KK11" s="515"/>
      <c r="KL11" s="517" t="str">
        <f t="shared" si="106"/>
        <v>0</v>
      </c>
      <c r="KM11" s="517" t="str">
        <f t="shared" si="107"/>
        <v>0</v>
      </c>
      <c r="KN11" s="515"/>
      <c r="KO11" s="517" t="str">
        <f t="shared" si="108"/>
        <v>0</v>
      </c>
      <c r="KP11" s="517" t="str">
        <f t="shared" si="109"/>
        <v>0</v>
      </c>
      <c r="KQ11" s="515"/>
      <c r="KR11" s="517" t="str">
        <f t="shared" si="110"/>
        <v>0</v>
      </c>
      <c r="KS11" s="517" t="str">
        <f t="shared" si="111"/>
        <v>0</v>
      </c>
      <c r="KT11" s="517">
        <f t="shared" ref="KT11:KT41" si="201">H11+K11+N11+Q11+T11+W11+Z11+AC11+AF11+AI11+AL11+AO11+AR11+AU11+AX11+BA11+BD11+BG11+BJ11+BM11+BP11+BS11+BV11+BY11+CB11+CE11+CH11+CK11+CN11+CQ11+CT11+CW11+CZ11+DC11+DF11+DI11+DL11+DO11+DR11+DU11+DX11+EA11+ED11+EG11+EJ11+EM11+EP11+ES11+EV11+EY11+FB11+FE11+FH11+FK11+FN11+FQ11+FT11+FW11+FZ11+GC11</f>
        <v>0</v>
      </c>
      <c r="KU11" s="517">
        <f t="shared" ref="KU11:KU41" si="202">GF11+GI11+GL11+GO11+GR11+GU11+GX11+HA11+HD11+HG11+HJ11+HM11+HP11+HS11+HV11+HY11+IB11+IE11+IH11+IK11+IN11+IQ11+IT11+IW11+IZ11+JC11+JF11+JI11+JL11+JO11+JR11+JU11+JX11++KA11+KD11+KG11+KJ11++KM11+KP11+KS11</f>
        <v>0</v>
      </c>
      <c r="KV11" s="263">
        <f t="shared" si="199"/>
        <v>479.36262290977652</v>
      </c>
    </row>
    <row r="12" spans="1:308">
      <c r="A12" s="264">
        <f t="shared" si="200"/>
        <v>45842</v>
      </c>
      <c r="B12" s="265" t="str">
        <f>+Report1!B12</f>
        <v>Facial</v>
      </c>
      <c r="C12" s="265" t="str">
        <f>+Report1!C12</f>
        <v>12</v>
      </c>
      <c r="D12" s="266">
        <f>+Report1!P12</f>
        <v>42.341999999999999</v>
      </c>
      <c r="E12" s="553">
        <f>+Report1!R12</f>
        <v>41.905999999999999</v>
      </c>
      <c r="F12" s="515"/>
      <c r="G12" s="516">
        <f t="shared" si="0"/>
        <v>0</v>
      </c>
      <c r="H12" s="517">
        <f t="shared" si="112"/>
        <v>0</v>
      </c>
      <c r="I12" s="515">
        <v>325.58139534883708</v>
      </c>
      <c r="J12" s="516">
        <f t="shared" si="1"/>
        <v>7.7693264770876986</v>
      </c>
      <c r="K12" s="517">
        <f t="shared" si="113"/>
        <v>0</v>
      </c>
      <c r="L12" s="515"/>
      <c r="M12" s="516">
        <f t="shared" si="2"/>
        <v>0</v>
      </c>
      <c r="N12" s="517">
        <f t="shared" si="114"/>
        <v>0</v>
      </c>
      <c r="O12" s="515">
        <v>9</v>
      </c>
      <c r="P12" s="516">
        <f t="shared" si="3"/>
        <v>0.21476638190235289</v>
      </c>
      <c r="Q12" s="517">
        <f t="shared" si="115"/>
        <v>0</v>
      </c>
      <c r="R12" s="515"/>
      <c r="S12" s="516">
        <f t="shared" si="4"/>
        <v>0</v>
      </c>
      <c r="T12" s="517">
        <f t="shared" si="116"/>
        <v>0</v>
      </c>
      <c r="U12" s="515">
        <v>8.9687499999999716</v>
      </c>
      <c r="V12" s="516">
        <f t="shared" si="5"/>
        <v>0.21402066529852459</v>
      </c>
      <c r="W12" s="517">
        <f t="shared" si="117"/>
        <v>0</v>
      </c>
      <c r="X12" s="515"/>
      <c r="Y12" s="516">
        <f t="shared" si="6"/>
        <v>0</v>
      </c>
      <c r="Z12" s="517">
        <f t="shared" si="118"/>
        <v>0</v>
      </c>
      <c r="AA12" s="515">
        <v>10.937499999999993</v>
      </c>
      <c r="AB12" s="516">
        <f t="shared" si="7"/>
        <v>0.2610008113396648</v>
      </c>
      <c r="AC12" s="517">
        <f t="shared" si="119"/>
        <v>0</v>
      </c>
      <c r="AD12" s="515"/>
      <c r="AE12" s="516">
        <f t="shared" si="8"/>
        <v>0</v>
      </c>
      <c r="AF12" s="517">
        <f t="shared" si="120"/>
        <v>0</v>
      </c>
      <c r="AG12" s="515"/>
      <c r="AH12" s="516">
        <f t="shared" si="9"/>
        <v>0</v>
      </c>
      <c r="AI12" s="517">
        <f t="shared" si="121"/>
        <v>0</v>
      </c>
      <c r="AJ12" s="515"/>
      <c r="AK12" s="516">
        <f t="shared" si="10"/>
        <v>0</v>
      </c>
      <c r="AL12" s="517">
        <f t="shared" si="122"/>
        <v>0</v>
      </c>
      <c r="AM12" s="515"/>
      <c r="AN12" s="516">
        <f t="shared" si="11"/>
        <v>0</v>
      </c>
      <c r="AO12" s="517">
        <f t="shared" si="123"/>
        <v>0</v>
      </c>
      <c r="AP12" s="515">
        <v>51.265822784810126</v>
      </c>
      <c r="AQ12" s="516">
        <f t="shared" si="12"/>
        <v>1.2233528083045417</v>
      </c>
      <c r="AR12" s="517">
        <f t="shared" si="124"/>
        <v>0</v>
      </c>
      <c r="AS12" s="515"/>
      <c r="AT12" s="516">
        <f t="shared" si="13"/>
        <v>0</v>
      </c>
      <c r="AU12" s="517">
        <f t="shared" si="125"/>
        <v>0</v>
      </c>
      <c r="AV12" s="515">
        <v>5.5499999999999972</v>
      </c>
      <c r="AW12" s="516">
        <f t="shared" si="14"/>
        <v>0.13243926883978421</v>
      </c>
      <c r="AX12" s="517">
        <f t="shared" si="126"/>
        <v>0</v>
      </c>
      <c r="AY12" s="515">
        <v>51.333333333333314</v>
      </c>
      <c r="AZ12" s="516">
        <f t="shared" si="15"/>
        <v>1.2249638078874938</v>
      </c>
      <c r="BA12" s="517">
        <f t="shared" si="127"/>
        <v>0</v>
      </c>
      <c r="BB12" s="515"/>
      <c r="BC12" s="516">
        <f t="shared" si="16"/>
        <v>0</v>
      </c>
      <c r="BD12" s="517">
        <f t="shared" si="128"/>
        <v>0</v>
      </c>
      <c r="BE12" s="515"/>
      <c r="BF12" s="516">
        <f t="shared" si="17"/>
        <v>0</v>
      </c>
      <c r="BG12" s="517">
        <f t="shared" si="129"/>
        <v>0</v>
      </c>
      <c r="BH12" s="515"/>
      <c r="BI12" s="516">
        <f t="shared" si="18"/>
        <v>0</v>
      </c>
      <c r="BJ12" s="517">
        <f t="shared" si="130"/>
        <v>0</v>
      </c>
      <c r="BK12" s="515"/>
      <c r="BL12" s="516">
        <f t="shared" si="19"/>
        <v>0</v>
      </c>
      <c r="BM12" s="517">
        <f t="shared" si="131"/>
        <v>0</v>
      </c>
      <c r="BN12" s="515"/>
      <c r="BO12" s="516">
        <f t="shared" si="20"/>
        <v>0</v>
      </c>
      <c r="BP12" s="517">
        <f t="shared" si="132"/>
        <v>0</v>
      </c>
      <c r="BQ12" s="515"/>
      <c r="BR12" s="516">
        <f t="shared" si="21"/>
        <v>0</v>
      </c>
      <c r="BS12" s="517">
        <f t="shared" si="133"/>
        <v>0</v>
      </c>
      <c r="BT12" s="515"/>
      <c r="BU12" s="516">
        <f t="shared" si="22"/>
        <v>0</v>
      </c>
      <c r="BV12" s="517">
        <f t="shared" si="134"/>
        <v>0</v>
      </c>
      <c r="BW12" s="515"/>
      <c r="BX12" s="516">
        <f t="shared" si="23"/>
        <v>0</v>
      </c>
      <c r="BY12" s="517">
        <f t="shared" si="135"/>
        <v>0</v>
      </c>
      <c r="BZ12" s="515"/>
      <c r="CA12" s="516">
        <f t="shared" si="24"/>
        <v>0</v>
      </c>
      <c r="CB12" s="517">
        <f t="shared" si="136"/>
        <v>0</v>
      </c>
      <c r="CC12" s="515"/>
      <c r="CD12" s="516">
        <f t="shared" si="25"/>
        <v>0</v>
      </c>
      <c r="CE12" s="517">
        <f t="shared" si="137"/>
        <v>0</v>
      </c>
      <c r="CF12" s="515">
        <v>0.60000000000000209</v>
      </c>
      <c r="CG12" s="516">
        <f t="shared" si="26"/>
        <v>1.4317758793490242E-2</v>
      </c>
      <c r="CH12" s="517">
        <f t="shared" si="138"/>
        <v>0</v>
      </c>
      <c r="CI12" s="515"/>
      <c r="CJ12" s="516">
        <f t="shared" si="27"/>
        <v>0</v>
      </c>
      <c r="CK12" s="517">
        <f t="shared" si="139"/>
        <v>0</v>
      </c>
      <c r="CL12" s="515"/>
      <c r="CM12" s="516">
        <f t="shared" si="28"/>
        <v>0</v>
      </c>
      <c r="CN12" s="517">
        <f t="shared" si="140"/>
        <v>0</v>
      </c>
      <c r="CO12" s="515"/>
      <c r="CP12" s="516">
        <f t="shared" si="29"/>
        <v>0</v>
      </c>
      <c r="CQ12" s="517">
        <f t="shared" si="141"/>
        <v>0</v>
      </c>
      <c r="CR12" s="515"/>
      <c r="CS12" s="516">
        <f t="shared" si="30"/>
        <v>0</v>
      </c>
      <c r="CT12" s="517">
        <f t="shared" si="142"/>
        <v>0</v>
      </c>
      <c r="CU12" s="515"/>
      <c r="CV12" s="516">
        <f t="shared" si="31"/>
        <v>0</v>
      </c>
      <c r="CW12" s="517">
        <f t="shared" si="143"/>
        <v>0</v>
      </c>
      <c r="CX12" s="515"/>
      <c r="CY12" s="516">
        <f t="shared" si="32"/>
        <v>0</v>
      </c>
      <c r="CZ12" s="517">
        <f t="shared" si="144"/>
        <v>0</v>
      </c>
      <c r="DA12" s="515"/>
      <c r="DB12" s="516">
        <f t="shared" si="33"/>
        <v>0</v>
      </c>
      <c r="DC12" s="517">
        <f t="shared" si="145"/>
        <v>0</v>
      </c>
      <c r="DD12" s="515"/>
      <c r="DE12" s="516">
        <f t="shared" si="34"/>
        <v>0</v>
      </c>
      <c r="DF12" s="517">
        <f t="shared" si="146"/>
        <v>0</v>
      </c>
      <c r="DG12" s="515"/>
      <c r="DH12" s="516">
        <f t="shared" si="35"/>
        <v>0</v>
      </c>
      <c r="DI12" s="517">
        <v>0</v>
      </c>
      <c r="DJ12" s="515"/>
      <c r="DK12" s="516">
        <f t="shared" si="36"/>
        <v>0</v>
      </c>
      <c r="DL12" s="517">
        <f t="shared" si="147"/>
        <v>0</v>
      </c>
      <c r="DM12" s="515"/>
      <c r="DN12" s="516">
        <f t="shared" si="37"/>
        <v>0</v>
      </c>
      <c r="DO12" s="517">
        <f t="shared" si="148"/>
        <v>0</v>
      </c>
      <c r="DP12" s="515"/>
      <c r="DQ12" s="516">
        <f t="shared" si="38"/>
        <v>0</v>
      </c>
      <c r="DR12" s="517">
        <f t="shared" si="149"/>
        <v>0</v>
      </c>
      <c r="DS12" s="515"/>
      <c r="DT12" s="516">
        <f t="shared" si="39"/>
        <v>0</v>
      </c>
      <c r="DU12" s="517">
        <f t="shared" si="150"/>
        <v>0</v>
      </c>
      <c r="DV12" s="515"/>
      <c r="DW12" s="516">
        <f t="shared" si="40"/>
        <v>0</v>
      </c>
      <c r="DX12" s="517">
        <f t="shared" si="151"/>
        <v>0</v>
      </c>
      <c r="DY12" s="515"/>
      <c r="DZ12" s="516">
        <f t="shared" si="41"/>
        <v>0</v>
      </c>
      <c r="EA12" s="517">
        <f t="shared" si="152"/>
        <v>0</v>
      </c>
      <c r="EB12" s="515"/>
      <c r="EC12" s="516">
        <f t="shared" si="42"/>
        <v>0</v>
      </c>
      <c r="ED12" s="517">
        <f t="shared" si="153"/>
        <v>0</v>
      </c>
      <c r="EE12" s="515">
        <v>14.534883720930225</v>
      </c>
      <c r="EF12" s="516">
        <f t="shared" si="43"/>
        <v>0.34684493201284361</v>
      </c>
      <c r="EG12" s="517">
        <f t="shared" si="154"/>
        <v>0</v>
      </c>
      <c r="EH12" s="515">
        <v>23.482352941176487</v>
      </c>
      <c r="EI12" s="516">
        <f t="shared" si="44"/>
        <v>0.56035777552561661</v>
      </c>
      <c r="EJ12" s="517">
        <f t="shared" si="155"/>
        <v>0</v>
      </c>
      <c r="EK12" s="515">
        <v>2.7</v>
      </c>
      <c r="EL12" s="516">
        <f t="shared" si="45"/>
        <v>6.4429914570705876E-2</v>
      </c>
      <c r="EM12" s="517">
        <f t="shared" si="156"/>
        <v>0</v>
      </c>
      <c r="EN12" s="515"/>
      <c r="EO12" s="516">
        <f t="shared" si="46"/>
        <v>0</v>
      </c>
      <c r="EP12" s="517">
        <f t="shared" si="157"/>
        <v>0</v>
      </c>
      <c r="EQ12" s="515"/>
      <c r="ER12" s="516">
        <f t="shared" si="47"/>
        <v>0</v>
      </c>
      <c r="ES12" s="517">
        <f t="shared" si="158"/>
        <v>0</v>
      </c>
      <c r="ET12" s="515"/>
      <c r="EU12" s="516">
        <f t="shared" si="48"/>
        <v>0</v>
      </c>
      <c r="EV12" s="517">
        <f t="shared" si="159"/>
        <v>0</v>
      </c>
      <c r="EW12" s="515"/>
      <c r="EX12" s="516">
        <f t="shared" si="49"/>
        <v>0</v>
      </c>
      <c r="EY12" s="517">
        <f t="shared" si="160"/>
        <v>0</v>
      </c>
      <c r="EZ12" s="515"/>
      <c r="FA12" s="516">
        <f t="shared" si="50"/>
        <v>0</v>
      </c>
      <c r="FB12" s="517">
        <f t="shared" si="161"/>
        <v>0</v>
      </c>
      <c r="FC12" s="515"/>
      <c r="FD12" s="516">
        <f t="shared" si="51"/>
        <v>0</v>
      </c>
      <c r="FE12" s="517">
        <f t="shared" si="162"/>
        <v>0</v>
      </c>
      <c r="FF12" s="515"/>
      <c r="FG12" s="516">
        <f t="shared" si="52"/>
        <v>0</v>
      </c>
      <c r="FH12" s="517">
        <f t="shared" si="163"/>
        <v>0</v>
      </c>
      <c r="FI12" s="515"/>
      <c r="FJ12" s="516">
        <f t="shared" si="53"/>
        <v>0</v>
      </c>
      <c r="FK12" s="517">
        <f t="shared" si="164"/>
        <v>0</v>
      </c>
      <c r="FL12" s="515"/>
      <c r="FM12" s="516">
        <f t="shared" si="54"/>
        <v>0</v>
      </c>
      <c r="FN12" s="517">
        <f t="shared" si="165"/>
        <v>0</v>
      </c>
      <c r="FO12" s="515"/>
      <c r="FP12" s="516">
        <f t="shared" si="55"/>
        <v>0</v>
      </c>
      <c r="FQ12" s="517">
        <f t="shared" si="166"/>
        <v>0</v>
      </c>
      <c r="FR12" s="515"/>
      <c r="FS12" s="516">
        <f t="shared" si="56"/>
        <v>0</v>
      </c>
      <c r="FT12" s="517">
        <f t="shared" si="167"/>
        <v>0</v>
      </c>
      <c r="FU12" s="515"/>
      <c r="FV12" s="516">
        <f t="shared" si="57"/>
        <v>0</v>
      </c>
      <c r="FW12" s="517">
        <f t="shared" si="168"/>
        <v>0</v>
      </c>
      <c r="FX12" s="515"/>
      <c r="FY12" s="516">
        <f t="shared" si="58"/>
        <v>0</v>
      </c>
      <c r="FZ12" s="517">
        <f t="shared" si="169"/>
        <v>0</v>
      </c>
      <c r="GA12" s="515"/>
      <c r="GB12" s="516">
        <f t="shared" si="59"/>
        <v>0</v>
      </c>
      <c r="GC12" s="517">
        <f t="shared" si="170"/>
        <v>0</v>
      </c>
      <c r="GD12" s="515"/>
      <c r="GE12" s="516">
        <f t="shared" si="60"/>
        <v>0</v>
      </c>
      <c r="GF12" s="517">
        <f t="shared" si="171"/>
        <v>0</v>
      </c>
      <c r="GG12" s="515"/>
      <c r="GH12" s="516">
        <f t="shared" si="61"/>
        <v>0</v>
      </c>
      <c r="GI12" s="517">
        <f t="shared" si="172"/>
        <v>0</v>
      </c>
      <c r="GJ12" s="515"/>
      <c r="GK12" s="516">
        <f t="shared" si="62"/>
        <v>0</v>
      </c>
      <c r="GL12" s="517">
        <f t="shared" si="173"/>
        <v>0</v>
      </c>
      <c r="GM12" s="515"/>
      <c r="GN12" s="516">
        <f t="shared" si="63"/>
        <v>0</v>
      </c>
      <c r="GO12" s="517">
        <f t="shared" si="174"/>
        <v>0</v>
      </c>
      <c r="GP12" s="515"/>
      <c r="GQ12" s="516">
        <f t="shared" si="64"/>
        <v>0</v>
      </c>
      <c r="GR12" s="517">
        <f t="shared" si="175"/>
        <v>0</v>
      </c>
      <c r="GS12" s="515"/>
      <c r="GT12" s="516">
        <f t="shared" si="65"/>
        <v>0</v>
      </c>
      <c r="GU12" s="517">
        <f t="shared" si="176"/>
        <v>0</v>
      </c>
      <c r="GV12" s="515"/>
      <c r="GW12" s="516">
        <f t="shared" si="66"/>
        <v>0</v>
      </c>
      <c r="GX12" s="517">
        <f t="shared" si="177"/>
        <v>0</v>
      </c>
      <c r="GY12" s="515"/>
      <c r="GZ12" s="516">
        <f t="shared" si="67"/>
        <v>0</v>
      </c>
      <c r="HA12" s="517">
        <f t="shared" si="178"/>
        <v>0</v>
      </c>
      <c r="HB12" s="515"/>
      <c r="HC12" s="516">
        <f t="shared" si="68"/>
        <v>0</v>
      </c>
      <c r="HD12" s="517">
        <f t="shared" si="179"/>
        <v>0</v>
      </c>
      <c r="HE12" s="515"/>
      <c r="HF12" s="516">
        <f t="shared" si="69"/>
        <v>0</v>
      </c>
      <c r="HG12" s="517">
        <f t="shared" si="180"/>
        <v>0</v>
      </c>
      <c r="HH12" s="515"/>
      <c r="HI12" s="516">
        <f t="shared" si="70"/>
        <v>0</v>
      </c>
      <c r="HJ12" s="517">
        <f t="shared" si="181"/>
        <v>0</v>
      </c>
      <c r="HK12" s="515"/>
      <c r="HL12" s="516">
        <f t="shared" si="71"/>
        <v>0</v>
      </c>
      <c r="HM12" s="517">
        <f t="shared" si="182"/>
        <v>0</v>
      </c>
      <c r="HN12" s="515"/>
      <c r="HO12" s="516">
        <f t="shared" si="72"/>
        <v>0</v>
      </c>
      <c r="HP12" s="517">
        <f t="shared" si="183"/>
        <v>0</v>
      </c>
      <c r="HQ12" s="515"/>
      <c r="HR12" s="516">
        <f t="shared" si="73"/>
        <v>0</v>
      </c>
      <c r="HS12" s="517">
        <f t="shared" si="184"/>
        <v>0</v>
      </c>
      <c r="HT12" s="515"/>
      <c r="HU12" s="516">
        <f t="shared" si="74"/>
        <v>0</v>
      </c>
      <c r="HV12" s="517">
        <f t="shared" si="185"/>
        <v>0</v>
      </c>
      <c r="HW12" s="515"/>
      <c r="HX12" s="516">
        <f t="shared" si="75"/>
        <v>0</v>
      </c>
      <c r="HY12" s="517">
        <f t="shared" si="186"/>
        <v>0</v>
      </c>
      <c r="HZ12" s="515"/>
      <c r="IA12" s="516">
        <f t="shared" si="76"/>
        <v>0</v>
      </c>
      <c r="IB12" s="517">
        <f t="shared" si="187"/>
        <v>0</v>
      </c>
      <c r="IC12" s="515"/>
      <c r="ID12" s="516">
        <f t="shared" si="77"/>
        <v>0</v>
      </c>
      <c r="IE12" s="517">
        <f t="shared" si="188"/>
        <v>0</v>
      </c>
      <c r="IF12" s="515"/>
      <c r="IG12" s="516">
        <f t="shared" si="78"/>
        <v>0</v>
      </c>
      <c r="IH12" s="517">
        <f t="shared" si="189"/>
        <v>0</v>
      </c>
      <c r="II12" s="515"/>
      <c r="IJ12" s="516">
        <f t="shared" si="79"/>
        <v>0</v>
      </c>
      <c r="IK12" s="517">
        <f t="shared" si="190"/>
        <v>0</v>
      </c>
      <c r="IL12" s="515"/>
      <c r="IM12" s="516">
        <f t="shared" si="80"/>
        <v>0</v>
      </c>
      <c r="IN12" s="517">
        <f t="shared" si="191"/>
        <v>0</v>
      </c>
      <c r="IO12" s="515"/>
      <c r="IP12" s="516">
        <f t="shared" si="81"/>
        <v>0</v>
      </c>
      <c r="IQ12" s="517">
        <f t="shared" si="192"/>
        <v>0</v>
      </c>
      <c r="IR12" s="515"/>
      <c r="IS12" s="516">
        <f t="shared" si="82"/>
        <v>0</v>
      </c>
      <c r="IT12" s="517">
        <f t="shared" si="193"/>
        <v>0</v>
      </c>
      <c r="IU12" s="515"/>
      <c r="IV12" s="516">
        <f t="shared" si="83"/>
        <v>0</v>
      </c>
      <c r="IW12" s="517">
        <f t="shared" si="194"/>
        <v>0</v>
      </c>
      <c r="IX12" s="515"/>
      <c r="IY12" s="516">
        <f t="shared" si="84"/>
        <v>0</v>
      </c>
      <c r="IZ12" s="517">
        <f t="shared" si="195"/>
        <v>0</v>
      </c>
      <c r="JA12" s="515"/>
      <c r="JB12" s="516">
        <f t="shared" si="85"/>
        <v>0</v>
      </c>
      <c r="JC12" s="517">
        <f t="shared" si="196"/>
        <v>0</v>
      </c>
      <c r="JD12" s="515"/>
      <c r="JE12" s="516">
        <f t="shared" si="86"/>
        <v>0</v>
      </c>
      <c r="JF12" s="517">
        <f t="shared" si="197"/>
        <v>0</v>
      </c>
      <c r="JG12" s="515"/>
      <c r="JH12" s="516">
        <f t="shared" si="87"/>
        <v>0</v>
      </c>
      <c r="JI12" s="517">
        <f t="shared" si="198"/>
        <v>0</v>
      </c>
      <c r="JJ12" s="515"/>
      <c r="JK12" s="517" t="str">
        <f t="shared" si="88"/>
        <v>0</v>
      </c>
      <c r="JL12" s="517" t="str">
        <f t="shared" si="89"/>
        <v>0</v>
      </c>
      <c r="JM12" s="515"/>
      <c r="JN12" s="517" t="str">
        <f t="shared" si="90"/>
        <v>0</v>
      </c>
      <c r="JO12" s="517" t="str">
        <f t="shared" si="91"/>
        <v>0</v>
      </c>
      <c r="JP12" s="515"/>
      <c r="JQ12" s="517" t="str">
        <f t="shared" si="92"/>
        <v>0</v>
      </c>
      <c r="JR12" s="517" t="str">
        <f t="shared" si="93"/>
        <v>0</v>
      </c>
      <c r="JS12" s="515"/>
      <c r="JT12" s="517" t="str">
        <f t="shared" si="94"/>
        <v>0</v>
      </c>
      <c r="JU12" s="517" t="str">
        <f t="shared" si="95"/>
        <v>0</v>
      </c>
      <c r="JV12" s="515"/>
      <c r="JW12" s="517" t="str">
        <f t="shared" si="96"/>
        <v>0</v>
      </c>
      <c r="JX12" s="517" t="str">
        <f t="shared" si="97"/>
        <v>0</v>
      </c>
      <c r="JY12" s="515"/>
      <c r="JZ12" s="517" t="str">
        <f t="shared" si="98"/>
        <v>0</v>
      </c>
      <c r="KA12" s="517" t="str">
        <f t="shared" si="99"/>
        <v>0</v>
      </c>
      <c r="KB12" s="515"/>
      <c r="KC12" s="517" t="str">
        <f t="shared" si="100"/>
        <v>0</v>
      </c>
      <c r="KD12" s="517" t="str">
        <f t="shared" si="101"/>
        <v>0</v>
      </c>
      <c r="KE12" s="515"/>
      <c r="KF12" s="517" t="str">
        <f t="shared" si="102"/>
        <v>0</v>
      </c>
      <c r="KG12" s="517" t="str">
        <f t="shared" si="103"/>
        <v>0</v>
      </c>
      <c r="KH12" s="515"/>
      <c r="KI12" s="517" t="str">
        <f t="shared" si="104"/>
        <v>0</v>
      </c>
      <c r="KJ12" s="517" t="str">
        <f t="shared" si="105"/>
        <v>0</v>
      </c>
      <c r="KK12" s="515"/>
      <c r="KL12" s="517" t="str">
        <f t="shared" si="106"/>
        <v>0</v>
      </c>
      <c r="KM12" s="517" t="str">
        <f t="shared" si="107"/>
        <v>0</v>
      </c>
      <c r="KN12" s="515"/>
      <c r="KO12" s="517" t="str">
        <f t="shared" si="108"/>
        <v>0</v>
      </c>
      <c r="KP12" s="517" t="str">
        <f t="shared" si="109"/>
        <v>0</v>
      </c>
      <c r="KQ12" s="515"/>
      <c r="KR12" s="517" t="str">
        <f t="shared" si="110"/>
        <v>0</v>
      </c>
      <c r="KS12" s="517" t="str">
        <f t="shared" si="111"/>
        <v>0</v>
      </c>
      <c r="KT12" s="517">
        <f t="shared" si="201"/>
        <v>0</v>
      </c>
      <c r="KU12" s="517">
        <f t="shared" si="202"/>
        <v>0</v>
      </c>
      <c r="KV12" s="263">
        <f t="shared" si="199"/>
        <v>503.95403812908722</v>
      </c>
    </row>
    <row r="13" spans="1:308">
      <c r="A13" s="264">
        <f t="shared" si="200"/>
        <v>45843</v>
      </c>
      <c r="B13" s="265" t="str">
        <f>+Report1!B13</f>
        <v>Facial</v>
      </c>
      <c r="C13" s="265" t="str">
        <f>+Report1!C13</f>
        <v>12/12,5/13</v>
      </c>
      <c r="D13" s="266">
        <f>+Report1!P13</f>
        <v>43.317999999999998</v>
      </c>
      <c r="E13" s="553">
        <f>+Report1!R13</f>
        <v>41.37</v>
      </c>
      <c r="F13" s="515"/>
      <c r="G13" s="516">
        <f t="shared" si="0"/>
        <v>0</v>
      </c>
      <c r="H13" s="517">
        <f t="shared" si="112"/>
        <v>0</v>
      </c>
      <c r="I13" s="515">
        <v>302.32558139534876</v>
      </c>
      <c r="J13" s="516">
        <f t="shared" si="1"/>
        <v>7.307845815696127</v>
      </c>
      <c r="K13" s="517">
        <f t="shared" si="113"/>
        <v>0</v>
      </c>
      <c r="L13" s="515"/>
      <c r="M13" s="516">
        <f t="shared" si="2"/>
        <v>0</v>
      </c>
      <c r="N13" s="517">
        <f t="shared" si="114"/>
        <v>0</v>
      </c>
      <c r="O13" s="515">
        <v>9.0000000000000142</v>
      </c>
      <c r="P13" s="516">
        <f t="shared" si="3"/>
        <v>0.21754894851341589</v>
      </c>
      <c r="Q13" s="517">
        <f t="shared" si="115"/>
        <v>0</v>
      </c>
      <c r="R13" s="515"/>
      <c r="S13" s="516">
        <f t="shared" si="4"/>
        <v>0</v>
      </c>
      <c r="T13" s="517">
        <f t="shared" si="116"/>
        <v>0</v>
      </c>
      <c r="U13" s="515">
        <v>7.6875000000000142</v>
      </c>
      <c r="V13" s="516">
        <f t="shared" si="5"/>
        <v>0.18582306018854278</v>
      </c>
      <c r="W13" s="517">
        <f t="shared" si="117"/>
        <v>0</v>
      </c>
      <c r="X13" s="515"/>
      <c r="Y13" s="516">
        <f t="shared" si="6"/>
        <v>0</v>
      </c>
      <c r="Z13" s="517">
        <f t="shared" si="118"/>
        <v>0</v>
      </c>
      <c r="AA13" s="515">
        <v>9.3749999999999964</v>
      </c>
      <c r="AB13" s="516">
        <f t="shared" si="7"/>
        <v>0.22661348803480777</v>
      </c>
      <c r="AC13" s="517">
        <f t="shared" si="119"/>
        <v>0</v>
      </c>
      <c r="AD13" s="515"/>
      <c r="AE13" s="516">
        <f t="shared" si="8"/>
        <v>0</v>
      </c>
      <c r="AF13" s="517">
        <f t="shared" si="120"/>
        <v>0</v>
      </c>
      <c r="AG13" s="515"/>
      <c r="AH13" s="516">
        <f t="shared" si="9"/>
        <v>0</v>
      </c>
      <c r="AI13" s="517">
        <f t="shared" si="121"/>
        <v>0</v>
      </c>
      <c r="AJ13" s="515"/>
      <c r="AK13" s="516">
        <f t="shared" si="10"/>
        <v>0</v>
      </c>
      <c r="AL13" s="517">
        <f t="shared" si="122"/>
        <v>0</v>
      </c>
      <c r="AM13" s="515"/>
      <c r="AN13" s="516">
        <f t="shared" si="11"/>
        <v>0</v>
      </c>
      <c r="AO13" s="517">
        <f t="shared" si="123"/>
        <v>0</v>
      </c>
      <c r="AP13" s="515">
        <v>45.569620253164572</v>
      </c>
      <c r="AQ13" s="516">
        <f t="shared" si="12"/>
        <v>1.1015136633590663</v>
      </c>
      <c r="AR13" s="517">
        <f t="shared" si="124"/>
        <v>0</v>
      </c>
      <c r="AS13" s="515"/>
      <c r="AT13" s="516">
        <f t="shared" si="13"/>
        <v>0</v>
      </c>
      <c r="AU13" s="517">
        <f t="shared" si="125"/>
        <v>0</v>
      </c>
      <c r="AV13" s="515">
        <v>8.3250000000000028</v>
      </c>
      <c r="AW13" s="516">
        <f t="shared" si="14"/>
        <v>0.20123277737490944</v>
      </c>
      <c r="AX13" s="517">
        <f t="shared" si="126"/>
        <v>0</v>
      </c>
      <c r="AY13" s="515">
        <v>55.999999999999972</v>
      </c>
      <c r="AZ13" s="516">
        <f t="shared" si="15"/>
        <v>1.3536379018612514</v>
      </c>
      <c r="BA13" s="517">
        <f t="shared" si="127"/>
        <v>0</v>
      </c>
      <c r="BB13" s="515"/>
      <c r="BC13" s="516">
        <f t="shared" si="16"/>
        <v>0</v>
      </c>
      <c r="BD13" s="517">
        <f t="shared" si="128"/>
        <v>0</v>
      </c>
      <c r="BE13" s="515"/>
      <c r="BF13" s="516">
        <f t="shared" si="17"/>
        <v>0</v>
      </c>
      <c r="BG13" s="517">
        <f t="shared" si="129"/>
        <v>0</v>
      </c>
      <c r="BH13" s="515"/>
      <c r="BI13" s="516">
        <f t="shared" si="18"/>
        <v>0</v>
      </c>
      <c r="BJ13" s="517">
        <f t="shared" si="130"/>
        <v>0</v>
      </c>
      <c r="BK13" s="515"/>
      <c r="BL13" s="516">
        <f t="shared" si="19"/>
        <v>0</v>
      </c>
      <c r="BM13" s="517">
        <f t="shared" si="131"/>
        <v>0</v>
      </c>
      <c r="BN13" s="515"/>
      <c r="BO13" s="516">
        <f t="shared" si="20"/>
        <v>0</v>
      </c>
      <c r="BP13" s="517">
        <f t="shared" si="132"/>
        <v>0</v>
      </c>
      <c r="BQ13" s="515"/>
      <c r="BR13" s="516">
        <f t="shared" si="21"/>
        <v>0</v>
      </c>
      <c r="BS13" s="517">
        <f t="shared" si="133"/>
        <v>0</v>
      </c>
      <c r="BT13" s="515"/>
      <c r="BU13" s="516">
        <f t="shared" si="22"/>
        <v>0</v>
      </c>
      <c r="BV13" s="517">
        <f t="shared" si="134"/>
        <v>0</v>
      </c>
      <c r="BW13" s="515"/>
      <c r="BX13" s="516">
        <f t="shared" si="23"/>
        <v>0</v>
      </c>
      <c r="BY13" s="517">
        <f t="shared" si="135"/>
        <v>0</v>
      </c>
      <c r="BZ13" s="515"/>
      <c r="CA13" s="516">
        <f t="shared" si="24"/>
        <v>0</v>
      </c>
      <c r="CB13" s="517">
        <f t="shared" si="136"/>
        <v>0</v>
      </c>
      <c r="CC13" s="515"/>
      <c r="CD13" s="516">
        <f t="shared" si="25"/>
        <v>0</v>
      </c>
      <c r="CE13" s="517">
        <f t="shared" si="137"/>
        <v>0</v>
      </c>
      <c r="CF13" s="515">
        <v>0.59999999999999964</v>
      </c>
      <c r="CG13" s="516">
        <f t="shared" si="26"/>
        <v>1.4503263234227693E-2</v>
      </c>
      <c r="CH13" s="517">
        <f t="shared" si="138"/>
        <v>0</v>
      </c>
      <c r="CI13" s="515"/>
      <c r="CJ13" s="516">
        <f t="shared" si="27"/>
        <v>0</v>
      </c>
      <c r="CK13" s="517">
        <f t="shared" si="139"/>
        <v>0</v>
      </c>
      <c r="CL13" s="515"/>
      <c r="CM13" s="516">
        <f t="shared" si="28"/>
        <v>0</v>
      </c>
      <c r="CN13" s="517">
        <f t="shared" si="140"/>
        <v>0</v>
      </c>
      <c r="CO13" s="515"/>
      <c r="CP13" s="516">
        <f t="shared" si="29"/>
        <v>0</v>
      </c>
      <c r="CQ13" s="517">
        <f t="shared" si="141"/>
        <v>0</v>
      </c>
      <c r="CR13" s="515"/>
      <c r="CS13" s="516">
        <f t="shared" si="30"/>
        <v>0</v>
      </c>
      <c r="CT13" s="517">
        <f t="shared" si="142"/>
        <v>0</v>
      </c>
      <c r="CU13" s="515"/>
      <c r="CV13" s="516">
        <f t="shared" si="31"/>
        <v>0</v>
      </c>
      <c r="CW13" s="517">
        <f t="shared" si="143"/>
        <v>0</v>
      </c>
      <c r="CX13" s="515"/>
      <c r="CY13" s="516">
        <f t="shared" si="32"/>
        <v>0</v>
      </c>
      <c r="CZ13" s="517">
        <f t="shared" si="144"/>
        <v>0</v>
      </c>
      <c r="DA13" s="515"/>
      <c r="DB13" s="516">
        <f t="shared" si="33"/>
        <v>0</v>
      </c>
      <c r="DC13" s="517">
        <f t="shared" si="145"/>
        <v>0</v>
      </c>
      <c r="DD13" s="515"/>
      <c r="DE13" s="516">
        <f t="shared" si="34"/>
        <v>0</v>
      </c>
      <c r="DF13" s="517">
        <f t="shared" si="146"/>
        <v>0</v>
      </c>
      <c r="DG13" s="515"/>
      <c r="DH13" s="516">
        <f t="shared" si="35"/>
        <v>0</v>
      </c>
      <c r="DI13" s="517">
        <v>0</v>
      </c>
      <c r="DJ13" s="515"/>
      <c r="DK13" s="516">
        <f t="shared" si="36"/>
        <v>0</v>
      </c>
      <c r="DL13" s="517">
        <f t="shared" si="147"/>
        <v>0</v>
      </c>
      <c r="DM13" s="515"/>
      <c r="DN13" s="516">
        <f t="shared" si="37"/>
        <v>0</v>
      </c>
      <c r="DO13" s="517">
        <f t="shared" si="148"/>
        <v>0</v>
      </c>
      <c r="DP13" s="515"/>
      <c r="DQ13" s="516">
        <f t="shared" si="38"/>
        <v>0</v>
      </c>
      <c r="DR13" s="517">
        <f t="shared" si="149"/>
        <v>0</v>
      </c>
      <c r="DS13" s="515"/>
      <c r="DT13" s="516">
        <f t="shared" si="39"/>
        <v>0</v>
      </c>
      <c r="DU13" s="517">
        <f t="shared" si="150"/>
        <v>0</v>
      </c>
      <c r="DV13" s="515"/>
      <c r="DW13" s="516">
        <f t="shared" si="40"/>
        <v>0</v>
      </c>
      <c r="DX13" s="517">
        <f t="shared" si="151"/>
        <v>0</v>
      </c>
      <c r="DY13" s="515"/>
      <c r="DZ13" s="516">
        <f t="shared" si="41"/>
        <v>0</v>
      </c>
      <c r="EA13" s="517">
        <f t="shared" si="152"/>
        <v>0</v>
      </c>
      <c r="EB13" s="515"/>
      <c r="EC13" s="516">
        <f t="shared" si="42"/>
        <v>0</v>
      </c>
      <c r="ED13" s="517">
        <f t="shared" si="153"/>
        <v>0</v>
      </c>
      <c r="EE13" s="515">
        <v>14.534883720930281</v>
      </c>
      <c r="EF13" s="516">
        <f t="shared" si="43"/>
        <v>0.35133874113923813</v>
      </c>
      <c r="EG13" s="517">
        <f t="shared" si="154"/>
        <v>0</v>
      </c>
      <c r="EH13" s="515">
        <v>26.417647058823491</v>
      </c>
      <c r="EI13" s="516">
        <f t="shared" si="44"/>
        <v>0.63857014887173058</v>
      </c>
      <c r="EJ13" s="517">
        <f t="shared" si="155"/>
        <v>0</v>
      </c>
      <c r="EK13" s="515">
        <v>3.2000000000000028</v>
      </c>
      <c r="EL13" s="516">
        <f t="shared" si="45"/>
        <v>7.7350737249214485E-2</v>
      </c>
      <c r="EM13" s="517">
        <f t="shared" si="156"/>
        <v>0</v>
      </c>
      <c r="EN13" s="515"/>
      <c r="EO13" s="516">
        <f t="shared" si="46"/>
        <v>0</v>
      </c>
      <c r="EP13" s="517">
        <f t="shared" si="157"/>
        <v>0</v>
      </c>
      <c r="EQ13" s="515"/>
      <c r="ER13" s="516">
        <f t="shared" si="47"/>
        <v>0</v>
      </c>
      <c r="ES13" s="517">
        <f t="shared" si="158"/>
        <v>0</v>
      </c>
      <c r="ET13" s="515"/>
      <c r="EU13" s="516">
        <f t="shared" si="48"/>
        <v>0</v>
      </c>
      <c r="EV13" s="517">
        <f t="shared" si="159"/>
        <v>0</v>
      </c>
      <c r="EW13" s="515"/>
      <c r="EX13" s="516">
        <f t="shared" si="49"/>
        <v>0</v>
      </c>
      <c r="EY13" s="517">
        <f t="shared" si="160"/>
        <v>0</v>
      </c>
      <c r="EZ13" s="515"/>
      <c r="FA13" s="516">
        <f t="shared" si="50"/>
        <v>0</v>
      </c>
      <c r="FB13" s="517">
        <f t="shared" si="161"/>
        <v>0</v>
      </c>
      <c r="FC13" s="515"/>
      <c r="FD13" s="516">
        <f t="shared" si="51"/>
        <v>0</v>
      </c>
      <c r="FE13" s="517">
        <f t="shared" si="162"/>
        <v>0</v>
      </c>
      <c r="FF13" s="515"/>
      <c r="FG13" s="516">
        <f t="shared" si="52"/>
        <v>0</v>
      </c>
      <c r="FH13" s="517">
        <f t="shared" si="163"/>
        <v>0</v>
      </c>
      <c r="FI13" s="515"/>
      <c r="FJ13" s="516">
        <f t="shared" si="53"/>
        <v>0</v>
      </c>
      <c r="FK13" s="517">
        <f t="shared" si="164"/>
        <v>0</v>
      </c>
      <c r="FL13" s="515"/>
      <c r="FM13" s="516">
        <f t="shared" si="54"/>
        <v>0</v>
      </c>
      <c r="FN13" s="517">
        <f t="shared" si="165"/>
        <v>0</v>
      </c>
      <c r="FO13" s="515"/>
      <c r="FP13" s="516">
        <f t="shared" si="55"/>
        <v>0</v>
      </c>
      <c r="FQ13" s="517">
        <f t="shared" si="166"/>
        <v>0</v>
      </c>
      <c r="FR13" s="515"/>
      <c r="FS13" s="516">
        <f t="shared" si="56"/>
        <v>0</v>
      </c>
      <c r="FT13" s="517">
        <f t="shared" si="167"/>
        <v>0</v>
      </c>
      <c r="FU13" s="515"/>
      <c r="FV13" s="516">
        <f t="shared" si="57"/>
        <v>0</v>
      </c>
      <c r="FW13" s="517">
        <f t="shared" si="168"/>
        <v>0</v>
      </c>
      <c r="FX13" s="515"/>
      <c r="FY13" s="516">
        <f t="shared" si="58"/>
        <v>0</v>
      </c>
      <c r="FZ13" s="517">
        <f t="shared" si="169"/>
        <v>0</v>
      </c>
      <c r="GA13" s="515"/>
      <c r="GB13" s="516">
        <f t="shared" si="59"/>
        <v>0</v>
      </c>
      <c r="GC13" s="517">
        <f t="shared" si="170"/>
        <v>0</v>
      </c>
      <c r="GD13" s="515"/>
      <c r="GE13" s="516">
        <f t="shared" si="60"/>
        <v>0</v>
      </c>
      <c r="GF13" s="517">
        <f t="shared" si="171"/>
        <v>0</v>
      </c>
      <c r="GG13" s="515"/>
      <c r="GH13" s="516">
        <f t="shared" si="61"/>
        <v>0</v>
      </c>
      <c r="GI13" s="517">
        <f t="shared" si="172"/>
        <v>0</v>
      </c>
      <c r="GJ13" s="515"/>
      <c r="GK13" s="516">
        <f t="shared" si="62"/>
        <v>0</v>
      </c>
      <c r="GL13" s="517">
        <f t="shared" si="173"/>
        <v>0</v>
      </c>
      <c r="GM13" s="515"/>
      <c r="GN13" s="516">
        <f t="shared" si="63"/>
        <v>0</v>
      </c>
      <c r="GO13" s="517">
        <f t="shared" si="174"/>
        <v>0</v>
      </c>
      <c r="GP13" s="515"/>
      <c r="GQ13" s="516">
        <f t="shared" si="64"/>
        <v>0</v>
      </c>
      <c r="GR13" s="517">
        <f t="shared" si="175"/>
        <v>0</v>
      </c>
      <c r="GS13" s="515"/>
      <c r="GT13" s="516">
        <f t="shared" si="65"/>
        <v>0</v>
      </c>
      <c r="GU13" s="517">
        <f t="shared" si="176"/>
        <v>0</v>
      </c>
      <c r="GV13" s="515"/>
      <c r="GW13" s="516">
        <f t="shared" si="66"/>
        <v>0</v>
      </c>
      <c r="GX13" s="517">
        <f t="shared" si="177"/>
        <v>0</v>
      </c>
      <c r="GY13" s="515"/>
      <c r="GZ13" s="516">
        <f t="shared" si="67"/>
        <v>0</v>
      </c>
      <c r="HA13" s="517">
        <f t="shared" si="178"/>
        <v>0</v>
      </c>
      <c r="HB13" s="515"/>
      <c r="HC13" s="516">
        <f t="shared" si="68"/>
        <v>0</v>
      </c>
      <c r="HD13" s="517">
        <f t="shared" si="179"/>
        <v>0</v>
      </c>
      <c r="HE13" s="515"/>
      <c r="HF13" s="516">
        <f t="shared" si="69"/>
        <v>0</v>
      </c>
      <c r="HG13" s="517">
        <f t="shared" si="180"/>
        <v>0</v>
      </c>
      <c r="HH13" s="515"/>
      <c r="HI13" s="516">
        <f t="shared" si="70"/>
        <v>0</v>
      </c>
      <c r="HJ13" s="517">
        <f t="shared" si="181"/>
        <v>0</v>
      </c>
      <c r="HK13" s="515"/>
      <c r="HL13" s="516">
        <f t="shared" si="71"/>
        <v>0</v>
      </c>
      <c r="HM13" s="517">
        <f t="shared" si="182"/>
        <v>0</v>
      </c>
      <c r="HN13" s="515"/>
      <c r="HO13" s="516">
        <f t="shared" si="72"/>
        <v>0</v>
      </c>
      <c r="HP13" s="517">
        <f t="shared" si="183"/>
        <v>0</v>
      </c>
      <c r="HQ13" s="515"/>
      <c r="HR13" s="516">
        <f t="shared" si="73"/>
        <v>0</v>
      </c>
      <c r="HS13" s="517">
        <f t="shared" si="184"/>
        <v>0</v>
      </c>
      <c r="HT13" s="515"/>
      <c r="HU13" s="516">
        <f t="shared" si="74"/>
        <v>0</v>
      </c>
      <c r="HV13" s="517">
        <f t="shared" si="185"/>
        <v>0</v>
      </c>
      <c r="HW13" s="515"/>
      <c r="HX13" s="516">
        <f t="shared" si="75"/>
        <v>0</v>
      </c>
      <c r="HY13" s="517">
        <f t="shared" si="186"/>
        <v>0</v>
      </c>
      <c r="HZ13" s="515"/>
      <c r="IA13" s="516">
        <f t="shared" si="76"/>
        <v>0</v>
      </c>
      <c r="IB13" s="517">
        <f t="shared" si="187"/>
        <v>0</v>
      </c>
      <c r="IC13" s="515"/>
      <c r="ID13" s="516">
        <f t="shared" si="77"/>
        <v>0</v>
      </c>
      <c r="IE13" s="517">
        <f t="shared" si="188"/>
        <v>0</v>
      </c>
      <c r="IF13" s="515"/>
      <c r="IG13" s="516">
        <f t="shared" si="78"/>
        <v>0</v>
      </c>
      <c r="IH13" s="517">
        <f t="shared" si="189"/>
        <v>0</v>
      </c>
      <c r="II13" s="515"/>
      <c r="IJ13" s="516">
        <f t="shared" si="79"/>
        <v>0</v>
      </c>
      <c r="IK13" s="517">
        <f t="shared" si="190"/>
        <v>0</v>
      </c>
      <c r="IL13" s="515"/>
      <c r="IM13" s="516">
        <f t="shared" si="80"/>
        <v>0</v>
      </c>
      <c r="IN13" s="517">
        <f t="shared" si="191"/>
        <v>0</v>
      </c>
      <c r="IO13" s="515"/>
      <c r="IP13" s="516">
        <f t="shared" si="81"/>
        <v>0</v>
      </c>
      <c r="IQ13" s="517">
        <f t="shared" si="192"/>
        <v>0</v>
      </c>
      <c r="IR13" s="515"/>
      <c r="IS13" s="516">
        <f t="shared" si="82"/>
        <v>0</v>
      </c>
      <c r="IT13" s="517">
        <f t="shared" si="193"/>
        <v>0</v>
      </c>
      <c r="IU13" s="515"/>
      <c r="IV13" s="516">
        <f t="shared" si="83"/>
        <v>0</v>
      </c>
      <c r="IW13" s="517">
        <f t="shared" si="194"/>
        <v>0</v>
      </c>
      <c r="IX13" s="515"/>
      <c r="IY13" s="516">
        <f t="shared" si="84"/>
        <v>0</v>
      </c>
      <c r="IZ13" s="517">
        <f t="shared" si="195"/>
        <v>0</v>
      </c>
      <c r="JA13" s="515"/>
      <c r="JB13" s="516">
        <f t="shared" si="85"/>
        <v>0</v>
      </c>
      <c r="JC13" s="517">
        <f t="shared" si="196"/>
        <v>0</v>
      </c>
      <c r="JD13" s="515"/>
      <c r="JE13" s="516">
        <f t="shared" si="86"/>
        <v>0</v>
      </c>
      <c r="JF13" s="517">
        <f t="shared" si="197"/>
        <v>0</v>
      </c>
      <c r="JG13" s="515"/>
      <c r="JH13" s="516">
        <f t="shared" si="87"/>
        <v>0</v>
      </c>
      <c r="JI13" s="517">
        <f t="shared" si="198"/>
        <v>0</v>
      </c>
      <c r="JJ13" s="515"/>
      <c r="JK13" s="517" t="str">
        <f t="shared" si="88"/>
        <v>0</v>
      </c>
      <c r="JL13" s="517" t="str">
        <f t="shared" si="89"/>
        <v>0</v>
      </c>
      <c r="JM13" s="515"/>
      <c r="JN13" s="517" t="str">
        <f t="shared" si="90"/>
        <v>0</v>
      </c>
      <c r="JO13" s="517" t="str">
        <f t="shared" si="91"/>
        <v>0</v>
      </c>
      <c r="JP13" s="515"/>
      <c r="JQ13" s="517" t="str">
        <f t="shared" si="92"/>
        <v>0</v>
      </c>
      <c r="JR13" s="517" t="str">
        <f t="shared" si="93"/>
        <v>0</v>
      </c>
      <c r="JS13" s="515"/>
      <c r="JT13" s="517" t="str">
        <f t="shared" si="94"/>
        <v>0</v>
      </c>
      <c r="JU13" s="517" t="str">
        <f t="shared" si="95"/>
        <v>0</v>
      </c>
      <c r="JV13" s="515"/>
      <c r="JW13" s="517" t="str">
        <f t="shared" si="96"/>
        <v>0</v>
      </c>
      <c r="JX13" s="517" t="str">
        <f t="shared" si="97"/>
        <v>0</v>
      </c>
      <c r="JY13" s="515"/>
      <c r="JZ13" s="517" t="str">
        <f t="shared" si="98"/>
        <v>0</v>
      </c>
      <c r="KA13" s="517" t="str">
        <f t="shared" si="99"/>
        <v>0</v>
      </c>
      <c r="KB13" s="515"/>
      <c r="KC13" s="517" t="str">
        <f t="shared" si="100"/>
        <v>0</v>
      </c>
      <c r="KD13" s="517" t="str">
        <f t="shared" si="101"/>
        <v>0</v>
      </c>
      <c r="KE13" s="515"/>
      <c r="KF13" s="517" t="str">
        <f t="shared" si="102"/>
        <v>0</v>
      </c>
      <c r="KG13" s="517" t="str">
        <f t="shared" si="103"/>
        <v>0</v>
      </c>
      <c r="KH13" s="515"/>
      <c r="KI13" s="517" t="str">
        <f t="shared" si="104"/>
        <v>0</v>
      </c>
      <c r="KJ13" s="517" t="str">
        <f t="shared" si="105"/>
        <v>0</v>
      </c>
      <c r="KK13" s="515"/>
      <c r="KL13" s="517" t="str">
        <f t="shared" si="106"/>
        <v>0</v>
      </c>
      <c r="KM13" s="517" t="str">
        <f t="shared" si="107"/>
        <v>0</v>
      </c>
      <c r="KN13" s="515"/>
      <c r="KO13" s="517" t="str">
        <f t="shared" si="108"/>
        <v>0</v>
      </c>
      <c r="KP13" s="517" t="str">
        <f t="shared" si="109"/>
        <v>0</v>
      </c>
      <c r="KQ13" s="515"/>
      <c r="KR13" s="517" t="str">
        <f t="shared" si="110"/>
        <v>0</v>
      </c>
      <c r="KS13" s="517" t="str">
        <f t="shared" si="111"/>
        <v>0</v>
      </c>
      <c r="KT13" s="517">
        <f t="shared" si="201"/>
        <v>0</v>
      </c>
      <c r="KU13" s="517">
        <f t="shared" si="202"/>
        <v>0</v>
      </c>
      <c r="KV13" s="263">
        <f t="shared" si="199"/>
        <v>483.03523242826702</v>
      </c>
    </row>
    <row r="14" spans="1:308">
      <c r="A14" s="264">
        <f t="shared" si="200"/>
        <v>45844</v>
      </c>
      <c r="B14" s="265" t="str">
        <f>+Report1!B14</f>
        <v>Facial</v>
      </c>
      <c r="C14" s="265" t="str">
        <f>+Report1!C14</f>
        <v>13</v>
      </c>
      <c r="D14" s="266">
        <f>+Report1!P14</f>
        <v>43.295999999999999</v>
      </c>
      <c r="E14" s="553">
        <f>+Report1!R14</f>
        <v>42.210999999999999</v>
      </c>
      <c r="F14" s="515"/>
      <c r="G14" s="516">
        <f t="shared" si="0"/>
        <v>0</v>
      </c>
      <c r="H14" s="517">
        <f t="shared" si="112"/>
        <v>0</v>
      </c>
      <c r="I14" s="515">
        <v>302.32558139534876</v>
      </c>
      <c r="J14" s="516">
        <f t="shared" si="1"/>
        <v>7.1622463669505292</v>
      </c>
      <c r="K14" s="517">
        <f t="shared" si="113"/>
        <v>0</v>
      </c>
      <c r="L14" s="515"/>
      <c r="M14" s="516">
        <f t="shared" si="2"/>
        <v>0</v>
      </c>
      <c r="N14" s="517">
        <f t="shared" si="114"/>
        <v>0</v>
      </c>
      <c r="O14" s="515">
        <v>9.0000000000000142</v>
      </c>
      <c r="P14" s="516">
        <f t="shared" si="3"/>
        <v>0.21321456492383536</v>
      </c>
      <c r="Q14" s="517">
        <f t="shared" si="115"/>
        <v>0</v>
      </c>
      <c r="R14" s="515"/>
      <c r="S14" s="516">
        <f t="shared" si="4"/>
        <v>0</v>
      </c>
      <c r="T14" s="517">
        <f t="shared" si="116"/>
        <v>0</v>
      </c>
      <c r="U14" s="515">
        <v>7.6875000000000142</v>
      </c>
      <c r="V14" s="516">
        <f t="shared" si="5"/>
        <v>0.18212077420577608</v>
      </c>
      <c r="W14" s="517">
        <f t="shared" si="117"/>
        <v>0</v>
      </c>
      <c r="X14" s="515"/>
      <c r="Y14" s="516">
        <f t="shared" si="6"/>
        <v>0</v>
      </c>
      <c r="Z14" s="517">
        <f t="shared" si="118"/>
        <v>0</v>
      </c>
      <c r="AA14" s="515">
        <v>9.3749999999999964</v>
      </c>
      <c r="AB14" s="516">
        <f t="shared" si="7"/>
        <v>0.22209850512899473</v>
      </c>
      <c r="AC14" s="517">
        <f t="shared" si="119"/>
        <v>0</v>
      </c>
      <c r="AD14" s="515"/>
      <c r="AE14" s="516">
        <f t="shared" si="8"/>
        <v>0</v>
      </c>
      <c r="AF14" s="517">
        <f t="shared" si="120"/>
        <v>0</v>
      </c>
      <c r="AG14" s="515"/>
      <c r="AH14" s="516">
        <f t="shared" si="9"/>
        <v>0</v>
      </c>
      <c r="AI14" s="517">
        <f t="shared" si="121"/>
        <v>0</v>
      </c>
      <c r="AJ14" s="515"/>
      <c r="AK14" s="516">
        <f t="shared" si="10"/>
        <v>0</v>
      </c>
      <c r="AL14" s="517">
        <f t="shared" si="122"/>
        <v>0</v>
      </c>
      <c r="AM14" s="515"/>
      <c r="AN14" s="516">
        <f t="shared" si="11"/>
        <v>0</v>
      </c>
      <c r="AO14" s="517">
        <f t="shared" si="123"/>
        <v>0</v>
      </c>
      <c r="AP14" s="515">
        <v>45.569620253164572</v>
      </c>
      <c r="AQ14" s="516">
        <f t="shared" si="12"/>
        <v>1.079567417335874</v>
      </c>
      <c r="AR14" s="517">
        <f t="shared" si="124"/>
        <v>0</v>
      </c>
      <c r="AS14" s="515"/>
      <c r="AT14" s="516">
        <f t="shared" si="13"/>
        <v>0</v>
      </c>
      <c r="AU14" s="517">
        <f t="shared" si="125"/>
        <v>0</v>
      </c>
      <c r="AV14" s="515">
        <v>8.3250000000000028</v>
      </c>
      <c r="AW14" s="516">
        <f t="shared" si="14"/>
        <v>0.19722347255454747</v>
      </c>
      <c r="AX14" s="517">
        <f t="shared" si="126"/>
        <v>0</v>
      </c>
      <c r="AY14" s="515">
        <v>55.999999999999972</v>
      </c>
      <c r="AZ14" s="516">
        <f t="shared" si="15"/>
        <v>1.3266684039705283</v>
      </c>
      <c r="BA14" s="517">
        <f t="shared" si="127"/>
        <v>0</v>
      </c>
      <c r="BB14" s="515"/>
      <c r="BC14" s="516">
        <f t="shared" si="16"/>
        <v>0</v>
      </c>
      <c r="BD14" s="517">
        <f t="shared" si="128"/>
        <v>0</v>
      </c>
      <c r="BE14" s="515"/>
      <c r="BF14" s="516">
        <f t="shared" si="17"/>
        <v>0</v>
      </c>
      <c r="BG14" s="517">
        <f t="shared" si="129"/>
        <v>0</v>
      </c>
      <c r="BH14" s="515"/>
      <c r="BI14" s="516">
        <f t="shared" si="18"/>
        <v>0</v>
      </c>
      <c r="BJ14" s="517">
        <f t="shared" si="130"/>
        <v>0</v>
      </c>
      <c r="BK14" s="515"/>
      <c r="BL14" s="516">
        <f t="shared" si="19"/>
        <v>0</v>
      </c>
      <c r="BM14" s="517">
        <f t="shared" si="131"/>
        <v>0</v>
      </c>
      <c r="BN14" s="515"/>
      <c r="BO14" s="516">
        <f t="shared" si="20"/>
        <v>0</v>
      </c>
      <c r="BP14" s="517">
        <f t="shared" si="132"/>
        <v>0</v>
      </c>
      <c r="BQ14" s="515"/>
      <c r="BR14" s="516">
        <f t="shared" si="21"/>
        <v>0</v>
      </c>
      <c r="BS14" s="517">
        <f t="shared" si="133"/>
        <v>0</v>
      </c>
      <c r="BT14" s="515"/>
      <c r="BU14" s="516">
        <f t="shared" si="22"/>
        <v>0</v>
      </c>
      <c r="BV14" s="517">
        <f t="shared" si="134"/>
        <v>0</v>
      </c>
      <c r="BW14" s="515"/>
      <c r="BX14" s="516">
        <f t="shared" si="23"/>
        <v>0</v>
      </c>
      <c r="BY14" s="517">
        <f t="shared" si="135"/>
        <v>0</v>
      </c>
      <c r="BZ14" s="515"/>
      <c r="CA14" s="516">
        <f t="shared" si="24"/>
        <v>0</v>
      </c>
      <c r="CB14" s="517">
        <f t="shared" si="136"/>
        <v>0</v>
      </c>
      <c r="CC14" s="515"/>
      <c r="CD14" s="516">
        <f t="shared" si="25"/>
        <v>0</v>
      </c>
      <c r="CE14" s="517">
        <f t="shared" si="137"/>
        <v>0</v>
      </c>
      <c r="CF14" s="515">
        <v>0.59999999999999964</v>
      </c>
      <c r="CG14" s="516">
        <f t="shared" si="26"/>
        <v>1.4214304328255659E-2</v>
      </c>
      <c r="CH14" s="517">
        <f t="shared" si="138"/>
        <v>0</v>
      </c>
      <c r="CI14" s="515"/>
      <c r="CJ14" s="516">
        <f t="shared" si="27"/>
        <v>0</v>
      </c>
      <c r="CK14" s="517">
        <f t="shared" si="139"/>
        <v>0</v>
      </c>
      <c r="CL14" s="515"/>
      <c r="CM14" s="516">
        <f t="shared" si="28"/>
        <v>0</v>
      </c>
      <c r="CN14" s="517">
        <f t="shared" si="140"/>
        <v>0</v>
      </c>
      <c r="CO14" s="515"/>
      <c r="CP14" s="516">
        <f t="shared" si="29"/>
        <v>0</v>
      </c>
      <c r="CQ14" s="517">
        <f t="shared" si="141"/>
        <v>0</v>
      </c>
      <c r="CR14" s="515"/>
      <c r="CS14" s="516">
        <f t="shared" si="30"/>
        <v>0</v>
      </c>
      <c r="CT14" s="517">
        <f t="shared" si="142"/>
        <v>0</v>
      </c>
      <c r="CU14" s="515"/>
      <c r="CV14" s="516">
        <f t="shared" si="31"/>
        <v>0</v>
      </c>
      <c r="CW14" s="517">
        <f t="shared" si="143"/>
        <v>0</v>
      </c>
      <c r="CX14" s="515"/>
      <c r="CY14" s="516">
        <f t="shared" si="32"/>
        <v>0</v>
      </c>
      <c r="CZ14" s="517">
        <f t="shared" si="144"/>
        <v>0</v>
      </c>
      <c r="DA14" s="515"/>
      <c r="DB14" s="516">
        <f t="shared" si="33"/>
        <v>0</v>
      </c>
      <c r="DC14" s="517">
        <f t="shared" si="145"/>
        <v>0</v>
      </c>
      <c r="DD14" s="515"/>
      <c r="DE14" s="516">
        <f t="shared" si="34"/>
        <v>0</v>
      </c>
      <c r="DF14" s="517">
        <f t="shared" si="146"/>
        <v>0</v>
      </c>
      <c r="DG14" s="515"/>
      <c r="DH14" s="516">
        <f t="shared" si="35"/>
        <v>0</v>
      </c>
      <c r="DI14" s="517">
        <f t="shared" ref="DI14:DI39" si="203">+DG14*$H$8</f>
        <v>0</v>
      </c>
      <c r="DJ14" s="515"/>
      <c r="DK14" s="516">
        <f t="shared" si="36"/>
        <v>0</v>
      </c>
      <c r="DL14" s="517">
        <f t="shared" si="147"/>
        <v>0</v>
      </c>
      <c r="DM14" s="515"/>
      <c r="DN14" s="516">
        <f t="shared" si="37"/>
        <v>0</v>
      </c>
      <c r="DO14" s="517">
        <f t="shared" si="148"/>
        <v>0</v>
      </c>
      <c r="DP14" s="515"/>
      <c r="DQ14" s="516">
        <f t="shared" si="38"/>
        <v>0</v>
      </c>
      <c r="DR14" s="517">
        <f t="shared" si="149"/>
        <v>0</v>
      </c>
      <c r="DS14" s="515"/>
      <c r="DT14" s="516">
        <f t="shared" si="39"/>
        <v>0</v>
      </c>
      <c r="DU14" s="517">
        <f t="shared" si="150"/>
        <v>0</v>
      </c>
      <c r="DV14" s="515"/>
      <c r="DW14" s="516">
        <f t="shared" si="40"/>
        <v>0</v>
      </c>
      <c r="DX14" s="517">
        <f t="shared" si="151"/>
        <v>0</v>
      </c>
      <c r="DY14" s="515"/>
      <c r="DZ14" s="516">
        <f t="shared" si="41"/>
        <v>0</v>
      </c>
      <c r="EA14" s="517">
        <f t="shared" si="152"/>
        <v>0</v>
      </c>
      <c r="EB14" s="515"/>
      <c r="EC14" s="516">
        <f t="shared" si="42"/>
        <v>0</v>
      </c>
      <c r="ED14" s="517">
        <f t="shared" si="153"/>
        <v>0</v>
      </c>
      <c r="EE14" s="515">
        <v>14.534883720930281</v>
      </c>
      <c r="EF14" s="516">
        <f t="shared" si="43"/>
        <v>0.34433876764185362</v>
      </c>
      <c r="EG14" s="517">
        <f t="shared" si="154"/>
        <v>0</v>
      </c>
      <c r="EH14" s="515">
        <v>26.417647058823491</v>
      </c>
      <c r="EI14" s="516">
        <f t="shared" si="44"/>
        <v>0.6258474582176089</v>
      </c>
      <c r="EJ14" s="517">
        <f t="shared" si="155"/>
        <v>0</v>
      </c>
      <c r="EK14" s="515">
        <v>3.1</v>
      </c>
      <c r="EL14" s="516">
        <f t="shared" si="45"/>
        <v>7.3440572362654291E-2</v>
      </c>
      <c r="EM14" s="517">
        <f t="shared" si="156"/>
        <v>0</v>
      </c>
      <c r="EN14" s="515"/>
      <c r="EO14" s="516">
        <f t="shared" si="46"/>
        <v>0</v>
      </c>
      <c r="EP14" s="517">
        <f t="shared" si="157"/>
        <v>0</v>
      </c>
      <c r="EQ14" s="515"/>
      <c r="ER14" s="516">
        <f t="shared" si="47"/>
        <v>0</v>
      </c>
      <c r="ES14" s="517">
        <f t="shared" si="158"/>
        <v>0</v>
      </c>
      <c r="ET14" s="515"/>
      <c r="EU14" s="516">
        <f t="shared" si="48"/>
        <v>0</v>
      </c>
      <c r="EV14" s="517">
        <f t="shared" si="159"/>
        <v>0</v>
      </c>
      <c r="EW14" s="515"/>
      <c r="EX14" s="516">
        <f t="shared" si="49"/>
        <v>0</v>
      </c>
      <c r="EY14" s="517">
        <f t="shared" si="160"/>
        <v>0</v>
      </c>
      <c r="EZ14" s="515"/>
      <c r="FA14" s="516">
        <f t="shared" si="50"/>
        <v>0</v>
      </c>
      <c r="FB14" s="517">
        <f t="shared" si="161"/>
        <v>0</v>
      </c>
      <c r="FC14" s="515"/>
      <c r="FD14" s="516">
        <f t="shared" si="51"/>
        <v>0</v>
      </c>
      <c r="FE14" s="517">
        <f t="shared" si="162"/>
        <v>0</v>
      </c>
      <c r="FF14" s="515"/>
      <c r="FG14" s="516">
        <f t="shared" si="52"/>
        <v>0</v>
      </c>
      <c r="FH14" s="517">
        <f t="shared" si="163"/>
        <v>0</v>
      </c>
      <c r="FI14" s="515"/>
      <c r="FJ14" s="516">
        <f t="shared" si="53"/>
        <v>0</v>
      </c>
      <c r="FK14" s="517">
        <f t="shared" si="164"/>
        <v>0</v>
      </c>
      <c r="FL14" s="515"/>
      <c r="FM14" s="516">
        <f t="shared" si="54"/>
        <v>0</v>
      </c>
      <c r="FN14" s="517">
        <f t="shared" si="165"/>
        <v>0</v>
      </c>
      <c r="FO14" s="515"/>
      <c r="FP14" s="516">
        <f t="shared" si="55"/>
        <v>0</v>
      </c>
      <c r="FQ14" s="517">
        <f t="shared" si="166"/>
        <v>0</v>
      </c>
      <c r="FR14" s="515"/>
      <c r="FS14" s="516">
        <f t="shared" si="56"/>
        <v>0</v>
      </c>
      <c r="FT14" s="517">
        <f t="shared" si="167"/>
        <v>0</v>
      </c>
      <c r="FU14" s="515"/>
      <c r="FV14" s="516">
        <f t="shared" si="57"/>
        <v>0</v>
      </c>
      <c r="FW14" s="517">
        <f t="shared" si="168"/>
        <v>0</v>
      </c>
      <c r="FX14" s="515"/>
      <c r="FY14" s="516">
        <f t="shared" si="58"/>
        <v>0</v>
      </c>
      <c r="FZ14" s="517">
        <f t="shared" si="169"/>
        <v>0</v>
      </c>
      <c r="GA14" s="515"/>
      <c r="GB14" s="516">
        <f t="shared" si="59"/>
        <v>0</v>
      </c>
      <c r="GC14" s="517">
        <f t="shared" si="170"/>
        <v>0</v>
      </c>
      <c r="GD14" s="515"/>
      <c r="GE14" s="516">
        <f t="shared" si="60"/>
        <v>0</v>
      </c>
      <c r="GF14" s="517">
        <f t="shared" si="171"/>
        <v>0</v>
      </c>
      <c r="GG14" s="515"/>
      <c r="GH14" s="516">
        <f t="shared" si="61"/>
        <v>0</v>
      </c>
      <c r="GI14" s="517">
        <f t="shared" si="172"/>
        <v>0</v>
      </c>
      <c r="GJ14" s="515"/>
      <c r="GK14" s="516">
        <f t="shared" si="62"/>
        <v>0</v>
      </c>
      <c r="GL14" s="517">
        <f t="shared" si="173"/>
        <v>0</v>
      </c>
      <c r="GM14" s="515"/>
      <c r="GN14" s="516">
        <f t="shared" si="63"/>
        <v>0</v>
      </c>
      <c r="GO14" s="517">
        <f t="shared" si="174"/>
        <v>0</v>
      </c>
      <c r="GP14" s="515"/>
      <c r="GQ14" s="516">
        <f t="shared" si="64"/>
        <v>0</v>
      </c>
      <c r="GR14" s="517">
        <f t="shared" si="175"/>
        <v>0</v>
      </c>
      <c r="GS14" s="515"/>
      <c r="GT14" s="516">
        <f t="shared" si="65"/>
        <v>0</v>
      </c>
      <c r="GU14" s="517">
        <f t="shared" si="176"/>
        <v>0</v>
      </c>
      <c r="GV14" s="515"/>
      <c r="GW14" s="516">
        <f t="shared" si="66"/>
        <v>0</v>
      </c>
      <c r="GX14" s="517">
        <f t="shared" si="177"/>
        <v>0</v>
      </c>
      <c r="GY14" s="515"/>
      <c r="GZ14" s="516">
        <f t="shared" si="67"/>
        <v>0</v>
      </c>
      <c r="HA14" s="517">
        <f t="shared" si="178"/>
        <v>0</v>
      </c>
      <c r="HB14" s="515"/>
      <c r="HC14" s="516">
        <f t="shared" si="68"/>
        <v>0</v>
      </c>
      <c r="HD14" s="517">
        <f t="shared" si="179"/>
        <v>0</v>
      </c>
      <c r="HE14" s="515"/>
      <c r="HF14" s="516">
        <f t="shared" si="69"/>
        <v>0</v>
      </c>
      <c r="HG14" s="517">
        <f t="shared" si="180"/>
        <v>0</v>
      </c>
      <c r="HH14" s="515"/>
      <c r="HI14" s="516">
        <f t="shared" si="70"/>
        <v>0</v>
      </c>
      <c r="HJ14" s="517">
        <f t="shared" si="181"/>
        <v>0</v>
      </c>
      <c r="HK14" s="515"/>
      <c r="HL14" s="516">
        <f t="shared" si="71"/>
        <v>0</v>
      </c>
      <c r="HM14" s="517">
        <f t="shared" si="182"/>
        <v>0</v>
      </c>
      <c r="HN14" s="515"/>
      <c r="HO14" s="516">
        <f t="shared" si="72"/>
        <v>0</v>
      </c>
      <c r="HP14" s="517">
        <f t="shared" si="183"/>
        <v>0</v>
      </c>
      <c r="HQ14" s="515"/>
      <c r="HR14" s="516">
        <f t="shared" si="73"/>
        <v>0</v>
      </c>
      <c r="HS14" s="517">
        <f t="shared" si="184"/>
        <v>0</v>
      </c>
      <c r="HT14" s="515"/>
      <c r="HU14" s="516">
        <f t="shared" si="74"/>
        <v>0</v>
      </c>
      <c r="HV14" s="517">
        <f t="shared" si="185"/>
        <v>0</v>
      </c>
      <c r="HW14" s="515"/>
      <c r="HX14" s="516">
        <f t="shared" si="75"/>
        <v>0</v>
      </c>
      <c r="HY14" s="517">
        <f t="shared" si="186"/>
        <v>0</v>
      </c>
      <c r="HZ14" s="515"/>
      <c r="IA14" s="516">
        <f t="shared" si="76"/>
        <v>0</v>
      </c>
      <c r="IB14" s="517">
        <f t="shared" si="187"/>
        <v>0</v>
      </c>
      <c r="IC14" s="515"/>
      <c r="ID14" s="516">
        <f t="shared" si="77"/>
        <v>0</v>
      </c>
      <c r="IE14" s="517">
        <f t="shared" si="188"/>
        <v>0</v>
      </c>
      <c r="IF14" s="515"/>
      <c r="IG14" s="516">
        <f t="shared" si="78"/>
        <v>0</v>
      </c>
      <c r="IH14" s="517">
        <f t="shared" si="189"/>
        <v>0</v>
      </c>
      <c r="II14" s="515"/>
      <c r="IJ14" s="516">
        <f t="shared" si="79"/>
        <v>0</v>
      </c>
      <c r="IK14" s="517">
        <f t="shared" si="190"/>
        <v>0</v>
      </c>
      <c r="IL14" s="515"/>
      <c r="IM14" s="516">
        <f t="shared" si="80"/>
        <v>0</v>
      </c>
      <c r="IN14" s="517">
        <f t="shared" si="191"/>
        <v>0</v>
      </c>
      <c r="IO14" s="515"/>
      <c r="IP14" s="516">
        <f t="shared" si="81"/>
        <v>0</v>
      </c>
      <c r="IQ14" s="517">
        <f t="shared" si="192"/>
        <v>0</v>
      </c>
      <c r="IR14" s="515"/>
      <c r="IS14" s="516">
        <f t="shared" si="82"/>
        <v>0</v>
      </c>
      <c r="IT14" s="517">
        <f t="shared" si="193"/>
        <v>0</v>
      </c>
      <c r="IU14" s="515"/>
      <c r="IV14" s="516">
        <f t="shared" si="83"/>
        <v>0</v>
      </c>
      <c r="IW14" s="517">
        <f t="shared" si="194"/>
        <v>0</v>
      </c>
      <c r="IX14" s="515"/>
      <c r="IY14" s="516">
        <f t="shared" si="84"/>
        <v>0</v>
      </c>
      <c r="IZ14" s="517">
        <f t="shared" si="195"/>
        <v>0</v>
      </c>
      <c r="JA14" s="515"/>
      <c r="JB14" s="516">
        <f t="shared" si="85"/>
        <v>0</v>
      </c>
      <c r="JC14" s="517">
        <f t="shared" si="196"/>
        <v>0</v>
      </c>
      <c r="JD14" s="515"/>
      <c r="JE14" s="516">
        <f t="shared" si="86"/>
        <v>0</v>
      </c>
      <c r="JF14" s="517">
        <f t="shared" si="197"/>
        <v>0</v>
      </c>
      <c r="JG14" s="515"/>
      <c r="JH14" s="516">
        <f t="shared" si="87"/>
        <v>0</v>
      </c>
      <c r="JI14" s="517">
        <f t="shared" si="198"/>
        <v>0</v>
      </c>
      <c r="JJ14" s="515"/>
      <c r="JK14" s="517" t="str">
        <f t="shared" si="88"/>
        <v>0</v>
      </c>
      <c r="JL14" s="517" t="str">
        <f t="shared" si="89"/>
        <v>0</v>
      </c>
      <c r="JM14" s="515"/>
      <c r="JN14" s="517" t="str">
        <f t="shared" si="90"/>
        <v>0</v>
      </c>
      <c r="JO14" s="517" t="str">
        <f t="shared" si="91"/>
        <v>0</v>
      </c>
      <c r="JP14" s="515"/>
      <c r="JQ14" s="517" t="str">
        <f t="shared" si="92"/>
        <v>0</v>
      </c>
      <c r="JR14" s="517" t="str">
        <f t="shared" si="93"/>
        <v>0</v>
      </c>
      <c r="JS14" s="515"/>
      <c r="JT14" s="517" t="str">
        <f t="shared" si="94"/>
        <v>0</v>
      </c>
      <c r="JU14" s="517" t="str">
        <f t="shared" si="95"/>
        <v>0</v>
      </c>
      <c r="JV14" s="515"/>
      <c r="JW14" s="517" t="str">
        <f t="shared" si="96"/>
        <v>0</v>
      </c>
      <c r="JX14" s="517" t="str">
        <f t="shared" si="97"/>
        <v>0</v>
      </c>
      <c r="JY14" s="515"/>
      <c r="JZ14" s="517" t="str">
        <f t="shared" si="98"/>
        <v>0</v>
      </c>
      <c r="KA14" s="517" t="str">
        <f t="shared" si="99"/>
        <v>0</v>
      </c>
      <c r="KB14" s="515"/>
      <c r="KC14" s="517" t="str">
        <f t="shared" si="100"/>
        <v>0</v>
      </c>
      <c r="KD14" s="517" t="str">
        <f t="shared" si="101"/>
        <v>0</v>
      </c>
      <c r="KE14" s="515"/>
      <c r="KF14" s="517" t="str">
        <f t="shared" si="102"/>
        <v>0</v>
      </c>
      <c r="KG14" s="517" t="str">
        <f t="shared" si="103"/>
        <v>0</v>
      </c>
      <c r="KH14" s="515"/>
      <c r="KI14" s="517" t="str">
        <f t="shared" si="104"/>
        <v>0</v>
      </c>
      <c r="KJ14" s="517" t="str">
        <f t="shared" si="105"/>
        <v>0</v>
      </c>
      <c r="KK14" s="515"/>
      <c r="KL14" s="517" t="str">
        <f t="shared" si="106"/>
        <v>0</v>
      </c>
      <c r="KM14" s="517" t="str">
        <f t="shared" si="107"/>
        <v>0</v>
      </c>
      <c r="KN14" s="515"/>
      <c r="KO14" s="517" t="str">
        <f t="shared" si="108"/>
        <v>0</v>
      </c>
      <c r="KP14" s="517" t="str">
        <f t="shared" si="109"/>
        <v>0</v>
      </c>
      <c r="KQ14" s="515"/>
      <c r="KR14" s="517" t="str">
        <f t="shared" si="110"/>
        <v>0</v>
      </c>
      <c r="KS14" s="517" t="str">
        <f t="shared" si="111"/>
        <v>0</v>
      </c>
      <c r="KT14" s="517">
        <f t="shared" si="201"/>
        <v>0</v>
      </c>
      <c r="KU14" s="517">
        <f t="shared" si="202"/>
        <v>0</v>
      </c>
      <c r="KV14" s="263">
        <f t="shared" si="199"/>
        <v>482.93523242826706</v>
      </c>
    </row>
    <row r="15" spans="1:308">
      <c r="A15" s="264">
        <f t="shared" si="200"/>
        <v>45845</v>
      </c>
      <c r="B15" s="265" t="str">
        <f>+Report1!B15</f>
        <v>Facial/Toilet</v>
      </c>
      <c r="C15" s="265" t="str">
        <f>+Report1!C15</f>
        <v>13/13</v>
      </c>
      <c r="D15" s="266">
        <f>+Report1!P15</f>
        <v>42.278999999999996</v>
      </c>
      <c r="E15" s="553">
        <f>+Report1!R15</f>
        <v>40.351999999999997</v>
      </c>
      <c r="F15" s="515"/>
      <c r="G15" s="516">
        <f t="shared" si="0"/>
        <v>0</v>
      </c>
      <c r="H15" s="517">
        <f t="shared" si="112"/>
        <v>0</v>
      </c>
      <c r="I15" s="515">
        <v>58.139534883721126</v>
      </c>
      <c r="J15" s="516">
        <f t="shared" si="1"/>
        <v>1.4408092506869827</v>
      </c>
      <c r="K15" s="517">
        <f t="shared" si="113"/>
        <v>0</v>
      </c>
      <c r="L15" s="515"/>
      <c r="M15" s="516">
        <f t="shared" si="2"/>
        <v>0</v>
      </c>
      <c r="N15" s="517">
        <f t="shared" si="114"/>
        <v>0</v>
      </c>
      <c r="O15" s="515">
        <v>9</v>
      </c>
      <c r="P15" s="516">
        <f t="shared" si="3"/>
        <v>0.22303727200634418</v>
      </c>
      <c r="Q15" s="517">
        <f t="shared" si="115"/>
        <v>0</v>
      </c>
      <c r="R15" s="515"/>
      <c r="S15" s="516">
        <f t="shared" si="4"/>
        <v>0</v>
      </c>
      <c r="T15" s="517">
        <f t="shared" si="116"/>
        <v>0</v>
      </c>
      <c r="U15" s="515">
        <v>8.9687499999999716</v>
      </c>
      <c r="V15" s="516">
        <f t="shared" si="5"/>
        <v>0.22226283703409924</v>
      </c>
      <c r="W15" s="517">
        <f t="shared" si="117"/>
        <v>0</v>
      </c>
      <c r="X15" s="515"/>
      <c r="Y15" s="516">
        <f t="shared" si="6"/>
        <v>0</v>
      </c>
      <c r="Z15" s="517">
        <f t="shared" si="118"/>
        <v>0</v>
      </c>
      <c r="AA15" s="515">
        <v>9.375</v>
      </c>
      <c r="AB15" s="516">
        <f t="shared" si="7"/>
        <v>0.23233049167327519</v>
      </c>
      <c r="AC15" s="517">
        <f t="shared" si="119"/>
        <v>0</v>
      </c>
      <c r="AD15" s="515"/>
      <c r="AE15" s="516">
        <f t="shared" si="8"/>
        <v>0</v>
      </c>
      <c r="AF15" s="517">
        <f t="shared" si="120"/>
        <v>0</v>
      </c>
      <c r="AG15" s="515"/>
      <c r="AH15" s="516">
        <f t="shared" si="9"/>
        <v>0</v>
      </c>
      <c r="AI15" s="517">
        <f t="shared" si="121"/>
        <v>0</v>
      </c>
      <c r="AJ15" s="515"/>
      <c r="AK15" s="516">
        <f t="shared" si="10"/>
        <v>0</v>
      </c>
      <c r="AL15" s="517">
        <f t="shared" si="122"/>
        <v>0</v>
      </c>
      <c r="AM15" s="515"/>
      <c r="AN15" s="516">
        <f t="shared" si="11"/>
        <v>0</v>
      </c>
      <c r="AO15" s="517">
        <f t="shared" si="123"/>
        <v>0</v>
      </c>
      <c r="AP15" s="515">
        <v>51.265822784810126</v>
      </c>
      <c r="AQ15" s="516">
        <f t="shared" si="12"/>
        <v>1.2704654734538594</v>
      </c>
      <c r="AR15" s="517">
        <f t="shared" si="124"/>
        <v>0</v>
      </c>
      <c r="AS15" s="515"/>
      <c r="AT15" s="516">
        <f t="shared" si="13"/>
        <v>0</v>
      </c>
      <c r="AU15" s="517">
        <f t="shared" si="125"/>
        <v>0</v>
      </c>
      <c r="AV15" s="515">
        <v>8.3250000000000028</v>
      </c>
      <c r="AW15" s="516">
        <f t="shared" si="14"/>
        <v>0.20630947660586846</v>
      </c>
      <c r="AX15" s="517">
        <f t="shared" si="126"/>
        <v>0</v>
      </c>
      <c r="AY15" s="515">
        <v>63</v>
      </c>
      <c r="AZ15" s="516">
        <f t="shared" si="15"/>
        <v>1.5612609040444094</v>
      </c>
      <c r="BA15" s="517">
        <f t="shared" si="127"/>
        <v>0</v>
      </c>
      <c r="BB15" s="515"/>
      <c r="BC15" s="516">
        <f t="shared" si="16"/>
        <v>0</v>
      </c>
      <c r="BD15" s="517">
        <f t="shared" si="128"/>
        <v>0</v>
      </c>
      <c r="BE15" s="515"/>
      <c r="BF15" s="516">
        <f t="shared" si="17"/>
        <v>0</v>
      </c>
      <c r="BG15" s="517">
        <f t="shared" si="129"/>
        <v>0</v>
      </c>
      <c r="BH15" s="515"/>
      <c r="BI15" s="516">
        <f t="shared" si="18"/>
        <v>0</v>
      </c>
      <c r="BJ15" s="517">
        <f t="shared" si="130"/>
        <v>0</v>
      </c>
      <c r="BK15" s="515"/>
      <c r="BL15" s="516">
        <f t="shared" si="19"/>
        <v>0</v>
      </c>
      <c r="BM15" s="517">
        <f t="shared" si="131"/>
        <v>0</v>
      </c>
      <c r="BN15" s="515"/>
      <c r="BO15" s="516">
        <f t="shared" si="20"/>
        <v>0</v>
      </c>
      <c r="BP15" s="517">
        <f t="shared" si="132"/>
        <v>0</v>
      </c>
      <c r="BQ15" s="515"/>
      <c r="BR15" s="516">
        <f t="shared" si="21"/>
        <v>0</v>
      </c>
      <c r="BS15" s="517">
        <f t="shared" si="133"/>
        <v>0</v>
      </c>
      <c r="BT15" s="515"/>
      <c r="BU15" s="516">
        <f t="shared" si="22"/>
        <v>0</v>
      </c>
      <c r="BV15" s="517">
        <f t="shared" si="134"/>
        <v>0</v>
      </c>
      <c r="BW15" s="515"/>
      <c r="BX15" s="516">
        <f t="shared" si="23"/>
        <v>0</v>
      </c>
      <c r="BY15" s="517">
        <f t="shared" si="135"/>
        <v>0</v>
      </c>
      <c r="BZ15" s="515"/>
      <c r="CA15" s="516">
        <f t="shared" si="24"/>
        <v>0</v>
      </c>
      <c r="CB15" s="517">
        <f t="shared" si="136"/>
        <v>0</v>
      </c>
      <c r="CC15" s="515"/>
      <c r="CD15" s="516">
        <f t="shared" si="25"/>
        <v>0</v>
      </c>
      <c r="CE15" s="517">
        <f t="shared" si="137"/>
        <v>0</v>
      </c>
      <c r="CF15" s="515">
        <v>0.99999999999999789</v>
      </c>
      <c r="CG15" s="516">
        <f t="shared" si="26"/>
        <v>2.4781919111815969E-2</v>
      </c>
      <c r="CH15" s="517">
        <f t="shared" si="138"/>
        <v>0</v>
      </c>
      <c r="CI15" s="515"/>
      <c r="CJ15" s="516">
        <f t="shared" si="27"/>
        <v>0</v>
      </c>
      <c r="CK15" s="517">
        <f t="shared" si="139"/>
        <v>0</v>
      </c>
      <c r="CL15" s="515"/>
      <c r="CM15" s="516">
        <f t="shared" si="28"/>
        <v>0</v>
      </c>
      <c r="CN15" s="517">
        <f t="shared" si="140"/>
        <v>0</v>
      </c>
      <c r="CO15" s="515"/>
      <c r="CP15" s="516">
        <f t="shared" si="29"/>
        <v>0</v>
      </c>
      <c r="CQ15" s="517">
        <f t="shared" si="141"/>
        <v>0</v>
      </c>
      <c r="CR15" s="515">
        <v>1</v>
      </c>
      <c r="CS15" s="516">
        <f t="shared" si="30"/>
        <v>2.4781919111816021E-2</v>
      </c>
      <c r="CT15" s="517">
        <f t="shared" si="142"/>
        <v>0</v>
      </c>
      <c r="CU15" s="515"/>
      <c r="CV15" s="516">
        <f t="shared" si="31"/>
        <v>0</v>
      </c>
      <c r="CW15" s="517">
        <f t="shared" si="143"/>
        <v>0</v>
      </c>
      <c r="CX15" s="515"/>
      <c r="CY15" s="516">
        <f t="shared" si="32"/>
        <v>0</v>
      </c>
      <c r="CZ15" s="517">
        <f t="shared" si="144"/>
        <v>0</v>
      </c>
      <c r="DA15" s="515">
        <v>43.60465116279056</v>
      </c>
      <c r="DB15" s="516">
        <f t="shared" si="33"/>
        <v>1.0806069380152301</v>
      </c>
      <c r="DC15" s="517">
        <f t="shared" si="145"/>
        <v>0</v>
      </c>
      <c r="DD15" s="515"/>
      <c r="DE15" s="516">
        <f t="shared" si="34"/>
        <v>0</v>
      </c>
      <c r="DF15" s="517">
        <f t="shared" si="146"/>
        <v>0</v>
      </c>
      <c r="DG15" s="515"/>
      <c r="DH15" s="516">
        <f t="shared" si="35"/>
        <v>0</v>
      </c>
      <c r="DI15" s="517">
        <f t="shared" si="203"/>
        <v>0</v>
      </c>
      <c r="DJ15" s="515"/>
      <c r="DK15" s="516">
        <f t="shared" si="36"/>
        <v>0</v>
      </c>
      <c r="DL15" s="517">
        <f t="shared" si="147"/>
        <v>0</v>
      </c>
      <c r="DM15" s="515"/>
      <c r="DN15" s="516">
        <f t="shared" si="37"/>
        <v>0</v>
      </c>
      <c r="DO15" s="517">
        <f t="shared" si="148"/>
        <v>0</v>
      </c>
      <c r="DP15" s="515"/>
      <c r="DQ15" s="516">
        <f t="shared" si="38"/>
        <v>0</v>
      </c>
      <c r="DR15" s="517">
        <f t="shared" si="149"/>
        <v>0</v>
      </c>
      <c r="DS15" s="515"/>
      <c r="DT15" s="516">
        <f t="shared" si="39"/>
        <v>0</v>
      </c>
      <c r="DU15" s="517">
        <f t="shared" si="150"/>
        <v>0</v>
      </c>
      <c r="DV15" s="515"/>
      <c r="DW15" s="516">
        <f t="shared" si="40"/>
        <v>0</v>
      </c>
      <c r="DX15" s="517">
        <f t="shared" si="151"/>
        <v>0</v>
      </c>
      <c r="DY15" s="515"/>
      <c r="DZ15" s="516">
        <f t="shared" si="41"/>
        <v>0</v>
      </c>
      <c r="EA15" s="517">
        <f t="shared" si="152"/>
        <v>0</v>
      </c>
      <c r="EB15" s="515"/>
      <c r="EC15" s="516">
        <f t="shared" si="42"/>
        <v>0</v>
      </c>
      <c r="ED15" s="517">
        <f t="shared" si="153"/>
        <v>0</v>
      </c>
      <c r="EE15" s="515">
        <v>10.90116279069764</v>
      </c>
      <c r="EF15" s="516">
        <f t="shared" si="43"/>
        <v>0.27015173450380753</v>
      </c>
      <c r="EG15" s="517">
        <f t="shared" si="154"/>
        <v>0</v>
      </c>
      <c r="EH15" s="515">
        <v>23.482352941176487</v>
      </c>
      <c r="EI15" s="516">
        <f t="shared" si="44"/>
        <v>0.58193777114335077</v>
      </c>
      <c r="EJ15" s="517">
        <f t="shared" si="155"/>
        <v>0</v>
      </c>
      <c r="EK15" s="515">
        <v>3.0999999999999988</v>
      </c>
      <c r="EL15" s="516">
        <f t="shared" si="45"/>
        <v>7.6823949246629636E-2</v>
      </c>
      <c r="EM15" s="517">
        <f t="shared" si="156"/>
        <v>0</v>
      </c>
      <c r="EN15" s="515"/>
      <c r="EO15" s="516">
        <f t="shared" si="46"/>
        <v>0</v>
      </c>
      <c r="EP15" s="517">
        <f t="shared" si="157"/>
        <v>0</v>
      </c>
      <c r="EQ15" s="515"/>
      <c r="ER15" s="516">
        <f t="shared" si="47"/>
        <v>0</v>
      </c>
      <c r="ES15" s="517">
        <f t="shared" si="158"/>
        <v>0</v>
      </c>
      <c r="ET15" s="515"/>
      <c r="EU15" s="516">
        <f t="shared" si="48"/>
        <v>0</v>
      </c>
      <c r="EV15" s="517">
        <f t="shared" si="159"/>
        <v>0</v>
      </c>
      <c r="EW15" s="515"/>
      <c r="EX15" s="516">
        <f t="shared" si="49"/>
        <v>0</v>
      </c>
      <c r="EY15" s="517">
        <f t="shared" si="160"/>
        <v>0</v>
      </c>
      <c r="EZ15" s="515"/>
      <c r="FA15" s="516">
        <f t="shared" si="50"/>
        <v>0</v>
      </c>
      <c r="FB15" s="517">
        <f t="shared" si="161"/>
        <v>0</v>
      </c>
      <c r="FC15" s="515"/>
      <c r="FD15" s="516">
        <f t="shared" si="51"/>
        <v>0</v>
      </c>
      <c r="FE15" s="517">
        <f t="shared" si="162"/>
        <v>0</v>
      </c>
      <c r="FF15" s="515"/>
      <c r="FG15" s="516">
        <f t="shared" si="52"/>
        <v>0</v>
      </c>
      <c r="FH15" s="517">
        <f t="shared" si="163"/>
        <v>0</v>
      </c>
      <c r="FI15" s="515"/>
      <c r="FJ15" s="516">
        <f t="shared" si="53"/>
        <v>0</v>
      </c>
      <c r="FK15" s="517">
        <f t="shared" si="164"/>
        <v>0</v>
      </c>
      <c r="FL15" s="515"/>
      <c r="FM15" s="516">
        <f t="shared" si="54"/>
        <v>0</v>
      </c>
      <c r="FN15" s="517">
        <f t="shared" si="165"/>
        <v>0</v>
      </c>
      <c r="FO15" s="515"/>
      <c r="FP15" s="516">
        <f t="shared" si="55"/>
        <v>0</v>
      </c>
      <c r="FQ15" s="517">
        <f t="shared" si="166"/>
        <v>0</v>
      </c>
      <c r="FR15" s="515"/>
      <c r="FS15" s="516">
        <f t="shared" si="56"/>
        <v>0</v>
      </c>
      <c r="FT15" s="517">
        <f t="shared" si="167"/>
        <v>0</v>
      </c>
      <c r="FU15" s="515"/>
      <c r="FV15" s="516">
        <f t="shared" si="57"/>
        <v>0</v>
      </c>
      <c r="FW15" s="517">
        <f t="shared" si="168"/>
        <v>0</v>
      </c>
      <c r="FX15" s="515"/>
      <c r="FY15" s="516">
        <f t="shared" si="58"/>
        <v>0</v>
      </c>
      <c r="FZ15" s="517">
        <f t="shared" si="169"/>
        <v>0</v>
      </c>
      <c r="GA15" s="515"/>
      <c r="GB15" s="516">
        <f t="shared" si="59"/>
        <v>0</v>
      </c>
      <c r="GC15" s="517">
        <f t="shared" si="170"/>
        <v>0</v>
      </c>
      <c r="GD15" s="515"/>
      <c r="GE15" s="516">
        <f t="shared" si="60"/>
        <v>0</v>
      </c>
      <c r="GF15" s="517">
        <f t="shared" si="171"/>
        <v>0</v>
      </c>
      <c r="GG15" s="515"/>
      <c r="GH15" s="516">
        <f t="shared" si="61"/>
        <v>0</v>
      </c>
      <c r="GI15" s="517">
        <f t="shared" si="172"/>
        <v>0</v>
      </c>
      <c r="GJ15" s="515"/>
      <c r="GK15" s="516">
        <f t="shared" si="62"/>
        <v>0</v>
      </c>
      <c r="GL15" s="517">
        <f t="shared" si="173"/>
        <v>0</v>
      </c>
      <c r="GM15" s="515"/>
      <c r="GN15" s="516">
        <f t="shared" si="63"/>
        <v>0</v>
      </c>
      <c r="GO15" s="517">
        <f t="shared" si="174"/>
        <v>0</v>
      </c>
      <c r="GP15" s="515"/>
      <c r="GQ15" s="516">
        <f t="shared" si="64"/>
        <v>0</v>
      </c>
      <c r="GR15" s="517">
        <f t="shared" si="175"/>
        <v>0</v>
      </c>
      <c r="GS15" s="515"/>
      <c r="GT15" s="516">
        <f t="shared" si="65"/>
        <v>0</v>
      </c>
      <c r="GU15" s="517">
        <f t="shared" si="176"/>
        <v>0</v>
      </c>
      <c r="GV15" s="515"/>
      <c r="GW15" s="516">
        <f t="shared" si="66"/>
        <v>0</v>
      </c>
      <c r="GX15" s="517">
        <f t="shared" si="177"/>
        <v>0</v>
      </c>
      <c r="GY15" s="515"/>
      <c r="GZ15" s="516">
        <f t="shared" si="67"/>
        <v>0</v>
      </c>
      <c r="HA15" s="517">
        <f t="shared" si="178"/>
        <v>0</v>
      </c>
      <c r="HB15" s="515"/>
      <c r="HC15" s="516">
        <f t="shared" si="68"/>
        <v>0</v>
      </c>
      <c r="HD15" s="517">
        <f t="shared" si="179"/>
        <v>0</v>
      </c>
      <c r="HE15" s="515"/>
      <c r="HF15" s="516">
        <f t="shared" si="69"/>
        <v>0</v>
      </c>
      <c r="HG15" s="517">
        <f t="shared" si="180"/>
        <v>0</v>
      </c>
      <c r="HH15" s="515"/>
      <c r="HI15" s="516">
        <f t="shared" si="70"/>
        <v>0</v>
      </c>
      <c r="HJ15" s="517">
        <f t="shared" si="181"/>
        <v>0</v>
      </c>
      <c r="HK15" s="515"/>
      <c r="HL15" s="516">
        <f t="shared" si="71"/>
        <v>0</v>
      </c>
      <c r="HM15" s="517">
        <f t="shared" si="182"/>
        <v>0</v>
      </c>
      <c r="HN15" s="515"/>
      <c r="HO15" s="516">
        <f t="shared" si="72"/>
        <v>0</v>
      </c>
      <c r="HP15" s="517">
        <f t="shared" si="183"/>
        <v>0</v>
      </c>
      <c r="HQ15" s="515"/>
      <c r="HR15" s="516">
        <f t="shared" si="73"/>
        <v>0</v>
      </c>
      <c r="HS15" s="517">
        <f t="shared" si="184"/>
        <v>0</v>
      </c>
      <c r="HT15" s="515"/>
      <c r="HU15" s="516">
        <f t="shared" si="74"/>
        <v>0</v>
      </c>
      <c r="HV15" s="517">
        <f t="shared" si="185"/>
        <v>0</v>
      </c>
      <c r="HW15" s="515"/>
      <c r="HX15" s="516">
        <f t="shared" si="75"/>
        <v>0</v>
      </c>
      <c r="HY15" s="517">
        <f t="shared" si="186"/>
        <v>0</v>
      </c>
      <c r="HZ15" s="515"/>
      <c r="IA15" s="516">
        <f t="shared" si="76"/>
        <v>0</v>
      </c>
      <c r="IB15" s="517">
        <f t="shared" si="187"/>
        <v>0</v>
      </c>
      <c r="IC15" s="515"/>
      <c r="ID15" s="516">
        <f t="shared" si="77"/>
        <v>0</v>
      </c>
      <c r="IE15" s="517">
        <f t="shared" si="188"/>
        <v>0</v>
      </c>
      <c r="IF15" s="515"/>
      <c r="IG15" s="516">
        <f t="shared" si="78"/>
        <v>0</v>
      </c>
      <c r="IH15" s="517">
        <f t="shared" si="189"/>
        <v>0</v>
      </c>
      <c r="II15" s="515"/>
      <c r="IJ15" s="516">
        <f t="shared" si="79"/>
        <v>0</v>
      </c>
      <c r="IK15" s="517">
        <f t="shared" si="190"/>
        <v>0</v>
      </c>
      <c r="IL15" s="515"/>
      <c r="IM15" s="516">
        <f t="shared" si="80"/>
        <v>0</v>
      </c>
      <c r="IN15" s="517">
        <f t="shared" si="191"/>
        <v>0</v>
      </c>
      <c r="IO15" s="515"/>
      <c r="IP15" s="516">
        <f t="shared" si="81"/>
        <v>0</v>
      </c>
      <c r="IQ15" s="517">
        <f t="shared" si="192"/>
        <v>0</v>
      </c>
      <c r="IR15" s="515"/>
      <c r="IS15" s="516">
        <f t="shared" si="82"/>
        <v>0</v>
      </c>
      <c r="IT15" s="517">
        <f t="shared" si="193"/>
        <v>0</v>
      </c>
      <c r="IU15" s="515"/>
      <c r="IV15" s="516">
        <f t="shared" si="83"/>
        <v>0</v>
      </c>
      <c r="IW15" s="517">
        <f t="shared" si="194"/>
        <v>0</v>
      </c>
      <c r="IX15" s="515"/>
      <c r="IY15" s="516">
        <f t="shared" si="84"/>
        <v>0</v>
      </c>
      <c r="IZ15" s="517">
        <f t="shared" si="195"/>
        <v>0</v>
      </c>
      <c r="JA15" s="515"/>
      <c r="JB15" s="516">
        <f t="shared" si="85"/>
        <v>0</v>
      </c>
      <c r="JC15" s="517">
        <f t="shared" si="196"/>
        <v>0</v>
      </c>
      <c r="JD15" s="515"/>
      <c r="JE15" s="516">
        <f t="shared" si="86"/>
        <v>0</v>
      </c>
      <c r="JF15" s="517">
        <f t="shared" si="197"/>
        <v>0</v>
      </c>
      <c r="JG15" s="515"/>
      <c r="JH15" s="516">
        <f t="shared" si="87"/>
        <v>0</v>
      </c>
      <c r="JI15" s="517">
        <f t="shared" si="198"/>
        <v>0</v>
      </c>
      <c r="JJ15" s="515"/>
      <c r="JK15" s="517" t="str">
        <f t="shared" si="88"/>
        <v>0</v>
      </c>
      <c r="JL15" s="517" t="str">
        <f t="shared" si="89"/>
        <v>0</v>
      </c>
      <c r="JM15" s="515"/>
      <c r="JN15" s="517" t="str">
        <f t="shared" si="90"/>
        <v>0</v>
      </c>
      <c r="JO15" s="517" t="str">
        <f t="shared" si="91"/>
        <v>0</v>
      </c>
      <c r="JP15" s="515"/>
      <c r="JQ15" s="517" t="str">
        <f t="shared" si="92"/>
        <v>0</v>
      </c>
      <c r="JR15" s="517" t="str">
        <f t="shared" si="93"/>
        <v>0</v>
      </c>
      <c r="JS15" s="515"/>
      <c r="JT15" s="517" t="str">
        <f t="shared" si="94"/>
        <v>0</v>
      </c>
      <c r="JU15" s="517" t="str">
        <f t="shared" si="95"/>
        <v>0</v>
      </c>
      <c r="JV15" s="515"/>
      <c r="JW15" s="517" t="str">
        <f t="shared" si="96"/>
        <v>0</v>
      </c>
      <c r="JX15" s="517" t="str">
        <f t="shared" si="97"/>
        <v>0</v>
      </c>
      <c r="JY15" s="515"/>
      <c r="JZ15" s="517" t="str">
        <f t="shared" si="98"/>
        <v>0</v>
      </c>
      <c r="KA15" s="517" t="str">
        <f t="shared" si="99"/>
        <v>0</v>
      </c>
      <c r="KB15" s="515"/>
      <c r="KC15" s="517" t="str">
        <f t="shared" si="100"/>
        <v>0</v>
      </c>
      <c r="KD15" s="517" t="str">
        <f t="shared" si="101"/>
        <v>0</v>
      </c>
      <c r="KE15" s="515"/>
      <c r="KF15" s="517" t="str">
        <f t="shared" si="102"/>
        <v>0</v>
      </c>
      <c r="KG15" s="517" t="str">
        <f t="shared" si="103"/>
        <v>0</v>
      </c>
      <c r="KH15" s="515"/>
      <c r="KI15" s="517" t="str">
        <f t="shared" si="104"/>
        <v>0</v>
      </c>
      <c r="KJ15" s="517" t="str">
        <f t="shared" si="105"/>
        <v>0</v>
      </c>
      <c r="KK15" s="515"/>
      <c r="KL15" s="517" t="str">
        <f t="shared" si="106"/>
        <v>0</v>
      </c>
      <c r="KM15" s="517" t="str">
        <f t="shared" si="107"/>
        <v>0</v>
      </c>
      <c r="KN15" s="515"/>
      <c r="KO15" s="517" t="str">
        <f t="shared" si="108"/>
        <v>0</v>
      </c>
      <c r="KP15" s="517" t="str">
        <f t="shared" si="109"/>
        <v>0</v>
      </c>
      <c r="KQ15" s="515"/>
      <c r="KR15" s="517" t="str">
        <f t="shared" si="110"/>
        <v>0</v>
      </c>
      <c r="KS15" s="517" t="str">
        <f t="shared" si="111"/>
        <v>0</v>
      </c>
      <c r="KT15" s="517">
        <f t="shared" si="201"/>
        <v>0</v>
      </c>
      <c r="KU15" s="517">
        <f t="shared" si="202"/>
        <v>0</v>
      </c>
      <c r="KV15" s="263">
        <f t="shared" si="199"/>
        <v>291.16227456319592</v>
      </c>
    </row>
    <row r="16" spans="1:308">
      <c r="A16" s="264">
        <f t="shared" si="200"/>
        <v>45846</v>
      </c>
      <c r="B16" s="265" t="str">
        <f>+Report1!B16</f>
        <v>Toilet</v>
      </c>
      <c r="C16" s="265" t="str">
        <f>+Report1!C16</f>
        <v>13</v>
      </c>
      <c r="D16" s="266">
        <f>+Report1!P16</f>
        <v>42.275000000000006</v>
      </c>
      <c r="E16" s="553">
        <f>+Report1!R16</f>
        <v>38.69</v>
      </c>
      <c r="F16" s="515"/>
      <c r="G16" s="516">
        <f t="shared" si="0"/>
        <v>0</v>
      </c>
      <c r="H16" s="517">
        <f t="shared" si="112"/>
        <v>0</v>
      </c>
      <c r="I16" s="515"/>
      <c r="J16" s="516">
        <f t="shared" si="1"/>
        <v>0</v>
      </c>
      <c r="K16" s="517">
        <f t="shared" si="113"/>
        <v>0</v>
      </c>
      <c r="L16" s="515"/>
      <c r="M16" s="516">
        <f t="shared" si="2"/>
        <v>0</v>
      </c>
      <c r="N16" s="517">
        <f t="shared" si="114"/>
        <v>0</v>
      </c>
      <c r="O16" s="515">
        <v>9</v>
      </c>
      <c r="P16" s="516">
        <f t="shared" si="3"/>
        <v>0.23261824760920136</v>
      </c>
      <c r="Q16" s="517">
        <f t="shared" si="115"/>
        <v>0</v>
      </c>
      <c r="R16" s="515"/>
      <c r="S16" s="516">
        <f t="shared" si="4"/>
        <v>0</v>
      </c>
      <c r="T16" s="517">
        <f t="shared" si="116"/>
        <v>0</v>
      </c>
      <c r="U16" s="515">
        <v>7.6875</v>
      </c>
      <c r="V16" s="516">
        <f t="shared" si="5"/>
        <v>0.19869475316619284</v>
      </c>
      <c r="W16" s="517">
        <f t="shared" si="117"/>
        <v>0</v>
      </c>
      <c r="X16" s="515"/>
      <c r="Y16" s="516">
        <f t="shared" si="6"/>
        <v>0</v>
      </c>
      <c r="Z16" s="517">
        <f t="shared" si="118"/>
        <v>0</v>
      </c>
      <c r="AA16" s="515">
        <v>7.8125</v>
      </c>
      <c r="AB16" s="516">
        <f t="shared" si="7"/>
        <v>0.20192556216076507</v>
      </c>
      <c r="AC16" s="517">
        <f t="shared" si="119"/>
        <v>0</v>
      </c>
      <c r="AD16" s="515"/>
      <c r="AE16" s="516">
        <f t="shared" si="8"/>
        <v>0</v>
      </c>
      <c r="AF16" s="517">
        <f t="shared" si="120"/>
        <v>0</v>
      </c>
      <c r="AG16" s="515"/>
      <c r="AH16" s="516">
        <f t="shared" si="9"/>
        <v>0</v>
      </c>
      <c r="AI16" s="517">
        <f t="shared" si="121"/>
        <v>0</v>
      </c>
      <c r="AJ16" s="515"/>
      <c r="AK16" s="516">
        <f t="shared" si="10"/>
        <v>0</v>
      </c>
      <c r="AL16" s="517">
        <f t="shared" si="122"/>
        <v>0</v>
      </c>
      <c r="AM16" s="515"/>
      <c r="AN16" s="516">
        <f t="shared" si="11"/>
        <v>0</v>
      </c>
      <c r="AO16" s="517">
        <f t="shared" si="123"/>
        <v>0</v>
      </c>
      <c r="AP16" s="515">
        <v>48.417721518987349</v>
      </c>
      <c r="AQ16" s="516">
        <f t="shared" si="12"/>
        <v>1.2514272814419063</v>
      </c>
      <c r="AR16" s="517">
        <f t="shared" si="124"/>
        <v>0</v>
      </c>
      <c r="AS16" s="515"/>
      <c r="AT16" s="516">
        <f t="shared" si="13"/>
        <v>0</v>
      </c>
      <c r="AU16" s="517">
        <f t="shared" si="125"/>
        <v>0</v>
      </c>
      <c r="AV16" s="515">
        <v>8.3249999999999957</v>
      </c>
      <c r="AW16" s="516">
        <f t="shared" si="14"/>
        <v>0.21517187903851115</v>
      </c>
      <c r="AX16" s="517">
        <f t="shared" si="126"/>
        <v>0</v>
      </c>
      <c r="AY16" s="515">
        <v>58.333333333333314</v>
      </c>
      <c r="AZ16" s="516">
        <f t="shared" si="15"/>
        <v>1.507710864133712</v>
      </c>
      <c r="BA16" s="517">
        <f t="shared" si="127"/>
        <v>0</v>
      </c>
      <c r="BB16" s="515"/>
      <c r="BC16" s="516">
        <f t="shared" si="16"/>
        <v>0</v>
      </c>
      <c r="BD16" s="517">
        <f t="shared" si="128"/>
        <v>0</v>
      </c>
      <c r="BE16" s="515"/>
      <c r="BF16" s="516">
        <f t="shared" si="17"/>
        <v>0</v>
      </c>
      <c r="BG16" s="517">
        <f t="shared" si="129"/>
        <v>0</v>
      </c>
      <c r="BH16" s="515"/>
      <c r="BI16" s="516">
        <f t="shared" si="18"/>
        <v>0</v>
      </c>
      <c r="BJ16" s="517">
        <f t="shared" si="130"/>
        <v>0</v>
      </c>
      <c r="BK16" s="515"/>
      <c r="BL16" s="516">
        <f t="shared" si="19"/>
        <v>0</v>
      </c>
      <c r="BM16" s="517">
        <f t="shared" si="131"/>
        <v>0</v>
      </c>
      <c r="BN16" s="515"/>
      <c r="BO16" s="516">
        <f t="shared" si="20"/>
        <v>0</v>
      </c>
      <c r="BP16" s="517">
        <f t="shared" si="132"/>
        <v>0</v>
      </c>
      <c r="BQ16" s="515"/>
      <c r="BR16" s="516">
        <f t="shared" si="21"/>
        <v>0</v>
      </c>
      <c r="BS16" s="517">
        <f t="shared" si="133"/>
        <v>0</v>
      </c>
      <c r="BT16" s="515"/>
      <c r="BU16" s="516">
        <f t="shared" si="22"/>
        <v>0</v>
      </c>
      <c r="BV16" s="517">
        <f t="shared" si="134"/>
        <v>0</v>
      </c>
      <c r="BW16" s="515"/>
      <c r="BX16" s="516">
        <f t="shared" si="23"/>
        <v>0</v>
      </c>
      <c r="BY16" s="517">
        <f t="shared" si="135"/>
        <v>0</v>
      </c>
      <c r="BZ16" s="515"/>
      <c r="CA16" s="516">
        <f t="shared" si="24"/>
        <v>0</v>
      </c>
      <c r="CB16" s="517">
        <f t="shared" si="136"/>
        <v>0</v>
      </c>
      <c r="CC16" s="515"/>
      <c r="CD16" s="516">
        <f t="shared" si="25"/>
        <v>0</v>
      </c>
      <c r="CE16" s="517">
        <f t="shared" si="137"/>
        <v>0</v>
      </c>
      <c r="CF16" s="515">
        <v>1.1000000000000028</v>
      </c>
      <c r="CG16" s="516">
        <f t="shared" si="26"/>
        <v>2.8431119152235791E-2</v>
      </c>
      <c r="CH16" s="517">
        <f t="shared" si="138"/>
        <v>0</v>
      </c>
      <c r="CI16" s="515"/>
      <c r="CJ16" s="516">
        <f t="shared" si="27"/>
        <v>0</v>
      </c>
      <c r="CK16" s="517">
        <f t="shared" si="139"/>
        <v>0</v>
      </c>
      <c r="CL16" s="515"/>
      <c r="CM16" s="516">
        <f t="shared" si="28"/>
        <v>0</v>
      </c>
      <c r="CN16" s="517">
        <f t="shared" si="140"/>
        <v>0</v>
      </c>
      <c r="CO16" s="515"/>
      <c r="CP16" s="516">
        <f t="shared" si="29"/>
        <v>0</v>
      </c>
      <c r="CQ16" s="517">
        <f t="shared" si="141"/>
        <v>0</v>
      </c>
      <c r="CR16" s="515"/>
      <c r="CS16" s="516">
        <f t="shared" si="30"/>
        <v>0</v>
      </c>
      <c r="CT16" s="517">
        <f t="shared" si="142"/>
        <v>0</v>
      </c>
      <c r="CU16" s="515"/>
      <c r="CV16" s="516">
        <f t="shared" si="31"/>
        <v>0</v>
      </c>
      <c r="CW16" s="517">
        <f t="shared" si="143"/>
        <v>0</v>
      </c>
      <c r="CX16" s="515"/>
      <c r="CY16" s="516">
        <f t="shared" si="32"/>
        <v>0</v>
      </c>
      <c r="CZ16" s="517">
        <f t="shared" si="144"/>
        <v>0</v>
      </c>
      <c r="DA16" s="515">
        <v>130.81395348837214</v>
      </c>
      <c r="DB16" s="516">
        <f t="shared" si="33"/>
        <v>3.3810791803662998</v>
      </c>
      <c r="DC16" s="517">
        <f t="shared" si="145"/>
        <v>0</v>
      </c>
      <c r="DD16" s="515"/>
      <c r="DE16" s="516">
        <f t="shared" si="34"/>
        <v>0</v>
      </c>
      <c r="DF16" s="517">
        <f t="shared" si="146"/>
        <v>0</v>
      </c>
      <c r="DG16" s="515"/>
      <c r="DH16" s="516">
        <f t="shared" si="35"/>
        <v>0</v>
      </c>
      <c r="DI16" s="517">
        <f t="shared" si="203"/>
        <v>0</v>
      </c>
      <c r="DJ16" s="515"/>
      <c r="DK16" s="516">
        <f t="shared" si="36"/>
        <v>0</v>
      </c>
      <c r="DL16" s="517">
        <f t="shared" si="147"/>
        <v>0</v>
      </c>
      <c r="DM16" s="515"/>
      <c r="DN16" s="516">
        <f t="shared" si="37"/>
        <v>0</v>
      </c>
      <c r="DO16" s="517">
        <f t="shared" si="148"/>
        <v>0</v>
      </c>
      <c r="DP16" s="515"/>
      <c r="DQ16" s="516">
        <f t="shared" si="38"/>
        <v>0</v>
      </c>
      <c r="DR16" s="517">
        <f t="shared" si="149"/>
        <v>0</v>
      </c>
      <c r="DS16" s="515"/>
      <c r="DT16" s="516">
        <f t="shared" si="39"/>
        <v>0</v>
      </c>
      <c r="DU16" s="517">
        <f t="shared" si="150"/>
        <v>0</v>
      </c>
      <c r="DV16" s="515"/>
      <c r="DW16" s="516">
        <f t="shared" si="40"/>
        <v>0</v>
      </c>
      <c r="DX16" s="517">
        <f t="shared" si="151"/>
        <v>0</v>
      </c>
      <c r="DY16" s="515"/>
      <c r="DZ16" s="516">
        <f t="shared" si="41"/>
        <v>0</v>
      </c>
      <c r="EA16" s="517">
        <f t="shared" si="152"/>
        <v>0</v>
      </c>
      <c r="EB16" s="515"/>
      <c r="EC16" s="516">
        <f t="shared" si="42"/>
        <v>0</v>
      </c>
      <c r="ED16" s="517">
        <f t="shared" si="153"/>
        <v>0</v>
      </c>
      <c r="EE16" s="515">
        <v>10.90116279069764</v>
      </c>
      <c r="EF16" s="516">
        <f t="shared" si="43"/>
        <v>0.28175659836385736</v>
      </c>
      <c r="EG16" s="517">
        <f t="shared" si="154"/>
        <v>0</v>
      </c>
      <c r="EH16" s="515">
        <v>23.482352941176487</v>
      </c>
      <c r="EI16" s="516">
        <f t="shared" si="44"/>
        <v>0.60693597676858335</v>
      </c>
      <c r="EJ16" s="517">
        <f t="shared" si="155"/>
        <v>0</v>
      </c>
      <c r="EK16" s="515">
        <v>3.1999999999999993</v>
      </c>
      <c r="EL16" s="516">
        <f t="shared" si="45"/>
        <v>8.2708710261049354E-2</v>
      </c>
      <c r="EM16" s="517">
        <f t="shared" si="156"/>
        <v>0</v>
      </c>
      <c r="EN16" s="515"/>
      <c r="EO16" s="516">
        <f t="shared" si="46"/>
        <v>0</v>
      </c>
      <c r="EP16" s="517">
        <f t="shared" si="157"/>
        <v>0</v>
      </c>
      <c r="EQ16" s="515"/>
      <c r="ER16" s="516">
        <f t="shared" si="47"/>
        <v>0</v>
      </c>
      <c r="ES16" s="517">
        <f t="shared" si="158"/>
        <v>0</v>
      </c>
      <c r="ET16" s="515"/>
      <c r="EU16" s="516">
        <f t="shared" si="48"/>
        <v>0</v>
      </c>
      <c r="EV16" s="517">
        <f t="shared" si="159"/>
        <v>0</v>
      </c>
      <c r="EW16" s="515"/>
      <c r="EX16" s="516">
        <f t="shared" si="49"/>
        <v>0</v>
      </c>
      <c r="EY16" s="517">
        <f t="shared" si="160"/>
        <v>0</v>
      </c>
      <c r="EZ16" s="515"/>
      <c r="FA16" s="516">
        <f t="shared" si="50"/>
        <v>0</v>
      </c>
      <c r="FB16" s="517">
        <f t="shared" si="161"/>
        <v>0</v>
      </c>
      <c r="FC16" s="515"/>
      <c r="FD16" s="516">
        <f t="shared" si="51"/>
        <v>0</v>
      </c>
      <c r="FE16" s="517">
        <f t="shared" si="162"/>
        <v>0</v>
      </c>
      <c r="FF16" s="515"/>
      <c r="FG16" s="516">
        <f t="shared" si="52"/>
        <v>0</v>
      </c>
      <c r="FH16" s="517">
        <f t="shared" si="163"/>
        <v>0</v>
      </c>
      <c r="FI16" s="515"/>
      <c r="FJ16" s="516">
        <f t="shared" si="53"/>
        <v>0</v>
      </c>
      <c r="FK16" s="517">
        <f t="shared" si="164"/>
        <v>0</v>
      </c>
      <c r="FL16" s="515"/>
      <c r="FM16" s="516">
        <f t="shared" si="54"/>
        <v>0</v>
      </c>
      <c r="FN16" s="517">
        <f t="shared" si="165"/>
        <v>0</v>
      </c>
      <c r="FO16" s="515"/>
      <c r="FP16" s="516">
        <f t="shared" si="55"/>
        <v>0</v>
      </c>
      <c r="FQ16" s="517">
        <f t="shared" si="166"/>
        <v>0</v>
      </c>
      <c r="FR16" s="515"/>
      <c r="FS16" s="516">
        <f t="shared" si="56"/>
        <v>0</v>
      </c>
      <c r="FT16" s="517">
        <f t="shared" si="167"/>
        <v>0</v>
      </c>
      <c r="FU16" s="515"/>
      <c r="FV16" s="516">
        <f t="shared" si="57"/>
        <v>0</v>
      </c>
      <c r="FW16" s="517">
        <f t="shared" si="168"/>
        <v>0</v>
      </c>
      <c r="FX16" s="515"/>
      <c r="FY16" s="516">
        <f t="shared" si="58"/>
        <v>0</v>
      </c>
      <c r="FZ16" s="517">
        <f t="shared" si="169"/>
        <v>0</v>
      </c>
      <c r="GA16" s="515"/>
      <c r="GB16" s="516">
        <f t="shared" si="59"/>
        <v>0</v>
      </c>
      <c r="GC16" s="517">
        <f t="shared" si="170"/>
        <v>0</v>
      </c>
      <c r="GD16" s="515"/>
      <c r="GE16" s="516">
        <f t="shared" si="60"/>
        <v>0</v>
      </c>
      <c r="GF16" s="517">
        <f t="shared" si="171"/>
        <v>0</v>
      </c>
      <c r="GG16" s="515"/>
      <c r="GH16" s="516">
        <f t="shared" si="61"/>
        <v>0</v>
      </c>
      <c r="GI16" s="517">
        <f t="shared" si="172"/>
        <v>0</v>
      </c>
      <c r="GJ16" s="515"/>
      <c r="GK16" s="516">
        <f t="shared" si="62"/>
        <v>0</v>
      </c>
      <c r="GL16" s="517">
        <f t="shared" si="173"/>
        <v>0</v>
      </c>
      <c r="GM16" s="515"/>
      <c r="GN16" s="516">
        <f t="shared" si="63"/>
        <v>0</v>
      </c>
      <c r="GO16" s="517">
        <f t="shared" si="174"/>
        <v>0</v>
      </c>
      <c r="GP16" s="515"/>
      <c r="GQ16" s="516">
        <f t="shared" si="64"/>
        <v>0</v>
      </c>
      <c r="GR16" s="517">
        <f t="shared" si="175"/>
        <v>0</v>
      </c>
      <c r="GS16" s="515"/>
      <c r="GT16" s="516">
        <f t="shared" si="65"/>
        <v>0</v>
      </c>
      <c r="GU16" s="517">
        <f t="shared" si="176"/>
        <v>0</v>
      </c>
      <c r="GV16" s="515"/>
      <c r="GW16" s="516">
        <f t="shared" si="66"/>
        <v>0</v>
      </c>
      <c r="GX16" s="517">
        <f t="shared" si="177"/>
        <v>0</v>
      </c>
      <c r="GY16" s="515"/>
      <c r="GZ16" s="516">
        <f t="shared" si="67"/>
        <v>0</v>
      </c>
      <c r="HA16" s="517">
        <f t="shared" si="178"/>
        <v>0</v>
      </c>
      <c r="HB16" s="515"/>
      <c r="HC16" s="516">
        <f t="shared" si="68"/>
        <v>0</v>
      </c>
      <c r="HD16" s="517">
        <f t="shared" si="179"/>
        <v>0</v>
      </c>
      <c r="HE16" s="515"/>
      <c r="HF16" s="516">
        <f t="shared" si="69"/>
        <v>0</v>
      </c>
      <c r="HG16" s="517">
        <f t="shared" si="180"/>
        <v>0</v>
      </c>
      <c r="HH16" s="515"/>
      <c r="HI16" s="516">
        <f t="shared" si="70"/>
        <v>0</v>
      </c>
      <c r="HJ16" s="517">
        <f t="shared" si="181"/>
        <v>0</v>
      </c>
      <c r="HK16" s="515"/>
      <c r="HL16" s="516">
        <f t="shared" si="71"/>
        <v>0</v>
      </c>
      <c r="HM16" s="517">
        <f t="shared" si="182"/>
        <v>0</v>
      </c>
      <c r="HN16" s="515"/>
      <c r="HO16" s="516">
        <f t="shared" si="72"/>
        <v>0</v>
      </c>
      <c r="HP16" s="517">
        <f t="shared" si="183"/>
        <v>0</v>
      </c>
      <c r="HQ16" s="515"/>
      <c r="HR16" s="516">
        <f t="shared" si="73"/>
        <v>0</v>
      </c>
      <c r="HS16" s="517">
        <f t="shared" si="184"/>
        <v>0</v>
      </c>
      <c r="HT16" s="515"/>
      <c r="HU16" s="516">
        <f t="shared" si="74"/>
        <v>0</v>
      </c>
      <c r="HV16" s="517">
        <f t="shared" si="185"/>
        <v>0</v>
      </c>
      <c r="HW16" s="515"/>
      <c r="HX16" s="516">
        <f t="shared" si="75"/>
        <v>0</v>
      </c>
      <c r="HY16" s="517">
        <f t="shared" si="186"/>
        <v>0</v>
      </c>
      <c r="HZ16" s="515"/>
      <c r="IA16" s="516">
        <f t="shared" si="76"/>
        <v>0</v>
      </c>
      <c r="IB16" s="517">
        <f t="shared" si="187"/>
        <v>0</v>
      </c>
      <c r="IC16" s="515"/>
      <c r="ID16" s="516">
        <f t="shared" si="77"/>
        <v>0</v>
      </c>
      <c r="IE16" s="517">
        <f t="shared" si="188"/>
        <v>0</v>
      </c>
      <c r="IF16" s="515"/>
      <c r="IG16" s="516">
        <f t="shared" si="78"/>
        <v>0</v>
      </c>
      <c r="IH16" s="517">
        <f t="shared" si="189"/>
        <v>0</v>
      </c>
      <c r="II16" s="515"/>
      <c r="IJ16" s="516">
        <f t="shared" si="79"/>
        <v>0</v>
      </c>
      <c r="IK16" s="517">
        <f t="shared" si="190"/>
        <v>0</v>
      </c>
      <c r="IL16" s="515"/>
      <c r="IM16" s="516">
        <f t="shared" si="80"/>
        <v>0</v>
      </c>
      <c r="IN16" s="517">
        <f t="shared" si="191"/>
        <v>0</v>
      </c>
      <c r="IO16" s="515"/>
      <c r="IP16" s="516">
        <f t="shared" si="81"/>
        <v>0</v>
      </c>
      <c r="IQ16" s="517">
        <f t="shared" si="192"/>
        <v>0</v>
      </c>
      <c r="IR16" s="515"/>
      <c r="IS16" s="516">
        <f t="shared" si="82"/>
        <v>0</v>
      </c>
      <c r="IT16" s="517">
        <f t="shared" si="193"/>
        <v>0</v>
      </c>
      <c r="IU16" s="515"/>
      <c r="IV16" s="516">
        <f t="shared" si="83"/>
        <v>0</v>
      </c>
      <c r="IW16" s="517">
        <f t="shared" si="194"/>
        <v>0</v>
      </c>
      <c r="IX16" s="515"/>
      <c r="IY16" s="516">
        <f t="shared" si="84"/>
        <v>0</v>
      </c>
      <c r="IZ16" s="517">
        <f t="shared" si="195"/>
        <v>0</v>
      </c>
      <c r="JA16" s="515"/>
      <c r="JB16" s="516">
        <f t="shared" si="85"/>
        <v>0</v>
      </c>
      <c r="JC16" s="517">
        <f t="shared" si="196"/>
        <v>0</v>
      </c>
      <c r="JD16" s="515"/>
      <c r="JE16" s="516">
        <f t="shared" si="86"/>
        <v>0</v>
      </c>
      <c r="JF16" s="517">
        <f t="shared" si="197"/>
        <v>0</v>
      </c>
      <c r="JG16" s="515"/>
      <c r="JH16" s="516">
        <f t="shared" si="87"/>
        <v>0</v>
      </c>
      <c r="JI16" s="517">
        <f t="shared" si="198"/>
        <v>0</v>
      </c>
      <c r="JJ16" s="515"/>
      <c r="JK16" s="517" t="str">
        <f t="shared" si="88"/>
        <v>0</v>
      </c>
      <c r="JL16" s="517" t="str">
        <f t="shared" si="89"/>
        <v>0</v>
      </c>
      <c r="JM16" s="515"/>
      <c r="JN16" s="517" t="str">
        <f t="shared" si="90"/>
        <v>0</v>
      </c>
      <c r="JO16" s="517" t="str">
        <f t="shared" si="91"/>
        <v>0</v>
      </c>
      <c r="JP16" s="515"/>
      <c r="JQ16" s="517" t="str">
        <f t="shared" si="92"/>
        <v>0</v>
      </c>
      <c r="JR16" s="517" t="str">
        <f t="shared" si="93"/>
        <v>0</v>
      </c>
      <c r="JS16" s="515"/>
      <c r="JT16" s="517" t="str">
        <f t="shared" si="94"/>
        <v>0</v>
      </c>
      <c r="JU16" s="517" t="str">
        <f t="shared" si="95"/>
        <v>0</v>
      </c>
      <c r="JV16" s="515"/>
      <c r="JW16" s="517" t="str">
        <f t="shared" si="96"/>
        <v>0</v>
      </c>
      <c r="JX16" s="517" t="str">
        <f t="shared" si="97"/>
        <v>0</v>
      </c>
      <c r="JY16" s="515"/>
      <c r="JZ16" s="517" t="str">
        <f t="shared" si="98"/>
        <v>0</v>
      </c>
      <c r="KA16" s="517" t="str">
        <f t="shared" si="99"/>
        <v>0</v>
      </c>
      <c r="KB16" s="515"/>
      <c r="KC16" s="517" t="str">
        <f t="shared" si="100"/>
        <v>0</v>
      </c>
      <c r="KD16" s="517" t="str">
        <f t="shared" si="101"/>
        <v>0</v>
      </c>
      <c r="KE16" s="515"/>
      <c r="KF16" s="517" t="str">
        <f t="shared" si="102"/>
        <v>0</v>
      </c>
      <c r="KG16" s="517" t="str">
        <f t="shared" si="103"/>
        <v>0</v>
      </c>
      <c r="KH16" s="515"/>
      <c r="KI16" s="517" t="str">
        <f t="shared" si="104"/>
        <v>0</v>
      </c>
      <c r="KJ16" s="517" t="str">
        <f t="shared" si="105"/>
        <v>0</v>
      </c>
      <c r="KK16" s="515"/>
      <c r="KL16" s="517" t="str">
        <f t="shared" si="106"/>
        <v>0</v>
      </c>
      <c r="KM16" s="517" t="str">
        <f t="shared" si="107"/>
        <v>0</v>
      </c>
      <c r="KN16" s="515"/>
      <c r="KO16" s="517" t="str">
        <f t="shared" si="108"/>
        <v>0</v>
      </c>
      <c r="KP16" s="517" t="str">
        <f t="shared" si="109"/>
        <v>0</v>
      </c>
      <c r="KQ16" s="515"/>
      <c r="KR16" s="517" t="str">
        <f t="shared" si="110"/>
        <v>0</v>
      </c>
      <c r="KS16" s="517" t="str">
        <f t="shared" si="111"/>
        <v>0</v>
      </c>
      <c r="KT16" s="517">
        <f t="shared" si="201"/>
        <v>0</v>
      </c>
      <c r="KU16" s="517">
        <f t="shared" si="202"/>
        <v>0</v>
      </c>
      <c r="KV16" s="263">
        <f t="shared" si="199"/>
        <v>309.0735240725669</v>
      </c>
    </row>
    <row r="17" spans="1:308">
      <c r="A17" s="264">
        <f t="shared" si="200"/>
        <v>45847</v>
      </c>
      <c r="B17" s="265" t="str">
        <f>+Report1!B17</f>
        <v>Toilet</v>
      </c>
      <c r="C17" s="265" t="str">
        <f>+Report1!C17</f>
        <v>13</v>
      </c>
      <c r="D17" s="266">
        <f>+Report1!P17</f>
        <v>44.096000000000004</v>
      </c>
      <c r="E17" s="553">
        <f>+Report1!R17</f>
        <v>45.328000000000003</v>
      </c>
      <c r="F17" s="515"/>
      <c r="G17" s="516">
        <f t="shared" si="0"/>
        <v>0</v>
      </c>
      <c r="H17" s="517">
        <f t="shared" si="112"/>
        <v>0</v>
      </c>
      <c r="I17" s="515"/>
      <c r="J17" s="516">
        <f t="shared" si="1"/>
        <v>0</v>
      </c>
      <c r="K17" s="517">
        <f t="shared" si="113"/>
        <v>0</v>
      </c>
      <c r="L17" s="515"/>
      <c r="M17" s="516">
        <f t="shared" si="2"/>
        <v>0</v>
      </c>
      <c r="N17" s="517">
        <f t="shared" si="114"/>
        <v>0</v>
      </c>
      <c r="O17" s="515">
        <v>9</v>
      </c>
      <c r="P17" s="516">
        <f t="shared" si="3"/>
        <v>0.19855277091422519</v>
      </c>
      <c r="Q17" s="517">
        <f t="shared" si="115"/>
        <v>0</v>
      </c>
      <c r="R17" s="515"/>
      <c r="S17" s="516">
        <f t="shared" si="4"/>
        <v>0</v>
      </c>
      <c r="T17" s="517">
        <f t="shared" si="116"/>
        <v>0</v>
      </c>
      <c r="U17" s="515">
        <v>7.6875</v>
      </c>
      <c r="V17" s="516">
        <f t="shared" si="5"/>
        <v>0.16959715848923401</v>
      </c>
      <c r="W17" s="517">
        <f t="shared" si="117"/>
        <v>0</v>
      </c>
      <c r="X17" s="515"/>
      <c r="Y17" s="516">
        <f t="shared" si="6"/>
        <v>0</v>
      </c>
      <c r="Z17" s="517">
        <f t="shared" si="118"/>
        <v>0</v>
      </c>
      <c r="AA17" s="515">
        <v>6.25</v>
      </c>
      <c r="AB17" s="516">
        <f t="shared" si="7"/>
        <v>0.13788386869043415</v>
      </c>
      <c r="AC17" s="517">
        <f t="shared" si="119"/>
        <v>0</v>
      </c>
      <c r="AD17" s="515"/>
      <c r="AE17" s="516">
        <f t="shared" si="8"/>
        <v>0</v>
      </c>
      <c r="AF17" s="517">
        <f t="shared" si="120"/>
        <v>0</v>
      </c>
      <c r="AG17" s="515"/>
      <c r="AH17" s="516">
        <f t="shared" si="9"/>
        <v>0</v>
      </c>
      <c r="AI17" s="517">
        <f t="shared" si="121"/>
        <v>0</v>
      </c>
      <c r="AJ17" s="515"/>
      <c r="AK17" s="516">
        <f t="shared" si="10"/>
        <v>0</v>
      </c>
      <c r="AL17" s="517">
        <f t="shared" si="122"/>
        <v>0</v>
      </c>
      <c r="AM17" s="515"/>
      <c r="AN17" s="516">
        <f t="shared" si="11"/>
        <v>0</v>
      </c>
      <c r="AO17" s="517">
        <f t="shared" si="123"/>
        <v>0</v>
      </c>
      <c r="AP17" s="515">
        <v>51.265822784810098</v>
      </c>
      <c r="AQ17" s="516">
        <f t="shared" si="12"/>
        <v>1.1309967963468517</v>
      </c>
      <c r="AR17" s="517">
        <f t="shared" si="124"/>
        <v>0</v>
      </c>
      <c r="AS17" s="515"/>
      <c r="AT17" s="516">
        <f t="shared" si="13"/>
        <v>0</v>
      </c>
      <c r="AU17" s="517">
        <f t="shared" si="125"/>
        <v>0</v>
      </c>
      <c r="AV17" s="515">
        <v>8.3249999999999886</v>
      </c>
      <c r="AW17" s="516">
        <f t="shared" si="14"/>
        <v>0.18366131309565806</v>
      </c>
      <c r="AX17" s="517">
        <f t="shared" si="126"/>
        <v>0</v>
      </c>
      <c r="AY17" s="515">
        <v>49</v>
      </c>
      <c r="AZ17" s="516">
        <f t="shared" si="15"/>
        <v>1.0810095305330039</v>
      </c>
      <c r="BA17" s="517">
        <f t="shared" si="127"/>
        <v>0</v>
      </c>
      <c r="BB17" s="515"/>
      <c r="BC17" s="516">
        <f t="shared" si="16"/>
        <v>0</v>
      </c>
      <c r="BD17" s="517">
        <f t="shared" si="128"/>
        <v>0</v>
      </c>
      <c r="BE17" s="515"/>
      <c r="BF17" s="516">
        <f t="shared" si="17"/>
        <v>0</v>
      </c>
      <c r="BG17" s="517">
        <f t="shared" si="129"/>
        <v>0</v>
      </c>
      <c r="BH17" s="515"/>
      <c r="BI17" s="516">
        <f t="shared" si="18"/>
        <v>0</v>
      </c>
      <c r="BJ17" s="517">
        <f t="shared" si="130"/>
        <v>0</v>
      </c>
      <c r="BK17" s="515"/>
      <c r="BL17" s="516">
        <f t="shared" si="19"/>
        <v>0</v>
      </c>
      <c r="BM17" s="517">
        <f t="shared" si="131"/>
        <v>0</v>
      </c>
      <c r="BN17" s="515"/>
      <c r="BO17" s="516">
        <f t="shared" si="20"/>
        <v>0</v>
      </c>
      <c r="BP17" s="517">
        <f t="shared" si="132"/>
        <v>0</v>
      </c>
      <c r="BQ17" s="515"/>
      <c r="BR17" s="516">
        <f t="shared" si="21"/>
        <v>0</v>
      </c>
      <c r="BS17" s="517">
        <f t="shared" si="133"/>
        <v>0</v>
      </c>
      <c r="BT17" s="515"/>
      <c r="BU17" s="516">
        <f t="shared" si="22"/>
        <v>0</v>
      </c>
      <c r="BV17" s="517">
        <f t="shared" si="134"/>
        <v>0</v>
      </c>
      <c r="BW17" s="515"/>
      <c r="BX17" s="516">
        <f t="shared" si="23"/>
        <v>0</v>
      </c>
      <c r="BY17" s="517">
        <f t="shared" si="135"/>
        <v>0</v>
      </c>
      <c r="BZ17" s="515"/>
      <c r="CA17" s="516">
        <f t="shared" si="24"/>
        <v>0</v>
      </c>
      <c r="CB17" s="517">
        <f t="shared" si="136"/>
        <v>0</v>
      </c>
      <c r="CC17" s="515"/>
      <c r="CD17" s="516">
        <f t="shared" si="25"/>
        <v>0</v>
      </c>
      <c r="CE17" s="517">
        <f t="shared" si="137"/>
        <v>0</v>
      </c>
      <c r="CF17" s="515">
        <v>1.5000000000000013</v>
      </c>
      <c r="CG17" s="516">
        <f t="shared" si="26"/>
        <v>3.3092128485704225E-2</v>
      </c>
      <c r="CH17" s="517">
        <f t="shared" si="138"/>
        <v>0</v>
      </c>
      <c r="CI17" s="515"/>
      <c r="CJ17" s="516">
        <f t="shared" si="27"/>
        <v>0</v>
      </c>
      <c r="CK17" s="517">
        <f t="shared" si="139"/>
        <v>0</v>
      </c>
      <c r="CL17" s="515"/>
      <c r="CM17" s="516">
        <f t="shared" si="28"/>
        <v>0</v>
      </c>
      <c r="CN17" s="517">
        <f t="shared" si="140"/>
        <v>0</v>
      </c>
      <c r="CO17" s="515"/>
      <c r="CP17" s="516">
        <f t="shared" si="29"/>
        <v>0</v>
      </c>
      <c r="CQ17" s="517">
        <f t="shared" si="141"/>
        <v>0</v>
      </c>
      <c r="CR17" s="515"/>
      <c r="CS17" s="516">
        <f t="shared" si="30"/>
        <v>0</v>
      </c>
      <c r="CT17" s="517">
        <f t="shared" si="142"/>
        <v>0</v>
      </c>
      <c r="CU17" s="515"/>
      <c r="CV17" s="516">
        <f t="shared" si="31"/>
        <v>0</v>
      </c>
      <c r="CW17" s="517">
        <f t="shared" si="143"/>
        <v>0</v>
      </c>
      <c r="CX17" s="515"/>
      <c r="CY17" s="516">
        <f t="shared" si="32"/>
        <v>0</v>
      </c>
      <c r="CZ17" s="517">
        <f t="shared" si="144"/>
        <v>0</v>
      </c>
      <c r="DA17" s="515">
        <v>101.74418604651157</v>
      </c>
      <c r="DB17" s="516">
        <f t="shared" si="33"/>
        <v>2.2446211182163687</v>
      </c>
      <c r="DC17" s="517">
        <f t="shared" si="145"/>
        <v>0</v>
      </c>
      <c r="DD17" s="515"/>
      <c r="DE17" s="516">
        <f t="shared" si="34"/>
        <v>0</v>
      </c>
      <c r="DF17" s="517">
        <f t="shared" si="146"/>
        <v>0</v>
      </c>
      <c r="DG17" s="515"/>
      <c r="DH17" s="516">
        <f t="shared" si="35"/>
        <v>0</v>
      </c>
      <c r="DI17" s="517">
        <f t="shared" si="203"/>
        <v>0</v>
      </c>
      <c r="DJ17" s="515"/>
      <c r="DK17" s="516">
        <f t="shared" si="36"/>
        <v>0</v>
      </c>
      <c r="DL17" s="517">
        <f t="shared" si="147"/>
        <v>0</v>
      </c>
      <c r="DM17" s="515"/>
      <c r="DN17" s="516">
        <f t="shared" si="37"/>
        <v>0</v>
      </c>
      <c r="DO17" s="517">
        <f t="shared" si="148"/>
        <v>0</v>
      </c>
      <c r="DP17" s="515"/>
      <c r="DQ17" s="516">
        <f t="shared" si="38"/>
        <v>0</v>
      </c>
      <c r="DR17" s="517">
        <f t="shared" si="149"/>
        <v>0</v>
      </c>
      <c r="DS17" s="515"/>
      <c r="DT17" s="516">
        <f t="shared" si="39"/>
        <v>0</v>
      </c>
      <c r="DU17" s="517">
        <f t="shared" si="150"/>
        <v>0</v>
      </c>
      <c r="DV17" s="515"/>
      <c r="DW17" s="516">
        <f t="shared" si="40"/>
        <v>0</v>
      </c>
      <c r="DX17" s="517">
        <f t="shared" si="151"/>
        <v>0</v>
      </c>
      <c r="DY17" s="515"/>
      <c r="DZ17" s="516">
        <f t="shared" si="41"/>
        <v>0</v>
      </c>
      <c r="EA17" s="517">
        <f t="shared" si="152"/>
        <v>0</v>
      </c>
      <c r="EB17" s="515"/>
      <c r="EC17" s="516">
        <f t="shared" si="42"/>
        <v>0</v>
      </c>
      <c r="ED17" s="517">
        <f t="shared" si="153"/>
        <v>0</v>
      </c>
      <c r="EE17" s="515">
        <v>10.901162790697754</v>
      </c>
      <c r="EF17" s="516">
        <f t="shared" si="43"/>
        <v>0.24049511980889854</v>
      </c>
      <c r="EG17" s="517">
        <f t="shared" si="154"/>
        <v>0</v>
      </c>
      <c r="EH17" s="515">
        <v>23.482352941176487</v>
      </c>
      <c r="EI17" s="516">
        <f t="shared" si="44"/>
        <v>0.51805402711737747</v>
      </c>
      <c r="EJ17" s="517">
        <f t="shared" si="155"/>
        <v>0</v>
      </c>
      <c r="EK17" s="515">
        <v>2.9999999999999973</v>
      </c>
      <c r="EL17" s="516">
        <f t="shared" si="45"/>
        <v>6.618425697140834E-2</v>
      </c>
      <c r="EM17" s="517">
        <f t="shared" si="156"/>
        <v>0</v>
      </c>
      <c r="EN17" s="515"/>
      <c r="EO17" s="516">
        <f t="shared" si="46"/>
        <v>0</v>
      </c>
      <c r="EP17" s="517">
        <f t="shared" si="157"/>
        <v>0</v>
      </c>
      <c r="EQ17" s="515"/>
      <c r="ER17" s="516">
        <f t="shared" si="47"/>
        <v>0</v>
      </c>
      <c r="ES17" s="517">
        <f t="shared" si="158"/>
        <v>0</v>
      </c>
      <c r="ET17" s="515"/>
      <c r="EU17" s="516">
        <f t="shared" si="48"/>
        <v>0</v>
      </c>
      <c r="EV17" s="517">
        <f t="shared" si="159"/>
        <v>0</v>
      </c>
      <c r="EW17" s="515"/>
      <c r="EX17" s="516">
        <f t="shared" si="49"/>
        <v>0</v>
      </c>
      <c r="EY17" s="517">
        <f t="shared" si="160"/>
        <v>0</v>
      </c>
      <c r="EZ17" s="515"/>
      <c r="FA17" s="516">
        <f t="shared" si="50"/>
        <v>0</v>
      </c>
      <c r="FB17" s="517">
        <f t="shared" si="161"/>
        <v>0</v>
      </c>
      <c r="FC17" s="515"/>
      <c r="FD17" s="516">
        <f t="shared" si="51"/>
        <v>0</v>
      </c>
      <c r="FE17" s="517">
        <f t="shared" si="162"/>
        <v>0</v>
      </c>
      <c r="FF17" s="515"/>
      <c r="FG17" s="516">
        <f t="shared" si="52"/>
        <v>0</v>
      </c>
      <c r="FH17" s="517">
        <f t="shared" si="163"/>
        <v>0</v>
      </c>
      <c r="FI17" s="515"/>
      <c r="FJ17" s="516">
        <f t="shared" si="53"/>
        <v>0</v>
      </c>
      <c r="FK17" s="517">
        <f t="shared" si="164"/>
        <v>0</v>
      </c>
      <c r="FL17" s="515"/>
      <c r="FM17" s="516">
        <f t="shared" si="54"/>
        <v>0</v>
      </c>
      <c r="FN17" s="517">
        <f t="shared" si="165"/>
        <v>0</v>
      </c>
      <c r="FO17" s="515"/>
      <c r="FP17" s="516">
        <f t="shared" si="55"/>
        <v>0</v>
      </c>
      <c r="FQ17" s="517">
        <f t="shared" si="166"/>
        <v>0</v>
      </c>
      <c r="FR17" s="515"/>
      <c r="FS17" s="516">
        <f t="shared" si="56"/>
        <v>0</v>
      </c>
      <c r="FT17" s="517">
        <f t="shared" si="167"/>
        <v>0</v>
      </c>
      <c r="FU17" s="515"/>
      <c r="FV17" s="516">
        <f t="shared" si="57"/>
        <v>0</v>
      </c>
      <c r="FW17" s="517">
        <f t="shared" si="168"/>
        <v>0</v>
      </c>
      <c r="FX17" s="515"/>
      <c r="FY17" s="516">
        <f t="shared" si="58"/>
        <v>0</v>
      </c>
      <c r="FZ17" s="517">
        <f t="shared" si="169"/>
        <v>0</v>
      </c>
      <c r="GA17" s="515"/>
      <c r="GB17" s="516">
        <f t="shared" si="59"/>
        <v>0</v>
      </c>
      <c r="GC17" s="517">
        <f t="shared" si="170"/>
        <v>0</v>
      </c>
      <c r="GD17" s="515"/>
      <c r="GE17" s="516">
        <f t="shared" si="60"/>
        <v>0</v>
      </c>
      <c r="GF17" s="517">
        <f t="shared" si="171"/>
        <v>0</v>
      </c>
      <c r="GG17" s="515"/>
      <c r="GH17" s="516">
        <f t="shared" si="61"/>
        <v>0</v>
      </c>
      <c r="GI17" s="517">
        <f t="shared" si="172"/>
        <v>0</v>
      </c>
      <c r="GJ17" s="515"/>
      <c r="GK17" s="516">
        <f t="shared" si="62"/>
        <v>0</v>
      </c>
      <c r="GL17" s="517">
        <f t="shared" si="173"/>
        <v>0</v>
      </c>
      <c r="GM17" s="515"/>
      <c r="GN17" s="516">
        <f t="shared" si="63"/>
        <v>0</v>
      </c>
      <c r="GO17" s="517">
        <f t="shared" si="174"/>
        <v>0</v>
      </c>
      <c r="GP17" s="515"/>
      <c r="GQ17" s="516">
        <f t="shared" si="64"/>
        <v>0</v>
      </c>
      <c r="GR17" s="517">
        <f t="shared" si="175"/>
        <v>0</v>
      </c>
      <c r="GS17" s="515"/>
      <c r="GT17" s="516">
        <f t="shared" si="65"/>
        <v>0</v>
      </c>
      <c r="GU17" s="517">
        <f t="shared" si="176"/>
        <v>0</v>
      </c>
      <c r="GV17" s="515"/>
      <c r="GW17" s="516">
        <f t="shared" si="66"/>
        <v>0</v>
      </c>
      <c r="GX17" s="517">
        <f t="shared" si="177"/>
        <v>0</v>
      </c>
      <c r="GY17" s="515"/>
      <c r="GZ17" s="516">
        <f t="shared" si="67"/>
        <v>0</v>
      </c>
      <c r="HA17" s="517">
        <f t="shared" si="178"/>
        <v>0</v>
      </c>
      <c r="HB17" s="515"/>
      <c r="HC17" s="516">
        <f t="shared" si="68"/>
        <v>0</v>
      </c>
      <c r="HD17" s="517">
        <f t="shared" si="179"/>
        <v>0</v>
      </c>
      <c r="HE17" s="515"/>
      <c r="HF17" s="516">
        <f t="shared" si="69"/>
        <v>0</v>
      </c>
      <c r="HG17" s="517">
        <f t="shared" si="180"/>
        <v>0</v>
      </c>
      <c r="HH17" s="515"/>
      <c r="HI17" s="516">
        <f t="shared" si="70"/>
        <v>0</v>
      </c>
      <c r="HJ17" s="517">
        <f t="shared" si="181"/>
        <v>0</v>
      </c>
      <c r="HK17" s="515"/>
      <c r="HL17" s="516">
        <f t="shared" si="71"/>
        <v>0</v>
      </c>
      <c r="HM17" s="517">
        <f t="shared" si="182"/>
        <v>0</v>
      </c>
      <c r="HN17" s="515"/>
      <c r="HO17" s="516">
        <f t="shared" si="72"/>
        <v>0</v>
      </c>
      <c r="HP17" s="517">
        <f t="shared" si="183"/>
        <v>0</v>
      </c>
      <c r="HQ17" s="515"/>
      <c r="HR17" s="516">
        <f t="shared" si="73"/>
        <v>0</v>
      </c>
      <c r="HS17" s="517">
        <f t="shared" si="184"/>
        <v>0</v>
      </c>
      <c r="HT17" s="515"/>
      <c r="HU17" s="516">
        <f t="shared" si="74"/>
        <v>0</v>
      </c>
      <c r="HV17" s="517">
        <f t="shared" si="185"/>
        <v>0</v>
      </c>
      <c r="HW17" s="515"/>
      <c r="HX17" s="516">
        <f t="shared" si="75"/>
        <v>0</v>
      </c>
      <c r="HY17" s="517">
        <f t="shared" si="186"/>
        <v>0</v>
      </c>
      <c r="HZ17" s="515"/>
      <c r="IA17" s="516">
        <f t="shared" si="76"/>
        <v>0</v>
      </c>
      <c r="IB17" s="517">
        <f t="shared" si="187"/>
        <v>0</v>
      </c>
      <c r="IC17" s="515"/>
      <c r="ID17" s="516">
        <f t="shared" si="77"/>
        <v>0</v>
      </c>
      <c r="IE17" s="517">
        <f t="shared" si="188"/>
        <v>0</v>
      </c>
      <c r="IF17" s="515"/>
      <c r="IG17" s="516">
        <f t="shared" si="78"/>
        <v>0</v>
      </c>
      <c r="IH17" s="517">
        <f t="shared" si="189"/>
        <v>0</v>
      </c>
      <c r="II17" s="515"/>
      <c r="IJ17" s="516">
        <f t="shared" si="79"/>
        <v>0</v>
      </c>
      <c r="IK17" s="517">
        <f t="shared" si="190"/>
        <v>0</v>
      </c>
      <c r="IL17" s="515"/>
      <c r="IM17" s="516">
        <f t="shared" si="80"/>
        <v>0</v>
      </c>
      <c r="IN17" s="517">
        <f t="shared" si="191"/>
        <v>0</v>
      </c>
      <c r="IO17" s="515"/>
      <c r="IP17" s="516">
        <f t="shared" si="81"/>
        <v>0</v>
      </c>
      <c r="IQ17" s="517">
        <f t="shared" si="192"/>
        <v>0</v>
      </c>
      <c r="IR17" s="515"/>
      <c r="IS17" s="516">
        <f t="shared" si="82"/>
        <v>0</v>
      </c>
      <c r="IT17" s="517">
        <f t="shared" si="193"/>
        <v>0</v>
      </c>
      <c r="IU17" s="515"/>
      <c r="IV17" s="516">
        <f t="shared" si="83"/>
        <v>0</v>
      </c>
      <c r="IW17" s="517">
        <f t="shared" si="194"/>
        <v>0</v>
      </c>
      <c r="IX17" s="515"/>
      <c r="IY17" s="516">
        <f t="shared" si="84"/>
        <v>0</v>
      </c>
      <c r="IZ17" s="517">
        <f t="shared" si="195"/>
        <v>0</v>
      </c>
      <c r="JA17" s="515"/>
      <c r="JB17" s="516">
        <f t="shared" si="85"/>
        <v>0</v>
      </c>
      <c r="JC17" s="517">
        <f t="shared" si="196"/>
        <v>0</v>
      </c>
      <c r="JD17" s="515"/>
      <c r="JE17" s="516">
        <f t="shared" si="86"/>
        <v>0</v>
      </c>
      <c r="JF17" s="517">
        <f t="shared" si="197"/>
        <v>0</v>
      </c>
      <c r="JG17" s="515"/>
      <c r="JH17" s="516">
        <f t="shared" si="87"/>
        <v>0</v>
      </c>
      <c r="JI17" s="517">
        <f t="shared" si="198"/>
        <v>0</v>
      </c>
      <c r="JJ17" s="515"/>
      <c r="JK17" s="517" t="str">
        <f t="shared" si="88"/>
        <v>0</v>
      </c>
      <c r="JL17" s="517" t="str">
        <f t="shared" si="89"/>
        <v>0</v>
      </c>
      <c r="JM17" s="515"/>
      <c r="JN17" s="517" t="str">
        <f t="shared" si="90"/>
        <v>0</v>
      </c>
      <c r="JO17" s="517" t="str">
        <f t="shared" si="91"/>
        <v>0</v>
      </c>
      <c r="JP17" s="515"/>
      <c r="JQ17" s="517" t="str">
        <f t="shared" si="92"/>
        <v>0</v>
      </c>
      <c r="JR17" s="517" t="str">
        <f t="shared" si="93"/>
        <v>0</v>
      </c>
      <c r="JS17" s="515"/>
      <c r="JT17" s="517" t="str">
        <f t="shared" si="94"/>
        <v>0</v>
      </c>
      <c r="JU17" s="517" t="str">
        <f t="shared" si="95"/>
        <v>0</v>
      </c>
      <c r="JV17" s="515"/>
      <c r="JW17" s="517" t="str">
        <f t="shared" si="96"/>
        <v>0</v>
      </c>
      <c r="JX17" s="517" t="str">
        <f t="shared" si="97"/>
        <v>0</v>
      </c>
      <c r="JY17" s="515"/>
      <c r="JZ17" s="517" t="str">
        <f t="shared" si="98"/>
        <v>0</v>
      </c>
      <c r="KA17" s="517" t="str">
        <f t="shared" si="99"/>
        <v>0</v>
      </c>
      <c r="KB17" s="515"/>
      <c r="KC17" s="517" t="str">
        <f t="shared" si="100"/>
        <v>0</v>
      </c>
      <c r="KD17" s="517" t="str">
        <f t="shared" si="101"/>
        <v>0</v>
      </c>
      <c r="KE17" s="515"/>
      <c r="KF17" s="517" t="str">
        <f t="shared" si="102"/>
        <v>0</v>
      </c>
      <c r="KG17" s="517" t="str">
        <f t="shared" si="103"/>
        <v>0</v>
      </c>
      <c r="KH17" s="515"/>
      <c r="KI17" s="517" t="str">
        <f t="shared" si="104"/>
        <v>0</v>
      </c>
      <c r="KJ17" s="517" t="str">
        <f t="shared" si="105"/>
        <v>0</v>
      </c>
      <c r="KK17" s="515"/>
      <c r="KL17" s="517" t="str">
        <f t="shared" si="106"/>
        <v>0</v>
      </c>
      <c r="KM17" s="517" t="str">
        <f t="shared" si="107"/>
        <v>0</v>
      </c>
      <c r="KN17" s="515"/>
      <c r="KO17" s="517" t="str">
        <f t="shared" si="108"/>
        <v>0</v>
      </c>
      <c r="KP17" s="517" t="str">
        <f t="shared" si="109"/>
        <v>0</v>
      </c>
      <c r="KQ17" s="515"/>
      <c r="KR17" s="517" t="str">
        <f t="shared" si="110"/>
        <v>0</v>
      </c>
      <c r="KS17" s="517" t="str">
        <f t="shared" si="111"/>
        <v>0</v>
      </c>
      <c r="KT17" s="517">
        <f t="shared" si="201"/>
        <v>0</v>
      </c>
      <c r="KU17" s="517">
        <f t="shared" si="202"/>
        <v>0</v>
      </c>
      <c r="KV17" s="263">
        <f t="shared" si="199"/>
        <v>272.1560245631959</v>
      </c>
    </row>
    <row r="18" spans="1:308">
      <c r="A18" s="264">
        <f t="shared" si="200"/>
        <v>45848</v>
      </c>
      <c r="B18" s="265" t="str">
        <f>+Report1!B18</f>
        <v>Toilet</v>
      </c>
      <c r="C18" s="265" t="str">
        <f>+Report1!C18</f>
        <v>13</v>
      </c>
      <c r="D18" s="266">
        <f>+Report1!P18</f>
        <v>42.021999999999998</v>
      </c>
      <c r="E18" s="553">
        <f>+Report1!R18</f>
        <v>43.484999999999999</v>
      </c>
      <c r="F18" s="515"/>
      <c r="G18" s="516">
        <f t="shared" si="0"/>
        <v>0</v>
      </c>
      <c r="H18" s="517">
        <f t="shared" si="112"/>
        <v>0</v>
      </c>
      <c r="I18" s="515"/>
      <c r="J18" s="516">
        <f t="shared" si="1"/>
        <v>0</v>
      </c>
      <c r="K18" s="517">
        <f t="shared" si="113"/>
        <v>0</v>
      </c>
      <c r="L18" s="515"/>
      <c r="M18" s="516">
        <f t="shared" si="2"/>
        <v>0</v>
      </c>
      <c r="N18" s="517">
        <f t="shared" si="114"/>
        <v>0</v>
      </c>
      <c r="O18" s="515">
        <v>9</v>
      </c>
      <c r="P18" s="516">
        <f t="shared" si="3"/>
        <v>0.20696791997240427</v>
      </c>
      <c r="Q18" s="517">
        <f t="shared" si="115"/>
        <v>0</v>
      </c>
      <c r="R18" s="515"/>
      <c r="S18" s="516">
        <f t="shared" si="4"/>
        <v>0</v>
      </c>
      <c r="T18" s="517">
        <f t="shared" si="116"/>
        <v>0</v>
      </c>
      <c r="U18" s="515">
        <v>8.9687500000000284</v>
      </c>
      <c r="V18" s="516">
        <f t="shared" si="5"/>
        <v>0.20624928136138965</v>
      </c>
      <c r="W18" s="517">
        <f t="shared" si="117"/>
        <v>0</v>
      </c>
      <c r="X18" s="515"/>
      <c r="Y18" s="516">
        <f t="shared" si="6"/>
        <v>0</v>
      </c>
      <c r="Z18" s="517">
        <f t="shared" si="118"/>
        <v>0</v>
      </c>
      <c r="AA18" s="515">
        <v>6.25</v>
      </c>
      <c r="AB18" s="516">
        <f t="shared" si="7"/>
        <v>0.14372772220305852</v>
      </c>
      <c r="AC18" s="517">
        <f t="shared" si="119"/>
        <v>0</v>
      </c>
      <c r="AD18" s="515"/>
      <c r="AE18" s="516">
        <f t="shared" si="8"/>
        <v>0</v>
      </c>
      <c r="AF18" s="517">
        <f t="shared" si="120"/>
        <v>0</v>
      </c>
      <c r="AG18" s="515"/>
      <c r="AH18" s="516">
        <f t="shared" si="9"/>
        <v>0</v>
      </c>
      <c r="AI18" s="517">
        <f t="shared" si="121"/>
        <v>0</v>
      </c>
      <c r="AJ18" s="515">
        <v>5.875</v>
      </c>
      <c r="AK18" s="516">
        <f t="shared" si="10"/>
        <v>0.13510405887087501</v>
      </c>
      <c r="AL18" s="517">
        <f t="shared" si="122"/>
        <v>0</v>
      </c>
      <c r="AM18" s="515"/>
      <c r="AN18" s="516">
        <f t="shared" si="11"/>
        <v>0</v>
      </c>
      <c r="AO18" s="517">
        <f t="shared" si="123"/>
        <v>0</v>
      </c>
      <c r="AP18" s="515">
        <v>42.721518987341767</v>
      </c>
      <c r="AQ18" s="516">
        <f t="shared" si="12"/>
        <v>0.9824426580968556</v>
      </c>
      <c r="AR18" s="517">
        <f t="shared" si="124"/>
        <v>0</v>
      </c>
      <c r="AS18" s="515"/>
      <c r="AT18" s="516">
        <f t="shared" si="13"/>
        <v>0</v>
      </c>
      <c r="AU18" s="517">
        <f t="shared" si="125"/>
        <v>0</v>
      </c>
      <c r="AV18" s="515">
        <v>9.7124999999999773</v>
      </c>
      <c r="AW18" s="516">
        <f t="shared" si="14"/>
        <v>0.22335288030355244</v>
      </c>
      <c r="AX18" s="517">
        <f t="shared" si="126"/>
        <v>0</v>
      </c>
      <c r="AY18" s="515">
        <v>46.666666666666714</v>
      </c>
      <c r="AZ18" s="516">
        <f t="shared" si="15"/>
        <v>1.0731669924495049</v>
      </c>
      <c r="BA18" s="517">
        <f t="shared" si="127"/>
        <v>0</v>
      </c>
      <c r="BB18" s="515"/>
      <c r="BC18" s="516">
        <f t="shared" si="16"/>
        <v>0</v>
      </c>
      <c r="BD18" s="517">
        <f t="shared" si="128"/>
        <v>0</v>
      </c>
      <c r="BE18" s="515"/>
      <c r="BF18" s="516">
        <f t="shared" si="17"/>
        <v>0</v>
      </c>
      <c r="BG18" s="517">
        <f t="shared" si="129"/>
        <v>0</v>
      </c>
      <c r="BH18" s="515"/>
      <c r="BI18" s="516">
        <f t="shared" si="18"/>
        <v>0</v>
      </c>
      <c r="BJ18" s="517">
        <f t="shared" si="130"/>
        <v>0</v>
      </c>
      <c r="BK18" s="515"/>
      <c r="BL18" s="516">
        <f t="shared" si="19"/>
        <v>0</v>
      </c>
      <c r="BM18" s="517">
        <f t="shared" si="131"/>
        <v>0</v>
      </c>
      <c r="BN18" s="515"/>
      <c r="BO18" s="516">
        <f t="shared" si="20"/>
        <v>0</v>
      </c>
      <c r="BP18" s="517">
        <f t="shared" si="132"/>
        <v>0</v>
      </c>
      <c r="BQ18" s="515"/>
      <c r="BR18" s="516">
        <f t="shared" si="21"/>
        <v>0</v>
      </c>
      <c r="BS18" s="517">
        <f t="shared" si="133"/>
        <v>0</v>
      </c>
      <c r="BT18" s="515"/>
      <c r="BU18" s="516">
        <f t="shared" si="22"/>
        <v>0</v>
      </c>
      <c r="BV18" s="517">
        <f t="shared" si="134"/>
        <v>0</v>
      </c>
      <c r="BW18" s="515"/>
      <c r="BX18" s="516">
        <f t="shared" si="23"/>
        <v>0</v>
      </c>
      <c r="BY18" s="517">
        <f t="shared" si="135"/>
        <v>0</v>
      </c>
      <c r="BZ18" s="515"/>
      <c r="CA18" s="516">
        <f t="shared" si="24"/>
        <v>0</v>
      </c>
      <c r="CB18" s="517">
        <f t="shared" si="136"/>
        <v>0</v>
      </c>
      <c r="CC18" s="515"/>
      <c r="CD18" s="516">
        <f t="shared" si="25"/>
        <v>0</v>
      </c>
      <c r="CE18" s="517">
        <f t="shared" si="137"/>
        <v>0</v>
      </c>
      <c r="CF18" s="515">
        <v>4.4999999999999982</v>
      </c>
      <c r="CG18" s="516">
        <f t="shared" si="26"/>
        <v>0.10348395998620209</v>
      </c>
      <c r="CH18" s="517">
        <f t="shared" si="138"/>
        <v>0</v>
      </c>
      <c r="CI18" s="515"/>
      <c r="CJ18" s="516">
        <f t="shared" si="27"/>
        <v>0</v>
      </c>
      <c r="CK18" s="517">
        <f t="shared" si="139"/>
        <v>0</v>
      </c>
      <c r="CL18" s="515"/>
      <c r="CM18" s="516">
        <f t="shared" si="28"/>
        <v>0</v>
      </c>
      <c r="CN18" s="517">
        <f t="shared" si="140"/>
        <v>0</v>
      </c>
      <c r="CO18" s="515"/>
      <c r="CP18" s="516">
        <f t="shared" si="29"/>
        <v>0</v>
      </c>
      <c r="CQ18" s="517">
        <f t="shared" si="141"/>
        <v>0</v>
      </c>
      <c r="CR18" s="515"/>
      <c r="CS18" s="516">
        <f t="shared" si="30"/>
        <v>0</v>
      </c>
      <c r="CT18" s="517">
        <f t="shared" si="142"/>
        <v>0</v>
      </c>
      <c r="CU18" s="515"/>
      <c r="CV18" s="516">
        <f t="shared" si="31"/>
        <v>0</v>
      </c>
      <c r="CW18" s="517">
        <f t="shared" si="143"/>
        <v>0</v>
      </c>
      <c r="CX18" s="515"/>
      <c r="CY18" s="516">
        <f t="shared" si="32"/>
        <v>0</v>
      </c>
      <c r="CZ18" s="517">
        <f t="shared" si="144"/>
        <v>0</v>
      </c>
      <c r="DA18" s="515">
        <v>116.27906976744191</v>
      </c>
      <c r="DB18" s="516">
        <f t="shared" si="33"/>
        <v>2.6740041340103922</v>
      </c>
      <c r="DC18" s="517">
        <f t="shared" si="145"/>
        <v>0</v>
      </c>
      <c r="DD18" s="515"/>
      <c r="DE18" s="516">
        <f t="shared" si="34"/>
        <v>0</v>
      </c>
      <c r="DF18" s="517">
        <f t="shared" si="146"/>
        <v>0</v>
      </c>
      <c r="DG18" s="515"/>
      <c r="DH18" s="516">
        <f t="shared" si="35"/>
        <v>0</v>
      </c>
      <c r="DI18" s="517">
        <f t="shared" si="203"/>
        <v>0</v>
      </c>
      <c r="DJ18" s="515"/>
      <c r="DK18" s="516">
        <f t="shared" si="36"/>
        <v>0</v>
      </c>
      <c r="DL18" s="517">
        <f t="shared" si="147"/>
        <v>0</v>
      </c>
      <c r="DM18" s="515"/>
      <c r="DN18" s="516">
        <f t="shared" si="37"/>
        <v>0</v>
      </c>
      <c r="DO18" s="517">
        <f t="shared" si="148"/>
        <v>0</v>
      </c>
      <c r="DP18" s="515"/>
      <c r="DQ18" s="516">
        <f t="shared" si="38"/>
        <v>0</v>
      </c>
      <c r="DR18" s="517">
        <f t="shared" si="149"/>
        <v>0</v>
      </c>
      <c r="DS18" s="515"/>
      <c r="DT18" s="516">
        <f t="shared" si="39"/>
        <v>0</v>
      </c>
      <c r="DU18" s="517">
        <f t="shared" si="150"/>
        <v>0</v>
      </c>
      <c r="DV18" s="515"/>
      <c r="DW18" s="516">
        <f t="shared" si="40"/>
        <v>0</v>
      </c>
      <c r="DX18" s="517">
        <f t="shared" si="151"/>
        <v>0</v>
      </c>
      <c r="DY18" s="515">
        <v>6.4698795180723039</v>
      </c>
      <c r="DZ18" s="516">
        <f t="shared" si="41"/>
        <v>0.14878416736972069</v>
      </c>
      <c r="EA18" s="517">
        <f t="shared" si="152"/>
        <v>0</v>
      </c>
      <c r="EB18" s="515"/>
      <c r="EC18" s="516">
        <f t="shared" si="42"/>
        <v>0</v>
      </c>
      <c r="ED18" s="517">
        <f t="shared" si="153"/>
        <v>0</v>
      </c>
      <c r="EE18" s="515">
        <v>10.901162790697526</v>
      </c>
      <c r="EF18" s="516">
        <f t="shared" si="43"/>
        <v>0.25068788756347077</v>
      </c>
      <c r="EG18" s="517">
        <f t="shared" si="154"/>
        <v>0</v>
      </c>
      <c r="EH18" s="515">
        <v>17.611764705882365</v>
      </c>
      <c r="EI18" s="516">
        <f t="shared" si="44"/>
        <v>0.40500781202443059</v>
      </c>
      <c r="EJ18" s="517">
        <f t="shared" si="155"/>
        <v>0</v>
      </c>
      <c r="EK18" s="515">
        <v>2.8000000000000007</v>
      </c>
      <c r="EL18" s="516">
        <f t="shared" si="45"/>
        <v>6.439001954697024E-2</v>
      </c>
      <c r="EM18" s="517">
        <f t="shared" si="156"/>
        <v>0</v>
      </c>
      <c r="EN18" s="515"/>
      <c r="EO18" s="516">
        <f t="shared" si="46"/>
        <v>0</v>
      </c>
      <c r="EP18" s="517">
        <f t="shared" si="157"/>
        <v>0</v>
      </c>
      <c r="EQ18" s="515"/>
      <c r="ER18" s="516">
        <f t="shared" si="47"/>
        <v>0</v>
      </c>
      <c r="ES18" s="517">
        <f t="shared" si="158"/>
        <v>0</v>
      </c>
      <c r="ET18" s="515"/>
      <c r="EU18" s="516">
        <f t="shared" si="48"/>
        <v>0</v>
      </c>
      <c r="EV18" s="517">
        <f t="shared" si="159"/>
        <v>0</v>
      </c>
      <c r="EW18" s="515"/>
      <c r="EX18" s="516">
        <f t="shared" si="49"/>
        <v>0</v>
      </c>
      <c r="EY18" s="517">
        <f t="shared" si="160"/>
        <v>0</v>
      </c>
      <c r="EZ18" s="515"/>
      <c r="FA18" s="516">
        <f t="shared" si="50"/>
        <v>0</v>
      </c>
      <c r="FB18" s="517">
        <f t="shared" si="161"/>
        <v>0</v>
      </c>
      <c r="FC18" s="515"/>
      <c r="FD18" s="516">
        <f t="shared" si="51"/>
        <v>0</v>
      </c>
      <c r="FE18" s="517">
        <f t="shared" si="162"/>
        <v>0</v>
      </c>
      <c r="FF18" s="515"/>
      <c r="FG18" s="516">
        <f t="shared" si="52"/>
        <v>0</v>
      </c>
      <c r="FH18" s="517">
        <f t="shared" si="163"/>
        <v>0</v>
      </c>
      <c r="FI18" s="515"/>
      <c r="FJ18" s="516">
        <f t="shared" si="53"/>
        <v>0</v>
      </c>
      <c r="FK18" s="517">
        <f t="shared" si="164"/>
        <v>0</v>
      </c>
      <c r="FL18" s="515"/>
      <c r="FM18" s="516">
        <f t="shared" si="54"/>
        <v>0</v>
      </c>
      <c r="FN18" s="517">
        <f t="shared" si="165"/>
        <v>0</v>
      </c>
      <c r="FO18" s="515"/>
      <c r="FP18" s="516">
        <f t="shared" si="55"/>
        <v>0</v>
      </c>
      <c r="FQ18" s="517">
        <f t="shared" si="166"/>
        <v>0</v>
      </c>
      <c r="FR18" s="515"/>
      <c r="FS18" s="516">
        <f t="shared" si="56"/>
        <v>0</v>
      </c>
      <c r="FT18" s="517">
        <f t="shared" si="167"/>
        <v>0</v>
      </c>
      <c r="FU18" s="515"/>
      <c r="FV18" s="516">
        <f t="shared" si="57"/>
        <v>0</v>
      </c>
      <c r="FW18" s="517">
        <f t="shared" si="168"/>
        <v>0</v>
      </c>
      <c r="FX18" s="515"/>
      <c r="FY18" s="516">
        <f t="shared" si="58"/>
        <v>0</v>
      </c>
      <c r="FZ18" s="517">
        <f t="shared" si="169"/>
        <v>0</v>
      </c>
      <c r="GA18" s="515"/>
      <c r="GB18" s="516">
        <f t="shared" si="59"/>
        <v>0</v>
      </c>
      <c r="GC18" s="517">
        <f t="shared" si="170"/>
        <v>0</v>
      </c>
      <c r="GD18" s="515"/>
      <c r="GE18" s="516">
        <f t="shared" si="60"/>
        <v>0</v>
      </c>
      <c r="GF18" s="517">
        <f t="shared" si="171"/>
        <v>0</v>
      </c>
      <c r="GG18" s="515"/>
      <c r="GH18" s="516">
        <f t="shared" si="61"/>
        <v>0</v>
      </c>
      <c r="GI18" s="517">
        <f t="shared" si="172"/>
        <v>0</v>
      </c>
      <c r="GJ18" s="515"/>
      <c r="GK18" s="516">
        <f t="shared" si="62"/>
        <v>0</v>
      </c>
      <c r="GL18" s="517">
        <f t="shared" si="173"/>
        <v>0</v>
      </c>
      <c r="GM18" s="515"/>
      <c r="GN18" s="516">
        <f t="shared" si="63"/>
        <v>0</v>
      </c>
      <c r="GO18" s="517">
        <f t="shared" si="174"/>
        <v>0</v>
      </c>
      <c r="GP18" s="515"/>
      <c r="GQ18" s="516">
        <f t="shared" si="64"/>
        <v>0</v>
      </c>
      <c r="GR18" s="517">
        <f t="shared" si="175"/>
        <v>0</v>
      </c>
      <c r="GS18" s="515"/>
      <c r="GT18" s="516">
        <f t="shared" si="65"/>
        <v>0</v>
      </c>
      <c r="GU18" s="517">
        <f t="shared" si="176"/>
        <v>0</v>
      </c>
      <c r="GV18" s="515"/>
      <c r="GW18" s="516">
        <f t="shared" si="66"/>
        <v>0</v>
      </c>
      <c r="GX18" s="517">
        <f t="shared" si="177"/>
        <v>0</v>
      </c>
      <c r="GY18" s="515"/>
      <c r="GZ18" s="516">
        <f t="shared" si="67"/>
        <v>0</v>
      </c>
      <c r="HA18" s="517">
        <f t="shared" si="178"/>
        <v>0</v>
      </c>
      <c r="HB18" s="515"/>
      <c r="HC18" s="516">
        <f t="shared" si="68"/>
        <v>0</v>
      </c>
      <c r="HD18" s="517">
        <f t="shared" si="179"/>
        <v>0</v>
      </c>
      <c r="HE18" s="515"/>
      <c r="HF18" s="516">
        <f t="shared" si="69"/>
        <v>0</v>
      </c>
      <c r="HG18" s="517">
        <f t="shared" si="180"/>
        <v>0</v>
      </c>
      <c r="HH18" s="515"/>
      <c r="HI18" s="516">
        <f t="shared" si="70"/>
        <v>0</v>
      </c>
      <c r="HJ18" s="517">
        <f t="shared" si="181"/>
        <v>0</v>
      </c>
      <c r="HK18" s="515"/>
      <c r="HL18" s="516">
        <f t="shared" si="71"/>
        <v>0</v>
      </c>
      <c r="HM18" s="517">
        <f t="shared" si="182"/>
        <v>0</v>
      </c>
      <c r="HN18" s="515"/>
      <c r="HO18" s="516">
        <f t="shared" si="72"/>
        <v>0</v>
      </c>
      <c r="HP18" s="517">
        <f t="shared" si="183"/>
        <v>0</v>
      </c>
      <c r="HQ18" s="515"/>
      <c r="HR18" s="516">
        <f t="shared" si="73"/>
        <v>0</v>
      </c>
      <c r="HS18" s="517">
        <f t="shared" si="184"/>
        <v>0</v>
      </c>
      <c r="HT18" s="515"/>
      <c r="HU18" s="516">
        <f t="shared" si="74"/>
        <v>0</v>
      </c>
      <c r="HV18" s="517">
        <f t="shared" si="185"/>
        <v>0</v>
      </c>
      <c r="HW18" s="515"/>
      <c r="HX18" s="516">
        <f t="shared" si="75"/>
        <v>0</v>
      </c>
      <c r="HY18" s="517">
        <f t="shared" si="186"/>
        <v>0</v>
      </c>
      <c r="HZ18" s="515"/>
      <c r="IA18" s="516">
        <f t="shared" si="76"/>
        <v>0</v>
      </c>
      <c r="IB18" s="517">
        <f t="shared" si="187"/>
        <v>0</v>
      </c>
      <c r="IC18" s="515"/>
      <c r="ID18" s="516">
        <f t="shared" si="77"/>
        <v>0</v>
      </c>
      <c r="IE18" s="517">
        <f t="shared" si="188"/>
        <v>0</v>
      </c>
      <c r="IF18" s="515"/>
      <c r="IG18" s="516">
        <f t="shared" si="78"/>
        <v>0</v>
      </c>
      <c r="IH18" s="517">
        <f t="shared" si="189"/>
        <v>0</v>
      </c>
      <c r="II18" s="515"/>
      <c r="IJ18" s="516">
        <f t="shared" si="79"/>
        <v>0</v>
      </c>
      <c r="IK18" s="517">
        <f t="shared" si="190"/>
        <v>0</v>
      </c>
      <c r="IL18" s="515"/>
      <c r="IM18" s="516">
        <f t="shared" si="80"/>
        <v>0</v>
      </c>
      <c r="IN18" s="517">
        <f t="shared" si="191"/>
        <v>0</v>
      </c>
      <c r="IO18" s="515"/>
      <c r="IP18" s="516">
        <f t="shared" si="81"/>
        <v>0</v>
      </c>
      <c r="IQ18" s="517">
        <f t="shared" si="192"/>
        <v>0</v>
      </c>
      <c r="IR18" s="515"/>
      <c r="IS18" s="516">
        <f t="shared" si="82"/>
        <v>0</v>
      </c>
      <c r="IT18" s="517">
        <f t="shared" si="193"/>
        <v>0</v>
      </c>
      <c r="IU18" s="515"/>
      <c r="IV18" s="516">
        <f t="shared" si="83"/>
        <v>0</v>
      </c>
      <c r="IW18" s="517">
        <f t="shared" si="194"/>
        <v>0</v>
      </c>
      <c r="IX18" s="515"/>
      <c r="IY18" s="516">
        <f t="shared" si="84"/>
        <v>0</v>
      </c>
      <c r="IZ18" s="517">
        <f t="shared" si="195"/>
        <v>0</v>
      </c>
      <c r="JA18" s="515"/>
      <c r="JB18" s="516">
        <f t="shared" si="85"/>
        <v>0</v>
      </c>
      <c r="JC18" s="517">
        <f t="shared" si="196"/>
        <v>0</v>
      </c>
      <c r="JD18" s="515"/>
      <c r="JE18" s="516">
        <f t="shared" si="86"/>
        <v>0</v>
      </c>
      <c r="JF18" s="517">
        <f t="shared" si="197"/>
        <v>0</v>
      </c>
      <c r="JG18" s="515"/>
      <c r="JH18" s="516">
        <f t="shared" si="87"/>
        <v>0</v>
      </c>
      <c r="JI18" s="517">
        <f t="shared" si="198"/>
        <v>0</v>
      </c>
      <c r="JJ18" s="515"/>
      <c r="JK18" s="517" t="str">
        <f t="shared" si="88"/>
        <v>0</v>
      </c>
      <c r="JL18" s="517" t="str">
        <f t="shared" si="89"/>
        <v>0</v>
      </c>
      <c r="JM18" s="515"/>
      <c r="JN18" s="517" t="str">
        <f t="shared" si="90"/>
        <v>0</v>
      </c>
      <c r="JO18" s="517" t="str">
        <f t="shared" si="91"/>
        <v>0</v>
      </c>
      <c r="JP18" s="515"/>
      <c r="JQ18" s="517" t="str">
        <f t="shared" si="92"/>
        <v>0</v>
      </c>
      <c r="JR18" s="517" t="str">
        <f t="shared" si="93"/>
        <v>0</v>
      </c>
      <c r="JS18" s="515"/>
      <c r="JT18" s="517" t="str">
        <f t="shared" si="94"/>
        <v>0</v>
      </c>
      <c r="JU18" s="517" t="str">
        <f t="shared" si="95"/>
        <v>0</v>
      </c>
      <c r="JV18" s="515"/>
      <c r="JW18" s="517" t="str">
        <f t="shared" si="96"/>
        <v>0</v>
      </c>
      <c r="JX18" s="517" t="str">
        <f t="shared" si="97"/>
        <v>0</v>
      </c>
      <c r="JY18" s="515"/>
      <c r="JZ18" s="517" t="str">
        <f t="shared" si="98"/>
        <v>0</v>
      </c>
      <c r="KA18" s="517" t="str">
        <f t="shared" si="99"/>
        <v>0</v>
      </c>
      <c r="KB18" s="515"/>
      <c r="KC18" s="517" t="str">
        <f t="shared" si="100"/>
        <v>0</v>
      </c>
      <c r="KD18" s="517" t="str">
        <f t="shared" si="101"/>
        <v>0</v>
      </c>
      <c r="KE18" s="515"/>
      <c r="KF18" s="517" t="str">
        <f t="shared" si="102"/>
        <v>0</v>
      </c>
      <c r="KG18" s="517" t="str">
        <f t="shared" si="103"/>
        <v>0</v>
      </c>
      <c r="KH18" s="515"/>
      <c r="KI18" s="517" t="str">
        <f t="shared" si="104"/>
        <v>0</v>
      </c>
      <c r="KJ18" s="517" t="str">
        <f t="shared" si="105"/>
        <v>0</v>
      </c>
      <c r="KK18" s="515"/>
      <c r="KL18" s="517" t="str">
        <f t="shared" si="106"/>
        <v>0</v>
      </c>
      <c r="KM18" s="517" t="str">
        <f t="shared" si="107"/>
        <v>0</v>
      </c>
      <c r="KN18" s="515"/>
      <c r="KO18" s="517" t="str">
        <f t="shared" si="108"/>
        <v>0</v>
      </c>
      <c r="KP18" s="517" t="str">
        <f t="shared" si="109"/>
        <v>0</v>
      </c>
      <c r="KQ18" s="515"/>
      <c r="KR18" s="517" t="str">
        <f t="shared" si="110"/>
        <v>0</v>
      </c>
      <c r="KS18" s="517" t="str">
        <f t="shared" si="111"/>
        <v>0</v>
      </c>
      <c r="KT18" s="517">
        <f t="shared" si="201"/>
        <v>0</v>
      </c>
      <c r="KU18" s="517">
        <f t="shared" si="202"/>
        <v>0</v>
      </c>
      <c r="KV18" s="263">
        <f t="shared" si="199"/>
        <v>287.75631243610263</v>
      </c>
    </row>
    <row r="19" spans="1:308">
      <c r="A19" s="264">
        <f t="shared" si="200"/>
        <v>45849</v>
      </c>
      <c r="B19" s="265" t="str">
        <f>+Report1!B19</f>
        <v>Toilet</v>
      </c>
      <c r="C19" s="265" t="str">
        <f>+Report1!C19</f>
        <v>13</v>
      </c>
      <c r="D19" s="266">
        <f>+Report1!P19</f>
        <v>41.667999999999999</v>
      </c>
      <c r="E19" s="553">
        <f>+Report1!R19</f>
        <v>43.048000000000002</v>
      </c>
      <c r="F19" s="515"/>
      <c r="G19" s="516">
        <f t="shared" si="0"/>
        <v>0</v>
      </c>
      <c r="H19" s="517">
        <f t="shared" si="112"/>
        <v>0</v>
      </c>
      <c r="I19" s="515"/>
      <c r="J19" s="516">
        <f t="shared" si="1"/>
        <v>0</v>
      </c>
      <c r="K19" s="517">
        <f t="shared" si="113"/>
        <v>0</v>
      </c>
      <c r="L19" s="515"/>
      <c r="M19" s="516">
        <f t="shared" si="2"/>
        <v>0</v>
      </c>
      <c r="N19" s="517">
        <f t="shared" si="114"/>
        <v>0</v>
      </c>
      <c r="O19" s="515">
        <v>5.9999999999999716</v>
      </c>
      <c r="P19" s="516">
        <f t="shared" si="3"/>
        <v>0.1393792975283398</v>
      </c>
      <c r="Q19" s="517">
        <f t="shared" si="115"/>
        <v>0</v>
      </c>
      <c r="R19" s="515"/>
      <c r="S19" s="516">
        <f t="shared" si="4"/>
        <v>0</v>
      </c>
      <c r="T19" s="517">
        <f t="shared" si="116"/>
        <v>0</v>
      </c>
      <c r="U19" s="515">
        <v>8.9687499999999716</v>
      </c>
      <c r="V19" s="516">
        <f t="shared" si="5"/>
        <v>0.20834301245121659</v>
      </c>
      <c r="W19" s="517">
        <f t="shared" si="117"/>
        <v>0</v>
      </c>
      <c r="X19" s="515"/>
      <c r="Y19" s="516">
        <f t="shared" si="6"/>
        <v>0</v>
      </c>
      <c r="Z19" s="517">
        <f t="shared" si="118"/>
        <v>0</v>
      </c>
      <c r="AA19" s="515">
        <v>6.25</v>
      </c>
      <c r="AB19" s="516">
        <f t="shared" si="7"/>
        <v>0.14518676825868798</v>
      </c>
      <c r="AC19" s="517">
        <f t="shared" si="119"/>
        <v>0</v>
      </c>
      <c r="AD19" s="515"/>
      <c r="AE19" s="516">
        <f t="shared" si="8"/>
        <v>0</v>
      </c>
      <c r="AF19" s="517">
        <f t="shared" si="120"/>
        <v>0</v>
      </c>
      <c r="AG19" s="515"/>
      <c r="AH19" s="516">
        <f t="shared" si="9"/>
        <v>0</v>
      </c>
      <c r="AI19" s="517">
        <f t="shared" si="121"/>
        <v>0</v>
      </c>
      <c r="AJ19" s="515">
        <v>8.8125</v>
      </c>
      <c r="AK19" s="516">
        <f t="shared" si="10"/>
        <v>0.20471334324475005</v>
      </c>
      <c r="AL19" s="517">
        <f t="shared" si="122"/>
        <v>0</v>
      </c>
      <c r="AM19" s="515"/>
      <c r="AN19" s="516">
        <f t="shared" si="11"/>
        <v>0</v>
      </c>
      <c r="AO19" s="517">
        <f t="shared" si="123"/>
        <v>0</v>
      </c>
      <c r="AP19" s="515">
        <v>56.962025316455708</v>
      </c>
      <c r="AQ19" s="516">
        <f t="shared" si="12"/>
        <v>1.3232211790665236</v>
      </c>
      <c r="AR19" s="517">
        <f t="shared" si="124"/>
        <v>0</v>
      </c>
      <c r="AS19" s="515"/>
      <c r="AT19" s="516">
        <f t="shared" si="13"/>
        <v>0</v>
      </c>
      <c r="AU19" s="517">
        <f t="shared" si="125"/>
        <v>0</v>
      </c>
      <c r="AV19" s="515">
        <v>11.099999999999966</v>
      </c>
      <c r="AW19" s="516">
        <f t="shared" si="14"/>
        <v>0.25785170042742905</v>
      </c>
      <c r="AX19" s="517">
        <f t="shared" si="126"/>
        <v>0</v>
      </c>
      <c r="AY19" s="515">
        <v>65.333333333333286</v>
      </c>
      <c r="AZ19" s="516">
        <f t="shared" si="15"/>
        <v>1.5176856841974837</v>
      </c>
      <c r="BA19" s="517">
        <f t="shared" si="127"/>
        <v>0</v>
      </c>
      <c r="BB19" s="515"/>
      <c r="BC19" s="516">
        <f t="shared" si="16"/>
        <v>0</v>
      </c>
      <c r="BD19" s="517">
        <f t="shared" si="128"/>
        <v>0</v>
      </c>
      <c r="BE19" s="515"/>
      <c r="BF19" s="516">
        <f t="shared" si="17"/>
        <v>0</v>
      </c>
      <c r="BG19" s="517">
        <f t="shared" si="129"/>
        <v>0</v>
      </c>
      <c r="BH19" s="515"/>
      <c r="BI19" s="516">
        <f t="shared" si="18"/>
        <v>0</v>
      </c>
      <c r="BJ19" s="517">
        <f t="shared" si="130"/>
        <v>0</v>
      </c>
      <c r="BK19" s="515"/>
      <c r="BL19" s="516">
        <f t="shared" si="19"/>
        <v>0</v>
      </c>
      <c r="BM19" s="517">
        <f t="shared" si="131"/>
        <v>0</v>
      </c>
      <c r="BN19" s="515"/>
      <c r="BO19" s="516">
        <f t="shared" si="20"/>
        <v>0</v>
      </c>
      <c r="BP19" s="517">
        <f t="shared" si="132"/>
        <v>0</v>
      </c>
      <c r="BQ19" s="515"/>
      <c r="BR19" s="516">
        <f t="shared" si="21"/>
        <v>0</v>
      </c>
      <c r="BS19" s="517">
        <f t="shared" si="133"/>
        <v>0</v>
      </c>
      <c r="BT19" s="515"/>
      <c r="BU19" s="516">
        <f t="shared" si="22"/>
        <v>0</v>
      </c>
      <c r="BV19" s="517">
        <f t="shared" si="134"/>
        <v>0</v>
      </c>
      <c r="BW19" s="515"/>
      <c r="BX19" s="516">
        <f t="shared" si="23"/>
        <v>0</v>
      </c>
      <c r="BY19" s="517">
        <f t="shared" si="135"/>
        <v>0</v>
      </c>
      <c r="BZ19" s="515"/>
      <c r="CA19" s="516">
        <f t="shared" si="24"/>
        <v>0</v>
      </c>
      <c r="CB19" s="517">
        <f t="shared" si="136"/>
        <v>0</v>
      </c>
      <c r="CC19" s="515"/>
      <c r="CD19" s="516">
        <f t="shared" si="25"/>
        <v>0</v>
      </c>
      <c r="CE19" s="517">
        <f t="shared" si="137"/>
        <v>0</v>
      </c>
      <c r="CF19" s="515">
        <v>4.4999999999999973</v>
      </c>
      <c r="CG19" s="516">
        <f t="shared" si="26"/>
        <v>0.10453447314625527</v>
      </c>
      <c r="CH19" s="517">
        <f t="shared" si="138"/>
        <v>0</v>
      </c>
      <c r="CI19" s="515"/>
      <c r="CJ19" s="516">
        <f t="shared" si="27"/>
        <v>0</v>
      </c>
      <c r="CK19" s="517">
        <f t="shared" si="139"/>
        <v>0</v>
      </c>
      <c r="CL19" s="515"/>
      <c r="CM19" s="516">
        <f t="shared" si="28"/>
        <v>0</v>
      </c>
      <c r="CN19" s="517">
        <f t="shared" si="140"/>
        <v>0</v>
      </c>
      <c r="CO19" s="515"/>
      <c r="CP19" s="516">
        <f t="shared" si="29"/>
        <v>0</v>
      </c>
      <c r="CQ19" s="517">
        <f t="shared" si="141"/>
        <v>0</v>
      </c>
      <c r="CR19" s="515"/>
      <c r="CS19" s="516">
        <f t="shared" si="30"/>
        <v>0</v>
      </c>
      <c r="CT19" s="517">
        <f t="shared" si="142"/>
        <v>0</v>
      </c>
      <c r="CU19" s="515"/>
      <c r="CV19" s="516">
        <f t="shared" si="31"/>
        <v>0</v>
      </c>
      <c r="CW19" s="517">
        <f t="shared" si="143"/>
        <v>0</v>
      </c>
      <c r="CX19" s="515"/>
      <c r="CY19" s="516">
        <f t="shared" si="32"/>
        <v>0</v>
      </c>
      <c r="CZ19" s="517">
        <f t="shared" si="144"/>
        <v>0</v>
      </c>
      <c r="DA19" s="515">
        <v>87.209302325581348</v>
      </c>
      <c r="DB19" s="516">
        <f t="shared" si="33"/>
        <v>2.025861882679366</v>
      </c>
      <c r="DC19" s="517">
        <f t="shared" si="145"/>
        <v>0</v>
      </c>
      <c r="DD19" s="515"/>
      <c r="DE19" s="516">
        <f t="shared" si="34"/>
        <v>0</v>
      </c>
      <c r="DF19" s="517">
        <f t="shared" si="146"/>
        <v>0</v>
      </c>
      <c r="DG19" s="515"/>
      <c r="DH19" s="516">
        <f t="shared" si="35"/>
        <v>0</v>
      </c>
      <c r="DI19" s="517">
        <f t="shared" si="203"/>
        <v>0</v>
      </c>
      <c r="DJ19" s="515"/>
      <c r="DK19" s="516">
        <f t="shared" si="36"/>
        <v>0</v>
      </c>
      <c r="DL19" s="517">
        <f t="shared" si="147"/>
        <v>0</v>
      </c>
      <c r="DM19" s="515"/>
      <c r="DN19" s="516">
        <f t="shared" si="37"/>
        <v>0</v>
      </c>
      <c r="DO19" s="517">
        <f t="shared" si="148"/>
        <v>0</v>
      </c>
      <c r="DP19" s="515"/>
      <c r="DQ19" s="516">
        <f t="shared" si="38"/>
        <v>0</v>
      </c>
      <c r="DR19" s="517">
        <f t="shared" si="149"/>
        <v>0</v>
      </c>
      <c r="DS19" s="515"/>
      <c r="DT19" s="516">
        <f t="shared" si="39"/>
        <v>0</v>
      </c>
      <c r="DU19" s="517">
        <f t="shared" si="150"/>
        <v>0</v>
      </c>
      <c r="DV19" s="515"/>
      <c r="DW19" s="516">
        <f t="shared" si="40"/>
        <v>0</v>
      </c>
      <c r="DX19" s="517">
        <f t="shared" si="151"/>
        <v>0</v>
      </c>
      <c r="DY19" s="515"/>
      <c r="DZ19" s="516">
        <f t="shared" si="41"/>
        <v>0</v>
      </c>
      <c r="EA19" s="517">
        <f t="shared" si="152"/>
        <v>0</v>
      </c>
      <c r="EB19" s="515"/>
      <c r="EC19" s="516">
        <f t="shared" si="42"/>
        <v>0</v>
      </c>
      <c r="ED19" s="517">
        <f t="shared" si="153"/>
        <v>0</v>
      </c>
      <c r="EE19" s="515">
        <v>10.901162790697754</v>
      </c>
      <c r="EF19" s="516">
        <f t="shared" si="43"/>
        <v>0.25323273533492274</v>
      </c>
      <c r="EG19" s="517">
        <f t="shared" si="154"/>
        <v>0</v>
      </c>
      <c r="EH19" s="515">
        <v>23.482352941176487</v>
      </c>
      <c r="EI19" s="516">
        <f t="shared" si="44"/>
        <v>0.54549230954228967</v>
      </c>
      <c r="EJ19" s="517">
        <f t="shared" si="155"/>
        <v>0</v>
      </c>
      <c r="EK19" s="515">
        <v>2.8000000000000007</v>
      </c>
      <c r="EL19" s="516">
        <f t="shared" si="45"/>
        <v>6.5043672179892223E-2</v>
      </c>
      <c r="EM19" s="517">
        <f t="shared" si="156"/>
        <v>0</v>
      </c>
      <c r="EN19" s="515"/>
      <c r="EO19" s="516">
        <f t="shared" si="46"/>
        <v>0</v>
      </c>
      <c r="EP19" s="517">
        <f t="shared" si="157"/>
        <v>0</v>
      </c>
      <c r="EQ19" s="515"/>
      <c r="ER19" s="516">
        <f t="shared" si="47"/>
        <v>0</v>
      </c>
      <c r="ES19" s="517">
        <f t="shared" si="158"/>
        <v>0</v>
      </c>
      <c r="ET19" s="515"/>
      <c r="EU19" s="516">
        <f t="shared" si="48"/>
        <v>0</v>
      </c>
      <c r="EV19" s="517">
        <f t="shared" si="159"/>
        <v>0</v>
      </c>
      <c r="EW19" s="515"/>
      <c r="EX19" s="516">
        <f t="shared" si="49"/>
        <v>0</v>
      </c>
      <c r="EY19" s="517">
        <f t="shared" si="160"/>
        <v>0</v>
      </c>
      <c r="EZ19" s="515"/>
      <c r="FA19" s="516">
        <f t="shared" si="50"/>
        <v>0</v>
      </c>
      <c r="FB19" s="517">
        <f t="shared" si="161"/>
        <v>0</v>
      </c>
      <c r="FC19" s="515"/>
      <c r="FD19" s="516">
        <f t="shared" si="51"/>
        <v>0</v>
      </c>
      <c r="FE19" s="517">
        <f t="shared" si="162"/>
        <v>0</v>
      </c>
      <c r="FF19" s="515"/>
      <c r="FG19" s="516">
        <f t="shared" si="52"/>
        <v>0</v>
      </c>
      <c r="FH19" s="517">
        <f t="shared" si="163"/>
        <v>0</v>
      </c>
      <c r="FI19" s="515"/>
      <c r="FJ19" s="516">
        <f t="shared" si="53"/>
        <v>0</v>
      </c>
      <c r="FK19" s="517">
        <f t="shared" si="164"/>
        <v>0</v>
      </c>
      <c r="FL19" s="515"/>
      <c r="FM19" s="516">
        <f t="shared" si="54"/>
        <v>0</v>
      </c>
      <c r="FN19" s="517">
        <f t="shared" si="165"/>
        <v>0</v>
      </c>
      <c r="FO19" s="515"/>
      <c r="FP19" s="516">
        <f t="shared" si="55"/>
        <v>0</v>
      </c>
      <c r="FQ19" s="517">
        <f t="shared" si="166"/>
        <v>0</v>
      </c>
      <c r="FR19" s="515"/>
      <c r="FS19" s="516">
        <f t="shared" si="56"/>
        <v>0</v>
      </c>
      <c r="FT19" s="517">
        <f t="shared" si="167"/>
        <v>0</v>
      </c>
      <c r="FU19" s="515"/>
      <c r="FV19" s="516">
        <f t="shared" si="57"/>
        <v>0</v>
      </c>
      <c r="FW19" s="517">
        <f t="shared" si="168"/>
        <v>0</v>
      </c>
      <c r="FX19" s="515"/>
      <c r="FY19" s="516">
        <f t="shared" si="58"/>
        <v>0</v>
      </c>
      <c r="FZ19" s="517">
        <f t="shared" si="169"/>
        <v>0</v>
      </c>
      <c r="GA19" s="515"/>
      <c r="GB19" s="516">
        <f t="shared" si="59"/>
        <v>0</v>
      </c>
      <c r="GC19" s="517">
        <f t="shared" si="170"/>
        <v>0</v>
      </c>
      <c r="GD19" s="515"/>
      <c r="GE19" s="516">
        <f t="shared" si="60"/>
        <v>0</v>
      </c>
      <c r="GF19" s="517">
        <f t="shared" si="171"/>
        <v>0</v>
      </c>
      <c r="GG19" s="515"/>
      <c r="GH19" s="516">
        <f t="shared" si="61"/>
        <v>0</v>
      </c>
      <c r="GI19" s="517">
        <f t="shared" si="172"/>
        <v>0</v>
      </c>
      <c r="GJ19" s="515"/>
      <c r="GK19" s="516">
        <f t="shared" si="62"/>
        <v>0</v>
      </c>
      <c r="GL19" s="517">
        <f t="shared" si="173"/>
        <v>0</v>
      </c>
      <c r="GM19" s="515"/>
      <c r="GN19" s="516">
        <f t="shared" si="63"/>
        <v>0</v>
      </c>
      <c r="GO19" s="517">
        <f t="shared" si="174"/>
        <v>0</v>
      </c>
      <c r="GP19" s="515"/>
      <c r="GQ19" s="516">
        <f t="shared" si="64"/>
        <v>0</v>
      </c>
      <c r="GR19" s="517">
        <f t="shared" si="175"/>
        <v>0</v>
      </c>
      <c r="GS19" s="515"/>
      <c r="GT19" s="516">
        <f t="shared" si="65"/>
        <v>0</v>
      </c>
      <c r="GU19" s="517">
        <f t="shared" si="176"/>
        <v>0</v>
      </c>
      <c r="GV19" s="515"/>
      <c r="GW19" s="516">
        <f t="shared" si="66"/>
        <v>0</v>
      </c>
      <c r="GX19" s="517">
        <f t="shared" si="177"/>
        <v>0</v>
      </c>
      <c r="GY19" s="515"/>
      <c r="GZ19" s="516">
        <f t="shared" si="67"/>
        <v>0</v>
      </c>
      <c r="HA19" s="517">
        <f t="shared" si="178"/>
        <v>0</v>
      </c>
      <c r="HB19" s="515"/>
      <c r="HC19" s="516">
        <f t="shared" si="68"/>
        <v>0</v>
      </c>
      <c r="HD19" s="517">
        <f t="shared" si="179"/>
        <v>0</v>
      </c>
      <c r="HE19" s="515"/>
      <c r="HF19" s="516">
        <f t="shared" si="69"/>
        <v>0</v>
      </c>
      <c r="HG19" s="517">
        <f t="shared" si="180"/>
        <v>0</v>
      </c>
      <c r="HH19" s="515"/>
      <c r="HI19" s="516">
        <f t="shared" si="70"/>
        <v>0</v>
      </c>
      <c r="HJ19" s="517">
        <f t="shared" si="181"/>
        <v>0</v>
      </c>
      <c r="HK19" s="515"/>
      <c r="HL19" s="516">
        <f t="shared" si="71"/>
        <v>0</v>
      </c>
      <c r="HM19" s="517">
        <f t="shared" si="182"/>
        <v>0</v>
      </c>
      <c r="HN19" s="515"/>
      <c r="HO19" s="516">
        <f t="shared" si="72"/>
        <v>0</v>
      </c>
      <c r="HP19" s="517">
        <f t="shared" si="183"/>
        <v>0</v>
      </c>
      <c r="HQ19" s="515"/>
      <c r="HR19" s="516">
        <f t="shared" si="73"/>
        <v>0</v>
      </c>
      <c r="HS19" s="517">
        <f t="shared" si="184"/>
        <v>0</v>
      </c>
      <c r="HT19" s="515"/>
      <c r="HU19" s="516">
        <f t="shared" si="74"/>
        <v>0</v>
      </c>
      <c r="HV19" s="517">
        <f t="shared" si="185"/>
        <v>0</v>
      </c>
      <c r="HW19" s="515"/>
      <c r="HX19" s="516">
        <f t="shared" si="75"/>
        <v>0</v>
      </c>
      <c r="HY19" s="517">
        <f t="shared" si="186"/>
        <v>0</v>
      </c>
      <c r="HZ19" s="515"/>
      <c r="IA19" s="516">
        <f t="shared" si="76"/>
        <v>0</v>
      </c>
      <c r="IB19" s="517">
        <f t="shared" si="187"/>
        <v>0</v>
      </c>
      <c r="IC19" s="515"/>
      <c r="ID19" s="516">
        <f t="shared" si="77"/>
        <v>0</v>
      </c>
      <c r="IE19" s="517">
        <f t="shared" si="188"/>
        <v>0</v>
      </c>
      <c r="IF19" s="515"/>
      <c r="IG19" s="516">
        <f t="shared" si="78"/>
        <v>0</v>
      </c>
      <c r="IH19" s="517">
        <f t="shared" si="189"/>
        <v>0</v>
      </c>
      <c r="II19" s="515"/>
      <c r="IJ19" s="516">
        <f t="shared" si="79"/>
        <v>0</v>
      </c>
      <c r="IK19" s="517">
        <f t="shared" si="190"/>
        <v>0</v>
      </c>
      <c r="IL19" s="515"/>
      <c r="IM19" s="516">
        <f t="shared" si="80"/>
        <v>0</v>
      </c>
      <c r="IN19" s="517">
        <f t="shared" si="191"/>
        <v>0</v>
      </c>
      <c r="IO19" s="515"/>
      <c r="IP19" s="516">
        <f t="shared" si="81"/>
        <v>0</v>
      </c>
      <c r="IQ19" s="517">
        <f t="shared" si="192"/>
        <v>0</v>
      </c>
      <c r="IR19" s="515"/>
      <c r="IS19" s="516">
        <f t="shared" si="82"/>
        <v>0</v>
      </c>
      <c r="IT19" s="517">
        <f t="shared" si="193"/>
        <v>0</v>
      </c>
      <c r="IU19" s="515"/>
      <c r="IV19" s="516">
        <f t="shared" si="83"/>
        <v>0</v>
      </c>
      <c r="IW19" s="517">
        <f t="shared" si="194"/>
        <v>0</v>
      </c>
      <c r="IX19" s="515"/>
      <c r="IY19" s="516">
        <f t="shared" si="84"/>
        <v>0</v>
      </c>
      <c r="IZ19" s="517">
        <f t="shared" si="195"/>
        <v>0</v>
      </c>
      <c r="JA19" s="515"/>
      <c r="JB19" s="516">
        <f t="shared" si="85"/>
        <v>0</v>
      </c>
      <c r="JC19" s="517">
        <f t="shared" si="196"/>
        <v>0</v>
      </c>
      <c r="JD19" s="515"/>
      <c r="JE19" s="516">
        <f t="shared" si="86"/>
        <v>0</v>
      </c>
      <c r="JF19" s="517">
        <f t="shared" si="197"/>
        <v>0</v>
      </c>
      <c r="JG19" s="515"/>
      <c r="JH19" s="516">
        <f t="shared" si="87"/>
        <v>0</v>
      </c>
      <c r="JI19" s="517">
        <f t="shared" si="198"/>
        <v>0</v>
      </c>
      <c r="JJ19" s="515"/>
      <c r="JK19" s="517" t="str">
        <f t="shared" si="88"/>
        <v>0</v>
      </c>
      <c r="JL19" s="517" t="str">
        <f t="shared" si="89"/>
        <v>0</v>
      </c>
      <c r="JM19" s="515"/>
      <c r="JN19" s="517" t="str">
        <f t="shared" si="90"/>
        <v>0</v>
      </c>
      <c r="JO19" s="517" t="str">
        <f t="shared" si="91"/>
        <v>0</v>
      </c>
      <c r="JP19" s="515"/>
      <c r="JQ19" s="517" t="str">
        <f t="shared" si="92"/>
        <v>0</v>
      </c>
      <c r="JR19" s="517" t="str">
        <f t="shared" si="93"/>
        <v>0</v>
      </c>
      <c r="JS19" s="515"/>
      <c r="JT19" s="517" t="str">
        <f t="shared" si="94"/>
        <v>0</v>
      </c>
      <c r="JU19" s="517" t="str">
        <f t="shared" si="95"/>
        <v>0</v>
      </c>
      <c r="JV19" s="515"/>
      <c r="JW19" s="517" t="str">
        <f t="shared" si="96"/>
        <v>0</v>
      </c>
      <c r="JX19" s="517" t="str">
        <f t="shared" si="97"/>
        <v>0</v>
      </c>
      <c r="JY19" s="515"/>
      <c r="JZ19" s="517" t="str">
        <f t="shared" si="98"/>
        <v>0</v>
      </c>
      <c r="KA19" s="517" t="str">
        <f t="shared" si="99"/>
        <v>0</v>
      </c>
      <c r="KB19" s="515"/>
      <c r="KC19" s="517" t="str">
        <f t="shared" si="100"/>
        <v>0</v>
      </c>
      <c r="KD19" s="517" t="str">
        <f t="shared" si="101"/>
        <v>0</v>
      </c>
      <c r="KE19" s="515"/>
      <c r="KF19" s="517" t="str">
        <f t="shared" si="102"/>
        <v>0</v>
      </c>
      <c r="KG19" s="517" t="str">
        <f t="shared" si="103"/>
        <v>0</v>
      </c>
      <c r="KH19" s="515"/>
      <c r="KI19" s="517" t="str">
        <f t="shared" si="104"/>
        <v>0</v>
      </c>
      <c r="KJ19" s="517" t="str">
        <f t="shared" si="105"/>
        <v>0</v>
      </c>
      <c r="KK19" s="515"/>
      <c r="KL19" s="517" t="str">
        <f t="shared" si="106"/>
        <v>0</v>
      </c>
      <c r="KM19" s="517" t="str">
        <f t="shared" si="107"/>
        <v>0</v>
      </c>
      <c r="KN19" s="515"/>
      <c r="KO19" s="517" t="str">
        <f t="shared" si="108"/>
        <v>0</v>
      </c>
      <c r="KP19" s="517" t="str">
        <f t="shared" si="109"/>
        <v>0</v>
      </c>
      <c r="KQ19" s="515"/>
      <c r="KR19" s="517" t="str">
        <f t="shared" si="110"/>
        <v>0</v>
      </c>
      <c r="KS19" s="517" t="str">
        <f t="shared" si="111"/>
        <v>0</v>
      </c>
      <c r="KT19" s="517">
        <f t="shared" si="201"/>
        <v>0</v>
      </c>
      <c r="KU19" s="517">
        <f t="shared" si="202"/>
        <v>0</v>
      </c>
      <c r="KV19" s="263">
        <f t="shared" si="199"/>
        <v>292.31942670724453</v>
      </c>
    </row>
    <row r="20" spans="1:308">
      <c r="A20" s="264">
        <f t="shared" si="200"/>
        <v>45850</v>
      </c>
      <c r="B20" s="265" t="str">
        <f>+Report1!B20</f>
        <v>Toilet</v>
      </c>
      <c r="C20" s="265" t="str">
        <f>+Report1!C20</f>
        <v>13</v>
      </c>
      <c r="D20" s="266">
        <f>+Report1!P20</f>
        <v>46.683999999999997</v>
      </c>
      <c r="E20" s="553">
        <f>+Report1!R20</f>
        <v>43.52</v>
      </c>
      <c r="F20" s="515"/>
      <c r="G20" s="516">
        <f t="shared" si="0"/>
        <v>0</v>
      </c>
      <c r="H20" s="517">
        <f t="shared" si="112"/>
        <v>0</v>
      </c>
      <c r="I20" s="515"/>
      <c r="J20" s="516">
        <f t="shared" si="1"/>
        <v>0</v>
      </c>
      <c r="K20" s="517">
        <f t="shared" si="113"/>
        <v>0</v>
      </c>
      <c r="L20" s="515"/>
      <c r="M20" s="516">
        <f t="shared" si="2"/>
        <v>0</v>
      </c>
      <c r="N20" s="517">
        <f t="shared" si="114"/>
        <v>0</v>
      </c>
      <c r="O20" s="515">
        <v>6.396000000000015</v>
      </c>
      <c r="P20" s="516">
        <f t="shared" si="3"/>
        <v>0.14696691176470622</v>
      </c>
      <c r="Q20" s="517">
        <f t="shared" si="115"/>
        <v>0</v>
      </c>
      <c r="R20" s="515"/>
      <c r="S20" s="516">
        <f t="shared" si="4"/>
        <v>0</v>
      </c>
      <c r="T20" s="517">
        <f t="shared" si="116"/>
        <v>0</v>
      </c>
      <c r="U20" s="515">
        <v>8.8853500000000167</v>
      </c>
      <c r="V20" s="516">
        <f t="shared" si="5"/>
        <v>0.2041670496323533</v>
      </c>
      <c r="W20" s="517">
        <f t="shared" si="117"/>
        <v>0</v>
      </c>
      <c r="X20" s="515"/>
      <c r="Y20" s="516">
        <f t="shared" si="6"/>
        <v>0</v>
      </c>
      <c r="Z20" s="517">
        <f t="shared" si="118"/>
        <v>0</v>
      </c>
      <c r="AA20" s="515">
        <v>6.2500000000000071</v>
      </c>
      <c r="AB20" s="516">
        <f t="shared" si="7"/>
        <v>0.14361213235294132</v>
      </c>
      <c r="AC20" s="517">
        <f t="shared" si="119"/>
        <v>0</v>
      </c>
      <c r="AD20" s="515"/>
      <c r="AE20" s="516">
        <f t="shared" si="8"/>
        <v>0</v>
      </c>
      <c r="AF20" s="517">
        <f t="shared" si="120"/>
        <v>0</v>
      </c>
      <c r="AG20" s="515"/>
      <c r="AH20" s="516">
        <f t="shared" si="9"/>
        <v>0</v>
      </c>
      <c r="AI20" s="517">
        <f t="shared" si="121"/>
        <v>0</v>
      </c>
      <c r="AJ20" s="515"/>
      <c r="AK20" s="516">
        <f t="shared" si="10"/>
        <v>0</v>
      </c>
      <c r="AL20" s="517">
        <f t="shared" si="122"/>
        <v>0</v>
      </c>
      <c r="AM20" s="515"/>
      <c r="AN20" s="516">
        <f t="shared" si="11"/>
        <v>0</v>
      </c>
      <c r="AO20" s="517">
        <f t="shared" si="123"/>
        <v>0</v>
      </c>
      <c r="AP20" s="515">
        <v>51.658098734177202</v>
      </c>
      <c r="AQ20" s="516">
        <f t="shared" si="12"/>
        <v>1.1869967540022335</v>
      </c>
      <c r="AR20" s="517">
        <f t="shared" si="124"/>
        <v>0</v>
      </c>
      <c r="AS20" s="515"/>
      <c r="AT20" s="516">
        <f t="shared" si="13"/>
        <v>0</v>
      </c>
      <c r="AU20" s="517">
        <f t="shared" si="125"/>
        <v>0</v>
      </c>
      <c r="AV20" s="515">
        <v>12.577000000000083</v>
      </c>
      <c r="AW20" s="516">
        <f t="shared" si="14"/>
        <v>0.28899356617647248</v>
      </c>
      <c r="AX20" s="517">
        <f t="shared" si="126"/>
        <v>0</v>
      </c>
      <c r="AY20" s="515">
        <v>49.786799999999999</v>
      </c>
      <c r="AZ20" s="516">
        <f t="shared" si="15"/>
        <v>1.1439981617647057</v>
      </c>
      <c r="BA20" s="517">
        <f t="shared" si="127"/>
        <v>0</v>
      </c>
      <c r="BB20" s="515"/>
      <c r="BC20" s="516">
        <f t="shared" si="16"/>
        <v>0</v>
      </c>
      <c r="BD20" s="517">
        <f t="shared" si="128"/>
        <v>0</v>
      </c>
      <c r="BE20" s="515"/>
      <c r="BF20" s="516">
        <f t="shared" si="17"/>
        <v>0</v>
      </c>
      <c r="BG20" s="517">
        <f t="shared" si="129"/>
        <v>0</v>
      </c>
      <c r="BH20" s="515"/>
      <c r="BI20" s="516">
        <f t="shared" si="18"/>
        <v>0</v>
      </c>
      <c r="BJ20" s="517">
        <f t="shared" si="130"/>
        <v>0</v>
      </c>
      <c r="BK20" s="515"/>
      <c r="BL20" s="516">
        <f t="shared" si="19"/>
        <v>0</v>
      </c>
      <c r="BM20" s="517">
        <f t="shared" si="131"/>
        <v>0</v>
      </c>
      <c r="BN20" s="515"/>
      <c r="BO20" s="516">
        <f t="shared" si="20"/>
        <v>0</v>
      </c>
      <c r="BP20" s="517">
        <f t="shared" si="132"/>
        <v>0</v>
      </c>
      <c r="BQ20" s="515"/>
      <c r="BR20" s="516">
        <f t="shared" si="21"/>
        <v>0</v>
      </c>
      <c r="BS20" s="517">
        <f t="shared" si="133"/>
        <v>0</v>
      </c>
      <c r="BT20" s="515"/>
      <c r="BU20" s="516">
        <f t="shared" si="22"/>
        <v>0</v>
      </c>
      <c r="BV20" s="517">
        <f t="shared" si="134"/>
        <v>0</v>
      </c>
      <c r="BW20" s="515"/>
      <c r="BX20" s="516">
        <f t="shared" si="23"/>
        <v>0</v>
      </c>
      <c r="BY20" s="517">
        <f t="shared" si="135"/>
        <v>0</v>
      </c>
      <c r="BZ20" s="515"/>
      <c r="CA20" s="516">
        <f t="shared" si="24"/>
        <v>0</v>
      </c>
      <c r="CB20" s="517">
        <f t="shared" si="136"/>
        <v>0</v>
      </c>
      <c r="CC20" s="515"/>
      <c r="CD20" s="516">
        <f t="shared" si="25"/>
        <v>0</v>
      </c>
      <c r="CE20" s="517">
        <f t="shared" si="137"/>
        <v>0</v>
      </c>
      <c r="CF20" s="515">
        <v>4.5000000000000018</v>
      </c>
      <c r="CG20" s="516">
        <f t="shared" si="26"/>
        <v>0.10340073529411768</v>
      </c>
      <c r="CH20" s="517">
        <f t="shared" si="138"/>
        <v>0</v>
      </c>
      <c r="CI20" s="515"/>
      <c r="CJ20" s="516">
        <f t="shared" si="27"/>
        <v>0</v>
      </c>
      <c r="CK20" s="517">
        <f t="shared" si="139"/>
        <v>0</v>
      </c>
      <c r="CL20" s="515"/>
      <c r="CM20" s="516">
        <f t="shared" si="28"/>
        <v>0</v>
      </c>
      <c r="CN20" s="517">
        <f t="shared" si="140"/>
        <v>0</v>
      </c>
      <c r="CO20" s="515"/>
      <c r="CP20" s="516">
        <f t="shared" si="29"/>
        <v>0</v>
      </c>
      <c r="CQ20" s="517">
        <f t="shared" si="141"/>
        <v>0</v>
      </c>
      <c r="CR20" s="515">
        <v>0.5</v>
      </c>
      <c r="CS20" s="516">
        <f t="shared" si="30"/>
        <v>1.1488970588235293E-2</v>
      </c>
      <c r="CT20" s="517">
        <f t="shared" si="142"/>
        <v>0</v>
      </c>
      <c r="CU20" s="515"/>
      <c r="CV20" s="516">
        <f t="shared" si="31"/>
        <v>0</v>
      </c>
      <c r="CW20" s="517">
        <f t="shared" si="143"/>
        <v>0</v>
      </c>
      <c r="CX20" s="515"/>
      <c r="CY20" s="516">
        <f t="shared" si="32"/>
        <v>0</v>
      </c>
      <c r="CZ20" s="517">
        <f t="shared" si="144"/>
        <v>0</v>
      </c>
      <c r="DA20" s="515">
        <v>54.276186046511611</v>
      </c>
      <c r="DB20" s="516">
        <f t="shared" si="33"/>
        <v>1.2471550102599174</v>
      </c>
      <c r="DC20" s="517">
        <f t="shared" si="145"/>
        <v>0</v>
      </c>
      <c r="DD20" s="515"/>
      <c r="DE20" s="516">
        <f t="shared" si="34"/>
        <v>0</v>
      </c>
      <c r="DF20" s="517">
        <f t="shared" si="146"/>
        <v>0</v>
      </c>
      <c r="DG20" s="515"/>
      <c r="DH20" s="516">
        <f t="shared" si="35"/>
        <v>0</v>
      </c>
      <c r="DI20" s="517">
        <f t="shared" si="203"/>
        <v>0</v>
      </c>
      <c r="DJ20" s="515"/>
      <c r="DK20" s="516">
        <f t="shared" si="36"/>
        <v>0</v>
      </c>
      <c r="DL20" s="517">
        <f t="shared" si="147"/>
        <v>0</v>
      </c>
      <c r="DM20" s="515"/>
      <c r="DN20" s="516">
        <f t="shared" si="37"/>
        <v>0</v>
      </c>
      <c r="DO20" s="517">
        <f t="shared" si="148"/>
        <v>0</v>
      </c>
      <c r="DP20" s="515"/>
      <c r="DQ20" s="516">
        <f t="shared" si="38"/>
        <v>0</v>
      </c>
      <c r="DR20" s="517">
        <f t="shared" si="149"/>
        <v>0</v>
      </c>
      <c r="DS20" s="515"/>
      <c r="DT20" s="516">
        <f t="shared" si="39"/>
        <v>0</v>
      </c>
      <c r="DU20" s="517">
        <f t="shared" si="150"/>
        <v>0</v>
      </c>
      <c r="DV20" s="515"/>
      <c r="DW20" s="516">
        <f t="shared" si="40"/>
        <v>0</v>
      </c>
      <c r="DX20" s="517">
        <f t="shared" si="151"/>
        <v>0</v>
      </c>
      <c r="DY20" s="515"/>
      <c r="DZ20" s="516">
        <f t="shared" si="41"/>
        <v>0</v>
      </c>
      <c r="EA20" s="517">
        <f t="shared" si="152"/>
        <v>0</v>
      </c>
      <c r="EB20" s="515"/>
      <c r="EC20" s="516">
        <f t="shared" si="42"/>
        <v>0</v>
      </c>
      <c r="ED20" s="517">
        <f t="shared" si="153"/>
        <v>0</v>
      </c>
      <c r="EE20" s="515">
        <v>9.0843023255814046</v>
      </c>
      <c r="EF20" s="516">
        <f t="shared" si="43"/>
        <v>0.20873856446648448</v>
      </c>
      <c r="EG20" s="517">
        <f t="shared" si="154"/>
        <v>0</v>
      </c>
      <c r="EH20" s="515">
        <v>15.655882352941035</v>
      </c>
      <c r="EI20" s="516">
        <f t="shared" si="44"/>
        <v>0.35973994377162299</v>
      </c>
      <c r="EJ20" s="517">
        <f t="shared" si="155"/>
        <v>0</v>
      </c>
      <c r="EK20" s="515">
        <v>3.1999999999999993</v>
      </c>
      <c r="EL20" s="516">
        <f t="shared" si="45"/>
        <v>7.3529411764705857E-2</v>
      </c>
      <c r="EM20" s="517">
        <f t="shared" si="156"/>
        <v>0</v>
      </c>
      <c r="EN20" s="515"/>
      <c r="EO20" s="516">
        <f t="shared" si="46"/>
        <v>0</v>
      </c>
      <c r="EP20" s="517">
        <f t="shared" si="157"/>
        <v>0</v>
      </c>
      <c r="EQ20" s="515"/>
      <c r="ER20" s="516">
        <f t="shared" si="47"/>
        <v>0</v>
      </c>
      <c r="ES20" s="517">
        <f t="shared" si="158"/>
        <v>0</v>
      </c>
      <c r="ET20" s="515"/>
      <c r="EU20" s="516">
        <f t="shared" si="48"/>
        <v>0</v>
      </c>
      <c r="EV20" s="517">
        <f t="shared" si="159"/>
        <v>0</v>
      </c>
      <c r="EW20" s="515"/>
      <c r="EX20" s="516">
        <f t="shared" si="49"/>
        <v>0</v>
      </c>
      <c r="EY20" s="517">
        <f t="shared" si="160"/>
        <v>0</v>
      </c>
      <c r="EZ20" s="515"/>
      <c r="FA20" s="516">
        <f t="shared" si="50"/>
        <v>0</v>
      </c>
      <c r="FB20" s="517">
        <f t="shared" si="161"/>
        <v>0</v>
      </c>
      <c r="FC20" s="515"/>
      <c r="FD20" s="516">
        <f t="shared" si="51"/>
        <v>0</v>
      </c>
      <c r="FE20" s="517">
        <f t="shared" si="162"/>
        <v>0</v>
      </c>
      <c r="FF20" s="515"/>
      <c r="FG20" s="516">
        <f t="shared" si="52"/>
        <v>0</v>
      </c>
      <c r="FH20" s="517">
        <f t="shared" si="163"/>
        <v>0</v>
      </c>
      <c r="FI20" s="515"/>
      <c r="FJ20" s="516">
        <f t="shared" si="53"/>
        <v>0</v>
      </c>
      <c r="FK20" s="517">
        <f t="shared" si="164"/>
        <v>0</v>
      </c>
      <c r="FL20" s="515"/>
      <c r="FM20" s="516">
        <f t="shared" si="54"/>
        <v>0</v>
      </c>
      <c r="FN20" s="517">
        <f t="shared" si="165"/>
        <v>0</v>
      </c>
      <c r="FO20" s="515"/>
      <c r="FP20" s="516">
        <f t="shared" si="55"/>
        <v>0</v>
      </c>
      <c r="FQ20" s="517">
        <f t="shared" si="166"/>
        <v>0</v>
      </c>
      <c r="FR20" s="515"/>
      <c r="FS20" s="516">
        <f t="shared" si="56"/>
        <v>0</v>
      </c>
      <c r="FT20" s="517">
        <f t="shared" si="167"/>
        <v>0</v>
      </c>
      <c r="FU20" s="515"/>
      <c r="FV20" s="516">
        <f t="shared" si="57"/>
        <v>0</v>
      </c>
      <c r="FW20" s="517">
        <f t="shared" si="168"/>
        <v>0</v>
      </c>
      <c r="FX20" s="515"/>
      <c r="FY20" s="516">
        <f t="shared" si="58"/>
        <v>0</v>
      </c>
      <c r="FZ20" s="517">
        <f t="shared" si="169"/>
        <v>0</v>
      </c>
      <c r="GA20" s="515"/>
      <c r="GB20" s="516">
        <f t="shared" si="59"/>
        <v>0</v>
      </c>
      <c r="GC20" s="517">
        <f t="shared" si="170"/>
        <v>0</v>
      </c>
      <c r="GD20" s="515"/>
      <c r="GE20" s="516">
        <f t="shared" si="60"/>
        <v>0</v>
      </c>
      <c r="GF20" s="517">
        <f t="shared" si="171"/>
        <v>0</v>
      </c>
      <c r="GG20" s="515"/>
      <c r="GH20" s="516">
        <f t="shared" si="61"/>
        <v>0</v>
      </c>
      <c r="GI20" s="517">
        <f t="shared" si="172"/>
        <v>0</v>
      </c>
      <c r="GJ20" s="515"/>
      <c r="GK20" s="516">
        <f t="shared" si="62"/>
        <v>0</v>
      </c>
      <c r="GL20" s="517">
        <f t="shared" si="173"/>
        <v>0</v>
      </c>
      <c r="GM20" s="515"/>
      <c r="GN20" s="516">
        <f t="shared" si="63"/>
        <v>0</v>
      </c>
      <c r="GO20" s="517">
        <f t="shared" si="174"/>
        <v>0</v>
      </c>
      <c r="GP20" s="515"/>
      <c r="GQ20" s="516">
        <f t="shared" si="64"/>
        <v>0</v>
      </c>
      <c r="GR20" s="517">
        <f t="shared" si="175"/>
        <v>0</v>
      </c>
      <c r="GS20" s="515"/>
      <c r="GT20" s="516">
        <f t="shared" si="65"/>
        <v>0</v>
      </c>
      <c r="GU20" s="517">
        <f t="shared" si="176"/>
        <v>0</v>
      </c>
      <c r="GV20" s="515"/>
      <c r="GW20" s="516">
        <f t="shared" si="66"/>
        <v>0</v>
      </c>
      <c r="GX20" s="517">
        <f t="shared" si="177"/>
        <v>0</v>
      </c>
      <c r="GY20" s="515"/>
      <c r="GZ20" s="516">
        <f t="shared" si="67"/>
        <v>0</v>
      </c>
      <c r="HA20" s="517">
        <f t="shared" si="178"/>
        <v>0</v>
      </c>
      <c r="HB20" s="515"/>
      <c r="HC20" s="516">
        <f t="shared" si="68"/>
        <v>0</v>
      </c>
      <c r="HD20" s="517">
        <f t="shared" si="179"/>
        <v>0</v>
      </c>
      <c r="HE20" s="515"/>
      <c r="HF20" s="516">
        <f t="shared" si="69"/>
        <v>0</v>
      </c>
      <c r="HG20" s="517">
        <f t="shared" si="180"/>
        <v>0</v>
      </c>
      <c r="HH20" s="515"/>
      <c r="HI20" s="516">
        <f t="shared" si="70"/>
        <v>0</v>
      </c>
      <c r="HJ20" s="517">
        <f t="shared" si="181"/>
        <v>0</v>
      </c>
      <c r="HK20" s="515"/>
      <c r="HL20" s="516">
        <f t="shared" si="71"/>
        <v>0</v>
      </c>
      <c r="HM20" s="517">
        <f t="shared" si="182"/>
        <v>0</v>
      </c>
      <c r="HN20" s="515"/>
      <c r="HO20" s="516">
        <f t="shared" si="72"/>
        <v>0</v>
      </c>
      <c r="HP20" s="517">
        <f t="shared" si="183"/>
        <v>0</v>
      </c>
      <c r="HQ20" s="515"/>
      <c r="HR20" s="516">
        <f t="shared" si="73"/>
        <v>0</v>
      </c>
      <c r="HS20" s="517">
        <f t="shared" si="184"/>
        <v>0</v>
      </c>
      <c r="HT20" s="515"/>
      <c r="HU20" s="516">
        <f t="shared" si="74"/>
        <v>0</v>
      </c>
      <c r="HV20" s="517">
        <f t="shared" si="185"/>
        <v>0</v>
      </c>
      <c r="HW20" s="515"/>
      <c r="HX20" s="516">
        <f t="shared" si="75"/>
        <v>0</v>
      </c>
      <c r="HY20" s="517">
        <f t="shared" si="186"/>
        <v>0</v>
      </c>
      <c r="HZ20" s="515"/>
      <c r="IA20" s="516">
        <f t="shared" si="76"/>
        <v>0</v>
      </c>
      <c r="IB20" s="517">
        <f t="shared" si="187"/>
        <v>0</v>
      </c>
      <c r="IC20" s="515"/>
      <c r="ID20" s="516">
        <f t="shared" si="77"/>
        <v>0</v>
      </c>
      <c r="IE20" s="517">
        <f t="shared" si="188"/>
        <v>0</v>
      </c>
      <c r="IF20" s="515"/>
      <c r="IG20" s="516">
        <f t="shared" si="78"/>
        <v>0</v>
      </c>
      <c r="IH20" s="517">
        <f t="shared" si="189"/>
        <v>0</v>
      </c>
      <c r="II20" s="515"/>
      <c r="IJ20" s="516">
        <f t="shared" si="79"/>
        <v>0</v>
      </c>
      <c r="IK20" s="517">
        <f t="shared" si="190"/>
        <v>0</v>
      </c>
      <c r="IL20" s="515"/>
      <c r="IM20" s="516">
        <f t="shared" si="80"/>
        <v>0</v>
      </c>
      <c r="IN20" s="517">
        <f t="shared" si="191"/>
        <v>0</v>
      </c>
      <c r="IO20" s="515"/>
      <c r="IP20" s="516">
        <f t="shared" si="81"/>
        <v>0</v>
      </c>
      <c r="IQ20" s="517">
        <f t="shared" si="192"/>
        <v>0</v>
      </c>
      <c r="IR20" s="515"/>
      <c r="IS20" s="516">
        <f t="shared" si="82"/>
        <v>0</v>
      </c>
      <c r="IT20" s="517">
        <f t="shared" si="193"/>
        <v>0</v>
      </c>
      <c r="IU20" s="515"/>
      <c r="IV20" s="516">
        <f t="shared" si="83"/>
        <v>0</v>
      </c>
      <c r="IW20" s="517">
        <f t="shared" si="194"/>
        <v>0</v>
      </c>
      <c r="IX20" s="515"/>
      <c r="IY20" s="516">
        <f t="shared" si="84"/>
        <v>0</v>
      </c>
      <c r="IZ20" s="517">
        <f t="shared" si="195"/>
        <v>0</v>
      </c>
      <c r="JA20" s="515"/>
      <c r="JB20" s="516">
        <f t="shared" si="85"/>
        <v>0</v>
      </c>
      <c r="JC20" s="517">
        <f t="shared" si="196"/>
        <v>0</v>
      </c>
      <c r="JD20" s="515"/>
      <c r="JE20" s="516">
        <f t="shared" si="86"/>
        <v>0</v>
      </c>
      <c r="JF20" s="517">
        <f t="shared" si="197"/>
        <v>0</v>
      </c>
      <c r="JG20" s="515"/>
      <c r="JH20" s="516">
        <f t="shared" si="87"/>
        <v>0</v>
      </c>
      <c r="JI20" s="517">
        <f t="shared" si="198"/>
        <v>0</v>
      </c>
      <c r="JJ20" s="515"/>
      <c r="JK20" s="517" t="str">
        <f t="shared" si="88"/>
        <v>0</v>
      </c>
      <c r="JL20" s="517" t="str">
        <f t="shared" si="89"/>
        <v>0</v>
      </c>
      <c r="JM20" s="515"/>
      <c r="JN20" s="517" t="str">
        <f t="shared" si="90"/>
        <v>0</v>
      </c>
      <c r="JO20" s="517" t="str">
        <f t="shared" si="91"/>
        <v>0</v>
      </c>
      <c r="JP20" s="515"/>
      <c r="JQ20" s="517" t="str">
        <f t="shared" si="92"/>
        <v>0</v>
      </c>
      <c r="JR20" s="517" t="str">
        <f t="shared" si="93"/>
        <v>0</v>
      </c>
      <c r="JS20" s="515"/>
      <c r="JT20" s="517" t="str">
        <f t="shared" si="94"/>
        <v>0</v>
      </c>
      <c r="JU20" s="517" t="str">
        <f t="shared" si="95"/>
        <v>0</v>
      </c>
      <c r="JV20" s="515"/>
      <c r="JW20" s="517" t="str">
        <f t="shared" si="96"/>
        <v>0</v>
      </c>
      <c r="JX20" s="517" t="str">
        <f t="shared" si="97"/>
        <v>0</v>
      </c>
      <c r="JY20" s="515"/>
      <c r="JZ20" s="517" t="str">
        <f t="shared" si="98"/>
        <v>0</v>
      </c>
      <c r="KA20" s="517" t="str">
        <f t="shared" si="99"/>
        <v>0</v>
      </c>
      <c r="KB20" s="515"/>
      <c r="KC20" s="517" t="str">
        <f t="shared" si="100"/>
        <v>0</v>
      </c>
      <c r="KD20" s="517" t="str">
        <f t="shared" si="101"/>
        <v>0</v>
      </c>
      <c r="KE20" s="515"/>
      <c r="KF20" s="517" t="str">
        <f t="shared" si="102"/>
        <v>0</v>
      </c>
      <c r="KG20" s="517" t="str">
        <f t="shared" si="103"/>
        <v>0</v>
      </c>
      <c r="KH20" s="515"/>
      <c r="KI20" s="517" t="str">
        <f t="shared" si="104"/>
        <v>0</v>
      </c>
      <c r="KJ20" s="517" t="str">
        <f t="shared" si="105"/>
        <v>0</v>
      </c>
      <c r="KK20" s="515"/>
      <c r="KL20" s="517" t="str">
        <f t="shared" si="106"/>
        <v>0</v>
      </c>
      <c r="KM20" s="517" t="str">
        <f t="shared" si="107"/>
        <v>0</v>
      </c>
      <c r="KN20" s="515"/>
      <c r="KO20" s="517" t="str">
        <f t="shared" si="108"/>
        <v>0</v>
      </c>
      <c r="KP20" s="517" t="str">
        <f t="shared" si="109"/>
        <v>0</v>
      </c>
      <c r="KQ20" s="515"/>
      <c r="KR20" s="517" t="str">
        <f t="shared" si="110"/>
        <v>0</v>
      </c>
      <c r="KS20" s="517" t="str">
        <f t="shared" si="111"/>
        <v>0</v>
      </c>
      <c r="KT20" s="517">
        <f t="shared" si="201"/>
        <v>0</v>
      </c>
      <c r="KU20" s="517">
        <f t="shared" si="202"/>
        <v>0</v>
      </c>
      <c r="KV20" s="263">
        <f t="shared" si="199"/>
        <v>222.76961945921136</v>
      </c>
    </row>
    <row r="21" spans="1:308">
      <c r="A21" s="264">
        <f t="shared" si="200"/>
        <v>45851</v>
      </c>
      <c r="B21" s="265" t="str">
        <f>+Report1!B21</f>
        <v>Toilet</v>
      </c>
      <c r="C21" s="265" t="str">
        <f>+Report1!C21</f>
        <v>13/11,5</v>
      </c>
      <c r="D21" s="266">
        <f>+Report1!P21</f>
        <v>40.834000000000003</v>
      </c>
      <c r="E21" s="553">
        <f>+Report1!R21</f>
        <v>39.738</v>
      </c>
      <c r="F21" s="515"/>
      <c r="G21" s="516">
        <f t="shared" si="0"/>
        <v>0</v>
      </c>
      <c r="H21" s="517">
        <f t="shared" si="112"/>
        <v>0</v>
      </c>
      <c r="I21" s="515"/>
      <c r="J21" s="516">
        <f t="shared" si="1"/>
        <v>0</v>
      </c>
      <c r="K21" s="517">
        <f t="shared" si="113"/>
        <v>0</v>
      </c>
      <c r="L21" s="515"/>
      <c r="M21" s="516">
        <f t="shared" si="2"/>
        <v>0</v>
      </c>
      <c r="N21" s="517">
        <f t="shared" si="114"/>
        <v>0</v>
      </c>
      <c r="O21" s="515">
        <v>5.602800000000002</v>
      </c>
      <c r="P21" s="516">
        <f t="shared" si="3"/>
        <v>0.14099350747395445</v>
      </c>
      <c r="Q21" s="517">
        <f t="shared" si="115"/>
        <v>0</v>
      </c>
      <c r="R21" s="515"/>
      <c r="S21" s="516">
        <f t="shared" si="4"/>
        <v>0</v>
      </c>
      <c r="T21" s="517">
        <f t="shared" si="116"/>
        <v>0</v>
      </c>
      <c r="U21" s="515">
        <v>7.7661999999999978</v>
      </c>
      <c r="V21" s="516">
        <f t="shared" si="5"/>
        <v>0.1954350999043736</v>
      </c>
      <c r="W21" s="517">
        <f t="shared" si="117"/>
        <v>0</v>
      </c>
      <c r="X21" s="515"/>
      <c r="Y21" s="516">
        <f t="shared" si="6"/>
        <v>0</v>
      </c>
      <c r="Z21" s="517">
        <f t="shared" si="118"/>
        <v>0</v>
      </c>
      <c r="AA21" s="515">
        <v>6.2500000000000071</v>
      </c>
      <c r="AB21" s="516">
        <f t="shared" si="7"/>
        <v>0.1572801852131463</v>
      </c>
      <c r="AC21" s="517">
        <f t="shared" si="119"/>
        <v>0</v>
      </c>
      <c r="AD21" s="515"/>
      <c r="AE21" s="516">
        <f t="shared" si="8"/>
        <v>0</v>
      </c>
      <c r="AF21" s="517">
        <f t="shared" si="120"/>
        <v>0</v>
      </c>
      <c r="AG21" s="515"/>
      <c r="AH21" s="516">
        <f t="shared" si="9"/>
        <v>0</v>
      </c>
      <c r="AI21" s="517">
        <f t="shared" si="121"/>
        <v>0</v>
      </c>
      <c r="AJ21" s="515"/>
      <c r="AK21" s="516">
        <f t="shared" si="10"/>
        <v>0</v>
      </c>
      <c r="AL21" s="517">
        <f t="shared" si="122"/>
        <v>0</v>
      </c>
      <c r="AM21" s="515"/>
      <c r="AN21" s="516">
        <f t="shared" si="11"/>
        <v>0</v>
      </c>
      <c r="AO21" s="517">
        <f t="shared" si="123"/>
        <v>0</v>
      </c>
      <c r="AP21" s="515">
        <v>45.17540000000001</v>
      </c>
      <c r="AQ21" s="516">
        <f t="shared" si="12"/>
        <v>1.136831244652474</v>
      </c>
      <c r="AR21" s="517">
        <f t="shared" si="124"/>
        <v>0</v>
      </c>
      <c r="AS21" s="515"/>
      <c r="AT21" s="516">
        <f t="shared" si="13"/>
        <v>0</v>
      </c>
      <c r="AU21" s="517">
        <f t="shared" si="125"/>
        <v>0</v>
      </c>
      <c r="AV21" s="515">
        <v>11.005500000000012</v>
      </c>
      <c r="AW21" s="516">
        <f t="shared" si="14"/>
        <v>0.27695153253812504</v>
      </c>
      <c r="AX21" s="517">
        <f t="shared" si="126"/>
        <v>0</v>
      </c>
      <c r="AY21" s="515">
        <v>43.543599999999998</v>
      </c>
      <c r="AZ21" s="516">
        <f t="shared" si="15"/>
        <v>1.0957672756555437</v>
      </c>
      <c r="BA21" s="517">
        <f t="shared" si="127"/>
        <v>0</v>
      </c>
      <c r="BB21" s="515"/>
      <c r="BC21" s="516">
        <f t="shared" si="16"/>
        <v>0</v>
      </c>
      <c r="BD21" s="517">
        <f t="shared" si="128"/>
        <v>0</v>
      </c>
      <c r="BE21" s="515"/>
      <c r="BF21" s="516">
        <f t="shared" si="17"/>
        <v>0</v>
      </c>
      <c r="BG21" s="517">
        <f t="shared" si="129"/>
        <v>0</v>
      </c>
      <c r="BH21" s="515"/>
      <c r="BI21" s="516">
        <f t="shared" si="18"/>
        <v>0</v>
      </c>
      <c r="BJ21" s="517">
        <f t="shared" si="130"/>
        <v>0</v>
      </c>
      <c r="BK21" s="515"/>
      <c r="BL21" s="516">
        <f t="shared" si="19"/>
        <v>0</v>
      </c>
      <c r="BM21" s="517">
        <f t="shared" si="131"/>
        <v>0</v>
      </c>
      <c r="BN21" s="515"/>
      <c r="BO21" s="516">
        <f t="shared" si="20"/>
        <v>0</v>
      </c>
      <c r="BP21" s="517">
        <f t="shared" si="132"/>
        <v>0</v>
      </c>
      <c r="BQ21" s="515"/>
      <c r="BR21" s="516">
        <f t="shared" si="21"/>
        <v>0</v>
      </c>
      <c r="BS21" s="517">
        <f t="shared" si="133"/>
        <v>0</v>
      </c>
      <c r="BT21" s="515"/>
      <c r="BU21" s="516">
        <f t="shared" si="22"/>
        <v>0</v>
      </c>
      <c r="BV21" s="517">
        <f t="shared" si="134"/>
        <v>0</v>
      </c>
      <c r="BW21" s="515"/>
      <c r="BX21" s="516">
        <f t="shared" si="23"/>
        <v>0</v>
      </c>
      <c r="BY21" s="517">
        <f t="shared" si="135"/>
        <v>0</v>
      </c>
      <c r="BZ21" s="515"/>
      <c r="CA21" s="516">
        <f t="shared" si="24"/>
        <v>0</v>
      </c>
      <c r="CB21" s="517">
        <f t="shared" si="136"/>
        <v>0</v>
      </c>
      <c r="CC21" s="515"/>
      <c r="CD21" s="516">
        <f t="shared" si="25"/>
        <v>0</v>
      </c>
      <c r="CE21" s="517">
        <f t="shared" si="137"/>
        <v>0</v>
      </c>
      <c r="CF21" s="515">
        <v>4.5000000000000018</v>
      </c>
      <c r="CG21" s="516">
        <f t="shared" si="26"/>
        <v>0.11324173335346524</v>
      </c>
      <c r="CH21" s="517">
        <f t="shared" si="138"/>
        <v>0</v>
      </c>
      <c r="CI21" s="515"/>
      <c r="CJ21" s="516">
        <f t="shared" si="27"/>
        <v>0</v>
      </c>
      <c r="CK21" s="517">
        <f t="shared" si="139"/>
        <v>0</v>
      </c>
      <c r="CL21" s="515"/>
      <c r="CM21" s="516">
        <f t="shared" si="28"/>
        <v>0</v>
      </c>
      <c r="CN21" s="517">
        <f t="shared" si="140"/>
        <v>0</v>
      </c>
      <c r="CO21" s="515"/>
      <c r="CP21" s="516">
        <f t="shared" si="29"/>
        <v>0</v>
      </c>
      <c r="CQ21" s="517">
        <f t="shared" si="141"/>
        <v>0</v>
      </c>
      <c r="CR21" s="515">
        <v>0.5</v>
      </c>
      <c r="CS21" s="516">
        <f t="shared" si="30"/>
        <v>1.2582414817051689E-2</v>
      </c>
      <c r="CT21" s="517">
        <f t="shared" si="142"/>
        <v>0</v>
      </c>
      <c r="CU21" s="515"/>
      <c r="CV21" s="516">
        <f t="shared" si="31"/>
        <v>0</v>
      </c>
      <c r="CW21" s="517">
        <f t="shared" si="143"/>
        <v>0</v>
      </c>
      <c r="CX21" s="515"/>
      <c r="CY21" s="516">
        <f t="shared" si="32"/>
        <v>0</v>
      </c>
      <c r="CZ21" s="517">
        <f t="shared" si="144"/>
        <v>0</v>
      </c>
      <c r="DA21" s="515">
        <v>47.472000000000094</v>
      </c>
      <c r="DB21" s="516">
        <f t="shared" si="33"/>
        <v>1.1946247923901578</v>
      </c>
      <c r="DC21" s="517">
        <f t="shared" si="145"/>
        <v>0</v>
      </c>
      <c r="DD21" s="515"/>
      <c r="DE21" s="516">
        <f t="shared" si="34"/>
        <v>0</v>
      </c>
      <c r="DF21" s="517">
        <f t="shared" si="146"/>
        <v>0</v>
      </c>
      <c r="DG21" s="515"/>
      <c r="DH21" s="516">
        <f t="shared" si="35"/>
        <v>0</v>
      </c>
      <c r="DI21" s="517">
        <f t="shared" si="203"/>
        <v>0</v>
      </c>
      <c r="DJ21" s="515"/>
      <c r="DK21" s="516">
        <f t="shared" si="36"/>
        <v>0</v>
      </c>
      <c r="DL21" s="517">
        <f t="shared" si="147"/>
        <v>0</v>
      </c>
      <c r="DM21" s="515"/>
      <c r="DN21" s="516">
        <f t="shared" si="37"/>
        <v>0</v>
      </c>
      <c r="DO21" s="517">
        <f t="shared" si="148"/>
        <v>0</v>
      </c>
      <c r="DP21" s="515"/>
      <c r="DQ21" s="516">
        <f t="shared" si="38"/>
        <v>0</v>
      </c>
      <c r="DR21" s="517">
        <f t="shared" si="149"/>
        <v>0</v>
      </c>
      <c r="DS21" s="515"/>
      <c r="DT21" s="516">
        <f t="shared" si="39"/>
        <v>0</v>
      </c>
      <c r="DU21" s="517">
        <f t="shared" si="150"/>
        <v>0</v>
      </c>
      <c r="DV21" s="515"/>
      <c r="DW21" s="516">
        <f t="shared" si="40"/>
        <v>0</v>
      </c>
      <c r="DX21" s="517">
        <f t="shared" si="151"/>
        <v>0</v>
      </c>
      <c r="DY21" s="515"/>
      <c r="DZ21" s="516">
        <f t="shared" si="41"/>
        <v>0</v>
      </c>
      <c r="EA21" s="517">
        <f t="shared" si="152"/>
        <v>0</v>
      </c>
      <c r="EB21" s="515"/>
      <c r="EC21" s="516">
        <f t="shared" si="42"/>
        <v>0</v>
      </c>
      <c r="ED21" s="517">
        <f t="shared" si="153"/>
        <v>0</v>
      </c>
      <c r="EE21" s="515">
        <v>9.0843023255814046</v>
      </c>
      <c r="EF21" s="516">
        <f t="shared" si="43"/>
        <v>0.22860492036794516</v>
      </c>
      <c r="EG21" s="517">
        <f t="shared" si="154"/>
        <v>0</v>
      </c>
      <c r="EH21" s="515">
        <v>13.700000000000045</v>
      </c>
      <c r="EI21" s="516">
        <f t="shared" si="44"/>
        <v>0.34475816598721742</v>
      </c>
      <c r="EJ21" s="517">
        <f t="shared" si="155"/>
        <v>0</v>
      </c>
      <c r="EK21" s="515">
        <v>2.8000000000000007</v>
      </c>
      <c r="EL21" s="516">
        <f t="shared" si="45"/>
        <v>7.046152297548948E-2</v>
      </c>
      <c r="EM21" s="517">
        <f t="shared" si="156"/>
        <v>0</v>
      </c>
      <c r="EN21" s="515"/>
      <c r="EO21" s="516">
        <f t="shared" si="46"/>
        <v>0</v>
      </c>
      <c r="EP21" s="517">
        <f t="shared" si="157"/>
        <v>0</v>
      </c>
      <c r="EQ21" s="515"/>
      <c r="ER21" s="516">
        <f t="shared" si="47"/>
        <v>0</v>
      </c>
      <c r="ES21" s="517">
        <f t="shared" si="158"/>
        <v>0</v>
      </c>
      <c r="ET21" s="515"/>
      <c r="EU21" s="516">
        <f t="shared" si="48"/>
        <v>0</v>
      </c>
      <c r="EV21" s="517">
        <f t="shared" si="159"/>
        <v>0</v>
      </c>
      <c r="EW21" s="515"/>
      <c r="EX21" s="516">
        <f t="shared" si="49"/>
        <v>0</v>
      </c>
      <c r="EY21" s="517">
        <f t="shared" si="160"/>
        <v>0</v>
      </c>
      <c r="EZ21" s="515"/>
      <c r="FA21" s="516">
        <f t="shared" si="50"/>
        <v>0</v>
      </c>
      <c r="FB21" s="517">
        <f t="shared" si="161"/>
        <v>0</v>
      </c>
      <c r="FC21" s="515"/>
      <c r="FD21" s="516">
        <f t="shared" si="51"/>
        <v>0</v>
      </c>
      <c r="FE21" s="517">
        <f t="shared" si="162"/>
        <v>0</v>
      </c>
      <c r="FF21" s="515"/>
      <c r="FG21" s="516">
        <f t="shared" si="52"/>
        <v>0</v>
      </c>
      <c r="FH21" s="517">
        <f t="shared" si="163"/>
        <v>0</v>
      </c>
      <c r="FI21" s="515"/>
      <c r="FJ21" s="516">
        <f t="shared" si="53"/>
        <v>0</v>
      </c>
      <c r="FK21" s="517">
        <f t="shared" si="164"/>
        <v>0</v>
      </c>
      <c r="FL21" s="515"/>
      <c r="FM21" s="516">
        <f t="shared" si="54"/>
        <v>0</v>
      </c>
      <c r="FN21" s="517">
        <f t="shared" si="165"/>
        <v>0</v>
      </c>
      <c r="FO21" s="515"/>
      <c r="FP21" s="516">
        <f t="shared" si="55"/>
        <v>0</v>
      </c>
      <c r="FQ21" s="517">
        <f t="shared" si="166"/>
        <v>0</v>
      </c>
      <c r="FR21" s="515"/>
      <c r="FS21" s="516">
        <f t="shared" si="56"/>
        <v>0</v>
      </c>
      <c r="FT21" s="517">
        <f t="shared" si="167"/>
        <v>0</v>
      </c>
      <c r="FU21" s="515"/>
      <c r="FV21" s="516">
        <f t="shared" si="57"/>
        <v>0</v>
      </c>
      <c r="FW21" s="517">
        <f t="shared" si="168"/>
        <v>0</v>
      </c>
      <c r="FX21" s="515"/>
      <c r="FY21" s="516">
        <f t="shared" si="58"/>
        <v>0</v>
      </c>
      <c r="FZ21" s="517">
        <f t="shared" si="169"/>
        <v>0</v>
      </c>
      <c r="GA21" s="515"/>
      <c r="GB21" s="516">
        <f t="shared" si="59"/>
        <v>0</v>
      </c>
      <c r="GC21" s="517">
        <f t="shared" si="170"/>
        <v>0</v>
      </c>
      <c r="GD21" s="515"/>
      <c r="GE21" s="516">
        <f t="shared" si="60"/>
        <v>0</v>
      </c>
      <c r="GF21" s="517">
        <f t="shared" si="171"/>
        <v>0</v>
      </c>
      <c r="GG21" s="515"/>
      <c r="GH21" s="516">
        <f t="shared" si="61"/>
        <v>0</v>
      </c>
      <c r="GI21" s="517">
        <f t="shared" si="172"/>
        <v>0</v>
      </c>
      <c r="GJ21" s="515"/>
      <c r="GK21" s="516">
        <f t="shared" si="62"/>
        <v>0</v>
      </c>
      <c r="GL21" s="517">
        <f t="shared" si="173"/>
        <v>0</v>
      </c>
      <c r="GM21" s="515"/>
      <c r="GN21" s="516">
        <f t="shared" si="63"/>
        <v>0</v>
      </c>
      <c r="GO21" s="517">
        <f t="shared" si="174"/>
        <v>0</v>
      </c>
      <c r="GP21" s="515"/>
      <c r="GQ21" s="516">
        <f t="shared" si="64"/>
        <v>0</v>
      </c>
      <c r="GR21" s="517">
        <f t="shared" si="175"/>
        <v>0</v>
      </c>
      <c r="GS21" s="515"/>
      <c r="GT21" s="516">
        <f t="shared" si="65"/>
        <v>0</v>
      </c>
      <c r="GU21" s="517">
        <f t="shared" si="176"/>
        <v>0</v>
      </c>
      <c r="GV21" s="515"/>
      <c r="GW21" s="516">
        <f t="shared" si="66"/>
        <v>0</v>
      </c>
      <c r="GX21" s="517">
        <f t="shared" si="177"/>
        <v>0</v>
      </c>
      <c r="GY21" s="515"/>
      <c r="GZ21" s="516">
        <f t="shared" si="67"/>
        <v>0</v>
      </c>
      <c r="HA21" s="517">
        <f t="shared" si="178"/>
        <v>0</v>
      </c>
      <c r="HB21" s="515"/>
      <c r="HC21" s="516">
        <f t="shared" si="68"/>
        <v>0</v>
      </c>
      <c r="HD21" s="517">
        <f t="shared" si="179"/>
        <v>0</v>
      </c>
      <c r="HE21" s="515"/>
      <c r="HF21" s="516">
        <f t="shared" si="69"/>
        <v>0</v>
      </c>
      <c r="HG21" s="517">
        <f t="shared" si="180"/>
        <v>0</v>
      </c>
      <c r="HH21" s="515"/>
      <c r="HI21" s="516">
        <f t="shared" si="70"/>
        <v>0</v>
      </c>
      <c r="HJ21" s="517">
        <f t="shared" si="181"/>
        <v>0</v>
      </c>
      <c r="HK21" s="515"/>
      <c r="HL21" s="516">
        <f t="shared" si="71"/>
        <v>0</v>
      </c>
      <c r="HM21" s="517">
        <f t="shared" si="182"/>
        <v>0</v>
      </c>
      <c r="HN21" s="515"/>
      <c r="HO21" s="516">
        <f t="shared" si="72"/>
        <v>0</v>
      </c>
      <c r="HP21" s="517">
        <f t="shared" si="183"/>
        <v>0</v>
      </c>
      <c r="HQ21" s="515"/>
      <c r="HR21" s="516">
        <f t="shared" si="73"/>
        <v>0</v>
      </c>
      <c r="HS21" s="517">
        <f t="shared" si="184"/>
        <v>0</v>
      </c>
      <c r="HT21" s="515"/>
      <c r="HU21" s="516">
        <f t="shared" si="74"/>
        <v>0</v>
      </c>
      <c r="HV21" s="517">
        <f t="shared" si="185"/>
        <v>0</v>
      </c>
      <c r="HW21" s="515"/>
      <c r="HX21" s="516">
        <f t="shared" si="75"/>
        <v>0</v>
      </c>
      <c r="HY21" s="517">
        <f t="shared" si="186"/>
        <v>0</v>
      </c>
      <c r="HZ21" s="515"/>
      <c r="IA21" s="516">
        <f t="shared" si="76"/>
        <v>0</v>
      </c>
      <c r="IB21" s="517">
        <f t="shared" si="187"/>
        <v>0</v>
      </c>
      <c r="IC21" s="515"/>
      <c r="ID21" s="516">
        <f t="shared" si="77"/>
        <v>0</v>
      </c>
      <c r="IE21" s="517">
        <f t="shared" si="188"/>
        <v>0</v>
      </c>
      <c r="IF21" s="515"/>
      <c r="IG21" s="516">
        <f t="shared" si="78"/>
        <v>0</v>
      </c>
      <c r="IH21" s="517">
        <f t="shared" si="189"/>
        <v>0</v>
      </c>
      <c r="II21" s="515"/>
      <c r="IJ21" s="516">
        <f t="shared" si="79"/>
        <v>0</v>
      </c>
      <c r="IK21" s="517">
        <f t="shared" si="190"/>
        <v>0</v>
      </c>
      <c r="IL21" s="515"/>
      <c r="IM21" s="516">
        <f t="shared" si="80"/>
        <v>0</v>
      </c>
      <c r="IN21" s="517">
        <f t="shared" si="191"/>
        <v>0</v>
      </c>
      <c r="IO21" s="515"/>
      <c r="IP21" s="516">
        <f t="shared" si="81"/>
        <v>0</v>
      </c>
      <c r="IQ21" s="517">
        <f t="shared" si="192"/>
        <v>0</v>
      </c>
      <c r="IR21" s="515"/>
      <c r="IS21" s="516">
        <f t="shared" si="82"/>
        <v>0</v>
      </c>
      <c r="IT21" s="517">
        <f t="shared" si="193"/>
        <v>0</v>
      </c>
      <c r="IU21" s="515"/>
      <c r="IV21" s="516">
        <f t="shared" si="83"/>
        <v>0</v>
      </c>
      <c r="IW21" s="517">
        <f t="shared" si="194"/>
        <v>0</v>
      </c>
      <c r="IX21" s="515"/>
      <c r="IY21" s="516">
        <f t="shared" si="84"/>
        <v>0</v>
      </c>
      <c r="IZ21" s="517">
        <f t="shared" si="195"/>
        <v>0</v>
      </c>
      <c r="JA21" s="515"/>
      <c r="JB21" s="516">
        <f t="shared" si="85"/>
        <v>0</v>
      </c>
      <c r="JC21" s="517">
        <f t="shared" si="196"/>
        <v>0</v>
      </c>
      <c r="JD21" s="515"/>
      <c r="JE21" s="516">
        <f t="shared" si="86"/>
        <v>0</v>
      </c>
      <c r="JF21" s="517">
        <f t="shared" si="197"/>
        <v>0</v>
      </c>
      <c r="JG21" s="515"/>
      <c r="JH21" s="516">
        <f t="shared" si="87"/>
        <v>0</v>
      </c>
      <c r="JI21" s="517">
        <f t="shared" si="198"/>
        <v>0</v>
      </c>
      <c r="JJ21" s="515"/>
      <c r="JK21" s="517" t="str">
        <f t="shared" si="88"/>
        <v>0</v>
      </c>
      <c r="JL21" s="517" t="str">
        <f t="shared" si="89"/>
        <v>0</v>
      </c>
      <c r="JM21" s="515"/>
      <c r="JN21" s="517" t="str">
        <f t="shared" si="90"/>
        <v>0</v>
      </c>
      <c r="JO21" s="517" t="str">
        <f t="shared" si="91"/>
        <v>0</v>
      </c>
      <c r="JP21" s="515"/>
      <c r="JQ21" s="517" t="str">
        <f t="shared" si="92"/>
        <v>0</v>
      </c>
      <c r="JR21" s="517" t="str">
        <f t="shared" si="93"/>
        <v>0</v>
      </c>
      <c r="JS21" s="515"/>
      <c r="JT21" s="517" t="str">
        <f t="shared" si="94"/>
        <v>0</v>
      </c>
      <c r="JU21" s="517" t="str">
        <f t="shared" si="95"/>
        <v>0</v>
      </c>
      <c r="JV21" s="515"/>
      <c r="JW21" s="517" t="str">
        <f t="shared" si="96"/>
        <v>0</v>
      </c>
      <c r="JX21" s="517" t="str">
        <f t="shared" si="97"/>
        <v>0</v>
      </c>
      <c r="JY21" s="515"/>
      <c r="JZ21" s="517" t="str">
        <f t="shared" si="98"/>
        <v>0</v>
      </c>
      <c r="KA21" s="517" t="str">
        <f t="shared" si="99"/>
        <v>0</v>
      </c>
      <c r="KB21" s="515"/>
      <c r="KC21" s="517" t="str">
        <f t="shared" si="100"/>
        <v>0</v>
      </c>
      <c r="KD21" s="517" t="str">
        <f t="shared" si="101"/>
        <v>0</v>
      </c>
      <c r="KE21" s="515"/>
      <c r="KF21" s="517" t="str">
        <f t="shared" si="102"/>
        <v>0</v>
      </c>
      <c r="KG21" s="517" t="str">
        <f t="shared" si="103"/>
        <v>0</v>
      </c>
      <c r="KH21" s="515"/>
      <c r="KI21" s="517" t="str">
        <f t="shared" si="104"/>
        <v>0</v>
      </c>
      <c r="KJ21" s="517" t="str">
        <f t="shared" si="105"/>
        <v>0</v>
      </c>
      <c r="KK21" s="515"/>
      <c r="KL21" s="517" t="str">
        <f t="shared" si="106"/>
        <v>0</v>
      </c>
      <c r="KM21" s="517" t="str">
        <f t="shared" si="107"/>
        <v>0</v>
      </c>
      <c r="KN21" s="515"/>
      <c r="KO21" s="517" t="str">
        <f t="shared" si="108"/>
        <v>0</v>
      </c>
      <c r="KP21" s="517" t="str">
        <f t="shared" si="109"/>
        <v>0</v>
      </c>
      <c r="KQ21" s="515"/>
      <c r="KR21" s="517" t="str">
        <f t="shared" si="110"/>
        <v>0</v>
      </c>
      <c r="KS21" s="517" t="str">
        <f t="shared" si="111"/>
        <v>0</v>
      </c>
      <c r="KT21" s="517">
        <f t="shared" si="201"/>
        <v>0</v>
      </c>
      <c r="KU21" s="517">
        <f t="shared" si="202"/>
        <v>0</v>
      </c>
      <c r="KV21" s="263">
        <f t="shared" si="199"/>
        <v>197.39980232558159</v>
      </c>
    </row>
    <row r="22" spans="1:308">
      <c r="A22" s="264">
        <f t="shared" si="200"/>
        <v>45852</v>
      </c>
      <c r="B22" s="265" t="str">
        <f>+Report1!B22</f>
        <v>Facial</v>
      </c>
      <c r="C22" s="265" t="str">
        <f>+Report1!C22</f>
        <v>12</v>
      </c>
      <c r="D22" s="266">
        <f>+Report1!P22</f>
        <v>12.348000000000001</v>
      </c>
      <c r="E22" s="553">
        <f>+Report1!R22</f>
        <v>10.648999999999999</v>
      </c>
      <c r="F22" s="515"/>
      <c r="G22" s="516">
        <f t="shared" si="0"/>
        <v>0</v>
      </c>
      <c r="H22" s="517">
        <f t="shared" si="112"/>
        <v>0</v>
      </c>
      <c r="I22" s="515">
        <v>186.04651162790697</v>
      </c>
      <c r="J22" s="516">
        <f t="shared" si="1"/>
        <v>17.470796471772655</v>
      </c>
      <c r="K22" s="517">
        <f t="shared" si="113"/>
        <v>0</v>
      </c>
      <c r="L22" s="515"/>
      <c r="M22" s="516">
        <f t="shared" si="2"/>
        <v>0</v>
      </c>
      <c r="N22" s="517">
        <f t="shared" si="114"/>
        <v>0</v>
      </c>
      <c r="O22" s="515">
        <v>3.0012000000000114</v>
      </c>
      <c r="P22" s="516">
        <f t="shared" si="3"/>
        <v>0.28182927974457805</v>
      </c>
      <c r="Q22" s="517">
        <f t="shared" si="115"/>
        <v>0</v>
      </c>
      <c r="R22" s="515"/>
      <c r="S22" s="516">
        <f t="shared" si="4"/>
        <v>0</v>
      </c>
      <c r="T22" s="517">
        <f t="shared" si="116"/>
        <v>0</v>
      </c>
      <c r="U22" s="515">
        <v>3.8484499999999571</v>
      </c>
      <c r="V22" s="516">
        <f t="shared" si="5"/>
        <v>0.36139074091463586</v>
      </c>
      <c r="W22" s="517">
        <f t="shared" si="117"/>
        <v>0</v>
      </c>
      <c r="X22" s="515"/>
      <c r="Y22" s="516">
        <f t="shared" si="6"/>
        <v>0</v>
      </c>
      <c r="Z22" s="517">
        <f t="shared" si="118"/>
        <v>0</v>
      </c>
      <c r="AA22" s="515"/>
      <c r="AB22" s="516">
        <f t="shared" si="7"/>
        <v>0</v>
      </c>
      <c r="AC22" s="517">
        <f t="shared" si="119"/>
        <v>0</v>
      </c>
      <c r="AD22" s="515"/>
      <c r="AE22" s="516">
        <f t="shared" si="8"/>
        <v>0</v>
      </c>
      <c r="AF22" s="517">
        <f t="shared" si="120"/>
        <v>0</v>
      </c>
      <c r="AG22" s="515"/>
      <c r="AH22" s="516">
        <f t="shared" si="9"/>
        <v>0</v>
      </c>
      <c r="AI22" s="517">
        <f t="shared" si="121"/>
        <v>0</v>
      </c>
      <c r="AJ22" s="515">
        <v>8.8125</v>
      </c>
      <c r="AK22" s="516">
        <f t="shared" si="10"/>
        <v>0.82754249225279375</v>
      </c>
      <c r="AL22" s="517">
        <f t="shared" si="122"/>
        <v>0</v>
      </c>
      <c r="AM22" s="515"/>
      <c r="AN22" s="516">
        <f t="shared" si="11"/>
        <v>0</v>
      </c>
      <c r="AO22" s="517">
        <f t="shared" si="123"/>
        <v>0</v>
      </c>
      <c r="AP22" s="515">
        <v>14.242450632911414</v>
      </c>
      <c r="AQ22" s="516">
        <f t="shared" si="12"/>
        <v>1.3374448899343989</v>
      </c>
      <c r="AR22" s="517">
        <f t="shared" si="124"/>
        <v>0</v>
      </c>
      <c r="AS22" s="515"/>
      <c r="AT22" s="516">
        <f t="shared" si="13"/>
        <v>0</v>
      </c>
      <c r="AU22" s="517">
        <f t="shared" si="125"/>
        <v>0</v>
      </c>
      <c r="AV22" s="515">
        <v>5.55499999999995</v>
      </c>
      <c r="AW22" s="516">
        <f t="shared" si="14"/>
        <v>0.52164522490374221</v>
      </c>
      <c r="AX22" s="517">
        <f t="shared" si="126"/>
        <v>0</v>
      </c>
      <c r="AY22" s="515">
        <v>16.336266666666745</v>
      </c>
      <c r="AZ22" s="516">
        <f t="shared" si="15"/>
        <v>1.5340657964754199</v>
      </c>
      <c r="BA22" s="517">
        <f t="shared" si="127"/>
        <v>0</v>
      </c>
      <c r="BB22" s="515"/>
      <c r="BC22" s="516">
        <f t="shared" si="16"/>
        <v>0</v>
      </c>
      <c r="BD22" s="517">
        <f t="shared" si="128"/>
        <v>0</v>
      </c>
      <c r="BE22" s="515"/>
      <c r="BF22" s="516">
        <f t="shared" si="17"/>
        <v>0</v>
      </c>
      <c r="BG22" s="517">
        <f t="shared" si="129"/>
        <v>0</v>
      </c>
      <c r="BH22" s="515"/>
      <c r="BI22" s="516">
        <f t="shared" si="18"/>
        <v>0</v>
      </c>
      <c r="BJ22" s="517">
        <f t="shared" si="130"/>
        <v>0</v>
      </c>
      <c r="BK22" s="515"/>
      <c r="BL22" s="516">
        <f t="shared" si="19"/>
        <v>0</v>
      </c>
      <c r="BM22" s="517">
        <f t="shared" si="131"/>
        <v>0</v>
      </c>
      <c r="BN22" s="515"/>
      <c r="BO22" s="516">
        <f t="shared" si="20"/>
        <v>0</v>
      </c>
      <c r="BP22" s="517">
        <f t="shared" si="132"/>
        <v>0</v>
      </c>
      <c r="BQ22" s="515"/>
      <c r="BR22" s="516">
        <f t="shared" si="21"/>
        <v>0</v>
      </c>
      <c r="BS22" s="517">
        <f t="shared" si="133"/>
        <v>0</v>
      </c>
      <c r="BT22" s="515"/>
      <c r="BU22" s="516">
        <f t="shared" si="22"/>
        <v>0</v>
      </c>
      <c r="BV22" s="517">
        <f t="shared" si="134"/>
        <v>0</v>
      </c>
      <c r="BW22" s="515"/>
      <c r="BX22" s="516">
        <f t="shared" si="23"/>
        <v>0</v>
      </c>
      <c r="BY22" s="517">
        <f t="shared" si="135"/>
        <v>0</v>
      </c>
      <c r="BZ22" s="515"/>
      <c r="CA22" s="516">
        <f t="shared" si="24"/>
        <v>0</v>
      </c>
      <c r="CB22" s="517">
        <f t="shared" si="136"/>
        <v>0</v>
      </c>
      <c r="CC22" s="515"/>
      <c r="CD22" s="516">
        <f t="shared" si="25"/>
        <v>0</v>
      </c>
      <c r="CE22" s="517">
        <f t="shared" si="137"/>
        <v>0</v>
      </c>
      <c r="CF22" s="515">
        <v>0.59999999999999853</v>
      </c>
      <c r="CG22" s="516">
        <f t="shared" si="26"/>
        <v>5.6343318621466673E-2</v>
      </c>
      <c r="CH22" s="517">
        <f t="shared" si="138"/>
        <v>0</v>
      </c>
      <c r="CI22" s="515"/>
      <c r="CJ22" s="516">
        <f t="shared" si="27"/>
        <v>0</v>
      </c>
      <c r="CK22" s="517">
        <f t="shared" si="139"/>
        <v>0</v>
      </c>
      <c r="CL22" s="515"/>
      <c r="CM22" s="516">
        <f t="shared" si="28"/>
        <v>0</v>
      </c>
      <c r="CN22" s="517">
        <f t="shared" si="140"/>
        <v>0</v>
      </c>
      <c r="CO22" s="515"/>
      <c r="CP22" s="516">
        <f t="shared" si="29"/>
        <v>0</v>
      </c>
      <c r="CQ22" s="517">
        <f t="shared" si="141"/>
        <v>0</v>
      </c>
      <c r="CR22" s="515"/>
      <c r="CS22" s="516">
        <f t="shared" si="30"/>
        <v>0</v>
      </c>
      <c r="CT22" s="517">
        <f t="shared" si="142"/>
        <v>0</v>
      </c>
      <c r="CU22" s="515"/>
      <c r="CV22" s="516">
        <f t="shared" si="31"/>
        <v>0</v>
      </c>
      <c r="CW22" s="517">
        <f t="shared" si="143"/>
        <v>0</v>
      </c>
      <c r="CX22" s="515"/>
      <c r="CY22" s="516">
        <f t="shared" si="32"/>
        <v>0</v>
      </c>
      <c r="CZ22" s="517">
        <f t="shared" si="144"/>
        <v>0</v>
      </c>
      <c r="DA22" s="515"/>
      <c r="DB22" s="516">
        <f t="shared" si="33"/>
        <v>0</v>
      </c>
      <c r="DC22" s="517">
        <f t="shared" si="145"/>
        <v>0</v>
      </c>
      <c r="DD22" s="515"/>
      <c r="DE22" s="516">
        <f t="shared" si="34"/>
        <v>0</v>
      </c>
      <c r="DF22" s="517">
        <f t="shared" si="146"/>
        <v>0</v>
      </c>
      <c r="DG22" s="515"/>
      <c r="DH22" s="516">
        <f t="shared" si="35"/>
        <v>0</v>
      </c>
      <c r="DI22" s="517">
        <f t="shared" si="203"/>
        <v>0</v>
      </c>
      <c r="DJ22" s="515"/>
      <c r="DK22" s="516">
        <f t="shared" si="36"/>
        <v>0</v>
      </c>
      <c r="DL22" s="517">
        <f t="shared" si="147"/>
        <v>0</v>
      </c>
      <c r="DM22" s="515"/>
      <c r="DN22" s="516">
        <f t="shared" si="37"/>
        <v>0</v>
      </c>
      <c r="DO22" s="517">
        <f t="shared" si="148"/>
        <v>0</v>
      </c>
      <c r="DP22" s="515"/>
      <c r="DQ22" s="516">
        <f t="shared" si="38"/>
        <v>0</v>
      </c>
      <c r="DR22" s="517">
        <f t="shared" si="149"/>
        <v>0</v>
      </c>
      <c r="DS22" s="515"/>
      <c r="DT22" s="516">
        <f t="shared" si="39"/>
        <v>0</v>
      </c>
      <c r="DU22" s="517">
        <f t="shared" si="150"/>
        <v>0</v>
      </c>
      <c r="DV22" s="515"/>
      <c r="DW22" s="516">
        <f t="shared" si="40"/>
        <v>0</v>
      </c>
      <c r="DX22" s="517">
        <f t="shared" si="151"/>
        <v>0</v>
      </c>
      <c r="DY22" s="515"/>
      <c r="DZ22" s="516">
        <f t="shared" si="41"/>
        <v>0</v>
      </c>
      <c r="EA22" s="517">
        <f t="shared" si="152"/>
        <v>0</v>
      </c>
      <c r="EB22" s="515"/>
      <c r="EC22" s="516">
        <f t="shared" si="42"/>
        <v>0</v>
      </c>
      <c r="ED22" s="517">
        <f t="shared" si="153"/>
        <v>0</v>
      </c>
      <c r="EE22" s="515">
        <v>10.90116279069764</v>
      </c>
      <c r="EF22" s="516">
        <f t="shared" si="43"/>
        <v>1.0236794807679257</v>
      </c>
      <c r="EG22" s="517">
        <f t="shared" si="154"/>
        <v>0</v>
      </c>
      <c r="EH22" s="515">
        <v>23.479411764705958</v>
      </c>
      <c r="EI22" s="516">
        <f t="shared" si="44"/>
        <v>2.2048466301724066</v>
      </c>
      <c r="EJ22" s="517">
        <f t="shared" si="155"/>
        <v>0</v>
      </c>
      <c r="EK22" s="515">
        <v>0.79999999999999927</v>
      </c>
      <c r="EL22" s="516">
        <f t="shared" si="45"/>
        <v>7.5124424828622346E-2</v>
      </c>
      <c r="EM22" s="517">
        <f t="shared" si="156"/>
        <v>0</v>
      </c>
      <c r="EN22" s="515"/>
      <c r="EO22" s="516">
        <f t="shared" si="46"/>
        <v>0</v>
      </c>
      <c r="EP22" s="517">
        <f t="shared" si="157"/>
        <v>0</v>
      </c>
      <c r="EQ22" s="515"/>
      <c r="ER22" s="516">
        <f t="shared" si="47"/>
        <v>0</v>
      </c>
      <c r="ES22" s="517">
        <f t="shared" si="158"/>
        <v>0</v>
      </c>
      <c r="ET22" s="515"/>
      <c r="EU22" s="516">
        <f t="shared" si="48"/>
        <v>0</v>
      </c>
      <c r="EV22" s="517">
        <f t="shared" si="159"/>
        <v>0</v>
      </c>
      <c r="EW22" s="515"/>
      <c r="EX22" s="516">
        <f t="shared" si="49"/>
        <v>0</v>
      </c>
      <c r="EY22" s="517">
        <f t="shared" si="160"/>
        <v>0</v>
      </c>
      <c r="EZ22" s="515"/>
      <c r="FA22" s="516">
        <f t="shared" si="50"/>
        <v>0</v>
      </c>
      <c r="FB22" s="517">
        <f t="shared" si="161"/>
        <v>0</v>
      </c>
      <c r="FC22" s="515"/>
      <c r="FD22" s="516">
        <f t="shared" si="51"/>
        <v>0</v>
      </c>
      <c r="FE22" s="517">
        <f t="shared" si="162"/>
        <v>0</v>
      </c>
      <c r="FF22" s="515"/>
      <c r="FG22" s="516">
        <f t="shared" si="52"/>
        <v>0</v>
      </c>
      <c r="FH22" s="517">
        <f t="shared" si="163"/>
        <v>0</v>
      </c>
      <c r="FI22" s="515"/>
      <c r="FJ22" s="516">
        <f t="shared" si="53"/>
        <v>0</v>
      </c>
      <c r="FK22" s="517">
        <f t="shared" si="164"/>
        <v>0</v>
      </c>
      <c r="FL22" s="515"/>
      <c r="FM22" s="516">
        <f t="shared" si="54"/>
        <v>0</v>
      </c>
      <c r="FN22" s="517">
        <f t="shared" si="165"/>
        <v>0</v>
      </c>
      <c r="FO22" s="515"/>
      <c r="FP22" s="516">
        <f t="shared" si="55"/>
        <v>0</v>
      </c>
      <c r="FQ22" s="517">
        <f t="shared" si="166"/>
        <v>0</v>
      </c>
      <c r="FR22" s="515"/>
      <c r="FS22" s="516">
        <f t="shared" si="56"/>
        <v>0</v>
      </c>
      <c r="FT22" s="517">
        <f t="shared" si="167"/>
        <v>0</v>
      </c>
      <c r="FU22" s="515"/>
      <c r="FV22" s="516">
        <f t="shared" si="57"/>
        <v>0</v>
      </c>
      <c r="FW22" s="517">
        <f t="shared" si="168"/>
        <v>0</v>
      </c>
      <c r="FX22" s="515"/>
      <c r="FY22" s="516">
        <f t="shared" si="58"/>
        <v>0</v>
      </c>
      <c r="FZ22" s="517">
        <f t="shared" si="169"/>
        <v>0</v>
      </c>
      <c r="GA22" s="515"/>
      <c r="GB22" s="516">
        <f t="shared" si="59"/>
        <v>0</v>
      </c>
      <c r="GC22" s="517">
        <f t="shared" si="170"/>
        <v>0</v>
      </c>
      <c r="GD22" s="515"/>
      <c r="GE22" s="516">
        <f t="shared" si="60"/>
        <v>0</v>
      </c>
      <c r="GF22" s="517">
        <f t="shared" si="171"/>
        <v>0</v>
      </c>
      <c r="GG22" s="515"/>
      <c r="GH22" s="516">
        <f t="shared" si="61"/>
        <v>0</v>
      </c>
      <c r="GI22" s="517">
        <f t="shared" si="172"/>
        <v>0</v>
      </c>
      <c r="GJ22" s="515"/>
      <c r="GK22" s="516">
        <f t="shared" si="62"/>
        <v>0</v>
      </c>
      <c r="GL22" s="517">
        <f t="shared" si="173"/>
        <v>0</v>
      </c>
      <c r="GM22" s="515"/>
      <c r="GN22" s="516">
        <f t="shared" si="63"/>
        <v>0</v>
      </c>
      <c r="GO22" s="517">
        <f t="shared" si="174"/>
        <v>0</v>
      </c>
      <c r="GP22" s="515"/>
      <c r="GQ22" s="516">
        <f t="shared" si="64"/>
        <v>0</v>
      </c>
      <c r="GR22" s="517">
        <f t="shared" si="175"/>
        <v>0</v>
      </c>
      <c r="GS22" s="515"/>
      <c r="GT22" s="516">
        <f t="shared" si="65"/>
        <v>0</v>
      </c>
      <c r="GU22" s="517">
        <f t="shared" si="176"/>
        <v>0</v>
      </c>
      <c r="GV22" s="515"/>
      <c r="GW22" s="516">
        <f t="shared" si="66"/>
        <v>0</v>
      </c>
      <c r="GX22" s="517">
        <f t="shared" si="177"/>
        <v>0</v>
      </c>
      <c r="GY22" s="515"/>
      <c r="GZ22" s="516">
        <f t="shared" si="67"/>
        <v>0</v>
      </c>
      <c r="HA22" s="517">
        <f t="shared" si="178"/>
        <v>0</v>
      </c>
      <c r="HB22" s="515"/>
      <c r="HC22" s="516">
        <f t="shared" si="68"/>
        <v>0</v>
      </c>
      <c r="HD22" s="517">
        <f t="shared" si="179"/>
        <v>0</v>
      </c>
      <c r="HE22" s="515"/>
      <c r="HF22" s="516">
        <f t="shared" si="69"/>
        <v>0</v>
      </c>
      <c r="HG22" s="517">
        <f t="shared" si="180"/>
        <v>0</v>
      </c>
      <c r="HH22" s="515"/>
      <c r="HI22" s="516">
        <f t="shared" si="70"/>
        <v>0</v>
      </c>
      <c r="HJ22" s="517">
        <f t="shared" si="181"/>
        <v>0</v>
      </c>
      <c r="HK22" s="515"/>
      <c r="HL22" s="516">
        <f t="shared" si="71"/>
        <v>0</v>
      </c>
      <c r="HM22" s="517">
        <f t="shared" si="182"/>
        <v>0</v>
      </c>
      <c r="HN22" s="515"/>
      <c r="HO22" s="516">
        <f t="shared" si="72"/>
        <v>0</v>
      </c>
      <c r="HP22" s="517">
        <f t="shared" si="183"/>
        <v>0</v>
      </c>
      <c r="HQ22" s="515"/>
      <c r="HR22" s="516">
        <f t="shared" si="73"/>
        <v>0</v>
      </c>
      <c r="HS22" s="517">
        <f t="shared" si="184"/>
        <v>0</v>
      </c>
      <c r="HT22" s="515"/>
      <c r="HU22" s="516">
        <f t="shared" si="74"/>
        <v>0</v>
      </c>
      <c r="HV22" s="517">
        <f t="shared" si="185"/>
        <v>0</v>
      </c>
      <c r="HW22" s="515"/>
      <c r="HX22" s="516">
        <f t="shared" si="75"/>
        <v>0</v>
      </c>
      <c r="HY22" s="517">
        <f t="shared" si="186"/>
        <v>0</v>
      </c>
      <c r="HZ22" s="515"/>
      <c r="IA22" s="516">
        <f t="shared" si="76"/>
        <v>0</v>
      </c>
      <c r="IB22" s="517">
        <f t="shared" si="187"/>
        <v>0</v>
      </c>
      <c r="IC22" s="515"/>
      <c r="ID22" s="516">
        <f t="shared" si="77"/>
        <v>0</v>
      </c>
      <c r="IE22" s="517">
        <f t="shared" si="188"/>
        <v>0</v>
      </c>
      <c r="IF22" s="515"/>
      <c r="IG22" s="516">
        <f t="shared" si="78"/>
        <v>0</v>
      </c>
      <c r="IH22" s="517">
        <f t="shared" si="189"/>
        <v>0</v>
      </c>
      <c r="II22" s="515"/>
      <c r="IJ22" s="516">
        <f t="shared" si="79"/>
        <v>0</v>
      </c>
      <c r="IK22" s="517">
        <f t="shared" si="190"/>
        <v>0</v>
      </c>
      <c r="IL22" s="515"/>
      <c r="IM22" s="516">
        <f t="shared" si="80"/>
        <v>0</v>
      </c>
      <c r="IN22" s="517">
        <f t="shared" si="191"/>
        <v>0</v>
      </c>
      <c r="IO22" s="515"/>
      <c r="IP22" s="516">
        <f t="shared" si="81"/>
        <v>0</v>
      </c>
      <c r="IQ22" s="517">
        <f t="shared" si="192"/>
        <v>0</v>
      </c>
      <c r="IR22" s="515"/>
      <c r="IS22" s="516">
        <f t="shared" si="82"/>
        <v>0</v>
      </c>
      <c r="IT22" s="517">
        <f t="shared" si="193"/>
        <v>0</v>
      </c>
      <c r="IU22" s="515"/>
      <c r="IV22" s="516">
        <f t="shared" si="83"/>
        <v>0</v>
      </c>
      <c r="IW22" s="517">
        <f t="shared" si="194"/>
        <v>0</v>
      </c>
      <c r="IX22" s="515"/>
      <c r="IY22" s="516">
        <f t="shared" si="84"/>
        <v>0</v>
      </c>
      <c r="IZ22" s="517">
        <f t="shared" si="195"/>
        <v>0</v>
      </c>
      <c r="JA22" s="515"/>
      <c r="JB22" s="516">
        <f t="shared" si="85"/>
        <v>0</v>
      </c>
      <c r="JC22" s="517">
        <f t="shared" si="196"/>
        <v>0</v>
      </c>
      <c r="JD22" s="515"/>
      <c r="JE22" s="516">
        <f t="shared" si="86"/>
        <v>0</v>
      </c>
      <c r="JF22" s="517">
        <f t="shared" si="197"/>
        <v>0</v>
      </c>
      <c r="JG22" s="515"/>
      <c r="JH22" s="516">
        <f t="shared" si="87"/>
        <v>0</v>
      </c>
      <c r="JI22" s="517">
        <f t="shared" si="198"/>
        <v>0</v>
      </c>
      <c r="JJ22" s="515"/>
      <c r="JK22" s="517" t="str">
        <f t="shared" si="88"/>
        <v>0</v>
      </c>
      <c r="JL22" s="517" t="str">
        <f t="shared" si="89"/>
        <v>0</v>
      </c>
      <c r="JM22" s="515"/>
      <c r="JN22" s="517" t="str">
        <f t="shared" si="90"/>
        <v>0</v>
      </c>
      <c r="JO22" s="517" t="str">
        <f t="shared" si="91"/>
        <v>0</v>
      </c>
      <c r="JP22" s="515"/>
      <c r="JQ22" s="517" t="str">
        <f t="shared" si="92"/>
        <v>0</v>
      </c>
      <c r="JR22" s="517" t="str">
        <f t="shared" si="93"/>
        <v>0</v>
      </c>
      <c r="JS22" s="515"/>
      <c r="JT22" s="517" t="str">
        <f t="shared" si="94"/>
        <v>0</v>
      </c>
      <c r="JU22" s="517" t="str">
        <f t="shared" si="95"/>
        <v>0</v>
      </c>
      <c r="JV22" s="515"/>
      <c r="JW22" s="517" t="str">
        <f t="shared" si="96"/>
        <v>0</v>
      </c>
      <c r="JX22" s="517" t="str">
        <f t="shared" si="97"/>
        <v>0</v>
      </c>
      <c r="JY22" s="515"/>
      <c r="JZ22" s="517" t="str">
        <f t="shared" si="98"/>
        <v>0</v>
      </c>
      <c r="KA22" s="517" t="str">
        <f t="shared" si="99"/>
        <v>0</v>
      </c>
      <c r="KB22" s="515"/>
      <c r="KC22" s="517" t="str">
        <f t="shared" si="100"/>
        <v>0</v>
      </c>
      <c r="KD22" s="517" t="str">
        <f t="shared" si="101"/>
        <v>0</v>
      </c>
      <c r="KE22" s="515"/>
      <c r="KF22" s="517" t="str">
        <f t="shared" si="102"/>
        <v>0</v>
      </c>
      <c r="KG22" s="517" t="str">
        <f t="shared" si="103"/>
        <v>0</v>
      </c>
      <c r="KH22" s="515"/>
      <c r="KI22" s="517" t="str">
        <f t="shared" si="104"/>
        <v>0</v>
      </c>
      <c r="KJ22" s="517" t="str">
        <f t="shared" si="105"/>
        <v>0</v>
      </c>
      <c r="KK22" s="515"/>
      <c r="KL22" s="517" t="str">
        <f t="shared" si="106"/>
        <v>0</v>
      </c>
      <c r="KM22" s="517" t="str">
        <f t="shared" si="107"/>
        <v>0</v>
      </c>
      <c r="KN22" s="515"/>
      <c r="KO22" s="517" t="str">
        <f t="shared" si="108"/>
        <v>0</v>
      </c>
      <c r="KP22" s="517" t="str">
        <f t="shared" si="109"/>
        <v>0</v>
      </c>
      <c r="KQ22" s="515"/>
      <c r="KR22" s="517" t="str">
        <f t="shared" si="110"/>
        <v>0</v>
      </c>
      <c r="KS22" s="517" t="str">
        <f t="shared" si="111"/>
        <v>0</v>
      </c>
      <c r="KT22" s="517">
        <f t="shared" si="201"/>
        <v>0</v>
      </c>
      <c r="KU22" s="517">
        <f t="shared" si="202"/>
        <v>0</v>
      </c>
      <c r="KV22" s="263">
        <f t="shared" si="199"/>
        <v>273.62295348288865</v>
      </c>
    </row>
    <row r="23" spans="1:308">
      <c r="A23" s="264">
        <f t="shared" si="200"/>
        <v>45853</v>
      </c>
      <c r="B23" s="265" t="str">
        <f>+Report1!B23</f>
        <v>Facial</v>
      </c>
      <c r="C23" s="265" t="str">
        <f>+Report1!C23</f>
        <v>12/13</v>
      </c>
      <c r="D23" s="266">
        <f>+Report1!P23</f>
        <v>43.017000000000003</v>
      </c>
      <c r="E23" s="553">
        <f>+Report1!R23</f>
        <v>40.225999999999999</v>
      </c>
      <c r="F23" s="515"/>
      <c r="G23" s="516">
        <f t="shared" si="0"/>
        <v>0</v>
      </c>
      <c r="H23" s="517">
        <f t="shared" si="112"/>
        <v>0</v>
      </c>
      <c r="I23" s="515">
        <v>302.32558139534876</v>
      </c>
      <c r="J23" s="516">
        <f t="shared" si="1"/>
        <v>7.5156759656776408</v>
      </c>
      <c r="K23" s="517">
        <f t="shared" si="113"/>
        <v>0</v>
      </c>
      <c r="L23" s="515"/>
      <c r="M23" s="516">
        <f t="shared" si="2"/>
        <v>0</v>
      </c>
      <c r="N23" s="517">
        <f t="shared" si="114"/>
        <v>0</v>
      </c>
      <c r="O23" s="515">
        <v>5.9999999999999716</v>
      </c>
      <c r="P23" s="516">
        <f t="shared" si="3"/>
        <v>0.14915726147267866</v>
      </c>
      <c r="Q23" s="517">
        <f t="shared" si="115"/>
        <v>0</v>
      </c>
      <c r="R23" s="515"/>
      <c r="S23" s="516">
        <f t="shared" si="4"/>
        <v>0</v>
      </c>
      <c r="T23" s="517">
        <f t="shared" si="116"/>
        <v>0</v>
      </c>
      <c r="U23" s="515">
        <v>8.96875</v>
      </c>
      <c r="V23" s="516">
        <f t="shared" si="5"/>
        <v>0.22295903147218218</v>
      </c>
      <c r="W23" s="517">
        <f t="shared" si="117"/>
        <v>0</v>
      </c>
      <c r="X23" s="515"/>
      <c r="Y23" s="516">
        <f t="shared" si="6"/>
        <v>0</v>
      </c>
      <c r="Z23" s="517">
        <f t="shared" si="118"/>
        <v>0</v>
      </c>
      <c r="AA23" s="515"/>
      <c r="AB23" s="516">
        <f t="shared" si="7"/>
        <v>0</v>
      </c>
      <c r="AC23" s="517">
        <f t="shared" si="119"/>
        <v>0</v>
      </c>
      <c r="AD23" s="515"/>
      <c r="AE23" s="516">
        <f t="shared" si="8"/>
        <v>0</v>
      </c>
      <c r="AF23" s="517">
        <f t="shared" si="120"/>
        <v>0</v>
      </c>
      <c r="AG23" s="515"/>
      <c r="AH23" s="516">
        <f t="shared" si="9"/>
        <v>0</v>
      </c>
      <c r="AI23" s="517">
        <f t="shared" si="121"/>
        <v>0</v>
      </c>
      <c r="AJ23" s="515"/>
      <c r="AK23" s="516">
        <f t="shared" si="10"/>
        <v>0</v>
      </c>
      <c r="AL23" s="517">
        <f t="shared" si="122"/>
        <v>0</v>
      </c>
      <c r="AM23" s="515"/>
      <c r="AN23" s="516">
        <f t="shared" si="11"/>
        <v>0</v>
      </c>
      <c r="AO23" s="517">
        <f t="shared" si="123"/>
        <v>0</v>
      </c>
      <c r="AP23" s="515">
        <v>42.72151898734171</v>
      </c>
      <c r="AQ23" s="516">
        <f t="shared" si="12"/>
        <v>1.062037463017494</v>
      </c>
      <c r="AR23" s="517">
        <f t="shared" si="124"/>
        <v>0</v>
      </c>
      <c r="AS23" s="515"/>
      <c r="AT23" s="516">
        <f t="shared" si="13"/>
        <v>0</v>
      </c>
      <c r="AU23" s="517">
        <f t="shared" si="125"/>
        <v>0</v>
      </c>
      <c r="AV23" s="515"/>
      <c r="AW23" s="516">
        <f t="shared" si="14"/>
        <v>0</v>
      </c>
      <c r="AX23" s="517">
        <f t="shared" si="126"/>
        <v>0</v>
      </c>
      <c r="AY23" s="515">
        <v>41.999999999999943</v>
      </c>
      <c r="AZ23" s="516">
        <f t="shared" si="15"/>
        <v>1.0441008303087542</v>
      </c>
      <c r="BA23" s="517">
        <f t="shared" si="127"/>
        <v>0</v>
      </c>
      <c r="BB23" s="515"/>
      <c r="BC23" s="516">
        <f t="shared" si="16"/>
        <v>0</v>
      </c>
      <c r="BD23" s="517">
        <f t="shared" si="128"/>
        <v>0</v>
      </c>
      <c r="BE23" s="515"/>
      <c r="BF23" s="516">
        <f t="shared" si="17"/>
        <v>0</v>
      </c>
      <c r="BG23" s="517">
        <f t="shared" si="129"/>
        <v>0</v>
      </c>
      <c r="BH23" s="515"/>
      <c r="BI23" s="516">
        <f t="shared" si="18"/>
        <v>0</v>
      </c>
      <c r="BJ23" s="517">
        <f t="shared" si="130"/>
        <v>0</v>
      </c>
      <c r="BK23" s="515"/>
      <c r="BL23" s="516">
        <f t="shared" si="19"/>
        <v>0</v>
      </c>
      <c r="BM23" s="517">
        <f t="shared" si="131"/>
        <v>0</v>
      </c>
      <c r="BN23" s="515"/>
      <c r="BO23" s="516">
        <f t="shared" si="20"/>
        <v>0</v>
      </c>
      <c r="BP23" s="517">
        <f t="shared" si="132"/>
        <v>0</v>
      </c>
      <c r="BQ23" s="515"/>
      <c r="BR23" s="516">
        <f t="shared" si="21"/>
        <v>0</v>
      </c>
      <c r="BS23" s="517">
        <f t="shared" si="133"/>
        <v>0</v>
      </c>
      <c r="BT23" s="515"/>
      <c r="BU23" s="516">
        <f t="shared" si="22"/>
        <v>0</v>
      </c>
      <c r="BV23" s="517">
        <f t="shared" si="134"/>
        <v>0</v>
      </c>
      <c r="BW23" s="515"/>
      <c r="BX23" s="516">
        <f t="shared" si="23"/>
        <v>0</v>
      </c>
      <c r="BY23" s="517">
        <f t="shared" si="135"/>
        <v>0</v>
      </c>
      <c r="BZ23" s="515"/>
      <c r="CA23" s="516">
        <f t="shared" si="24"/>
        <v>0</v>
      </c>
      <c r="CB23" s="517">
        <f t="shared" si="136"/>
        <v>0</v>
      </c>
      <c r="CC23" s="515"/>
      <c r="CD23" s="516">
        <f t="shared" si="25"/>
        <v>0</v>
      </c>
      <c r="CE23" s="517">
        <f t="shared" si="137"/>
        <v>0</v>
      </c>
      <c r="CF23" s="515">
        <v>0.6</v>
      </c>
      <c r="CG23" s="516">
        <f t="shared" si="26"/>
        <v>1.4915726147267936E-2</v>
      </c>
      <c r="CH23" s="517">
        <f t="shared" si="138"/>
        <v>0</v>
      </c>
      <c r="CI23" s="515"/>
      <c r="CJ23" s="516">
        <f t="shared" si="27"/>
        <v>0</v>
      </c>
      <c r="CK23" s="517">
        <f t="shared" si="139"/>
        <v>0</v>
      </c>
      <c r="CL23" s="515"/>
      <c r="CM23" s="516">
        <f t="shared" si="28"/>
        <v>0</v>
      </c>
      <c r="CN23" s="517">
        <f t="shared" si="140"/>
        <v>0</v>
      </c>
      <c r="CO23" s="515"/>
      <c r="CP23" s="516">
        <f t="shared" si="29"/>
        <v>0</v>
      </c>
      <c r="CQ23" s="517">
        <f t="shared" si="141"/>
        <v>0</v>
      </c>
      <c r="CR23" s="515"/>
      <c r="CS23" s="516">
        <f t="shared" si="30"/>
        <v>0</v>
      </c>
      <c r="CT23" s="517">
        <f t="shared" si="142"/>
        <v>0</v>
      </c>
      <c r="CU23" s="515"/>
      <c r="CV23" s="516">
        <f t="shared" si="31"/>
        <v>0</v>
      </c>
      <c r="CW23" s="517">
        <f t="shared" si="143"/>
        <v>0</v>
      </c>
      <c r="CX23" s="515"/>
      <c r="CY23" s="516">
        <f t="shared" si="32"/>
        <v>0</v>
      </c>
      <c r="CZ23" s="517">
        <f t="shared" si="144"/>
        <v>0</v>
      </c>
      <c r="DA23" s="515"/>
      <c r="DB23" s="516">
        <f t="shared" si="33"/>
        <v>0</v>
      </c>
      <c r="DC23" s="517">
        <f t="shared" si="145"/>
        <v>0</v>
      </c>
      <c r="DD23" s="515"/>
      <c r="DE23" s="516">
        <f t="shared" si="34"/>
        <v>0</v>
      </c>
      <c r="DF23" s="517">
        <f t="shared" si="146"/>
        <v>0</v>
      </c>
      <c r="DG23" s="515"/>
      <c r="DH23" s="516">
        <f t="shared" si="35"/>
        <v>0</v>
      </c>
      <c r="DI23" s="517">
        <f t="shared" si="203"/>
        <v>0</v>
      </c>
      <c r="DJ23" s="515"/>
      <c r="DK23" s="516">
        <f t="shared" si="36"/>
        <v>0</v>
      </c>
      <c r="DL23" s="517">
        <f t="shared" si="147"/>
        <v>0</v>
      </c>
      <c r="DM23" s="515"/>
      <c r="DN23" s="516">
        <f t="shared" si="37"/>
        <v>0</v>
      </c>
      <c r="DO23" s="517">
        <f t="shared" si="148"/>
        <v>0</v>
      </c>
      <c r="DP23" s="515"/>
      <c r="DQ23" s="516">
        <f t="shared" si="38"/>
        <v>0</v>
      </c>
      <c r="DR23" s="517">
        <f t="shared" si="149"/>
        <v>0</v>
      </c>
      <c r="DS23" s="515"/>
      <c r="DT23" s="516">
        <f t="shared" si="39"/>
        <v>0</v>
      </c>
      <c r="DU23" s="517">
        <f t="shared" si="150"/>
        <v>0</v>
      </c>
      <c r="DV23" s="515"/>
      <c r="DW23" s="516">
        <f t="shared" si="40"/>
        <v>0</v>
      </c>
      <c r="DX23" s="517">
        <f t="shared" si="151"/>
        <v>0</v>
      </c>
      <c r="DY23" s="515"/>
      <c r="DZ23" s="516">
        <f t="shared" si="41"/>
        <v>0</v>
      </c>
      <c r="EA23" s="517">
        <f t="shared" si="152"/>
        <v>0</v>
      </c>
      <c r="EB23" s="515"/>
      <c r="EC23" s="516">
        <f t="shared" si="42"/>
        <v>0</v>
      </c>
      <c r="ED23" s="517">
        <f t="shared" si="153"/>
        <v>0</v>
      </c>
      <c r="EE23" s="515">
        <v>10.90116279069764</v>
      </c>
      <c r="EF23" s="516">
        <f t="shared" si="43"/>
        <v>0.27099793145472184</v>
      </c>
      <c r="EG23" s="517">
        <f t="shared" si="154"/>
        <v>0</v>
      </c>
      <c r="EH23" s="515">
        <v>23.48235294117643</v>
      </c>
      <c r="EI23" s="516">
        <f t="shared" si="44"/>
        <v>0.58376057627346567</v>
      </c>
      <c r="EJ23" s="517">
        <f t="shared" si="155"/>
        <v>0</v>
      </c>
      <c r="EK23" s="515">
        <v>3</v>
      </c>
      <c r="EL23" s="516">
        <f t="shared" si="45"/>
        <v>7.4578630736339677E-2</v>
      </c>
      <c r="EM23" s="517">
        <f t="shared" si="156"/>
        <v>0</v>
      </c>
      <c r="EN23" s="515"/>
      <c r="EO23" s="516">
        <f t="shared" si="46"/>
        <v>0</v>
      </c>
      <c r="EP23" s="517">
        <f t="shared" si="157"/>
        <v>0</v>
      </c>
      <c r="EQ23" s="515"/>
      <c r="ER23" s="516">
        <f t="shared" si="47"/>
        <v>0</v>
      </c>
      <c r="ES23" s="517">
        <f t="shared" si="158"/>
        <v>0</v>
      </c>
      <c r="ET23" s="515"/>
      <c r="EU23" s="516">
        <f t="shared" si="48"/>
        <v>0</v>
      </c>
      <c r="EV23" s="517">
        <f t="shared" si="159"/>
        <v>0</v>
      </c>
      <c r="EW23" s="515"/>
      <c r="EX23" s="516">
        <f t="shared" si="49"/>
        <v>0</v>
      </c>
      <c r="EY23" s="517">
        <f t="shared" si="160"/>
        <v>0</v>
      </c>
      <c r="EZ23" s="515"/>
      <c r="FA23" s="516">
        <f t="shared" si="50"/>
        <v>0</v>
      </c>
      <c r="FB23" s="517">
        <f t="shared" si="161"/>
        <v>0</v>
      </c>
      <c r="FC23" s="515"/>
      <c r="FD23" s="516">
        <f t="shared" si="51"/>
        <v>0</v>
      </c>
      <c r="FE23" s="517">
        <f t="shared" si="162"/>
        <v>0</v>
      </c>
      <c r="FF23" s="515"/>
      <c r="FG23" s="516">
        <f t="shared" si="52"/>
        <v>0</v>
      </c>
      <c r="FH23" s="517">
        <f t="shared" si="163"/>
        <v>0</v>
      </c>
      <c r="FI23" s="515"/>
      <c r="FJ23" s="516">
        <f t="shared" si="53"/>
        <v>0</v>
      </c>
      <c r="FK23" s="517">
        <f t="shared" si="164"/>
        <v>0</v>
      </c>
      <c r="FL23" s="515"/>
      <c r="FM23" s="516">
        <f t="shared" si="54"/>
        <v>0</v>
      </c>
      <c r="FN23" s="517">
        <f t="shared" si="165"/>
        <v>0</v>
      </c>
      <c r="FO23" s="515"/>
      <c r="FP23" s="516">
        <f t="shared" si="55"/>
        <v>0</v>
      </c>
      <c r="FQ23" s="517">
        <f t="shared" si="166"/>
        <v>0</v>
      </c>
      <c r="FR23" s="515"/>
      <c r="FS23" s="516">
        <f t="shared" si="56"/>
        <v>0</v>
      </c>
      <c r="FT23" s="517">
        <f t="shared" si="167"/>
        <v>0</v>
      </c>
      <c r="FU23" s="515"/>
      <c r="FV23" s="516">
        <f t="shared" si="57"/>
        <v>0</v>
      </c>
      <c r="FW23" s="517">
        <f t="shared" si="168"/>
        <v>0</v>
      </c>
      <c r="FX23" s="515"/>
      <c r="FY23" s="516">
        <f t="shared" si="58"/>
        <v>0</v>
      </c>
      <c r="FZ23" s="517">
        <f t="shared" si="169"/>
        <v>0</v>
      </c>
      <c r="GA23" s="515"/>
      <c r="GB23" s="516">
        <f t="shared" si="59"/>
        <v>0</v>
      </c>
      <c r="GC23" s="517">
        <f t="shared" si="170"/>
        <v>0</v>
      </c>
      <c r="GD23" s="515"/>
      <c r="GE23" s="516">
        <f t="shared" si="60"/>
        <v>0</v>
      </c>
      <c r="GF23" s="517">
        <f t="shared" si="171"/>
        <v>0</v>
      </c>
      <c r="GG23" s="515"/>
      <c r="GH23" s="516">
        <f t="shared" si="61"/>
        <v>0</v>
      </c>
      <c r="GI23" s="517">
        <f t="shared" si="172"/>
        <v>0</v>
      </c>
      <c r="GJ23" s="515"/>
      <c r="GK23" s="516">
        <f t="shared" si="62"/>
        <v>0</v>
      </c>
      <c r="GL23" s="517">
        <f t="shared" si="173"/>
        <v>0</v>
      </c>
      <c r="GM23" s="515"/>
      <c r="GN23" s="516">
        <f t="shared" si="63"/>
        <v>0</v>
      </c>
      <c r="GO23" s="517">
        <f t="shared" si="174"/>
        <v>0</v>
      </c>
      <c r="GP23" s="515"/>
      <c r="GQ23" s="516">
        <f t="shared" si="64"/>
        <v>0</v>
      </c>
      <c r="GR23" s="517">
        <f t="shared" si="175"/>
        <v>0</v>
      </c>
      <c r="GS23" s="515"/>
      <c r="GT23" s="516">
        <f t="shared" si="65"/>
        <v>0</v>
      </c>
      <c r="GU23" s="517">
        <f t="shared" si="176"/>
        <v>0</v>
      </c>
      <c r="GV23" s="515"/>
      <c r="GW23" s="516">
        <f t="shared" si="66"/>
        <v>0</v>
      </c>
      <c r="GX23" s="517">
        <f t="shared" si="177"/>
        <v>0</v>
      </c>
      <c r="GY23" s="515"/>
      <c r="GZ23" s="516">
        <f t="shared" si="67"/>
        <v>0</v>
      </c>
      <c r="HA23" s="517">
        <f t="shared" si="178"/>
        <v>0</v>
      </c>
      <c r="HB23" s="515"/>
      <c r="HC23" s="516">
        <f t="shared" si="68"/>
        <v>0</v>
      </c>
      <c r="HD23" s="517">
        <f t="shared" si="179"/>
        <v>0</v>
      </c>
      <c r="HE23" s="515"/>
      <c r="HF23" s="516">
        <f t="shared" si="69"/>
        <v>0</v>
      </c>
      <c r="HG23" s="517">
        <f t="shared" si="180"/>
        <v>0</v>
      </c>
      <c r="HH23" s="515"/>
      <c r="HI23" s="516">
        <f t="shared" si="70"/>
        <v>0</v>
      </c>
      <c r="HJ23" s="517">
        <f t="shared" si="181"/>
        <v>0</v>
      </c>
      <c r="HK23" s="515"/>
      <c r="HL23" s="516">
        <f t="shared" si="71"/>
        <v>0</v>
      </c>
      <c r="HM23" s="517">
        <f t="shared" si="182"/>
        <v>0</v>
      </c>
      <c r="HN23" s="515"/>
      <c r="HO23" s="516">
        <f t="shared" si="72"/>
        <v>0</v>
      </c>
      <c r="HP23" s="517">
        <f t="shared" si="183"/>
        <v>0</v>
      </c>
      <c r="HQ23" s="515"/>
      <c r="HR23" s="516">
        <f t="shared" si="73"/>
        <v>0</v>
      </c>
      <c r="HS23" s="517">
        <f t="shared" si="184"/>
        <v>0</v>
      </c>
      <c r="HT23" s="515"/>
      <c r="HU23" s="516">
        <f t="shared" si="74"/>
        <v>0</v>
      </c>
      <c r="HV23" s="517">
        <f t="shared" si="185"/>
        <v>0</v>
      </c>
      <c r="HW23" s="515"/>
      <c r="HX23" s="516">
        <f t="shared" si="75"/>
        <v>0</v>
      </c>
      <c r="HY23" s="517">
        <f t="shared" si="186"/>
        <v>0</v>
      </c>
      <c r="HZ23" s="515"/>
      <c r="IA23" s="516">
        <f t="shared" si="76"/>
        <v>0</v>
      </c>
      <c r="IB23" s="517">
        <f t="shared" si="187"/>
        <v>0</v>
      </c>
      <c r="IC23" s="515"/>
      <c r="ID23" s="516">
        <f t="shared" si="77"/>
        <v>0</v>
      </c>
      <c r="IE23" s="517">
        <f t="shared" si="188"/>
        <v>0</v>
      </c>
      <c r="IF23" s="515"/>
      <c r="IG23" s="516">
        <f t="shared" si="78"/>
        <v>0</v>
      </c>
      <c r="IH23" s="517">
        <f t="shared" si="189"/>
        <v>0</v>
      </c>
      <c r="II23" s="515"/>
      <c r="IJ23" s="516">
        <f t="shared" si="79"/>
        <v>0</v>
      </c>
      <c r="IK23" s="517">
        <f t="shared" si="190"/>
        <v>0</v>
      </c>
      <c r="IL23" s="515"/>
      <c r="IM23" s="516">
        <f t="shared" si="80"/>
        <v>0</v>
      </c>
      <c r="IN23" s="517">
        <f t="shared" si="191"/>
        <v>0</v>
      </c>
      <c r="IO23" s="515"/>
      <c r="IP23" s="516">
        <f t="shared" si="81"/>
        <v>0</v>
      </c>
      <c r="IQ23" s="517">
        <f t="shared" si="192"/>
        <v>0</v>
      </c>
      <c r="IR23" s="515"/>
      <c r="IS23" s="516">
        <f t="shared" si="82"/>
        <v>0</v>
      </c>
      <c r="IT23" s="517">
        <f t="shared" si="193"/>
        <v>0</v>
      </c>
      <c r="IU23" s="515"/>
      <c r="IV23" s="516">
        <f t="shared" si="83"/>
        <v>0</v>
      </c>
      <c r="IW23" s="517">
        <f t="shared" si="194"/>
        <v>0</v>
      </c>
      <c r="IX23" s="515"/>
      <c r="IY23" s="516">
        <f t="shared" si="84"/>
        <v>0</v>
      </c>
      <c r="IZ23" s="517">
        <f t="shared" si="195"/>
        <v>0</v>
      </c>
      <c r="JA23" s="515"/>
      <c r="JB23" s="516">
        <f t="shared" si="85"/>
        <v>0</v>
      </c>
      <c r="JC23" s="517">
        <f t="shared" si="196"/>
        <v>0</v>
      </c>
      <c r="JD23" s="515"/>
      <c r="JE23" s="516">
        <f t="shared" si="86"/>
        <v>0</v>
      </c>
      <c r="JF23" s="517">
        <f t="shared" si="197"/>
        <v>0</v>
      </c>
      <c r="JG23" s="515"/>
      <c r="JH23" s="516">
        <f t="shared" si="87"/>
        <v>0</v>
      </c>
      <c r="JI23" s="517">
        <f t="shared" si="198"/>
        <v>0</v>
      </c>
      <c r="JJ23" s="515"/>
      <c r="JK23" s="517" t="str">
        <f t="shared" si="88"/>
        <v>0</v>
      </c>
      <c r="JL23" s="517" t="str">
        <f t="shared" si="89"/>
        <v>0</v>
      </c>
      <c r="JM23" s="515"/>
      <c r="JN23" s="517" t="str">
        <f t="shared" si="90"/>
        <v>0</v>
      </c>
      <c r="JO23" s="517" t="str">
        <f t="shared" si="91"/>
        <v>0</v>
      </c>
      <c r="JP23" s="515"/>
      <c r="JQ23" s="517" t="str">
        <f t="shared" si="92"/>
        <v>0</v>
      </c>
      <c r="JR23" s="517" t="str">
        <f t="shared" si="93"/>
        <v>0</v>
      </c>
      <c r="JS23" s="515"/>
      <c r="JT23" s="517" t="str">
        <f t="shared" si="94"/>
        <v>0</v>
      </c>
      <c r="JU23" s="517" t="str">
        <f t="shared" si="95"/>
        <v>0</v>
      </c>
      <c r="JV23" s="515"/>
      <c r="JW23" s="517" t="str">
        <f t="shared" si="96"/>
        <v>0</v>
      </c>
      <c r="JX23" s="517" t="str">
        <f t="shared" si="97"/>
        <v>0</v>
      </c>
      <c r="JY23" s="515"/>
      <c r="JZ23" s="517" t="str">
        <f t="shared" si="98"/>
        <v>0</v>
      </c>
      <c r="KA23" s="517" t="str">
        <f t="shared" si="99"/>
        <v>0</v>
      </c>
      <c r="KB23" s="515"/>
      <c r="KC23" s="517" t="str">
        <f t="shared" si="100"/>
        <v>0</v>
      </c>
      <c r="KD23" s="517" t="str">
        <f t="shared" si="101"/>
        <v>0</v>
      </c>
      <c r="KE23" s="515"/>
      <c r="KF23" s="517" t="str">
        <f t="shared" si="102"/>
        <v>0</v>
      </c>
      <c r="KG23" s="517" t="str">
        <f t="shared" si="103"/>
        <v>0</v>
      </c>
      <c r="KH23" s="515"/>
      <c r="KI23" s="517" t="str">
        <f t="shared" si="104"/>
        <v>0</v>
      </c>
      <c r="KJ23" s="517" t="str">
        <f t="shared" si="105"/>
        <v>0</v>
      </c>
      <c r="KK23" s="515"/>
      <c r="KL23" s="517" t="str">
        <f t="shared" si="106"/>
        <v>0</v>
      </c>
      <c r="KM23" s="517" t="str">
        <f t="shared" si="107"/>
        <v>0</v>
      </c>
      <c r="KN23" s="515"/>
      <c r="KO23" s="517" t="str">
        <f t="shared" si="108"/>
        <v>0</v>
      </c>
      <c r="KP23" s="517" t="str">
        <f t="shared" si="109"/>
        <v>0</v>
      </c>
      <c r="KQ23" s="515"/>
      <c r="KR23" s="517" t="str">
        <f t="shared" si="110"/>
        <v>0</v>
      </c>
      <c r="KS23" s="517" t="str">
        <f t="shared" si="111"/>
        <v>0</v>
      </c>
      <c r="KT23" s="517">
        <f t="shared" si="201"/>
        <v>0</v>
      </c>
      <c r="KU23" s="517">
        <f t="shared" si="202"/>
        <v>0</v>
      </c>
      <c r="KV23" s="263">
        <f t="shared" si="199"/>
        <v>439.99936611456451</v>
      </c>
    </row>
    <row r="24" spans="1:308">
      <c r="A24" s="264">
        <f t="shared" si="200"/>
        <v>45854</v>
      </c>
      <c r="B24" s="265" t="str">
        <f>+Report1!B24</f>
        <v>Facial</v>
      </c>
      <c r="C24" s="265" t="str">
        <f>+Report1!C24</f>
        <v>13</v>
      </c>
      <c r="D24" s="266">
        <f>+Report1!P24</f>
        <v>43.494</v>
      </c>
      <c r="E24" s="553">
        <f>+Report1!R24</f>
        <v>42.908999999999999</v>
      </c>
      <c r="F24" s="515"/>
      <c r="G24" s="516">
        <f t="shared" si="0"/>
        <v>0</v>
      </c>
      <c r="H24" s="517">
        <f t="shared" si="112"/>
        <v>0</v>
      </c>
      <c r="I24" s="515">
        <v>348.8372093023255</v>
      </c>
      <c r="J24" s="516">
        <f t="shared" si="1"/>
        <v>8.1296979492023933</v>
      </c>
      <c r="K24" s="517">
        <f t="shared" si="113"/>
        <v>0</v>
      </c>
      <c r="L24" s="515"/>
      <c r="M24" s="516">
        <f t="shared" si="2"/>
        <v>0</v>
      </c>
      <c r="N24" s="517">
        <f t="shared" si="114"/>
        <v>0</v>
      </c>
      <c r="O24" s="515">
        <v>6</v>
      </c>
      <c r="P24" s="516">
        <f t="shared" si="3"/>
        <v>0.1398308047262812</v>
      </c>
      <c r="Q24" s="517">
        <f t="shared" si="115"/>
        <v>0</v>
      </c>
      <c r="R24" s="515"/>
      <c r="S24" s="516">
        <f t="shared" si="4"/>
        <v>0</v>
      </c>
      <c r="T24" s="517">
        <f t="shared" si="116"/>
        <v>0</v>
      </c>
      <c r="U24" s="515">
        <v>8.9687500000000568</v>
      </c>
      <c r="V24" s="516">
        <f t="shared" si="5"/>
        <v>0.20901792164814043</v>
      </c>
      <c r="W24" s="517">
        <f t="shared" si="117"/>
        <v>0</v>
      </c>
      <c r="X24" s="515"/>
      <c r="Y24" s="516">
        <f t="shared" si="6"/>
        <v>0</v>
      </c>
      <c r="Z24" s="517">
        <f t="shared" si="118"/>
        <v>0</v>
      </c>
      <c r="AA24" s="515"/>
      <c r="AB24" s="516">
        <f t="shared" si="7"/>
        <v>0</v>
      </c>
      <c r="AC24" s="517">
        <f t="shared" si="119"/>
        <v>0</v>
      </c>
      <c r="AD24" s="515"/>
      <c r="AE24" s="516">
        <f t="shared" si="8"/>
        <v>0</v>
      </c>
      <c r="AF24" s="517">
        <f t="shared" si="120"/>
        <v>0</v>
      </c>
      <c r="AG24" s="515"/>
      <c r="AH24" s="516">
        <f t="shared" si="9"/>
        <v>0</v>
      </c>
      <c r="AI24" s="517">
        <f t="shared" si="121"/>
        <v>0</v>
      </c>
      <c r="AJ24" s="515"/>
      <c r="AK24" s="516">
        <f t="shared" si="10"/>
        <v>0</v>
      </c>
      <c r="AL24" s="517">
        <f t="shared" si="122"/>
        <v>0</v>
      </c>
      <c r="AM24" s="515"/>
      <c r="AN24" s="516">
        <f t="shared" si="11"/>
        <v>0</v>
      </c>
      <c r="AO24" s="517">
        <f t="shared" si="123"/>
        <v>0</v>
      </c>
      <c r="AP24" s="515">
        <v>51.265822784810155</v>
      </c>
      <c r="AQ24" s="516">
        <f t="shared" si="12"/>
        <v>1.1947568758258211</v>
      </c>
      <c r="AR24" s="517">
        <f t="shared" si="124"/>
        <v>0</v>
      </c>
      <c r="AS24" s="515"/>
      <c r="AT24" s="516">
        <f t="shared" si="13"/>
        <v>0</v>
      </c>
      <c r="AU24" s="517">
        <f t="shared" si="125"/>
        <v>0</v>
      </c>
      <c r="AV24" s="515"/>
      <c r="AW24" s="516">
        <f t="shared" si="14"/>
        <v>0</v>
      </c>
      <c r="AX24" s="517">
        <f t="shared" si="126"/>
        <v>0</v>
      </c>
      <c r="AY24" s="515">
        <v>46.666666666666686</v>
      </c>
      <c r="AZ24" s="516">
        <f t="shared" si="15"/>
        <v>1.0875729256488542</v>
      </c>
      <c r="BA24" s="517">
        <f t="shared" si="127"/>
        <v>0</v>
      </c>
      <c r="BB24" s="515"/>
      <c r="BC24" s="516">
        <f t="shared" si="16"/>
        <v>0</v>
      </c>
      <c r="BD24" s="517">
        <f t="shared" si="128"/>
        <v>0</v>
      </c>
      <c r="BE24" s="515"/>
      <c r="BF24" s="516">
        <f t="shared" si="17"/>
        <v>0</v>
      </c>
      <c r="BG24" s="517">
        <f t="shared" si="129"/>
        <v>0</v>
      </c>
      <c r="BH24" s="515"/>
      <c r="BI24" s="516">
        <f t="shared" si="18"/>
        <v>0</v>
      </c>
      <c r="BJ24" s="517">
        <f t="shared" si="130"/>
        <v>0</v>
      </c>
      <c r="BK24" s="515"/>
      <c r="BL24" s="516">
        <f t="shared" si="19"/>
        <v>0</v>
      </c>
      <c r="BM24" s="517">
        <f t="shared" si="131"/>
        <v>0</v>
      </c>
      <c r="BN24" s="515"/>
      <c r="BO24" s="516">
        <f t="shared" si="20"/>
        <v>0</v>
      </c>
      <c r="BP24" s="517">
        <f t="shared" si="132"/>
        <v>0</v>
      </c>
      <c r="BQ24" s="515"/>
      <c r="BR24" s="516">
        <f t="shared" si="21"/>
        <v>0</v>
      </c>
      <c r="BS24" s="517">
        <f t="shared" si="133"/>
        <v>0</v>
      </c>
      <c r="BT24" s="515"/>
      <c r="BU24" s="516">
        <f t="shared" si="22"/>
        <v>0</v>
      </c>
      <c r="BV24" s="517">
        <f t="shared" si="134"/>
        <v>0</v>
      </c>
      <c r="BW24" s="515"/>
      <c r="BX24" s="516">
        <f t="shared" si="23"/>
        <v>0</v>
      </c>
      <c r="BY24" s="517">
        <f t="shared" si="135"/>
        <v>0</v>
      </c>
      <c r="BZ24" s="515"/>
      <c r="CA24" s="516">
        <f t="shared" si="24"/>
        <v>0</v>
      </c>
      <c r="CB24" s="517">
        <f t="shared" si="136"/>
        <v>0</v>
      </c>
      <c r="CC24" s="515"/>
      <c r="CD24" s="516">
        <f t="shared" si="25"/>
        <v>0</v>
      </c>
      <c r="CE24" s="517">
        <f t="shared" si="137"/>
        <v>0</v>
      </c>
      <c r="CF24" s="515">
        <v>0.59999999999999853</v>
      </c>
      <c r="CG24" s="516">
        <f t="shared" si="26"/>
        <v>1.3983080472628086E-2</v>
      </c>
      <c r="CH24" s="517">
        <f t="shared" si="138"/>
        <v>0</v>
      </c>
      <c r="CI24" s="515"/>
      <c r="CJ24" s="516">
        <f t="shared" si="27"/>
        <v>0</v>
      </c>
      <c r="CK24" s="517">
        <f t="shared" si="139"/>
        <v>0</v>
      </c>
      <c r="CL24" s="515"/>
      <c r="CM24" s="516">
        <f t="shared" si="28"/>
        <v>0</v>
      </c>
      <c r="CN24" s="517">
        <f t="shared" si="140"/>
        <v>0</v>
      </c>
      <c r="CO24" s="515"/>
      <c r="CP24" s="516">
        <f t="shared" si="29"/>
        <v>0</v>
      </c>
      <c r="CQ24" s="517">
        <f t="shared" si="141"/>
        <v>0</v>
      </c>
      <c r="CR24" s="515"/>
      <c r="CS24" s="516">
        <f t="shared" si="30"/>
        <v>0</v>
      </c>
      <c r="CT24" s="517">
        <f t="shared" si="142"/>
        <v>0</v>
      </c>
      <c r="CU24" s="515"/>
      <c r="CV24" s="516">
        <f t="shared" si="31"/>
        <v>0</v>
      </c>
      <c r="CW24" s="517">
        <f t="shared" si="143"/>
        <v>0</v>
      </c>
      <c r="CX24" s="515"/>
      <c r="CY24" s="516">
        <f t="shared" si="32"/>
        <v>0</v>
      </c>
      <c r="CZ24" s="517">
        <f t="shared" si="144"/>
        <v>0</v>
      </c>
      <c r="DA24" s="515"/>
      <c r="DB24" s="516">
        <f t="shared" si="33"/>
        <v>0</v>
      </c>
      <c r="DC24" s="517">
        <f t="shared" si="145"/>
        <v>0</v>
      </c>
      <c r="DD24" s="515"/>
      <c r="DE24" s="516">
        <f t="shared" si="34"/>
        <v>0</v>
      </c>
      <c r="DF24" s="517">
        <f t="shared" si="146"/>
        <v>0</v>
      </c>
      <c r="DG24" s="515"/>
      <c r="DH24" s="516">
        <f t="shared" si="35"/>
        <v>0</v>
      </c>
      <c r="DI24" s="517">
        <f t="shared" si="203"/>
        <v>0</v>
      </c>
      <c r="DJ24" s="515"/>
      <c r="DK24" s="516">
        <f t="shared" si="36"/>
        <v>0</v>
      </c>
      <c r="DL24" s="517">
        <f t="shared" si="147"/>
        <v>0</v>
      </c>
      <c r="DM24" s="515"/>
      <c r="DN24" s="516">
        <f t="shared" si="37"/>
        <v>0</v>
      </c>
      <c r="DO24" s="517">
        <f t="shared" si="148"/>
        <v>0</v>
      </c>
      <c r="DP24" s="515"/>
      <c r="DQ24" s="516">
        <f t="shared" si="38"/>
        <v>0</v>
      </c>
      <c r="DR24" s="517">
        <f t="shared" si="149"/>
        <v>0</v>
      </c>
      <c r="DS24" s="515"/>
      <c r="DT24" s="516">
        <f t="shared" si="39"/>
        <v>0</v>
      </c>
      <c r="DU24" s="517">
        <f t="shared" si="150"/>
        <v>0</v>
      </c>
      <c r="DV24" s="515"/>
      <c r="DW24" s="516">
        <f t="shared" si="40"/>
        <v>0</v>
      </c>
      <c r="DX24" s="517">
        <f t="shared" si="151"/>
        <v>0</v>
      </c>
      <c r="DY24" s="515"/>
      <c r="DZ24" s="516">
        <f t="shared" si="41"/>
        <v>0</v>
      </c>
      <c r="EA24" s="517">
        <f t="shared" si="152"/>
        <v>0</v>
      </c>
      <c r="EB24" s="515"/>
      <c r="EC24" s="516">
        <f t="shared" si="42"/>
        <v>0</v>
      </c>
      <c r="ED24" s="517">
        <f t="shared" si="153"/>
        <v>0</v>
      </c>
      <c r="EE24" s="515">
        <v>10.901162790697754</v>
      </c>
      <c r="EF24" s="516">
        <f t="shared" si="43"/>
        <v>0.25405306091257673</v>
      </c>
      <c r="EG24" s="517">
        <f t="shared" si="154"/>
        <v>0</v>
      </c>
      <c r="EH24" s="515">
        <v>17.611764705882365</v>
      </c>
      <c r="EI24" s="516">
        <f t="shared" si="44"/>
        <v>0.41044453857890806</v>
      </c>
      <c r="EJ24" s="517">
        <f t="shared" si="155"/>
        <v>0</v>
      </c>
      <c r="EK24" s="515">
        <v>3.2</v>
      </c>
      <c r="EL24" s="516">
        <f t="shared" si="45"/>
        <v>7.4576429187349982E-2</v>
      </c>
      <c r="EM24" s="517">
        <f t="shared" si="156"/>
        <v>0</v>
      </c>
      <c r="EN24" s="515"/>
      <c r="EO24" s="516">
        <f t="shared" si="46"/>
        <v>0</v>
      </c>
      <c r="EP24" s="517">
        <f t="shared" si="157"/>
        <v>0</v>
      </c>
      <c r="EQ24" s="515"/>
      <c r="ER24" s="516">
        <f t="shared" si="47"/>
        <v>0</v>
      </c>
      <c r="ES24" s="517">
        <f t="shared" si="158"/>
        <v>0</v>
      </c>
      <c r="ET24" s="515"/>
      <c r="EU24" s="516">
        <f t="shared" si="48"/>
        <v>0</v>
      </c>
      <c r="EV24" s="517">
        <f t="shared" si="159"/>
        <v>0</v>
      </c>
      <c r="EW24" s="515"/>
      <c r="EX24" s="516">
        <f t="shared" si="49"/>
        <v>0</v>
      </c>
      <c r="EY24" s="517">
        <f t="shared" si="160"/>
        <v>0</v>
      </c>
      <c r="EZ24" s="515"/>
      <c r="FA24" s="516">
        <f t="shared" si="50"/>
        <v>0</v>
      </c>
      <c r="FB24" s="517">
        <f t="shared" si="161"/>
        <v>0</v>
      </c>
      <c r="FC24" s="515"/>
      <c r="FD24" s="516">
        <f t="shared" si="51"/>
        <v>0</v>
      </c>
      <c r="FE24" s="517">
        <f t="shared" si="162"/>
        <v>0</v>
      </c>
      <c r="FF24" s="515"/>
      <c r="FG24" s="516">
        <f t="shared" si="52"/>
        <v>0</v>
      </c>
      <c r="FH24" s="517">
        <f t="shared" si="163"/>
        <v>0</v>
      </c>
      <c r="FI24" s="515"/>
      <c r="FJ24" s="516">
        <f t="shared" si="53"/>
        <v>0</v>
      </c>
      <c r="FK24" s="517">
        <f t="shared" si="164"/>
        <v>0</v>
      </c>
      <c r="FL24" s="515"/>
      <c r="FM24" s="516">
        <f t="shared" si="54"/>
        <v>0</v>
      </c>
      <c r="FN24" s="517">
        <f t="shared" si="165"/>
        <v>0</v>
      </c>
      <c r="FO24" s="515"/>
      <c r="FP24" s="516">
        <f t="shared" si="55"/>
        <v>0</v>
      </c>
      <c r="FQ24" s="517">
        <f t="shared" si="166"/>
        <v>0</v>
      </c>
      <c r="FR24" s="515"/>
      <c r="FS24" s="516">
        <f t="shared" si="56"/>
        <v>0</v>
      </c>
      <c r="FT24" s="517">
        <f t="shared" si="167"/>
        <v>0</v>
      </c>
      <c r="FU24" s="515"/>
      <c r="FV24" s="516">
        <f t="shared" si="57"/>
        <v>0</v>
      </c>
      <c r="FW24" s="517">
        <f t="shared" si="168"/>
        <v>0</v>
      </c>
      <c r="FX24" s="515"/>
      <c r="FY24" s="516">
        <f t="shared" si="58"/>
        <v>0</v>
      </c>
      <c r="FZ24" s="517">
        <f t="shared" si="169"/>
        <v>0</v>
      </c>
      <c r="GA24" s="515"/>
      <c r="GB24" s="516">
        <f t="shared" si="59"/>
        <v>0</v>
      </c>
      <c r="GC24" s="517">
        <f t="shared" si="170"/>
        <v>0</v>
      </c>
      <c r="GD24" s="515"/>
      <c r="GE24" s="516">
        <f t="shared" si="60"/>
        <v>0</v>
      </c>
      <c r="GF24" s="517">
        <f t="shared" si="171"/>
        <v>0</v>
      </c>
      <c r="GG24" s="515"/>
      <c r="GH24" s="516">
        <f t="shared" si="61"/>
        <v>0</v>
      </c>
      <c r="GI24" s="517">
        <f t="shared" si="172"/>
        <v>0</v>
      </c>
      <c r="GJ24" s="515"/>
      <c r="GK24" s="516">
        <f t="shared" si="62"/>
        <v>0</v>
      </c>
      <c r="GL24" s="517">
        <f t="shared" si="173"/>
        <v>0</v>
      </c>
      <c r="GM24" s="515"/>
      <c r="GN24" s="516">
        <f t="shared" si="63"/>
        <v>0</v>
      </c>
      <c r="GO24" s="517">
        <f t="shared" si="174"/>
        <v>0</v>
      </c>
      <c r="GP24" s="515"/>
      <c r="GQ24" s="516">
        <f t="shared" si="64"/>
        <v>0</v>
      </c>
      <c r="GR24" s="517">
        <f t="shared" si="175"/>
        <v>0</v>
      </c>
      <c r="GS24" s="515"/>
      <c r="GT24" s="516">
        <f t="shared" si="65"/>
        <v>0</v>
      </c>
      <c r="GU24" s="517">
        <f t="shared" si="176"/>
        <v>0</v>
      </c>
      <c r="GV24" s="515"/>
      <c r="GW24" s="516">
        <f t="shared" si="66"/>
        <v>0</v>
      </c>
      <c r="GX24" s="517">
        <f t="shared" si="177"/>
        <v>0</v>
      </c>
      <c r="GY24" s="515"/>
      <c r="GZ24" s="516">
        <f t="shared" si="67"/>
        <v>0</v>
      </c>
      <c r="HA24" s="517">
        <f t="shared" si="178"/>
        <v>0</v>
      </c>
      <c r="HB24" s="515"/>
      <c r="HC24" s="516">
        <f t="shared" si="68"/>
        <v>0</v>
      </c>
      <c r="HD24" s="517">
        <f t="shared" si="179"/>
        <v>0</v>
      </c>
      <c r="HE24" s="515"/>
      <c r="HF24" s="516">
        <f t="shared" si="69"/>
        <v>0</v>
      </c>
      <c r="HG24" s="517">
        <f t="shared" si="180"/>
        <v>0</v>
      </c>
      <c r="HH24" s="515"/>
      <c r="HI24" s="516">
        <f t="shared" si="70"/>
        <v>0</v>
      </c>
      <c r="HJ24" s="517">
        <f t="shared" si="181"/>
        <v>0</v>
      </c>
      <c r="HK24" s="515"/>
      <c r="HL24" s="516">
        <f t="shared" si="71"/>
        <v>0</v>
      </c>
      <c r="HM24" s="517">
        <f t="shared" si="182"/>
        <v>0</v>
      </c>
      <c r="HN24" s="515"/>
      <c r="HO24" s="516">
        <f t="shared" si="72"/>
        <v>0</v>
      </c>
      <c r="HP24" s="517">
        <f t="shared" si="183"/>
        <v>0</v>
      </c>
      <c r="HQ24" s="515"/>
      <c r="HR24" s="516">
        <f t="shared" si="73"/>
        <v>0</v>
      </c>
      <c r="HS24" s="517">
        <f t="shared" si="184"/>
        <v>0</v>
      </c>
      <c r="HT24" s="515"/>
      <c r="HU24" s="516">
        <f t="shared" si="74"/>
        <v>0</v>
      </c>
      <c r="HV24" s="517">
        <f t="shared" si="185"/>
        <v>0</v>
      </c>
      <c r="HW24" s="515"/>
      <c r="HX24" s="516">
        <f t="shared" si="75"/>
        <v>0</v>
      </c>
      <c r="HY24" s="517">
        <f t="shared" si="186"/>
        <v>0</v>
      </c>
      <c r="HZ24" s="515"/>
      <c r="IA24" s="516">
        <f t="shared" si="76"/>
        <v>0</v>
      </c>
      <c r="IB24" s="517">
        <f t="shared" si="187"/>
        <v>0</v>
      </c>
      <c r="IC24" s="515"/>
      <c r="ID24" s="516">
        <f t="shared" si="77"/>
        <v>0</v>
      </c>
      <c r="IE24" s="517">
        <f t="shared" si="188"/>
        <v>0</v>
      </c>
      <c r="IF24" s="515"/>
      <c r="IG24" s="516">
        <f t="shared" si="78"/>
        <v>0</v>
      </c>
      <c r="IH24" s="517">
        <f t="shared" si="189"/>
        <v>0</v>
      </c>
      <c r="II24" s="515"/>
      <c r="IJ24" s="516">
        <f t="shared" si="79"/>
        <v>0</v>
      </c>
      <c r="IK24" s="517">
        <f t="shared" si="190"/>
        <v>0</v>
      </c>
      <c r="IL24" s="515"/>
      <c r="IM24" s="516">
        <f t="shared" si="80"/>
        <v>0</v>
      </c>
      <c r="IN24" s="517">
        <f t="shared" si="191"/>
        <v>0</v>
      </c>
      <c r="IO24" s="515"/>
      <c r="IP24" s="516">
        <f t="shared" si="81"/>
        <v>0</v>
      </c>
      <c r="IQ24" s="517">
        <f t="shared" si="192"/>
        <v>0</v>
      </c>
      <c r="IR24" s="515"/>
      <c r="IS24" s="516">
        <f t="shared" si="82"/>
        <v>0</v>
      </c>
      <c r="IT24" s="517">
        <f t="shared" si="193"/>
        <v>0</v>
      </c>
      <c r="IU24" s="515"/>
      <c r="IV24" s="516">
        <f t="shared" si="83"/>
        <v>0</v>
      </c>
      <c r="IW24" s="517">
        <f t="shared" si="194"/>
        <v>0</v>
      </c>
      <c r="IX24" s="515"/>
      <c r="IY24" s="516">
        <f t="shared" si="84"/>
        <v>0</v>
      </c>
      <c r="IZ24" s="517">
        <f t="shared" si="195"/>
        <v>0</v>
      </c>
      <c r="JA24" s="515"/>
      <c r="JB24" s="516">
        <f t="shared" si="85"/>
        <v>0</v>
      </c>
      <c r="JC24" s="517">
        <f t="shared" si="196"/>
        <v>0</v>
      </c>
      <c r="JD24" s="515"/>
      <c r="JE24" s="516">
        <f t="shared" si="86"/>
        <v>0</v>
      </c>
      <c r="JF24" s="517">
        <f t="shared" si="197"/>
        <v>0</v>
      </c>
      <c r="JG24" s="515"/>
      <c r="JH24" s="516">
        <f t="shared" si="87"/>
        <v>0</v>
      </c>
      <c r="JI24" s="517">
        <f t="shared" si="198"/>
        <v>0</v>
      </c>
      <c r="JJ24" s="515"/>
      <c r="JK24" s="517" t="str">
        <f t="shared" si="88"/>
        <v>0</v>
      </c>
      <c r="JL24" s="517" t="str">
        <f t="shared" si="89"/>
        <v>0</v>
      </c>
      <c r="JM24" s="515"/>
      <c r="JN24" s="517" t="str">
        <f t="shared" si="90"/>
        <v>0</v>
      </c>
      <c r="JO24" s="517" t="str">
        <f t="shared" si="91"/>
        <v>0</v>
      </c>
      <c r="JP24" s="515"/>
      <c r="JQ24" s="517" t="str">
        <f t="shared" si="92"/>
        <v>0</v>
      </c>
      <c r="JR24" s="517" t="str">
        <f t="shared" si="93"/>
        <v>0</v>
      </c>
      <c r="JS24" s="515"/>
      <c r="JT24" s="517" t="str">
        <f t="shared" si="94"/>
        <v>0</v>
      </c>
      <c r="JU24" s="517" t="str">
        <f t="shared" si="95"/>
        <v>0</v>
      </c>
      <c r="JV24" s="515"/>
      <c r="JW24" s="517" t="str">
        <f t="shared" si="96"/>
        <v>0</v>
      </c>
      <c r="JX24" s="517" t="str">
        <f t="shared" si="97"/>
        <v>0</v>
      </c>
      <c r="JY24" s="515"/>
      <c r="JZ24" s="517" t="str">
        <f t="shared" si="98"/>
        <v>0</v>
      </c>
      <c r="KA24" s="517" t="str">
        <f t="shared" si="99"/>
        <v>0</v>
      </c>
      <c r="KB24" s="515"/>
      <c r="KC24" s="517" t="str">
        <f t="shared" si="100"/>
        <v>0</v>
      </c>
      <c r="KD24" s="517" t="str">
        <f t="shared" si="101"/>
        <v>0</v>
      </c>
      <c r="KE24" s="515"/>
      <c r="KF24" s="517" t="str">
        <f t="shared" si="102"/>
        <v>0</v>
      </c>
      <c r="KG24" s="517" t="str">
        <f t="shared" si="103"/>
        <v>0</v>
      </c>
      <c r="KH24" s="515"/>
      <c r="KI24" s="517" t="str">
        <f t="shared" si="104"/>
        <v>0</v>
      </c>
      <c r="KJ24" s="517" t="str">
        <f t="shared" si="105"/>
        <v>0</v>
      </c>
      <c r="KK24" s="515"/>
      <c r="KL24" s="517" t="str">
        <f t="shared" si="106"/>
        <v>0</v>
      </c>
      <c r="KM24" s="517" t="str">
        <f t="shared" si="107"/>
        <v>0</v>
      </c>
      <c r="KN24" s="515"/>
      <c r="KO24" s="517" t="str">
        <f t="shared" si="108"/>
        <v>0</v>
      </c>
      <c r="KP24" s="517" t="str">
        <f t="shared" si="109"/>
        <v>0</v>
      </c>
      <c r="KQ24" s="515"/>
      <c r="KR24" s="517" t="str">
        <f t="shared" si="110"/>
        <v>0</v>
      </c>
      <c r="KS24" s="517" t="str">
        <f t="shared" si="111"/>
        <v>0</v>
      </c>
      <c r="KT24" s="517">
        <f t="shared" si="201"/>
        <v>0</v>
      </c>
      <c r="KU24" s="517">
        <f t="shared" si="202"/>
        <v>0</v>
      </c>
      <c r="KV24" s="263">
        <f t="shared" si="199"/>
        <v>494.05137625038253</v>
      </c>
    </row>
    <row r="25" spans="1:308">
      <c r="A25" s="264">
        <f t="shared" si="200"/>
        <v>45855</v>
      </c>
      <c r="B25" s="265" t="str">
        <f>+Report1!B25</f>
        <v>Facial</v>
      </c>
      <c r="C25" s="265" t="str">
        <f>+Report1!C25</f>
        <v>13</v>
      </c>
      <c r="D25" s="266">
        <f>+Report1!P25</f>
        <v>45.206000000000003</v>
      </c>
      <c r="E25" s="553">
        <f>+Report1!R25</f>
        <v>43.463000000000001</v>
      </c>
      <c r="F25" s="515"/>
      <c r="G25" s="516">
        <f t="shared" si="0"/>
        <v>0</v>
      </c>
      <c r="H25" s="517">
        <f t="shared" si="112"/>
        <v>0</v>
      </c>
      <c r="I25" s="515">
        <v>313.95348837209326</v>
      </c>
      <c r="J25" s="516">
        <f t="shared" si="1"/>
        <v>7.2234656690079664</v>
      </c>
      <c r="K25" s="517">
        <f t="shared" si="113"/>
        <v>0</v>
      </c>
      <c r="L25" s="515"/>
      <c r="M25" s="516">
        <f t="shared" si="2"/>
        <v>0</v>
      </c>
      <c r="N25" s="517">
        <f t="shared" si="114"/>
        <v>0</v>
      </c>
      <c r="O25" s="515">
        <v>6</v>
      </c>
      <c r="P25" s="516">
        <f t="shared" si="3"/>
        <v>0.13804845500770771</v>
      </c>
      <c r="Q25" s="517">
        <f t="shared" si="115"/>
        <v>0</v>
      </c>
      <c r="R25" s="515"/>
      <c r="S25" s="516">
        <f t="shared" si="4"/>
        <v>0</v>
      </c>
      <c r="T25" s="517">
        <f t="shared" si="116"/>
        <v>0</v>
      </c>
      <c r="U25" s="515">
        <v>8.96875</v>
      </c>
      <c r="V25" s="516">
        <f t="shared" si="5"/>
        <v>0.20635368014172975</v>
      </c>
      <c r="W25" s="517">
        <f t="shared" si="117"/>
        <v>0</v>
      </c>
      <c r="X25" s="515"/>
      <c r="Y25" s="516">
        <f t="shared" si="6"/>
        <v>0</v>
      </c>
      <c r="Z25" s="517">
        <f t="shared" si="118"/>
        <v>0</v>
      </c>
      <c r="AA25" s="515"/>
      <c r="AB25" s="516">
        <f t="shared" si="7"/>
        <v>0</v>
      </c>
      <c r="AC25" s="517">
        <f t="shared" si="119"/>
        <v>0</v>
      </c>
      <c r="AD25" s="515"/>
      <c r="AE25" s="516">
        <f t="shared" si="8"/>
        <v>0</v>
      </c>
      <c r="AF25" s="517">
        <f t="shared" si="120"/>
        <v>0</v>
      </c>
      <c r="AG25" s="515"/>
      <c r="AH25" s="516">
        <f t="shared" si="9"/>
        <v>0</v>
      </c>
      <c r="AI25" s="517">
        <f t="shared" si="121"/>
        <v>0</v>
      </c>
      <c r="AJ25" s="515"/>
      <c r="AK25" s="516">
        <f t="shared" si="10"/>
        <v>0</v>
      </c>
      <c r="AL25" s="517">
        <f t="shared" si="122"/>
        <v>0</v>
      </c>
      <c r="AM25" s="515"/>
      <c r="AN25" s="516">
        <f t="shared" si="11"/>
        <v>0</v>
      </c>
      <c r="AO25" s="517">
        <f t="shared" si="123"/>
        <v>0</v>
      </c>
      <c r="AP25" s="515">
        <v>48.417721518987349</v>
      </c>
      <c r="AQ25" s="516">
        <f t="shared" si="12"/>
        <v>1.1139986084482743</v>
      </c>
      <c r="AR25" s="517">
        <f t="shared" si="124"/>
        <v>0</v>
      </c>
      <c r="AS25" s="515"/>
      <c r="AT25" s="516">
        <f t="shared" si="13"/>
        <v>0</v>
      </c>
      <c r="AU25" s="517">
        <f t="shared" si="125"/>
        <v>0</v>
      </c>
      <c r="AV25" s="515"/>
      <c r="AW25" s="516">
        <f t="shared" si="14"/>
        <v>0</v>
      </c>
      <c r="AX25" s="517">
        <f t="shared" si="126"/>
        <v>0</v>
      </c>
      <c r="AY25" s="515">
        <v>49</v>
      </c>
      <c r="AZ25" s="516">
        <f t="shared" si="15"/>
        <v>1.1273957158962795</v>
      </c>
      <c r="BA25" s="517">
        <f t="shared" si="127"/>
        <v>0</v>
      </c>
      <c r="BB25" s="515"/>
      <c r="BC25" s="516">
        <f t="shared" si="16"/>
        <v>0</v>
      </c>
      <c r="BD25" s="517">
        <f t="shared" si="128"/>
        <v>0</v>
      </c>
      <c r="BE25" s="515"/>
      <c r="BF25" s="516">
        <f t="shared" si="17"/>
        <v>0</v>
      </c>
      <c r="BG25" s="517">
        <f t="shared" si="129"/>
        <v>0</v>
      </c>
      <c r="BH25" s="515"/>
      <c r="BI25" s="516">
        <f t="shared" si="18"/>
        <v>0</v>
      </c>
      <c r="BJ25" s="517">
        <f t="shared" si="130"/>
        <v>0</v>
      </c>
      <c r="BK25" s="515"/>
      <c r="BL25" s="516">
        <f t="shared" si="19"/>
        <v>0</v>
      </c>
      <c r="BM25" s="517">
        <f t="shared" si="131"/>
        <v>0</v>
      </c>
      <c r="BN25" s="515"/>
      <c r="BO25" s="516">
        <f t="shared" si="20"/>
        <v>0</v>
      </c>
      <c r="BP25" s="517">
        <f t="shared" si="132"/>
        <v>0</v>
      </c>
      <c r="BQ25" s="515"/>
      <c r="BR25" s="516">
        <f t="shared" si="21"/>
        <v>0</v>
      </c>
      <c r="BS25" s="517">
        <f t="shared" si="133"/>
        <v>0</v>
      </c>
      <c r="BT25" s="515"/>
      <c r="BU25" s="516">
        <f t="shared" si="22"/>
        <v>0</v>
      </c>
      <c r="BV25" s="517">
        <f t="shared" si="134"/>
        <v>0</v>
      </c>
      <c r="BW25" s="515"/>
      <c r="BX25" s="516">
        <f t="shared" si="23"/>
        <v>0</v>
      </c>
      <c r="BY25" s="517">
        <f t="shared" si="135"/>
        <v>0</v>
      </c>
      <c r="BZ25" s="515"/>
      <c r="CA25" s="516">
        <f t="shared" si="24"/>
        <v>0</v>
      </c>
      <c r="CB25" s="517">
        <f t="shared" si="136"/>
        <v>0</v>
      </c>
      <c r="CC25" s="515"/>
      <c r="CD25" s="516">
        <f t="shared" si="25"/>
        <v>0</v>
      </c>
      <c r="CE25" s="517">
        <f t="shared" si="137"/>
        <v>0</v>
      </c>
      <c r="CF25" s="515">
        <v>0.60000000000000142</v>
      </c>
      <c r="CG25" s="516">
        <f t="shared" si="26"/>
        <v>1.3804845500770803E-2</v>
      </c>
      <c r="CH25" s="517">
        <f t="shared" si="138"/>
        <v>0</v>
      </c>
      <c r="CI25" s="515"/>
      <c r="CJ25" s="516">
        <f t="shared" si="27"/>
        <v>0</v>
      </c>
      <c r="CK25" s="517">
        <f t="shared" si="139"/>
        <v>0</v>
      </c>
      <c r="CL25" s="515"/>
      <c r="CM25" s="516">
        <f t="shared" si="28"/>
        <v>0</v>
      </c>
      <c r="CN25" s="517">
        <f t="shared" si="140"/>
        <v>0</v>
      </c>
      <c r="CO25" s="515"/>
      <c r="CP25" s="516">
        <f t="shared" si="29"/>
        <v>0</v>
      </c>
      <c r="CQ25" s="517">
        <f t="shared" si="141"/>
        <v>0</v>
      </c>
      <c r="CR25" s="515"/>
      <c r="CS25" s="516">
        <f t="shared" si="30"/>
        <v>0</v>
      </c>
      <c r="CT25" s="517">
        <f t="shared" si="142"/>
        <v>0</v>
      </c>
      <c r="CU25" s="515"/>
      <c r="CV25" s="516">
        <f t="shared" si="31"/>
        <v>0</v>
      </c>
      <c r="CW25" s="517">
        <f t="shared" si="143"/>
        <v>0</v>
      </c>
      <c r="CX25" s="515"/>
      <c r="CY25" s="516">
        <f t="shared" si="32"/>
        <v>0</v>
      </c>
      <c r="CZ25" s="517">
        <f t="shared" si="144"/>
        <v>0</v>
      </c>
      <c r="DA25" s="515"/>
      <c r="DB25" s="516">
        <f t="shared" si="33"/>
        <v>0</v>
      </c>
      <c r="DC25" s="517">
        <f t="shared" si="145"/>
        <v>0</v>
      </c>
      <c r="DD25" s="515"/>
      <c r="DE25" s="516">
        <f t="shared" si="34"/>
        <v>0</v>
      </c>
      <c r="DF25" s="517">
        <f t="shared" si="146"/>
        <v>0</v>
      </c>
      <c r="DG25" s="515"/>
      <c r="DH25" s="516">
        <f t="shared" si="35"/>
        <v>0</v>
      </c>
      <c r="DI25" s="517">
        <f t="shared" si="203"/>
        <v>0</v>
      </c>
      <c r="DJ25" s="515"/>
      <c r="DK25" s="516">
        <f t="shared" si="36"/>
        <v>0</v>
      </c>
      <c r="DL25" s="517">
        <f t="shared" si="147"/>
        <v>0</v>
      </c>
      <c r="DM25" s="515"/>
      <c r="DN25" s="516">
        <f t="shared" si="37"/>
        <v>0</v>
      </c>
      <c r="DO25" s="517">
        <f t="shared" si="148"/>
        <v>0</v>
      </c>
      <c r="DP25" s="515"/>
      <c r="DQ25" s="516">
        <f t="shared" si="38"/>
        <v>0</v>
      </c>
      <c r="DR25" s="517">
        <f t="shared" si="149"/>
        <v>0</v>
      </c>
      <c r="DS25" s="515"/>
      <c r="DT25" s="516">
        <f t="shared" si="39"/>
        <v>0</v>
      </c>
      <c r="DU25" s="517">
        <f t="shared" si="150"/>
        <v>0</v>
      </c>
      <c r="DV25" s="515"/>
      <c r="DW25" s="516">
        <f t="shared" si="40"/>
        <v>0</v>
      </c>
      <c r="DX25" s="517">
        <f t="shared" si="151"/>
        <v>0</v>
      </c>
      <c r="DY25" s="515"/>
      <c r="DZ25" s="516">
        <f t="shared" si="41"/>
        <v>0</v>
      </c>
      <c r="EA25" s="517">
        <f t="shared" si="152"/>
        <v>0</v>
      </c>
      <c r="EB25" s="515"/>
      <c r="EC25" s="516">
        <f t="shared" si="42"/>
        <v>0</v>
      </c>
      <c r="ED25" s="517">
        <f t="shared" si="153"/>
        <v>0</v>
      </c>
      <c r="EE25" s="515">
        <v>10.90116279069764</v>
      </c>
      <c r="EF25" s="516">
        <f t="shared" si="43"/>
        <v>0.25081478017388675</v>
      </c>
      <c r="EG25" s="517">
        <f t="shared" si="154"/>
        <v>0</v>
      </c>
      <c r="EH25" s="515">
        <v>17.611764705882365</v>
      </c>
      <c r="EI25" s="516">
        <f t="shared" si="44"/>
        <v>0.40521281793438935</v>
      </c>
      <c r="EJ25" s="517">
        <f t="shared" si="155"/>
        <v>0</v>
      </c>
      <c r="EK25" s="515">
        <v>3.1999999999999966</v>
      </c>
      <c r="EL25" s="516">
        <f t="shared" si="45"/>
        <v>7.3625842670777361E-2</v>
      </c>
      <c r="EM25" s="517">
        <f t="shared" si="156"/>
        <v>0</v>
      </c>
      <c r="EN25" s="515"/>
      <c r="EO25" s="516">
        <f t="shared" si="46"/>
        <v>0</v>
      </c>
      <c r="EP25" s="517">
        <f t="shared" si="157"/>
        <v>0</v>
      </c>
      <c r="EQ25" s="515"/>
      <c r="ER25" s="516">
        <f t="shared" si="47"/>
        <v>0</v>
      </c>
      <c r="ES25" s="517">
        <f t="shared" si="158"/>
        <v>0</v>
      </c>
      <c r="ET25" s="515"/>
      <c r="EU25" s="516">
        <f t="shared" si="48"/>
        <v>0</v>
      </c>
      <c r="EV25" s="517">
        <f t="shared" si="159"/>
        <v>0</v>
      </c>
      <c r="EW25" s="515"/>
      <c r="EX25" s="516">
        <f t="shared" si="49"/>
        <v>0</v>
      </c>
      <c r="EY25" s="517">
        <f t="shared" si="160"/>
        <v>0</v>
      </c>
      <c r="EZ25" s="515"/>
      <c r="FA25" s="516">
        <f t="shared" si="50"/>
        <v>0</v>
      </c>
      <c r="FB25" s="517">
        <f t="shared" si="161"/>
        <v>0</v>
      </c>
      <c r="FC25" s="515"/>
      <c r="FD25" s="516">
        <f t="shared" si="51"/>
        <v>0</v>
      </c>
      <c r="FE25" s="517">
        <f t="shared" si="162"/>
        <v>0</v>
      </c>
      <c r="FF25" s="515"/>
      <c r="FG25" s="516">
        <f t="shared" si="52"/>
        <v>0</v>
      </c>
      <c r="FH25" s="517">
        <f t="shared" si="163"/>
        <v>0</v>
      </c>
      <c r="FI25" s="515"/>
      <c r="FJ25" s="516">
        <f t="shared" si="53"/>
        <v>0</v>
      </c>
      <c r="FK25" s="517">
        <f t="shared" si="164"/>
        <v>0</v>
      </c>
      <c r="FL25" s="515"/>
      <c r="FM25" s="516">
        <f t="shared" si="54"/>
        <v>0</v>
      </c>
      <c r="FN25" s="517">
        <f t="shared" si="165"/>
        <v>0</v>
      </c>
      <c r="FO25" s="515"/>
      <c r="FP25" s="516">
        <f t="shared" si="55"/>
        <v>0</v>
      </c>
      <c r="FQ25" s="517">
        <f t="shared" si="166"/>
        <v>0</v>
      </c>
      <c r="FR25" s="515"/>
      <c r="FS25" s="516">
        <f t="shared" si="56"/>
        <v>0</v>
      </c>
      <c r="FT25" s="517">
        <f t="shared" si="167"/>
        <v>0</v>
      </c>
      <c r="FU25" s="515"/>
      <c r="FV25" s="516">
        <f t="shared" si="57"/>
        <v>0</v>
      </c>
      <c r="FW25" s="517">
        <f t="shared" si="168"/>
        <v>0</v>
      </c>
      <c r="FX25" s="515"/>
      <c r="FY25" s="516">
        <f t="shared" si="58"/>
        <v>0</v>
      </c>
      <c r="FZ25" s="517">
        <f t="shared" si="169"/>
        <v>0</v>
      </c>
      <c r="GA25" s="515"/>
      <c r="GB25" s="516">
        <f t="shared" si="59"/>
        <v>0</v>
      </c>
      <c r="GC25" s="517">
        <f t="shared" si="170"/>
        <v>0</v>
      </c>
      <c r="GD25" s="515"/>
      <c r="GE25" s="516">
        <f t="shared" si="60"/>
        <v>0</v>
      </c>
      <c r="GF25" s="517">
        <f t="shared" si="171"/>
        <v>0</v>
      </c>
      <c r="GG25" s="515"/>
      <c r="GH25" s="516">
        <f t="shared" si="61"/>
        <v>0</v>
      </c>
      <c r="GI25" s="517">
        <f t="shared" si="172"/>
        <v>0</v>
      </c>
      <c r="GJ25" s="515"/>
      <c r="GK25" s="516">
        <f t="shared" si="62"/>
        <v>0</v>
      </c>
      <c r="GL25" s="517">
        <f t="shared" si="173"/>
        <v>0</v>
      </c>
      <c r="GM25" s="515"/>
      <c r="GN25" s="516">
        <f t="shared" si="63"/>
        <v>0</v>
      </c>
      <c r="GO25" s="517">
        <f t="shared" si="174"/>
        <v>0</v>
      </c>
      <c r="GP25" s="515"/>
      <c r="GQ25" s="516">
        <f t="shared" si="64"/>
        <v>0</v>
      </c>
      <c r="GR25" s="517">
        <f t="shared" si="175"/>
        <v>0</v>
      </c>
      <c r="GS25" s="515"/>
      <c r="GT25" s="516">
        <f t="shared" si="65"/>
        <v>0</v>
      </c>
      <c r="GU25" s="517">
        <f t="shared" si="176"/>
        <v>0</v>
      </c>
      <c r="GV25" s="515"/>
      <c r="GW25" s="516">
        <f t="shared" si="66"/>
        <v>0</v>
      </c>
      <c r="GX25" s="517">
        <f t="shared" si="177"/>
        <v>0</v>
      </c>
      <c r="GY25" s="515"/>
      <c r="GZ25" s="516">
        <f t="shared" si="67"/>
        <v>0</v>
      </c>
      <c r="HA25" s="517">
        <f t="shared" si="178"/>
        <v>0</v>
      </c>
      <c r="HB25" s="515"/>
      <c r="HC25" s="516">
        <f t="shared" si="68"/>
        <v>0</v>
      </c>
      <c r="HD25" s="517">
        <f t="shared" si="179"/>
        <v>0</v>
      </c>
      <c r="HE25" s="515"/>
      <c r="HF25" s="516">
        <f t="shared" si="69"/>
        <v>0</v>
      </c>
      <c r="HG25" s="517">
        <f t="shared" si="180"/>
        <v>0</v>
      </c>
      <c r="HH25" s="515"/>
      <c r="HI25" s="516">
        <f t="shared" si="70"/>
        <v>0</v>
      </c>
      <c r="HJ25" s="517">
        <f t="shared" si="181"/>
        <v>0</v>
      </c>
      <c r="HK25" s="515"/>
      <c r="HL25" s="516">
        <f t="shared" si="71"/>
        <v>0</v>
      </c>
      <c r="HM25" s="517">
        <f t="shared" si="182"/>
        <v>0</v>
      </c>
      <c r="HN25" s="515"/>
      <c r="HO25" s="516">
        <f t="shared" si="72"/>
        <v>0</v>
      </c>
      <c r="HP25" s="517">
        <f t="shared" si="183"/>
        <v>0</v>
      </c>
      <c r="HQ25" s="515"/>
      <c r="HR25" s="516">
        <f t="shared" si="73"/>
        <v>0</v>
      </c>
      <c r="HS25" s="517">
        <f t="shared" si="184"/>
        <v>0</v>
      </c>
      <c r="HT25" s="515"/>
      <c r="HU25" s="516">
        <f t="shared" si="74"/>
        <v>0</v>
      </c>
      <c r="HV25" s="517">
        <f t="shared" si="185"/>
        <v>0</v>
      </c>
      <c r="HW25" s="515"/>
      <c r="HX25" s="516">
        <f t="shared" si="75"/>
        <v>0</v>
      </c>
      <c r="HY25" s="517">
        <f t="shared" si="186"/>
        <v>0</v>
      </c>
      <c r="HZ25" s="515"/>
      <c r="IA25" s="516">
        <f t="shared" si="76"/>
        <v>0</v>
      </c>
      <c r="IB25" s="517">
        <f t="shared" si="187"/>
        <v>0</v>
      </c>
      <c r="IC25" s="515"/>
      <c r="ID25" s="516">
        <f t="shared" si="77"/>
        <v>0</v>
      </c>
      <c r="IE25" s="517">
        <f t="shared" si="188"/>
        <v>0</v>
      </c>
      <c r="IF25" s="515"/>
      <c r="IG25" s="516">
        <f t="shared" si="78"/>
        <v>0</v>
      </c>
      <c r="IH25" s="517">
        <f t="shared" si="189"/>
        <v>0</v>
      </c>
      <c r="II25" s="515"/>
      <c r="IJ25" s="516">
        <f t="shared" si="79"/>
        <v>0</v>
      </c>
      <c r="IK25" s="517">
        <f t="shared" si="190"/>
        <v>0</v>
      </c>
      <c r="IL25" s="515"/>
      <c r="IM25" s="516">
        <f t="shared" si="80"/>
        <v>0</v>
      </c>
      <c r="IN25" s="517">
        <f t="shared" si="191"/>
        <v>0</v>
      </c>
      <c r="IO25" s="515"/>
      <c r="IP25" s="516">
        <f t="shared" si="81"/>
        <v>0</v>
      </c>
      <c r="IQ25" s="517">
        <f t="shared" si="192"/>
        <v>0</v>
      </c>
      <c r="IR25" s="515"/>
      <c r="IS25" s="516">
        <f t="shared" si="82"/>
        <v>0</v>
      </c>
      <c r="IT25" s="517">
        <f t="shared" si="193"/>
        <v>0</v>
      </c>
      <c r="IU25" s="515"/>
      <c r="IV25" s="516">
        <f t="shared" si="83"/>
        <v>0</v>
      </c>
      <c r="IW25" s="517">
        <f t="shared" si="194"/>
        <v>0</v>
      </c>
      <c r="IX25" s="515"/>
      <c r="IY25" s="516">
        <f t="shared" si="84"/>
        <v>0</v>
      </c>
      <c r="IZ25" s="517">
        <f t="shared" si="195"/>
        <v>0</v>
      </c>
      <c r="JA25" s="515"/>
      <c r="JB25" s="516">
        <f t="shared" si="85"/>
        <v>0</v>
      </c>
      <c r="JC25" s="517">
        <f t="shared" si="196"/>
        <v>0</v>
      </c>
      <c r="JD25" s="515"/>
      <c r="JE25" s="516">
        <f t="shared" si="86"/>
        <v>0</v>
      </c>
      <c r="JF25" s="517">
        <f t="shared" si="197"/>
        <v>0</v>
      </c>
      <c r="JG25" s="515"/>
      <c r="JH25" s="516">
        <f t="shared" si="87"/>
        <v>0</v>
      </c>
      <c r="JI25" s="517">
        <f t="shared" si="198"/>
        <v>0</v>
      </c>
      <c r="JJ25" s="515"/>
      <c r="JK25" s="517" t="str">
        <f t="shared" si="88"/>
        <v>0</v>
      </c>
      <c r="JL25" s="517" t="str">
        <f t="shared" si="89"/>
        <v>0</v>
      </c>
      <c r="JM25" s="515"/>
      <c r="JN25" s="517" t="str">
        <f t="shared" si="90"/>
        <v>0</v>
      </c>
      <c r="JO25" s="517" t="str">
        <f t="shared" si="91"/>
        <v>0</v>
      </c>
      <c r="JP25" s="515"/>
      <c r="JQ25" s="517" t="str">
        <f t="shared" si="92"/>
        <v>0</v>
      </c>
      <c r="JR25" s="517" t="str">
        <f t="shared" si="93"/>
        <v>0</v>
      </c>
      <c r="JS25" s="515"/>
      <c r="JT25" s="517" t="str">
        <f t="shared" si="94"/>
        <v>0</v>
      </c>
      <c r="JU25" s="517" t="str">
        <f t="shared" si="95"/>
        <v>0</v>
      </c>
      <c r="JV25" s="515"/>
      <c r="JW25" s="517" t="str">
        <f t="shared" si="96"/>
        <v>0</v>
      </c>
      <c r="JX25" s="517" t="str">
        <f t="shared" si="97"/>
        <v>0</v>
      </c>
      <c r="JY25" s="515"/>
      <c r="JZ25" s="517" t="str">
        <f t="shared" si="98"/>
        <v>0</v>
      </c>
      <c r="KA25" s="517" t="str">
        <f t="shared" si="99"/>
        <v>0</v>
      </c>
      <c r="KB25" s="515"/>
      <c r="KC25" s="517" t="str">
        <f t="shared" si="100"/>
        <v>0</v>
      </c>
      <c r="KD25" s="517" t="str">
        <f t="shared" si="101"/>
        <v>0</v>
      </c>
      <c r="KE25" s="515"/>
      <c r="KF25" s="517" t="str">
        <f t="shared" si="102"/>
        <v>0</v>
      </c>
      <c r="KG25" s="517" t="str">
        <f t="shared" si="103"/>
        <v>0</v>
      </c>
      <c r="KH25" s="515"/>
      <c r="KI25" s="517" t="str">
        <f t="shared" si="104"/>
        <v>0</v>
      </c>
      <c r="KJ25" s="517" t="str">
        <f t="shared" si="105"/>
        <v>0</v>
      </c>
      <c r="KK25" s="515"/>
      <c r="KL25" s="517" t="str">
        <f t="shared" si="106"/>
        <v>0</v>
      </c>
      <c r="KM25" s="517" t="str">
        <f t="shared" si="107"/>
        <v>0</v>
      </c>
      <c r="KN25" s="515"/>
      <c r="KO25" s="517" t="str">
        <f t="shared" si="108"/>
        <v>0</v>
      </c>
      <c r="KP25" s="517" t="str">
        <f t="shared" si="109"/>
        <v>0</v>
      </c>
      <c r="KQ25" s="515"/>
      <c r="KR25" s="517" t="str">
        <f t="shared" si="110"/>
        <v>0</v>
      </c>
      <c r="KS25" s="517" t="str">
        <f t="shared" si="111"/>
        <v>0</v>
      </c>
      <c r="KT25" s="517">
        <f t="shared" si="201"/>
        <v>0</v>
      </c>
      <c r="KU25" s="517">
        <f t="shared" si="202"/>
        <v>0</v>
      </c>
      <c r="KV25" s="263">
        <f t="shared" si="199"/>
        <v>458.65288738766066</v>
      </c>
    </row>
    <row r="26" spans="1:308">
      <c r="A26" s="264">
        <f t="shared" si="200"/>
        <v>45856</v>
      </c>
      <c r="B26" s="265" t="str">
        <f>+Report1!B26</f>
        <v>Facial/Toilet</v>
      </c>
      <c r="C26" s="265" t="str">
        <f>+Report1!C26</f>
        <v>13/15</v>
      </c>
      <c r="D26" s="266">
        <f>+Report1!P26</f>
        <v>45.74</v>
      </c>
      <c r="E26" s="553">
        <f>+Report1!R26</f>
        <v>45.875999999999998</v>
      </c>
      <c r="F26" s="515"/>
      <c r="G26" s="516">
        <f t="shared" si="0"/>
        <v>0</v>
      </c>
      <c r="H26" s="517">
        <f t="shared" si="112"/>
        <v>0</v>
      </c>
      <c r="I26" s="515">
        <v>232.55813953488382</v>
      </c>
      <c r="J26" s="516">
        <f t="shared" si="1"/>
        <v>5.0692767358724353</v>
      </c>
      <c r="K26" s="517">
        <f t="shared" si="113"/>
        <v>0</v>
      </c>
      <c r="L26" s="515"/>
      <c r="M26" s="516">
        <f t="shared" si="2"/>
        <v>0</v>
      </c>
      <c r="N26" s="517">
        <f t="shared" si="114"/>
        <v>0</v>
      </c>
      <c r="O26" s="515">
        <v>6</v>
      </c>
      <c r="P26" s="516">
        <f t="shared" si="3"/>
        <v>0.13078733978550877</v>
      </c>
      <c r="Q26" s="517">
        <f t="shared" si="115"/>
        <v>0</v>
      </c>
      <c r="R26" s="515"/>
      <c r="S26" s="516">
        <f t="shared" si="4"/>
        <v>0</v>
      </c>
      <c r="T26" s="517">
        <f t="shared" si="116"/>
        <v>0</v>
      </c>
      <c r="U26" s="515">
        <v>8.9687499999999432</v>
      </c>
      <c r="V26" s="516">
        <f t="shared" si="5"/>
        <v>0.19549982561687906</v>
      </c>
      <c r="W26" s="517">
        <f t="shared" si="117"/>
        <v>0</v>
      </c>
      <c r="X26" s="515"/>
      <c r="Y26" s="516">
        <f t="shared" si="6"/>
        <v>0</v>
      </c>
      <c r="Z26" s="517">
        <f t="shared" si="118"/>
        <v>0</v>
      </c>
      <c r="AA26" s="515"/>
      <c r="AB26" s="516">
        <f t="shared" si="7"/>
        <v>0</v>
      </c>
      <c r="AC26" s="517">
        <f t="shared" si="119"/>
        <v>0</v>
      </c>
      <c r="AD26" s="515"/>
      <c r="AE26" s="516">
        <f t="shared" si="8"/>
        <v>0</v>
      </c>
      <c r="AF26" s="517">
        <f t="shared" si="120"/>
        <v>0</v>
      </c>
      <c r="AG26" s="515"/>
      <c r="AH26" s="516">
        <f t="shared" si="9"/>
        <v>0</v>
      </c>
      <c r="AI26" s="517">
        <f t="shared" si="121"/>
        <v>0</v>
      </c>
      <c r="AJ26" s="515"/>
      <c r="AK26" s="516">
        <f t="shared" si="10"/>
        <v>0</v>
      </c>
      <c r="AL26" s="517">
        <f t="shared" si="122"/>
        <v>0</v>
      </c>
      <c r="AM26" s="515"/>
      <c r="AN26" s="516">
        <f t="shared" si="11"/>
        <v>0</v>
      </c>
      <c r="AO26" s="517">
        <f t="shared" si="123"/>
        <v>0</v>
      </c>
      <c r="AP26" s="515">
        <v>48.417721518987321</v>
      </c>
      <c r="AQ26" s="516">
        <f t="shared" si="12"/>
        <v>1.0554041659906557</v>
      </c>
      <c r="AR26" s="517">
        <f t="shared" si="124"/>
        <v>0</v>
      </c>
      <c r="AS26" s="515"/>
      <c r="AT26" s="516">
        <f t="shared" si="13"/>
        <v>0</v>
      </c>
      <c r="AU26" s="517">
        <f t="shared" si="125"/>
        <v>0</v>
      </c>
      <c r="AV26" s="515"/>
      <c r="AW26" s="516">
        <f t="shared" si="14"/>
        <v>0</v>
      </c>
      <c r="AX26" s="517">
        <f t="shared" si="126"/>
        <v>0</v>
      </c>
      <c r="AY26" s="515">
        <v>46.666666666666657</v>
      </c>
      <c r="AZ26" s="516">
        <f t="shared" si="15"/>
        <v>1.0172348649984013</v>
      </c>
      <c r="BA26" s="517">
        <f t="shared" si="127"/>
        <v>0</v>
      </c>
      <c r="BB26" s="515"/>
      <c r="BC26" s="516">
        <f t="shared" si="16"/>
        <v>0</v>
      </c>
      <c r="BD26" s="517">
        <f t="shared" si="128"/>
        <v>0</v>
      </c>
      <c r="BE26" s="515"/>
      <c r="BF26" s="516">
        <f t="shared" si="17"/>
        <v>0</v>
      </c>
      <c r="BG26" s="517">
        <f t="shared" si="129"/>
        <v>0</v>
      </c>
      <c r="BH26" s="515"/>
      <c r="BI26" s="516">
        <f t="shared" si="18"/>
        <v>0</v>
      </c>
      <c r="BJ26" s="517">
        <f t="shared" si="130"/>
        <v>0</v>
      </c>
      <c r="BK26" s="515"/>
      <c r="BL26" s="516">
        <f t="shared" si="19"/>
        <v>0</v>
      </c>
      <c r="BM26" s="517">
        <f t="shared" si="131"/>
        <v>0</v>
      </c>
      <c r="BN26" s="515"/>
      <c r="BO26" s="516">
        <f t="shared" si="20"/>
        <v>0</v>
      </c>
      <c r="BP26" s="517">
        <f t="shared" si="132"/>
        <v>0</v>
      </c>
      <c r="BQ26" s="515"/>
      <c r="BR26" s="516">
        <f t="shared" si="21"/>
        <v>0</v>
      </c>
      <c r="BS26" s="517">
        <f t="shared" si="133"/>
        <v>0</v>
      </c>
      <c r="BT26" s="515"/>
      <c r="BU26" s="516">
        <f t="shared" si="22"/>
        <v>0</v>
      </c>
      <c r="BV26" s="517">
        <f t="shared" si="134"/>
        <v>0</v>
      </c>
      <c r="BW26" s="515"/>
      <c r="BX26" s="516">
        <f t="shared" si="23"/>
        <v>0</v>
      </c>
      <c r="BY26" s="517">
        <f t="shared" si="135"/>
        <v>0</v>
      </c>
      <c r="BZ26" s="515"/>
      <c r="CA26" s="516">
        <f t="shared" si="24"/>
        <v>0</v>
      </c>
      <c r="CB26" s="517">
        <f t="shared" si="136"/>
        <v>0</v>
      </c>
      <c r="CC26" s="515"/>
      <c r="CD26" s="516">
        <f t="shared" si="25"/>
        <v>0</v>
      </c>
      <c r="CE26" s="517">
        <f t="shared" si="137"/>
        <v>0</v>
      </c>
      <c r="CF26" s="515">
        <v>1.3000000000000007</v>
      </c>
      <c r="CG26" s="516">
        <f t="shared" si="26"/>
        <v>2.8337256953526915E-2</v>
      </c>
      <c r="CH26" s="517">
        <f t="shared" si="138"/>
        <v>0</v>
      </c>
      <c r="CI26" s="515"/>
      <c r="CJ26" s="516">
        <f t="shared" si="27"/>
        <v>0</v>
      </c>
      <c r="CK26" s="517">
        <f t="shared" si="139"/>
        <v>0</v>
      </c>
      <c r="CL26" s="515"/>
      <c r="CM26" s="516">
        <f t="shared" si="28"/>
        <v>0</v>
      </c>
      <c r="CN26" s="517">
        <f t="shared" si="140"/>
        <v>0</v>
      </c>
      <c r="CO26" s="515"/>
      <c r="CP26" s="516">
        <f t="shared" si="29"/>
        <v>0</v>
      </c>
      <c r="CQ26" s="517">
        <f t="shared" si="141"/>
        <v>0</v>
      </c>
      <c r="CR26" s="515"/>
      <c r="CS26" s="516">
        <f t="shared" si="30"/>
        <v>0</v>
      </c>
      <c r="CT26" s="517">
        <f t="shared" si="142"/>
        <v>0</v>
      </c>
      <c r="CU26" s="515"/>
      <c r="CV26" s="516">
        <f t="shared" si="31"/>
        <v>0</v>
      </c>
      <c r="CW26" s="517">
        <f t="shared" si="143"/>
        <v>0</v>
      </c>
      <c r="CX26" s="515"/>
      <c r="CY26" s="516">
        <f t="shared" si="32"/>
        <v>0</v>
      </c>
      <c r="CZ26" s="517">
        <f t="shared" si="144"/>
        <v>0</v>
      </c>
      <c r="DA26" s="515"/>
      <c r="DB26" s="516">
        <f t="shared" si="33"/>
        <v>0</v>
      </c>
      <c r="DC26" s="517">
        <f t="shared" si="145"/>
        <v>0</v>
      </c>
      <c r="DD26" s="515"/>
      <c r="DE26" s="516">
        <f t="shared" si="34"/>
        <v>0</v>
      </c>
      <c r="DF26" s="517">
        <f t="shared" si="146"/>
        <v>0</v>
      </c>
      <c r="DG26" s="515"/>
      <c r="DH26" s="516">
        <f t="shared" si="35"/>
        <v>0</v>
      </c>
      <c r="DI26" s="517">
        <f t="shared" si="203"/>
        <v>0</v>
      </c>
      <c r="DJ26" s="515"/>
      <c r="DK26" s="516">
        <f t="shared" si="36"/>
        <v>0</v>
      </c>
      <c r="DL26" s="517">
        <f t="shared" si="147"/>
        <v>0</v>
      </c>
      <c r="DM26" s="515"/>
      <c r="DN26" s="516">
        <f t="shared" si="37"/>
        <v>0</v>
      </c>
      <c r="DO26" s="517">
        <f t="shared" si="148"/>
        <v>0</v>
      </c>
      <c r="DP26" s="515"/>
      <c r="DQ26" s="516">
        <f t="shared" si="38"/>
        <v>0</v>
      </c>
      <c r="DR26" s="517">
        <f t="shared" si="149"/>
        <v>0</v>
      </c>
      <c r="DS26" s="515"/>
      <c r="DT26" s="516">
        <f t="shared" si="39"/>
        <v>0</v>
      </c>
      <c r="DU26" s="517">
        <f t="shared" si="150"/>
        <v>0</v>
      </c>
      <c r="DV26" s="515"/>
      <c r="DW26" s="516">
        <f t="shared" si="40"/>
        <v>0</v>
      </c>
      <c r="DX26" s="517">
        <f t="shared" si="151"/>
        <v>0</v>
      </c>
      <c r="DY26" s="515"/>
      <c r="DZ26" s="516">
        <f t="shared" si="41"/>
        <v>0</v>
      </c>
      <c r="EA26" s="517">
        <f t="shared" si="152"/>
        <v>0</v>
      </c>
      <c r="EB26" s="515"/>
      <c r="EC26" s="516">
        <f t="shared" si="42"/>
        <v>0</v>
      </c>
      <c r="ED26" s="517">
        <f t="shared" si="153"/>
        <v>0</v>
      </c>
      <c r="EE26" s="515">
        <v>10.901162790697697</v>
      </c>
      <c r="EF26" s="516">
        <f t="shared" si="43"/>
        <v>0.23762234699402079</v>
      </c>
      <c r="EG26" s="517">
        <f t="shared" si="154"/>
        <v>0</v>
      </c>
      <c r="EH26" s="515">
        <v>17.611764705882365</v>
      </c>
      <c r="EI26" s="516">
        <f t="shared" si="44"/>
        <v>0.38389930913511128</v>
      </c>
      <c r="EJ26" s="517">
        <f t="shared" si="155"/>
        <v>0</v>
      </c>
      <c r="EK26" s="515">
        <v>3.5</v>
      </c>
      <c r="EL26" s="516">
        <f t="shared" si="45"/>
        <v>7.6292614874880121E-2</v>
      </c>
      <c r="EM26" s="517">
        <f t="shared" si="156"/>
        <v>0</v>
      </c>
      <c r="EN26" s="515"/>
      <c r="EO26" s="516">
        <f t="shared" si="46"/>
        <v>0</v>
      </c>
      <c r="EP26" s="517">
        <f t="shared" si="157"/>
        <v>0</v>
      </c>
      <c r="EQ26" s="515"/>
      <c r="ER26" s="516">
        <f t="shared" si="47"/>
        <v>0</v>
      </c>
      <c r="ES26" s="517">
        <f t="shared" si="158"/>
        <v>0</v>
      </c>
      <c r="ET26" s="515"/>
      <c r="EU26" s="516">
        <f t="shared" si="48"/>
        <v>0</v>
      </c>
      <c r="EV26" s="517">
        <f t="shared" si="159"/>
        <v>0</v>
      </c>
      <c r="EW26" s="515"/>
      <c r="EX26" s="516">
        <f t="shared" si="49"/>
        <v>0</v>
      </c>
      <c r="EY26" s="517">
        <f t="shared" si="160"/>
        <v>0</v>
      </c>
      <c r="EZ26" s="515"/>
      <c r="FA26" s="516">
        <f t="shared" si="50"/>
        <v>0</v>
      </c>
      <c r="FB26" s="517">
        <f t="shared" si="161"/>
        <v>0</v>
      </c>
      <c r="FC26" s="515"/>
      <c r="FD26" s="516">
        <f t="shared" si="51"/>
        <v>0</v>
      </c>
      <c r="FE26" s="517">
        <f t="shared" si="162"/>
        <v>0</v>
      </c>
      <c r="FF26" s="515"/>
      <c r="FG26" s="516">
        <f t="shared" si="52"/>
        <v>0</v>
      </c>
      <c r="FH26" s="517">
        <f t="shared" si="163"/>
        <v>0</v>
      </c>
      <c r="FI26" s="515"/>
      <c r="FJ26" s="516">
        <f t="shared" si="53"/>
        <v>0</v>
      </c>
      <c r="FK26" s="517">
        <f t="shared" si="164"/>
        <v>0</v>
      </c>
      <c r="FL26" s="515"/>
      <c r="FM26" s="516">
        <f t="shared" si="54"/>
        <v>0</v>
      </c>
      <c r="FN26" s="517">
        <f t="shared" si="165"/>
        <v>0</v>
      </c>
      <c r="FO26" s="515"/>
      <c r="FP26" s="516">
        <f t="shared" si="55"/>
        <v>0</v>
      </c>
      <c r="FQ26" s="517">
        <f t="shared" si="166"/>
        <v>0</v>
      </c>
      <c r="FR26" s="515"/>
      <c r="FS26" s="516">
        <f t="shared" si="56"/>
        <v>0</v>
      </c>
      <c r="FT26" s="517">
        <f t="shared" si="167"/>
        <v>0</v>
      </c>
      <c r="FU26" s="515"/>
      <c r="FV26" s="516">
        <f t="shared" si="57"/>
        <v>0</v>
      </c>
      <c r="FW26" s="517">
        <f t="shared" si="168"/>
        <v>0</v>
      </c>
      <c r="FX26" s="515"/>
      <c r="FY26" s="516">
        <f t="shared" si="58"/>
        <v>0</v>
      </c>
      <c r="FZ26" s="517">
        <f t="shared" si="169"/>
        <v>0</v>
      </c>
      <c r="GA26" s="515"/>
      <c r="GB26" s="516">
        <f t="shared" si="59"/>
        <v>0</v>
      </c>
      <c r="GC26" s="517">
        <f t="shared" si="170"/>
        <v>0</v>
      </c>
      <c r="GD26" s="515"/>
      <c r="GE26" s="516">
        <f t="shared" si="60"/>
        <v>0</v>
      </c>
      <c r="GF26" s="517">
        <f t="shared" si="171"/>
        <v>0</v>
      </c>
      <c r="GG26" s="515"/>
      <c r="GH26" s="516">
        <f t="shared" si="61"/>
        <v>0</v>
      </c>
      <c r="GI26" s="517">
        <f t="shared" si="172"/>
        <v>0</v>
      </c>
      <c r="GJ26" s="515"/>
      <c r="GK26" s="516">
        <f t="shared" si="62"/>
        <v>0</v>
      </c>
      <c r="GL26" s="517">
        <f t="shared" si="173"/>
        <v>0</v>
      </c>
      <c r="GM26" s="515"/>
      <c r="GN26" s="516">
        <f t="shared" si="63"/>
        <v>0</v>
      </c>
      <c r="GO26" s="517">
        <f t="shared" si="174"/>
        <v>0</v>
      </c>
      <c r="GP26" s="515"/>
      <c r="GQ26" s="516">
        <f t="shared" si="64"/>
        <v>0</v>
      </c>
      <c r="GR26" s="517">
        <f t="shared" si="175"/>
        <v>0</v>
      </c>
      <c r="GS26" s="515"/>
      <c r="GT26" s="516">
        <f t="shared" si="65"/>
        <v>0</v>
      </c>
      <c r="GU26" s="517">
        <f t="shared" si="176"/>
        <v>0</v>
      </c>
      <c r="GV26" s="515"/>
      <c r="GW26" s="516">
        <f t="shared" si="66"/>
        <v>0</v>
      </c>
      <c r="GX26" s="517">
        <f t="shared" si="177"/>
        <v>0</v>
      </c>
      <c r="GY26" s="515"/>
      <c r="GZ26" s="516">
        <f t="shared" si="67"/>
        <v>0</v>
      </c>
      <c r="HA26" s="517">
        <f t="shared" si="178"/>
        <v>0</v>
      </c>
      <c r="HB26" s="515"/>
      <c r="HC26" s="516">
        <f t="shared" si="68"/>
        <v>0</v>
      </c>
      <c r="HD26" s="517">
        <f t="shared" si="179"/>
        <v>0</v>
      </c>
      <c r="HE26" s="515"/>
      <c r="HF26" s="516">
        <f t="shared" si="69"/>
        <v>0</v>
      </c>
      <c r="HG26" s="517">
        <f t="shared" si="180"/>
        <v>0</v>
      </c>
      <c r="HH26" s="515"/>
      <c r="HI26" s="516">
        <f t="shared" si="70"/>
        <v>0</v>
      </c>
      <c r="HJ26" s="517">
        <f t="shared" si="181"/>
        <v>0</v>
      </c>
      <c r="HK26" s="515"/>
      <c r="HL26" s="516">
        <f t="shared" si="71"/>
        <v>0</v>
      </c>
      <c r="HM26" s="517">
        <f t="shared" si="182"/>
        <v>0</v>
      </c>
      <c r="HN26" s="515"/>
      <c r="HO26" s="516">
        <f t="shared" si="72"/>
        <v>0</v>
      </c>
      <c r="HP26" s="517">
        <f t="shared" si="183"/>
        <v>0</v>
      </c>
      <c r="HQ26" s="515"/>
      <c r="HR26" s="516">
        <f t="shared" si="73"/>
        <v>0</v>
      </c>
      <c r="HS26" s="517">
        <f t="shared" si="184"/>
        <v>0</v>
      </c>
      <c r="HT26" s="515"/>
      <c r="HU26" s="516">
        <f t="shared" si="74"/>
        <v>0</v>
      </c>
      <c r="HV26" s="517">
        <f t="shared" si="185"/>
        <v>0</v>
      </c>
      <c r="HW26" s="515"/>
      <c r="HX26" s="516">
        <f t="shared" si="75"/>
        <v>0</v>
      </c>
      <c r="HY26" s="517">
        <f t="shared" si="186"/>
        <v>0</v>
      </c>
      <c r="HZ26" s="515"/>
      <c r="IA26" s="516">
        <f t="shared" si="76"/>
        <v>0</v>
      </c>
      <c r="IB26" s="517">
        <f t="shared" si="187"/>
        <v>0</v>
      </c>
      <c r="IC26" s="515"/>
      <c r="ID26" s="516">
        <f t="shared" si="77"/>
        <v>0</v>
      </c>
      <c r="IE26" s="517">
        <f t="shared" si="188"/>
        <v>0</v>
      </c>
      <c r="IF26" s="515"/>
      <c r="IG26" s="516">
        <f t="shared" si="78"/>
        <v>0</v>
      </c>
      <c r="IH26" s="517">
        <f t="shared" si="189"/>
        <v>0</v>
      </c>
      <c r="II26" s="515"/>
      <c r="IJ26" s="516">
        <f t="shared" si="79"/>
        <v>0</v>
      </c>
      <c r="IK26" s="517">
        <f t="shared" si="190"/>
        <v>0</v>
      </c>
      <c r="IL26" s="515"/>
      <c r="IM26" s="516">
        <f t="shared" si="80"/>
        <v>0</v>
      </c>
      <c r="IN26" s="517">
        <f t="shared" si="191"/>
        <v>0</v>
      </c>
      <c r="IO26" s="515"/>
      <c r="IP26" s="516">
        <f t="shared" si="81"/>
        <v>0</v>
      </c>
      <c r="IQ26" s="517">
        <f t="shared" si="192"/>
        <v>0</v>
      </c>
      <c r="IR26" s="515"/>
      <c r="IS26" s="516">
        <f t="shared" si="82"/>
        <v>0</v>
      </c>
      <c r="IT26" s="517">
        <f t="shared" si="193"/>
        <v>0</v>
      </c>
      <c r="IU26" s="515"/>
      <c r="IV26" s="516">
        <f t="shared" si="83"/>
        <v>0</v>
      </c>
      <c r="IW26" s="517">
        <f t="shared" si="194"/>
        <v>0</v>
      </c>
      <c r="IX26" s="515"/>
      <c r="IY26" s="516">
        <f t="shared" si="84"/>
        <v>0</v>
      </c>
      <c r="IZ26" s="517">
        <f t="shared" si="195"/>
        <v>0</v>
      </c>
      <c r="JA26" s="515"/>
      <c r="JB26" s="516">
        <f t="shared" si="85"/>
        <v>0</v>
      </c>
      <c r="JC26" s="517">
        <f t="shared" si="196"/>
        <v>0</v>
      </c>
      <c r="JD26" s="515"/>
      <c r="JE26" s="516">
        <f t="shared" si="86"/>
        <v>0</v>
      </c>
      <c r="JF26" s="517">
        <f t="shared" si="197"/>
        <v>0</v>
      </c>
      <c r="JG26" s="515"/>
      <c r="JH26" s="516">
        <f t="shared" si="87"/>
        <v>0</v>
      </c>
      <c r="JI26" s="517">
        <f t="shared" si="198"/>
        <v>0</v>
      </c>
      <c r="JJ26" s="515"/>
      <c r="JK26" s="517" t="str">
        <f t="shared" si="88"/>
        <v>0</v>
      </c>
      <c r="JL26" s="517" t="str">
        <f t="shared" si="89"/>
        <v>0</v>
      </c>
      <c r="JM26" s="515"/>
      <c r="JN26" s="517" t="str">
        <f t="shared" si="90"/>
        <v>0</v>
      </c>
      <c r="JO26" s="517" t="str">
        <f t="shared" si="91"/>
        <v>0</v>
      </c>
      <c r="JP26" s="515"/>
      <c r="JQ26" s="517" t="str">
        <f t="shared" si="92"/>
        <v>0</v>
      </c>
      <c r="JR26" s="517" t="str">
        <f t="shared" si="93"/>
        <v>0</v>
      </c>
      <c r="JS26" s="515"/>
      <c r="JT26" s="517" t="str">
        <f t="shared" si="94"/>
        <v>0</v>
      </c>
      <c r="JU26" s="517" t="str">
        <f t="shared" si="95"/>
        <v>0</v>
      </c>
      <c r="JV26" s="515"/>
      <c r="JW26" s="517" t="str">
        <f t="shared" si="96"/>
        <v>0</v>
      </c>
      <c r="JX26" s="517" t="str">
        <f t="shared" si="97"/>
        <v>0</v>
      </c>
      <c r="JY26" s="515"/>
      <c r="JZ26" s="517" t="str">
        <f t="shared" si="98"/>
        <v>0</v>
      </c>
      <c r="KA26" s="517" t="str">
        <f t="shared" si="99"/>
        <v>0</v>
      </c>
      <c r="KB26" s="515"/>
      <c r="KC26" s="517" t="str">
        <f t="shared" si="100"/>
        <v>0</v>
      </c>
      <c r="KD26" s="517" t="str">
        <f t="shared" si="101"/>
        <v>0</v>
      </c>
      <c r="KE26" s="515"/>
      <c r="KF26" s="517" t="str">
        <f t="shared" si="102"/>
        <v>0</v>
      </c>
      <c r="KG26" s="517" t="str">
        <f t="shared" si="103"/>
        <v>0</v>
      </c>
      <c r="KH26" s="515"/>
      <c r="KI26" s="517" t="str">
        <f t="shared" si="104"/>
        <v>0</v>
      </c>
      <c r="KJ26" s="517" t="str">
        <f t="shared" si="105"/>
        <v>0</v>
      </c>
      <c r="KK26" s="515"/>
      <c r="KL26" s="517" t="str">
        <f t="shared" si="106"/>
        <v>0</v>
      </c>
      <c r="KM26" s="517" t="str">
        <f t="shared" si="107"/>
        <v>0</v>
      </c>
      <c r="KN26" s="515"/>
      <c r="KO26" s="517" t="str">
        <f t="shared" si="108"/>
        <v>0</v>
      </c>
      <c r="KP26" s="517" t="str">
        <f t="shared" si="109"/>
        <v>0</v>
      </c>
      <c r="KQ26" s="515"/>
      <c r="KR26" s="517" t="str">
        <f t="shared" si="110"/>
        <v>0</v>
      </c>
      <c r="KS26" s="517" t="str">
        <f t="shared" si="111"/>
        <v>0</v>
      </c>
      <c r="KT26" s="517">
        <f t="shared" si="201"/>
        <v>0</v>
      </c>
      <c r="KU26" s="517">
        <f t="shared" si="202"/>
        <v>0</v>
      </c>
      <c r="KV26" s="263">
        <f t="shared" si="199"/>
        <v>375.92420521711779</v>
      </c>
    </row>
    <row r="27" spans="1:308">
      <c r="A27" s="264">
        <f t="shared" si="200"/>
        <v>45857</v>
      </c>
      <c r="B27" s="265" t="str">
        <f>+Report1!B27</f>
        <v>Toilet</v>
      </c>
      <c r="C27" s="265" t="str">
        <f>+Report1!C27</f>
        <v>15/12,5</v>
      </c>
      <c r="D27" s="266">
        <f>+Report1!P27</f>
        <v>46.280999999999999</v>
      </c>
      <c r="E27" s="553">
        <f>+Report1!R27</f>
        <v>46.088000000000001</v>
      </c>
      <c r="F27" s="515"/>
      <c r="G27" s="516">
        <f t="shared" si="0"/>
        <v>0</v>
      </c>
      <c r="H27" s="517">
        <f t="shared" si="112"/>
        <v>0</v>
      </c>
      <c r="I27" s="515">
        <v>104.65116279069753</v>
      </c>
      <c r="J27" s="516">
        <f t="shared" si="1"/>
        <v>2.2706813658804359</v>
      </c>
      <c r="K27" s="517">
        <f t="shared" si="113"/>
        <v>0</v>
      </c>
      <c r="L27" s="515"/>
      <c r="M27" s="516">
        <f t="shared" si="2"/>
        <v>0</v>
      </c>
      <c r="N27" s="517">
        <f t="shared" si="114"/>
        <v>0</v>
      </c>
      <c r="O27" s="515">
        <v>6.1052000000000106</v>
      </c>
      <c r="P27" s="516">
        <f t="shared" si="3"/>
        <v>0.13246832147196691</v>
      </c>
      <c r="Q27" s="517">
        <f t="shared" si="115"/>
        <v>0</v>
      </c>
      <c r="R27" s="515"/>
      <c r="S27" s="516">
        <f t="shared" si="4"/>
        <v>0</v>
      </c>
      <c r="T27" s="517">
        <f t="shared" si="116"/>
        <v>0</v>
      </c>
      <c r="U27" s="515">
        <v>9.7877500000000168</v>
      </c>
      <c r="V27" s="516">
        <f t="shared" si="5"/>
        <v>0.21237089914945359</v>
      </c>
      <c r="W27" s="517">
        <f t="shared" si="117"/>
        <v>0</v>
      </c>
      <c r="X27" s="515"/>
      <c r="Y27" s="516">
        <f t="shared" si="6"/>
        <v>0</v>
      </c>
      <c r="Z27" s="517">
        <f t="shared" si="118"/>
        <v>0</v>
      </c>
      <c r="AA27" s="515"/>
      <c r="AB27" s="516">
        <f t="shared" si="7"/>
        <v>0</v>
      </c>
      <c r="AC27" s="517">
        <f t="shared" si="119"/>
        <v>0</v>
      </c>
      <c r="AD27" s="515"/>
      <c r="AE27" s="516">
        <f t="shared" si="8"/>
        <v>0</v>
      </c>
      <c r="AF27" s="517">
        <f t="shared" si="120"/>
        <v>0</v>
      </c>
      <c r="AG27" s="515"/>
      <c r="AH27" s="516">
        <f t="shared" si="9"/>
        <v>0</v>
      </c>
      <c r="AI27" s="517">
        <f t="shared" si="121"/>
        <v>0</v>
      </c>
      <c r="AJ27" s="515"/>
      <c r="AK27" s="516">
        <f t="shared" si="10"/>
        <v>0</v>
      </c>
      <c r="AL27" s="517">
        <f t="shared" si="122"/>
        <v>0</v>
      </c>
      <c r="AM27" s="515"/>
      <c r="AN27" s="516">
        <f t="shared" si="11"/>
        <v>0</v>
      </c>
      <c r="AO27" s="517">
        <f t="shared" si="123"/>
        <v>0</v>
      </c>
      <c r="AP27" s="515">
        <v>39.15236455696197</v>
      </c>
      <c r="AQ27" s="516">
        <f t="shared" si="12"/>
        <v>0.84951320423889021</v>
      </c>
      <c r="AR27" s="517">
        <f t="shared" si="124"/>
        <v>0</v>
      </c>
      <c r="AS27" s="515"/>
      <c r="AT27" s="516">
        <f t="shared" si="13"/>
        <v>0</v>
      </c>
      <c r="AU27" s="517">
        <f t="shared" si="125"/>
        <v>0</v>
      </c>
      <c r="AV27" s="515"/>
      <c r="AW27" s="516">
        <f t="shared" si="14"/>
        <v>0</v>
      </c>
      <c r="AX27" s="517">
        <f t="shared" si="126"/>
        <v>0</v>
      </c>
      <c r="AY27" s="515">
        <v>47.52079999999998</v>
      </c>
      <c r="AZ27" s="516">
        <f t="shared" si="15"/>
        <v>1.0310883527165418</v>
      </c>
      <c r="BA27" s="517">
        <f t="shared" si="127"/>
        <v>0</v>
      </c>
      <c r="BB27" s="515"/>
      <c r="BC27" s="516">
        <f t="shared" si="16"/>
        <v>0</v>
      </c>
      <c r="BD27" s="517">
        <f t="shared" si="128"/>
        <v>0</v>
      </c>
      <c r="BE27" s="515"/>
      <c r="BF27" s="516">
        <f t="shared" si="17"/>
        <v>0</v>
      </c>
      <c r="BG27" s="517">
        <f t="shared" si="129"/>
        <v>0</v>
      </c>
      <c r="BH27" s="515"/>
      <c r="BI27" s="516">
        <f t="shared" si="18"/>
        <v>0</v>
      </c>
      <c r="BJ27" s="517">
        <f t="shared" si="130"/>
        <v>0</v>
      </c>
      <c r="BK27" s="515"/>
      <c r="BL27" s="516">
        <f t="shared" si="19"/>
        <v>0</v>
      </c>
      <c r="BM27" s="517">
        <f t="shared" si="131"/>
        <v>0</v>
      </c>
      <c r="BN27" s="515"/>
      <c r="BO27" s="516">
        <f t="shared" si="20"/>
        <v>0</v>
      </c>
      <c r="BP27" s="517">
        <f t="shared" si="132"/>
        <v>0</v>
      </c>
      <c r="BQ27" s="515"/>
      <c r="BR27" s="516">
        <f t="shared" si="21"/>
        <v>0</v>
      </c>
      <c r="BS27" s="517">
        <f t="shared" si="133"/>
        <v>0</v>
      </c>
      <c r="BT27" s="515"/>
      <c r="BU27" s="516">
        <f t="shared" si="22"/>
        <v>0</v>
      </c>
      <c r="BV27" s="517">
        <f t="shared" si="134"/>
        <v>0</v>
      </c>
      <c r="BW27" s="515"/>
      <c r="BX27" s="516">
        <f t="shared" si="23"/>
        <v>0</v>
      </c>
      <c r="BY27" s="517">
        <f t="shared" si="135"/>
        <v>0</v>
      </c>
      <c r="BZ27" s="515"/>
      <c r="CA27" s="516">
        <f t="shared" si="24"/>
        <v>0</v>
      </c>
      <c r="CB27" s="517">
        <f t="shared" si="136"/>
        <v>0</v>
      </c>
      <c r="CC27" s="515"/>
      <c r="CD27" s="516">
        <f t="shared" si="25"/>
        <v>0</v>
      </c>
      <c r="CE27" s="517">
        <f t="shared" si="137"/>
        <v>0</v>
      </c>
      <c r="CF27" s="515">
        <v>1.3000000000000025</v>
      </c>
      <c r="CG27" s="516">
        <f t="shared" si="26"/>
        <v>2.8206908522825952E-2</v>
      </c>
      <c r="CH27" s="517">
        <f t="shared" si="138"/>
        <v>0</v>
      </c>
      <c r="CI27" s="515"/>
      <c r="CJ27" s="516">
        <f t="shared" si="27"/>
        <v>0</v>
      </c>
      <c r="CK27" s="517">
        <f t="shared" si="139"/>
        <v>0</v>
      </c>
      <c r="CL27" s="515"/>
      <c r="CM27" s="516">
        <f t="shared" si="28"/>
        <v>0</v>
      </c>
      <c r="CN27" s="517">
        <f t="shared" si="140"/>
        <v>0</v>
      </c>
      <c r="CO27" s="515"/>
      <c r="CP27" s="516">
        <f t="shared" si="29"/>
        <v>0</v>
      </c>
      <c r="CQ27" s="517">
        <f t="shared" si="141"/>
        <v>0</v>
      </c>
      <c r="CR27" s="515"/>
      <c r="CS27" s="516">
        <f t="shared" si="30"/>
        <v>0</v>
      </c>
      <c r="CT27" s="517">
        <f t="shared" si="142"/>
        <v>0</v>
      </c>
      <c r="CU27" s="515"/>
      <c r="CV27" s="516">
        <f t="shared" si="31"/>
        <v>0</v>
      </c>
      <c r="CW27" s="517">
        <f t="shared" si="143"/>
        <v>0</v>
      </c>
      <c r="CX27" s="515"/>
      <c r="CY27" s="516">
        <f t="shared" si="32"/>
        <v>0</v>
      </c>
      <c r="CZ27" s="517">
        <f t="shared" si="144"/>
        <v>0</v>
      </c>
      <c r="DA27" s="515">
        <v>43.600651162790655</v>
      </c>
      <c r="DB27" s="516">
        <f t="shared" si="33"/>
        <v>0.94603044529575275</v>
      </c>
      <c r="DC27" s="517">
        <f t="shared" si="145"/>
        <v>0</v>
      </c>
      <c r="DD27" s="515"/>
      <c r="DE27" s="516">
        <f t="shared" si="34"/>
        <v>0</v>
      </c>
      <c r="DF27" s="517">
        <f t="shared" si="146"/>
        <v>0</v>
      </c>
      <c r="DG27" s="515"/>
      <c r="DH27" s="516">
        <f t="shared" si="35"/>
        <v>0</v>
      </c>
      <c r="DI27" s="517">
        <f t="shared" si="203"/>
        <v>0</v>
      </c>
      <c r="DJ27" s="515"/>
      <c r="DK27" s="516">
        <f t="shared" si="36"/>
        <v>0</v>
      </c>
      <c r="DL27" s="517">
        <f t="shared" si="147"/>
        <v>0</v>
      </c>
      <c r="DM27" s="515"/>
      <c r="DN27" s="516">
        <f t="shared" si="37"/>
        <v>0</v>
      </c>
      <c r="DO27" s="517">
        <f t="shared" si="148"/>
        <v>0</v>
      </c>
      <c r="DP27" s="515"/>
      <c r="DQ27" s="516">
        <f t="shared" si="38"/>
        <v>0</v>
      </c>
      <c r="DR27" s="517">
        <f t="shared" si="149"/>
        <v>0</v>
      </c>
      <c r="DS27" s="515"/>
      <c r="DT27" s="516">
        <f t="shared" si="39"/>
        <v>0</v>
      </c>
      <c r="DU27" s="517">
        <f t="shared" si="150"/>
        <v>0</v>
      </c>
      <c r="DV27" s="515"/>
      <c r="DW27" s="516">
        <f t="shared" si="40"/>
        <v>0</v>
      </c>
      <c r="DX27" s="517">
        <f t="shared" si="151"/>
        <v>0</v>
      </c>
      <c r="DY27" s="515"/>
      <c r="DZ27" s="516">
        <f t="shared" si="41"/>
        <v>0</v>
      </c>
      <c r="EA27" s="517">
        <f t="shared" si="152"/>
        <v>0</v>
      </c>
      <c r="EB27" s="515"/>
      <c r="EC27" s="516">
        <f t="shared" si="42"/>
        <v>0</v>
      </c>
      <c r="ED27" s="517">
        <f t="shared" si="153"/>
        <v>0</v>
      </c>
      <c r="EE27" s="515">
        <v>10.901162790697668</v>
      </c>
      <c r="EF27" s="516">
        <f t="shared" si="43"/>
        <v>0.23652930894587892</v>
      </c>
      <c r="EG27" s="517">
        <f t="shared" si="154"/>
        <v>0</v>
      </c>
      <c r="EH27" s="515">
        <v>26.902941176470506</v>
      </c>
      <c r="EI27" s="516">
        <f t="shared" si="44"/>
        <v>0.58372984673820749</v>
      </c>
      <c r="EJ27" s="517">
        <f t="shared" si="155"/>
        <v>0</v>
      </c>
      <c r="EK27" s="515">
        <v>3.4999999999999964</v>
      </c>
      <c r="EL27" s="516">
        <f t="shared" si="45"/>
        <v>7.5941676792223495E-2</v>
      </c>
      <c r="EM27" s="517">
        <f t="shared" si="156"/>
        <v>0</v>
      </c>
      <c r="EN27" s="515"/>
      <c r="EO27" s="516">
        <f t="shared" si="46"/>
        <v>0</v>
      </c>
      <c r="EP27" s="517">
        <f t="shared" si="157"/>
        <v>0</v>
      </c>
      <c r="EQ27" s="515"/>
      <c r="ER27" s="516">
        <f t="shared" si="47"/>
        <v>0</v>
      </c>
      <c r="ES27" s="517">
        <f t="shared" si="158"/>
        <v>0</v>
      </c>
      <c r="ET27" s="515"/>
      <c r="EU27" s="516">
        <f t="shared" si="48"/>
        <v>0</v>
      </c>
      <c r="EV27" s="517">
        <f t="shared" si="159"/>
        <v>0</v>
      </c>
      <c r="EW27" s="515"/>
      <c r="EX27" s="516">
        <f t="shared" si="49"/>
        <v>0</v>
      </c>
      <c r="EY27" s="517">
        <f t="shared" si="160"/>
        <v>0</v>
      </c>
      <c r="EZ27" s="515"/>
      <c r="FA27" s="516">
        <f t="shared" si="50"/>
        <v>0</v>
      </c>
      <c r="FB27" s="517">
        <f t="shared" si="161"/>
        <v>0</v>
      </c>
      <c r="FC27" s="515"/>
      <c r="FD27" s="516">
        <f t="shared" si="51"/>
        <v>0</v>
      </c>
      <c r="FE27" s="517">
        <f t="shared" si="162"/>
        <v>0</v>
      </c>
      <c r="FF27" s="515"/>
      <c r="FG27" s="516">
        <f t="shared" si="52"/>
        <v>0</v>
      </c>
      <c r="FH27" s="517">
        <f t="shared" si="163"/>
        <v>0</v>
      </c>
      <c r="FI27" s="515"/>
      <c r="FJ27" s="516">
        <f t="shared" si="53"/>
        <v>0</v>
      </c>
      <c r="FK27" s="517">
        <f t="shared" si="164"/>
        <v>0</v>
      </c>
      <c r="FL27" s="515"/>
      <c r="FM27" s="516">
        <f t="shared" si="54"/>
        <v>0</v>
      </c>
      <c r="FN27" s="517">
        <f t="shared" si="165"/>
        <v>0</v>
      </c>
      <c r="FO27" s="515"/>
      <c r="FP27" s="516">
        <f t="shared" si="55"/>
        <v>0</v>
      </c>
      <c r="FQ27" s="517">
        <f t="shared" si="166"/>
        <v>0</v>
      </c>
      <c r="FR27" s="515"/>
      <c r="FS27" s="516">
        <f t="shared" si="56"/>
        <v>0</v>
      </c>
      <c r="FT27" s="517">
        <f t="shared" si="167"/>
        <v>0</v>
      </c>
      <c r="FU27" s="515"/>
      <c r="FV27" s="516">
        <f t="shared" si="57"/>
        <v>0</v>
      </c>
      <c r="FW27" s="517">
        <f t="shared" si="168"/>
        <v>0</v>
      </c>
      <c r="FX27" s="515"/>
      <c r="FY27" s="516">
        <f t="shared" si="58"/>
        <v>0</v>
      </c>
      <c r="FZ27" s="517">
        <f t="shared" si="169"/>
        <v>0</v>
      </c>
      <c r="GA27" s="515"/>
      <c r="GB27" s="516">
        <f t="shared" si="59"/>
        <v>0</v>
      </c>
      <c r="GC27" s="517">
        <f t="shared" si="170"/>
        <v>0</v>
      </c>
      <c r="GD27" s="515"/>
      <c r="GE27" s="516">
        <f t="shared" si="60"/>
        <v>0</v>
      </c>
      <c r="GF27" s="517">
        <f t="shared" si="171"/>
        <v>0</v>
      </c>
      <c r="GG27" s="515"/>
      <c r="GH27" s="516">
        <f t="shared" si="61"/>
        <v>0</v>
      </c>
      <c r="GI27" s="517">
        <f t="shared" si="172"/>
        <v>0</v>
      </c>
      <c r="GJ27" s="515"/>
      <c r="GK27" s="516">
        <f t="shared" si="62"/>
        <v>0</v>
      </c>
      <c r="GL27" s="517">
        <f t="shared" si="173"/>
        <v>0</v>
      </c>
      <c r="GM27" s="515"/>
      <c r="GN27" s="516">
        <f t="shared" si="63"/>
        <v>0</v>
      </c>
      <c r="GO27" s="517">
        <f t="shared" si="174"/>
        <v>0</v>
      </c>
      <c r="GP27" s="515"/>
      <c r="GQ27" s="516">
        <f t="shared" si="64"/>
        <v>0</v>
      </c>
      <c r="GR27" s="517">
        <f t="shared" si="175"/>
        <v>0</v>
      </c>
      <c r="GS27" s="515"/>
      <c r="GT27" s="516">
        <f t="shared" si="65"/>
        <v>0</v>
      </c>
      <c r="GU27" s="517">
        <f t="shared" si="176"/>
        <v>0</v>
      </c>
      <c r="GV27" s="515"/>
      <c r="GW27" s="516">
        <f t="shared" si="66"/>
        <v>0</v>
      </c>
      <c r="GX27" s="517">
        <f t="shared" si="177"/>
        <v>0</v>
      </c>
      <c r="GY27" s="515"/>
      <c r="GZ27" s="516">
        <f t="shared" si="67"/>
        <v>0</v>
      </c>
      <c r="HA27" s="517">
        <f t="shared" si="178"/>
        <v>0</v>
      </c>
      <c r="HB27" s="515"/>
      <c r="HC27" s="516">
        <f t="shared" si="68"/>
        <v>0</v>
      </c>
      <c r="HD27" s="517">
        <f t="shared" si="179"/>
        <v>0</v>
      </c>
      <c r="HE27" s="515"/>
      <c r="HF27" s="516">
        <f t="shared" si="69"/>
        <v>0</v>
      </c>
      <c r="HG27" s="517">
        <f t="shared" si="180"/>
        <v>0</v>
      </c>
      <c r="HH27" s="515"/>
      <c r="HI27" s="516">
        <f t="shared" si="70"/>
        <v>0</v>
      </c>
      <c r="HJ27" s="517">
        <f t="shared" si="181"/>
        <v>0</v>
      </c>
      <c r="HK27" s="515"/>
      <c r="HL27" s="516">
        <f t="shared" si="71"/>
        <v>0</v>
      </c>
      <c r="HM27" s="517">
        <f t="shared" si="182"/>
        <v>0</v>
      </c>
      <c r="HN27" s="515"/>
      <c r="HO27" s="516">
        <f t="shared" si="72"/>
        <v>0</v>
      </c>
      <c r="HP27" s="517">
        <f t="shared" si="183"/>
        <v>0</v>
      </c>
      <c r="HQ27" s="515"/>
      <c r="HR27" s="516">
        <f t="shared" si="73"/>
        <v>0</v>
      </c>
      <c r="HS27" s="517">
        <f t="shared" si="184"/>
        <v>0</v>
      </c>
      <c r="HT27" s="515"/>
      <c r="HU27" s="516">
        <f t="shared" si="74"/>
        <v>0</v>
      </c>
      <c r="HV27" s="517">
        <f t="shared" si="185"/>
        <v>0</v>
      </c>
      <c r="HW27" s="515"/>
      <c r="HX27" s="516">
        <f t="shared" si="75"/>
        <v>0</v>
      </c>
      <c r="HY27" s="517">
        <f t="shared" si="186"/>
        <v>0</v>
      </c>
      <c r="HZ27" s="515"/>
      <c r="IA27" s="516">
        <f t="shared" si="76"/>
        <v>0</v>
      </c>
      <c r="IB27" s="517">
        <f t="shared" si="187"/>
        <v>0</v>
      </c>
      <c r="IC27" s="515"/>
      <c r="ID27" s="516">
        <f t="shared" si="77"/>
        <v>0</v>
      </c>
      <c r="IE27" s="517">
        <f t="shared" si="188"/>
        <v>0</v>
      </c>
      <c r="IF27" s="515"/>
      <c r="IG27" s="516">
        <f t="shared" si="78"/>
        <v>0</v>
      </c>
      <c r="IH27" s="517">
        <f t="shared" si="189"/>
        <v>0</v>
      </c>
      <c r="II27" s="515"/>
      <c r="IJ27" s="516">
        <f t="shared" si="79"/>
        <v>0</v>
      </c>
      <c r="IK27" s="517">
        <f t="shared" si="190"/>
        <v>0</v>
      </c>
      <c r="IL27" s="515"/>
      <c r="IM27" s="516">
        <f t="shared" si="80"/>
        <v>0</v>
      </c>
      <c r="IN27" s="517">
        <f t="shared" si="191"/>
        <v>0</v>
      </c>
      <c r="IO27" s="515"/>
      <c r="IP27" s="516">
        <f t="shared" si="81"/>
        <v>0</v>
      </c>
      <c r="IQ27" s="517">
        <f t="shared" si="192"/>
        <v>0</v>
      </c>
      <c r="IR27" s="515"/>
      <c r="IS27" s="516">
        <f t="shared" si="82"/>
        <v>0</v>
      </c>
      <c r="IT27" s="517">
        <f t="shared" si="193"/>
        <v>0</v>
      </c>
      <c r="IU27" s="515"/>
      <c r="IV27" s="516">
        <f t="shared" si="83"/>
        <v>0</v>
      </c>
      <c r="IW27" s="517">
        <f t="shared" si="194"/>
        <v>0</v>
      </c>
      <c r="IX27" s="515"/>
      <c r="IY27" s="516">
        <f t="shared" si="84"/>
        <v>0</v>
      </c>
      <c r="IZ27" s="517">
        <f t="shared" si="195"/>
        <v>0</v>
      </c>
      <c r="JA27" s="515"/>
      <c r="JB27" s="516">
        <f t="shared" si="85"/>
        <v>0</v>
      </c>
      <c r="JC27" s="517">
        <f t="shared" si="196"/>
        <v>0</v>
      </c>
      <c r="JD27" s="515"/>
      <c r="JE27" s="516">
        <f t="shared" si="86"/>
        <v>0</v>
      </c>
      <c r="JF27" s="517">
        <f t="shared" si="197"/>
        <v>0</v>
      </c>
      <c r="JG27" s="515"/>
      <c r="JH27" s="516">
        <f t="shared" si="87"/>
        <v>0</v>
      </c>
      <c r="JI27" s="517">
        <f t="shared" si="198"/>
        <v>0</v>
      </c>
      <c r="JJ27" s="515"/>
      <c r="JK27" s="517" t="str">
        <f t="shared" si="88"/>
        <v>0</v>
      </c>
      <c r="JL27" s="517" t="str">
        <f t="shared" si="89"/>
        <v>0</v>
      </c>
      <c r="JM27" s="515"/>
      <c r="JN27" s="517" t="str">
        <f t="shared" si="90"/>
        <v>0</v>
      </c>
      <c r="JO27" s="517" t="str">
        <f t="shared" si="91"/>
        <v>0</v>
      </c>
      <c r="JP27" s="515"/>
      <c r="JQ27" s="517" t="str">
        <f t="shared" si="92"/>
        <v>0</v>
      </c>
      <c r="JR27" s="517" t="str">
        <f t="shared" si="93"/>
        <v>0</v>
      </c>
      <c r="JS27" s="515"/>
      <c r="JT27" s="517" t="str">
        <f t="shared" si="94"/>
        <v>0</v>
      </c>
      <c r="JU27" s="517" t="str">
        <f t="shared" si="95"/>
        <v>0</v>
      </c>
      <c r="JV27" s="515"/>
      <c r="JW27" s="517" t="str">
        <f t="shared" si="96"/>
        <v>0</v>
      </c>
      <c r="JX27" s="517" t="str">
        <f t="shared" si="97"/>
        <v>0</v>
      </c>
      <c r="JY27" s="515"/>
      <c r="JZ27" s="517" t="str">
        <f t="shared" si="98"/>
        <v>0</v>
      </c>
      <c r="KA27" s="517" t="str">
        <f t="shared" si="99"/>
        <v>0</v>
      </c>
      <c r="KB27" s="515"/>
      <c r="KC27" s="517" t="str">
        <f t="shared" si="100"/>
        <v>0</v>
      </c>
      <c r="KD27" s="517" t="str">
        <f t="shared" si="101"/>
        <v>0</v>
      </c>
      <c r="KE27" s="515"/>
      <c r="KF27" s="517" t="str">
        <f t="shared" si="102"/>
        <v>0</v>
      </c>
      <c r="KG27" s="517" t="str">
        <f t="shared" si="103"/>
        <v>0</v>
      </c>
      <c r="KH27" s="515"/>
      <c r="KI27" s="517" t="str">
        <f t="shared" si="104"/>
        <v>0</v>
      </c>
      <c r="KJ27" s="517" t="str">
        <f t="shared" si="105"/>
        <v>0</v>
      </c>
      <c r="KK27" s="515"/>
      <c r="KL27" s="517" t="str">
        <f t="shared" si="106"/>
        <v>0</v>
      </c>
      <c r="KM27" s="517" t="str">
        <f t="shared" si="107"/>
        <v>0</v>
      </c>
      <c r="KN27" s="515"/>
      <c r="KO27" s="517" t="str">
        <f t="shared" si="108"/>
        <v>0</v>
      </c>
      <c r="KP27" s="517" t="str">
        <f t="shared" si="109"/>
        <v>0</v>
      </c>
      <c r="KQ27" s="515"/>
      <c r="KR27" s="517" t="str">
        <f t="shared" si="110"/>
        <v>0</v>
      </c>
      <c r="KS27" s="517" t="str">
        <f t="shared" si="111"/>
        <v>0</v>
      </c>
      <c r="KT27" s="517">
        <f t="shared" si="201"/>
        <v>0</v>
      </c>
      <c r="KU27" s="517">
        <f t="shared" si="202"/>
        <v>0</v>
      </c>
      <c r="KV27" s="263">
        <f t="shared" si="199"/>
        <v>293.42203247761836</v>
      </c>
    </row>
    <row r="28" spans="1:308">
      <c r="A28" s="264">
        <f t="shared" si="200"/>
        <v>45858</v>
      </c>
      <c r="B28" s="265" t="str">
        <f>+Report1!B28</f>
        <v>Toilet</v>
      </c>
      <c r="C28" s="265" t="str">
        <f>+Report1!C28</f>
        <v>12,5</v>
      </c>
      <c r="D28" s="266">
        <f>+Report1!P28</f>
        <v>44.621000000000002</v>
      </c>
      <c r="E28" s="553">
        <f>+Report1!R28</f>
        <v>44.429000000000002</v>
      </c>
      <c r="F28" s="515"/>
      <c r="G28" s="516">
        <f t="shared" si="0"/>
        <v>0</v>
      </c>
      <c r="H28" s="517">
        <f t="shared" si="112"/>
        <v>0</v>
      </c>
      <c r="I28" s="515"/>
      <c r="J28" s="516">
        <f t="shared" si="1"/>
        <v>0</v>
      </c>
      <c r="K28" s="517">
        <f t="shared" si="113"/>
        <v>0</v>
      </c>
      <c r="L28" s="515"/>
      <c r="M28" s="516">
        <f t="shared" si="2"/>
        <v>0</v>
      </c>
      <c r="N28" s="517">
        <f t="shared" si="114"/>
        <v>0</v>
      </c>
      <c r="O28" s="515">
        <v>5.892799999999994</v>
      </c>
      <c r="P28" s="516">
        <f t="shared" si="3"/>
        <v>0.13263409034639523</v>
      </c>
      <c r="Q28" s="517">
        <f t="shared" si="115"/>
        <v>0</v>
      </c>
      <c r="R28" s="515"/>
      <c r="S28" s="516">
        <f t="shared" si="4"/>
        <v>0</v>
      </c>
      <c r="T28" s="517">
        <f t="shared" si="116"/>
        <v>0</v>
      </c>
      <c r="U28" s="515">
        <v>9.4347999999999956</v>
      </c>
      <c r="V28" s="516">
        <f t="shared" si="5"/>
        <v>0.21235679398591001</v>
      </c>
      <c r="W28" s="517">
        <f t="shared" si="117"/>
        <v>0</v>
      </c>
      <c r="X28" s="515"/>
      <c r="Y28" s="516">
        <f t="shared" si="6"/>
        <v>0</v>
      </c>
      <c r="Z28" s="517">
        <f t="shared" si="118"/>
        <v>0</v>
      </c>
      <c r="AA28" s="515"/>
      <c r="AB28" s="516">
        <f t="shared" si="7"/>
        <v>0</v>
      </c>
      <c r="AC28" s="517">
        <f t="shared" si="119"/>
        <v>0</v>
      </c>
      <c r="AD28" s="515"/>
      <c r="AE28" s="516">
        <f t="shared" si="8"/>
        <v>0</v>
      </c>
      <c r="AF28" s="517">
        <f t="shared" si="120"/>
        <v>0</v>
      </c>
      <c r="AG28" s="515"/>
      <c r="AH28" s="516">
        <f t="shared" si="9"/>
        <v>0</v>
      </c>
      <c r="AI28" s="517">
        <f t="shared" si="121"/>
        <v>0</v>
      </c>
      <c r="AJ28" s="515"/>
      <c r="AK28" s="516">
        <f t="shared" si="10"/>
        <v>0</v>
      </c>
      <c r="AL28" s="517">
        <f t="shared" si="122"/>
        <v>0</v>
      </c>
      <c r="AM28" s="515"/>
      <c r="AN28" s="516">
        <f t="shared" si="11"/>
        <v>0</v>
      </c>
      <c r="AO28" s="517">
        <f t="shared" si="123"/>
        <v>0</v>
      </c>
      <c r="AP28" s="515">
        <v>37.749599999999987</v>
      </c>
      <c r="AQ28" s="516">
        <f t="shared" si="12"/>
        <v>0.84966125728690689</v>
      </c>
      <c r="AR28" s="517">
        <f t="shared" si="124"/>
        <v>0</v>
      </c>
      <c r="AS28" s="515"/>
      <c r="AT28" s="516">
        <f t="shared" si="13"/>
        <v>0</v>
      </c>
      <c r="AU28" s="517">
        <f t="shared" si="125"/>
        <v>0</v>
      </c>
      <c r="AV28" s="515"/>
      <c r="AW28" s="516">
        <f t="shared" si="14"/>
        <v>0</v>
      </c>
      <c r="AX28" s="517">
        <f t="shared" si="126"/>
        <v>0</v>
      </c>
      <c r="AY28" s="515">
        <v>45.815999999999974</v>
      </c>
      <c r="AZ28" s="516">
        <f t="shared" si="15"/>
        <v>1.03121834837606</v>
      </c>
      <c r="BA28" s="517">
        <f t="shared" si="127"/>
        <v>0</v>
      </c>
      <c r="BB28" s="515"/>
      <c r="BC28" s="516">
        <f t="shared" si="16"/>
        <v>0</v>
      </c>
      <c r="BD28" s="517">
        <f t="shared" si="128"/>
        <v>0</v>
      </c>
      <c r="BE28" s="515"/>
      <c r="BF28" s="516">
        <f t="shared" si="17"/>
        <v>0</v>
      </c>
      <c r="BG28" s="517">
        <f t="shared" si="129"/>
        <v>0</v>
      </c>
      <c r="BH28" s="515"/>
      <c r="BI28" s="516">
        <f t="shared" si="18"/>
        <v>0</v>
      </c>
      <c r="BJ28" s="517">
        <f t="shared" si="130"/>
        <v>0</v>
      </c>
      <c r="BK28" s="515"/>
      <c r="BL28" s="516">
        <f t="shared" si="19"/>
        <v>0</v>
      </c>
      <c r="BM28" s="517">
        <f t="shared" si="131"/>
        <v>0</v>
      </c>
      <c r="BN28" s="515"/>
      <c r="BO28" s="516">
        <f t="shared" si="20"/>
        <v>0</v>
      </c>
      <c r="BP28" s="517">
        <f t="shared" si="132"/>
        <v>0</v>
      </c>
      <c r="BQ28" s="515"/>
      <c r="BR28" s="516">
        <f t="shared" si="21"/>
        <v>0</v>
      </c>
      <c r="BS28" s="517">
        <f t="shared" si="133"/>
        <v>0</v>
      </c>
      <c r="BT28" s="515"/>
      <c r="BU28" s="516">
        <f t="shared" si="22"/>
        <v>0</v>
      </c>
      <c r="BV28" s="517">
        <f t="shared" si="134"/>
        <v>0</v>
      </c>
      <c r="BW28" s="515"/>
      <c r="BX28" s="516">
        <f t="shared" si="23"/>
        <v>0</v>
      </c>
      <c r="BY28" s="517">
        <f t="shared" si="135"/>
        <v>0</v>
      </c>
      <c r="BZ28" s="515"/>
      <c r="CA28" s="516">
        <f t="shared" si="24"/>
        <v>0</v>
      </c>
      <c r="CB28" s="517">
        <f t="shared" si="136"/>
        <v>0</v>
      </c>
      <c r="CC28" s="515"/>
      <c r="CD28" s="516">
        <f t="shared" si="25"/>
        <v>0</v>
      </c>
      <c r="CE28" s="517">
        <f t="shared" si="137"/>
        <v>0</v>
      </c>
      <c r="CF28" s="515">
        <v>1.9</v>
      </c>
      <c r="CG28" s="516">
        <f t="shared" si="26"/>
        <v>4.2764860789124219E-2</v>
      </c>
      <c r="CH28" s="517">
        <f t="shared" si="138"/>
        <v>0</v>
      </c>
      <c r="CI28" s="515"/>
      <c r="CJ28" s="516">
        <f t="shared" si="27"/>
        <v>0</v>
      </c>
      <c r="CK28" s="517">
        <f t="shared" si="139"/>
        <v>0</v>
      </c>
      <c r="CL28" s="515"/>
      <c r="CM28" s="516">
        <f t="shared" si="28"/>
        <v>0</v>
      </c>
      <c r="CN28" s="517">
        <f t="shared" si="140"/>
        <v>0</v>
      </c>
      <c r="CO28" s="515"/>
      <c r="CP28" s="516">
        <f t="shared" si="29"/>
        <v>0</v>
      </c>
      <c r="CQ28" s="517">
        <f t="shared" si="141"/>
        <v>0</v>
      </c>
      <c r="CR28" s="515"/>
      <c r="CS28" s="516">
        <f t="shared" si="30"/>
        <v>0</v>
      </c>
      <c r="CT28" s="517">
        <f t="shared" si="142"/>
        <v>0</v>
      </c>
      <c r="CU28" s="515"/>
      <c r="CV28" s="516">
        <f t="shared" si="31"/>
        <v>0</v>
      </c>
      <c r="CW28" s="517">
        <f t="shared" si="143"/>
        <v>0</v>
      </c>
      <c r="CX28" s="515"/>
      <c r="CY28" s="516">
        <f t="shared" si="32"/>
        <v>0</v>
      </c>
      <c r="CZ28" s="517">
        <f t="shared" si="144"/>
        <v>0</v>
      </c>
      <c r="DA28" s="515">
        <v>101.74418604651169</v>
      </c>
      <c r="DB28" s="516">
        <f t="shared" si="33"/>
        <v>2.2900399749378035</v>
      </c>
      <c r="DC28" s="517">
        <f t="shared" si="145"/>
        <v>0</v>
      </c>
      <c r="DD28" s="515"/>
      <c r="DE28" s="516">
        <f t="shared" si="34"/>
        <v>0</v>
      </c>
      <c r="DF28" s="517">
        <f t="shared" si="146"/>
        <v>0</v>
      </c>
      <c r="DG28" s="515"/>
      <c r="DH28" s="516">
        <f t="shared" si="35"/>
        <v>0</v>
      </c>
      <c r="DI28" s="517">
        <f t="shared" si="203"/>
        <v>0</v>
      </c>
      <c r="DJ28" s="515"/>
      <c r="DK28" s="516">
        <f t="shared" si="36"/>
        <v>0</v>
      </c>
      <c r="DL28" s="517">
        <f t="shared" si="147"/>
        <v>0</v>
      </c>
      <c r="DM28" s="515"/>
      <c r="DN28" s="516">
        <f t="shared" si="37"/>
        <v>0</v>
      </c>
      <c r="DO28" s="517">
        <f t="shared" si="148"/>
        <v>0</v>
      </c>
      <c r="DP28" s="515"/>
      <c r="DQ28" s="516">
        <f t="shared" si="38"/>
        <v>0</v>
      </c>
      <c r="DR28" s="517">
        <f t="shared" si="149"/>
        <v>0</v>
      </c>
      <c r="DS28" s="515"/>
      <c r="DT28" s="516">
        <f t="shared" si="39"/>
        <v>0</v>
      </c>
      <c r="DU28" s="517">
        <f t="shared" si="150"/>
        <v>0</v>
      </c>
      <c r="DV28" s="515"/>
      <c r="DW28" s="516">
        <f t="shared" si="40"/>
        <v>0</v>
      </c>
      <c r="DX28" s="517">
        <f t="shared" si="151"/>
        <v>0</v>
      </c>
      <c r="DY28" s="515"/>
      <c r="DZ28" s="516">
        <f t="shared" si="41"/>
        <v>0</v>
      </c>
      <c r="EA28" s="517">
        <f t="shared" si="152"/>
        <v>0</v>
      </c>
      <c r="EB28" s="515"/>
      <c r="EC28" s="516">
        <f t="shared" si="42"/>
        <v>0</v>
      </c>
      <c r="ED28" s="517">
        <f t="shared" si="153"/>
        <v>0</v>
      </c>
      <c r="EE28" s="515">
        <v>10.901162790697668</v>
      </c>
      <c r="EF28" s="516">
        <f t="shared" si="43"/>
        <v>0.24536142588619297</v>
      </c>
      <c r="EG28" s="517">
        <f t="shared" si="154"/>
        <v>0</v>
      </c>
      <c r="EH28" s="515">
        <v>25.930000000000007</v>
      </c>
      <c r="EI28" s="516">
        <f t="shared" si="44"/>
        <v>0.58362781066420599</v>
      </c>
      <c r="EJ28" s="517">
        <f t="shared" si="155"/>
        <v>0</v>
      </c>
      <c r="EK28" s="515">
        <v>3.3</v>
      </c>
      <c r="EL28" s="516">
        <f t="shared" si="45"/>
        <v>7.4275810844268375E-2</v>
      </c>
      <c r="EM28" s="517">
        <f t="shared" si="156"/>
        <v>0</v>
      </c>
      <c r="EN28" s="515"/>
      <c r="EO28" s="516">
        <f t="shared" si="46"/>
        <v>0</v>
      </c>
      <c r="EP28" s="517">
        <f t="shared" si="157"/>
        <v>0</v>
      </c>
      <c r="EQ28" s="515"/>
      <c r="ER28" s="516">
        <f t="shared" si="47"/>
        <v>0</v>
      </c>
      <c r="ES28" s="517">
        <f t="shared" si="158"/>
        <v>0</v>
      </c>
      <c r="ET28" s="515"/>
      <c r="EU28" s="516">
        <f t="shared" si="48"/>
        <v>0</v>
      </c>
      <c r="EV28" s="517">
        <f t="shared" si="159"/>
        <v>0</v>
      </c>
      <c r="EW28" s="515"/>
      <c r="EX28" s="516">
        <f t="shared" si="49"/>
        <v>0</v>
      </c>
      <c r="EY28" s="517">
        <f t="shared" si="160"/>
        <v>0</v>
      </c>
      <c r="EZ28" s="515"/>
      <c r="FA28" s="516">
        <f t="shared" si="50"/>
        <v>0</v>
      </c>
      <c r="FB28" s="517">
        <f t="shared" si="161"/>
        <v>0</v>
      </c>
      <c r="FC28" s="515"/>
      <c r="FD28" s="516">
        <f t="shared" si="51"/>
        <v>0</v>
      </c>
      <c r="FE28" s="517">
        <f t="shared" si="162"/>
        <v>0</v>
      </c>
      <c r="FF28" s="515"/>
      <c r="FG28" s="516">
        <f t="shared" si="52"/>
        <v>0</v>
      </c>
      <c r="FH28" s="517">
        <f t="shared" si="163"/>
        <v>0</v>
      </c>
      <c r="FI28" s="515"/>
      <c r="FJ28" s="516">
        <f t="shared" si="53"/>
        <v>0</v>
      </c>
      <c r="FK28" s="517">
        <f t="shared" si="164"/>
        <v>0</v>
      </c>
      <c r="FL28" s="515"/>
      <c r="FM28" s="516">
        <f t="shared" si="54"/>
        <v>0</v>
      </c>
      <c r="FN28" s="517">
        <f t="shared" si="165"/>
        <v>0</v>
      </c>
      <c r="FO28" s="515"/>
      <c r="FP28" s="516">
        <f t="shared" si="55"/>
        <v>0</v>
      </c>
      <c r="FQ28" s="517">
        <f t="shared" si="166"/>
        <v>0</v>
      </c>
      <c r="FR28" s="515"/>
      <c r="FS28" s="516">
        <f t="shared" si="56"/>
        <v>0</v>
      </c>
      <c r="FT28" s="517">
        <f t="shared" si="167"/>
        <v>0</v>
      </c>
      <c r="FU28" s="515"/>
      <c r="FV28" s="516">
        <f t="shared" si="57"/>
        <v>0</v>
      </c>
      <c r="FW28" s="517">
        <f t="shared" si="168"/>
        <v>0</v>
      </c>
      <c r="FX28" s="515"/>
      <c r="FY28" s="516">
        <f t="shared" si="58"/>
        <v>0</v>
      </c>
      <c r="FZ28" s="517">
        <f t="shared" si="169"/>
        <v>0</v>
      </c>
      <c r="GA28" s="515"/>
      <c r="GB28" s="516">
        <f t="shared" si="59"/>
        <v>0</v>
      </c>
      <c r="GC28" s="517">
        <f t="shared" si="170"/>
        <v>0</v>
      </c>
      <c r="GD28" s="515"/>
      <c r="GE28" s="516">
        <f t="shared" si="60"/>
        <v>0</v>
      </c>
      <c r="GF28" s="517">
        <f t="shared" si="171"/>
        <v>0</v>
      </c>
      <c r="GG28" s="515"/>
      <c r="GH28" s="516">
        <f t="shared" si="61"/>
        <v>0</v>
      </c>
      <c r="GI28" s="517">
        <f t="shared" si="172"/>
        <v>0</v>
      </c>
      <c r="GJ28" s="515"/>
      <c r="GK28" s="516">
        <f t="shared" si="62"/>
        <v>0</v>
      </c>
      <c r="GL28" s="517">
        <f t="shared" si="173"/>
        <v>0</v>
      </c>
      <c r="GM28" s="515"/>
      <c r="GN28" s="516">
        <f t="shared" si="63"/>
        <v>0</v>
      </c>
      <c r="GO28" s="517">
        <f t="shared" si="174"/>
        <v>0</v>
      </c>
      <c r="GP28" s="515"/>
      <c r="GQ28" s="516">
        <f t="shared" si="64"/>
        <v>0</v>
      </c>
      <c r="GR28" s="517">
        <f t="shared" si="175"/>
        <v>0</v>
      </c>
      <c r="GS28" s="515"/>
      <c r="GT28" s="516">
        <f t="shared" si="65"/>
        <v>0</v>
      </c>
      <c r="GU28" s="517">
        <f t="shared" si="176"/>
        <v>0</v>
      </c>
      <c r="GV28" s="515"/>
      <c r="GW28" s="516">
        <f t="shared" si="66"/>
        <v>0</v>
      </c>
      <c r="GX28" s="517">
        <f t="shared" si="177"/>
        <v>0</v>
      </c>
      <c r="GY28" s="515"/>
      <c r="GZ28" s="516">
        <f t="shared" si="67"/>
        <v>0</v>
      </c>
      <c r="HA28" s="517">
        <f t="shared" si="178"/>
        <v>0</v>
      </c>
      <c r="HB28" s="515"/>
      <c r="HC28" s="516">
        <f t="shared" si="68"/>
        <v>0</v>
      </c>
      <c r="HD28" s="517">
        <f t="shared" si="179"/>
        <v>0</v>
      </c>
      <c r="HE28" s="515"/>
      <c r="HF28" s="516">
        <f t="shared" si="69"/>
        <v>0</v>
      </c>
      <c r="HG28" s="517">
        <f t="shared" si="180"/>
        <v>0</v>
      </c>
      <c r="HH28" s="515"/>
      <c r="HI28" s="516">
        <f t="shared" si="70"/>
        <v>0</v>
      </c>
      <c r="HJ28" s="517">
        <f t="shared" si="181"/>
        <v>0</v>
      </c>
      <c r="HK28" s="515"/>
      <c r="HL28" s="516">
        <f t="shared" si="71"/>
        <v>0</v>
      </c>
      <c r="HM28" s="517">
        <f t="shared" si="182"/>
        <v>0</v>
      </c>
      <c r="HN28" s="515"/>
      <c r="HO28" s="516">
        <f t="shared" si="72"/>
        <v>0</v>
      </c>
      <c r="HP28" s="517">
        <f t="shared" si="183"/>
        <v>0</v>
      </c>
      <c r="HQ28" s="515"/>
      <c r="HR28" s="516">
        <f t="shared" si="73"/>
        <v>0</v>
      </c>
      <c r="HS28" s="517">
        <f t="shared" si="184"/>
        <v>0</v>
      </c>
      <c r="HT28" s="515"/>
      <c r="HU28" s="516">
        <f t="shared" si="74"/>
        <v>0</v>
      </c>
      <c r="HV28" s="517">
        <f t="shared" si="185"/>
        <v>0</v>
      </c>
      <c r="HW28" s="515"/>
      <c r="HX28" s="516">
        <f t="shared" si="75"/>
        <v>0</v>
      </c>
      <c r="HY28" s="517">
        <f t="shared" si="186"/>
        <v>0</v>
      </c>
      <c r="HZ28" s="515"/>
      <c r="IA28" s="516">
        <f t="shared" si="76"/>
        <v>0</v>
      </c>
      <c r="IB28" s="517">
        <f t="shared" si="187"/>
        <v>0</v>
      </c>
      <c r="IC28" s="515"/>
      <c r="ID28" s="516">
        <f t="shared" si="77"/>
        <v>0</v>
      </c>
      <c r="IE28" s="517">
        <f t="shared" si="188"/>
        <v>0</v>
      </c>
      <c r="IF28" s="515"/>
      <c r="IG28" s="516">
        <f t="shared" si="78"/>
        <v>0</v>
      </c>
      <c r="IH28" s="517">
        <f t="shared" si="189"/>
        <v>0</v>
      </c>
      <c r="II28" s="515"/>
      <c r="IJ28" s="516">
        <f t="shared" si="79"/>
        <v>0</v>
      </c>
      <c r="IK28" s="517">
        <f t="shared" si="190"/>
        <v>0</v>
      </c>
      <c r="IL28" s="515"/>
      <c r="IM28" s="516">
        <f t="shared" si="80"/>
        <v>0</v>
      </c>
      <c r="IN28" s="517">
        <f t="shared" si="191"/>
        <v>0</v>
      </c>
      <c r="IO28" s="515"/>
      <c r="IP28" s="516">
        <f t="shared" si="81"/>
        <v>0</v>
      </c>
      <c r="IQ28" s="517">
        <f t="shared" si="192"/>
        <v>0</v>
      </c>
      <c r="IR28" s="515"/>
      <c r="IS28" s="516">
        <f t="shared" si="82"/>
        <v>0</v>
      </c>
      <c r="IT28" s="517">
        <f t="shared" si="193"/>
        <v>0</v>
      </c>
      <c r="IU28" s="515"/>
      <c r="IV28" s="516">
        <f t="shared" si="83"/>
        <v>0</v>
      </c>
      <c r="IW28" s="517">
        <f t="shared" si="194"/>
        <v>0</v>
      </c>
      <c r="IX28" s="515"/>
      <c r="IY28" s="516">
        <f t="shared" si="84"/>
        <v>0</v>
      </c>
      <c r="IZ28" s="517">
        <f t="shared" si="195"/>
        <v>0</v>
      </c>
      <c r="JA28" s="515"/>
      <c r="JB28" s="516">
        <f t="shared" si="85"/>
        <v>0</v>
      </c>
      <c r="JC28" s="517">
        <f t="shared" si="196"/>
        <v>0</v>
      </c>
      <c r="JD28" s="515"/>
      <c r="JE28" s="516">
        <f t="shared" si="86"/>
        <v>0</v>
      </c>
      <c r="JF28" s="517">
        <f t="shared" si="197"/>
        <v>0</v>
      </c>
      <c r="JG28" s="515"/>
      <c r="JH28" s="516">
        <f t="shared" si="87"/>
        <v>0</v>
      </c>
      <c r="JI28" s="517">
        <f t="shared" si="198"/>
        <v>0</v>
      </c>
      <c r="JJ28" s="515"/>
      <c r="JK28" s="517" t="str">
        <f t="shared" si="88"/>
        <v>0</v>
      </c>
      <c r="JL28" s="517" t="str">
        <f t="shared" si="89"/>
        <v>0</v>
      </c>
      <c r="JM28" s="515"/>
      <c r="JN28" s="517" t="str">
        <f t="shared" si="90"/>
        <v>0</v>
      </c>
      <c r="JO28" s="517" t="str">
        <f t="shared" si="91"/>
        <v>0</v>
      </c>
      <c r="JP28" s="515"/>
      <c r="JQ28" s="517" t="str">
        <f t="shared" si="92"/>
        <v>0</v>
      </c>
      <c r="JR28" s="517" t="str">
        <f t="shared" si="93"/>
        <v>0</v>
      </c>
      <c r="JS28" s="515"/>
      <c r="JT28" s="517" t="str">
        <f t="shared" si="94"/>
        <v>0</v>
      </c>
      <c r="JU28" s="517" t="str">
        <f t="shared" si="95"/>
        <v>0</v>
      </c>
      <c r="JV28" s="515"/>
      <c r="JW28" s="517" t="str">
        <f t="shared" si="96"/>
        <v>0</v>
      </c>
      <c r="JX28" s="517" t="str">
        <f t="shared" si="97"/>
        <v>0</v>
      </c>
      <c r="JY28" s="515"/>
      <c r="JZ28" s="517" t="str">
        <f t="shared" si="98"/>
        <v>0</v>
      </c>
      <c r="KA28" s="517" t="str">
        <f t="shared" si="99"/>
        <v>0</v>
      </c>
      <c r="KB28" s="515"/>
      <c r="KC28" s="517" t="str">
        <f t="shared" si="100"/>
        <v>0</v>
      </c>
      <c r="KD28" s="517" t="str">
        <f t="shared" si="101"/>
        <v>0</v>
      </c>
      <c r="KE28" s="515"/>
      <c r="KF28" s="517" t="str">
        <f t="shared" si="102"/>
        <v>0</v>
      </c>
      <c r="KG28" s="517" t="str">
        <f t="shared" si="103"/>
        <v>0</v>
      </c>
      <c r="KH28" s="515"/>
      <c r="KI28" s="517" t="str">
        <f t="shared" si="104"/>
        <v>0</v>
      </c>
      <c r="KJ28" s="517" t="str">
        <f t="shared" si="105"/>
        <v>0</v>
      </c>
      <c r="KK28" s="515"/>
      <c r="KL28" s="517" t="str">
        <f t="shared" si="106"/>
        <v>0</v>
      </c>
      <c r="KM28" s="517" t="str">
        <f t="shared" si="107"/>
        <v>0</v>
      </c>
      <c r="KN28" s="515"/>
      <c r="KO28" s="517" t="str">
        <f t="shared" si="108"/>
        <v>0</v>
      </c>
      <c r="KP28" s="517" t="str">
        <f t="shared" si="109"/>
        <v>0</v>
      </c>
      <c r="KQ28" s="515"/>
      <c r="KR28" s="517" t="str">
        <f t="shared" si="110"/>
        <v>0</v>
      </c>
      <c r="KS28" s="517" t="str">
        <f t="shared" si="111"/>
        <v>0</v>
      </c>
      <c r="KT28" s="517">
        <f t="shared" si="201"/>
        <v>0</v>
      </c>
      <c r="KU28" s="517">
        <f t="shared" si="202"/>
        <v>0</v>
      </c>
      <c r="KV28" s="263">
        <f t="shared" si="199"/>
        <v>242.66854883720933</v>
      </c>
    </row>
    <row r="29" spans="1:308">
      <c r="A29" s="264">
        <f t="shared" si="200"/>
        <v>45859</v>
      </c>
      <c r="B29" s="265" t="str">
        <f>+Report1!B29</f>
        <v>Toilet/Facial</v>
      </c>
      <c r="C29" s="265" t="str">
        <f>+Report1!C29</f>
        <v>12,5/11,5</v>
      </c>
      <c r="D29" s="266">
        <f>+Report1!P29</f>
        <v>40.161000000000001</v>
      </c>
      <c r="E29" s="553">
        <f>+Report1!R29</f>
        <v>38.055999999999997</v>
      </c>
      <c r="F29" s="515"/>
      <c r="G29" s="516">
        <f t="shared" si="0"/>
        <v>0</v>
      </c>
      <c r="H29" s="517">
        <f t="shared" si="112"/>
        <v>0</v>
      </c>
      <c r="I29" s="515">
        <v>244.18604651162798</v>
      </c>
      <c r="J29" s="516">
        <f t="shared" si="1"/>
        <v>6.4164927084199075</v>
      </c>
      <c r="K29" s="517">
        <f t="shared" si="113"/>
        <v>0</v>
      </c>
      <c r="L29" s="515"/>
      <c r="M29" s="516">
        <f t="shared" si="2"/>
        <v>0</v>
      </c>
      <c r="N29" s="517">
        <f t="shared" si="114"/>
        <v>0</v>
      </c>
      <c r="O29" s="515">
        <v>6.0019999999999953</v>
      </c>
      <c r="P29" s="516">
        <f t="shared" si="3"/>
        <v>0.15771494639478653</v>
      </c>
      <c r="Q29" s="517">
        <f t="shared" si="115"/>
        <v>0</v>
      </c>
      <c r="R29" s="515"/>
      <c r="S29" s="516">
        <f t="shared" si="4"/>
        <v>0</v>
      </c>
      <c r="T29" s="517">
        <f t="shared" si="116"/>
        <v>0</v>
      </c>
      <c r="U29" s="515">
        <v>8.9649500000000444</v>
      </c>
      <c r="V29" s="516">
        <f t="shared" si="5"/>
        <v>0.2355725772545734</v>
      </c>
      <c r="W29" s="517">
        <f t="shared" si="117"/>
        <v>0</v>
      </c>
      <c r="X29" s="515"/>
      <c r="Y29" s="516">
        <f t="shared" si="6"/>
        <v>0</v>
      </c>
      <c r="Z29" s="517">
        <f t="shared" si="118"/>
        <v>0</v>
      </c>
      <c r="AA29" s="515"/>
      <c r="AB29" s="516">
        <f t="shared" si="7"/>
        <v>0</v>
      </c>
      <c r="AC29" s="517">
        <f t="shared" si="119"/>
        <v>0</v>
      </c>
      <c r="AD29" s="515"/>
      <c r="AE29" s="516">
        <f t="shared" si="8"/>
        <v>0</v>
      </c>
      <c r="AF29" s="517">
        <f t="shared" si="120"/>
        <v>0</v>
      </c>
      <c r="AG29" s="515"/>
      <c r="AH29" s="516">
        <f t="shared" si="9"/>
        <v>0</v>
      </c>
      <c r="AI29" s="517">
        <f t="shared" si="121"/>
        <v>0</v>
      </c>
      <c r="AJ29" s="515"/>
      <c r="AK29" s="516">
        <f t="shared" si="10"/>
        <v>0</v>
      </c>
      <c r="AL29" s="517">
        <f t="shared" si="122"/>
        <v>0</v>
      </c>
      <c r="AM29" s="515"/>
      <c r="AN29" s="516">
        <f t="shared" si="11"/>
        <v>0</v>
      </c>
      <c r="AO29" s="517">
        <f t="shared" si="123"/>
        <v>0</v>
      </c>
      <c r="AP29" s="515">
        <v>39.870187341772208</v>
      </c>
      <c r="AQ29" s="516">
        <f t="shared" si="12"/>
        <v>1.0476715193864887</v>
      </c>
      <c r="AR29" s="517">
        <f t="shared" si="124"/>
        <v>0</v>
      </c>
      <c r="AS29" s="515"/>
      <c r="AT29" s="516">
        <f t="shared" si="13"/>
        <v>0</v>
      </c>
      <c r="AU29" s="517">
        <f t="shared" si="125"/>
        <v>0</v>
      </c>
      <c r="AV29" s="515"/>
      <c r="AW29" s="516">
        <f t="shared" si="14"/>
        <v>0</v>
      </c>
      <c r="AX29" s="517">
        <f t="shared" si="126"/>
        <v>0</v>
      </c>
      <c r="AY29" s="515">
        <v>53.663199999999961</v>
      </c>
      <c r="AZ29" s="516">
        <f t="shared" si="15"/>
        <v>1.4101114147571989</v>
      </c>
      <c r="BA29" s="517">
        <f t="shared" si="127"/>
        <v>0</v>
      </c>
      <c r="BB29" s="515"/>
      <c r="BC29" s="516">
        <f t="shared" si="16"/>
        <v>0</v>
      </c>
      <c r="BD29" s="517">
        <f t="shared" si="128"/>
        <v>0</v>
      </c>
      <c r="BE29" s="515"/>
      <c r="BF29" s="516">
        <f t="shared" si="17"/>
        <v>0</v>
      </c>
      <c r="BG29" s="517">
        <f t="shared" si="129"/>
        <v>0</v>
      </c>
      <c r="BH29" s="515"/>
      <c r="BI29" s="516">
        <f t="shared" si="18"/>
        <v>0</v>
      </c>
      <c r="BJ29" s="517">
        <f t="shared" si="130"/>
        <v>0</v>
      </c>
      <c r="BK29" s="515"/>
      <c r="BL29" s="516">
        <f t="shared" si="19"/>
        <v>0</v>
      </c>
      <c r="BM29" s="517">
        <f t="shared" si="131"/>
        <v>0</v>
      </c>
      <c r="BN29" s="515"/>
      <c r="BO29" s="516">
        <f t="shared" si="20"/>
        <v>0</v>
      </c>
      <c r="BP29" s="517">
        <f t="shared" si="132"/>
        <v>0</v>
      </c>
      <c r="BQ29" s="515"/>
      <c r="BR29" s="516">
        <f t="shared" si="21"/>
        <v>0</v>
      </c>
      <c r="BS29" s="517">
        <f t="shared" si="133"/>
        <v>0</v>
      </c>
      <c r="BT29" s="515"/>
      <c r="BU29" s="516">
        <f t="shared" si="22"/>
        <v>0</v>
      </c>
      <c r="BV29" s="517">
        <f t="shared" si="134"/>
        <v>0</v>
      </c>
      <c r="BW29" s="515"/>
      <c r="BX29" s="516">
        <f t="shared" si="23"/>
        <v>0</v>
      </c>
      <c r="BY29" s="517">
        <f t="shared" si="135"/>
        <v>0</v>
      </c>
      <c r="BZ29" s="515"/>
      <c r="CA29" s="516">
        <f t="shared" si="24"/>
        <v>0</v>
      </c>
      <c r="CB29" s="517">
        <f t="shared" si="136"/>
        <v>0</v>
      </c>
      <c r="CC29" s="515"/>
      <c r="CD29" s="516">
        <f t="shared" si="25"/>
        <v>0</v>
      </c>
      <c r="CE29" s="517">
        <f t="shared" si="137"/>
        <v>0</v>
      </c>
      <c r="CF29" s="515">
        <v>0.79999999999999716</v>
      </c>
      <c r="CG29" s="516">
        <f t="shared" si="26"/>
        <v>2.1021652301870853E-2</v>
      </c>
      <c r="CH29" s="517">
        <f t="shared" si="138"/>
        <v>0</v>
      </c>
      <c r="CI29" s="515"/>
      <c r="CJ29" s="516">
        <f t="shared" si="27"/>
        <v>0</v>
      </c>
      <c r="CK29" s="517">
        <f t="shared" si="139"/>
        <v>0</v>
      </c>
      <c r="CL29" s="515"/>
      <c r="CM29" s="516">
        <f t="shared" si="28"/>
        <v>0</v>
      </c>
      <c r="CN29" s="517">
        <f t="shared" si="140"/>
        <v>0</v>
      </c>
      <c r="CO29" s="515"/>
      <c r="CP29" s="516">
        <f t="shared" si="29"/>
        <v>0</v>
      </c>
      <c r="CQ29" s="517">
        <f t="shared" si="141"/>
        <v>0</v>
      </c>
      <c r="CR29" s="515"/>
      <c r="CS29" s="516">
        <f t="shared" si="30"/>
        <v>0</v>
      </c>
      <c r="CT29" s="517">
        <f t="shared" si="142"/>
        <v>0</v>
      </c>
      <c r="CU29" s="515"/>
      <c r="CV29" s="516">
        <f t="shared" si="31"/>
        <v>0</v>
      </c>
      <c r="CW29" s="517">
        <f t="shared" si="143"/>
        <v>0</v>
      </c>
      <c r="CX29" s="515"/>
      <c r="CY29" s="516">
        <f t="shared" si="32"/>
        <v>0</v>
      </c>
      <c r="CZ29" s="517">
        <f t="shared" si="144"/>
        <v>0</v>
      </c>
      <c r="DA29" s="515">
        <v>29.069767441860392</v>
      </c>
      <c r="DB29" s="516">
        <f t="shared" si="33"/>
        <v>0.76386817957379638</v>
      </c>
      <c r="DC29" s="517">
        <f t="shared" si="145"/>
        <v>0</v>
      </c>
      <c r="DD29" s="515"/>
      <c r="DE29" s="516">
        <f t="shared" si="34"/>
        <v>0</v>
      </c>
      <c r="DF29" s="517">
        <f t="shared" si="146"/>
        <v>0</v>
      </c>
      <c r="DG29" s="515"/>
      <c r="DH29" s="516">
        <f t="shared" si="35"/>
        <v>0</v>
      </c>
      <c r="DI29" s="517">
        <f t="shared" si="203"/>
        <v>0</v>
      </c>
      <c r="DJ29" s="515"/>
      <c r="DK29" s="516">
        <f t="shared" si="36"/>
        <v>0</v>
      </c>
      <c r="DL29" s="517">
        <f t="shared" si="147"/>
        <v>0</v>
      </c>
      <c r="DM29" s="515"/>
      <c r="DN29" s="516">
        <f t="shared" si="37"/>
        <v>0</v>
      </c>
      <c r="DO29" s="517">
        <f t="shared" si="148"/>
        <v>0</v>
      </c>
      <c r="DP29" s="515"/>
      <c r="DQ29" s="516">
        <f t="shared" si="38"/>
        <v>0</v>
      </c>
      <c r="DR29" s="517">
        <f t="shared" si="149"/>
        <v>0</v>
      </c>
      <c r="DS29" s="515"/>
      <c r="DT29" s="516">
        <f t="shared" si="39"/>
        <v>0</v>
      </c>
      <c r="DU29" s="517">
        <f t="shared" si="150"/>
        <v>0</v>
      </c>
      <c r="DV29" s="515"/>
      <c r="DW29" s="516">
        <f t="shared" si="40"/>
        <v>0</v>
      </c>
      <c r="DX29" s="517">
        <f t="shared" si="151"/>
        <v>0</v>
      </c>
      <c r="DY29" s="515"/>
      <c r="DZ29" s="516">
        <f t="shared" si="41"/>
        <v>0</v>
      </c>
      <c r="EA29" s="517">
        <f t="shared" si="152"/>
        <v>0</v>
      </c>
      <c r="EB29" s="515"/>
      <c r="EC29" s="516">
        <f t="shared" si="42"/>
        <v>0</v>
      </c>
      <c r="ED29" s="517">
        <f t="shared" si="153"/>
        <v>0</v>
      </c>
      <c r="EE29" s="515">
        <v>10.901162790697697</v>
      </c>
      <c r="EF29" s="516">
        <f t="shared" si="43"/>
        <v>0.28645056734017493</v>
      </c>
      <c r="EG29" s="517">
        <f t="shared" si="154"/>
        <v>0</v>
      </c>
      <c r="EH29" s="515">
        <v>17.61411764705889</v>
      </c>
      <c r="EI29" s="516">
        <f t="shared" si="44"/>
        <v>0.46284732097590109</v>
      </c>
      <c r="EJ29" s="517">
        <f t="shared" si="155"/>
        <v>0</v>
      </c>
      <c r="EK29" s="515">
        <v>3.1999999999999993</v>
      </c>
      <c r="EL29" s="516">
        <f t="shared" si="45"/>
        <v>8.408660920748369E-2</v>
      </c>
      <c r="EM29" s="517">
        <f t="shared" si="156"/>
        <v>0</v>
      </c>
      <c r="EN29" s="515"/>
      <c r="EO29" s="516">
        <f t="shared" si="46"/>
        <v>0</v>
      </c>
      <c r="EP29" s="517">
        <f t="shared" si="157"/>
        <v>0</v>
      </c>
      <c r="EQ29" s="515"/>
      <c r="ER29" s="516">
        <f t="shared" si="47"/>
        <v>0</v>
      </c>
      <c r="ES29" s="517">
        <f t="shared" si="158"/>
        <v>0</v>
      </c>
      <c r="ET29" s="515"/>
      <c r="EU29" s="516">
        <f t="shared" si="48"/>
        <v>0</v>
      </c>
      <c r="EV29" s="517">
        <f t="shared" si="159"/>
        <v>0</v>
      </c>
      <c r="EW29" s="515"/>
      <c r="EX29" s="516">
        <f t="shared" si="49"/>
        <v>0</v>
      </c>
      <c r="EY29" s="517">
        <f t="shared" si="160"/>
        <v>0</v>
      </c>
      <c r="EZ29" s="515"/>
      <c r="FA29" s="516">
        <f t="shared" si="50"/>
        <v>0</v>
      </c>
      <c r="FB29" s="517">
        <f t="shared" si="161"/>
        <v>0</v>
      </c>
      <c r="FC29" s="515"/>
      <c r="FD29" s="516">
        <f t="shared" si="51"/>
        <v>0</v>
      </c>
      <c r="FE29" s="517">
        <f t="shared" si="162"/>
        <v>0</v>
      </c>
      <c r="FF29" s="515"/>
      <c r="FG29" s="516">
        <f t="shared" si="52"/>
        <v>0</v>
      </c>
      <c r="FH29" s="517">
        <f t="shared" si="163"/>
        <v>0</v>
      </c>
      <c r="FI29" s="515"/>
      <c r="FJ29" s="516">
        <f t="shared" si="53"/>
        <v>0</v>
      </c>
      <c r="FK29" s="517">
        <f t="shared" si="164"/>
        <v>0</v>
      </c>
      <c r="FL29" s="515"/>
      <c r="FM29" s="516">
        <f t="shared" si="54"/>
        <v>0</v>
      </c>
      <c r="FN29" s="517">
        <f t="shared" si="165"/>
        <v>0</v>
      </c>
      <c r="FO29" s="515"/>
      <c r="FP29" s="516">
        <f t="shared" si="55"/>
        <v>0</v>
      </c>
      <c r="FQ29" s="517">
        <f t="shared" si="166"/>
        <v>0</v>
      </c>
      <c r="FR29" s="515"/>
      <c r="FS29" s="516">
        <f t="shared" si="56"/>
        <v>0</v>
      </c>
      <c r="FT29" s="517">
        <f t="shared" si="167"/>
        <v>0</v>
      </c>
      <c r="FU29" s="515"/>
      <c r="FV29" s="516">
        <f t="shared" si="57"/>
        <v>0</v>
      </c>
      <c r="FW29" s="517">
        <f t="shared" si="168"/>
        <v>0</v>
      </c>
      <c r="FX29" s="515"/>
      <c r="FY29" s="516">
        <f t="shared" si="58"/>
        <v>0</v>
      </c>
      <c r="FZ29" s="517">
        <f t="shared" si="169"/>
        <v>0</v>
      </c>
      <c r="GA29" s="515"/>
      <c r="GB29" s="516">
        <f t="shared" si="59"/>
        <v>0</v>
      </c>
      <c r="GC29" s="517">
        <f t="shared" si="170"/>
        <v>0</v>
      </c>
      <c r="GD29" s="515"/>
      <c r="GE29" s="516">
        <f t="shared" si="60"/>
        <v>0</v>
      </c>
      <c r="GF29" s="517">
        <f t="shared" si="171"/>
        <v>0</v>
      </c>
      <c r="GG29" s="515"/>
      <c r="GH29" s="516">
        <f t="shared" si="61"/>
        <v>0</v>
      </c>
      <c r="GI29" s="517">
        <f t="shared" si="172"/>
        <v>0</v>
      </c>
      <c r="GJ29" s="515"/>
      <c r="GK29" s="516">
        <f t="shared" si="62"/>
        <v>0</v>
      </c>
      <c r="GL29" s="517">
        <f t="shared" si="173"/>
        <v>0</v>
      </c>
      <c r="GM29" s="515"/>
      <c r="GN29" s="516">
        <f t="shared" si="63"/>
        <v>0</v>
      </c>
      <c r="GO29" s="517">
        <f t="shared" si="174"/>
        <v>0</v>
      </c>
      <c r="GP29" s="515"/>
      <c r="GQ29" s="516">
        <f t="shared" si="64"/>
        <v>0</v>
      </c>
      <c r="GR29" s="517">
        <f t="shared" si="175"/>
        <v>0</v>
      </c>
      <c r="GS29" s="515"/>
      <c r="GT29" s="516">
        <f t="shared" si="65"/>
        <v>0</v>
      </c>
      <c r="GU29" s="517">
        <f t="shared" si="176"/>
        <v>0</v>
      </c>
      <c r="GV29" s="515"/>
      <c r="GW29" s="516">
        <f t="shared" si="66"/>
        <v>0</v>
      </c>
      <c r="GX29" s="517">
        <f t="shared" si="177"/>
        <v>0</v>
      </c>
      <c r="GY29" s="515"/>
      <c r="GZ29" s="516">
        <f t="shared" si="67"/>
        <v>0</v>
      </c>
      <c r="HA29" s="517">
        <f t="shared" si="178"/>
        <v>0</v>
      </c>
      <c r="HB29" s="515"/>
      <c r="HC29" s="516">
        <f t="shared" si="68"/>
        <v>0</v>
      </c>
      <c r="HD29" s="517">
        <f t="shared" si="179"/>
        <v>0</v>
      </c>
      <c r="HE29" s="515"/>
      <c r="HF29" s="516">
        <f t="shared" si="69"/>
        <v>0</v>
      </c>
      <c r="HG29" s="517">
        <f t="shared" si="180"/>
        <v>0</v>
      </c>
      <c r="HH29" s="515"/>
      <c r="HI29" s="516">
        <f t="shared" si="70"/>
        <v>0</v>
      </c>
      <c r="HJ29" s="517">
        <f t="shared" si="181"/>
        <v>0</v>
      </c>
      <c r="HK29" s="515"/>
      <c r="HL29" s="516">
        <f t="shared" si="71"/>
        <v>0</v>
      </c>
      <c r="HM29" s="517">
        <f t="shared" si="182"/>
        <v>0</v>
      </c>
      <c r="HN29" s="515"/>
      <c r="HO29" s="516">
        <f t="shared" si="72"/>
        <v>0</v>
      </c>
      <c r="HP29" s="517">
        <f t="shared" si="183"/>
        <v>0</v>
      </c>
      <c r="HQ29" s="515"/>
      <c r="HR29" s="516">
        <f t="shared" si="73"/>
        <v>0</v>
      </c>
      <c r="HS29" s="517">
        <f t="shared" si="184"/>
        <v>0</v>
      </c>
      <c r="HT29" s="515"/>
      <c r="HU29" s="516">
        <f t="shared" si="74"/>
        <v>0</v>
      </c>
      <c r="HV29" s="517">
        <f t="shared" si="185"/>
        <v>0</v>
      </c>
      <c r="HW29" s="515"/>
      <c r="HX29" s="516">
        <f t="shared" si="75"/>
        <v>0</v>
      </c>
      <c r="HY29" s="517">
        <f t="shared" si="186"/>
        <v>0</v>
      </c>
      <c r="HZ29" s="515"/>
      <c r="IA29" s="516">
        <f t="shared" si="76"/>
        <v>0</v>
      </c>
      <c r="IB29" s="517">
        <f t="shared" si="187"/>
        <v>0</v>
      </c>
      <c r="IC29" s="515"/>
      <c r="ID29" s="516">
        <f t="shared" si="77"/>
        <v>0</v>
      </c>
      <c r="IE29" s="517">
        <f t="shared" si="188"/>
        <v>0</v>
      </c>
      <c r="IF29" s="515"/>
      <c r="IG29" s="516">
        <f t="shared" si="78"/>
        <v>0</v>
      </c>
      <c r="IH29" s="517">
        <f t="shared" si="189"/>
        <v>0</v>
      </c>
      <c r="II29" s="515"/>
      <c r="IJ29" s="516">
        <f t="shared" si="79"/>
        <v>0</v>
      </c>
      <c r="IK29" s="517">
        <f t="shared" si="190"/>
        <v>0</v>
      </c>
      <c r="IL29" s="515"/>
      <c r="IM29" s="516">
        <f t="shared" si="80"/>
        <v>0</v>
      </c>
      <c r="IN29" s="517">
        <f t="shared" si="191"/>
        <v>0</v>
      </c>
      <c r="IO29" s="515"/>
      <c r="IP29" s="516">
        <f t="shared" si="81"/>
        <v>0</v>
      </c>
      <c r="IQ29" s="517">
        <f t="shared" si="192"/>
        <v>0</v>
      </c>
      <c r="IR29" s="515"/>
      <c r="IS29" s="516">
        <f t="shared" si="82"/>
        <v>0</v>
      </c>
      <c r="IT29" s="517">
        <f t="shared" si="193"/>
        <v>0</v>
      </c>
      <c r="IU29" s="515"/>
      <c r="IV29" s="516">
        <f t="shared" si="83"/>
        <v>0</v>
      </c>
      <c r="IW29" s="517">
        <f t="shared" si="194"/>
        <v>0</v>
      </c>
      <c r="IX29" s="515"/>
      <c r="IY29" s="516">
        <f t="shared" si="84"/>
        <v>0</v>
      </c>
      <c r="IZ29" s="517">
        <f t="shared" si="195"/>
        <v>0</v>
      </c>
      <c r="JA29" s="515"/>
      <c r="JB29" s="516">
        <f t="shared" si="85"/>
        <v>0</v>
      </c>
      <c r="JC29" s="517">
        <f t="shared" si="196"/>
        <v>0</v>
      </c>
      <c r="JD29" s="515"/>
      <c r="JE29" s="516">
        <f t="shared" si="86"/>
        <v>0</v>
      </c>
      <c r="JF29" s="517">
        <f t="shared" si="197"/>
        <v>0</v>
      </c>
      <c r="JG29" s="515"/>
      <c r="JH29" s="516">
        <f t="shared" si="87"/>
        <v>0</v>
      </c>
      <c r="JI29" s="517">
        <f t="shared" si="198"/>
        <v>0</v>
      </c>
      <c r="JJ29" s="515"/>
      <c r="JK29" s="517" t="str">
        <f t="shared" si="88"/>
        <v>0</v>
      </c>
      <c r="JL29" s="517" t="str">
        <f t="shared" si="89"/>
        <v>0</v>
      </c>
      <c r="JM29" s="515"/>
      <c r="JN29" s="517" t="str">
        <f t="shared" si="90"/>
        <v>0</v>
      </c>
      <c r="JO29" s="517" t="str">
        <f t="shared" si="91"/>
        <v>0</v>
      </c>
      <c r="JP29" s="515"/>
      <c r="JQ29" s="517" t="str">
        <f t="shared" si="92"/>
        <v>0</v>
      </c>
      <c r="JR29" s="517" t="str">
        <f t="shared" si="93"/>
        <v>0</v>
      </c>
      <c r="JS29" s="515"/>
      <c r="JT29" s="517" t="str">
        <f t="shared" si="94"/>
        <v>0</v>
      </c>
      <c r="JU29" s="517" t="str">
        <f t="shared" si="95"/>
        <v>0</v>
      </c>
      <c r="JV29" s="515"/>
      <c r="JW29" s="517" t="str">
        <f t="shared" si="96"/>
        <v>0</v>
      </c>
      <c r="JX29" s="517" t="str">
        <f t="shared" si="97"/>
        <v>0</v>
      </c>
      <c r="JY29" s="515"/>
      <c r="JZ29" s="517" t="str">
        <f t="shared" si="98"/>
        <v>0</v>
      </c>
      <c r="KA29" s="517" t="str">
        <f t="shared" si="99"/>
        <v>0</v>
      </c>
      <c r="KB29" s="515"/>
      <c r="KC29" s="517" t="str">
        <f t="shared" si="100"/>
        <v>0</v>
      </c>
      <c r="KD29" s="517" t="str">
        <f t="shared" si="101"/>
        <v>0</v>
      </c>
      <c r="KE29" s="515"/>
      <c r="KF29" s="517" t="str">
        <f t="shared" si="102"/>
        <v>0</v>
      </c>
      <c r="KG29" s="517" t="str">
        <f t="shared" si="103"/>
        <v>0</v>
      </c>
      <c r="KH29" s="515"/>
      <c r="KI29" s="517" t="str">
        <f t="shared" si="104"/>
        <v>0</v>
      </c>
      <c r="KJ29" s="517" t="str">
        <f t="shared" si="105"/>
        <v>0</v>
      </c>
      <c r="KK29" s="515"/>
      <c r="KL29" s="517" t="str">
        <f t="shared" si="106"/>
        <v>0</v>
      </c>
      <c r="KM29" s="517" t="str">
        <f t="shared" si="107"/>
        <v>0</v>
      </c>
      <c r="KN29" s="515"/>
      <c r="KO29" s="517" t="str">
        <f t="shared" si="108"/>
        <v>0</v>
      </c>
      <c r="KP29" s="517" t="str">
        <f t="shared" si="109"/>
        <v>0</v>
      </c>
      <c r="KQ29" s="515"/>
      <c r="KR29" s="517" t="str">
        <f t="shared" si="110"/>
        <v>0</v>
      </c>
      <c r="KS29" s="517" t="str">
        <f t="shared" si="111"/>
        <v>0</v>
      </c>
      <c r="KT29" s="517">
        <f t="shared" si="201"/>
        <v>0</v>
      </c>
      <c r="KU29" s="517">
        <f t="shared" si="202"/>
        <v>0</v>
      </c>
      <c r="KV29" s="263">
        <f t="shared" si="199"/>
        <v>414.27143173301721</v>
      </c>
    </row>
    <row r="30" spans="1:308">
      <c r="A30" s="264">
        <f t="shared" si="200"/>
        <v>45860</v>
      </c>
      <c r="B30" s="265" t="str">
        <f>+Report1!B30</f>
        <v>Facial</v>
      </c>
      <c r="C30" s="265" t="str">
        <f>+Report1!C30</f>
        <v>11,5/14</v>
      </c>
      <c r="D30" s="266">
        <f>+Report1!P30</f>
        <v>44.03</v>
      </c>
      <c r="E30" s="553">
        <f>+Report1!R30</f>
        <v>41.243000000000002</v>
      </c>
      <c r="F30" s="515"/>
      <c r="G30" s="516">
        <f t="shared" si="0"/>
        <v>0</v>
      </c>
      <c r="H30" s="517">
        <f t="shared" si="112"/>
        <v>0</v>
      </c>
      <c r="I30" s="515">
        <v>220.93023255813955</v>
      </c>
      <c r="J30" s="516">
        <f t="shared" si="1"/>
        <v>5.3567934572688589</v>
      </c>
      <c r="K30" s="517">
        <f t="shared" si="113"/>
        <v>0</v>
      </c>
      <c r="L30" s="515"/>
      <c r="M30" s="516">
        <f t="shared" si="2"/>
        <v>0</v>
      </c>
      <c r="N30" s="517">
        <f t="shared" si="114"/>
        <v>0</v>
      </c>
      <c r="O30" s="515">
        <v>6.0000000000000142</v>
      </c>
      <c r="P30" s="516">
        <f t="shared" si="3"/>
        <v>0.1454792328395125</v>
      </c>
      <c r="Q30" s="517">
        <f t="shared" si="115"/>
        <v>0</v>
      </c>
      <c r="R30" s="515"/>
      <c r="S30" s="516">
        <f t="shared" si="4"/>
        <v>0</v>
      </c>
      <c r="T30" s="517">
        <f t="shared" si="116"/>
        <v>0</v>
      </c>
      <c r="U30" s="515">
        <v>8.9687499999999432</v>
      </c>
      <c r="V30" s="516">
        <f t="shared" si="5"/>
        <v>0.21746114492156104</v>
      </c>
      <c r="W30" s="517">
        <f t="shared" si="117"/>
        <v>0</v>
      </c>
      <c r="X30" s="515"/>
      <c r="Y30" s="516">
        <f t="shared" si="6"/>
        <v>0</v>
      </c>
      <c r="Z30" s="517">
        <f t="shared" si="118"/>
        <v>0</v>
      </c>
      <c r="AA30" s="515"/>
      <c r="AB30" s="516">
        <f t="shared" si="7"/>
        <v>0</v>
      </c>
      <c r="AC30" s="517">
        <f t="shared" si="119"/>
        <v>0</v>
      </c>
      <c r="AD30" s="515"/>
      <c r="AE30" s="516">
        <f t="shared" si="8"/>
        <v>0</v>
      </c>
      <c r="AF30" s="517">
        <f t="shared" si="120"/>
        <v>0</v>
      </c>
      <c r="AG30" s="515"/>
      <c r="AH30" s="516">
        <f t="shared" si="9"/>
        <v>0</v>
      </c>
      <c r="AI30" s="517">
        <f t="shared" si="121"/>
        <v>0</v>
      </c>
      <c r="AJ30" s="515"/>
      <c r="AK30" s="516">
        <f t="shared" si="10"/>
        <v>0</v>
      </c>
      <c r="AL30" s="517">
        <f t="shared" si="122"/>
        <v>0</v>
      </c>
      <c r="AM30" s="515"/>
      <c r="AN30" s="516">
        <f t="shared" si="11"/>
        <v>0</v>
      </c>
      <c r="AO30" s="517">
        <f t="shared" si="123"/>
        <v>0</v>
      </c>
      <c r="AP30" s="515">
        <v>59.810126582278485</v>
      </c>
      <c r="AQ30" s="516">
        <f t="shared" si="12"/>
        <v>1.4501885552039979</v>
      </c>
      <c r="AR30" s="517">
        <f t="shared" si="124"/>
        <v>0</v>
      </c>
      <c r="AS30" s="515"/>
      <c r="AT30" s="516">
        <f t="shared" si="13"/>
        <v>0</v>
      </c>
      <c r="AU30" s="517">
        <f t="shared" si="125"/>
        <v>0</v>
      </c>
      <c r="AV30" s="515"/>
      <c r="AW30" s="516">
        <f t="shared" si="14"/>
        <v>0</v>
      </c>
      <c r="AX30" s="517">
        <f t="shared" si="126"/>
        <v>0</v>
      </c>
      <c r="AY30" s="515">
        <v>42.000000000000057</v>
      </c>
      <c r="AZ30" s="516">
        <f t="shared" si="15"/>
        <v>1.0183546298765864</v>
      </c>
      <c r="BA30" s="517">
        <f t="shared" si="127"/>
        <v>0</v>
      </c>
      <c r="BB30" s="515"/>
      <c r="BC30" s="516">
        <f t="shared" si="16"/>
        <v>0</v>
      </c>
      <c r="BD30" s="517">
        <f t="shared" si="128"/>
        <v>0</v>
      </c>
      <c r="BE30" s="515"/>
      <c r="BF30" s="516">
        <f t="shared" si="17"/>
        <v>0</v>
      </c>
      <c r="BG30" s="517">
        <f t="shared" si="129"/>
        <v>0</v>
      </c>
      <c r="BH30" s="515"/>
      <c r="BI30" s="516">
        <f t="shared" si="18"/>
        <v>0</v>
      </c>
      <c r="BJ30" s="517">
        <f t="shared" si="130"/>
        <v>0</v>
      </c>
      <c r="BK30" s="515"/>
      <c r="BL30" s="516">
        <f t="shared" si="19"/>
        <v>0</v>
      </c>
      <c r="BM30" s="517">
        <f t="shared" si="131"/>
        <v>0</v>
      </c>
      <c r="BN30" s="515"/>
      <c r="BO30" s="516">
        <f t="shared" si="20"/>
        <v>0</v>
      </c>
      <c r="BP30" s="517">
        <f t="shared" si="132"/>
        <v>0</v>
      </c>
      <c r="BQ30" s="515">
        <v>298.7341772151899</v>
      </c>
      <c r="BR30" s="516">
        <f t="shared" si="21"/>
        <v>7.2432698207014496</v>
      </c>
      <c r="BS30" s="517">
        <f t="shared" si="133"/>
        <v>0</v>
      </c>
      <c r="BT30" s="515"/>
      <c r="BU30" s="516">
        <f t="shared" si="22"/>
        <v>0</v>
      </c>
      <c r="BV30" s="517">
        <f t="shared" si="134"/>
        <v>0</v>
      </c>
      <c r="BW30" s="515"/>
      <c r="BX30" s="516">
        <f t="shared" si="23"/>
        <v>0</v>
      </c>
      <c r="BY30" s="517">
        <f t="shared" si="135"/>
        <v>0</v>
      </c>
      <c r="BZ30" s="515"/>
      <c r="CA30" s="516">
        <f t="shared" si="24"/>
        <v>0</v>
      </c>
      <c r="CB30" s="517">
        <f t="shared" si="136"/>
        <v>0</v>
      </c>
      <c r="CC30" s="515"/>
      <c r="CD30" s="516">
        <f t="shared" si="25"/>
        <v>0</v>
      </c>
      <c r="CE30" s="517">
        <f t="shared" si="137"/>
        <v>0</v>
      </c>
      <c r="CF30" s="515">
        <v>0.60000000000000142</v>
      </c>
      <c r="CG30" s="516">
        <f t="shared" si="26"/>
        <v>1.454792328395125E-2</v>
      </c>
      <c r="CH30" s="517">
        <f t="shared" si="138"/>
        <v>0</v>
      </c>
      <c r="CI30" s="515"/>
      <c r="CJ30" s="516">
        <f t="shared" si="27"/>
        <v>0</v>
      </c>
      <c r="CK30" s="517">
        <f t="shared" si="139"/>
        <v>0</v>
      </c>
      <c r="CL30" s="515"/>
      <c r="CM30" s="516">
        <f t="shared" si="28"/>
        <v>0</v>
      </c>
      <c r="CN30" s="517">
        <f t="shared" si="140"/>
        <v>0</v>
      </c>
      <c r="CO30" s="515"/>
      <c r="CP30" s="516">
        <f t="shared" si="29"/>
        <v>0</v>
      </c>
      <c r="CQ30" s="517">
        <f t="shared" si="141"/>
        <v>0</v>
      </c>
      <c r="CR30" s="515"/>
      <c r="CS30" s="516">
        <f t="shared" si="30"/>
        <v>0</v>
      </c>
      <c r="CT30" s="517">
        <f t="shared" si="142"/>
        <v>0</v>
      </c>
      <c r="CU30" s="515"/>
      <c r="CV30" s="516">
        <f t="shared" si="31"/>
        <v>0</v>
      </c>
      <c r="CW30" s="517">
        <f t="shared" si="143"/>
        <v>0</v>
      </c>
      <c r="CX30" s="515"/>
      <c r="CY30" s="516">
        <f t="shared" si="32"/>
        <v>0</v>
      </c>
      <c r="CZ30" s="517">
        <f t="shared" si="144"/>
        <v>0</v>
      </c>
      <c r="DA30" s="515"/>
      <c r="DB30" s="516">
        <f t="shared" si="33"/>
        <v>0</v>
      </c>
      <c r="DC30" s="517">
        <f t="shared" si="145"/>
        <v>0</v>
      </c>
      <c r="DD30" s="515"/>
      <c r="DE30" s="516">
        <f t="shared" si="34"/>
        <v>0</v>
      </c>
      <c r="DF30" s="517">
        <f t="shared" si="146"/>
        <v>0</v>
      </c>
      <c r="DG30" s="515"/>
      <c r="DH30" s="516">
        <f t="shared" si="35"/>
        <v>0</v>
      </c>
      <c r="DI30" s="517">
        <f t="shared" si="203"/>
        <v>0</v>
      </c>
      <c r="DJ30" s="515"/>
      <c r="DK30" s="516">
        <f t="shared" si="36"/>
        <v>0</v>
      </c>
      <c r="DL30" s="517">
        <f t="shared" si="147"/>
        <v>0</v>
      </c>
      <c r="DM30" s="515"/>
      <c r="DN30" s="516">
        <f t="shared" si="37"/>
        <v>0</v>
      </c>
      <c r="DO30" s="517">
        <f t="shared" si="148"/>
        <v>0</v>
      </c>
      <c r="DP30" s="515"/>
      <c r="DQ30" s="516">
        <f t="shared" si="38"/>
        <v>0</v>
      </c>
      <c r="DR30" s="517">
        <f t="shared" si="149"/>
        <v>0</v>
      </c>
      <c r="DS30" s="515"/>
      <c r="DT30" s="516">
        <f t="shared" si="39"/>
        <v>0</v>
      </c>
      <c r="DU30" s="517">
        <f t="shared" si="150"/>
        <v>0</v>
      </c>
      <c r="DV30" s="515"/>
      <c r="DW30" s="516">
        <f t="shared" si="40"/>
        <v>0</v>
      </c>
      <c r="DX30" s="517">
        <f t="shared" si="151"/>
        <v>0</v>
      </c>
      <c r="DY30" s="515"/>
      <c r="DZ30" s="516">
        <f t="shared" si="41"/>
        <v>0</v>
      </c>
      <c r="EA30" s="517">
        <f t="shared" si="152"/>
        <v>0</v>
      </c>
      <c r="EB30" s="515"/>
      <c r="EC30" s="516">
        <f t="shared" si="42"/>
        <v>0</v>
      </c>
      <c r="ED30" s="517">
        <f t="shared" si="153"/>
        <v>0</v>
      </c>
      <c r="EE30" s="515">
        <v>10.901162790697697</v>
      </c>
      <c r="EF30" s="516">
        <f t="shared" si="43"/>
        <v>0.26431546664155603</v>
      </c>
      <c r="EG30" s="517">
        <f t="shared" si="154"/>
        <v>0</v>
      </c>
      <c r="EH30" s="515">
        <v>17.611764705882365</v>
      </c>
      <c r="EI30" s="516">
        <f t="shared" si="44"/>
        <v>0.42702433639362714</v>
      </c>
      <c r="EJ30" s="517">
        <f t="shared" si="155"/>
        <v>0</v>
      </c>
      <c r="EK30" s="515">
        <v>2.1999999999999993</v>
      </c>
      <c r="EL30" s="516">
        <f t="shared" si="45"/>
        <v>5.3342385374487773E-2</v>
      </c>
      <c r="EM30" s="517">
        <f t="shared" si="156"/>
        <v>0</v>
      </c>
      <c r="EN30" s="515"/>
      <c r="EO30" s="516">
        <f t="shared" si="46"/>
        <v>0</v>
      </c>
      <c r="EP30" s="517">
        <f t="shared" si="157"/>
        <v>0</v>
      </c>
      <c r="EQ30" s="515"/>
      <c r="ER30" s="516">
        <f t="shared" si="47"/>
        <v>0</v>
      </c>
      <c r="ES30" s="517">
        <f t="shared" si="158"/>
        <v>0</v>
      </c>
      <c r="ET30" s="515"/>
      <c r="EU30" s="516">
        <f t="shared" si="48"/>
        <v>0</v>
      </c>
      <c r="EV30" s="517">
        <f t="shared" si="159"/>
        <v>0</v>
      </c>
      <c r="EW30" s="515"/>
      <c r="EX30" s="516">
        <f t="shared" si="49"/>
        <v>0</v>
      </c>
      <c r="EY30" s="517">
        <f t="shared" si="160"/>
        <v>0</v>
      </c>
      <c r="EZ30" s="515"/>
      <c r="FA30" s="516">
        <f t="shared" si="50"/>
        <v>0</v>
      </c>
      <c r="FB30" s="517">
        <f t="shared" si="161"/>
        <v>0</v>
      </c>
      <c r="FC30" s="515"/>
      <c r="FD30" s="516">
        <f t="shared" si="51"/>
        <v>0</v>
      </c>
      <c r="FE30" s="517">
        <f t="shared" si="162"/>
        <v>0</v>
      </c>
      <c r="FF30" s="515"/>
      <c r="FG30" s="516">
        <f t="shared" si="52"/>
        <v>0</v>
      </c>
      <c r="FH30" s="517">
        <f t="shared" si="163"/>
        <v>0</v>
      </c>
      <c r="FI30" s="515"/>
      <c r="FJ30" s="516">
        <f t="shared" si="53"/>
        <v>0</v>
      </c>
      <c r="FK30" s="517">
        <f t="shared" si="164"/>
        <v>0</v>
      </c>
      <c r="FL30" s="515"/>
      <c r="FM30" s="516">
        <f t="shared" si="54"/>
        <v>0</v>
      </c>
      <c r="FN30" s="517">
        <f t="shared" si="165"/>
        <v>0</v>
      </c>
      <c r="FO30" s="515"/>
      <c r="FP30" s="516">
        <f t="shared" si="55"/>
        <v>0</v>
      </c>
      <c r="FQ30" s="517">
        <f t="shared" si="166"/>
        <v>0</v>
      </c>
      <c r="FR30" s="515"/>
      <c r="FS30" s="516">
        <f t="shared" si="56"/>
        <v>0</v>
      </c>
      <c r="FT30" s="517">
        <f t="shared" si="167"/>
        <v>0</v>
      </c>
      <c r="FU30" s="515"/>
      <c r="FV30" s="516">
        <f t="shared" si="57"/>
        <v>0</v>
      </c>
      <c r="FW30" s="517">
        <f t="shared" si="168"/>
        <v>0</v>
      </c>
      <c r="FX30" s="515"/>
      <c r="FY30" s="516">
        <f t="shared" si="58"/>
        <v>0</v>
      </c>
      <c r="FZ30" s="517">
        <f t="shared" si="169"/>
        <v>0</v>
      </c>
      <c r="GA30" s="515"/>
      <c r="GB30" s="516">
        <f t="shared" si="59"/>
        <v>0</v>
      </c>
      <c r="GC30" s="517">
        <f t="shared" si="170"/>
        <v>0</v>
      </c>
      <c r="GD30" s="515"/>
      <c r="GE30" s="516">
        <f t="shared" si="60"/>
        <v>0</v>
      </c>
      <c r="GF30" s="517">
        <f t="shared" si="171"/>
        <v>0</v>
      </c>
      <c r="GG30" s="515"/>
      <c r="GH30" s="516">
        <f t="shared" si="61"/>
        <v>0</v>
      </c>
      <c r="GI30" s="517">
        <f t="shared" si="172"/>
        <v>0</v>
      </c>
      <c r="GJ30" s="515"/>
      <c r="GK30" s="516">
        <f t="shared" si="62"/>
        <v>0</v>
      </c>
      <c r="GL30" s="517">
        <f t="shared" si="173"/>
        <v>0</v>
      </c>
      <c r="GM30" s="515"/>
      <c r="GN30" s="516">
        <f t="shared" si="63"/>
        <v>0</v>
      </c>
      <c r="GO30" s="517">
        <f t="shared" si="174"/>
        <v>0</v>
      </c>
      <c r="GP30" s="515"/>
      <c r="GQ30" s="516">
        <f t="shared" si="64"/>
        <v>0</v>
      </c>
      <c r="GR30" s="517">
        <f t="shared" si="175"/>
        <v>0</v>
      </c>
      <c r="GS30" s="515"/>
      <c r="GT30" s="516">
        <f t="shared" si="65"/>
        <v>0</v>
      </c>
      <c r="GU30" s="517">
        <f t="shared" si="176"/>
        <v>0</v>
      </c>
      <c r="GV30" s="515"/>
      <c r="GW30" s="516">
        <f t="shared" si="66"/>
        <v>0</v>
      </c>
      <c r="GX30" s="517">
        <f t="shared" si="177"/>
        <v>0</v>
      </c>
      <c r="GY30" s="515"/>
      <c r="GZ30" s="516">
        <f t="shared" si="67"/>
        <v>0</v>
      </c>
      <c r="HA30" s="517">
        <f t="shared" si="178"/>
        <v>0</v>
      </c>
      <c r="HB30" s="515"/>
      <c r="HC30" s="516">
        <f t="shared" si="68"/>
        <v>0</v>
      </c>
      <c r="HD30" s="517">
        <f t="shared" si="179"/>
        <v>0</v>
      </c>
      <c r="HE30" s="515"/>
      <c r="HF30" s="516">
        <f t="shared" si="69"/>
        <v>0</v>
      </c>
      <c r="HG30" s="517">
        <f t="shared" si="180"/>
        <v>0</v>
      </c>
      <c r="HH30" s="515"/>
      <c r="HI30" s="516">
        <f t="shared" si="70"/>
        <v>0</v>
      </c>
      <c r="HJ30" s="517">
        <f t="shared" si="181"/>
        <v>0</v>
      </c>
      <c r="HK30" s="515"/>
      <c r="HL30" s="516">
        <f t="shared" si="71"/>
        <v>0</v>
      </c>
      <c r="HM30" s="517">
        <f t="shared" si="182"/>
        <v>0</v>
      </c>
      <c r="HN30" s="515"/>
      <c r="HO30" s="516">
        <f t="shared" si="72"/>
        <v>0</v>
      </c>
      <c r="HP30" s="517">
        <f t="shared" si="183"/>
        <v>0</v>
      </c>
      <c r="HQ30" s="515"/>
      <c r="HR30" s="516">
        <f t="shared" si="73"/>
        <v>0</v>
      </c>
      <c r="HS30" s="517">
        <f t="shared" si="184"/>
        <v>0</v>
      </c>
      <c r="HT30" s="515"/>
      <c r="HU30" s="516">
        <f t="shared" si="74"/>
        <v>0</v>
      </c>
      <c r="HV30" s="517">
        <f t="shared" si="185"/>
        <v>0</v>
      </c>
      <c r="HW30" s="515"/>
      <c r="HX30" s="516">
        <f t="shared" si="75"/>
        <v>0</v>
      </c>
      <c r="HY30" s="517">
        <f t="shared" si="186"/>
        <v>0</v>
      </c>
      <c r="HZ30" s="515"/>
      <c r="IA30" s="516">
        <f t="shared" si="76"/>
        <v>0</v>
      </c>
      <c r="IB30" s="517">
        <f t="shared" si="187"/>
        <v>0</v>
      </c>
      <c r="IC30" s="515"/>
      <c r="ID30" s="516">
        <f t="shared" si="77"/>
        <v>0</v>
      </c>
      <c r="IE30" s="517">
        <f t="shared" si="188"/>
        <v>0</v>
      </c>
      <c r="IF30" s="515"/>
      <c r="IG30" s="516">
        <f t="shared" si="78"/>
        <v>0</v>
      </c>
      <c r="IH30" s="517">
        <f t="shared" si="189"/>
        <v>0</v>
      </c>
      <c r="II30" s="515"/>
      <c r="IJ30" s="516">
        <f t="shared" si="79"/>
        <v>0</v>
      </c>
      <c r="IK30" s="517">
        <f t="shared" si="190"/>
        <v>0</v>
      </c>
      <c r="IL30" s="515"/>
      <c r="IM30" s="516">
        <f t="shared" si="80"/>
        <v>0</v>
      </c>
      <c r="IN30" s="517">
        <f t="shared" si="191"/>
        <v>0</v>
      </c>
      <c r="IO30" s="515"/>
      <c r="IP30" s="516">
        <f t="shared" si="81"/>
        <v>0</v>
      </c>
      <c r="IQ30" s="517">
        <f t="shared" si="192"/>
        <v>0</v>
      </c>
      <c r="IR30" s="515"/>
      <c r="IS30" s="516">
        <f t="shared" si="82"/>
        <v>0</v>
      </c>
      <c r="IT30" s="517">
        <f t="shared" si="193"/>
        <v>0</v>
      </c>
      <c r="IU30" s="515"/>
      <c r="IV30" s="516">
        <f t="shared" si="83"/>
        <v>0</v>
      </c>
      <c r="IW30" s="517">
        <f t="shared" si="194"/>
        <v>0</v>
      </c>
      <c r="IX30" s="515"/>
      <c r="IY30" s="516">
        <f t="shared" si="84"/>
        <v>0</v>
      </c>
      <c r="IZ30" s="517">
        <f t="shared" si="195"/>
        <v>0</v>
      </c>
      <c r="JA30" s="515"/>
      <c r="JB30" s="516">
        <f t="shared" si="85"/>
        <v>0</v>
      </c>
      <c r="JC30" s="517">
        <f t="shared" si="196"/>
        <v>0</v>
      </c>
      <c r="JD30" s="515"/>
      <c r="JE30" s="516">
        <f t="shared" si="86"/>
        <v>0</v>
      </c>
      <c r="JF30" s="517">
        <f t="shared" si="197"/>
        <v>0</v>
      </c>
      <c r="JG30" s="515"/>
      <c r="JH30" s="516">
        <f t="shared" si="87"/>
        <v>0</v>
      </c>
      <c r="JI30" s="517">
        <f t="shared" si="198"/>
        <v>0</v>
      </c>
      <c r="JJ30" s="515"/>
      <c r="JK30" s="517" t="str">
        <f t="shared" si="88"/>
        <v>0</v>
      </c>
      <c r="JL30" s="517" t="str">
        <f t="shared" si="89"/>
        <v>0</v>
      </c>
      <c r="JM30" s="515"/>
      <c r="JN30" s="517" t="str">
        <f t="shared" si="90"/>
        <v>0</v>
      </c>
      <c r="JO30" s="517" t="str">
        <f t="shared" si="91"/>
        <v>0</v>
      </c>
      <c r="JP30" s="515"/>
      <c r="JQ30" s="517" t="str">
        <f t="shared" si="92"/>
        <v>0</v>
      </c>
      <c r="JR30" s="517" t="str">
        <f t="shared" si="93"/>
        <v>0</v>
      </c>
      <c r="JS30" s="515"/>
      <c r="JT30" s="517" t="str">
        <f t="shared" si="94"/>
        <v>0</v>
      </c>
      <c r="JU30" s="517" t="str">
        <f t="shared" si="95"/>
        <v>0</v>
      </c>
      <c r="JV30" s="515"/>
      <c r="JW30" s="517" t="str">
        <f t="shared" si="96"/>
        <v>0</v>
      </c>
      <c r="JX30" s="517" t="str">
        <f t="shared" si="97"/>
        <v>0</v>
      </c>
      <c r="JY30" s="515"/>
      <c r="JZ30" s="517" t="str">
        <f t="shared" si="98"/>
        <v>0</v>
      </c>
      <c r="KA30" s="517" t="str">
        <f t="shared" si="99"/>
        <v>0</v>
      </c>
      <c r="KB30" s="515"/>
      <c r="KC30" s="517" t="str">
        <f t="shared" si="100"/>
        <v>0</v>
      </c>
      <c r="KD30" s="517" t="str">
        <f t="shared" si="101"/>
        <v>0</v>
      </c>
      <c r="KE30" s="515"/>
      <c r="KF30" s="517" t="str">
        <f t="shared" si="102"/>
        <v>0</v>
      </c>
      <c r="KG30" s="517" t="str">
        <f t="shared" si="103"/>
        <v>0</v>
      </c>
      <c r="KH30" s="515"/>
      <c r="KI30" s="517" t="str">
        <f t="shared" si="104"/>
        <v>0</v>
      </c>
      <c r="KJ30" s="517" t="str">
        <f t="shared" si="105"/>
        <v>0</v>
      </c>
      <c r="KK30" s="515"/>
      <c r="KL30" s="517" t="str">
        <f t="shared" si="106"/>
        <v>0</v>
      </c>
      <c r="KM30" s="517" t="str">
        <f t="shared" si="107"/>
        <v>0</v>
      </c>
      <c r="KN30" s="515"/>
      <c r="KO30" s="517" t="str">
        <f t="shared" si="108"/>
        <v>0</v>
      </c>
      <c r="KP30" s="517" t="str">
        <f t="shared" si="109"/>
        <v>0</v>
      </c>
      <c r="KQ30" s="515"/>
      <c r="KR30" s="517" t="str">
        <f t="shared" si="110"/>
        <v>0</v>
      </c>
      <c r="KS30" s="517" t="str">
        <f t="shared" si="111"/>
        <v>0</v>
      </c>
      <c r="KT30" s="517">
        <f t="shared" si="201"/>
        <v>0</v>
      </c>
      <c r="KU30" s="517">
        <f t="shared" si="202"/>
        <v>0</v>
      </c>
      <c r="KV30" s="263">
        <f t="shared" si="199"/>
        <v>667.75621385218813</v>
      </c>
    </row>
    <row r="31" spans="1:308">
      <c r="A31" s="264">
        <f t="shared" si="200"/>
        <v>45861</v>
      </c>
      <c r="B31" s="265" t="str">
        <f>+Report1!B31</f>
        <v>Facial</v>
      </c>
      <c r="C31" s="265" t="str">
        <f>+Report1!C31</f>
        <v>14</v>
      </c>
      <c r="D31" s="266">
        <f>+Report1!P31</f>
        <v>26.029</v>
      </c>
      <c r="E31" s="553">
        <f>+Report1!R31</f>
        <v>26.443000000000001</v>
      </c>
      <c r="F31" s="515"/>
      <c r="G31" s="516">
        <f t="shared" si="0"/>
        <v>0</v>
      </c>
      <c r="H31" s="517">
        <f t="shared" si="112"/>
        <v>0</v>
      </c>
      <c r="I31" s="515">
        <v>127.90697674418584</v>
      </c>
      <c r="J31" s="516">
        <f t="shared" si="1"/>
        <v>4.8370826587068727</v>
      </c>
      <c r="K31" s="517">
        <f t="shared" si="113"/>
        <v>0</v>
      </c>
      <c r="L31" s="515"/>
      <c r="M31" s="516">
        <f t="shared" si="2"/>
        <v>0</v>
      </c>
      <c r="N31" s="517">
        <f t="shared" si="114"/>
        <v>0</v>
      </c>
      <c r="O31" s="515">
        <v>6</v>
      </c>
      <c r="P31" s="516">
        <f t="shared" si="3"/>
        <v>0.22690315017206822</v>
      </c>
      <c r="Q31" s="517">
        <f t="shared" si="115"/>
        <v>0</v>
      </c>
      <c r="R31" s="515"/>
      <c r="S31" s="516">
        <f t="shared" si="4"/>
        <v>0</v>
      </c>
      <c r="T31" s="517">
        <f t="shared" si="116"/>
        <v>0</v>
      </c>
      <c r="U31" s="515">
        <v>8.9687500000000568</v>
      </c>
      <c r="V31" s="516">
        <f t="shared" si="5"/>
        <v>0.33917293801762494</v>
      </c>
      <c r="W31" s="517">
        <f t="shared" si="117"/>
        <v>0</v>
      </c>
      <c r="X31" s="515"/>
      <c r="Y31" s="516">
        <f t="shared" si="6"/>
        <v>0</v>
      </c>
      <c r="Z31" s="517">
        <f t="shared" si="118"/>
        <v>0</v>
      </c>
      <c r="AA31" s="515"/>
      <c r="AB31" s="516">
        <f t="shared" si="7"/>
        <v>0</v>
      </c>
      <c r="AC31" s="517">
        <f t="shared" si="119"/>
        <v>0</v>
      </c>
      <c r="AD31" s="515"/>
      <c r="AE31" s="516">
        <f t="shared" si="8"/>
        <v>0</v>
      </c>
      <c r="AF31" s="517">
        <f t="shared" si="120"/>
        <v>0</v>
      </c>
      <c r="AG31" s="515"/>
      <c r="AH31" s="516">
        <f t="shared" si="9"/>
        <v>0</v>
      </c>
      <c r="AI31" s="517">
        <f t="shared" si="121"/>
        <v>0</v>
      </c>
      <c r="AJ31" s="515"/>
      <c r="AK31" s="516">
        <f t="shared" si="10"/>
        <v>0</v>
      </c>
      <c r="AL31" s="517">
        <f t="shared" si="122"/>
        <v>0</v>
      </c>
      <c r="AM31" s="515"/>
      <c r="AN31" s="516">
        <f t="shared" si="11"/>
        <v>0</v>
      </c>
      <c r="AO31" s="517">
        <f t="shared" si="123"/>
        <v>0</v>
      </c>
      <c r="AP31" s="515">
        <v>42.72151898734171</v>
      </c>
      <c r="AQ31" s="516">
        <f t="shared" si="12"/>
        <v>1.6156078730606098</v>
      </c>
      <c r="AR31" s="517">
        <f t="shared" si="124"/>
        <v>0</v>
      </c>
      <c r="AS31" s="515"/>
      <c r="AT31" s="516">
        <f t="shared" si="13"/>
        <v>0</v>
      </c>
      <c r="AU31" s="517">
        <f t="shared" si="125"/>
        <v>0</v>
      </c>
      <c r="AV31" s="515"/>
      <c r="AW31" s="516">
        <f t="shared" si="14"/>
        <v>0</v>
      </c>
      <c r="AX31" s="517">
        <f t="shared" si="126"/>
        <v>0</v>
      </c>
      <c r="AY31" s="515">
        <v>23.333333333333258</v>
      </c>
      <c r="AZ31" s="516">
        <f t="shared" si="15"/>
        <v>0.88240113955804023</v>
      </c>
      <c r="BA31" s="517">
        <f t="shared" si="127"/>
        <v>0</v>
      </c>
      <c r="BB31" s="515"/>
      <c r="BC31" s="516">
        <f t="shared" si="16"/>
        <v>0</v>
      </c>
      <c r="BD31" s="517">
        <f t="shared" si="128"/>
        <v>0</v>
      </c>
      <c r="BE31" s="515"/>
      <c r="BF31" s="516">
        <f t="shared" si="17"/>
        <v>0</v>
      </c>
      <c r="BG31" s="517">
        <f t="shared" si="129"/>
        <v>0</v>
      </c>
      <c r="BH31" s="515"/>
      <c r="BI31" s="516">
        <f t="shared" si="18"/>
        <v>0</v>
      </c>
      <c r="BJ31" s="517">
        <f t="shared" si="130"/>
        <v>0</v>
      </c>
      <c r="BK31" s="515"/>
      <c r="BL31" s="516">
        <f t="shared" si="19"/>
        <v>0</v>
      </c>
      <c r="BM31" s="517">
        <f t="shared" si="131"/>
        <v>0</v>
      </c>
      <c r="BN31" s="515"/>
      <c r="BO31" s="516">
        <f t="shared" si="20"/>
        <v>0</v>
      </c>
      <c r="BP31" s="517">
        <f t="shared" si="132"/>
        <v>0</v>
      </c>
      <c r="BQ31" s="515">
        <v>202.53164556962031</v>
      </c>
      <c r="BR31" s="516">
        <f t="shared" si="21"/>
        <v>7.6591780648799421</v>
      </c>
      <c r="BS31" s="517">
        <f t="shared" si="133"/>
        <v>0</v>
      </c>
      <c r="BT31" s="515"/>
      <c r="BU31" s="516">
        <f t="shared" si="22"/>
        <v>0</v>
      </c>
      <c r="BV31" s="517">
        <f t="shared" si="134"/>
        <v>0</v>
      </c>
      <c r="BW31" s="515"/>
      <c r="BX31" s="516">
        <f t="shared" si="23"/>
        <v>0</v>
      </c>
      <c r="BY31" s="517">
        <f t="shared" si="135"/>
        <v>0</v>
      </c>
      <c r="BZ31" s="515"/>
      <c r="CA31" s="516">
        <f t="shared" si="24"/>
        <v>0</v>
      </c>
      <c r="CB31" s="517">
        <f t="shared" si="136"/>
        <v>0</v>
      </c>
      <c r="CC31" s="515"/>
      <c r="CD31" s="516">
        <f t="shared" si="25"/>
        <v>0</v>
      </c>
      <c r="CE31" s="517">
        <f t="shared" si="137"/>
        <v>0</v>
      </c>
      <c r="CF31" s="515">
        <v>0.30000000000000071</v>
      </c>
      <c r="CG31" s="516">
        <f t="shared" si="26"/>
        <v>1.1345157508603437E-2</v>
      </c>
      <c r="CH31" s="517">
        <f t="shared" si="138"/>
        <v>0</v>
      </c>
      <c r="CI31" s="515"/>
      <c r="CJ31" s="516">
        <f t="shared" si="27"/>
        <v>0</v>
      </c>
      <c r="CK31" s="517">
        <f t="shared" si="139"/>
        <v>0</v>
      </c>
      <c r="CL31" s="515"/>
      <c r="CM31" s="516">
        <f t="shared" si="28"/>
        <v>0</v>
      </c>
      <c r="CN31" s="517">
        <f t="shared" si="140"/>
        <v>0</v>
      </c>
      <c r="CO31" s="515"/>
      <c r="CP31" s="516">
        <f t="shared" si="29"/>
        <v>0</v>
      </c>
      <c r="CQ31" s="517">
        <f t="shared" si="141"/>
        <v>0</v>
      </c>
      <c r="CR31" s="515"/>
      <c r="CS31" s="516">
        <f t="shared" si="30"/>
        <v>0</v>
      </c>
      <c r="CT31" s="517">
        <f t="shared" si="142"/>
        <v>0</v>
      </c>
      <c r="CU31" s="515"/>
      <c r="CV31" s="516">
        <f t="shared" si="31"/>
        <v>0</v>
      </c>
      <c r="CW31" s="517">
        <f t="shared" si="143"/>
        <v>0</v>
      </c>
      <c r="CX31" s="515"/>
      <c r="CY31" s="516">
        <f t="shared" si="32"/>
        <v>0</v>
      </c>
      <c r="CZ31" s="517">
        <f t="shared" si="144"/>
        <v>0</v>
      </c>
      <c r="DA31" s="515"/>
      <c r="DB31" s="516">
        <f t="shared" si="33"/>
        <v>0</v>
      </c>
      <c r="DC31" s="517">
        <f t="shared" si="145"/>
        <v>0</v>
      </c>
      <c r="DD31" s="515"/>
      <c r="DE31" s="516">
        <f t="shared" si="34"/>
        <v>0</v>
      </c>
      <c r="DF31" s="517">
        <f t="shared" si="146"/>
        <v>0</v>
      </c>
      <c r="DG31" s="515"/>
      <c r="DH31" s="516">
        <f t="shared" si="35"/>
        <v>0</v>
      </c>
      <c r="DI31" s="517">
        <f t="shared" si="203"/>
        <v>0</v>
      </c>
      <c r="DJ31" s="515"/>
      <c r="DK31" s="516">
        <f t="shared" si="36"/>
        <v>0</v>
      </c>
      <c r="DL31" s="517">
        <f t="shared" si="147"/>
        <v>0</v>
      </c>
      <c r="DM31" s="515"/>
      <c r="DN31" s="516">
        <f t="shared" si="37"/>
        <v>0</v>
      </c>
      <c r="DO31" s="517">
        <f t="shared" si="148"/>
        <v>0</v>
      </c>
      <c r="DP31" s="515"/>
      <c r="DQ31" s="516">
        <f t="shared" si="38"/>
        <v>0</v>
      </c>
      <c r="DR31" s="517">
        <f t="shared" si="149"/>
        <v>0</v>
      </c>
      <c r="DS31" s="515"/>
      <c r="DT31" s="516">
        <f t="shared" si="39"/>
        <v>0</v>
      </c>
      <c r="DU31" s="517">
        <f t="shared" si="150"/>
        <v>0</v>
      </c>
      <c r="DV31" s="515"/>
      <c r="DW31" s="516">
        <f t="shared" si="40"/>
        <v>0</v>
      </c>
      <c r="DX31" s="517">
        <f t="shared" si="151"/>
        <v>0</v>
      </c>
      <c r="DY31" s="515">
        <v>17.253012048192772</v>
      </c>
      <c r="DZ31" s="516">
        <f t="shared" si="41"/>
        <v>0.6524604639485978</v>
      </c>
      <c r="EA31" s="517">
        <f t="shared" si="152"/>
        <v>0</v>
      </c>
      <c r="EB31" s="515"/>
      <c r="EC31" s="516">
        <f t="shared" si="42"/>
        <v>0</v>
      </c>
      <c r="ED31" s="517">
        <f t="shared" si="153"/>
        <v>0</v>
      </c>
      <c r="EE31" s="515">
        <v>10.90116279069764</v>
      </c>
      <c r="EF31" s="516">
        <f t="shared" si="43"/>
        <v>0.41225136295797149</v>
      </c>
      <c r="EG31" s="517">
        <f t="shared" si="154"/>
        <v>0</v>
      </c>
      <c r="EH31" s="515">
        <v>11.741176470588243</v>
      </c>
      <c r="EI31" s="516">
        <f t="shared" si="44"/>
        <v>0.44401832131710633</v>
      </c>
      <c r="EJ31" s="517">
        <f t="shared" si="155"/>
        <v>0</v>
      </c>
      <c r="EK31" s="515">
        <v>1.1999999999999993</v>
      </c>
      <c r="EL31" s="516">
        <f t="shared" si="45"/>
        <v>4.5380630034413616E-2</v>
      </c>
      <c r="EM31" s="517">
        <f t="shared" si="156"/>
        <v>0</v>
      </c>
      <c r="EN31" s="515"/>
      <c r="EO31" s="516">
        <f t="shared" si="46"/>
        <v>0</v>
      </c>
      <c r="EP31" s="517">
        <f t="shared" si="157"/>
        <v>0</v>
      </c>
      <c r="EQ31" s="515"/>
      <c r="ER31" s="516">
        <f t="shared" si="47"/>
        <v>0</v>
      </c>
      <c r="ES31" s="517">
        <f t="shared" si="158"/>
        <v>0</v>
      </c>
      <c r="ET31" s="515"/>
      <c r="EU31" s="516">
        <f t="shared" si="48"/>
        <v>0</v>
      </c>
      <c r="EV31" s="517">
        <f t="shared" si="159"/>
        <v>0</v>
      </c>
      <c r="EW31" s="515"/>
      <c r="EX31" s="516">
        <f t="shared" si="49"/>
        <v>0</v>
      </c>
      <c r="EY31" s="517">
        <f t="shared" si="160"/>
        <v>0</v>
      </c>
      <c r="EZ31" s="515"/>
      <c r="FA31" s="516">
        <f t="shared" si="50"/>
        <v>0</v>
      </c>
      <c r="FB31" s="517">
        <f t="shared" si="161"/>
        <v>0</v>
      </c>
      <c r="FC31" s="515"/>
      <c r="FD31" s="516">
        <f t="shared" si="51"/>
        <v>0</v>
      </c>
      <c r="FE31" s="517">
        <f t="shared" si="162"/>
        <v>0</v>
      </c>
      <c r="FF31" s="515"/>
      <c r="FG31" s="516">
        <f t="shared" si="52"/>
        <v>0</v>
      </c>
      <c r="FH31" s="517">
        <f t="shared" si="163"/>
        <v>0</v>
      </c>
      <c r="FI31" s="515"/>
      <c r="FJ31" s="516">
        <f t="shared" si="53"/>
        <v>0</v>
      </c>
      <c r="FK31" s="517">
        <f t="shared" si="164"/>
        <v>0</v>
      </c>
      <c r="FL31" s="515"/>
      <c r="FM31" s="516">
        <f t="shared" si="54"/>
        <v>0</v>
      </c>
      <c r="FN31" s="517">
        <f t="shared" si="165"/>
        <v>0</v>
      </c>
      <c r="FO31" s="515"/>
      <c r="FP31" s="516">
        <f t="shared" si="55"/>
        <v>0</v>
      </c>
      <c r="FQ31" s="517">
        <f t="shared" si="166"/>
        <v>0</v>
      </c>
      <c r="FR31" s="515"/>
      <c r="FS31" s="516">
        <f t="shared" si="56"/>
        <v>0</v>
      </c>
      <c r="FT31" s="517">
        <f t="shared" si="167"/>
        <v>0</v>
      </c>
      <c r="FU31" s="515"/>
      <c r="FV31" s="516">
        <f t="shared" si="57"/>
        <v>0</v>
      </c>
      <c r="FW31" s="517">
        <f t="shared" si="168"/>
        <v>0</v>
      </c>
      <c r="FX31" s="515"/>
      <c r="FY31" s="516">
        <f t="shared" si="58"/>
        <v>0</v>
      </c>
      <c r="FZ31" s="517">
        <f t="shared" si="169"/>
        <v>0</v>
      </c>
      <c r="GA31" s="515"/>
      <c r="GB31" s="516">
        <f t="shared" si="59"/>
        <v>0</v>
      </c>
      <c r="GC31" s="517">
        <f t="shared" si="170"/>
        <v>0</v>
      </c>
      <c r="GD31" s="515"/>
      <c r="GE31" s="516">
        <f t="shared" si="60"/>
        <v>0</v>
      </c>
      <c r="GF31" s="517">
        <f t="shared" si="171"/>
        <v>0</v>
      </c>
      <c r="GG31" s="515"/>
      <c r="GH31" s="516">
        <f t="shared" si="61"/>
        <v>0</v>
      </c>
      <c r="GI31" s="517">
        <f t="shared" si="172"/>
        <v>0</v>
      </c>
      <c r="GJ31" s="515"/>
      <c r="GK31" s="516">
        <f t="shared" si="62"/>
        <v>0</v>
      </c>
      <c r="GL31" s="517">
        <f t="shared" si="173"/>
        <v>0</v>
      </c>
      <c r="GM31" s="515"/>
      <c r="GN31" s="516">
        <f t="shared" si="63"/>
        <v>0</v>
      </c>
      <c r="GO31" s="517">
        <f t="shared" si="174"/>
        <v>0</v>
      </c>
      <c r="GP31" s="515"/>
      <c r="GQ31" s="516">
        <f t="shared" si="64"/>
        <v>0</v>
      </c>
      <c r="GR31" s="517">
        <f t="shared" si="175"/>
        <v>0</v>
      </c>
      <c r="GS31" s="515"/>
      <c r="GT31" s="516">
        <f t="shared" si="65"/>
        <v>0</v>
      </c>
      <c r="GU31" s="517">
        <f t="shared" si="176"/>
        <v>0</v>
      </c>
      <c r="GV31" s="515"/>
      <c r="GW31" s="516">
        <f t="shared" si="66"/>
        <v>0</v>
      </c>
      <c r="GX31" s="517">
        <f t="shared" si="177"/>
        <v>0</v>
      </c>
      <c r="GY31" s="515"/>
      <c r="GZ31" s="516">
        <f t="shared" si="67"/>
        <v>0</v>
      </c>
      <c r="HA31" s="517">
        <f t="shared" si="178"/>
        <v>0</v>
      </c>
      <c r="HB31" s="515"/>
      <c r="HC31" s="516">
        <f t="shared" si="68"/>
        <v>0</v>
      </c>
      <c r="HD31" s="517">
        <f t="shared" si="179"/>
        <v>0</v>
      </c>
      <c r="HE31" s="515"/>
      <c r="HF31" s="516">
        <f t="shared" si="69"/>
        <v>0</v>
      </c>
      <c r="HG31" s="517">
        <f t="shared" si="180"/>
        <v>0</v>
      </c>
      <c r="HH31" s="515"/>
      <c r="HI31" s="516">
        <f t="shared" si="70"/>
        <v>0</v>
      </c>
      <c r="HJ31" s="517">
        <f t="shared" si="181"/>
        <v>0</v>
      </c>
      <c r="HK31" s="515"/>
      <c r="HL31" s="516">
        <f t="shared" si="71"/>
        <v>0</v>
      </c>
      <c r="HM31" s="517">
        <f t="shared" si="182"/>
        <v>0</v>
      </c>
      <c r="HN31" s="515"/>
      <c r="HO31" s="516">
        <f t="shared" si="72"/>
        <v>0</v>
      </c>
      <c r="HP31" s="517">
        <f t="shared" si="183"/>
        <v>0</v>
      </c>
      <c r="HQ31" s="515"/>
      <c r="HR31" s="516">
        <f t="shared" si="73"/>
        <v>0</v>
      </c>
      <c r="HS31" s="517">
        <f t="shared" si="184"/>
        <v>0</v>
      </c>
      <c r="HT31" s="515"/>
      <c r="HU31" s="516">
        <f t="shared" si="74"/>
        <v>0</v>
      </c>
      <c r="HV31" s="517">
        <f t="shared" si="185"/>
        <v>0</v>
      </c>
      <c r="HW31" s="515"/>
      <c r="HX31" s="516">
        <f t="shared" si="75"/>
        <v>0</v>
      </c>
      <c r="HY31" s="517">
        <f t="shared" si="186"/>
        <v>0</v>
      </c>
      <c r="HZ31" s="515"/>
      <c r="IA31" s="516">
        <f t="shared" si="76"/>
        <v>0</v>
      </c>
      <c r="IB31" s="517">
        <f t="shared" si="187"/>
        <v>0</v>
      </c>
      <c r="IC31" s="515"/>
      <c r="ID31" s="516">
        <f t="shared" si="77"/>
        <v>0</v>
      </c>
      <c r="IE31" s="517">
        <f t="shared" si="188"/>
        <v>0</v>
      </c>
      <c r="IF31" s="515"/>
      <c r="IG31" s="516">
        <f t="shared" si="78"/>
        <v>0</v>
      </c>
      <c r="IH31" s="517">
        <f t="shared" si="189"/>
        <v>0</v>
      </c>
      <c r="II31" s="515"/>
      <c r="IJ31" s="516">
        <f t="shared" si="79"/>
        <v>0</v>
      </c>
      <c r="IK31" s="517">
        <f t="shared" si="190"/>
        <v>0</v>
      </c>
      <c r="IL31" s="515"/>
      <c r="IM31" s="516">
        <f t="shared" si="80"/>
        <v>0</v>
      </c>
      <c r="IN31" s="517">
        <f t="shared" si="191"/>
        <v>0</v>
      </c>
      <c r="IO31" s="515"/>
      <c r="IP31" s="516">
        <f t="shared" si="81"/>
        <v>0</v>
      </c>
      <c r="IQ31" s="517">
        <f t="shared" si="192"/>
        <v>0</v>
      </c>
      <c r="IR31" s="515"/>
      <c r="IS31" s="516">
        <f t="shared" si="82"/>
        <v>0</v>
      </c>
      <c r="IT31" s="517">
        <f t="shared" si="193"/>
        <v>0</v>
      </c>
      <c r="IU31" s="515"/>
      <c r="IV31" s="516">
        <f t="shared" si="83"/>
        <v>0</v>
      </c>
      <c r="IW31" s="517">
        <f t="shared" si="194"/>
        <v>0</v>
      </c>
      <c r="IX31" s="515"/>
      <c r="IY31" s="516">
        <f t="shared" si="84"/>
        <v>0</v>
      </c>
      <c r="IZ31" s="517">
        <f t="shared" si="195"/>
        <v>0</v>
      </c>
      <c r="JA31" s="515"/>
      <c r="JB31" s="516">
        <f t="shared" si="85"/>
        <v>0</v>
      </c>
      <c r="JC31" s="517">
        <f t="shared" si="196"/>
        <v>0</v>
      </c>
      <c r="JD31" s="515"/>
      <c r="JE31" s="516">
        <f t="shared" si="86"/>
        <v>0</v>
      </c>
      <c r="JF31" s="517">
        <f t="shared" si="197"/>
        <v>0</v>
      </c>
      <c r="JG31" s="515"/>
      <c r="JH31" s="516">
        <f t="shared" si="87"/>
        <v>0</v>
      </c>
      <c r="JI31" s="517">
        <f t="shared" si="198"/>
        <v>0</v>
      </c>
      <c r="JJ31" s="515"/>
      <c r="JK31" s="517" t="str">
        <f t="shared" si="88"/>
        <v>0</v>
      </c>
      <c r="JL31" s="517" t="str">
        <f t="shared" si="89"/>
        <v>0</v>
      </c>
      <c r="JM31" s="515"/>
      <c r="JN31" s="517" t="str">
        <f t="shared" si="90"/>
        <v>0</v>
      </c>
      <c r="JO31" s="517" t="str">
        <f t="shared" si="91"/>
        <v>0</v>
      </c>
      <c r="JP31" s="515"/>
      <c r="JQ31" s="517" t="str">
        <f t="shared" si="92"/>
        <v>0</v>
      </c>
      <c r="JR31" s="517" t="str">
        <f t="shared" si="93"/>
        <v>0</v>
      </c>
      <c r="JS31" s="515"/>
      <c r="JT31" s="517" t="str">
        <f t="shared" si="94"/>
        <v>0</v>
      </c>
      <c r="JU31" s="517" t="str">
        <f t="shared" si="95"/>
        <v>0</v>
      </c>
      <c r="JV31" s="515"/>
      <c r="JW31" s="517" t="str">
        <f t="shared" si="96"/>
        <v>0</v>
      </c>
      <c r="JX31" s="517" t="str">
        <f t="shared" si="97"/>
        <v>0</v>
      </c>
      <c r="JY31" s="515"/>
      <c r="JZ31" s="517" t="str">
        <f t="shared" si="98"/>
        <v>0</v>
      </c>
      <c r="KA31" s="517" t="str">
        <f t="shared" si="99"/>
        <v>0</v>
      </c>
      <c r="KB31" s="515"/>
      <c r="KC31" s="517" t="str">
        <f t="shared" si="100"/>
        <v>0</v>
      </c>
      <c r="KD31" s="517" t="str">
        <f t="shared" si="101"/>
        <v>0</v>
      </c>
      <c r="KE31" s="515"/>
      <c r="KF31" s="517" t="str">
        <f t="shared" si="102"/>
        <v>0</v>
      </c>
      <c r="KG31" s="517" t="str">
        <f t="shared" si="103"/>
        <v>0</v>
      </c>
      <c r="KH31" s="515"/>
      <c r="KI31" s="517" t="str">
        <f t="shared" si="104"/>
        <v>0</v>
      </c>
      <c r="KJ31" s="517" t="str">
        <f t="shared" si="105"/>
        <v>0</v>
      </c>
      <c r="KK31" s="515"/>
      <c r="KL31" s="517" t="str">
        <f t="shared" si="106"/>
        <v>0</v>
      </c>
      <c r="KM31" s="517" t="str">
        <f t="shared" si="107"/>
        <v>0</v>
      </c>
      <c r="KN31" s="515"/>
      <c r="KO31" s="517" t="str">
        <f t="shared" si="108"/>
        <v>0</v>
      </c>
      <c r="KP31" s="517" t="str">
        <f t="shared" si="109"/>
        <v>0</v>
      </c>
      <c r="KQ31" s="515"/>
      <c r="KR31" s="517" t="str">
        <f t="shared" si="110"/>
        <v>0</v>
      </c>
      <c r="KS31" s="517" t="str">
        <f t="shared" si="111"/>
        <v>0</v>
      </c>
      <c r="KT31" s="517">
        <f t="shared" si="201"/>
        <v>0</v>
      </c>
      <c r="KU31" s="517">
        <f t="shared" si="202"/>
        <v>0</v>
      </c>
      <c r="KV31" s="263">
        <f t="shared" si="199"/>
        <v>452.85757594395983</v>
      </c>
    </row>
    <row r="32" spans="1:308">
      <c r="A32" s="264">
        <f t="shared" si="200"/>
        <v>45862</v>
      </c>
      <c r="B32" s="265" t="str">
        <f>+Report1!B32</f>
        <v>Facial</v>
      </c>
      <c r="C32" s="265" t="str">
        <f>+Report1!C32</f>
        <v>14</v>
      </c>
      <c r="D32" s="266">
        <f>+Report1!P32</f>
        <v>42.289000000000001</v>
      </c>
      <c r="E32" s="553">
        <f>+Report1!R32</f>
        <v>37.003999999999998</v>
      </c>
      <c r="F32" s="515"/>
      <c r="G32" s="516">
        <f t="shared" si="0"/>
        <v>0</v>
      </c>
      <c r="H32" s="517">
        <f t="shared" si="112"/>
        <v>0</v>
      </c>
      <c r="I32" s="515">
        <v>174.4186046511627</v>
      </c>
      <c r="J32" s="516">
        <f t="shared" si="1"/>
        <v>4.7135067736234655</v>
      </c>
      <c r="K32" s="517">
        <f t="shared" si="113"/>
        <v>0</v>
      </c>
      <c r="L32" s="515"/>
      <c r="M32" s="516">
        <f t="shared" si="2"/>
        <v>0</v>
      </c>
      <c r="N32" s="517">
        <f t="shared" si="114"/>
        <v>0</v>
      </c>
      <c r="O32" s="515">
        <v>5.9999999999999858</v>
      </c>
      <c r="P32" s="516">
        <f t="shared" si="3"/>
        <v>0.16214463301264689</v>
      </c>
      <c r="Q32" s="517">
        <f t="shared" si="115"/>
        <v>0</v>
      </c>
      <c r="R32" s="515"/>
      <c r="S32" s="516">
        <f t="shared" si="4"/>
        <v>0</v>
      </c>
      <c r="T32" s="517">
        <f t="shared" si="116"/>
        <v>0</v>
      </c>
      <c r="U32" s="515">
        <v>8.96875</v>
      </c>
      <c r="V32" s="516">
        <f t="shared" si="5"/>
        <v>0.24237244622203005</v>
      </c>
      <c r="W32" s="517">
        <f t="shared" si="117"/>
        <v>0</v>
      </c>
      <c r="X32" s="515"/>
      <c r="Y32" s="516">
        <f t="shared" si="6"/>
        <v>0</v>
      </c>
      <c r="Z32" s="517">
        <f t="shared" si="118"/>
        <v>0</v>
      </c>
      <c r="AA32" s="515"/>
      <c r="AB32" s="516">
        <f t="shared" si="7"/>
        <v>0</v>
      </c>
      <c r="AC32" s="517">
        <f t="shared" si="119"/>
        <v>0</v>
      </c>
      <c r="AD32" s="515"/>
      <c r="AE32" s="516">
        <f t="shared" si="8"/>
        <v>0</v>
      </c>
      <c r="AF32" s="517">
        <f t="shared" si="120"/>
        <v>0</v>
      </c>
      <c r="AG32" s="515"/>
      <c r="AH32" s="516">
        <f t="shared" si="9"/>
        <v>0</v>
      </c>
      <c r="AI32" s="517">
        <f t="shared" si="121"/>
        <v>0</v>
      </c>
      <c r="AJ32" s="515"/>
      <c r="AK32" s="516">
        <f t="shared" si="10"/>
        <v>0</v>
      </c>
      <c r="AL32" s="517">
        <f t="shared" si="122"/>
        <v>0</v>
      </c>
      <c r="AM32" s="515"/>
      <c r="AN32" s="516">
        <f t="shared" si="11"/>
        <v>0</v>
      </c>
      <c r="AO32" s="517">
        <f t="shared" si="123"/>
        <v>0</v>
      </c>
      <c r="AP32" s="515">
        <v>62.658227848101319</v>
      </c>
      <c r="AQ32" s="516">
        <f t="shared" si="12"/>
        <v>1.6932825599422041</v>
      </c>
      <c r="AR32" s="517">
        <f t="shared" si="124"/>
        <v>0</v>
      </c>
      <c r="AS32" s="515"/>
      <c r="AT32" s="516">
        <f t="shared" si="13"/>
        <v>0</v>
      </c>
      <c r="AU32" s="517">
        <f t="shared" si="125"/>
        <v>0</v>
      </c>
      <c r="AV32" s="515"/>
      <c r="AW32" s="516">
        <f t="shared" si="14"/>
        <v>0</v>
      </c>
      <c r="AX32" s="517">
        <f t="shared" si="126"/>
        <v>0</v>
      </c>
      <c r="AY32" s="515">
        <v>35</v>
      </c>
      <c r="AZ32" s="516">
        <f t="shared" si="15"/>
        <v>0.94584369257377587</v>
      </c>
      <c r="BA32" s="517">
        <f t="shared" si="127"/>
        <v>0</v>
      </c>
      <c r="BB32" s="515"/>
      <c r="BC32" s="516">
        <f t="shared" si="16"/>
        <v>0</v>
      </c>
      <c r="BD32" s="517">
        <f t="shared" si="128"/>
        <v>0</v>
      </c>
      <c r="BE32" s="515"/>
      <c r="BF32" s="516">
        <f t="shared" si="17"/>
        <v>0</v>
      </c>
      <c r="BG32" s="517">
        <f t="shared" si="129"/>
        <v>0</v>
      </c>
      <c r="BH32" s="515"/>
      <c r="BI32" s="516">
        <f t="shared" si="18"/>
        <v>0</v>
      </c>
      <c r="BJ32" s="517">
        <f t="shared" si="130"/>
        <v>0</v>
      </c>
      <c r="BK32" s="515"/>
      <c r="BL32" s="516">
        <f t="shared" si="19"/>
        <v>0</v>
      </c>
      <c r="BM32" s="517">
        <f t="shared" si="131"/>
        <v>0</v>
      </c>
      <c r="BN32" s="515"/>
      <c r="BO32" s="516">
        <f t="shared" si="20"/>
        <v>0</v>
      </c>
      <c r="BP32" s="517">
        <f t="shared" si="132"/>
        <v>0</v>
      </c>
      <c r="BQ32" s="515">
        <v>313.9240506329113</v>
      </c>
      <c r="BR32" s="516">
        <f t="shared" si="21"/>
        <v>8.4835166639528516</v>
      </c>
      <c r="BS32" s="517">
        <f t="shared" si="133"/>
        <v>0</v>
      </c>
      <c r="BT32" s="515"/>
      <c r="BU32" s="516">
        <f t="shared" si="22"/>
        <v>0</v>
      </c>
      <c r="BV32" s="517">
        <f t="shared" si="134"/>
        <v>0</v>
      </c>
      <c r="BW32" s="515"/>
      <c r="BX32" s="516">
        <f t="shared" si="23"/>
        <v>0</v>
      </c>
      <c r="BY32" s="517">
        <f t="shared" si="135"/>
        <v>0</v>
      </c>
      <c r="BZ32" s="515"/>
      <c r="CA32" s="516">
        <f t="shared" si="24"/>
        <v>0</v>
      </c>
      <c r="CB32" s="517">
        <f t="shared" si="136"/>
        <v>0</v>
      </c>
      <c r="CC32" s="515"/>
      <c r="CD32" s="516">
        <f t="shared" si="25"/>
        <v>0</v>
      </c>
      <c r="CE32" s="517">
        <f t="shared" si="137"/>
        <v>0</v>
      </c>
      <c r="CF32" s="515">
        <v>0.60000000000000053</v>
      </c>
      <c r="CG32" s="516">
        <f t="shared" si="26"/>
        <v>1.6214463301264744E-2</v>
      </c>
      <c r="CH32" s="517">
        <f t="shared" si="138"/>
        <v>0</v>
      </c>
      <c r="CI32" s="515"/>
      <c r="CJ32" s="516">
        <f t="shared" si="27"/>
        <v>0</v>
      </c>
      <c r="CK32" s="517">
        <f t="shared" si="139"/>
        <v>0</v>
      </c>
      <c r="CL32" s="515"/>
      <c r="CM32" s="516">
        <f t="shared" si="28"/>
        <v>0</v>
      </c>
      <c r="CN32" s="517">
        <f t="shared" si="140"/>
        <v>0</v>
      </c>
      <c r="CO32" s="515"/>
      <c r="CP32" s="516">
        <f t="shared" si="29"/>
        <v>0</v>
      </c>
      <c r="CQ32" s="517">
        <f t="shared" si="141"/>
        <v>0</v>
      </c>
      <c r="CR32" s="515"/>
      <c r="CS32" s="516">
        <f t="shared" si="30"/>
        <v>0</v>
      </c>
      <c r="CT32" s="517">
        <f t="shared" si="142"/>
        <v>0</v>
      </c>
      <c r="CU32" s="515"/>
      <c r="CV32" s="516">
        <f t="shared" si="31"/>
        <v>0</v>
      </c>
      <c r="CW32" s="517">
        <f t="shared" si="143"/>
        <v>0</v>
      </c>
      <c r="CX32" s="515"/>
      <c r="CY32" s="516">
        <f t="shared" si="32"/>
        <v>0</v>
      </c>
      <c r="CZ32" s="517">
        <f t="shared" si="144"/>
        <v>0</v>
      </c>
      <c r="DA32" s="515"/>
      <c r="DB32" s="516">
        <f t="shared" si="33"/>
        <v>0</v>
      </c>
      <c r="DC32" s="517">
        <f t="shared" si="145"/>
        <v>0</v>
      </c>
      <c r="DD32" s="515"/>
      <c r="DE32" s="516">
        <f t="shared" si="34"/>
        <v>0</v>
      </c>
      <c r="DF32" s="517">
        <f t="shared" si="146"/>
        <v>0</v>
      </c>
      <c r="DG32" s="515"/>
      <c r="DH32" s="516">
        <f t="shared" si="35"/>
        <v>0</v>
      </c>
      <c r="DI32" s="517">
        <f t="shared" si="203"/>
        <v>0</v>
      </c>
      <c r="DJ32" s="515"/>
      <c r="DK32" s="516">
        <f t="shared" si="36"/>
        <v>0</v>
      </c>
      <c r="DL32" s="517">
        <f t="shared" si="147"/>
        <v>0</v>
      </c>
      <c r="DM32" s="515"/>
      <c r="DN32" s="516">
        <f t="shared" si="37"/>
        <v>0</v>
      </c>
      <c r="DO32" s="517">
        <f t="shared" si="148"/>
        <v>0</v>
      </c>
      <c r="DP32" s="515"/>
      <c r="DQ32" s="516">
        <f t="shared" si="38"/>
        <v>0</v>
      </c>
      <c r="DR32" s="517">
        <f t="shared" si="149"/>
        <v>0</v>
      </c>
      <c r="DS32" s="515"/>
      <c r="DT32" s="516">
        <f t="shared" si="39"/>
        <v>0</v>
      </c>
      <c r="DU32" s="517">
        <f t="shared" si="150"/>
        <v>0</v>
      </c>
      <c r="DV32" s="515"/>
      <c r="DW32" s="516">
        <f t="shared" si="40"/>
        <v>0</v>
      </c>
      <c r="DX32" s="517">
        <f t="shared" si="151"/>
        <v>0</v>
      </c>
      <c r="DY32" s="515"/>
      <c r="DZ32" s="516">
        <f t="shared" si="41"/>
        <v>0</v>
      </c>
      <c r="EA32" s="517">
        <f t="shared" si="152"/>
        <v>0</v>
      </c>
      <c r="EB32" s="515"/>
      <c r="EC32" s="516">
        <f t="shared" si="42"/>
        <v>0</v>
      </c>
      <c r="ED32" s="517">
        <f t="shared" si="153"/>
        <v>0</v>
      </c>
      <c r="EE32" s="515">
        <v>10.901162790697697</v>
      </c>
      <c r="EF32" s="516">
        <f t="shared" si="43"/>
        <v>0.29459417335146737</v>
      </c>
      <c r="EG32" s="517">
        <f t="shared" si="154"/>
        <v>0</v>
      </c>
      <c r="EH32" s="515">
        <v>17.611764705882479</v>
      </c>
      <c r="EI32" s="516">
        <f t="shared" si="44"/>
        <v>0.47594218749006811</v>
      </c>
      <c r="EJ32" s="517">
        <f t="shared" si="155"/>
        <v>0</v>
      </c>
      <c r="EK32" s="515">
        <v>2</v>
      </c>
      <c r="EL32" s="516">
        <f t="shared" si="45"/>
        <v>5.4048211004215765E-2</v>
      </c>
      <c r="EM32" s="517">
        <f t="shared" si="156"/>
        <v>0</v>
      </c>
      <c r="EN32" s="515"/>
      <c r="EO32" s="516">
        <f t="shared" si="46"/>
        <v>0</v>
      </c>
      <c r="EP32" s="517">
        <f t="shared" si="157"/>
        <v>0</v>
      </c>
      <c r="EQ32" s="515"/>
      <c r="ER32" s="516">
        <f t="shared" si="47"/>
        <v>0</v>
      </c>
      <c r="ES32" s="517">
        <f t="shared" si="158"/>
        <v>0</v>
      </c>
      <c r="ET32" s="515"/>
      <c r="EU32" s="516">
        <f t="shared" si="48"/>
        <v>0</v>
      </c>
      <c r="EV32" s="517">
        <f t="shared" si="159"/>
        <v>0</v>
      </c>
      <c r="EW32" s="515"/>
      <c r="EX32" s="516">
        <f t="shared" si="49"/>
        <v>0</v>
      </c>
      <c r="EY32" s="517">
        <f t="shared" si="160"/>
        <v>0</v>
      </c>
      <c r="EZ32" s="515"/>
      <c r="FA32" s="516">
        <f t="shared" si="50"/>
        <v>0</v>
      </c>
      <c r="FB32" s="517">
        <f t="shared" si="161"/>
        <v>0</v>
      </c>
      <c r="FC32" s="515"/>
      <c r="FD32" s="516">
        <f t="shared" si="51"/>
        <v>0</v>
      </c>
      <c r="FE32" s="517">
        <f t="shared" si="162"/>
        <v>0</v>
      </c>
      <c r="FF32" s="515"/>
      <c r="FG32" s="516">
        <f t="shared" si="52"/>
        <v>0</v>
      </c>
      <c r="FH32" s="517">
        <f t="shared" si="163"/>
        <v>0</v>
      </c>
      <c r="FI32" s="515"/>
      <c r="FJ32" s="516">
        <f t="shared" si="53"/>
        <v>0</v>
      </c>
      <c r="FK32" s="517">
        <f t="shared" si="164"/>
        <v>0</v>
      </c>
      <c r="FL32" s="515"/>
      <c r="FM32" s="516">
        <f t="shared" si="54"/>
        <v>0</v>
      </c>
      <c r="FN32" s="517">
        <f t="shared" si="165"/>
        <v>0</v>
      </c>
      <c r="FO32" s="515"/>
      <c r="FP32" s="516">
        <f t="shared" si="55"/>
        <v>0</v>
      </c>
      <c r="FQ32" s="517">
        <f t="shared" si="166"/>
        <v>0</v>
      </c>
      <c r="FR32" s="515"/>
      <c r="FS32" s="516">
        <f t="shared" si="56"/>
        <v>0</v>
      </c>
      <c r="FT32" s="517">
        <f t="shared" si="167"/>
        <v>0</v>
      </c>
      <c r="FU32" s="515"/>
      <c r="FV32" s="516">
        <f t="shared" si="57"/>
        <v>0</v>
      </c>
      <c r="FW32" s="517">
        <f t="shared" si="168"/>
        <v>0</v>
      </c>
      <c r="FX32" s="515"/>
      <c r="FY32" s="516">
        <f t="shared" si="58"/>
        <v>0</v>
      </c>
      <c r="FZ32" s="517">
        <f t="shared" si="169"/>
        <v>0</v>
      </c>
      <c r="GA32" s="515"/>
      <c r="GB32" s="516">
        <f t="shared" si="59"/>
        <v>0</v>
      </c>
      <c r="GC32" s="517">
        <f t="shared" si="170"/>
        <v>0</v>
      </c>
      <c r="GD32" s="515"/>
      <c r="GE32" s="516">
        <f t="shared" si="60"/>
        <v>0</v>
      </c>
      <c r="GF32" s="517">
        <f t="shared" si="171"/>
        <v>0</v>
      </c>
      <c r="GG32" s="515"/>
      <c r="GH32" s="516">
        <f t="shared" si="61"/>
        <v>0</v>
      </c>
      <c r="GI32" s="517">
        <f t="shared" si="172"/>
        <v>0</v>
      </c>
      <c r="GJ32" s="515"/>
      <c r="GK32" s="516">
        <f t="shared" si="62"/>
        <v>0</v>
      </c>
      <c r="GL32" s="517">
        <f t="shared" si="173"/>
        <v>0</v>
      </c>
      <c r="GM32" s="515"/>
      <c r="GN32" s="516">
        <f t="shared" si="63"/>
        <v>0</v>
      </c>
      <c r="GO32" s="517">
        <f t="shared" si="174"/>
        <v>0</v>
      </c>
      <c r="GP32" s="515"/>
      <c r="GQ32" s="516">
        <f t="shared" si="64"/>
        <v>0</v>
      </c>
      <c r="GR32" s="517">
        <f t="shared" si="175"/>
        <v>0</v>
      </c>
      <c r="GS32" s="515"/>
      <c r="GT32" s="516">
        <f t="shared" si="65"/>
        <v>0</v>
      </c>
      <c r="GU32" s="517">
        <f t="shared" si="176"/>
        <v>0</v>
      </c>
      <c r="GV32" s="515"/>
      <c r="GW32" s="516">
        <f t="shared" si="66"/>
        <v>0</v>
      </c>
      <c r="GX32" s="517">
        <f t="shared" si="177"/>
        <v>0</v>
      </c>
      <c r="GY32" s="515"/>
      <c r="GZ32" s="516">
        <f t="shared" si="67"/>
        <v>0</v>
      </c>
      <c r="HA32" s="517">
        <f t="shared" si="178"/>
        <v>0</v>
      </c>
      <c r="HB32" s="515"/>
      <c r="HC32" s="516">
        <f t="shared" si="68"/>
        <v>0</v>
      </c>
      <c r="HD32" s="517">
        <f t="shared" si="179"/>
        <v>0</v>
      </c>
      <c r="HE32" s="515"/>
      <c r="HF32" s="516">
        <f t="shared" si="69"/>
        <v>0</v>
      </c>
      <c r="HG32" s="517">
        <f t="shared" si="180"/>
        <v>0</v>
      </c>
      <c r="HH32" s="515"/>
      <c r="HI32" s="516">
        <f t="shared" si="70"/>
        <v>0</v>
      </c>
      <c r="HJ32" s="517">
        <f t="shared" si="181"/>
        <v>0</v>
      </c>
      <c r="HK32" s="515"/>
      <c r="HL32" s="516">
        <f t="shared" si="71"/>
        <v>0</v>
      </c>
      <c r="HM32" s="517">
        <f t="shared" si="182"/>
        <v>0</v>
      </c>
      <c r="HN32" s="515"/>
      <c r="HO32" s="516">
        <f t="shared" si="72"/>
        <v>0</v>
      </c>
      <c r="HP32" s="517">
        <f t="shared" si="183"/>
        <v>0</v>
      </c>
      <c r="HQ32" s="515"/>
      <c r="HR32" s="516">
        <f t="shared" si="73"/>
        <v>0</v>
      </c>
      <c r="HS32" s="517">
        <f t="shared" si="184"/>
        <v>0</v>
      </c>
      <c r="HT32" s="515"/>
      <c r="HU32" s="516">
        <f t="shared" si="74"/>
        <v>0</v>
      </c>
      <c r="HV32" s="517">
        <f t="shared" si="185"/>
        <v>0</v>
      </c>
      <c r="HW32" s="515"/>
      <c r="HX32" s="516">
        <f t="shared" si="75"/>
        <v>0</v>
      </c>
      <c r="HY32" s="517">
        <f t="shared" si="186"/>
        <v>0</v>
      </c>
      <c r="HZ32" s="515"/>
      <c r="IA32" s="516">
        <f t="shared" si="76"/>
        <v>0</v>
      </c>
      <c r="IB32" s="517">
        <f t="shared" si="187"/>
        <v>0</v>
      </c>
      <c r="IC32" s="515"/>
      <c r="ID32" s="516">
        <f t="shared" si="77"/>
        <v>0</v>
      </c>
      <c r="IE32" s="517">
        <f t="shared" si="188"/>
        <v>0</v>
      </c>
      <c r="IF32" s="515"/>
      <c r="IG32" s="516">
        <f t="shared" si="78"/>
        <v>0</v>
      </c>
      <c r="IH32" s="517">
        <f t="shared" si="189"/>
        <v>0</v>
      </c>
      <c r="II32" s="515"/>
      <c r="IJ32" s="516">
        <f t="shared" si="79"/>
        <v>0</v>
      </c>
      <c r="IK32" s="517">
        <f t="shared" si="190"/>
        <v>0</v>
      </c>
      <c r="IL32" s="515"/>
      <c r="IM32" s="516">
        <f t="shared" si="80"/>
        <v>0</v>
      </c>
      <c r="IN32" s="517">
        <f t="shared" si="191"/>
        <v>0</v>
      </c>
      <c r="IO32" s="515"/>
      <c r="IP32" s="516">
        <f t="shared" si="81"/>
        <v>0</v>
      </c>
      <c r="IQ32" s="517">
        <f t="shared" si="192"/>
        <v>0</v>
      </c>
      <c r="IR32" s="515"/>
      <c r="IS32" s="516">
        <f t="shared" si="82"/>
        <v>0</v>
      </c>
      <c r="IT32" s="517">
        <f t="shared" si="193"/>
        <v>0</v>
      </c>
      <c r="IU32" s="515"/>
      <c r="IV32" s="516">
        <f t="shared" si="83"/>
        <v>0</v>
      </c>
      <c r="IW32" s="517">
        <f t="shared" si="194"/>
        <v>0</v>
      </c>
      <c r="IX32" s="515"/>
      <c r="IY32" s="516">
        <f t="shared" si="84"/>
        <v>0</v>
      </c>
      <c r="IZ32" s="517">
        <f t="shared" si="195"/>
        <v>0</v>
      </c>
      <c r="JA32" s="515"/>
      <c r="JB32" s="516">
        <f t="shared" si="85"/>
        <v>0</v>
      </c>
      <c r="JC32" s="517">
        <f t="shared" si="196"/>
        <v>0</v>
      </c>
      <c r="JD32" s="515"/>
      <c r="JE32" s="516">
        <f t="shared" si="86"/>
        <v>0</v>
      </c>
      <c r="JF32" s="517">
        <f t="shared" si="197"/>
        <v>0</v>
      </c>
      <c r="JG32" s="515"/>
      <c r="JH32" s="516">
        <f t="shared" si="87"/>
        <v>0</v>
      </c>
      <c r="JI32" s="517">
        <f t="shared" si="198"/>
        <v>0</v>
      </c>
      <c r="JJ32" s="515"/>
      <c r="JK32" s="517" t="str">
        <f t="shared" si="88"/>
        <v>0</v>
      </c>
      <c r="JL32" s="517" t="str">
        <f t="shared" si="89"/>
        <v>0</v>
      </c>
      <c r="JM32" s="515"/>
      <c r="JN32" s="517" t="str">
        <f t="shared" si="90"/>
        <v>0</v>
      </c>
      <c r="JO32" s="517" t="str">
        <f t="shared" si="91"/>
        <v>0</v>
      </c>
      <c r="JP32" s="515"/>
      <c r="JQ32" s="517" t="str">
        <f t="shared" si="92"/>
        <v>0</v>
      </c>
      <c r="JR32" s="517" t="str">
        <f t="shared" si="93"/>
        <v>0</v>
      </c>
      <c r="JS32" s="515"/>
      <c r="JT32" s="517" t="str">
        <f t="shared" si="94"/>
        <v>0</v>
      </c>
      <c r="JU32" s="517" t="str">
        <f t="shared" si="95"/>
        <v>0</v>
      </c>
      <c r="JV32" s="515"/>
      <c r="JW32" s="517" t="str">
        <f t="shared" si="96"/>
        <v>0</v>
      </c>
      <c r="JX32" s="517" t="str">
        <f t="shared" si="97"/>
        <v>0</v>
      </c>
      <c r="JY32" s="515"/>
      <c r="JZ32" s="517" t="str">
        <f t="shared" si="98"/>
        <v>0</v>
      </c>
      <c r="KA32" s="517" t="str">
        <f t="shared" si="99"/>
        <v>0</v>
      </c>
      <c r="KB32" s="515"/>
      <c r="KC32" s="517" t="str">
        <f t="shared" si="100"/>
        <v>0</v>
      </c>
      <c r="KD32" s="517" t="str">
        <f t="shared" si="101"/>
        <v>0</v>
      </c>
      <c r="KE32" s="515"/>
      <c r="KF32" s="517" t="str">
        <f t="shared" si="102"/>
        <v>0</v>
      </c>
      <c r="KG32" s="517" t="str">
        <f t="shared" si="103"/>
        <v>0</v>
      </c>
      <c r="KH32" s="515"/>
      <c r="KI32" s="517" t="str">
        <f t="shared" si="104"/>
        <v>0</v>
      </c>
      <c r="KJ32" s="517" t="str">
        <f t="shared" si="105"/>
        <v>0</v>
      </c>
      <c r="KK32" s="515"/>
      <c r="KL32" s="517" t="str">
        <f t="shared" si="106"/>
        <v>0</v>
      </c>
      <c r="KM32" s="517" t="str">
        <f t="shared" si="107"/>
        <v>0</v>
      </c>
      <c r="KN32" s="515"/>
      <c r="KO32" s="517" t="str">
        <f t="shared" si="108"/>
        <v>0</v>
      </c>
      <c r="KP32" s="517" t="str">
        <f t="shared" si="109"/>
        <v>0</v>
      </c>
      <c r="KQ32" s="515"/>
      <c r="KR32" s="517" t="str">
        <f t="shared" si="110"/>
        <v>0</v>
      </c>
      <c r="KS32" s="517" t="str">
        <f t="shared" si="111"/>
        <v>0</v>
      </c>
      <c r="KT32" s="517">
        <f t="shared" si="201"/>
        <v>0</v>
      </c>
      <c r="KU32" s="517">
        <f t="shared" si="202"/>
        <v>0</v>
      </c>
      <c r="KV32" s="263">
        <f t="shared" si="199"/>
        <v>632.08256062875557</v>
      </c>
    </row>
    <row r="33" spans="1:308" ht="15" customHeight="1">
      <c r="A33" s="264">
        <f t="shared" si="200"/>
        <v>45863</v>
      </c>
      <c r="B33" s="265" t="str">
        <f>+Report1!B33</f>
        <v>Facial</v>
      </c>
      <c r="C33" s="265" t="str">
        <f>+Report1!C33</f>
        <v>14</v>
      </c>
      <c r="D33" s="266">
        <f>+Report1!P33</f>
        <v>43.67</v>
      </c>
      <c r="E33" s="553">
        <f>+Report1!R33</f>
        <v>42.747999999999998</v>
      </c>
      <c r="F33" s="515"/>
      <c r="G33" s="516">
        <f t="shared" si="0"/>
        <v>0</v>
      </c>
      <c r="H33" s="517">
        <f t="shared" si="112"/>
        <v>0</v>
      </c>
      <c r="I33" s="515">
        <v>197.67441860465124</v>
      </c>
      <c r="J33" s="516">
        <f t="shared" si="1"/>
        <v>4.6241793441716865</v>
      </c>
      <c r="K33" s="517">
        <f t="shared" si="113"/>
        <v>0</v>
      </c>
      <c r="L33" s="515"/>
      <c r="M33" s="516">
        <f t="shared" si="2"/>
        <v>0</v>
      </c>
      <c r="N33" s="517">
        <f t="shared" si="114"/>
        <v>0</v>
      </c>
      <c r="O33" s="515">
        <v>6</v>
      </c>
      <c r="P33" s="516">
        <f t="shared" si="3"/>
        <v>0.14035744362309349</v>
      </c>
      <c r="Q33" s="517">
        <f t="shared" si="115"/>
        <v>0</v>
      </c>
      <c r="R33" s="515"/>
      <c r="S33" s="516">
        <f t="shared" si="4"/>
        <v>0</v>
      </c>
      <c r="T33" s="517">
        <f t="shared" si="116"/>
        <v>0</v>
      </c>
      <c r="U33" s="515">
        <v>8.96875</v>
      </c>
      <c r="V33" s="516">
        <f t="shared" si="5"/>
        <v>0.20980513708243662</v>
      </c>
      <c r="W33" s="517">
        <f t="shared" si="117"/>
        <v>0</v>
      </c>
      <c r="X33" s="515"/>
      <c r="Y33" s="516">
        <f t="shared" si="6"/>
        <v>0</v>
      </c>
      <c r="Z33" s="517">
        <f t="shared" si="118"/>
        <v>0</v>
      </c>
      <c r="AA33" s="515"/>
      <c r="AB33" s="516">
        <f t="shared" si="7"/>
        <v>0</v>
      </c>
      <c r="AC33" s="517">
        <f t="shared" si="119"/>
        <v>0</v>
      </c>
      <c r="AD33" s="515"/>
      <c r="AE33" s="516">
        <f t="shared" si="8"/>
        <v>0</v>
      </c>
      <c r="AF33" s="517">
        <f t="shared" si="120"/>
        <v>0</v>
      </c>
      <c r="AG33" s="515"/>
      <c r="AH33" s="516">
        <f t="shared" si="9"/>
        <v>0</v>
      </c>
      <c r="AI33" s="517">
        <f t="shared" si="121"/>
        <v>0</v>
      </c>
      <c r="AJ33" s="515"/>
      <c r="AK33" s="516">
        <f t="shared" si="10"/>
        <v>0</v>
      </c>
      <c r="AL33" s="517">
        <f t="shared" si="122"/>
        <v>0</v>
      </c>
      <c r="AM33" s="515"/>
      <c r="AN33" s="516">
        <f t="shared" si="11"/>
        <v>0</v>
      </c>
      <c r="AO33" s="517">
        <f t="shared" si="123"/>
        <v>0</v>
      </c>
      <c r="AP33" s="515">
        <v>59.810126582278428</v>
      </c>
      <c r="AQ33" s="516">
        <f t="shared" si="12"/>
        <v>1.3991327449770383</v>
      </c>
      <c r="AR33" s="517">
        <f t="shared" si="124"/>
        <v>0</v>
      </c>
      <c r="AS33" s="515"/>
      <c r="AT33" s="516">
        <f t="shared" si="13"/>
        <v>0</v>
      </c>
      <c r="AU33" s="517">
        <f t="shared" si="125"/>
        <v>0</v>
      </c>
      <c r="AV33" s="515"/>
      <c r="AW33" s="516">
        <f t="shared" si="14"/>
        <v>0</v>
      </c>
      <c r="AX33" s="517">
        <f t="shared" si="126"/>
        <v>0</v>
      </c>
      <c r="AY33" s="515">
        <v>46.666666666666629</v>
      </c>
      <c r="AZ33" s="516">
        <f t="shared" si="15"/>
        <v>1.0916690059573928</v>
      </c>
      <c r="BA33" s="517">
        <f t="shared" si="127"/>
        <v>0</v>
      </c>
      <c r="BB33" s="515"/>
      <c r="BC33" s="516">
        <f t="shared" si="16"/>
        <v>0</v>
      </c>
      <c r="BD33" s="517">
        <f t="shared" si="128"/>
        <v>0</v>
      </c>
      <c r="BE33" s="515"/>
      <c r="BF33" s="516">
        <f t="shared" si="17"/>
        <v>0</v>
      </c>
      <c r="BG33" s="517">
        <f t="shared" si="129"/>
        <v>0</v>
      </c>
      <c r="BH33" s="515"/>
      <c r="BI33" s="516">
        <f t="shared" si="18"/>
        <v>0</v>
      </c>
      <c r="BJ33" s="517">
        <f t="shared" si="130"/>
        <v>0</v>
      </c>
      <c r="BK33" s="515"/>
      <c r="BL33" s="516">
        <f t="shared" si="19"/>
        <v>0</v>
      </c>
      <c r="BM33" s="517">
        <f t="shared" si="131"/>
        <v>0</v>
      </c>
      <c r="BN33" s="515"/>
      <c r="BO33" s="516">
        <f t="shared" si="20"/>
        <v>0</v>
      </c>
      <c r="BP33" s="517">
        <f t="shared" si="132"/>
        <v>0</v>
      </c>
      <c r="BQ33" s="515">
        <v>455.69620253164544</v>
      </c>
      <c r="BR33" s="516">
        <f t="shared" si="21"/>
        <v>10.660059009348869</v>
      </c>
      <c r="BS33" s="517">
        <f t="shared" si="133"/>
        <v>0</v>
      </c>
      <c r="BT33" s="515"/>
      <c r="BU33" s="516">
        <f t="shared" si="22"/>
        <v>0</v>
      </c>
      <c r="BV33" s="517">
        <f t="shared" si="134"/>
        <v>0</v>
      </c>
      <c r="BW33" s="515"/>
      <c r="BX33" s="516">
        <f t="shared" si="23"/>
        <v>0</v>
      </c>
      <c r="BY33" s="517">
        <f t="shared" si="135"/>
        <v>0</v>
      </c>
      <c r="BZ33" s="515"/>
      <c r="CA33" s="516">
        <f t="shared" si="24"/>
        <v>0</v>
      </c>
      <c r="CB33" s="517">
        <f t="shared" si="136"/>
        <v>0</v>
      </c>
      <c r="CC33" s="515"/>
      <c r="CD33" s="516">
        <f t="shared" si="25"/>
        <v>0</v>
      </c>
      <c r="CE33" s="517">
        <f t="shared" si="137"/>
        <v>0</v>
      </c>
      <c r="CF33" s="515">
        <v>0.59999999999999698</v>
      </c>
      <c r="CG33" s="516">
        <f t="shared" si="26"/>
        <v>1.4035744362309277E-2</v>
      </c>
      <c r="CH33" s="517">
        <f t="shared" si="138"/>
        <v>0</v>
      </c>
      <c r="CI33" s="515"/>
      <c r="CJ33" s="516">
        <f t="shared" si="27"/>
        <v>0</v>
      </c>
      <c r="CK33" s="517">
        <f t="shared" si="139"/>
        <v>0</v>
      </c>
      <c r="CL33" s="515"/>
      <c r="CM33" s="516">
        <f t="shared" si="28"/>
        <v>0</v>
      </c>
      <c r="CN33" s="517">
        <f t="shared" si="140"/>
        <v>0</v>
      </c>
      <c r="CO33" s="515"/>
      <c r="CP33" s="516">
        <f t="shared" si="29"/>
        <v>0</v>
      </c>
      <c r="CQ33" s="517">
        <f t="shared" si="141"/>
        <v>0</v>
      </c>
      <c r="CR33" s="515"/>
      <c r="CS33" s="516">
        <f t="shared" si="30"/>
        <v>0</v>
      </c>
      <c r="CT33" s="517">
        <f t="shared" si="142"/>
        <v>0</v>
      </c>
      <c r="CU33" s="515"/>
      <c r="CV33" s="516">
        <f t="shared" si="31"/>
        <v>0</v>
      </c>
      <c r="CW33" s="517">
        <f t="shared" si="143"/>
        <v>0</v>
      </c>
      <c r="CX33" s="515"/>
      <c r="CY33" s="516">
        <f t="shared" si="32"/>
        <v>0</v>
      </c>
      <c r="CZ33" s="517">
        <f t="shared" si="144"/>
        <v>0</v>
      </c>
      <c r="DA33" s="515"/>
      <c r="DB33" s="516">
        <f t="shared" si="33"/>
        <v>0</v>
      </c>
      <c r="DC33" s="517">
        <f t="shared" si="145"/>
        <v>0</v>
      </c>
      <c r="DD33" s="515"/>
      <c r="DE33" s="516">
        <f t="shared" si="34"/>
        <v>0</v>
      </c>
      <c r="DF33" s="517">
        <f t="shared" si="146"/>
        <v>0</v>
      </c>
      <c r="DG33" s="515"/>
      <c r="DH33" s="516">
        <f t="shared" si="35"/>
        <v>0</v>
      </c>
      <c r="DI33" s="517">
        <f t="shared" si="203"/>
        <v>0</v>
      </c>
      <c r="DJ33" s="515"/>
      <c r="DK33" s="516">
        <f t="shared" si="36"/>
        <v>0</v>
      </c>
      <c r="DL33" s="517">
        <f t="shared" si="147"/>
        <v>0</v>
      </c>
      <c r="DM33" s="515"/>
      <c r="DN33" s="516">
        <f t="shared" si="37"/>
        <v>0</v>
      </c>
      <c r="DO33" s="517">
        <f t="shared" si="148"/>
        <v>0</v>
      </c>
      <c r="DP33" s="515"/>
      <c r="DQ33" s="516">
        <f t="shared" si="38"/>
        <v>0</v>
      </c>
      <c r="DR33" s="517">
        <f t="shared" si="149"/>
        <v>0</v>
      </c>
      <c r="DS33" s="515"/>
      <c r="DT33" s="516">
        <f t="shared" si="39"/>
        <v>0</v>
      </c>
      <c r="DU33" s="517">
        <f t="shared" si="150"/>
        <v>0</v>
      </c>
      <c r="DV33" s="515"/>
      <c r="DW33" s="516">
        <f t="shared" si="40"/>
        <v>0</v>
      </c>
      <c r="DX33" s="517">
        <f t="shared" si="151"/>
        <v>0</v>
      </c>
      <c r="DY33" s="515"/>
      <c r="DZ33" s="516">
        <f t="shared" si="41"/>
        <v>0</v>
      </c>
      <c r="EA33" s="517">
        <f t="shared" si="152"/>
        <v>0</v>
      </c>
      <c r="EB33" s="515"/>
      <c r="EC33" s="516">
        <f t="shared" si="42"/>
        <v>0</v>
      </c>
      <c r="ED33" s="517">
        <f t="shared" si="153"/>
        <v>0</v>
      </c>
      <c r="EE33" s="515">
        <v>10.901162790697697</v>
      </c>
      <c r="EF33" s="516">
        <f t="shared" si="43"/>
        <v>0.25500989030358606</v>
      </c>
      <c r="EG33" s="517">
        <f t="shared" si="154"/>
        <v>0</v>
      </c>
      <c r="EH33" s="515">
        <v>17.611764705882251</v>
      </c>
      <c r="EI33" s="516">
        <f t="shared" si="44"/>
        <v>0.41199037863484261</v>
      </c>
      <c r="EJ33" s="517">
        <f t="shared" si="155"/>
        <v>0</v>
      </c>
      <c r="EK33" s="515">
        <v>2</v>
      </c>
      <c r="EL33" s="516">
        <f t="shared" si="45"/>
        <v>4.6785814541031159E-2</v>
      </c>
      <c r="EM33" s="517">
        <f t="shared" si="156"/>
        <v>0</v>
      </c>
      <c r="EN33" s="515"/>
      <c r="EO33" s="516">
        <f t="shared" si="46"/>
        <v>0</v>
      </c>
      <c r="EP33" s="517">
        <f t="shared" si="157"/>
        <v>0</v>
      </c>
      <c r="EQ33" s="515"/>
      <c r="ER33" s="516">
        <f t="shared" si="47"/>
        <v>0</v>
      </c>
      <c r="ES33" s="517">
        <f t="shared" si="158"/>
        <v>0</v>
      </c>
      <c r="ET33" s="515"/>
      <c r="EU33" s="516">
        <f t="shared" si="48"/>
        <v>0</v>
      </c>
      <c r="EV33" s="517">
        <f t="shared" si="159"/>
        <v>0</v>
      </c>
      <c r="EW33" s="515"/>
      <c r="EX33" s="516">
        <f t="shared" si="49"/>
        <v>0</v>
      </c>
      <c r="EY33" s="517">
        <f t="shared" si="160"/>
        <v>0</v>
      </c>
      <c r="EZ33" s="515"/>
      <c r="FA33" s="516">
        <f t="shared" si="50"/>
        <v>0</v>
      </c>
      <c r="FB33" s="517">
        <f t="shared" si="161"/>
        <v>0</v>
      </c>
      <c r="FC33" s="515"/>
      <c r="FD33" s="516">
        <f t="shared" si="51"/>
        <v>0</v>
      </c>
      <c r="FE33" s="517">
        <f t="shared" si="162"/>
        <v>0</v>
      </c>
      <c r="FF33" s="515"/>
      <c r="FG33" s="516">
        <f t="shared" si="52"/>
        <v>0</v>
      </c>
      <c r="FH33" s="517">
        <f t="shared" si="163"/>
        <v>0</v>
      </c>
      <c r="FI33" s="515"/>
      <c r="FJ33" s="516">
        <f t="shared" si="53"/>
        <v>0</v>
      </c>
      <c r="FK33" s="517">
        <f t="shared" si="164"/>
        <v>0</v>
      </c>
      <c r="FL33" s="515"/>
      <c r="FM33" s="516">
        <f t="shared" si="54"/>
        <v>0</v>
      </c>
      <c r="FN33" s="517">
        <f t="shared" si="165"/>
        <v>0</v>
      </c>
      <c r="FO33" s="515"/>
      <c r="FP33" s="516">
        <f t="shared" si="55"/>
        <v>0</v>
      </c>
      <c r="FQ33" s="517">
        <f t="shared" si="166"/>
        <v>0</v>
      </c>
      <c r="FR33" s="515"/>
      <c r="FS33" s="516">
        <f t="shared" si="56"/>
        <v>0</v>
      </c>
      <c r="FT33" s="517">
        <f t="shared" si="167"/>
        <v>0</v>
      </c>
      <c r="FU33" s="515"/>
      <c r="FV33" s="516">
        <f t="shared" si="57"/>
        <v>0</v>
      </c>
      <c r="FW33" s="517">
        <f t="shared" si="168"/>
        <v>0</v>
      </c>
      <c r="FX33" s="515"/>
      <c r="FY33" s="516">
        <f t="shared" si="58"/>
        <v>0</v>
      </c>
      <c r="FZ33" s="517">
        <f t="shared" si="169"/>
        <v>0</v>
      </c>
      <c r="GA33" s="515"/>
      <c r="GB33" s="516">
        <f t="shared" si="59"/>
        <v>0</v>
      </c>
      <c r="GC33" s="517">
        <f t="shared" si="170"/>
        <v>0</v>
      </c>
      <c r="GD33" s="515"/>
      <c r="GE33" s="516">
        <f t="shared" si="60"/>
        <v>0</v>
      </c>
      <c r="GF33" s="517">
        <f t="shared" si="171"/>
        <v>0</v>
      </c>
      <c r="GG33" s="515"/>
      <c r="GH33" s="516">
        <f t="shared" si="61"/>
        <v>0</v>
      </c>
      <c r="GI33" s="517">
        <f t="shared" si="172"/>
        <v>0</v>
      </c>
      <c r="GJ33" s="515"/>
      <c r="GK33" s="516">
        <f t="shared" si="62"/>
        <v>0</v>
      </c>
      <c r="GL33" s="517">
        <f t="shared" si="173"/>
        <v>0</v>
      </c>
      <c r="GM33" s="515"/>
      <c r="GN33" s="516">
        <f t="shared" si="63"/>
        <v>0</v>
      </c>
      <c r="GO33" s="517">
        <f t="shared" si="174"/>
        <v>0</v>
      </c>
      <c r="GP33" s="515"/>
      <c r="GQ33" s="516">
        <f t="shared" si="64"/>
        <v>0</v>
      </c>
      <c r="GR33" s="517">
        <f t="shared" si="175"/>
        <v>0</v>
      </c>
      <c r="GS33" s="515"/>
      <c r="GT33" s="516">
        <f t="shared" si="65"/>
        <v>0</v>
      </c>
      <c r="GU33" s="517">
        <f t="shared" si="176"/>
        <v>0</v>
      </c>
      <c r="GV33" s="515"/>
      <c r="GW33" s="516">
        <f t="shared" si="66"/>
        <v>0</v>
      </c>
      <c r="GX33" s="517">
        <f t="shared" si="177"/>
        <v>0</v>
      </c>
      <c r="GY33" s="515"/>
      <c r="GZ33" s="516">
        <f t="shared" si="67"/>
        <v>0</v>
      </c>
      <c r="HA33" s="517">
        <f t="shared" si="178"/>
        <v>0</v>
      </c>
      <c r="HB33" s="515"/>
      <c r="HC33" s="516">
        <f t="shared" si="68"/>
        <v>0</v>
      </c>
      <c r="HD33" s="517">
        <f t="shared" si="179"/>
        <v>0</v>
      </c>
      <c r="HE33" s="515"/>
      <c r="HF33" s="516">
        <f t="shared" si="69"/>
        <v>0</v>
      </c>
      <c r="HG33" s="517">
        <f t="shared" si="180"/>
        <v>0</v>
      </c>
      <c r="HH33" s="515"/>
      <c r="HI33" s="516">
        <f t="shared" si="70"/>
        <v>0</v>
      </c>
      <c r="HJ33" s="517">
        <f t="shared" si="181"/>
        <v>0</v>
      </c>
      <c r="HK33" s="515"/>
      <c r="HL33" s="516">
        <f t="shared" si="71"/>
        <v>0</v>
      </c>
      <c r="HM33" s="517">
        <f t="shared" si="182"/>
        <v>0</v>
      </c>
      <c r="HN33" s="515"/>
      <c r="HO33" s="516">
        <f t="shared" si="72"/>
        <v>0</v>
      </c>
      <c r="HP33" s="517">
        <f t="shared" si="183"/>
        <v>0</v>
      </c>
      <c r="HQ33" s="515"/>
      <c r="HR33" s="516">
        <f t="shared" si="73"/>
        <v>0</v>
      </c>
      <c r="HS33" s="517">
        <f t="shared" si="184"/>
        <v>0</v>
      </c>
      <c r="HT33" s="515"/>
      <c r="HU33" s="516">
        <f t="shared" si="74"/>
        <v>0</v>
      </c>
      <c r="HV33" s="517">
        <f t="shared" si="185"/>
        <v>0</v>
      </c>
      <c r="HW33" s="515"/>
      <c r="HX33" s="516">
        <f t="shared" si="75"/>
        <v>0</v>
      </c>
      <c r="HY33" s="517">
        <f t="shared" si="186"/>
        <v>0</v>
      </c>
      <c r="HZ33" s="515"/>
      <c r="IA33" s="516">
        <f t="shared" si="76"/>
        <v>0</v>
      </c>
      <c r="IB33" s="517">
        <f t="shared" si="187"/>
        <v>0</v>
      </c>
      <c r="IC33" s="515"/>
      <c r="ID33" s="516">
        <f t="shared" si="77"/>
        <v>0</v>
      </c>
      <c r="IE33" s="517">
        <f t="shared" si="188"/>
        <v>0</v>
      </c>
      <c r="IF33" s="515"/>
      <c r="IG33" s="516">
        <f t="shared" si="78"/>
        <v>0</v>
      </c>
      <c r="IH33" s="517">
        <f t="shared" si="189"/>
        <v>0</v>
      </c>
      <c r="II33" s="515"/>
      <c r="IJ33" s="516">
        <f t="shared" si="79"/>
        <v>0</v>
      </c>
      <c r="IK33" s="517">
        <f t="shared" si="190"/>
        <v>0</v>
      </c>
      <c r="IL33" s="515"/>
      <c r="IM33" s="516">
        <f t="shared" si="80"/>
        <v>0</v>
      </c>
      <c r="IN33" s="517">
        <f t="shared" si="191"/>
        <v>0</v>
      </c>
      <c r="IO33" s="515"/>
      <c r="IP33" s="516">
        <f t="shared" si="81"/>
        <v>0</v>
      </c>
      <c r="IQ33" s="517">
        <f t="shared" si="192"/>
        <v>0</v>
      </c>
      <c r="IR33" s="515"/>
      <c r="IS33" s="516">
        <f t="shared" si="82"/>
        <v>0</v>
      </c>
      <c r="IT33" s="517">
        <f t="shared" si="193"/>
        <v>0</v>
      </c>
      <c r="IU33" s="515"/>
      <c r="IV33" s="516">
        <f t="shared" si="83"/>
        <v>0</v>
      </c>
      <c r="IW33" s="517">
        <f t="shared" si="194"/>
        <v>0</v>
      </c>
      <c r="IX33" s="515"/>
      <c r="IY33" s="516">
        <f t="shared" si="84"/>
        <v>0</v>
      </c>
      <c r="IZ33" s="517">
        <f t="shared" si="195"/>
        <v>0</v>
      </c>
      <c r="JA33" s="515"/>
      <c r="JB33" s="516">
        <f t="shared" si="85"/>
        <v>0</v>
      </c>
      <c r="JC33" s="517">
        <f t="shared" si="196"/>
        <v>0</v>
      </c>
      <c r="JD33" s="515"/>
      <c r="JE33" s="516">
        <f t="shared" si="86"/>
        <v>0</v>
      </c>
      <c r="JF33" s="517">
        <f t="shared" si="197"/>
        <v>0</v>
      </c>
      <c r="JG33" s="515"/>
      <c r="JH33" s="516">
        <f t="shared" si="87"/>
        <v>0</v>
      </c>
      <c r="JI33" s="517">
        <f t="shared" si="198"/>
        <v>0</v>
      </c>
      <c r="JJ33" s="515"/>
      <c r="JK33" s="517" t="str">
        <f t="shared" si="88"/>
        <v>0</v>
      </c>
      <c r="JL33" s="517" t="str">
        <f t="shared" si="89"/>
        <v>0</v>
      </c>
      <c r="JM33" s="515"/>
      <c r="JN33" s="517" t="str">
        <f t="shared" si="90"/>
        <v>0</v>
      </c>
      <c r="JO33" s="517" t="str">
        <f t="shared" si="91"/>
        <v>0</v>
      </c>
      <c r="JP33" s="515"/>
      <c r="JQ33" s="517" t="str">
        <f t="shared" si="92"/>
        <v>0</v>
      </c>
      <c r="JR33" s="517" t="str">
        <f t="shared" si="93"/>
        <v>0</v>
      </c>
      <c r="JS33" s="515"/>
      <c r="JT33" s="517" t="str">
        <f t="shared" si="94"/>
        <v>0</v>
      </c>
      <c r="JU33" s="517" t="str">
        <f t="shared" si="95"/>
        <v>0</v>
      </c>
      <c r="JV33" s="515"/>
      <c r="JW33" s="517" t="str">
        <f t="shared" si="96"/>
        <v>0</v>
      </c>
      <c r="JX33" s="517" t="str">
        <f t="shared" si="97"/>
        <v>0</v>
      </c>
      <c r="JY33" s="515"/>
      <c r="JZ33" s="517" t="str">
        <f t="shared" si="98"/>
        <v>0</v>
      </c>
      <c r="KA33" s="517" t="str">
        <f t="shared" si="99"/>
        <v>0</v>
      </c>
      <c r="KB33" s="515"/>
      <c r="KC33" s="517" t="str">
        <f t="shared" si="100"/>
        <v>0</v>
      </c>
      <c r="KD33" s="517" t="str">
        <f t="shared" si="101"/>
        <v>0</v>
      </c>
      <c r="KE33" s="515"/>
      <c r="KF33" s="517" t="str">
        <f t="shared" si="102"/>
        <v>0</v>
      </c>
      <c r="KG33" s="517" t="str">
        <f t="shared" si="103"/>
        <v>0</v>
      </c>
      <c r="KH33" s="515"/>
      <c r="KI33" s="517" t="str">
        <f t="shared" si="104"/>
        <v>0</v>
      </c>
      <c r="KJ33" s="517" t="str">
        <f t="shared" si="105"/>
        <v>0</v>
      </c>
      <c r="KK33" s="515"/>
      <c r="KL33" s="517" t="str">
        <f t="shared" si="106"/>
        <v>0</v>
      </c>
      <c r="KM33" s="517" t="str">
        <f t="shared" si="107"/>
        <v>0</v>
      </c>
      <c r="KN33" s="515"/>
      <c r="KO33" s="517" t="str">
        <f t="shared" si="108"/>
        <v>0</v>
      </c>
      <c r="KP33" s="517" t="str">
        <f t="shared" si="109"/>
        <v>0</v>
      </c>
      <c r="KQ33" s="515"/>
      <c r="KR33" s="517" t="str">
        <f t="shared" si="110"/>
        <v>0</v>
      </c>
      <c r="KS33" s="517" t="str">
        <f t="shared" si="111"/>
        <v>0</v>
      </c>
      <c r="KT33" s="517">
        <f t="shared" si="201"/>
        <v>0</v>
      </c>
      <c r="KU33" s="517">
        <f t="shared" si="202"/>
        <v>0</v>
      </c>
      <c r="KV33" s="263">
        <f t="shared" si="199"/>
        <v>805.92909188182171</v>
      </c>
    </row>
    <row r="34" spans="1:308" ht="15" customHeight="1">
      <c r="A34" s="264">
        <f t="shared" si="200"/>
        <v>45864</v>
      </c>
      <c r="B34" s="265" t="str">
        <f>+Report1!B34</f>
        <v>Facial</v>
      </c>
      <c r="C34" s="265" t="str">
        <f>+Report1!C34</f>
        <v>14</v>
      </c>
      <c r="D34" s="266">
        <f>+Report1!P34</f>
        <v>44.673000000000002</v>
      </c>
      <c r="E34" s="553">
        <f>+Report1!R34</f>
        <v>44.466999999999999</v>
      </c>
      <c r="F34" s="515"/>
      <c r="G34" s="516">
        <f t="shared" si="0"/>
        <v>0</v>
      </c>
      <c r="H34" s="517">
        <f t="shared" si="112"/>
        <v>0</v>
      </c>
      <c r="I34" s="515">
        <v>209.30232558139539</v>
      </c>
      <c r="J34" s="516">
        <f t="shared" si="1"/>
        <v>4.706913566946171</v>
      </c>
      <c r="K34" s="517">
        <f t="shared" si="113"/>
        <v>0</v>
      </c>
      <c r="L34" s="515"/>
      <c r="M34" s="516">
        <f t="shared" si="2"/>
        <v>0</v>
      </c>
      <c r="N34" s="517">
        <f t="shared" si="114"/>
        <v>0</v>
      </c>
      <c r="O34" s="515">
        <v>6.0000000000000071</v>
      </c>
      <c r="P34" s="516">
        <f t="shared" si="3"/>
        <v>0.13493152225245705</v>
      </c>
      <c r="Q34" s="517">
        <f t="shared" si="115"/>
        <v>0</v>
      </c>
      <c r="R34" s="515"/>
      <c r="S34" s="516">
        <f t="shared" si="4"/>
        <v>0</v>
      </c>
      <c r="T34" s="517">
        <f t="shared" si="116"/>
        <v>0</v>
      </c>
      <c r="U34" s="515">
        <v>8.96875</v>
      </c>
      <c r="V34" s="516">
        <f t="shared" si="5"/>
        <v>0.20169451503362043</v>
      </c>
      <c r="W34" s="517">
        <f t="shared" si="117"/>
        <v>0</v>
      </c>
      <c r="X34" s="515"/>
      <c r="Y34" s="516">
        <f t="shared" si="6"/>
        <v>0</v>
      </c>
      <c r="Z34" s="517">
        <f t="shared" si="118"/>
        <v>0</v>
      </c>
      <c r="AA34" s="515"/>
      <c r="AB34" s="516">
        <f t="shared" si="7"/>
        <v>0</v>
      </c>
      <c r="AC34" s="517">
        <f t="shared" si="119"/>
        <v>0</v>
      </c>
      <c r="AD34" s="515"/>
      <c r="AE34" s="516">
        <f t="shared" si="8"/>
        <v>0</v>
      </c>
      <c r="AF34" s="517">
        <f t="shared" si="120"/>
        <v>0</v>
      </c>
      <c r="AG34" s="515"/>
      <c r="AH34" s="516">
        <f t="shared" si="9"/>
        <v>0</v>
      </c>
      <c r="AI34" s="517">
        <f t="shared" si="121"/>
        <v>0</v>
      </c>
      <c r="AJ34" s="515">
        <v>4.4062500000000142</v>
      </c>
      <c r="AK34" s="516">
        <f t="shared" si="10"/>
        <v>9.9090336654148348E-2</v>
      </c>
      <c r="AL34" s="517">
        <f t="shared" si="122"/>
        <v>0</v>
      </c>
      <c r="AM34" s="515"/>
      <c r="AN34" s="516">
        <f t="shared" si="11"/>
        <v>0</v>
      </c>
      <c r="AO34" s="517">
        <f t="shared" si="123"/>
        <v>0</v>
      </c>
      <c r="AP34" s="515">
        <v>48.417721518987349</v>
      </c>
      <c r="AQ34" s="516">
        <f t="shared" si="12"/>
        <v>1.0888461447587503</v>
      </c>
      <c r="AR34" s="517">
        <f t="shared" si="124"/>
        <v>0</v>
      </c>
      <c r="AS34" s="515"/>
      <c r="AT34" s="516">
        <f t="shared" si="13"/>
        <v>0</v>
      </c>
      <c r="AU34" s="517">
        <f t="shared" si="125"/>
        <v>0</v>
      </c>
      <c r="AV34" s="515"/>
      <c r="AW34" s="516">
        <f t="shared" si="14"/>
        <v>0</v>
      </c>
      <c r="AX34" s="517">
        <f t="shared" si="126"/>
        <v>0</v>
      </c>
      <c r="AY34" s="515">
        <v>53.666666666666742</v>
      </c>
      <c r="AZ34" s="516">
        <f t="shared" si="15"/>
        <v>1.2068875045914216</v>
      </c>
      <c r="BA34" s="517">
        <f t="shared" si="127"/>
        <v>0</v>
      </c>
      <c r="BB34" s="515"/>
      <c r="BC34" s="516">
        <f t="shared" si="16"/>
        <v>0</v>
      </c>
      <c r="BD34" s="517">
        <f t="shared" si="128"/>
        <v>0</v>
      </c>
      <c r="BE34" s="515"/>
      <c r="BF34" s="516">
        <f t="shared" si="17"/>
        <v>0</v>
      </c>
      <c r="BG34" s="517">
        <f t="shared" si="129"/>
        <v>0</v>
      </c>
      <c r="BH34" s="515"/>
      <c r="BI34" s="516">
        <f t="shared" si="18"/>
        <v>0</v>
      </c>
      <c r="BJ34" s="517">
        <f t="shared" si="130"/>
        <v>0</v>
      </c>
      <c r="BK34" s="515"/>
      <c r="BL34" s="516">
        <f t="shared" si="19"/>
        <v>0</v>
      </c>
      <c r="BM34" s="517">
        <f t="shared" si="131"/>
        <v>0</v>
      </c>
      <c r="BN34" s="515"/>
      <c r="BO34" s="516">
        <f t="shared" si="20"/>
        <v>0</v>
      </c>
      <c r="BP34" s="517">
        <f t="shared" si="132"/>
        <v>0</v>
      </c>
      <c r="BQ34" s="515">
        <v>432.91139240506334</v>
      </c>
      <c r="BR34" s="516">
        <f t="shared" si="21"/>
        <v>9.7355655296076495</v>
      </c>
      <c r="BS34" s="517">
        <f t="shared" si="133"/>
        <v>0</v>
      </c>
      <c r="BT34" s="515"/>
      <c r="BU34" s="516">
        <f t="shared" si="22"/>
        <v>0</v>
      </c>
      <c r="BV34" s="517">
        <f t="shared" si="134"/>
        <v>0</v>
      </c>
      <c r="BW34" s="515"/>
      <c r="BX34" s="516">
        <f t="shared" si="23"/>
        <v>0</v>
      </c>
      <c r="BY34" s="517">
        <f t="shared" si="135"/>
        <v>0</v>
      </c>
      <c r="BZ34" s="515"/>
      <c r="CA34" s="516">
        <f t="shared" si="24"/>
        <v>0</v>
      </c>
      <c r="CB34" s="517">
        <f t="shared" si="136"/>
        <v>0</v>
      </c>
      <c r="CC34" s="515">
        <v>2.5</v>
      </c>
      <c r="CD34" s="516">
        <f t="shared" si="25"/>
        <v>5.6221467605190367E-2</v>
      </c>
      <c r="CE34" s="517">
        <f t="shared" si="137"/>
        <v>0</v>
      </c>
      <c r="CF34" s="515">
        <v>0.60000000000000142</v>
      </c>
      <c r="CG34" s="516">
        <f t="shared" si="26"/>
        <v>1.3493152225245721E-2</v>
      </c>
      <c r="CH34" s="517">
        <f t="shared" si="138"/>
        <v>0</v>
      </c>
      <c r="CI34" s="515"/>
      <c r="CJ34" s="516">
        <f t="shared" si="27"/>
        <v>0</v>
      </c>
      <c r="CK34" s="517">
        <f t="shared" si="139"/>
        <v>0</v>
      </c>
      <c r="CL34" s="515"/>
      <c r="CM34" s="516">
        <f t="shared" si="28"/>
        <v>0</v>
      </c>
      <c r="CN34" s="517">
        <f t="shared" si="140"/>
        <v>0</v>
      </c>
      <c r="CO34" s="515">
        <v>0.5</v>
      </c>
      <c r="CP34" s="516">
        <f t="shared" si="29"/>
        <v>1.1244293521038073E-2</v>
      </c>
      <c r="CQ34" s="517">
        <f t="shared" si="141"/>
        <v>0</v>
      </c>
      <c r="CR34" s="515"/>
      <c r="CS34" s="516">
        <f t="shared" si="30"/>
        <v>0</v>
      </c>
      <c r="CT34" s="517">
        <f t="shared" si="142"/>
        <v>0</v>
      </c>
      <c r="CU34" s="515"/>
      <c r="CV34" s="516">
        <f t="shared" si="31"/>
        <v>0</v>
      </c>
      <c r="CW34" s="517">
        <f t="shared" si="143"/>
        <v>0</v>
      </c>
      <c r="CX34" s="515"/>
      <c r="CY34" s="516">
        <f t="shared" si="32"/>
        <v>0</v>
      </c>
      <c r="CZ34" s="517">
        <f t="shared" si="144"/>
        <v>0</v>
      </c>
      <c r="DA34" s="515"/>
      <c r="DB34" s="516">
        <f t="shared" si="33"/>
        <v>0</v>
      </c>
      <c r="DC34" s="517">
        <f t="shared" si="145"/>
        <v>0</v>
      </c>
      <c r="DD34" s="515"/>
      <c r="DE34" s="516">
        <f t="shared" si="34"/>
        <v>0</v>
      </c>
      <c r="DF34" s="517">
        <f t="shared" si="146"/>
        <v>0</v>
      </c>
      <c r="DG34" s="515"/>
      <c r="DH34" s="516">
        <f t="shared" si="35"/>
        <v>0</v>
      </c>
      <c r="DI34" s="517">
        <f t="shared" si="203"/>
        <v>0</v>
      </c>
      <c r="DJ34" s="515"/>
      <c r="DK34" s="516">
        <f t="shared" si="36"/>
        <v>0</v>
      </c>
      <c r="DL34" s="517">
        <f t="shared" si="147"/>
        <v>0</v>
      </c>
      <c r="DM34" s="515"/>
      <c r="DN34" s="516">
        <f t="shared" si="37"/>
        <v>0</v>
      </c>
      <c r="DO34" s="517">
        <f t="shared" si="148"/>
        <v>0</v>
      </c>
      <c r="DP34" s="515"/>
      <c r="DQ34" s="516">
        <f t="shared" si="38"/>
        <v>0</v>
      </c>
      <c r="DR34" s="517">
        <f t="shared" si="149"/>
        <v>0</v>
      </c>
      <c r="DS34" s="515"/>
      <c r="DT34" s="516">
        <f t="shared" si="39"/>
        <v>0</v>
      </c>
      <c r="DU34" s="517">
        <f t="shared" si="150"/>
        <v>0</v>
      </c>
      <c r="DV34" s="515"/>
      <c r="DW34" s="516">
        <f t="shared" si="40"/>
        <v>0</v>
      </c>
      <c r="DX34" s="517">
        <f t="shared" si="151"/>
        <v>0</v>
      </c>
      <c r="DY34" s="515"/>
      <c r="DZ34" s="516">
        <f t="shared" si="41"/>
        <v>0</v>
      </c>
      <c r="EA34" s="517">
        <f t="shared" si="152"/>
        <v>0</v>
      </c>
      <c r="EB34" s="515"/>
      <c r="EC34" s="516">
        <f t="shared" si="42"/>
        <v>0</v>
      </c>
      <c r="ED34" s="517">
        <f t="shared" si="153"/>
        <v>0</v>
      </c>
      <c r="EE34" s="515">
        <v>10.901162790697668</v>
      </c>
      <c r="EF34" s="516">
        <f t="shared" si="43"/>
        <v>0.24515174827844624</v>
      </c>
      <c r="EG34" s="517">
        <f t="shared" si="154"/>
        <v>0</v>
      </c>
      <c r="EH34" s="515">
        <v>23.482352941176487</v>
      </c>
      <c r="EI34" s="516">
        <f t="shared" si="44"/>
        <v>0.52808493807040024</v>
      </c>
      <c r="EJ34" s="517">
        <f t="shared" si="155"/>
        <v>0</v>
      </c>
      <c r="EK34" s="515">
        <v>2</v>
      </c>
      <c r="EL34" s="516">
        <f t="shared" si="45"/>
        <v>4.4977174084152291E-2</v>
      </c>
      <c r="EM34" s="517">
        <f t="shared" si="156"/>
        <v>0</v>
      </c>
      <c r="EN34" s="515"/>
      <c r="EO34" s="516">
        <f t="shared" si="46"/>
        <v>0</v>
      </c>
      <c r="EP34" s="517">
        <f t="shared" si="157"/>
        <v>0</v>
      </c>
      <c r="EQ34" s="515"/>
      <c r="ER34" s="516">
        <f t="shared" si="47"/>
        <v>0</v>
      </c>
      <c r="ES34" s="517">
        <f t="shared" si="158"/>
        <v>0</v>
      </c>
      <c r="ET34" s="515"/>
      <c r="EU34" s="516">
        <f t="shared" si="48"/>
        <v>0</v>
      </c>
      <c r="EV34" s="517">
        <f t="shared" si="159"/>
        <v>0</v>
      </c>
      <c r="EW34" s="515"/>
      <c r="EX34" s="516">
        <f t="shared" si="49"/>
        <v>0</v>
      </c>
      <c r="EY34" s="517">
        <f t="shared" si="160"/>
        <v>0</v>
      </c>
      <c r="EZ34" s="515"/>
      <c r="FA34" s="516">
        <f t="shared" si="50"/>
        <v>0</v>
      </c>
      <c r="FB34" s="517">
        <f t="shared" si="161"/>
        <v>0</v>
      </c>
      <c r="FC34" s="515"/>
      <c r="FD34" s="516">
        <f t="shared" si="51"/>
        <v>0</v>
      </c>
      <c r="FE34" s="517">
        <f t="shared" si="162"/>
        <v>0</v>
      </c>
      <c r="FF34" s="515"/>
      <c r="FG34" s="516">
        <f t="shared" si="52"/>
        <v>0</v>
      </c>
      <c r="FH34" s="517">
        <f t="shared" si="163"/>
        <v>0</v>
      </c>
      <c r="FI34" s="515"/>
      <c r="FJ34" s="516">
        <f t="shared" si="53"/>
        <v>0</v>
      </c>
      <c r="FK34" s="517">
        <f t="shared" si="164"/>
        <v>0</v>
      </c>
      <c r="FL34" s="515"/>
      <c r="FM34" s="516">
        <f t="shared" si="54"/>
        <v>0</v>
      </c>
      <c r="FN34" s="517">
        <f t="shared" si="165"/>
        <v>0</v>
      </c>
      <c r="FO34" s="515"/>
      <c r="FP34" s="516">
        <f t="shared" si="55"/>
        <v>0</v>
      </c>
      <c r="FQ34" s="517">
        <f t="shared" si="166"/>
        <v>0</v>
      </c>
      <c r="FR34" s="515"/>
      <c r="FS34" s="516">
        <f t="shared" si="56"/>
        <v>0</v>
      </c>
      <c r="FT34" s="517">
        <f t="shared" si="167"/>
        <v>0</v>
      </c>
      <c r="FU34" s="515"/>
      <c r="FV34" s="516">
        <f t="shared" si="57"/>
        <v>0</v>
      </c>
      <c r="FW34" s="517">
        <f t="shared" si="168"/>
        <v>0</v>
      </c>
      <c r="FX34" s="515"/>
      <c r="FY34" s="516">
        <f t="shared" si="58"/>
        <v>0</v>
      </c>
      <c r="FZ34" s="517">
        <f t="shared" si="169"/>
        <v>0</v>
      </c>
      <c r="GA34" s="515"/>
      <c r="GB34" s="516">
        <f t="shared" si="59"/>
        <v>0</v>
      </c>
      <c r="GC34" s="517">
        <f t="shared" si="170"/>
        <v>0</v>
      </c>
      <c r="GD34" s="515"/>
      <c r="GE34" s="516">
        <f t="shared" si="60"/>
        <v>0</v>
      </c>
      <c r="GF34" s="517">
        <f t="shared" si="171"/>
        <v>0</v>
      </c>
      <c r="GG34" s="515"/>
      <c r="GH34" s="516">
        <f t="shared" si="61"/>
        <v>0</v>
      </c>
      <c r="GI34" s="517">
        <f t="shared" si="172"/>
        <v>0</v>
      </c>
      <c r="GJ34" s="515"/>
      <c r="GK34" s="516">
        <f t="shared" si="62"/>
        <v>0</v>
      </c>
      <c r="GL34" s="517">
        <f t="shared" si="173"/>
        <v>0</v>
      </c>
      <c r="GM34" s="515"/>
      <c r="GN34" s="516">
        <f t="shared" si="63"/>
        <v>0</v>
      </c>
      <c r="GO34" s="517">
        <f t="shared" si="174"/>
        <v>0</v>
      </c>
      <c r="GP34" s="515"/>
      <c r="GQ34" s="516">
        <f t="shared" si="64"/>
        <v>0</v>
      </c>
      <c r="GR34" s="517">
        <f t="shared" si="175"/>
        <v>0</v>
      </c>
      <c r="GS34" s="515"/>
      <c r="GT34" s="516">
        <f t="shared" si="65"/>
        <v>0</v>
      </c>
      <c r="GU34" s="517">
        <f t="shared" si="176"/>
        <v>0</v>
      </c>
      <c r="GV34" s="515"/>
      <c r="GW34" s="516">
        <f t="shared" si="66"/>
        <v>0</v>
      </c>
      <c r="GX34" s="517">
        <f t="shared" si="177"/>
        <v>0</v>
      </c>
      <c r="GY34" s="515"/>
      <c r="GZ34" s="516">
        <f t="shared" si="67"/>
        <v>0</v>
      </c>
      <c r="HA34" s="517">
        <f t="shared" si="178"/>
        <v>0</v>
      </c>
      <c r="HB34" s="515"/>
      <c r="HC34" s="516">
        <f t="shared" si="68"/>
        <v>0</v>
      </c>
      <c r="HD34" s="517">
        <f t="shared" si="179"/>
        <v>0</v>
      </c>
      <c r="HE34" s="515"/>
      <c r="HF34" s="516">
        <f t="shared" si="69"/>
        <v>0</v>
      </c>
      <c r="HG34" s="517">
        <f t="shared" si="180"/>
        <v>0</v>
      </c>
      <c r="HH34" s="515"/>
      <c r="HI34" s="516">
        <f t="shared" si="70"/>
        <v>0</v>
      </c>
      <c r="HJ34" s="517">
        <f t="shared" si="181"/>
        <v>0</v>
      </c>
      <c r="HK34" s="515"/>
      <c r="HL34" s="516">
        <f t="shared" si="71"/>
        <v>0</v>
      </c>
      <c r="HM34" s="517">
        <f t="shared" si="182"/>
        <v>0</v>
      </c>
      <c r="HN34" s="515"/>
      <c r="HO34" s="516">
        <f t="shared" si="72"/>
        <v>0</v>
      </c>
      <c r="HP34" s="517">
        <f t="shared" si="183"/>
        <v>0</v>
      </c>
      <c r="HQ34" s="515"/>
      <c r="HR34" s="516">
        <f t="shared" si="73"/>
        <v>0</v>
      </c>
      <c r="HS34" s="517">
        <f t="shared" si="184"/>
        <v>0</v>
      </c>
      <c r="HT34" s="515"/>
      <c r="HU34" s="516">
        <f t="shared" si="74"/>
        <v>0</v>
      </c>
      <c r="HV34" s="517">
        <f t="shared" si="185"/>
        <v>0</v>
      </c>
      <c r="HW34" s="515"/>
      <c r="HX34" s="516">
        <f t="shared" si="75"/>
        <v>0</v>
      </c>
      <c r="HY34" s="517">
        <f t="shared" si="186"/>
        <v>0</v>
      </c>
      <c r="HZ34" s="515"/>
      <c r="IA34" s="516">
        <f t="shared" si="76"/>
        <v>0</v>
      </c>
      <c r="IB34" s="517">
        <f t="shared" si="187"/>
        <v>0</v>
      </c>
      <c r="IC34" s="515"/>
      <c r="ID34" s="516">
        <f t="shared" si="77"/>
        <v>0</v>
      </c>
      <c r="IE34" s="517">
        <f t="shared" si="188"/>
        <v>0</v>
      </c>
      <c r="IF34" s="515"/>
      <c r="IG34" s="516">
        <f t="shared" si="78"/>
        <v>0</v>
      </c>
      <c r="IH34" s="517">
        <f t="shared" si="189"/>
        <v>0</v>
      </c>
      <c r="II34" s="515"/>
      <c r="IJ34" s="516">
        <f t="shared" si="79"/>
        <v>0</v>
      </c>
      <c r="IK34" s="517">
        <f t="shared" si="190"/>
        <v>0</v>
      </c>
      <c r="IL34" s="515"/>
      <c r="IM34" s="516">
        <f t="shared" si="80"/>
        <v>0</v>
      </c>
      <c r="IN34" s="517">
        <f t="shared" si="191"/>
        <v>0</v>
      </c>
      <c r="IO34" s="515"/>
      <c r="IP34" s="516">
        <f t="shared" si="81"/>
        <v>0</v>
      </c>
      <c r="IQ34" s="517">
        <f t="shared" si="192"/>
        <v>0</v>
      </c>
      <c r="IR34" s="515"/>
      <c r="IS34" s="516">
        <f t="shared" si="82"/>
        <v>0</v>
      </c>
      <c r="IT34" s="517">
        <f t="shared" si="193"/>
        <v>0</v>
      </c>
      <c r="IU34" s="515"/>
      <c r="IV34" s="516">
        <f t="shared" si="83"/>
        <v>0</v>
      </c>
      <c r="IW34" s="517">
        <f t="shared" si="194"/>
        <v>0</v>
      </c>
      <c r="IX34" s="515"/>
      <c r="IY34" s="516">
        <f t="shared" si="84"/>
        <v>0</v>
      </c>
      <c r="IZ34" s="517">
        <f t="shared" si="195"/>
        <v>0</v>
      </c>
      <c r="JA34" s="515"/>
      <c r="JB34" s="516">
        <f t="shared" si="85"/>
        <v>0</v>
      </c>
      <c r="JC34" s="517">
        <f t="shared" si="196"/>
        <v>0</v>
      </c>
      <c r="JD34" s="515"/>
      <c r="JE34" s="516">
        <f t="shared" si="86"/>
        <v>0</v>
      </c>
      <c r="JF34" s="517">
        <f t="shared" si="197"/>
        <v>0</v>
      </c>
      <c r="JG34" s="515"/>
      <c r="JH34" s="516">
        <f t="shared" si="87"/>
        <v>0</v>
      </c>
      <c r="JI34" s="517">
        <f t="shared" si="198"/>
        <v>0</v>
      </c>
      <c r="JJ34" s="515"/>
      <c r="JK34" s="517" t="str">
        <f t="shared" si="88"/>
        <v>0</v>
      </c>
      <c r="JL34" s="517" t="str">
        <f t="shared" si="89"/>
        <v>0</v>
      </c>
      <c r="JM34" s="515"/>
      <c r="JN34" s="517" t="str">
        <f t="shared" si="90"/>
        <v>0</v>
      </c>
      <c r="JO34" s="517" t="str">
        <f t="shared" si="91"/>
        <v>0</v>
      </c>
      <c r="JP34" s="515"/>
      <c r="JQ34" s="517" t="str">
        <f t="shared" si="92"/>
        <v>0</v>
      </c>
      <c r="JR34" s="517" t="str">
        <f t="shared" si="93"/>
        <v>0</v>
      </c>
      <c r="JS34" s="515"/>
      <c r="JT34" s="517" t="str">
        <f t="shared" si="94"/>
        <v>0</v>
      </c>
      <c r="JU34" s="517" t="str">
        <f t="shared" si="95"/>
        <v>0</v>
      </c>
      <c r="JV34" s="515"/>
      <c r="JW34" s="517" t="str">
        <f t="shared" si="96"/>
        <v>0</v>
      </c>
      <c r="JX34" s="517" t="str">
        <f t="shared" si="97"/>
        <v>0</v>
      </c>
      <c r="JY34" s="515"/>
      <c r="JZ34" s="517" t="str">
        <f t="shared" si="98"/>
        <v>0</v>
      </c>
      <c r="KA34" s="517" t="str">
        <f t="shared" si="99"/>
        <v>0</v>
      </c>
      <c r="KB34" s="515"/>
      <c r="KC34" s="517" t="str">
        <f t="shared" si="100"/>
        <v>0</v>
      </c>
      <c r="KD34" s="517" t="str">
        <f t="shared" si="101"/>
        <v>0</v>
      </c>
      <c r="KE34" s="515"/>
      <c r="KF34" s="517" t="str">
        <f t="shared" si="102"/>
        <v>0</v>
      </c>
      <c r="KG34" s="517" t="str">
        <f t="shared" si="103"/>
        <v>0</v>
      </c>
      <c r="KH34" s="515"/>
      <c r="KI34" s="517" t="str">
        <f t="shared" si="104"/>
        <v>0</v>
      </c>
      <c r="KJ34" s="517" t="str">
        <f t="shared" si="105"/>
        <v>0</v>
      </c>
      <c r="KK34" s="515"/>
      <c r="KL34" s="517" t="str">
        <f t="shared" si="106"/>
        <v>0</v>
      </c>
      <c r="KM34" s="517" t="str">
        <f t="shared" si="107"/>
        <v>0</v>
      </c>
      <c r="KN34" s="515"/>
      <c r="KO34" s="517" t="str">
        <f t="shared" si="108"/>
        <v>0</v>
      </c>
      <c r="KP34" s="517" t="str">
        <f t="shared" si="109"/>
        <v>0</v>
      </c>
      <c r="KQ34" s="515"/>
      <c r="KR34" s="517" t="str">
        <f t="shared" si="110"/>
        <v>0</v>
      </c>
      <c r="KS34" s="517" t="str">
        <f t="shared" si="111"/>
        <v>0</v>
      </c>
      <c r="KT34" s="517">
        <f t="shared" si="201"/>
        <v>0</v>
      </c>
      <c r="KU34" s="517">
        <f t="shared" si="202"/>
        <v>0</v>
      </c>
      <c r="KV34" s="263">
        <f t="shared" si="199"/>
        <v>803.656621903987</v>
      </c>
    </row>
    <row r="35" spans="1:308" ht="15" customHeight="1">
      <c r="A35" s="264">
        <f t="shared" si="200"/>
        <v>45865</v>
      </c>
      <c r="B35" s="265" t="str">
        <f>+Report1!B35</f>
        <v>Facial</v>
      </c>
      <c r="C35" s="265" t="str">
        <f>+Report1!C35</f>
        <v>14/12</v>
      </c>
      <c r="D35" s="266">
        <f>+Report1!P35</f>
        <v>45.445</v>
      </c>
      <c r="E35" s="553">
        <f>+Report1!R35</f>
        <v>44.783999999999999</v>
      </c>
      <c r="F35" s="515"/>
      <c r="G35" s="516">
        <f t="shared" si="0"/>
        <v>0</v>
      </c>
      <c r="H35" s="517">
        <f t="shared" si="112"/>
        <v>0</v>
      </c>
      <c r="I35" s="515">
        <v>209.30232558139539</v>
      </c>
      <c r="J35" s="516">
        <f t="shared" si="1"/>
        <v>4.6735960517460562</v>
      </c>
      <c r="K35" s="517">
        <f t="shared" si="113"/>
        <v>0</v>
      </c>
      <c r="L35" s="515"/>
      <c r="M35" s="516">
        <f t="shared" si="2"/>
        <v>0</v>
      </c>
      <c r="N35" s="517">
        <f t="shared" si="114"/>
        <v>0</v>
      </c>
      <c r="O35" s="515">
        <v>6.0000000000000071</v>
      </c>
      <c r="P35" s="516">
        <f t="shared" si="3"/>
        <v>0.13397642015005376</v>
      </c>
      <c r="Q35" s="517">
        <f t="shared" si="115"/>
        <v>0</v>
      </c>
      <c r="R35" s="515"/>
      <c r="S35" s="516">
        <f t="shared" si="4"/>
        <v>0</v>
      </c>
      <c r="T35" s="517">
        <f t="shared" si="116"/>
        <v>0</v>
      </c>
      <c r="U35" s="515">
        <v>8.96875</v>
      </c>
      <c r="V35" s="516">
        <f t="shared" si="5"/>
        <v>0.20026683637013221</v>
      </c>
      <c r="W35" s="517">
        <f t="shared" si="117"/>
        <v>0</v>
      </c>
      <c r="X35" s="515"/>
      <c r="Y35" s="516">
        <f t="shared" si="6"/>
        <v>0</v>
      </c>
      <c r="Z35" s="517">
        <f t="shared" si="118"/>
        <v>0</v>
      </c>
      <c r="AA35" s="515"/>
      <c r="AB35" s="516">
        <f t="shared" si="7"/>
        <v>0</v>
      </c>
      <c r="AC35" s="517">
        <f t="shared" si="119"/>
        <v>0</v>
      </c>
      <c r="AD35" s="515"/>
      <c r="AE35" s="516">
        <f t="shared" si="8"/>
        <v>0</v>
      </c>
      <c r="AF35" s="517">
        <f t="shared" si="120"/>
        <v>0</v>
      </c>
      <c r="AG35" s="515"/>
      <c r="AH35" s="516">
        <f t="shared" si="9"/>
        <v>0</v>
      </c>
      <c r="AI35" s="517">
        <f t="shared" si="121"/>
        <v>0</v>
      </c>
      <c r="AJ35" s="515">
        <v>4.4062500000000142</v>
      </c>
      <c r="AK35" s="516">
        <f t="shared" si="10"/>
        <v>9.8388933547695928E-2</v>
      </c>
      <c r="AL35" s="517">
        <f t="shared" si="122"/>
        <v>0</v>
      </c>
      <c r="AM35" s="515"/>
      <c r="AN35" s="516">
        <f t="shared" si="11"/>
        <v>0</v>
      </c>
      <c r="AO35" s="517">
        <f t="shared" si="123"/>
        <v>0</v>
      </c>
      <c r="AP35" s="515">
        <v>48.417721518987349</v>
      </c>
      <c r="AQ35" s="516">
        <f t="shared" si="12"/>
        <v>1.0811388334893568</v>
      </c>
      <c r="AR35" s="517">
        <f t="shared" si="124"/>
        <v>0</v>
      </c>
      <c r="AS35" s="515"/>
      <c r="AT35" s="516">
        <f t="shared" si="13"/>
        <v>0</v>
      </c>
      <c r="AU35" s="517">
        <f t="shared" si="125"/>
        <v>0</v>
      </c>
      <c r="AV35" s="515"/>
      <c r="AW35" s="516">
        <f t="shared" si="14"/>
        <v>0</v>
      </c>
      <c r="AX35" s="517">
        <f t="shared" si="126"/>
        <v>0</v>
      </c>
      <c r="AY35" s="515">
        <v>53.666666666666742</v>
      </c>
      <c r="AZ35" s="516">
        <f t="shared" si="15"/>
        <v>1.1983446468977033</v>
      </c>
      <c r="BA35" s="517">
        <f t="shared" si="127"/>
        <v>0</v>
      </c>
      <c r="BB35" s="515"/>
      <c r="BC35" s="516">
        <f t="shared" si="16"/>
        <v>0</v>
      </c>
      <c r="BD35" s="517">
        <f t="shared" si="128"/>
        <v>0</v>
      </c>
      <c r="BE35" s="515"/>
      <c r="BF35" s="516">
        <f t="shared" si="17"/>
        <v>0</v>
      </c>
      <c r="BG35" s="517">
        <f t="shared" si="129"/>
        <v>0</v>
      </c>
      <c r="BH35" s="515"/>
      <c r="BI35" s="516">
        <f t="shared" si="18"/>
        <v>0</v>
      </c>
      <c r="BJ35" s="517">
        <f t="shared" si="130"/>
        <v>0</v>
      </c>
      <c r="BK35" s="515"/>
      <c r="BL35" s="516">
        <f t="shared" si="19"/>
        <v>0</v>
      </c>
      <c r="BM35" s="517">
        <f t="shared" si="131"/>
        <v>0</v>
      </c>
      <c r="BN35" s="515"/>
      <c r="BO35" s="516">
        <f t="shared" si="20"/>
        <v>0</v>
      </c>
      <c r="BP35" s="517">
        <f t="shared" si="132"/>
        <v>0</v>
      </c>
      <c r="BQ35" s="515">
        <v>432.91139240506334</v>
      </c>
      <c r="BR35" s="516">
        <f t="shared" si="21"/>
        <v>9.6666530994342477</v>
      </c>
      <c r="BS35" s="517">
        <f t="shared" si="133"/>
        <v>0</v>
      </c>
      <c r="BT35" s="515"/>
      <c r="BU35" s="516">
        <f t="shared" si="22"/>
        <v>0</v>
      </c>
      <c r="BV35" s="517">
        <f t="shared" si="134"/>
        <v>0</v>
      </c>
      <c r="BW35" s="515"/>
      <c r="BX35" s="516">
        <f t="shared" si="23"/>
        <v>0</v>
      </c>
      <c r="BY35" s="517">
        <f t="shared" si="135"/>
        <v>0</v>
      </c>
      <c r="BZ35" s="515"/>
      <c r="CA35" s="516">
        <f t="shared" si="24"/>
        <v>0</v>
      </c>
      <c r="CB35" s="517">
        <f t="shared" si="136"/>
        <v>0</v>
      </c>
      <c r="CC35" s="515">
        <v>2.5</v>
      </c>
      <c r="CD35" s="516">
        <f t="shared" si="25"/>
        <v>5.5823508395855662E-2</v>
      </c>
      <c r="CE35" s="517">
        <f t="shared" si="137"/>
        <v>0</v>
      </c>
      <c r="CF35" s="515">
        <v>0.60000000000000142</v>
      </c>
      <c r="CG35" s="516">
        <f t="shared" si="26"/>
        <v>1.3397642015005391E-2</v>
      </c>
      <c r="CH35" s="517">
        <f t="shared" si="138"/>
        <v>0</v>
      </c>
      <c r="CI35" s="515"/>
      <c r="CJ35" s="516">
        <f t="shared" si="27"/>
        <v>0</v>
      </c>
      <c r="CK35" s="517">
        <f t="shared" si="139"/>
        <v>0</v>
      </c>
      <c r="CL35" s="515"/>
      <c r="CM35" s="516">
        <f t="shared" si="28"/>
        <v>0</v>
      </c>
      <c r="CN35" s="517">
        <f t="shared" si="140"/>
        <v>0</v>
      </c>
      <c r="CO35" s="515">
        <v>0.5</v>
      </c>
      <c r="CP35" s="516">
        <f t="shared" si="29"/>
        <v>1.1164701679171133E-2</v>
      </c>
      <c r="CQ35" s="517">
        <f t="shared" si="141"/>
        <v>0</v>
      </c>
      <c r="CR35" s="515"/>
      <c r="CS35" s="516">
        <f t="shared" si="30"/>
        <v>0</v>
      </c>
      <c r="CT35" s="517">
        <f t="shared" si="142"/>
        <v>0</v>
      </c>
      <c r="CU35" s="515"/>
      <c r="CV35" s="516">
        <f t="shared" si="31"/>
        <v>0</v>
      </c>
      <c r="CW35" s="517">
        <f t="shared" si="143"/>
        <v>0</v>
      </c>
      <c r="CX35" s="515"/>
      <c r="CY35" s="516">
        <f t="shared" si="32"/>
        <v>0</v>
      </c>
      <c r="CZ35" s="517">
        <f t="shared" si="144"/>
        <v>0</v>
      </c>
      <c r="DA35" s="515"/>
      <c r="DB35" s="516">
        <f t="shared" si="33"/>
        <v>0</v>
      </c>
      <c r="DC35" s="517">
        <f t="shared" si="145"/>
        <v>0</v>
      </c>
      <c r="DD35" s="515"/>
      <c r="DE35" s="516">
        <f t="shared" si="34"/>
        <v>0</v>
      </c>
      <c r="DF35" s="517">
        <f t="shared" si="146"/>
        <v>0</v>
      </c>
      <c r="DG35" s="515"/>
      <c r="DH35" s="516">
        <f t="shared" si="35"/>
        <v>0</v>
      </c>
      <c r="DI35" s="517">
        <f t="shared" si="203"/>
        <v>0</v>
      </c>
      <c r="DJ35" s="515"/>
      <c r="DK35" s="516">
        <f t="shared" si="36"/>
        <v>0</v>
      </c>
      <c r="DL35" s="517">
        <f t="shared" si="147"/>
        <v>0</v>
      </c>
      <c r="DM35" s="515"/>
      <c r="DN35" s="516">
        <f t="shared" si="37"/>
        <v>0</v>
      </c>
      <c r="DO35" s="517">
        <f t="shared" si="148"/>
        <v>0</v>
      </c>
      <c r="DP35" s="515"/>
      <c r="DQ35" s="516">
        <f t="shared" si="38"/>
        <v>0</v>
      </c>
      <c r="DR35" s="517">
        <f t="shared" si="149"/>
        <v>0</v>
      </c>
      <c r="DS35" s="515"/>
      <c r="DT35" s="516">
        <f t="shared" si="39"/>
        <v>0</v>
      </c>
      <c r="DU35" s="517">
        <f t="shared" si="150"/>
        <v>0</v>
      </c>
      <c r="DV35" s="515"/>
      <c r="DW35" s="516">
        <f t="shared" si="40"/>
        <v>0</v>
      </c>
      <c r="DX35" s="517">
        <f t="shared" si="151"/>
        <v>0</v>
      </c>
      <c r="DY35" s="515"/>
      <c r="DZ35" s="516">
        <f t="shared" si="41"/>
        <v>0</v>
      </c>
      <c r="EA35" s="517">
        <f t="shared" si="152"/>
        <v>0</v>
      </c>
      <c r="EB35" s="515"/>
      <c r="EC35" s="516">
        <f t="shared" si="42"/>
        <v>0</v>
      </c>
      <c r="ED35" s="517">
        <f t="shared" si="153"/>
        <v>0</v>
      </c>
      <c r="EE35" s="515">
        <v>10.901162790697668</v>
      </c>
      <c r="EF35" s="516">
        <f t="shared" si="43"/>
        <v>0.24341646102844025</v>
      </c>
      <c r="EG35" s="517">
        <f t="shared" si="154"/>
        <v>0</v>
      </c>
      <c r="EH35" s="515">
        <v>23.482352941176487</v>
      </c>
      <c r="EI35" s="516">
        <f t="shared" si="44"/>
        <v>0.52434693062648463</v>
      </c>
      <c r="EJ35" s="517">
        <f t="shared" si="155"/>
        <v>0</v>
      </c>
      <c r="EK35" s="515">
        <v>2</v>
      </c>
      <c r="EL35" s="516">
        <f t="shared" si="45"/>
        <v>4.4658806716684533E-2</v>
      </c>
      <c r="EM35" s="517">
        <f t="shared" si="156"/>
        <v>0</v>
      </c>
      <c r="EN35" s="515"/>
      <c r="EO35" s="516">
        <f t="shared" si="46"/>
        <v>0</v>
      </c>
      <c r="EP35" s="517">
        <f t="shared" si="157"/>
        <v>0</v>
      </c>
      <c r="EQ35" s="515"/>
      <c r="ER35" s="516">
        <f t="shared" si="47"/>
        <v>0</v>
      </c>
      <c r="ES35" s="517">
        <f t="shared" si="158"/>
        <v>0</v>
      </c>
      <c r="ET35" s="515"/>
      <c r="EU35" s="516">
        <f t="shared" si="48"/>
        <v>0</v>
      </c>
      <c r="EV35" s="517">
        <f t="shared" si="159"/>
        <v>0</v>
      </c>
      <c r="EW35" s="515"/>
      <c r="EX35" s="516">
        <f t="shared" si="49"/>
        <v>0</v>
      </c>
      <c r="EY35" s="517">
        <f t="shared" si="160"/>
        <v>0</v>
      </c>
      <c r="EZ35" s="515"/>
      <c r="FA35" s="516">
        <f t="shared" si="50"/>
        <v>0</v>
      </c>
      <c r="FB35" s="517">
        <f t="shared" si="161"/>
        <v>0</v>
      </c>
      <c r="FC35" s="515"/>
      <c r="FD35" s="516">
        <f t="shared" si="51"/>
        <v>0</v>
      </c>
      <c r="FE35" s="517">
        <f t="shared" si="162"/>
        <v>0</v>
      </c>
      <c r="FF35" s="515"/>
      <c r="FG35" s="516">
        <f t="shared" si="52"/>
        <v>0</v>
      </c>
      <c r="FH35" s="517">
        <f t="shared" si="163"/>
        <v>0</v>
      </c>
      <c r="FI35" s="515"/>
      <c r="FJ35" s="516">
        <f t="shared" si="53"/>
        <v>0</v>
      </c>
      <c r="FK35" s="517">
        <f t="shared" si="164"/>
        <v>0</v>
      </c>
      <c r="FL35" s="515"/>
      <c r="FM35" s="516">
        <f t="shared" si="54"/>
        <v>0</v>
      </c>
      <c r="FN35" s="517">
        <f t="shared" si="165"/>
        <v>0</v>
      </c>
      <c r="FO35" s="515"/>
      <c r="FP35" s="516">
        <f t="shared" si="55"/>
        <v>0</v>
      </c>
      <c r="FQ35" s="517">
        <f t="shared" si="166"/>
        <v>0</v>
      </c>
      <c r="FR35" s="515"/>
      <c r="FS35" s="516">
        <f t="shared" si="56"/>
        <v>0</v>
      </c>
      <c r="FT35" s="517">
        <f t="shared" si="167"/>
        <v>0</v>
      </c>
      <c r="FU35" s="515"/>
      <c r="FV35" s="516">
        <f t="shared" si="57"/>
        <v>0</v>
      </c>
      <c r="FW35" s="517">
        <f t="shared" si="168"/>
        <v>0</v>
      </c>
      <c r="FX35" s="515"/>
      <c r="FY35" s="516">
        <f t="shared" si="58"/>
        <v>0</v>
      </c>
      <c r="FZ35" s="517">
        <f t="shared" si="169"/>
        <v>0</v>
      </c>
      <c r="GA35" s="515"/>
      <c r="GB35" s="516">
        <f t="shared" si="59"/>
        <v>0</v>
      </c>
      <c r="GC35" s="517">
        <f t="shared" si="170"/>
        <v>0</v>
      </c>
      <c r="GD35" s="515"/>
      <c r="GE35" s="516">
        <f t="shared" si="60"/>
        <v>0</v>
      </c>
      <c r="GF35" s="517">
        <f t="shared" si="171"/>
        <v>0</v>
      </c>
      <c r="GG35" s="515"/>
      <c r="GH35" s="516">
        <f t="shared" si="61"/>
        <v>0</v>
      </c>
      <c r="GI35" s="517">
        <f t="shared" si="172"/>
        <v>0</v>
      </c>
      <c r="GJ35" s="515"/>
      <c r="GK35" s="516">
        <f t="shared" si="62"/>
        <v>0</v>
      </c>
      <c r="GL35" s="517">
        <f t="shared" si="173"/>
        <v>0</v>
      </c>
      <c r="GM35" s="515"/>
      <c r="GN35" s="516">
        <f t="shared" si="63"/>
        <v>0</v>
      </c>
      <c r="GO35" s="517">
        <f t="shared" si="174"/>
        <v>0</v>
      </c>
      <c r="GP35" s="515"/>
      <c r="GQ35" s="516">
        <f t="shared" si="64"/>
        <v>0</v>
      </c>
      <c r="GR35" s="517">
        <f t="shared" si="175"/>
        <v>0</v>
      </c>
      <c r="GS35" s="515"/>
      <c r="GT35" s="516">
        <f t="shared" si="65"/>
        <v>0</v>
      </c>
      <c r="GU35" s="517">
        <f t="shared" si="176"/>
        <v>0</v>
      </c>
      <c r="GV35" s="515"/>
      <c r="GW35" s="516">
        <f t="shared" si="66"/>
        <v>0</v>
      </c>
      <c r="GX35" s="517">
        <f t="shared" si="177"/>
        <v>0</v>
      </c>
      <c r="GY35" s="515"/>
      <c r="GZ35" s="516">
        <f t="shared" si="67"/>
        <v>0</v>
      </c>
      <c r="HA35" s="517">
        <f t="shared" si="178"/>
        <v>0</v>
      </c>
      <c r="HB35" s="515"/>
      <c r="HC35" s="516">
        <f t="shared" si="68"/>
        <v>0</v>
      </c>
      <c r="HD35" s="517">
        <f t="shared" si="179"/>
        <v>0</v>
      </c>
      <c r="HE35" s="515"/>
      <c r="HF35" s="516">
        <f t="shared" si="69"/>
        <v>0</v>
      </c>
      <c r="HG35" s="517">
        <f t="shared" si="180"/>
        <v>0</v>
      </c>
      <c r="HH35" s="515"/>
      <c r="HI35" s="516">
        <f t="shared" si="70"/>
        <v>0</v>
      </c>
      <c r="HJ35" s="517">
        <f t="shared" si="181"/>
        <v>0</v>
      </c>
      <c r="HK35" s="515"/>
      <c r="HL35" s="516">
        <f t="shared" si="71"/>
        <v>0</v>
      </c>
      <c r="HM35" s="517">
        <f t="shared" si="182"/>
        <v>0</v>
      </c>
      <c r="HN35" s="515"/>
      <c r="HO35" s="516">
        <f t="shared" si="72"/>
        <v>0</v>
      </c>
      <c r="HP35" s="517">
        <f t="shared" si="183"/>
        <v>0</v>
      </c>
      <c r="HQ35" s="515"/>
      <c r="HR35" s="516">
        <f t="shared" si="73"/>
        <v>0</v>
      </c>
      <c r="HS35" s="517">
        <f t="shared" si="184"/>
        <v>0</v>
      </c>
      <c r="HT35" s="515"/>
      <c r="HU35" s="516">
        <f t="shared" si="74"/>
        <v>0</v>
      </c>
      <c r="HV35" s="517">
        <f t="shared" si="185"/>
        <v>0</v>
      </c>
      <c r="HW35" s="515"/>
      <c r="HX35" s="516">
        <f t="shared" si="75"/>
        <v>0</v>
      </c>
      <c r="HY35" s="517">
        <f t="shared" si="186"/>
        <v>0</v>
      </c>
      <c r="HZ35" s="515"/>
      <c r="IA35" s="516">
        <f t="shared" si="76"/>
        <v>0</v>
      </c>
      <c r="IB35" s="517">
        <f t="shared" si="187"/>
        <v>0</v>
      </c>
      <c r="IC35" s="515"/>
      <c r="ID35" s="516">
        <f t="shared" si="77"/>
        <v>0</v>
      </c>
      <c r="IE35" s="517">
        <f t="shared" si="188"/>
        <v>0</v>
      </c>
      <c r="IF35" s="515"/>
      <c r="IG35" s="516">
        <f t="shared" si="78"/>
        <v>0</v>
      </c>
      <c r="IH35" s="517">
        <f t="shared" si="189"/>
        <v>0</v>
      </c>
      <c r="II35" s="515"/>
      <c r="IJ35" s="516">
        <f t="shared" si="79"/>
        <v>0</v>
      </c>
      <c r="IK35" s="517">
        <f t="shared" si="190"/>
        <v>0</v>
      </c>
      <c r="IL35" s="515"/>
      <c r="IM35" s="516">
        <f t="shared" si="80"/>
        <v>0</v>
      </c>
      <c r="IN35" s="517">
        <f t="shared" si="191"/>
        <v>0</v>
      </c>
      <c r="IO35" s="515"/>
      <c r="IP35" s="516">
        <f t="shared" si="81"/>
        <v>0</v>
      </c>
      <c r="IQ35" s="517">
        <f t="shared" si="192"/>
        <v>0</v>
      </c>
      <c r="IR35" s="515"/>
      <c r="IS35" s="516">
        <f t="shared" si="82"/>
        <v>0</v>
      </c>
      <c r="IT35" s="517">
        <f t="shared" si="193"/>
        <v>0</v>
      </c>
      <c r="IU35" s="515"/>
      <c r="IV35" s="516">
        <f t="shared" si="83"/>
        <v>0</v>
      </c>
      <c r="IW35" s="517">
        <f t="shared" si="194"/>
        <v>0</v>
      </c>
      <c r="IX35" s="515"/>
      <c r="IY35" s="516">
        <f t="shared" si="84"/>
        <v>0</v>
      </c>
      <c r="IZ35" s="517">
        <f t="shared" si="195"/>
        <v>0</v>
      </c>
      <c r="JA35" s="515"/>
      <c r="JB35" s="516">
        <f t="shared" si="85"/>
        <v>0</v>
      </c>
      <c r="JC35" s="517">
        <f t="shared" si="196"/>
        <v>0</v>
      </c>
      <c r="JD35" s="515"/>
      <c r="JE35" s="516">
        <f t="shared" si="86"/>
        <v>0</v>
      </c>
      <c r="JF35" s="517">
        <f t="shared" si="197"/>
        <v>0</v>
      </c>
      <c r="JG35" s="515"/>
      <c r="JH35" s="516">
        <f t="shared" si="87"/>
        <v>0</v>
      </c>
      <c r="JI35" s="517">
        <f t="shared" si="198"/>
        <v>0</v>
      </c>
      <c r="JJ35" s="515"/>
      <c r="JK35" s="517" t="str">
        <f t="shared" si="88"/>
        <v>0</v>
      </c>
      <c r="JL35" s="517" t="str">
        <f t="shared" si="89"/>
        <v>0</v>
      </c>
      <c r="JM35" s="515"/>
      <c r="JN35" s="517" t="str">
        <f t="shared" si="90"/>
        <v>0</v>
      </c>
      <c r="JO35" s="517" t="str">
        <f t="shared" si="91"/>
        <v>0</v>
      </c>
      <c r="JP35" s="515"/>
      <c r="JQ35" s="517" t="str">
        <f t="shared" si="92"/>
        <v>0</v>
      </c>
      <c r="JR35" s="517" t="str">
        <f t="shared" si="93"/>
        <v>0</v>
      </c>
      <c r="JS35" s="515"/>
      <c r="JT35" s="517" t="str">
        <f t="shared" si="94"/>
        <v>0</v>
      </c>
      <c r="JU35" s="517" t="str">
        <f t="shared" si="95"/>
        <v>0</v>
      </c>
      <c r="JV35" s="515"/>
      <c r="JW35" s="517" t="str">
        <f t="shared" si="96"/>
        <v>0</v>
      </c>
      <c r="JX35" s="517" t="str">
        <f t="shared" si="97"/>
        <v>0</v>
      </c>
      <c r="JY35" s="515"/>
      <c r="JZ35" s="517" t="str">
        <f t="shared" si="98"/>
        <v>0</v>
      </c>
      <c r="KA35" s="517" t="str">
        <f t="shared" si="99"/>
        <v>0</v>
      </c>
      <c r="KB35" s="515"/>
      <c r="KC35" s="517" t="str">
        <f t="shared" si="100"/>
        <v>0</v>
      </c>
      <c r="KD35" s="517" t="str">
        <f t="shared" si="101"/>
        <v>0</v>
      </c>
      <c r="KE35" s="515"/>
      <c r="KF35" s="517" t="str">
        <f t="shared" si="102"/>
        <v>0</v>
      </c>
      <c r="KG35" s="517" t="str">
        <f t="shared" si="103"/>
        <v>0</v>
      </c>
      <c r="KH35" s="515"/>
      <c r="KI35" s="517" t="str">
        <f t="shared" si="104"/>
        <v>0</v>
      </c>
      <c r="KJ35" s="517" t="str">
        <f t="shared" si="105"/>
        <v>0</v>
      </c>
      <c r="KK35" s="515"/>
      <c r="KL35" s="517" t="str">
        <f t="shared" si="106"/>
        <v>0</v>
      </c>
      <c r="KM35" s="517" t="str">
        <f t="shared" si="107"/>
        <v>0</v>
      </c>
      <c r="KN35" s="515"/>
      <c r="KO35" s="517" t="str">
        <f t="shared" si="108"/>
        <v>0</v>
      </c>
      <c r="KP35" s="517" t="str">
        <f t="shared" si="109"/>
        <v>0</v>
      </c>
      <c r="KQ35" s="515"/>
      <c r="KR35" s="517" t="str">
        <f t="shared" si="110"/>
        <v>0</v>
      </c>
      <c r="KS35" s="517" t="str">
        <f t="shared" si="111"/>
        <v>0</v>
      </c>
      <c r="KT35" s="517">
        <f t="shared" si="201"/>
        <v>0</v>
      </c>
      <c r="KU35" s="517">
        <f t="shared" si="202"/>
        <v>0</v>
      </c>
      <c r="KV35" s="263">
        <f t="shared" si="199"/>
        <v>803.656621903987</v>
      </c>
    </row>
    <row r="36" spans="1:308" ht="15" customHeight="1">
      <c r="A36" s="264">
        <f t="shared" si="200"/>
        <v>45866</v>
      </c>
      <c r="B36" s="265" t="str">
        <f>+Report1!B36</f>
        <v>Facial</v>
      </c>
      <c r="C36" s="265" t="str">
        <f>+Report1!C36</f>
        <v>12</v>
      </c>
      <c r="D36" s="266">
        <f>+Report1!P36</f>
        <v>42.545000000000002</v>
      </c>
      <c r="E36" s="553">
        <f>+Report1!R36</f>
        <v>41.054000000000002</v>
      </c>
      <c r="F36" s="515"/>
      <c r="G36" s="516">
        <f t="shared" si="0"/>
        <v>0</v>
      </c>
      <c r="H36" s="517">
        <f t="shared" si="112"/>
        <v>0</v>
      </c>
      <c r="I36" s="515">
        <v>186.04651162790697</v>
      </c>
      <c r="J36" s="516">
        <f t="shared" si="1"/>
        <v>4.5317511479492119</v>
      </c>
      <c r="K36" s="517">
        <f t="shared" si="113"/>
        <v>0</v>
      </c>
      <c r="L36" s="515"/>
      <c r="M36" s="516">
        <f t="shared" si="2"/>
        <v>0</v>
      </c>
      <c r="N36" s="517">
        <f t="shared" si="114"/>
        <v>0</v>
      </c>
      <c r="O36" s="515">
        <v>5.9999999999999858</v>
      </c>
      <c r="P36" s="516">
        <f t="shared" si="3"/>
        <v>0.14614897452136175</v>
      </c>
      <c r="Q36" s="517">
        <f t="shared" si="115"/>
        <v>0</v>
      </c>
      <c r="R36" s="515"/>
      <c r="S36" s="516">
        <f t="shared" si="4"/>
        <v>0</v>
      </c>
      <c r="T36" s="517">
        <f t="shared" si="116"/>
        <v>0</v>
      </c>
      <c r="U36" s="515">
        <v>8.9687499999999716</v>
      </c>
      <c r="V36" s="516">
        <f t="shared" si="5"/>
        <v>0.21846226920641038</v>
      </c>
      <c r="W36" s="517">
        <f t="shared" si="117"/>
        <v>0</v>
      </c>
      <c r="X36" s="515"/>
      <c r="Y36" s="516">
        <f t="shared" si="6"/>
        <v>0</v>
      </c>
      <c r="Z36" s="517">
        <f t="shared" si="118"/>
        <v>0</v>
      </c>
      <c r="AA36" s="515"/>
      <c r="AB36" s="516">
        <f t="shared" si="7"/>
        <v>0</v>
      </c>
      <c r="AC36" s="517">
        <f t="shared" si="119"/>
        <v>0</v>
      </c>
      <c r="AD36" s="515"/>
      <c r="AE36" s="516">
        <f t="shared" si="8"/>
        <v>0</v>
      </c>
      <c r="AF36" s="517">
        <f t="shared" si="120"/>
        <v>0</v>
      </c>
      <c r="AG36" s="515"/>
      <c r="AH36" s="516">
        <f t="shared" si="9"/>
        <v>0</v>
      </c>
      <c r="AI36" s="517">
        <f t="shared" si="121"/>
        <v>0</v>
      </c>
      <c r="AJ36" s="515"/>
      <c r="AK36" s="516">
        <f t="shared" si="10"/>
        <v>0</v>
      </c>
      <c r="AL36" s="517">
        <f t="shared" si="122"/>
        <v>0</v>
      </c>
      <c r="AM36" s="515"/>
      <c r="AN36" s="516">
        <f t="shared" si="11"/>
        <v>0</v>
      </c>
      <c r="AO36" s="517">
        <f t="shared" si="123"/>
        <v>0</v>
      </c>
      <c r="AP36" s="515">
        <v>39.87341772151899</v>
      </c>
      <c r="AQ36" s="516">
        <f t="shared" si="12"/>
        <v>0.97124318511031782</v>
      </c>
      <c r="AR36" s="517">
        <f t="shared" si="124"/>
        <v>0</v>
      </c>
      <c r="AS36" s="515"/>
      <c r="AT36" s="516">
        <f t="shared" si="13"/>
        <v>0</v>
      </c>
      <c r="AU36" s="517">
        <f t="shared" si="125"/>
        <v>0</v>
      </c>
      <c r="AV36" s="515"/>
      <c r="AW36" s="516">
        <f t="shared" si="14"/>
        <v>0</v>
      </c>
      <c r="AX36" s="517">
        <f t="shared" si="126"/>
        <v>0</v>
      </c>
      <c r="AY36" s="515">
        <v>55.999999999999886</v>
      </c>
      <c r="AZ36" s="516">
        <f t="shared" si="15"/>
        <v>1.3640570955327103</v>
      </c>
      <c r="BA36" s="517">
        <f t="shared" si="127"/>
        <v>0</v>
      </c>
      <c r="BB36" s="515"/>
      <c r="BC36" s="516">
        <f t="shared" si="16"/>
        <v>0</v>
      </c>
      <c r="BD36" s="517">
        <f t="shared" si="128"/>
        <v>0</v>
      </c>
      <c r="BE36" s="515"/>
      <c r="BF36" s="516">
        <f t="shared" si="17"/>
        <v>0</v>
      </c>
      <c r="BG36" s="517">
        <f t="shared" si="129"/>
        <v>0</v>
      </c>
      <c r="BH36" s="515"/>
      <c r="BI36" s="516">
        <f t="shared" si="18"/>
        <v>0</v>
      </c>
      <c r="BJ36" s="517">
        <f t="shared" si="130"/>
        <v>0</v>
      </c>
      <c r="BK36" s="515"/>
      <c r="BL36" s="516">
        <f t="shared" si="19"/>
        <v>0</v>
      </c>
      <c r="BM36" s="517">
        <f t="shared" si="131"/>
        <v>0</v>
      </c>
      <c r="BN36" s="515"/>
      <c r="BO36" s="516">
        <f t="shared" si="20"/>
        <v>0</v>
      </c>
      <c r="BP36" s="517">
        <f t="shared" si="132"/>
        <v>0</v>
      </c>
      <c r="BQ36" s="515"/>
      <c r="BR36" s="516">
        <f t="shared" si="21"/>
        <v>0</v>
      </c>
      <c r="BS36" s="517">
        <f t="shared" si="133"/>
        <v>0</v>
      </c>
      <c r="BT36" s="515"/>
      <c r="BU36" s="516">
        <f t="shared" si="22"/>
        <v>0</v>
      </c>
      <c r="BV36" s="517">
        <f t="shared" si="134"/>
        <v>0</v>
      </c>
      <c r="BW36" s="515"/>
      <c r="BX36" s="516">
        <f t="shared" si="23"/>
        <v>0</v>
      </c>
      <c r="BY36" s="517">
        <f t="shared" si="135"/>
        <v>0</v>
      </c>
      <c r="BZ36" s="515"/>
      <c r="CA36" s="516">
        <f t="shared" si="24"/>
        <v>0</v>
      </c>
      <c r="CB36" s="517">
        <f t="shared" si="136"/>
        <v>0</v>
      </c>
      <c r="CC36" s="515"/>
      <c r="CD36" s="516">
        <f t="shared" si="25"/>
        <v>0</v>
      </c>
      <c r="CE36" s="517">
        <f t="shared" si="137"/>
        <v>0</v>
      </c>
      <c r="CF36" s="515">
        <v>0.39999999999999769</v>
      </c>
      <c r="CG36" s="516">
        <f t="shared" si="26"/>
        <v>9.7432649680907497E-3</v>
      </c>
      <c r="CH36" s="517">
        <f t="shared" si="138"/>
        <v>0</v>
      </c>
      <c r="CI36" s="515"/>
      <c r="CJ36" s="516">
        <f t="shared" si="27"/>
        <v>0</v>
      </c>
      <c r="CK36" s="517">
        <f t="shared" si="139"/>
        <v>0</v>
      </c>
      <c r="CL36" s="515"/>
      <c r="CM36" s="516">
        <f t="shared" si="28"/>
        <v>0</v>
      </c>
      <c r="CN36" s="517">
        <f t="shared" si="140"/>
        <v>0</v>
      </c>
      <c r="CO36" s="515"/>
      <c r="CP36" s="516">
        <f t="shared" si="29"/>
        <v>0</v>
      </c>
      <c r="CQ36" s="517">
        <f t="shared" si="141"/>
        <v>0</v>
      </c>
      <c r="CR36" s="515"/>
      <c r="CS36" s="516">
        <f t="shared" si="30"/>
        <v>0</v>
      </c>
      <c r="CT36" s="517">
        <f t="shared" si="142"/>
        <v>0</v>
      </c>
      <c r="CU36" s="515"/>
      <c r="CV36" s="516">
        <f t="shared" si="31"/>
        <v>0</v>
      </c>
      <c r="CW36" s="517">
        <f t="shared" si="143"/>
        <v>0</v>
      </c>
      <c r="CX36" s="515"/>
      <c r="CY36" s="516">
        <f t="shared" si="32"/>
        <v>0</v>
      </c>
      <c r="CZ36" s="517">
        <f t="shared" si="144"/>
        <v>0</v>
      </c>
      <c r="DA36" s="515"/>
      <c r="DB36" s="516">
        <f t="shared" si="33"/>
        <v>0</v>
      </c>
      <c r="DC36" s="517">
        <f t="shared" si="145"/>
        <v>0</v>
      </c>
      <c r="DD36" s="515"/>
      <c r="DE36" s="516">
        <f t="shared" si="34"/>
        <v>0</v>
      </c>
      <c r="DF36" s="517">
        <f t="shared" si="146"/>
        <v>0</v>
      </c>
      <c r="DG36" s="515"/>
      <c r="DH36" s="516">
        <f t="shared" si="35"/>
        <v>0</v>
      </c>
      <c r="DI36" s="517">
        <f t="shared" si="203"/>
        <v>0</v>
      </c>
      <c r="DJ36" s="515"/>
      <c r="DK36" s="516">
        <f t="shared" si="36"/>
        <v>0</v>
      </c>
      <c r="DL36" s="517">
        <f t="shared" si="147"/>
        <v>0</v>
      </c>
      <c r="DM36" s="515"/>
      <c r="DN36" s="516">
        <f t="shared" si="37"/>
        <v>0</v>
      </c>
      <c r="DO36" s="517">
        <f t="shared" si="148"/>
        <v>0</v>
      </c>
      <c r="DP36" s="515"/>
      <c r="DQ36" s="516">
        <f t="shared" si="38"/>
        <v>0</v>
      </c>
      <c r="DR36" s="517">
        <f t="shared" si="149"/>
        <v>0</v>
      </c>
      <c r="DS36" s="515"/>
      <c r="DT36" s="516">
        <f t="shared" si="39"/>
        <v>0</v>
      </c>
      <c r="DU36" s="517">
        <f t="shared" si="150"/>
        <v>0</v>
      </c>
      <c r="DV36" s="515"/>
      <c r="DW36" s="516">
        <f t="shared" si="40"/>
        <v>0</v>
      </c>
      <c r="DX36" s="517">
        <f t="shared" si="151"/>
        <v>0</v>
      </c>
      <c r="DY36" s="515"/>
      <c r="DZ36" s="516">
        <f t="shared" si="41"/>
        <v>0</v>
      </c>
      <c r="EA36" s="517">
        <f t="shared" si="152"/>
        <v>0</v>
      </c>
      <c r="EB36" s="515"/>
      <c r="EC36" s="516">
        <f t="shared" si="42"/>
        <v>0</v>
      </c>
      <c r="ED36" s="517">
        <f t="shared" si="153"/>
        <v>0</v>
      </c>
      <c r="EE36" s="515">
        <v>10.901162790697697</v>
      </c>
      <c r="EF36" s="516">
        <f t="shared" si="43"/>
        <v>0.2655322938251497</v>
      </c>
      <c r="EG36" s="517">
        <f t="shared" si="154"/>
        <v>0</v>
      </c>
      <c r="EH36" s="515">
        <v>23.482352941176487</v>
      </c>
      <c r="EI36" s="516">
        <f t="shared" si="44"/>
        <v>0.57198696695027251</v>
      </c>
      <c r="EJ36" s="517">
        <f t="shared" si="155"/>
        <v>0</v>
      </c>
      <c r="EK36" s="515">
        <v>2</v>
      </c>
      <c r="EL36" s="516">
        <f t="shared" si="45"/>
        <v>4.8716324840454031E-2</v>
      </c>
      <c r="EM36" s="517">
        <f t="shared" si="156"/>
        <v>0</v>
      </c>
      <c r="EN36" s="515"/>
      <c r="EO36" s="516">
        <f t="shared" si="46"/>
        <v>0</v>
      </c>
      <c r="EP36" s="517">
        <f t="shared" si="157"/>
        <v>0</v>
      </c>
      <c r="EQ36" s="515"/>
      <c r="ER36" s="516">
        <f t="shared" si="47"/>
        <v>0</v>
      </c>
      <c r="ES36" s="517">
        <f t="shared" si="158"/>
        <v>0</v>
      </c>
      <c r="ET36" s="515"/>
      <c r="EU36" s="516">
        <f t="shared" si="48"/>
        <v>0</v>
      </c>
      <c r="EV36" s="517">
        <f t="shared" si="159"/>
        <v>0</v>
      </c>
      <c r="EW36" s="515"/>
      <c r="EX36" s="516">
        <f t="shared" si="49"/>
        <v>0</v>
      </c>
      <c r="EY36" s="517">
        <f t="shared" si="160"/>
        <v>0</v>
      </c>
      <c r="EZ36" s="515"/>
      <c r="FA36" s="516">
        <f t="shared" si="50"/>
        <v>0</v>
      </c>
      <c r="FB36" s="517">
        <f t="shared" si="161"/>
        <v>0</v>
      </c>
      <c r="FC36" s="515"/>
      <c r="FD36" s="516">
        <f t="shared" si="51"/>
        <v>0</v>
      </c>
      <c r="FE36" s="517">
        <f t="shared" si="162"/>
        <v>0</v>
      </c>
      <c r="FF36" s="515"/>
      <c r="FG36" s="516">
        <f t="shared" si="52"/>
        <v>0</v>
      </c>
      <c r="FH36" s="517">
        <f t="shared" si="163"/>
        <v>0</v>
      </c>
      <c r="FI36" s="515"/>
      <c r="FJ36" s="516">
        <f t="shared" si="53"/>
        <v>0</v>
      </c>
      <c r="FK36" s="517">
        <f t="shared" si="164"/>
        <v>0</v>
      </c>
      <c r="FL36" s="515"/>
      <c r="FM36" s="516">
        <f t="shared" si="54"/>
        <v>0</v>
      </c>
      <c r="FN36" s="517">
        <f t="shared" si="165"/>
        <v>0</v>
      </c>
      <c r="FO36" s="515"/>
      <c r="FP36" s="516">
        <f t="shared" si="55"/>
        <v>0</v>
      </c>
      <c r="FQ36" s="517">
        <f t="shared" si="166"/>
        <v>0</v>
      </c>
      <c r="FR36" s="515"/>
      <c r="FS36" s="516">
        <f t="shared" si="56"/>
        <v>0</v>
      </c>
      <c r="FT36" s="517">
        <f t="shared" si="167"/>
        <v>0</v>
      </c>
      <c r="FU36" s="515"/>
      <c r="FV36" s="516">
        <f t="shared" si="57"/>
        <v>0</v>
      </c>
      <c r="FW36" s="517">
        <f t="shared" si="168"/>
        <v>0</v>
      </c>
      <c r="FX36" s="515"/>
      <c r="FY36" s="516">
        <f t="shared" si="58"/>
        <v>0</v>
      </c>
      <c r="FZ36" s="517">
        <f t="shared" si="169"/>
        <v>0</v>
      </c>
      <c r="GA36" s="515"/>
      <c r="GB36" s="516">
        <f t="shared" si="59"/>
        <v>0</v>
      </c>
      <c r="GC36" s="517">
        <f t="shared" si="170"/>
        <v>0</v>
      </c>
      <c r="GD36" s="515"/>
      <c r="GE36" s="516">
        <f t="shared" si="60"/>
        <v>0</v>
      </c>
      <c r="GF36" s="517">
        <f t="shared" si="171"/>
        <v>0</v>
      </c>
      <c r="GG36" s="515"/>
      <c r="GH36" s="516">
        <f t="shared" si="61"/>
        <v>0</v>
      </c>
      <c r="GI36" s="517">
        <f t="shared" si="172"/>
        <v>0</v>
      </c>
      <c r="GJ36" s="515"/>
      <c r="GK36" s="516">
        <f t="shared" si="62"/>
        <v>0</v>
      </c>
      <c r="GL36" s="517">
        <f t="shared" si="173"/>
        <v>0</v>
      </c>
      <c r="GM36" s="515"/>
      <c r="GN36" s="516">
        <f t="shared" si="63"/>
        <v>0</v>
      </c>
      <c r="GO36" s="517">
        <f t="shared" si="174"/>
        <v>0</v>
      </c>
      <c r="GP36" s="515"/>
      <c r="GQ36" s="516">
        <f t="shared" si="64"/>
        <v>0</v>
      </c>
      <c r="GR36" s="517">
        <f t="shared" si="175"/>
        <v>0</v>
      </c>
      <c r="GS36" s="515"/>
      <c r="GT36" s="516">
        <f t="shared" si="65"/>
        <v>0</v>
      </c>
      <c r="GU36" s="517">
        <f t="shared" si="176"/>
        <v>0</v>
      </c>
      <c r="GV36" s="515"/>
      <c r="GW36" s="516">
        <f t="shared" si="66"/>
        <v>0</v>
      </c>
      <c r="GX36" s="517">
        <f t="shared" si="177"/>
        <v>0</v>
      </c>
      <c r="GY36" s="515"/>
      <c r="GZ36" s="516">
        <f t="shared" si="67"/>
        <v>0</v>
      </c>
      <c r="HA36" s="517">
        <f t="shared" si="178"/>
        <v>0</v>
      </c>
      <c r="HB36" s="515"/>
      <c r="HC36" s="516">
        <f t="shared" si="68"/>
        <v>0</v>
      </c>
      <c r="HD36" s="517">
        <f t="shared" si="179"/>
        <v>0</v>
      </c>
      <c r="HE36" s="515"/>
      <c r="HF36" s="516">
        <f t="shared" si="69"/>
        <v>0</v>
      </c>
      <c r="HG36" s="517">
        <f t="shared" si="180"/>
        <v>0</v>
      </c>
      <c r="HH36" s="515"/>
      <c r="HI36" s="516">
        <f t="shared" si="70"/>
        <v>0</v>
      </c>
      <c r="HJ36" s="517">
        <f t="shared" si="181"/>
        <v>0</v>
      </c>
      <c r="HK36" s="515"/>
      <c r="HL36" s="516">
        <f t="shared" si="71"/>
        <v>0</v>
      </c>
      <c r="HM36" s="517">
        <f t="shared" si="182"/>
        <v>0</v>
      </c>
      <c r="HN36" s="515"/>
      <c r="HO36" s="516">
        <f t="shared" si="72"/>
        <v>0</v>
      </c>
      <c r="HP36" s="517">
        <f t="shared" si="183"/>
        <v>0</v>
      </c>
      <c r="HQ36" s="515"/>
      <c r="HR36" s="516">
        <f t="shared" si="73"/>
        <v>0</v>
      </c>
      <c r="HS36" s="517">
        <f t="shared" si="184"/>
        <v>0</v>
      </c>
      <c r="HT36" s="515"/>
      <c r="HU36" s="516">
        <f t="shared" si="74"/>
        <v>0</v>
      </c>
      <c r="HV36" s="517">
        <f t="shared" si="185"/>
        <v>0</v>
      </c>
      <c r="HW36" s="515"/>
      <c r="HX36" s="516">
        <f t="shared" si="75"/>
        <v>0</v>
      </c>
      <c r="HY36" s="517">
        <f t="shared" si="186"/>
        <v>0</v>
      </c>
      <c r="HZ36" s="515"/>
      <c r="IA36" s="516">
        <f t="shared" si="76"/>
        <v>0</v>
      </c>
      <c r="IB36" s="517">
        <f t="shared" si="187"/>
        <v>0</v>
      </c>
      <c r="IC36" s="515"/>
      <c r="ID36" s="516">
        <f t="shared" si="77"/>
        <v>0</v>
      </c>
      <c r="IE36" s="517">
        <f t="shared" si="188"/>
        <v>0</v>
      </c>
      <c r="IF36" s="515"/>
      <c r="IG36" s="516">
        <f t="shared" si="78"/>
        <v>0</v>
      </c>
      <c r="IH36" s="517">
        <f t="shared" si="189"/>
        <v>0</v>
      </c>
      <c r="II36" s="515"/>
      <c r="IJ36" s="516">
        <f t="shared" si="79"/>
        <v>0</v>
      </c>
      <c r="IK36" s="517">
        <f t="shared" si="190"/>
        <v>0</v>
      </c>
      <c r="IL36" s="515"/>
      <c r="IM36" s="516">
        <f t="shared" si="80"/>
        <v>0</v>
      </c>
      <c r="IN36" s="517">
        <f t="shared" si="191"/>
        <v>0</v>
      </c>
      <c r="IO36" s="515"/>
      <c r="IP36" s="516">
        <f t="shared" si="81"/>
        <v>0</v>
      </c>
      <c r="IQ36" s="517">
        <f t="shared" si="192"/>
        <v>0</v>
      </c>
      <c r="IR36" s="515"/>
      <c r="IS36" s="516">
        <f t="shared" si="82"/>
        <v>0</v>
      </c>
      <c r="IT36" s="517">
        <f t="shared" si="193"/>
        <v>0</v>
      </c>
      <c r="IU36" s="515"/>
      <c r="IV36" s="516">
        <f t="shared" si="83"/>
        <v>0</v>
      </c>
      <c r="IW36" s="517">
        <f t="shared" si="194"/>
        <v>0</v>
      </c>
      <c r="IX36" s="515"/>
      <c r="IY36" s="516">
        <f t="shared" si="84"/>
        <v>0</v>
      </c>
      <c r="IZ36" s="517">
        <f t="shared" si="195"/>
        <v>0</v>
      </c>
      <c r="JA36" s="515"/>
      <c r="JB36" s="516">
        <f t="shared" si="85"/>
        <v>0</v>
      </c>
      <c r="JC36" s="517">
        <f t="shared" si="196"/>
        <v>0</v>
      </c>
      <c r="JD36" s="515"/>
      <c r="JE36" s="516">
        <f t="shared" si="86"/>
        <v>0</v>
      </c>
      <c r="JF36" s="517">
        <f t="shared" si="197"/>
        <v>0</v>
      </c>
      <c r="JG36" s="515"/>
      <c r="JH36" s="516">
        <f t="shared" si="87"/>
        <v>0</v>
      </c>
      <c r="JI36" s="517">
        <f t="shared" si="198"/>
        <v>0</v>
      </c>
      <c r="JJ36" s="515"/>
      <c r="JK36" s="517" t="str">
        <f t="shared" si="88"/>
        <v>0</v>
      </c>
      <c r="JL36" s="517" t="str">
        <f t="shared" si="89"/>
        <v>0</v>
      </c>
      <c r="JM36" s="515"/>
      <c r="JN36" s="517" t="str">
        <f t="shared" si="90"/>
        <v>0</v>
      </c>
      <c r="JO36" s="517" t="str">
        <f t="shared" si="91"/>
        <v>0</v>
      </c>
      <c r="JP36" s="515"/>
      <c r="JQ36" s="517" t="str">
        <f t="shared" si="92"/>
        <v>0</v>
      </c>
      <c r="JR36" s="517" t="str">
        <f t="shared" si="93"/>
        <v>0</v>
      </c>
      <c r="JS36" s="515"/>
      <c r="JT36" s="517" t="str">
        <f t="shared" si="94"/>
        <v>0</v>
      </c>
      <c r="JU36" s="517" t="str">
        <f t="shared" si="95"/>
        <v>0</v>
      </c>
      <c r="JV36" s="515"/>
      <c r="JW36" s="517" t="str">
        <f t="shared" si="96"/>
        <v>0</v>
      </c>
      <c r="JX36" s="517" t="str">
        <f t="shared" si="97"/>
        <v>0</v>
      </c>
      <c r="JY36" s="515"/>
      <c r="JZ36" s="517" t="str">
        <f t="shared" si="98"/>
        <v>0</v>
      </c>
      <c r="KA36" s="517" t="str">
        <f t="shared" si="99"/>
        <v>0</v>
      </c>
      <c r="KB36" s="515"/>
      <c r="KC36" s="517" t="str">
        <f t="shared" si="100"/>
        <v>0</v>
      </c>
      <c r="KD36" s="517" t="str">
        <f t="shared" si="101"/>
        <v>0</v>
      </c>
      <c r="KE36" s="515"/>
      <c r="KF36" s="517" t="str">
        <f t="shared" si="102"/>
        <v>0</v>
      </c>
      <c r="KG36" s="517" t="str">
        <f t="shared" si="103"/>
        <v>0</v>
      </c>
      <c r="KH36" s="515"/>
      <c r="KI36" s="517" t="str">
        <f t="shared" si="104"/>
        <v>0</v>
      </c>
      <c r="KJ36" s="517" t="str">
        <f t="shared" si="105"/>
        <v>0</v>
      </c>
      <c r="KK36" s="515"/>
      <c r="KL36" s="517" t="str">
        <f t="shared" si="106"/>
        <v>0</v>
      </c>
      <c r="KM36" s="517" t="str">
        <f t="shared" si="107"/>
        <v>0</v>
      </c>
      <c r="KN36" s="515"/>
      <c r="KO36" s="517" t="str">
        <f t="shared" si="108"/>
        <v>0</v>
      </c>
      <c r="KP36" s="517" t="str">
        <f t="shared" si="109"/>
        <v>0</v>
      </c>
      <c r="KQ36" s="515"/>
      <c r="KR36" s="517" t="str">
        <f t="shared" si="110"/>
        <v>0</v>
      </c>
      <c r="KS36" s="517" t="str">
        <f t="shared" si="111"/>
        <v>0</v>
      </c>
      <c r="KT36" s="517">
        <f t="shared" si="201"/>
        <v>0</v>
      </c>
      <c r="KU36" s="517">
        <f t="shared" si="202"/>
        <v>0</v>
      </c>
      <c r="KV36" s="263">
        <f t="shared" si="199"/>
        <v>333.6721950813</v>
      </c>
    </row>
    <row r="37" spans="1:308" ht="15" customHeight="1">
      <c r="A37" s="264">
        <f t="shared" si="200"/>
        <v>45867</v>
      </c>
      <c r="B37" s="265" t="str">
        <f>+Report1!B37</f>
        <v>Facial</v>
      </c>
      <c r="C37" s="265" t="str">
        <f>+Report1!C37</f>
        <v>12/13</v>
      </c>
      <c r="D37" s="266">
        <f>+Report1!P37</f>
        <v>42.968000000000004</v>
      </c>
      <c r="E37" s="553">
        <f>+Report1!R37</f>
        <v>41.597000000000001</v>
      </c>
      <c r="F37" s="515"/>
      <c r="G37" s="516">
        <f t="shared" si="0"/>
        <v>0</v>
      </c>
      <c r="H37" s="517">
        <f t="shared" si="112"/>
        <v>0</v>
      </c>
      <c r="I37" s="515">
        <v>197.67441860465101</v>
      </c>
      <c r="J37" s="516">
        <f t="shared" si="1"/>
        <v>4.7521316105644882</v>
      </c>
      <c r="K37" s="517">
        <f t="shared" si="113"/>
        <v>0</v>
      </c>
      <c r="L37" s="515"/>
      <c r="M37" s="516">
        <f t="shared" si="2"/>
        <v>0</v>
      </c>
      <c r="N37" s="517">
        <f t="shared" si="114"/>
        <v>0</v>
      </c>
      <c r="O37" s="515">
        <v>6</v>
      </c>
      <c r="P37" s="516">
        <f t="shared" si="3"/>
        <v>0.14424117123831046</v>
      </c>
      <c r="Q37" s="517">
        <f t="shared" si="115"/>
        <v>0</v>
      </c>
      <c r="R37" s="515"/>
      <c r="S37" s="516">
        <f t="shared" si="4"/>
        <v>0</v>
      </c>
      <c r="T37" s="517">
        <f t="shared" si="116"/>
        <v>0</v>
      </c>
      <c r="U37" s="515">
        <v>8.9687500000000284</v>
      </c>
      <c r="V37" s="516">
        <f t="shared" si="5"/>
        <v>0.21561050075726682</v>
      </c>
      <c r="W37" s="517">
        <f t="shared" si="117"/>
        <v>0</v>
      </c>
      <c r="X37" s="515"/>
      <c r="Y37" s="516">
        <f t="shared" si="6"/>
        <v>0</v>
      </c>
      <c r="Z37" s="517">
        <f t="shared" si="118"/>
        <v>0</v>
      </c>
      <c r="AA37" s="515"/>
      <c r="AB37" s="516">
        <f t="shared" si="7"/>
        <v>0</v>
      </c>
      <c r="AC37" s="517">
        <f t="shared" si="119"/>
        <v>0</v>
      </c>
      <c r="AD37" s="515"/>
      <c r="AE37" s="516">
        <f t="shared" si="8"/>
        <v>0</v>
      </c>
      <c r="AF37" s="517">
        <f t="shared" si="120"/>
        <v>0</v>
      </c>
      <c r="AG37" s="515"/>
      <c r="AH37" s="516">
        <f t="shared" si="9"/>
        <v>0</v>
      </c>
      <c r="AI37" s="517">
        <f t="shared" si="121"/>
        <v>0</v>
      </c>
      <c r="AJ37" s="515"/>
      <c r="AK37" s="516">
        <f t="shared" si="10"/>
        <v>0</v>
      </c>
      <c r="AL37" s="517">
        <f t="shared" si="122"/>
        <v>0</v>
      </c>
      <c r="AM37" s="515"/>
      <c r="AN37" s="516">
        <f t="shared" si="11"/>
        <v>0</v>
      </c>
      <c r="AO37" s="517">
        <f t="shared" si="123"/>
        <v>0</v>
      </c>
      <c r="AP37" s="515">
        <v>42.721518987341767</v>
      </c>
      <c r="AQ37" s="516">
        <f t="shared" si="12"/>
        <v>1.0270336559689826</v>
      </c>
      <c r="AR37" s="517">
        <f t="shared" si="124"/>
        <v>0</v>
      </c>
      <c r="AS37" s="515"/>
      <c r="AT37" s="516">
        <f t="shared" si="13"/>
        <v>0</v>
      </c>
      <c r="AU37" s="517">
        <f t="shared" si="125"/>
        <v>0</v>
      </c>
      <c r="AV37" s="515"/>
      <c r="AW37" s="516">
        <f t="shared" si="14"/>
        <v>0</v>
      </c>
      <c r="AX37" s="517">
        <f t="shared" si="126"/>
        <v>0</v>
      </c>
      <c r="AY37" s="515">
        <v>51.333333333333371</v>
      </c>
      <c r="AZ37" s="516">
        <f t="shared" si="15"/>
        <v>1.2340633539277681</v>
      </c>
      <c r="BA37" s="517">
        <f t="shared" si="127"/>
        <v>0</v>
      </c>
      <c r="BB37" s="515"/>
      <c r="BC37" s="516">
        <f t="shared" si="16"/>
        <v>0</v>
      </c>
      <c r="BD37" s="517">
        <f t="shared" si="128"/>
        <v>0</v>
      </c>
      <c r="BE37" s="515"/>
      <c r="BF37" s="516">
        <f t="shared" si="17"/>
        <v>0</v>
      </c>
      <c r="BG37" s="517">
        <f t="shared" si="129"/>
        <v>0</v>
      </c>
      <c r="BH37" s="515"/>
      <c r="BI37" s="516">
        <f t="shared" si="18"/>
        <v>0</v>
      </c>
      <c r="BJ37" s="517">
        <f t="shared" si="130"/>
        <v>0</v>
      </c>
      <c r="BK37" s="515"/>
      <c r="BL37" s="516">
        <f t="shared" si="19"/>
        <v>0</v>
      </c>
      <c r="BM37" s="517">
        <f t="shared" si="131"/>
        <v>0</v>
      </c>
      <c r="BN37" s="515"/>
      <c r="BO37" s="516">
        <f t="shared" si="20"/>
        <v>0</v>
      </c>
      <c r="BP37" s="517">
        <f t="shared" si="132"/>
        <v>0</v>
      </c>
      <c r="BQ37" s="515"/>
      <c r="BR37" s="516">
        <f t="shared" si="21"/>
        <v>0</v>
      </c>
      <c r="BS37" s="517">
        <f t="shared" si="133"/>
        <v>0</v>
      </c>
      <c r="BT37" s="515"/>
      <c r="BU37" s="516">
        <f t="shared" si="22"/>
        <v>0</v>
      </c>
      <c r="BV37" s="517">
        <f t="shared" si="134"/>
        <v>0</v>
      </c>
      <c r="BW37" s="515"/>
      <c r="BX37" s="516">
        <f t="shared" si="23"/>
        <v>0</v>
      </c>
      <c r="BY37" s="517">
        <f t="shared" si="135"/>
        <v>0</v>
      </c>
      <c r="BZ37" s="515"/>
      <c r="CA37" s="516">
        <f t="shared" si="24"/>
        <v>0</v>
      </c>
      <c r="CB37" s="517">
        <f t="shared" si="136"/>
        <v>0</v>
      </c>
      <c r="CC37" s="515"/>
      <c r="CD37" s="516">
        <f t="shared" si="25"/>
        <v>0</v>
      </c>
      <c r="CE37" s="517">
        <f t="shared" si="137"/>
        <v>0</v>
      </c>
      <c r="CF37" s="515">
        <v>0.4000000000000048</v>
      </c>
      <c r="CG37" s="516">
        <f t="shared" si="26"/>
        <v>9.6160780825541459E-3</v>
      </c>
      <c r="CH37" s="517">
        <f t="shared" si="138"/>
        <v>0</v>
      </c>
      <c r="CI37" s="515"/>
      <c r="CJ37" s="516">
        <f t="shared" si="27"/>
        <v>0</v>
      </c>
      <c r="CK37" s="517">
        <f t="shared" si="139"/>
        <v>0</v>
      </c>
      <c r="CL37" s="515"/>
      <c r="CM37" s="516">
        <f t="shared" si="28"/>
        <v>0</v>
      </c>
      <c r="CN37" s="517">
        <f t="shared" si="140"/>
        <v>0</v>
      </c>
      <c r="CO37" s="515"/>
      <c r="CP37" s="516">
        <f t="shared" si="29"/>
        <v>0</v>
      </c>
      <c r="CQ37" s="517">
        <f t="shared" si="141"/>
        <v>0</v>
      </c>
      <c r="CR37" s="515"/>
      <c r="CS37" s="516">
        <f t="shared" si="30"/>
        <v>0</v>
      </c>
      <c r="CT37" s="517">
        <f t="shared" si="142"/>
        <v>0</v>
      </c>
      <c r="CU37" s="515"/>
      <c r="CV37" s="516">
        <f t="shared" si="31"/>
        <v>0</v>
      </c>
      <c r="CW37" s="517">
        <f t="shared" si="143"/>
        <v>0</v>
      </c>
      <c r="CX37" s="515"/>
      <c r="CY37" s="516">
        <f t="shared" si="32"/>
        <v>0</v>
      </c>
      <c r="CZ37" s="517">
        <f t="shared" si="144"/>
        <v>0</v>
      </c>
      <c r="DA37" s="515"/>
      <c r="DB37" s="516">
        <f t="shared" si="33"/>
        <v>0</v>
      </c>
      <c r="DC37" s="517">
        <f t="shared" si="145"/>
        <v>0</v>
      </c>
      <c r="DD37" s="515"/>
      <c r="DE37" s="516">
        <f t="shared" si="34"/>
        <v>0</v>
      </c>
      <c r="DF37" s="517">
        <f t="shared" si="146"/>
        <v>0</v>
      </c>
      <c r="DG37" s="515"/>
      <c r="DH37" s="516">
        <f t="shared" si="35"/>
        <v>0</v>
      </c>
      <c r="DI37" s="517">
        <f t="shared" si="203"/>
        <v>0</v>
      </c>
      <c r="DJ37" s="515"/>
      <c r="DK37" s="516">
        <f t="shared" si="36"/>
        <v>0</v>
      </c>
      <c r="DL37" s="517">
        <f t="shared" si="147"/>
        <v>0</v>
      </c>
      <c r="DM37" s="515"/>
      <c r="DN37" s="516">
        <f t="shared" si="37"/>
        <v>0</v>
      </c>
      <c r="DO37" s="517">
        <f t="shared" si="148"/>
        <v>0</v>
      </c>
      <c r="DP37" s="515"/>
      <c r="DQ37" s="516">
        <f t="shared" si="38"/>
        <v>0</v>
      </c>
      <c r="DR37" s="517">
        <f t="shared" si="149"/>
        <v>0</v>
      </c>
      <c r="DS37" s="515"/>
      <c r="DT37" s="516">
        <f t="shared" si="39"/>
        <v>0</v>
      </c>
      <c r="DU37" s="517">
        <f t="shared" si="150"/>
        <v>0</v>
      </c>
      <c r="DV37" s="515"/>
      <c r="DW37" s="516">
        <f t="shared" si="40"/>
        <v>0</v>
      </c>
      <c r="DX37" s="517">
        <f t="shared" si="151"/>
        <v>0</v>
      </c>
      <c r="DY37" s="515"/>
      <c r="DZ37" s="516">
        <f t="shared" si="41"/>
        <v>0</v>
      </c>
      <c r="EA37" s="517">
        <f t="shared" si="152"/>
        <v>0</v>
      </c>
      <c r="EB37" s="515"/>
      <c r="EC37" s="516">
        <f t="shared" si="42"/>
        <v>0</v>
      </c>
      <c r="ED37" s="517">
        <f t="shared" si="153"/>
        <v>0</v>
      </c>
      <c r="EE37" s="515">
        <v>10.90116279069764</v>
      </c>
      <c r="EF37" s="516">
        <f t="shared" si="43"/>
        <v>0.26206608146495275</v>
      </c>
      <c r="EG37" s="517">
        <f t="shared" si="154"/>
        <v>0</v>
      </c>
      <c r="EH37" s="515">
        <v>35.22352941176473</v>
      </c>
      <c r="EI37" s="516">
        <f t="shared" si="44"/>
        <v>0.84678052291667016</v>
      </c>
      <c r="EJ37" s="517">
        <f t="shared" si="155"/>
        <v>0</v>
      </c>
      <c r="EK37" s="515">
        <v>2.0000000000000089</v>
      </c>
      <c r="EL37" s="516">
        <f t="shared" si="45"/>
        <v>4.8080390412770367E-2</v>
      </c>
      <c r="EM37" s="517">
        <f t="shared" si="156"/>
        <v>0</v>
      </c>
      <c r="EN37" s="515"/>
      <c r="EO37" s="516">
        <f t="shared" si="46"/>
        <v>0</v>
      </c>
      <c r="EP37" s="517">
        <f t="shared" si="157"/>
        <v>0</v>
      </c>
      <c r="EQ37" s="515"/>
      <c r="ER37" s="516">
        <f t="shared" si="47"/>
        <v>0</v>
      </c>
      <c r="ES37" s="517">
        <f t="shared" si="158"/>
        <v>0</v>
      </c>
      <c r="ET37" s="515"/>
      <c r="EU37" s="516">
        <f t="shared" si="48"/>
        <v>0</v>
      </c>
      <c r="EV37" s="517">
        <f t="shared" si="159"/>
        <v>0</v>
      </c>
      <c r="EW37" s="515"/>
      <c r="EX37" s="516">
        <f t="shared" si="49"/>
        <v>0</v>
      </c>
      <c r="EY37" s="517">
        <f t="shared" si="160"/>
        <v>0</v>
      </c>
      <c r="EZ37" s="515"/>
      <c r="FA37" s="516">
        <f t="shared" si="50"/>
        <v>0</v>
      </c>
      <c r="FB37" s="517">
        <f t="shared" si="161"/>
        <v>0</v>
      </c>
      <c r="FC37" s="515"/>
      <c r="FD37" s="516">
        <f t="shared" si="51"/>
        <v>0</v>
      </c>
      <c r="FE37" s="517">
        <f t="shared" si="162"/>
        <v>0</v>
      </c>
      <c r="FF37" s="515"/>
      <c r="FG37" s="516">
        <f t="shared" si="52"/>
        <v>0</v>
      </c>
      <c r="FH37" s="517">
        <f t="shared" si="163"/>
        <v>0</v>
      </c>
      <c r="FI37" s="515"/>
      <c r="FJ37" s="516">
        <f t="shared" si="53"/>
        <v>0</v>
      </c>
      <c r="FK37" s="517">
        <f t="shared" si="164"/>
        <v>0</v>
      </c>
      <c r="FL37" s="515"/>
      <c r="FM37" s="516">
        <f t="shared" si="54"/>
        <v>0</v>
      </c>
      <c r="FN37" s="517">
        <f t="shared" si="165"/>
        <v>0</v>
      </c>
      <c r="FO37" s="515"/>
      <c r="FP37" s="516">
        <f t="shared" si="55"/>
        <v>0</v>
      </c>
      <c r="FQ37" s="517">
        <f t="shared" si="166"/>
        <v>0</v>
      </c>
      <c r="FR37" s="515"/>
      <c r="FS37" s="516">
        <f t="shared" si="56"/>
        <v>0</v>
      </c>
      <c r="FT37" s="517">
        <f t="shared" si="167"/>
        <v>0</v>
      </c>
      <c r="FU37" s="515"/>
      <c r="FV37" s="516">
        <f t="shared" si="57"/>
        <v>0</v>
      </c>
      <c r="FW37" s="517">
        <f t="shared" si="168"/>
        <v>0</v>
      </c>
      <c r="FX37" s="515"/>
      <c r="FY37" s="516">
        <f t="shared" si="58"/>
        <v>0</v>
      </c>
      <c r="FZ37" s="517">
        <f t="shared" si="169"/>
        <v>0</v>
      </c>
      <c r="GA37" s="515"/>
      <c r="GB37" s="516">
        <f t="shared" si="59"/>
        <v>0</v>
      </c>
      <c r="GC37" s="517">
        <f t="shared" si="170"/>
        <v>0</v>
      </c>
      <c r="GD37" s="515"/>
      <c r="GE37" s="516">
        <f t="shared" si="60"/>
        <v>0</v>
      </c>
      <c r="GF37" s="517">
        <f t="shared" si="171"/>
        <v>0</v>
      </c>
      <c r="GG37" s="515"/>
      <c r="GH37" s="516">
        <f t="shared" si="61"/>
        <v>0</v>
      </c>
      <c r="GI37" s="517">
        <f t="shared" si="172"/>
        <v>0</v>
      </c>
      <c r="GJ37" s="515"/>
      <c r="GK37" s="516">
        <f t="shared" si="62"/>
        <v>0</v>
      </c>
      <c r="GL37" s="517">
        <f t="shared" si="173"/>
        <v>0</v>
      </c>
      <c r="GM37" s="515"/>
      <c r="GN37" s="516">
        <f t="shared" si="63"/>
        <v>0</v>
      </c>
      <c r="GO37" s="517">
        <f t="shared" si="174"/>
        <v>0</v>
      </c>
      <c r="GP37" s="515"/>
      <c r="GQ37" s="516">
        <f t="shared" si="64"/>
        <v>0</v>
      </c>
      <c r="GR37" s="517">
        <f t="shared" si="175"/>
        <v>0</v>
      </c>
      <c r="GS37" s="515"/>
      <c r="GT37" s="516">
        <f t="shared" si="65"/>
        <v>0</v>
      </c>
      <c r="GU37" s="517">
        <f t="shared" si="176"/>
        <v>0</v>
      </c>
      <c r="GV37" s="515"/>
      <c r="GW37" s="516">
        <f t="shared" si="66"/>
        <v>0</v>
      </c>
      <c r="GX37" s="517">
        <f t="shared" si="177"/>
        <v>0</v>
      </c>
      <c r="GY37" s="515"/>
      <c r="GZ37" s="516">
        <f t="shared" si="67"/>
        <v>0</v>
      </c>
      <c r="HA37" s="517">
        <f t="shared" si="178"/>
        <v>0</v>
      </c>
      <c r="HB37" s="515"/>
      <c r="HC37" s="516">
        <f t="shared" si="68"/>
        <v>0</v>
      </c>
      <c r="HD37" s="517">
        <f t="shared" si="179"/>
        <v>0</v>
      </c>
      <c r="HE37" s="515"/>
      <c r="HF37" s="516">
        <f t="shared" si="69"/>
        <v>0</v>
      </c>
      <c r="HG37" s="517">
        <f t="shared" si="180"/>
        <v>0</v>
      </c>
      <c r="HH37" s="515"/>
      <c r="HI37" s="516">
        <f t="shared" si="70"/>
        <v>0</v>
      </c>
      <c r="HJ37" s="517">
        <f t="shared" si="181"/>
        <v>0</v>
      </c>
      <c r="HK37" s="515"/>
      <c r="HL37" s="516">
        <f t="shared" si="71"/>
        <v>0</v>
      </c>
      <c r="HM37" s="517">
        <f t="shared" si="182"/>
        <v>0</v>
      </c>
      <c r="HN37" s="515"/>
      <c r="HO37" s="516">
        <f t="shared" si="72"/>
        <v>0</v>
      </c>
      <c r="HP37" s="517">
        <f t="shared" si="183"/>
        <v>0</v>
      </c>
      <c r="HQ37" s="515"/>
      <c r="HR37" s="516">
        <f t="shared" si="73"/>
        <v>0</v>
      </c>
      <c r="HS37" s="517">
        <f t="shared" si="184"/>
        <v>0</v>
      </c>
      <c r="HT37" s="515"/>
      <c r="HU37" s="516">
        <f t="shared" si="74"/>
        <v>0</v>
      </c>
      <c r="HV37" s="517">
        <f t="shared" si="185"/>
        <v>0</v>
      </c>
      <c r="HW37" s="515"/>
      <c r="HX37" s="516">
        <f t="shared" si="75"/>
        <v>0</v>
      </c>
      <c r="HY37" s="517">
        <f t="shared" si="186"/>
        <v>0</v>
      </c>
      <c r="HZ37" s="515"/>
      <c r="IA37" s="516">
        <f t="shared" si="76"/>
        <v>0</v>
      </c>
      <c r="IB37" s="517">
        <f t="shared" si="187"/>
        <v>0</v>
      </c>
      <c r="IC37" s="515"/>
      <c r="ID37" s="516">
        <f t="shared" si="77"/>
        <v>0</v>
      </c>
      <c r="IE37" s="517">
        <f t="shared" si="188"/>
        <v>0</v>
      </c>
      <c r="IF37" s="515"/>
      <c r="IG37" s="516">
        <f t="shared" si="78"/>
        <v>0</v>
      </c>
      <c r="IH37" s="517">
        <f t="shared" si="189"/>
        <v>0</v>
      </c>
      <c r="II37" s="515"/>
      <c r="IJ37" s="516">
        <f t="shared" si="79"/>
        <v>0</v>
      </c>
      <c r="IK37" s="517">
        <f t="shared" si="190"/>
        <v>0</v>
      </c>
      <c r="IL37" s="515"/>
      <c r="IM37" s="516">
        <f t="shared" si="80"/>
        <v>0</v>
      </c>
      <c r="IN37" s="517">
        <f t="shared" si="191"/>
        <v>0</v>
      </c>
      <c r="IO37" s="515"/>
      <c r="IP37" s="516">
        <f t="shared" si="81"/>
        <v>0</v>
      </c>
      <c r="IQ37" s="517">
        <f t="shared" si="192"/>
        <v>0</v>
      </c>
      <c r="IR37" s="515"/>
      <c r="IS37" s="516">
        <f t="shared" si="82"/>
        <v>0</v>
      </c>
      <c r="IT37" s="517">
        <f t="shared" si="193"/>
        <v>0</v>
      </c>
      <c r="IU37" s="515"/>
      <c r="IV37" s="516">
        <f t="shared" si="83"/>
        <v>0</v>
      </c>
      <c r="IW37" s="517">
        <f t="shared" si="194"/>
        <v>0</v>
      </c>
      <c r="IX37" s="515"/>
      <c r="IY37" s="516">
        <f t="shared" si="84"/>
        <v>0</v>
      </c>
      <c r="IZ37" s="517">
        <f t="shared" si="195"/>
        <v>0</v>
      </c>
      <c r="JA37" s="515"/>
      <c r="JB37" s="516">
        <f t="shared" si="85"/>
        <v>0</v>
      </c>
      <c r="JC37" s="517">
        <f t="shared" si="196"/>
        <v>0</v>
      </c>
      <c r="JD37" s="515"/>
      <c r="JE37" s="516">
        <f t="shared" si="86"/>
        <v>0</v>
      </c>
      <c r="JF37" s="517">
        <f t="shared" si="197"/>
        <v>0</v>
      </c>
      <c r="JG37" s="515"/>
      <c r="JH37" s="516">
        <f t="shared" si="87"/>
        <v>0</v>
      </c>
      <c r="JI37" s="517">
        <f t="shared" si="198"/>
        <v>0</v>
      </c>
      <c r="JJ37" s="515"/>
      <c r="JK37" s="517" t="str">
        <f t="shared" si="88"/>
        <v>0</v>
      </c>
      <c r="JL37" s="517" t="str">
        <f t="shared" si="89"/>
        <v>0</v>
      </c>
      <c r="JM37" s="515"/>
      <c r="JN37" s="517" t="str">
        <f t="shared" si="90"/>
        <v>0</v>
      </c>
      <c r="JO37" s="517" t="str">
        <f t="shared" si="91"/>
        <v>0</v>
      </c>
      <c r="JP37" s="515"/>
      <c r="JQ37" s="517" t="str">
        <f t="shared" si="92"/>
        <v>0</v>
      </c>
      <c r="JR37" s="517" t="str">
        <f t="shared" si="93"/>
        <v>0</v>
      </c>
      <c r="JS37" s="515"/>
      <c r="JT37" s="517" t="str">
        <f t="shared" si="94"/>
        <v>0</v>
      </c>
      <c r="JU37" s="517" t="str">
        <f t="shared" si="95"/>
        <v>0</v>
      </c>
      <c r="JV37" s="515"/>
      <c r="JW37" s="517" t="str">
        <f t="shared" si="96"/>
        <v>0</v>
      </c>
      <c r="JX37" s="517" t="str">
        <f t="shared" si="97"/>
        <v>0</v>
      </c>
      <c r="JY37" s="515"/>
      <c r="JZ37" s="517" t="str">
        <f t="shared" si="98"/>
        <v>0</v>
      </c>
      <c r="KA37" s="517" t="str">
        <f t="shared" si="99"/>
        <v>0</v>
      </c>
      <c r="KB37" s="515"/>
      <c r="KC37" s="517" t="str">
        <f t="shared" si="100"/>
        <v>0</v>
      </c>
      <c r="KD37" s="517" t="str">
        <f t="shared" si="101"/>
        <v>0</v>
      </c>
      <c r="KE37" s="515"/>
      <c r="KF37" s="517" t="str">
        <f t="shared" si="102"/>
        <v>0</v>
      </c>
      <c r="KG37" s="517" t="str">
        <f t="shared" si="103"/>
        <v>0</v>
      </c>
      <c r="KH37" s="515"/>
      <c r="KI37" s="517" t="str">
        <f t="shared" si="104"/>
        <v>0</v>
      </c>
      <c r="KJ37" s="517" t="str">
        <f t="shared" si="105"/>
        <v>0</v>
      </c>
      <c r="KK37" s="515"/>
      <c r="KL37" s="517" t="str">
        <f t="shared" si="106"/>
        <v>0</v>
      </c>
      <c r="KM37" s="517" t="str">
        <f t="shared" si="107"/>
        <v>0</v>
      </c>
      <c r="KN37" s="515"/>
      <c r="KO37" s="517" t="str">
        <f t="shared" si="108"/>
        <v>0</v>
      </c>
      <c r="KP37" s="517" t="str">
        <f t="shared" si="109"/>
        <v>0</v>
      </c>
      <c r="KQ37" s="515"/>
      <c r="KR37" s="517" t="str">
        <f t="shared" si="110"/>
        <v>0</v>
      </c>
      <c r="KS37" s="517" t="str">
        <f t="shared" si="111"/>
        <v>0</v>
      </c>
      <c r="KT37" s="517">
        <f t="shared" si="201"/>
        <v>0</v>
      </c>
      <c r="KU37" s="517">
        <f t="shared" si="202"/>
        <v>0</v>
      </c>
      <c r="KV37" s="263">
        <f t="shared" si="199"/>
        <v>355.22271312778855</v>
      </c>
    </row>
    <row r="38" spans="1:308" ht="15" customHeight="1">
      <c r="A38" s="264">
        <f t="shared" si="200"/>
        <v>45868</v>
      </c>
      <c r="B38" s="265" t="str">
        <f>+Report1!B38</f>
        <v>Facial/Toilet</v>
      </c>
      <c r="C38" s="265" t="str">
        <f>+Report1!C38</f>
        <v>13/13</v>
      </c>
      <c r="D38" s="266">
        <f>+Report1!P38</f>
        <v>48.722999999999999</v>
      </c>
      <c r="E38" s="553">
        <f>+Report1!R38</f>
        <v>44.423000000000002</v>
      </c>
      <c r="F38" s="515"/>
      <c r="G38" s="516">
        <f t="shared" si="0"/>
        <v>0</v>
      </c>
      <c r="H38" s="517">
        <f t="shared" si="112"/>
        <v>0</v>
      </c>
      <c r="I38" s="515">
        <v>46.511627906976855</v>
      </c>
      <c r="J38" s="516">
        <f t="shared" si="1"/>
        <v>1.0470168135195024</v>
      </c>
      <c r="K38" s="517">
        <f t="shared" si="113"/>
        <v>0</v>
      </c>
      <c r="L38" s="515"/>
      <c r="M38" s="516">
        <f t="shared" si="2"/>
        <v>0</v>
      </c>
      <c r="N38" s="517">
        <f t="shared" si="114"/>
        <v>0</v>
      </c>
      <c r="O38" s="515">
        <v>6</v>
      </c>
      <c r="P38" s="516">
        <f t="shared" si="3"/>
        <v>0.13506516894401549</v>
      </c>
      <c r="Q38" s="517">
        <f t="shared" si="115"/>
        <v>0</v>
      </c>
      <c r="R38" s="515"/>
      <c r="S38" s="516">
        <f t="shared" si="4"/>
        <v>0</v>
      </c>
      <c r="T38" s="517">
        <f t="shared" si="116"/>
        <v>0</v>
      </c>
      <c r="U38" s="515">
        <v>8.9687499999999716</v>
      </c>
      <c r="V38" s="516">
        <f t="shared" si="5"/>
        <v>0.20189428899443917</v>
      </c>
      <c r="W38" s="517">
        <f t="shared" si="117"/>
        <v>0</v>
      </c>
      <c r="X38" s="515"/>
      <c r="Y38" s="516">
        <f t="shared" si="6"/>
        <v>0</v>
      </c>
      <c r="Z38" s="517">
        <f t="shared" si="118"/>
        <v>0</v>
      </c>
      <c r="AA38" s="515"/>
      <c r="AB38" s="516">
        <f t="shared" si="7"/>
        <v>0</v>
      </c>
      <c r="AC38" s="517">
        <f t="shared" si="119"/>
        <v>0</v>
      </c>
      <c r="AD38" s="515"/>
      <c r="AE38" s="516">
        <f t="shared" si="8"/>
        <v>0</v>
      </c>
      <c r="AF38" s="517">
        <f t="shared" si="120"/>
        <v>0</v>
      </c>
      <c r="AG38" s="515"/>
      <c r="AH38" s="516">
        <f t="shared" si="9"/>
        <v>0</v>
      </c>
      <c r="AI38" s="517">
        <f t="shared" si="121"/>
        <v>0</v>
      </c>
      <c r="AJ38" s="515"/>
      <c r="AK38" s="516">
        <f t="shared" si="10"/>
        <v>0</v>
      </c>
      <c r="AL38" s="517">
        <f t="shared" si="122"/>
        <v>0</v>
      </c>
      <c r="AM38" s="515"/>
      <c r="AN38" s="516">
        <f t="shared" si="11"/>
        <v>0</v>
      </c>
      <c r="AO38" s="517">
        <f t="shared" si="123"/>
        <v>0</v>
      </c>
      <c r="AP38" s="515">
        <v>34.177215189873408</v>
      </c>
      <c r="AQ38" s="516">
        <f t="shared" si="12"/>
        <v>0.7693585572760373</v>
      </c>
      <c r="AR38" s="517">
        <f t="shared" si="124"/>
        <v>0</v>
      </c>
      <c r="AS38" s="515"/>
      <c r="AT38" s="516">
        <f t="shared" si="13"/>
        <v>0</v>
      </c>
      <c r="AU38" s="517">
        <f t="shared" si="125"/>
        <v>0</v>
      </c>
      <c r="AV38" s="515"/>
      <c r="AW38" s="516">
        <f t="shared" si="14"/>
        <v>0</v>
      </c>
      <c r="AX38" s="517">
        <f t="shared" si="126"/>
        <v>0</v>
      </c>
      <c r="AY38" s="515">
        <v>53.666666666666742</v>
      </c>
      <c r="AZ38" s="516">
        <f t="shared" si="15"/>
        <v>1.2080828999992512</v>
      </c>
      <c r="BA38" s="517">
        <f t="shared" si="127"/>
        <v>0</v>
      </c>
      <c r="BB38" s="515"/>
      <c r="BC38" s="516">
        <f t="shared" si="16"/>
        <v>0</v>
      </c>
      <c r="BD38" s="517">
        <f t="shared" si="128"/>
        <v>0</v>
      </c>
      <c r="BE38" s="515"/>
      <c r="BF38" s="516">
        <f t="shared" si="17"/>
        <v>0</v>
      </c>
      <c r="BG38" s="517">
        <f t="shared" si="129"/>
        <v>0</v>
      </c>
      <c r="BH38" s="515"/>
      <c r="BI38" s="516">
        <f t="shared" si="18"/>
        <v>0</v>
      </c>
      <c r="BJ38" s="517">
        <f t="shared" si="130"/>
        <v>0</v>
      </c>
      <c r="BK38" s="515"/>
      <c r="BL38" s="516">
        <f t="shared" si="19"/>
        <v>0</v>
      </c>
      <c r="BM38" s="517">
        <f t="shared" si="131"/>
        <v>0</v>
      </c>
      <c r="BN38" s="515"/>
      <c r="BO38" s="516">
        <f t="shared" si="20"/>
        <v>0</v>
      </c>
      <c r="BP38" s="517">
        <f t="shared" si="132"/>
        <v>0</v>
      </c>
      <c r="BQ38" s="515"/>
      <c r="BR38" s="516">
        <f t="shared" si="21"/>
        <v>0</v>
      </c>
      <c r="BS38" s="517">
        <f t="shared" si="133"/>
        <v>0</v>
      </c>
      <c r="BT38" s="515"/>
      <c r="BU38" s="516">
        <f t="shared" si="22"/>
        <v>0</v>
      </c>
      <c r="BV38" s="517">
        <f t="shared" si="134"/>
        <v>0</v>
      </c>
      <c r="BW38" s="515"/>
      <c r="BX38" s="516">
        <f t="shared" si="23"/>
        <v>0</v>
      </c>
      <c r="BY38" s="517">
        <f t="shared" si="135"/>
        <v>0</v>
      </c>
      <c r="BZ38" s="515"/>
      <c r="CA38" s="516">
        <f t="shared" si="24"/>
        <v>0</v>
      </c>
      <c r="CB38" s="517">
        <f t="shared" si="136"/>
        <v>0</v>
      </c>
      <c r="CC38" s="515"/>
      <c r="CD38" s="516">
        <f t="shared" si="25"/>
        <v>0</v>
      </c>
      <c r="CE38" s="517">
        <f t="shared" si="137"/>
        <v>0</v>
      </c>
      <c r="CF38" s="515">
        <v>0.79999999999999982</v>
      </c>
      <c r="CG38" s="516">
        <f t="shared" si="26"/>
        <v>1.8008689192535395E-2</v>
      </c>
      <c r="CH38" s="517">
        <f t="shared" si="138"/>
        <v>0</v>
      </c>
      <c r="CI38" s="515"/>
      <c r="CJ38" s="516">
        <f t="shared" si="27"/>
        <v>0</v>
      </c>
      <c r="CK38" s="517">
        <f t="shared" si="139"/>
        <v>0</v>
      </c>
      <c r="CL38" s="515"/>
      <c r="CM38" s="516">
        <f t="shared" si="28"/>
        <v>0</v>
      </c>
      <c r="CN38" s="517">
        <f t="shared" si="140"/>
        <v>0</v>
      </c>
      <c r="CO38" s="515"/>
      <c r="CP38" s="516">
        <f t="shared" si="29"/>
        <v>0</v>
      </c>
      <c r="CQ38" s="517">
        <f t="shared" si="141"/>
        <v>0</v>
      </c>
      <c r="CR38" s="515"/>
      <c r="CS38" s="516">
        <f t="shared" si="30"/>
        <v>0</v>
      </c>
      <c r="CT38" s="517">
        <f t="shared" si="142"/>
        <v>0</v>
      </c>
      <c r="CU38" s="515"/>
      <c r="CV38" s="516">
        <f t="shared" si="31"/>
        <v>0</v>
      </c>
      <c r="CW38" s="517">
        <f t="shared" si="143"/>
        <v>0</v>
      </c>
      <c r="CX38" s="515"/>
      <c r="CY38" s="516">
        <f t="shared" si="32"/>
        <v>0</v>
      </c>
      <c r="CZ38" s="517">
        <f t="shared" si="144"/>
        <v>0</v>
      </c>
      <c r="DA38" s="515">
        <v>58.139534883720899</v>
      </c>
      <c r="DB38" s="516">
        <f t="shared" si="33"/>
        <v>1.308771016899374</v>
      </c>
      <c r="DC38" s="517">
        <f t="shared" si="145"/>
        <v>0</v>
      </c>
      <c r="DD38" s="515"/>
      <c r="DE38" s="516">
        <f t="shared" si="34"/>
        <v>0</v>
      </c>
      <c r="DF38" s="517">
        <f t="shared" si="146"/>
        <v>0</v>
      </c>
      <c r="DG38" s="515"/>
      <c r="DH38" s="516">
        <f t="shared" si="35"/>
        <v>0</v>
      </c>
      <c r="DI38" s="517">
        <f t="shared" si="203"/>
        <v>0</v>
      </c>
      <c r="DJ38" s="515"/>
      <c r="DK38" s="516">
        <f t="shared" si="36"/>
        <v>0</v>
      </c>
      <c r="DL38" s="517">
        <f t="shared" si="147"/>
        <v>0</v>
      </c>
      <c r="DM38" s="515"/>
      <c r="DN38" s="516">
        <f t="shared" si="37"/>
        <v>0</v>
      </c>
      <c r="DO38" s="517">
        <f t="shared" si="148"/>
        <v>0</v>
      </c>
      <c r="DP38" s="515"/>
      <c r="DQ38" s="516">
        <f t="shared" si="38"/>
        <v>0</v>
      </c>
      <c r="DR38" s="517">
        <f t="shared" si="149"/>
        <v>0</v>
      </c>
      <c r="DS38" s="515"/>
      <c r="DT38" s="516">
        <f t="shared" si="39"/>
        <v>0</v>
      </c>
      <c r="DU38" s="517">
        <f t="shared" si="150"/>
        <v>0</v>
      </c>
      <c r="DV38" s="515"/>
      <c r="DW38" s="516">
        <f t="shared" si="40"/>
        <v>0</v>
      </c>
      <c r="DX38" s="517">
        <f t="shared" si="151"/>
        <v>0</v>
      </c>
      <c r="DY38" s="515"/>
      <c r="DZ38" s="516">
        <f t="shared" si="41"/>
        <v>0</v>
      </c>
      <c r="EA38" s="517">
        <f t="shared" si="152"/>
        <v>0</v>
      </c>
      <c r="EB38" s="515"/>
      <c r="EC38" s="516">
        <f t="shared" si="42"/>
        <v>0</v>
      </c>
      <c r="ED38" s="517">
        <f t="shared" si="153"/>
        <v>0</v>
      </c>
      <c r="EE38" s="515">
        <v>10.901162790697697</v>
      </c>
      <c r="EF38" s="516">
        <f t="shared" si="43"/>
        <v>0.2453945656686333</v>
      </c>
      <c r="EG38" s="517">
        <f t="shared" si="154"/>
        <v>0</v>
      </c>
      <c r="EH38" s="515">
        <v>41.094117647058738</v>
      </c>
      <c r="EI38" s="516">
        <f t="shared" si="44"/>
        <v>0.92506399043420606</v>
      </c>
      <c r="EJ38" s="517">
        <f t="shared" si="155"/>
        <v>0</v>
      </c>
      <c r="EK38" s="515">
        <v>3</v>
      </c>
      <c r="EL38" s="516">
        <f t="shared" si="45"/>
        <v>6.7532584472007745E-2</v>
      </c>
      <c r="EM38" s="517">
        <f t="shared" si="156"/>
        <v>0</v>
      </c>
      <c r="EN38" s="515"/>
      <c r="EO38" s="516">
        <f t="shared" si="46"/>
        <v>0</v>
      </c>
      <c r="EP38" s="517">
        <f t="shared" si="157"/>
        <v>0</v>
      </c>
      <c r="EQ38" s="515"/>
      <c r="ER38" s="516">
        <f t="shared" si="47"/>
        <v>0</v>
      </c>
      <c r="ES38" s="517">
        <f t="shared" si="158"/>
        <v>0</v>
      </c>
      <c r="ET38" s="515"/>
      <c r="EU38" s="516">
        <f t="shared" si="48"/>
        <v>0</v>
      </c>
      <c r="EV38" s="517">
        <f t="shared" si="159"/>
        <v>0</v>
      </c>
      <c r="EW38" s="515"/>
      <c r="EX38" s="516">
        <f t="shared" si="49"/>
        <v>0</v>
      </c>
      <c r="EY38" s="517">
        <f t="shared" si="160"/>
        <v>0</v>
      </c>
      <c r="EZ38" s="515"/>
      <c r="FA38" s="516">
        <f t="shared" si="50"/>
        <v>0</v>
      </c>
      <c r="FB38" s="517">
        <f t="shared" si="161"/>
        <v>0</v>
      </c>
      <c r="FC38" s="515"/>
      <c r="FD38" s="516">
        <f t="shared" si="51"/>
        <v>0</v>
      </c>
      <c r="FE38" s="517">
        <f t="shared" si="162"/>
        <v>0</v>
      </c>
      <c r="FF38" s="515"/>
      <c r="FG38" s="516">
        <f t="shared" si="52"/>
        <v>0</v>
      </c>
      <c r="FH38" s="517">
        <f t="shared" si="163"/>
        <v>0</v>
      </c>
      <c r="FI38" s="515"/>
      <c r="FJ38" s="516">
        <f t="shared" si="53"/>
        <v>0</v>
      </c>
      <c r="FK38" s="517">
        <f t="shared" si="164"/>
        <v>0</v>
      </c>
      <c r="FL38" s="515"/>
      <c r="FM38" s="516">
        <f t="shared" si="54"/>
        <v>0</v>
      </c>
      <c r="FN38" s="517">
        <f t="shared" si="165"/>
        <v>0</v>
      </c>
      <c r="FO38" s="515"/>
      <c r="FP38" s="516">
        <f t="shared" si="55"/>
        <v>0</v>
      </c>
      <c r="FQ38" s="517">
        <f t="shared" si="166"/>
        <v>0</v>
      </c>
      <c r="FR38" s="515"/>
      <c r="FS38" s="516">
        <f t="shared" si="56"/>
        <v>0</v>
      </c>
      <c r="FT38" s="517">
        <f t="shared" si="167"/>
        <v>0</v>
      </c>
      <c r="FU38" s="515"/>
      <c r="FV38" s="516">
        <f t="shared" si="57"/>
        <v>0</v>
      </c>
      <c r="FW38" s="517">
        <f t="shared" si="168"/>
        <v>0</v>
      </c>
      <c r="FX38" s="515"/>
      <c r="FY38" s="516">
        <f t="shared" si="58"/>
        <v>0</v>
      </c>
      <c r="FZ38" s="517">
        <f t="shared" si="169"/>
        <v>0</v>
      </c>
      <c r="GA38" s="515"/>
      <c r="GB38" s="516">
        <f t="shared" si="59"/>
        <v>0</v>
      </c>
      <c r="GC38" s="517">
        <f t="shared" si="170"/>
        <v>0</v>
      </c>
      <c r="GD38" s="515"/>
      <c r="GE38" s="516">
        <f t="shared" si="60"/>
        <v>0</v>
      </c>
      <c r="GF38" s="517">
        <f t="shared" si="171"/>
        <v>0</v>
      </c>
      <c r="GG38" s="515"/>
      <c r="GH38" s="516">
        <f t="shared" si="61"/>
        <v>0</v>
      </c>
      <c r="GI38" s="517">
        <f t="shared" si="172"/>
        <v>0</v>
      </c>
      <c r="GJ38" s="515"/>
      <c r="GK38" s="516">
        <f t="shared" si="62"/>
        <v>0</v>
      </c>
      <c r="GL38" s="517">
        <f t="shared" si="173"/>
        <v>0</v>
      </c>
      <c r="GM38" s="515"/>
      <c r="GN38" s="516">
        <f t="shared" si="63"/>
        <v>0</v>
      </c>
      <c r="GO38" s="517">
        <f t="shared" si="174"/>
        <v>0</v>
      </c>
      <c r="GP38" s="515"/>
      <c r="GQ38" s="516">
        <f t="shared" si="64"/>
        <v>0</v>
      </c>
      <c r="GR38" s="517">
        <f t="shared" si="175"/>
        <v>0</v>
      </c>
      <c r="GS38" s="515"/>
      <c r="GT38" s="516">
        <f t="shared" si="65"/>
        <v>0</v>
      </c>
      <c r="GU38" s="517">
        <f t="shared" si="176"/>
        <v>0</v>
      </c>
      <c r="GV38" s="515"/>
      <c r="GW38" s="516">
        <f t="shared" si="66"/>
        <v>0</v>
      </c>
      <c r="GX38" s="517">
        <f t="shared" si="177"/>
        <v>0</v>
      </c>
      <c r="GY38" s="515"/>
      <c r="GZ38" s="516">
        <f t="shared" si="67"/>
        <v>0</v>
      </c>
      <c r="HA38" s="517">
        <f t="shared" si="178"/>
        <v>0</v>
      </c>
      <c r="HB38" s="515"/>
      <c r="HC38" s="516">
        <f t="shared" si="68"/>
        <v>0</v>
      </c>
      <c r="HD38" s="517">
        <f t="shared" si="179"/>
        <v>0</v>
      </c>
      <c r="HE38" s="515"/>
      <c r="HF38" s="516">
        <f t="shared" si="69"/>
        <v>0</v>
      </c>
      <c r="HG38" s="517">
        <f t="shared" si="180"/>
        <v>0</v>
      </c>
      <c r="HH38" s="515"/>
      <c r="HI38" s="516">
        <f t="shared" si="70"/>
        <v>0</v>
      </c>
      <c r="HJ38" s="517">
        <f t="shared" si="181"/>
        <v>0</v>
      </c>
      <c r="HK38" s="515"/>
      <c r="HL38" s="516">
        <f t="shared" si="71"/>
        <v>0</v>
      </c>
      <c r="HM38" s="517">
        <f t="shared" si="182"/>
        <v>0</v>
      </c>
      <c r="HN38" s="515"/>
      <c r="HO38" s="516">
        <f t="shared" si="72"/>
        <v>0</v>
      </c>
      <c r="HP38" s="517">
        <f t="shared" si="183"/>
        <v>0</v>
      </c>
      <c r="HQ38" s="515"/>
      <c r="HR38" s="516">
        <f t="shared" si="73"/>
        <v>0</v>
      </c>
      <c r="HS38" s="517">
        <f t="shared" si="184"/>
        <v>0</v>
      </c>
      <c r="HT38" s="515"/>
      <c r="HU38" s="516">
        <f t="shared" si="74"/>
        <v>0</v>
      </c>
      <c r="HV38" s="517">
        <f t="shared" si="185"/>
        <v>0</v>
      </c>
      <c r="HW38" s="515"/>
      <c r="HX38" s="516">
        <f t="shared" si="75"/>
        <v>0</v>
      </c>
      <c r="HY38" s="517">
        <f t="shared" si="186"/>
        <v>0</v>
      </c>
      <c r="HZ38" s="515"/>
      <c r="IA38" s="516">
        <f t="shared" si="76"/>
        <v>0</v>
      </c>
      <c r="IB38" s="517">
        <f t="shared" si="187"/>
        <v>0</v>
      </c>
      <c r="IC38" s="515"/>
      <c r="ID38" s="516">
        <f t="shared" si="77"/>
        <v>0</v>
      </c>
      <c r="IE38" s="517">
        <f t="shared" si="188"/>
        <v>0</v>
      </c>
      <c r="IF38" s="515"/>
      <c r="IG38" s="516">
        <f t="shared" si="78"/>
        <v>0</v>
      </c>
      <c r="IH38" s="517">
        <f t="shared" si="189"/>
        <v>0</v>
      </c>
      <c r="II38" s="515"/>
      <c r="IJ38" s="516">
        <f t="shared" si="79"/>
        <v>0</v>
      </c>
      <c r="IK38" s="517">
        <f t="shared" si="190"/>
        <v>0</v>
      </c>
      <c r="IL38" s="515"/>
      <c r="IM38" s="516">
        <f t="shared" si="80"/>
        <v>0</v>
      </c>
      <c r="IN38" s="517">
        <f t="shared" si="191"/>
        <v>0</v>
      </c>
      <c r="IO38" s="515"/>
      <c r="IP38" s="516">
        <f t="shared" si="81"/>
        <v>0</v>
      </c>
      <c r="IQ38" s="517">
        <f t="shared" si="192"/>
        <v>0</v>
      </c>
      <c r="IR38" s="515"/>
      <c r="IS38" s="516">
        <f t="shared" si="82"/>
        <v>0</v>
      </c>
      <c r="IT38" s="517">
        <f t="shared" si="193"/>
        <v>0</v>
      </c>
      <c r="IU38" s="515"/>
      <c r="IV38" s="516">
        <f t="shared" si="83"/>
        <v>0</v>
      </c>
      <c r="IW38" s="517">
        <f t="shared" si="194"/>
        <v>0</v>
      </c>
      <c r="IX38" s="515"/>
      <c r="IY38" s="516">
        <f t="shared" si="84"/>
        <v>0</v>
      </c>
      <c r="IZ38" s="517">
        <f t="shared" si="195"/>
        <v>0</v>
      </c>
      <c r="JA38" s="515"/>
      <c r="JB38" s="516">
        <f t="shared" si="85"/>
        <v>0</v>
      </c>
      <c r="JC38" s="517">
        <f t="shared" si="196"/>
        <v>0</v>
      </c>
      <c r="JD38" s="515"/>
      <c r="JE38" s="516">
        <f t="shared" si="86"/>
        <v>0</v>
      </c>
      <c r="JF38" s="517">
        <f t="shared" si="197"/>
        <v>0</v>
      </c>
      <c r="JG38" s="515"/>
      <c r="JH38" s="516">
        <f t="shared" si="87"/>
        <v>0</v>
      </c>
      <c r="JI38" s="517">
        <f t="shared" si="198"/>
        <v>0</v>
      </c>
      <c r="JJ38" s="515"/>
      <c r="JK38" s="517" t="str">
        <f t="shared" si="88"/>
        <v>0</v>
      </c>
      <c r="JL38" s="517" t="str">
        <f t="shared" si="89"/>
        <v>0</v>
      </c>
      <c r="JM38" s="515"/>
      <c r="JN38" s="517" t="str">
        <f t="shared" si="90"/>
        <v>0</v>
      </c>
      <c r="JO38" s="517" t="str">
        <f t="shared" si="91"/>
        <v>0</v>
      </c>
      <c r="JP38" s="515"/>
      <c r="JQ38" s="517" t="str">
        <f t="shared" si="92"/>
        <v>0</v>
      </c>
      <c r="JR38" s="517" t="str">
        <f t="shared" si="93"/>
        <v>0</v>
      </c>
      <c r="JS38" s="515"/>
      <c r="JT38" s="517" t="str">
        <f t="shared" si="94"/>
        <v>0</v>
      </c>
      <c r="JU38" s="517" t="str">
        <f t="shared" si="95"/>
        <v>0</v>
      </c>
      <c r="JV38" s="515"/>
      <c r="JW38" s="517" t="str">
        <f t="shared" si="96"/>
        <v>0</v>
      </c>
      <c r="JX38" s="517" t="str">
        <f t="shared" si="97"/>
        <v>0</v>
      </c>
      <c r="JY38" s="515"/>
      <c r="JZ38" s="517" t="str">
        <f t="shared" si="98"/>
        <v>0</v>
      </c>
      <c r="KA38" s="517" t="str">
        <f t="shared" si="99"/>
        <v>0</v>
      </c>
      <c r="KB38" s="515"/>
      <c r="KC38" s="517" t="str">
        <f t="shared" si="100"/>
        <v>0</v>
      </c>
      <c r="KD38" s="517" t="str">
        <f t="shared" si="101"/>
        <v>0</v>
      </c>
      <c r="KE38" s="515"/>
      <c r="KF38" s="517" t="str">
        <f t="shared" si="102"/>
        <v>0</v>
      </c>
      <c r="KG38" s="517" t="str">
        <f t="shared" si="103"/>
        <v>0</v>
      </c>
      <c r="KH38" s="515"/>
      <c r="KI38" s="517" t="str">
        <f t="shared" si="104"/>
        <v>0</v>
      </c>
      <c r="KJ38" s="517" t="str">
        <f t="shared" si="105"/>
        <v>0</v>
      </c>
      <c r="KK38" s="515"/>
      <c r="KL38" s="517" t="str">
        <f t="shared" si="106"/>
        <v>0</v>
      </c>
      <c r="KM38" s="517" t="str">
        <f t="shared" si="107"/>
        <v>0</v>
      </c>
      <c r="KN38" s="515"/>
      <c r="KO38" s="517" t="str">
        <f t="shared" si="108"/>
        <v>0</v>
      </c>
      <c r="KP38" s="517" t="str">
        <f t="shared" si="109"/>
        <v>0</v>
      </c>
      <c r="KQ38" s="515"/>
      <c r="KR38" s="517" t="str">
        <f t="shared" si="110"/>
        <v>0</v>
      </c>
      <c r="KS38" s="517" t="str">
        <f t="shared" si="111"/>
        <v>0</v>
      </c>
      <c r="KT38" s="517">
        <f t="shared" si="201"/>
        <v>0</v>
      </c>
      <c r="KU38" s="517">
        <f t="shared" si="202"/>
        <v>0</v>
      </c>
      <c r="KV38" s="263">
        <f t="shared" si="199"/>
        <v>263.25907508499432</v>
      </c>
    </row>
    <row r="39" spans="1:308" ht="15" customHeight="1">
      <c r="A39" s="264">
        <f t="shared" si="200"/>
        <v>45869</v>
      </c>
      <c r="B39" s="265" t="str">
        <f>+Report1!B39</f>
        <v>Toilet</v>
      </c>
      <c r="C39" s="265" t="str">
        <f>+Report1!C39</f>
        <v>13</v>
      </c>
      <c r="D39" s="266">
        <f>+Report1!P39</f>
        <v>45.920999999999999</v>
      </c>
      <c r="E39" s="553">
        <f>+Report1!R39</f>
        <v>46.16</v>
      </c>
      <c r="F39" s="515"/>
      <c r="G39" s="516">
        <f t="shared" si="0"/>
        <v>0</v>
      </c>
      <c r="H39" s="517">
        <f t="shared" si="112"/>
        <v>0</v>
      </c>
      <c r="I39" s="515"/>
      <c r="J39" s="516">
        <f t="shared" si="1"/>
        <v>0</v>
      </c>
      <c r="K39" s="517">
        <f t="shared" si="113"/>
        <v>0</v>
      </c>
      <c r="L39" s="515"/>
      <c r="M39" s="516">
        <f t="shared" si="2"/>
        <v>0</v>
      </c>
      <c r="N39" s="517">
        <f t="shared" si="114"/>
        <v>0</v>
      </c>
      <c r="O39" s="515">
        <v>6.0000000000000071</v>
      </c>
      <c r="P39" s="516">
        <f t="shared" si="3"/>
        <v>0.12998266897746982</v>
      </c>
      <c r="Q39" s="517">
        <f t="shared" si="115"/>
        <v>0</v>
      </c>
      <c r="R39" s="515"/>
      <c r="S39" s="516">
        <f t="shared" si="4"/>
        <v>0</v>
      </c>
      <c r="T39" s="517">
        <f t="shared" si="116"/>
        <v>0</v>
      </c>
      <c r="U39" s="515">
        <v>8.9687500000000284</v>
      </c>
      <c r="V39" s="516">
        <f t="shared" si="5"/>
        <v>0.19429701039861416</v>
      </c>
      <c r="W39" s="517">
        <f t="shared" si="117"/>
        <v>0</v>
      </c>
      <c r="X39" s="515"/>
      <c r="Y39" s="516">
        <f t="shared" si="6"/>
        <v>0</v>
      </c>
      <c r="Z39" s="517">
        <f t="shared" si="118"/>
        <v>0</v>
      </c>
      <c r="AA39" s="515">
        <v>6.25</v>
      </c>
      <c r="AB39" s="516">
        <f t="shared" si="7"/>
        <v>0.1353986135181976</v>
      </c>
      <c r="AC39" s="517">
        <f t="shared" si="119"/>
        <v>0</v>
      </c>
      <c r="AD39" s="515"/>
      <c r="AE39" s="516">
        <f t="shared" si="8"/>
        <v>0</v>
      </c>
      <c r="AF39" s="517">
        <f t="shared" si="120"/>
        <v>0</v>
      </c>
      <c r="AG39" s="515"/>
      <c r="AH39" s="516">
        <f t="shared" si="9"/>
        <v>0</v>
      </c>
      <c r="AI39" s="517">
        <f t="shared" si="121"/>
        <v>0</v>
      </c>
      <c r="AJ39" s="515"/>
      <c r="AK39" s="516">
        <f t="shared" si="10"/>
        <v>0</v>
      </c>
      <c r="AL39" s="517">
        <f t="shared" si="122"/>
        <v>0</v>
      </c>
      <c r="AM39" s="515"/>
      <c r="AN39" s="516">
        <f t="shared" si="11"/>
        <v>0</v>
      </c>
      <c r="AO39" s="517">
        <f t="shared" si="123"/>
        <v>0</v>
      </c>
      <c r="AP39" s="515">
        <v>48.417721518987349</v>
      </c>
      <c r="AQ39" s="516">
        <f t="shared" si="12"/>
        <v>1.0489107781409739</v>
      </c>
      <c r="AR39" s="517">
        <f t="shared" si="124"/>
        <v>0</v>
      </c>
      <c r="AS39" s="515"/>
      <c r="AT39" s="516">
        <f t="shared" si="13"/>
        <v>0</v>
      </c>
      <c r="AU39" s="517">
        <f t="shared" si="125"/>
        <v>0</v>
      </c>
      <c r="AV39" s="515"/>
      <c r="AW39" s="516">
        <f t="shared" si="14"/>
        <v>0</v>
      </c>
      <c r="AX39" s="517">
        <f t="shared" si="126"/>
        <v>0</v>
      </c>
      <c r="AY39" s="515">
        <v>62.999999999999886</v>
      </c>
      <c r="AZ39" s="516">
        <f t="shared" si="15"/>
        <v>1.3648180242634291</v>
      </c>
      <c r="BA39" s="517">
        <f t="shared" si="127"/>
        <v>0</v>
      </c>
      <c r="BB39" s="515"/>
      <c r="BC39" s="516">
        <f t="shared" si="16"/>
        <v>0</v>
      </c>
      <c r="BD39" s="517">
        <f t="shared" si="128"/>
        <v>0</v>
      </c>
      <c r="BE39" s="515"/>
      <c r="BF39" s="516">
        <f t="shared" si="17"/>
        <v>0</v>
      </c>
      <c r="BG39" s="517">
        <f t="shared" si="129"/>
        <v>0</v>
      </c>
      <c r="BH39" s="515"/>
      <c r="BI39" s="516">
        <f t="shared" si="18"/>
        <v>0</v>
      </c>
      <c r="BJ39" s="517">
        <f t="shared" si="130"/>
        <v>0</v>
      </c>
      <c r="BK39" s="515"/>
      <c r="BL39" s="516">
        <f t="shared" si="19"/>
        <v>0</v>
      </c>
      <c r="BM39" s="517">
        <f t="shared" si="131"/>
        <v>0</v>
      </c>
      <c r="BN39" s="515"/>
      <c r="BO39" s="516">
        <f t="shared" si="20"/>
        <v>0</v>
      </c>
      <c r="BP39" s="517">
        <f t="shared" si="132"/>
        <v>0</v>
      </c>
      <c r="BQ39" s="515"/>
      <c r="BR39" s="516">
        <f t="shared" si="21"/>
        <v>0</v>
      </c>
      <c r="BS39" s="517">
        <f t="shared" si="133"/>
        <v>0</v>
      </c>
      <c r="BT39" s="515"/>
      <c r="BU39" s="516">
        <f t="shared" si="22"/>
        <v>0</v>
      </c>
      <c r="BV39" s="517">
        <f t="shared" si="134"/>
        <v>0</v>
      </c>
      <c r="BW39" s="515"/>
      <c r="BX39" s="516">
        <f t="shared" si="23"/>
        <v>0</v>
      </c>
      <c r="BY39" s="517">
        <f t="shared" si="135"/>
        <v>0</v>
      </c>
      <c r="BZ39" s="515"/>
      <c r="CA39" s="516">
        <f t="shared" si="24"/>
        <v>0</v>
      </c>
      <c r="CB39" s="517">
        <f t="shared" si="136"/>
        <v>0</v>
      </c>
      <c r="CC39" s="515"/>
      <c r="CD39" s="516">
        <f t="shared" si="25"/>
        <v>0</v>
      </c>
      <c r="CE39" s="517">
        <f t="shared" si="137"/>
        <v>0</v>
      </c>
      <c r="CF39" s="515">
        <v>1.0000000000000009</v>
      </c>
      <c r="CG39" s="516">
        <f t="shared" si="26"/>
        <v>2.1663778162911634E-2</v>
      </c>
      <c r="CH39" s="517">
        <f t="shared" si="138"/>
        <v>0</v>
      </c>
      <c r="CI39" s="515"/>
      <c r="CJ39" s="516">
        <f t="shared" si="27"/>
        <v>0</v>
      </c>
      <c r="CK39" s="517">
        <f t="shared" si="139"/>
        <v>0</v>
      </c>
      <c r="CL39" s="515"/>
      <c r="CM39" s="516">
        <f t="shared" si="28"/>
        <v>0</v>
      </c>
      <c r="CN39" s="517">
        <f t="shared" si="140"/>
        <v>0</v>
      </c>
      <c r="CO39" s="515"/>
      <c r="CP39" s="516">
        <f t="shared" si="29"/>
        <v>0</v>
      </c>
      <c r="CQ39" s="517">
        <f t="shared" si="141"/>
        <v>0</v>
      </c>
      <c r="CR39" s="515"/>
      <c r="CS39" s="516">
        <f t="shared" si="30"/>
        <v>0</v>
      </c>
      <c r="CT39" s="517">
        <f t="shared" si="142"/>
        <v>0</v>
      </c>
      <c r="CU39" s="515"/>
      <c r="CV39" s="516">
        <f t="shared" si="31"/>
        <v>0</v>
      </c>
      <c r="CW39" s="517">
        <f t="shared" si="143"/>
        <v>0</v>
      </c>
      <c r="CX39" s="515"/>
      <c r="CY39" s="516">
        <f t="shared" si="32"/>
        <v>0</v>
      </c>
      <c r="CZ39" s="517">
        <f t="shared" si="144"/>
        <v>0</v>
      </c>
      <c r="DA39" s="515">
        <v>130.81395348837214</v>
      </c>
      <c r="DB39" s="516">
        <f t="shared" si="33"/>
        <v>2.8339244689855319</v>
      </c>
      <c r="DC39" s="517">
        <f t="shared" si="145"/>
        <v>0</v>
      </c>
      <c r="DD39" s="515"/>
      <c r="DE39" s="516">
        <f t="shared" si="34"/>
        <v>0</v>
      </c>
      <c r="DF39" s="517">
        <f t="shared" si="146"/>
        <v>0</v>
      </c>
      <c r="DG39" s="515"/>
      <c r="DH39" s="516">
        <f t="shared" si="35"/>
        <v>0</v>
      </c>
      <c r="DI39" s="517">
        <f t="shared" si="203"/>
        <v>0</v>
      </c>
      <c r="DJ39" s="515"/>
      <c r="DK39" s="516">
        <f t="shared" si="36"/>
        <v>0</v>
      </c>
      <c r="DL39" s="517">
        <f t="shared" si="147"/>
        <v>0</v>
      </c>
      <c r="DM39" s="515"/>
      <c r="DN39" s="516">
        <f t="shared" si="37"/>
        <v>0</v>
      </c>
      <c r="DO39" s="517">
        <f t="shared" si="148"/>
        <v>0</v>
      </c>
      <c r="DP39" s="515"/>
      <c r="DQ39" s="516">
        <f t="shared" si="38"/>
        <v>0</v>
      </c>
      <c r="DR39" s="517">
        <f t="shared" si="149"/>
        <v>0</v>
      </c>
      <c r="DS39" s="515"/>
      <c r="DT39" s="516">
        <f t="shared" si="39"/>
        <v>0</v>
      </c>
      <c r="DU39" s="517">
        <f t="shared" si="150"/>
        <v>0</v>
      </c>
      <c r="DV39" s="515"/>
      <c r="DW39" s="516">
        <f t="shared" si="40"/>
        <v>0</v>
      </c>
      <c r="DX39" s="517">
        <f t="shared" si="151"/>
        <v>0</v>
      </c>
      <c r="DY39" s="515"/>
      <c r="DZ39" s="516">
        <f t="shared" si="41"/>
        <v>0</v>
      </c>
      <c r="EA39" s="517">
        <f t="shared" si="152"/>
        <v>0</v>
      </c>
      <c r="EB39" s="515"/>
      <c r="EC39" s="516">
        <f t="shared" si="42"/>
        <v>0</v>
      </c>
      <c r="ED39" s="517">
        <f t="shared" si="153"/>
        <v>0</v>
      </c>
      <c r="EE39" s="515">
        <v>10.901162790697697</v>
      </c>
      <c r="EF39" s="516">
        <f t="shared" si="43"/>
        <v>0.23616037241546139</v>
      </c>
      <c r="EG39" s="517">
        <f t="shared" si="154"/>
        <v>0</v>
      </c>
      <c r="EH39" s="515">
        <v>11.741176470588243</v>
      </c>
      <c r="EI39" s="516">
        <f t="shared" si="44"/>
        <v>0.25435824243042121</v>
      </c>
      <c r="EJ39" s="517">
        <f t="shared" si="155"/>
        <v>0</v>
      </c>
      <c r="EK39" s="515">
        <v>3</v>
      </c>
      <c r="EL39" s="516">
        <f t="shared" si="45"/>
        <v>6.4991334488734842E-2</v>
      </c>
      <c r="EM39" s="517">
        <f t="shared" si="156"/>
        <v>0</v>
      </c>
      <c r="EN39" s="515"/>
      <c r="EO39" s="516">
        <f t="shared" si="46"/>
        <v>0</v>
      </c>
      <c r="EP39" s="517">
        <f t="shared" si="157"/>
        <v>0</v>
      </c>
      <c r="EQ39" s="515"/>
      <c r="ER39" s="516">
        <f t="shared" si="47"/>
        <v>0</v>
      </c>
      <c r="ES39" s="517">
        <f t="shared" si="158"/>
        <v>0</v>
      </c>
      <c r="ET39" s="515"/>
      <c r="EU39" s="516">
        <f t="shared" si="48"/>
        <v>0</v>
      </c>
      <c r="EV39" s="517">
        <f t="shared" si="159"/>
        <v>0</v>
      </c>
      <c r="EW39" s="515"/>
      <c r="EX39" s="516">
        <f t="shared" si="49"/>
        <v>0</v>
      </c>
      <c r="EY39" s="517">
        <f t="shared" si="160"/>
        <v>0</v>
      </c>
      <c r="EZ39" s="515"/>
      <c r="FA39" s="516">
        <f t="shared" si="50"/>
        <v>0</v>
      </c>
      <c r="FB39" s="517">
        <f t="shared" si="161"/>
        <v>0</v>
      </c>
      <c r="FC39" s="515"/>
      <c r="FD39" s="516">
        <f t="shared" si="51"/>
        <v>0</v>
      </c>
      <c r="FE39" s="517">
        <f t="shared" si="162"/>
        <v>0</v>
      </c>
      <c r="FF39" s="515"/>
      <c r="FG39" s="516">
        <f t="shared" si="52"/>
        <v>0</v>
      </c>
      <c r="FH39" s="517">
        <f t="shared" si="163"/>
        <v>0</v>
      </c>
      <c r="FI39" s="515"/>
      <c r="FJ39" s="516">
        <f t="shared" si="53"/>
        <v>0</v>
      </c>
      <c r="FK39" s="517">
        <f t="shared" si="164"/>
        <v>0</v>
      </c>
      <c r="FL39" s="515"/>
      <c r="FM39" s="516">
        <f t="shared" si="54"/>
        <v>0</v>
      </c>
      <c r="FN39" s="517">
        <f t="shared" si="165"/>
        <v>0</v>
      </c>
      <c r="FO39" s="515"/>
      <c r="FP39" s="516">
        <f t="shared" si="55"/>
        <v>0</v>
      </c>
      <c r="FQ39" s="517">
        <f t="shared" si="166"/>
        <v>0</v>
      </c>
      <c r="FR39" s="515"/>
      <c r="FS39" s="516">
        <f t="shared" si="56"/>
        <v>0</v>
      </c>
      <c r="FT39" s="517">
        <f t="shared" si="167"/>
        <v>0</v>
      </c>
      <c r="FU39" s="515"/>
      <c r="FV39" s="516">
        <f t="shared" si="57"/>
        <v>0</v>
      </c>
      <c r="FW39" s="517">
        <f t="shared" si="168"/>
        <v>0</v>
      </c>
      <c r="FX39" s="515"/>
      <c r="FY39" s="516">
        <f t="shared" si="58"/>
        <v>0</v>
      </c>
      <c r="FZ39" s="517">
        <f t="shared" si="169"/>
        <v>0</v>
      </c>
      <c r="GA39" s="515"/>
      <c r="GB39" s="516">
        <f t="shared" si="59"/>
        <v>0</v>
      </c>
      <c r="GC39" s="517">
        <f t="shared" si="170"/>
        <v>0</v>
      </c>
      <c r="GD39" s="515"/>
      <c r="GE39" s="516">
        <f t="shared" si="60"/>
        <v>0</v>
      </c>
      <c r="GF39" s="517">
        <f t="shared" si="171"/>
        <v>0</v>
      </c>
      <c r="GG39" s="515"/>
      <c r="GH39" s="516">
        <f t="shared" si="61"/>
        <v>0</v>
      </c>
      <c r="GI39" s="517">
        <f t="shared" si="172"/>
        <v>0</v>
      </c>
      <c r="GJ39" s="515"/>
      <c r="GK39" s="516">
        <f t="shared" si="62"/>
        <v>0</v>
      </c>
      <c r="GL39" s="517">
        <f t="shared" si="173"/>
        <v>0</v>
      </c>
      <c r="GM39" s="515"/>
      <c r="GN39" s="516">
        <f t="shared" si="63"/>
        <v>0</v>
      </c>
      <c r="GO39" s="517">
        <f t="shared" si="174"/>
        <v>0</v>
      </c>
      <c r="GP39" s="515"/>
      <c r="GQ39" s="516">
        <f t="shared" si="64"/>
        <v>0</v>
      </c>
      <c r="GR39" s="517">
        <f t="shared" si="175"/>
        <v>0</v>
      </c>
      <c r="GS39" s="515"/>
      <c r="GT39" s="516">
        <f t="shared" si="65"/>
        <v>0</v>
      </c>
      <c r="GU39" s="517">
        <f t="shared" si="176"/>
        <v>0</v>
      </c>
      <c r="GV39" s="515"/>
      <c r="GW39" s="516">
        <f t="shared" si="66"/>
        <v>0</v>
      </c>
      <c r="GX39" s="517">
        <f t="shared" si="177"/>
        <v>0</v>
      </c>
      <c r="GY39" s="515"/>
      <c r="GZ39" s="516">
        <f t="shared" si="67"/>
        <v>0</v>
      </c>
      <c r="HA39" s="517">
        <f t="shared" si="178"/>
        <v>0</v>
      </c>
      <c r="HB39" s="515"/>
      <c r="HC39" s="516">
        <f t="shared" si="68"/>
        <v>0</v>
      </c>
      <c r="HD39" s="517">
        <f t="shared" si="179"/>
        <v>0</v>
      </c>
      <c r="HE39" s="515"/>
      <c r="HF39" s="516">
        <f t="shared" si="69"/>
        <v>0</v>
      </c>
      <c r="HG39" s="517">
        <f t="shared" si="180"/>
        <v>0</v>
      </c>
      <c r="HH39" s="515"/>
      <c r="HI39" s="516">
        <f t="shared" si="70"/>
        <v>0</v>
      </c>
      <c r="HJ39" s="517">
        <f t="shared" si="181"/>
        <v>0</v>
      </c>
      <c r="HK39" s="515"/>
      <c r="HL39" s="516">
        <f t="shared" si="71"/>
        <v>0</v>
      </c>
      <c r="HM39" s="517">
        <f t="shared" si="182"/>
        <v>0</v>
      </c>
      <c r="HN39" s="515"/>
      <c r="HO39" s="516">
        <f t="shared" si="72"/>
        <v>0</v>
      </c>
      <c r="HP39" s="517">
        <f t="shared" si="183"/>
        <v>0</v>
      </c>
      <c r="HQ39" s="515"/>
      <c r="HR39" s="516">
        <f t="shared" si="73"/>
        <v>0</v>
      </c>
      <c r="HS39" s="517">
        <f t="shared" si="184"/>
        <v>0</v>
      </c>
      <c r="HT39" s="515"/>
      <c r="HU39" s="516">
        <f t="shared" si="74"/>
        <v>0</v>
      </c>
      <c r="HV39" s="517">
        <f t="shared" si="185"/>
        <v>0</v>
      </c>
      <c r="HW39" s="515"/>
      <c r="HX39" s="516">
        <f t="shared" si="75"/>
        <v>0</v>
      </c>
      <c r="HY39" s="517">
        <f t="shared" si="186"/>
        <v>0</v>
      </c>
      <c r="HZ39" s="515"/>
      <c r="IA39" s="516">
        <f t="shared" si="76"/>
        <v>0</v>
      </c>
      <c r="IB39" s="517">
        <f t="shared" si="187"/>
        <v>0</v>
      </c>
      <c r="IC39" s="515"/>
      <c r="ID39" s="516">
        <f t="shared" si="77"/>
        <v>0</v>
      </c>
      <c r="IE39" s="517">
        <f t="shared" si="188"/>
        <v>0</v>
      </c>
      <c r="IF39" s="515"/>
      <c r="IG39" s="516">
        <f t="shared" si="78"/>
        <v>0</v>
      </c>
      <c r="IH39" s="517">
        <f t="shared" si="189"/>
        <v>0</v>
      </c>
      <c r="II39" s="515"/>
      <c r="IJ39" s="516">
        <f t="shared" si="79"/>
        <v>0</v>
      </c>
      <c r="IK39" s="517">
        <f t="shared" si="190"/>
        <v>0</v>
      </c>
      <c r="IL39" s="515"/>
      <c r="IM39" s="516">
        <f t="shared" si="80"/>
        <v>0</v>
      </c>
      <c r="IN39" s="517">
        <f t="shared" si="191"/>
        <v>0</v>
      </c>
      <c r="IO39" s="515"/>
      <c r="IP39" s="516">
        <f t="shared" si="81"/>
        <v>0</v>
      </c>
      <c r="IQ39" s="517">
        <f t="shared" si="192"/>
        <v>0</v>
      </c>
      <c r="IR39" s="515"/>
      <c r="IS39" s="516">
        <f t="shared" si="82"/>
        <v>0</v>
      </c>
      <c r="IT39" s="517">
        <f t="shared" si="193"/>
        <v>0</v>
      </c>
      <c r="IU39" s="515"/>
      <c r="IV39" s="516">
        <f t="shared" si="83"/>
        <v>0</v>
      </c>
      <c r="IW39" s="517">
        <f t="shared" si="194"/>
        <v>0</v>
      </c>
      <c r="IX39" s="515"/>
      <c r="IY39" s="516">
        <f t="shared" si="84"/>
        <v>0</v>
      </c>
      <c r="IZ39" s="517">
        <f t="shared" si="195"/>
        <v>0</v>
      </c>
      <c r="JA39" s="515"/>
      <c r="JB39" s="516">
        <f t="shared" si="85"/>
        <v>0</v>
      </c>
      <c r="JC39" s="517">
        <f t="shared" si="196"/>
        <v>0</v>
      </c>
      <c r="JD39" s="515"/>
      <c r="JE39" s="516">
        <f t="shared" si="86"/>
        <v>0</v>
      </c>
      <c r="JF39" s="517">
        <f t="shared" si="197"/>
        <v>0</v>
      </c>
      <c r="JG39" s="515"/>
      <c r="JH39" s="516">
        <f t="shared" si="87"/>
        <v>0</v>
      </c>
      <c r="JI39" s="517">
        <f t="shared" si="198"/>
        <v>0</v>
      </c>
      <c r="JJ39" s="515"/>
      <c r="JK39" s="517" t="str">
        <f t="shared" si="88"/>
        <v>0</v>
      </c>
      <c r="JL39" s="517" t="str">
        <f t="shared" si="89"/>
        <v>0</v>
      </c>
      <c r="JM39" s="515"/>
      <c r="JN39" s="517" t="str">
        <f t="shared" si="90"/>
        <v>0</v>
      </c>
      <c r="JO39" s="517" t="str">
        <f t="shared" si="91"/>
        <v>0</v>
      </c>
      <c r="JP39" s="515"/>
      <c r="JQ39" s="517" t="str">
        <f t="shared" si="92"/>
        <v>0</v>
      </c>
      <c r="JR39" s="517" t="str">
        <f t="shared" si="93"/>
        <v>0</v>
      </c>
      <c r="JS39" s="515"/>
      <c r="JT39" s="517" t="str">
        <f t="shared" si="94"/>
        <v>0</v>
      </c>
      <c r="JU39" s="517" t="str">
        <f t="shared" si="95"/>
        <v>0</v>
      </c>
      <c r="JV39" s="515"/>
      <c r="JW39" s="517" t="str">
        <f t="shared" si="96"/>
        <v>0</v>
      </c>
      <c r="JX39" s="517" t="str">
        <f t="shared" si="97"/>
        <v>0</v>
      </c>
      <c r="JY39" s="515"/>
      <c r="JZ39" s="517" t="str">
        <f t="shared" si="98"/>
        <v>0</v>
      </c>
      <c r="KA39" s="517" t="str">
        <f t="shared" si="99"/>
        <v>0</v>
      </c>
      <c r="KB39" s="515"/>
      <c r="KC39" s="517" t="str">
        <f t="shared" si="100"/>
        <v>0</v>
      </c>
      <c r="KD39" s="517" t="str">
        <f t="shared" si="101"/>
        <v>0</v>
      </c>
      <c r="KE39" s="515"/>
      <c r="KF39" s="517" t="str">
        <f t="shared" si="102"/>
        <v>0</v>
      </c>
      <c r="KG39" s="517" t="str">
        <f t="shared" si="103"/>
        <v>0</v>
      </c>
      <c r="KH39" s="515"/>
      <c r="KI39" s="517" t="str">
        <f t="shared" si="104"/>
        <v>0</v>
      </c>
      <c r="KJ39" s="517" t="str">
        <f t="shared" si="105"/>
        <v>0</v>
      </c>
      <c r="KK39" s="515"/>
      <c r="KL39" s="517" t="str">
        <f t="shared" si="106"/>
        <v>0</v>
      </c>
      <c r="KM39" s="517" t="str">
        <f t="shared" si="107"/>
        <v>0</v>
      </c>
      <c r="KN39" s="515"/>
      <c r="KO39" s="517" t="str">
        <f t="shared" si="108"/>
        <v>0</v>
      </c>
      <c r="KP39" s="517" t="str">
        <f t="shared" si="109"/>
        <v>0</v>
      </c>
      <c r="KQ39" s="515"/>
      <c r="KR39" s="517" t="str">
        <f t="shared" si="110"/>
        <v>0</v>
      </c>
      <c r="KS39" s="517" t="str">
        <f t="shared" si="111"/>
        <v>0</v>
      </c>
      <c r="KT39" s="517">
        <f t="shared" si="201"/>
        <v>0</v>
      </c>
      <c r="KU39" s="517">
        <f t="shared" si="202"/>
        <v>0</v>
      </c>
      <c r="KV39" s="263">
        <f t="shared" si="199"/>
        <v>290.09276426864534</v>
      </c>
    </row>
    <row r="40" spans="1:308" ht="15" customHeight="1" thickBot="1">
      <c r="A40" s="267"/>
      <c r="B40" s="268"/>
      <c r="C40" s="269"/>
      <c r="D40" s="269"/>
      <c r="E40" s="553"/>
      <c r="F40" s="515"/>
      <c r="G40" s="516"/>
      <c r="H40" s="517"/>
      <c r="I40" s="515"/>
      <c r="J40" s="516"/>
      <c r="K40" s="517"/>
      <c r="L40" s="515"/>
      <c r="M40" s="516"/>
      <c r="N40" s="517"/>
      <c r="O40" s="515"/>
      <c r="P40" s="516"/>
      <c r="Q40" s="517"/>
      <c r="R40" s="515"/>
      <c r="S40" s="516"/>
      <c r="T40" s="517"/>
      <c r="U40" s="515"/>
      <c r="V40" s="516"/>
      <c r="W40" s="517"/>
      <c r="X40" s="515"/>
      <c r="Y40" s="516"/>
      <c r="Z40" s="517"/>
      <c r="AA40" s="515"/>
      <c r="AB40" s="516"/>
      <c r="AC40" s="517"/>
      <c r="AD40" s="515"/>
      <c r="AE40" s="516"/>
      <c r="AF40" s="517"/>
      <c r="AG40" s="515"/>
      <c r="AH40" s="516"/>
      <c r="AI40" s="517"/>
      <c r="AJ40" s="515"/>
      <c r="AK40" s="516"/>
      <c r="AL40" s="517"/>
      <c r="AM40" s="515"/>
      <c r="AN40" s="516"/>
      <c r="AO40" s="517"/>
      <c r="AP40" s="515"/>
      <c r="AQ40" s="516"/>
      <c r="AR40" s="517"/>
      <c r="AS40" s="515"/>
      <c r="AT40" s="516"/>
      <c r="AU40" s="517"/>
      <c r="AV40" s="515"/>
      <c r="AW40" s="516"/>
      <c r="AX40" s="517"/>
      <c r="AY40" s="515"/>
      <c r="AZ40" s="516"/>
      <c r="BA40" s="517"/>
      <c r="BB40" s="515"/>
      <c r="BC40" s="516"/>
      <c r="BD40" s="517"/>
      <c r="BE40" s="515"/>
      <c r="BF40" s="516"/>
      <c r="BG40" s="517"/>
      <c r="BH40" s="515"/>
      <c r="BI40" s="516"/>
      <c r="BJ40" s="517"/>
      <c r="BK40" s="515"/>
      <c r="BL40" s="516"/>
      <c r="BM40" s="517"/>
      <c r="BN40" s="515"/>
      <c r="BO40" s="516"/>
      <c r="BP40" s="517"/>
      <c r="BQ40" s="515"/>
      <c r="BR40" s="516"/>
      <c r="BS40" s="517"/>
      <c r="BT40" s="515"/>
      <c r="BU40" s="516"/>
      <c r="BV40" s="517"/>
      <c r="BW40" s="515"/>
      <c r="BX40" s="516"/>
      <c r="BY40" s="517"/>
      <c r="BZ40" s="515"/>
      <c r="CA40" s="516"/>
      <c r="CB40" s="517"/>
      <c r="CC40" s="515"/>
      <c r="CD40" s="516"/>
      <c r="CE40" s="517"/>
      <c r="CF40" s="515"/>
      <c r="CG40" s="516"/>
      <c r="CH40" s="517"/>
      <c r="CI40" s="515"/>
      <c r="CJ40" s="516"/>
      <c r="CK40" s="517"/>
      <c r="CL40" s="515"/>
      <c r="CM40" s="516"/>
      <c r="CN40" s="517"/>
      <c r="CO40" s="515"/>
      <c r="CP40" s="516"/>
      <c r="CQ40" s="517"/>
      <c r="CR40" s="515"/>
      <c r="CS40" s="516"/>
      <c r="CT40" s="517"/>
      <c r="CU40" s="515"/>
      <c r="CV40" s="516"/>
      <c r="CW40" s="517"/>
      <c r="CX40" s="515"/>
      <c r="CY40" s="516"/>
      <c r="CZ40" s="517"/>
      <c r="DA40" s="515"/>
      <c r="DB40" s="516"/>
      <c r="DC40" s="517"/>
      <c r="DD40" s="515"/>
      <c r="DE40" s="516"/>
      <c r="DF40" s="517"/>
      <c r="DG40" s="515"/>
      <c r="DH40" s="516"/>
      <c r="DI40" s="517"/>
      <c r="DJ40" s="515"/>
      <c r="DK40" s="516"/>
      <c r="DL40" s="517"/>
      <c r="DM40" s="515"/>
      <c r="DN40" s="516"/>
      <c r="DO40" s="517"/>
      <c r="DP40" s="515"/>
      <c r="DQ40" s="516"/>
      <c r="DR40" s="517"/>
      <c r="DS40" s="515"/>
      <c r="DT40" s="516"/>
      <c r="DU40" s="517"/>
      <c r="DV40" s="515"/>
      <c r="DW40" s="516"/>
      <c r="DX40" s="517"/>
      <c r="DY40" s="515"/>
      <c r="DZ40" s="516"/>
      <c r="EA40" s="517"/>
      <c r="EB40" s="515"/>
      <c r="EC40" s="516"/>
      <c r="ED40" s="517"/>
      <c r="EE40" s="515"/>
      <c r="EF40" s="516"/>
      <c r="EG40" s="517"/>
      <c r="EH40" s="515"/>
      <c r="EI40" s="516"/>
      <c r="EJ40" s="517"/>
      <c r="EK40" s="515"/>
      <c r="EL40" s="516"/>
      <c r="EM40" s="517"/>
      <c r="EN40" s="515"/>
      <c r="EO40" s="516"/>
      <c r="EP40" s="517"/>
      <c r="EQ40" s="515"/>
      <c r="ER40" s="516"/>
      <c r="ES40" s="517"/>
      <c r="ET40" s="515"/>
      <c r="EU40" s="516"/>
      <c r="EV40" s="517"/>
      <c r="EW40" s="515"/>
      <c r="EX40" s="516"/>
      <c r="EY40" s="517"/>
      <c r="EZ40" s="515"/>
      <c r="FA40" s="516"/>
      <c r="FB40" s="517"/>
      <c r="FC40" s="515"/>
      <c r="FD40" s="516"/>
      <c r="FE40" s="517"/>
      <c r="FF40" s="515"/>
      <c r="FG40" s="516"/>
      <c r="FH40" s="517"/>
      <c r="FI40" s="515"/>
      <c r="FJ40" s="516"/>
      <c r="FK40" s="517"/>
      <c r="FL40" s="515"/>
      <c r="FM40" s="516"/>
      <c r="FN40" s="517"/>
      <c r="FO40" s="515"/>
      <c r="FP40" s="516"/>
      <c r="FQ40" s="517"/>
      <c r="FR40" s="515"/>
      <c r="FS40" s="516"/>
      <c r="FT40" s="517"/>
      <c r="FU40" s="515"/>
      <c r="FV40" s="516"/>
      <c r="FW40" s="517"/>
      <c r="FX40" s="515"/>
      <c r="FY40" s="516"/>
      <c r="FZ40" s="517"/>
      <c r="GA40" s="515"/>
      <c r="GB40" s="516"/>
      <c r="GC40" s="517"/>
      <c r="GD40" s="515"/>
      <c r="GE40" s="516"/>
      <c r="GF40" s="517"/>
      <c r="GG40" s="515"/>
      <c r="GH40" s="516"/>
      <c r="GI40" s="517"/>
      <c r="GJ40" s="515"/>
      <c r="GK40" s="516"/>
      <c r="GL40" s="517"/>
      <c r="GM40" s="515"/>
      <c r="GN40" s="516"/>
      <c r="GO40" s="517"/>
      <c r="GP40" s="515"/>
      <c r="GQ40" s="516"/>
      <c r="GR40" s="517"/>
      <c r="GS40" s="515"/>
      <c r="GT40" s="516"/>
      <c r="GU40" s="517"/>
      <c r="GV40" s="515"/>
      <c r="GW40" s="516"/>
      <c r="GX40" s="517"/>
      <c r="GY40" s="515"/>
      <c r="GZ40" s="516"/>
      <c r="HA40" s="517"/>
      <c r="HB40" s="515"/>
      <c r="HC40" s="516"/>
      <c r="HD40" s="517"/>
      <c r="HE40" s="515"/>
      <c r="HF40" s="516"/>
      <c r="HG40" s="517"/>
      <c r="HH40" s="515"/>
      <c r="HI40" s="516"/>
      <c r="HJ40" s="517"/>
      <c r="HK40" s="515"/>
      <c r="HL40" s="516"/>
      <c r="HM40" s="517"/>
      <c r="HN40" s="515"/>
      <c r="HO40" s="516"/>
      <c r="HP40" s="517"/>
      <c r="HQ40" s="515"/>
      <c r="HR40" s="516"/>
      <c r="HS40" s="517"/>
      <c r="HT40" s="515"/>
      <c r="HU40" s="516"/>
      <c r="HV40" s="517"/>
      <c r="HW40" s="515"/>
      <c r="HX40" s="516"/>
      <c r="HY40" s="517"/>
      <c r="HZ40" s="515"/>
      <c r="IA40" s="516"/>
      <c r="IB40" s="517"/>
      <c r="IC40" s="515"/>
      <c r="ID40" s="516"/>
      <c r="IE40" s="517"/>
      <c r="IF40" s="515"/>
      <c r="IG40" s="516"/>
      <c r="IH40" s="517"/>
      <c r="II40" s="515"/>
      <c r="IJ40" s="516"/>
      <c r="IK40" s="517"/>
      <c r="IL40" s="515"/>
      <c r="IM40" s="516"/>
      <c r="IN40" s="517"/>
      <c r="IO40" s="515"/>
      <c r="IP40" s="516"/>
      <c r="IQ40" s="517"/>
      <c r="IR40" s="515"/>
      <c r="IS40" s="516"/>
      <c r="IT40" s="517"/>
      <c r="IU40" s="515"/>
      <c r="IV40" s="516"/>
      <c r="IW40" s="517"/>
      <c r="IX40" s="515"/>
      <c r="IY40" s="516"/>
      <c r="IZ40" s="517"/>
      <c r="JA40" s="515"/>
      <c r="JB40" s="516"/>
      <c r="JC40" s="517"/>
      <c r="JD40" s="515"/>
      <c r="JE40" s="516"/>
      <c r="JF40" s="517"/>
      <c r="JG40" s="515"/>
      <c r="JH40" s="516"/>
      <c r="JI40" s="517"/>
      <c r="JJ40" s="515"/>
      <c r="JK40" s="517"/>
      <c r="JL40" s="517"/>
      <c r="JM40" s="515"/>
      <c r="JN40" s="517"/>
      <c r="JO40" s="517"/>
      <c r="JP40" s="515"/>
      <c r="JQ40" s="517"/>
      <c r="JR40" s="517"/>
      <c r="JS40" s="515"/>
      <c r="JT40" s="517"/>
      <c r="JU40" s="517"/>
      <c r="JV40" s="515"/>
      <c r="JW40" s="517"/>
      <c r="JX40" s="517"/>
      <c r="JY40" s="515"/>
      <c r="JZ40" s="517"/>
      <c r="KA40" s="517"/>
      <c r="KB40" s="515"/>
      <c r="KC40" s="517"/>
      <c r="KD40" s="517"/>
      <c r="KE40" s="515"/>
      <c r="KF40" s="517"/>
      <c r="KG40" s="517"/>
      <c r="KH40" s="515"/>
      <c r="KI40" s="517"/>
      <c r="KJ40" s="517"/>
      <c r="KK40" s="515"/>
      <c r="KL40" s="517"/>
      <c r="KM40" s="517"/>
      <c r="KN40" s="515"/>
      <c r="KO40" s="517"/>
      <c r="KP40" s="517"/>
      <c r="KQ40" s="515"/>
      <c r="KR40" s="517"/>
      <c r="KS40" s="517"/>
      <c r="KT40" s="517"/>
      <c r="KU40" s="517"/>
      <c r="KV40" s="263"/>
    </row>
    <row r="41" spans="1:308" s="520" customFormat="1" ht="15" customHeight="1" thickTop="1" thickBot="1">
      <c r="A41" s="709" t="s">
        <v>28</v>
      </c>
      <c r="B41" s="710"/>
      <c r="C41" s="711"/>
      <c r="D41" s="554">
        <f>SUM(D9:D40)</f>
        <v>1293.6130000000001</v>
      </c>
      <c r="E41" s="553">
        <v>0</v>
      </c>
      <c r="F41" s="518">
        <f>SUM(F9:F39)</f>
        <v>0</v>
      </c>
      <c r="G41" s="518">
        <f>IFERROR((F41/$L$41),0)</f>
        <v>0</v>
      </c>
      <c r="H41" s="518">
        <f>IFERROR(((F41*H$8)/$L$41),0)</f>
        <v>0</v>
      </c>
      <c r="I41" s="518">
        <f>SUM(I9:I39)</f>
        <v>4976.7441860465115</v>
      </c>
      <c r="J41" s="518">
        <f>IFERROR((I41/$L$41),0)</f>
        <v>0</v>
      </c>
      <c r="K41" s="518">
        <f>IFERROR(((I41*K$8)/$L$41),0)</f>
        <v>0</v>
      </c>
      <c r="L41" s="518">
        <f>SUM(L9:L39)</f>
        <v>0</v>
      </c>
      <c r="M41" s="518">
        <f>IFERROR((L41/$L$41),0)</f>
        <v>0</v>
      </c>
      <c r="N41" s="518">
        <f>IFERROR(((L41*N$8)/$L$41),0)</f>
        <v>0</v>
      </c>
      <c r="O41" s="518">
        <f>SUM(O9:O39)</f>
        <v>210</v>
      </c>
      <c r="P41" s="518">
        <f>IFERROR((O41/$L$41),0)</f>
        <v>0</v>
      </c>
      <c r="Q41" s="518">
        <f>IFERROR(((O41*Q$8)/$L$41),0)</f>
        <v>0</v>
      </c>
      <c r="R41" s="518">
        <f>SUM(R9:R39)</f>
        <v>0</v>
      </c>
      <c r="S41" s="518">
        <f>IFERROR((R41/$L$41),0)</f>
        <v>0</v>
      </c>
      <c r="T41" s="518">
        <f>IFERROR(((R41*T$8)/$L$41),0)</f>
        <v>0</v>
      </c>
      <c r="U41" s="518">
        <f>SUM(U9:U39)</f>
        <v>266.5</v>
      </c>
      <c r="V41" s="518">
        <f>IFERROR((U41/$L$41),0)</f>
        <v>0</v>
      </c>
      <c r="W41" s="518">
        <f>IFERROR(((U41*W$8)/$L$41),0)</f>
        <v>0</v>
      </c>
      <c r="X41" s="518">
        <f>SUM(X9:X39)</f>
        <v>0</v>
      </c>
      <c r="Y41" s="518">
        <f>IFERROR((X41/$L$41),0)</f>
        <v>0</v>
      </c>
      <c r="Z41" s="518">
        <f>IFERROR(((X41*Z$8)/$L$41),0)</f>
        <v>0</v>
      </c>
      <c r="AA41" s="518">
        <f>SUM(AA9:AA39)</f>
        <v>114.0625</v>
      </c>
      <c r="AB41" s="518">
        <f>IFERROR((AA41/$L$41),0)</f>
        <v>0</v>
      </c>
      <c r="AC41" s="518">
        <f>IFERROR(((AA41*AC$8)/$L$41),0)</f>
        <v>0</v>
      </c>
      <c r="AD41" s="518">
        <f>SUM(AD9:AD39)</f>
        <v>0</v>
      </c>
      <c r="AE41" s="518">
        <f>IFERROR((AD41/$L$41),0)</f>
        <v>0</v>
      </c>
      <c r="AF41" s="518">
        <f>IFERROR(((AD41*AF$8)/$L$41),0)</f>
        <v>0</v>
      </c>
      <c r="AG41" s="518">
        <f>SUM(AG9:AG39)</f>
        <v>0</v>
      </c>
      <c r="AH41" s="518">
        <f>IFERROR((AG41/$L$41),0)</f>
        <v>0</v>
      </c>
      <c r="AI41" s="518">
        <f>IFERROR(((AG41*AI$8)/$L$41),0)</f>
        <v>0</v>
      </c>
      <c r="AJ41" s="518">
        <f>SUM(AJ9:AJ39)</f>
        <v>44.056400000000025</v>
      </c>
      <c r="AK41" s="518">
        <f>IFERROR((AJ41/$L$41),0)</f>
        <v>0</v>
      </c>
      <c r="AL41" s="518">
        <f>IFERROR(((AJ41*AL$8)/$L$41),0)</f>
        <v>0</v>
      </c>
      <c r="AM41" s="518">
        <f>SUM(AM9:AM39)</f>
        <v>0</v>
      </c>
      <c r="AN41" s="518">
        <f>IFERROR((AM41/$L$41),0)</f>
        <v>0</v>
      </c>
      <c r="AO41" s="518">
        <f>IFERROR(((AM41*AO$8)/$L$41),0)</f>
        <v>0</v>
      </c>
      <c r="AP41" s="518">
        <f>SUM(AP9:AP39)</f>
        <v>1432.5949367088604</v>
      </c>
      <c r="AQ41" s="518">
        <f>IFERROR((AP41/$L$41),0)</f>
        <v>0</v>
      </c>
      <c r="AR41" s="518">
        <f>IFERROR(((AP41*AR$8)/$L$41),0)</f>
        <v>0</v>
      </c>
      <c r="AS41" s="518">
        <f>SUM(AS9:AS39)</f>
        <v>0</v>
      </c>
      <c r="AT41" s="518">
        <f>IFERROR((AS41/$L$41),0)</f>
        <v>0</v>
      </c>
      <c r="AU41" s="518">
        <f>IFERROR(((AS41*AU$8)/$L$41),0)</f>
        <v>0</v>
      </c>
      <c r="AV41" s="518">
        <f>SUM(AV9:AV39)</f>
        <v>119.32499999999999</v>
      </c>
      <c r="AW41" s="518">
        <f>IFERROR((AV41/$L$41),0)</f>
        <v>0</v>
      </c>
      <c r="AX41" s="518">
        <f>IFERROR(((AV41*AX$8)/$L$41),0)</f>
        <v>0</v>
      </c>
      <c r="AY41" s="518">
        <f>SUM(AY9:AY39)</f>
        <v>1495.6666666666665</v>
      </c>
      <c r="AZ41" s="518">
        <f>IFERROR((AY41/$L$41),0)</f>
        <v>0</v>
      </c>
      <c r="BA41" s="518">
        <f>IFERROR(((AY41*BA$8)/$L$41),0)</f>
        <v>0</v>
      </c>
      <c r="BB41" s="518">
        <f>SUM(BB9:BB39)</f>
        <v>0</v>
      </c>
      <c r="BC41" s="518">
        <f>IFERROR((BB41/$L$41),0)</f>
        <v>0</v>
      </c>
      <c r="BD41" s="518">
        <f>IFERROR(((BB41*BD$8)/$L$41),0)</f>
        <v>0</v>
      </c>
      <c r="BE41" s="518">
        <f>SUM(BE9:BE39)</f>
        <v>0</v>
      </c>
      <c r="BF41" s="518">
        <f>IFERROR((BE41/$L$41),0)</f>
        <v>0</v>
      </c>
      <c r="BG41" s="518">
        <f>IFERROR(((BE41*BG$8)/$L$41),0)</f>
        <v>0</v>
      </c>
      <c r="BH41" s="518">
        <f>SUM(BH9:BH39)</f>
        <v>0</v>
      </c>
      <c r="BI41" s="518">
        <f>IFERROR((BH41/$L$41),0)</f>
        <v>0</v>
      </c>
      <c r="BJ41" s="518">
        <f>IFERROR(((BH41*BJ$8)/$L$41),0)</f>
        <v>0</v>
      </c>
      <c r="BK41" s="518">
        <f>SUM(BK9:BK39)</f>
        <v>0</v>
      </c>
      <c r="BL41" s="518">
        <f>IFERROR((BK41/$L$41),0)</f>
        <v>0</v>
      </c>
      <c r="BM41" s="518">
        <f>IFERROR(((BK41*BM$8)/$L$41),0)</f>
        <v>0</v>
      </c>
      <c r="BN41" s="518">
        <f>SUM(BN9:BN39)</f>
        <v>0</v>
      </c>
      <c r="BO41" s="518">
        <f>IFERROR((BN41/$L$41),0)</f>
        <v>0</v>
      </c>
      <c r="BP41" s="518">
        <f>IFERROR(((BN41*BP$8)/$L$41),0)</f>
        <v>0</v>
      </c>
      <c r="BQ41" s="518">
        <f>SUM(BQ9:BQ39)</f>
        <v>2136.7088607594937</v>
      </c>
      <c r="BR41" s="518">
        <f>IFERROR((BQ41/$L$41),0)</f>
        <v>0</v>
      </c>
      <c r="BS41" s="518">
        <f>IFERROR(((BQ41*BS$8)/$L$41),0)</f>
        <v>0</v>
      </c>
      <c r="BT41" s="518">
        <f>SUM(BT9:BT39)</f>
        <v>0</v>
      </c>
      <c r="BU41" s="518">
        <f>IFERROR((BT41/$L$41),0)</f>
        <v>0</v>
      </c>
      <c r="BV41" s="518">
        <f>IFERROR(((BT41*BV$8)/$L$41),0)</f>
        <v>0</v>
      </c>
      <c r="BW41" s="518">
        <f>SUM(BW9:BW39)</f>
        <v>0</v>
      </c>
      <c r="BX41" s="518">
        <f>IFERROR((BW41/$L$41),0)</f>
        <v>0</v>
      </c>
      <c r="BY41" s="518">
        <f>IFERROR(((BW41*BY$8)/$L$41),0)</f>
        <v>0</v>
      </c>
      <c r="BZ41" s="518">
        <f>SUM(BZ9:BZ39)</f>
        <v>0</v>
      </c>
      <c r="CA41" s="518">
        <f>IFERROR((BZ41/$L$41),0)</f>
        <v>0</v>
      </c>
      <c r="CB41" s="518">
        <f>IFERROR(((BZ41*CB$8)/$L$41),0)</f>
        <v>0</v>
      </c>
      <c r="CC41" s="518">
        <f>SUM(CC9:CC39)</f>
        <v>5</v>
      </c>
      <c r="CD41" s="518">
        <f>IFERROR((CC41/$L$41),0)</f>
        <v>0</v>
      </c>
      <c r="CE41" s="518">
        <f>IFERROR(((CC41*CE$8)/$L$41),0)</f>
        <v>0</v>
      </c>
      <c r="CF41" s="518">
        <f>SUM(CF9:CF39)</f>
        <v>38.799999999999997</v>
      </c>
      <c r="CG41" s="518">
        <f>IFERROR((CF41/$L$41),0)</f>
        <v>0</v>
      </c>
      <c r="CH41" s="518">
        <f>IFERROR(((CF41*CH$8)/$L$41),0)</f>
        <v>0</v>
      </c>
      <c r="CI41" s="518">
        <f>SUM(CI9:CI39)</f>
        <v>0</v>
      </c>
      <c r="CJ41" s="518">
        <f>IFERROR((CI41/$L$41),0)</f>
        <v>0</v>
      </c>
      <c r="CK41" s="518">
        <f>IFERROR(((CI41*CK$8)/$L$41),0)</f>
        <v>0</v>
      </c>
      <c r="CL41" s="518">
        <f>SUM(CL9:CL39)</f>
        <v>0</v>
      </c>
      <c r="CM41" s="518">
        <f>IFERROR((CL41/$L$41),0)</f>
        <v>0</v>
      </c>
      <c r="CN41" s="518">
        <f>IFERROR(((CL41*CN$8)/$L$41),0)</f>
        <v>0</v>
      </c>
      <c r="CO41" s="518">
        <f>SUM(CO9:CO39)</f>
        <v>1</v>
      </c>
      <c r="CP41" s="518">
        <f>IFERROR((CO41/$L$41),0)</f>
        <v>0</v>
      </c>
      <c r="CQ41" s="518">
        <f>IFERROR(((CO41*CQ$8)/$L$41),0)</f>
        <v>0</v>
      </c>
      <c r="CR41" s="518">
        <f>SUM(CR9:CR39)</f>
        <v>2</v>
      </c>
      <c r="CS41" s="518">
        <f>IFERROR((CR41/$L$41),0)</f>
        <v>0</v>
      </c>
      <c r="CT41" s="518">
        <f>IFERROR(((CR41*CT$8)/$L$41),0)</f>
        <v>0</v>
      </c>
      <c r="CU41" s="518">
        <f>SUM(CU9:CU39)</f>
        <v>0</v>
      </c>
      <c r="CV41" s="518">
        <f>IFERROR((CU41/$L$41),0)</f>
        <v>0</v>
      </c>
      <c r="CW41" s="518">
        <f>IFERROR(((CU41*CW$8)/$L$41),0)</f>
        <v>0</v>
      </c>
      <c r="CX41" s="518">
        <f>SUM(CX9:CX39)</f>
        <v>0</v>
      </c>
      <c r="CY41" s="518">
        <f>IFERROR((CX41/$L$41),0)</f>
        <v>0</v>
      </c>
      <c r="CZ41" s="518">
        <f>IFERROR(((CX41*CZ$8)/$L$41),0)</f>
        <v>0</v>
      </c>
      <c r="DA41" s="518">
        <f>SUM(DA9:DA39)</f>
        <v>1017.4418604651162</v>
      </c>
      <c r="DB41" s="518">
        <f>IFERROR((DA41/$L$41),0)</f>
        <v>0</v>
      </c>
      <c r="DC41" s="518">
        <f>IFERROR(((DA41*DC$8)/$L$41),0)</f>
        <v>0</v>
      </c>
      <c r="DD41" s="518">
        <f>SUM(DD9:DD39)</f>
        <v>0</v>
      </c>
      <c r="DE41" s="518">
        <f>IFERROR((DD41/$L$41),0)</f>
        <v>0</v>
      </c>
      <c r="DF41" s="518">
        <f>IFERROR(((DD41*DF$8)/$L$41),0)</f>
        <v>0</v>
      </c>
      <c r="DG41" s="518">
        <f>SUM(DG14:DG39)</f>
        <v>0</v>
      </c>
      <c r="DH41" s="518">
        <f>IFERROR((DG41/$L$41),0)</f>
        <v>0</v>
      </c>
      <c r="DI41" s="518">
        <f>IFERROR(((DG41*DI$8)/$L$41),0)</f>
        <v>0</v>
      </c>
      <c r="DJ41" s="518">
        <f>SUM(DJ9:DJ39)</f>
        <v>0</v>
      </c>
      <c r="DK41" s="518">
        <f>IFERROR((DJ41/$L$41),0)</f>
        <v>0</v>
      </c>
      <c r="DL41" s="518">
        <f>IFERROR(((DJ41*DL$8)/$L$41),0)</f>
        <v>0</v>
      </c>
      <c r="DM41" s="518">
        <f>SUM(DM9:DM39)</f>
        <v>0</v>
      </c>
      <c r="DN41" s="518">
        <f>IFERROR((DM41/$L$41),0)</f>
        <v>0</v>
      </c>
      <c r="DO41" s="518">
        <f>IFERROR(((DM41*DO$8)/$L$41),0)</f>
        <v>0</v>
      </c>
      <c r="DP41" s="518">
        <f>SUM(DP9:DP39)</f>
        <v>0</v>
      </c>
      <c r="DQ41" s="518">
        <f>IFERROR((DP41/$L$41),0)</f>
        <v>0</v>
      </c>
      <c r="DR41" s="518">
        <f>IFERROR(((DP41*DR$8)/$L$41),0)</f>
        <v>0</v>
      </c>
      <c r="DS41" s="518">
        <f>SUM(DS9:DS39)</f>
        <v>0</v>
      </c>
      <c r="DT41" s="518">
        <f>IFERROR((DS41/$L$41),0)</f>
        <v>0</v>
      </c>
      <c r="DU41" s="518">
        <f>IFERROR(((DS41*DU$8)/$L$41),0)</f>
        <v>0</v>
      </c>
      <c r="DV41" s="518">
        <f>SUM(DV9:DV39)</f>
        <v>0</v>
      </c>
      <c r="DW41" s="518">
        <f>IFERROR((DV41/$L$41),0)</f>
        <v>0</v>
      </c>
      <c r="DX41" s="518">
        <f>IFERROR(((DV41*DX$8)/$L$41),0)</f>
        <v>0</v>
      </c>
      <c r="DY41" s="518">
        <f>SUM(DY9:DY39)</f>
        <v>23.722891566265076</v>
      </c>
      <c r="DZ41" s="518">
        <f>IFERROR((DY41/$L$41),0)</f>
        <v>0</v>
      </c>
      <c r="EA41" s="518">
        <f>IFERROR(((DY41*EA$8)/$L$41),0)</f>
        <v>0</v>
      </c>
      <c r="EB41" s="518">
        <f>SUM(EB9:EB39)</f>
        <v>0</v>
      </c>
      <c r="EC41" s="518">
        <f>IFERROR((EB41/$L$41),0)</f>
        <v>0</v>
      </c>
      <c r="ED41" s="518">
        <f>IFERROR(((EB41*ED$8)/$L$41),0)</f>
        <v>0</v>
      </c>
      <c r="EE41" s="518">
        <f>SUM(EE9:EE39)</f>
        <v>352.47093023255815</v>
      </c>
      <c r="EF41" s="518">
        <f>IFERROR((EE41/$L$41),0)</f>
        <v>0</v>
      </c>
      <c r="EG41" s="518">
        <f>IFERROR(((EE41*EG$8)/$L$41),0)</f>
        <v>0</v>
      </c>
      <c r="EH41" s="518">
        <f>SUM(EH9:EH39)</f>
        <v>675.11764705882365</v>
      </c>
      <c r="EI41" s="518">
        <f>IFERROR((EH41/$L$41),0)</f>
        <v>0</v>
      </c>
      <c r="EJ41" s="518">
        <f>IFERROR(((EH41*EJ$8)/$L$41),0)</f>
        <v>0</v>
      </c>
      <c r="EK41" s="518">
        <f>SUM(EK9:EK39)</f>
        <v>83.6</v>
      </c>
      <c r="EL41" s="518">
        <f>IFERROR((EK41/$L$41),0)</f>
        <v>0</v>
      </c>
      <c r="EM41" s="518">
        <f>IFERROR(((EK41*EM$8)/$L$41),0)</f>
        <v>0</v>
      </c>
      <c r="EN41" s="518">
        <f>SUM(EN9:EN39)</f>
        <v>0</v>
      </c>
      <c r="EO41" s="518">
        <f>IFERROR((EN41/$L$41),0)</f>
        <v>0</v>
      </c>
      <c r="EP41" s="518">
        <f>IFERROR(((EN41*EP$8)/$L$41),0)</f>
        <v>0</v>
      </c>
      <c r="EQ41" s="518">
        <f>SUM(EQ9:EQ39)</f>
        <v>0</v>
      </c>
      <c r="ER41" s="518">
        <f>IFERROR((EQ41/$L$41),0)</f>
        <v>0</v>
      </c>
      <c r="ES41" s="518">
        <f>IFERROR(((EQ41*ES$8)/$L$41),0)</f>
        <v>0</v>
      </c>
      <c r="ET41" s="518">
        <f>SUM(ET9:ET39)</f>
        <v>0</v>
      </c>
      <c r="EU41" s="518">
        <f>IFERROR((ET41/$L$41),0)</f>
        <v>0</v>
      </c>
      <c r="EV41" s="518">
        <f>IFERROR(((ET41*EV$8)/$L$41),0)</f>
        <v>0</v>
      </c>
      <c r="EW41" s="518">
        <f>SUM(EW9:EW39)</f>
        <v>0</v>
      </c>
      <c r="EX41" s="518">
        <f>IFERROR((EW41/$L$41),0)</f>
        <v>0</v>
      </c>
      <c r="EY41" s="518">
        <f>IFERROR(((EW41*EY$8)/$L$41),0)</f>
        <v>0</v>
      </c>
      <c r="EZ41" s="518">
        <f>SUM(EZ9:EZ39)</f>
        <v>0</v>
      </c>
      <c r="FA41" s="518">
        <f>IFERROR((EZ41/$L$41),0)</f>
        <v>0</v>
      </c>
      <c r="FB41" s="518">
        <f>IFERROR(((EZ41*FB$8)/$L$41),0)</f>
        <v>0</v>
      </c>
      <c r="FC41" s="518">
        <f>SUM(FC9:FC39)</f>
        <v>0</v>
      </c>
      <c r="FD41" s="518">
        <f>IFERROR((FC41/$L$41),0)</f>
        <v>0</v>
      </c>
      <c r="FE41" s="518">
        <f>IFERROR(((FC41*FE$8)/$L$41),0)</f>
        <v>0</v>
      </c>
      <c r="FF41" s="518">
        <f>SUM(FF9:FF39)</f>
        <v>0</v>
      </c>
      <c r="FG41" s="518">
        <f>IFERROR((FF41/$L$41),0)</f>
        <v>0</v>
      </c>
      <c r="FH41" s="518">
        <f>IFERROR(((FF41*FH$8)/$L$41),0)</f>
        <v>0</v>
      </c>
      <c r="FI41" s="518">
        <f>SUM(FI9:FI39)</f>
        <v>0</v>
      </c>
      <c r="FJ41" s="518">
        <f>IFERROR((FI41/$L$41),0)</f>
        <v>0</v>
      </c>
      <c r="FK41" s="518">
        <f>IFERROR(((FI41*FK$8)/$L$41),0)</f>
        <v>0</v>
      </c>
      <c r="FL41" s="518">
        <f>SUM(FL9:FL39)</f>
        <v>0</v>
      </c>
      <c r="FM41" s="518">
        <f>IFERROR((FL41/$L$41),0)</f>
        <v>0</v>
      </c>
      <c r="FN41" s="518">
        <f>IFERROR(((FL41*FN$8)/$L$41),0)</f>
        <v>0</v>
      </c>
      <c r="FO41" s="518">
        <f>SUM(FO9:FO39)</f>
        <v>0</v>
      </c>
      <c r="FP41" s="518">
        <f>IFERROR((FO41/$L$41),0)</f>
        <v>0</v>
      </c>
      <c r="FQ41" s="518">
        <f>IFERROR(((FO41*FQ$8)/$L$41),0)</f>
        <v>0</v>
      </c>
      <c r="FR41" s="518">
        <f>SUM(FR9:FR39)</f>
        <v>0</v>
      </c>
      <c r="FS41" s="518">
        <f>IFERROR((FR41/$L$41),0)</f>
        <v>0</v>
      </c>
      <c r="FT41" s="518">
        <f>IFERROR(((FR41*FT$8)/$L$41),0)</f>
        <v>0</v>
      </c>
      <c r="FU41" s="518">
        <f>SUM(FU9:FU39)</f>
        <v>0</v>
      </c>
      <c r="FV41" s="518">
        <f>IFERROR((FU41/$L$41),0)</f>
        <v>0</v>
      </c>
      <c r="FW41" s="518">
        <f>IFERROR(((FU41*FW$8)/$L$41),0)</f>
        <v>0</v>
      </c>
      <c r="FX41" s="518">
        <f>SUM(FX9:FX39)</f>
        <v>0</v>
      </c>
      <c r="FY41" s="518">
        <f>IFERROR((FX41/$L$41),0)</f>
        <v>0</v>
      </c>
      <c r="FZ41" s="518">
        <f>IFERROR(((FX41*FZ$8)/$L$41),0)</f>
        <v>0</v>
      </c>
      <c r="GA41" s="518">
        <f>SUM(GA9:GA39)</f>
        <v>0</v>
      </c>
      <c r="GB41" s="518">
        <f>IFERROR((GA41/$L$41),0)</f>
        <v>0</v>
      </c>
      <c r="GC41" s="518">
        <f>IFERROR(((GA41*GC$8)/$L$41),0)</f>
        <v>0</v>
      </c>
      <c r="GD41" s="518">
        <f>SUM(GD9:GD39)</f>
        <v>0</v>
      </c>
      <c r="GE41" s="518">
        <f>IFERROR((GD41/$L$41),0)</f>
        <v>0</v>
      </c>
      <c r="GF41" s="518">
        <f>IFERROR(((GD41*GF$8)/$L$41),0)</f>
        <v>0</v>
      </c>
      <c r="GG41" s="518">
        <f>SUM(GG9:GG39)</f>
        <v>0</v>
      </c>
      <c r="GH41" s="518">
        <f>IFERROR((GG41/$L$41),0)</f>
        <v>0</v>
      </c>
      <c r="GI41" s="518">
        <f>IFERROR(((GG41*GI$8)/$L$41),0)</f>
        <v>0</v>
      </c>
      <c r="GJ41" s="518">
        <f>SUM(GJ9:GJ39)</f>
        <v>0</v>
      </c>
      <c r="GK41" s="518">
        <f>IFERROR((GJ41/$L$41),0)</f>
        <v>0</v>
      </c>
      <c r="GL41" s="518">
        <f>IFERROR(((GJ41*GL$8)/$L$41),0)</f>
        <v>0</v>
      </c>
      <c r="GM41" s="518">
        <f>SUM(GM9:GM39)</f>
        <v>0</v>
      </c>
      <c r="GN41" s="518">
        <f>IFERROR((GM41/$L$41),0)</f>
        <v>0</v>
      </c>
      <c r="GO41" s="518">
        <f>IFERROR(((GM41*GO$8)/$L$41),0)</f>
        <v>0</v>
      </c>
      <c r="GP41" s="518">
        <f>SUM(GP9:GP39)</f>
        <v>0</v>
      </c>
      <c r="GQ41" s="518">
        <f>IFERROR((GP41/$L$41),0)</f>
        <v>0</v>
      </c>
      <c r="GR41" s="518">
        <f>IFERROR(((GP41*GR$8)/$L$41),0)</f>
        <v>0</v>
      </c>
      <c r="GS41" s="518">
        <f>SUM(GS9:GS39)</f>
        <v>0</v>
      </c>
      <c r="GT41" s="518">
        <f>IFERROR((GS41/$L$41),0)</f>
        <v>0</v>
      </c>
      <c r="GU41" s="518">
        <f>IFERROR(((GS41*GU$8)/$L$41),0)</f>
        <v>0</v>
      </c>
      <c r="GV41" s="518">
        <f>SUM(GV9:GV39)</f>
        <v>0</v>
      </c>
      <c r="GW41" s="518">
        <f>IFERROR((GV41/$L$41),0)</f>
        <v>0</v>
      </c>
      <c r="GX41" s="518">
        <f>IFERROR(((GV41*GX$8)/$L$41),0)</f>
        <v>0</v>
      </c>
      <c r="GY41" s="518">
        <f>SUM(GY9:GY39)</f>
        <v>0</v>
      </c>
      <c r="GZ41" s="518">
        <f>IFERROR((GY41/$L$41),0)</f>
        <v>0</v>
      </c>
      <c r="HA41" s="518">
        <f>IFERROR(((GY41*HA$8)/$L$41),0)</f>
        <v>0</v>
      </c>
      <c r="HB41" s="518">
        <f>SUM(HB9:HB39)</f>
        <v>0</v>
      </c>
      <c r="HC41" s="518">
        <f>IFERROR((HB41/$L$41),0)</f>
        <v>0</v>
      </c>
      <c r="HD41" s="518">
        <f>IFERROR(((HB41*HD$8)/$L$41),0)</f>
        <v>0</v>
      </c>
      <c r="HE41" s="518">
        <f>SUM(HE9:HE39)</f>
        <v>0</v>
      </c>
      <c r="HF41" s="518">
        <f>IFERROR((HE41/$L$41),0)</f>
        <v>0</v>
      </c>
      <c r="HG41" s="518">
        <f>IFERROR(((HE41*HG$8)/$L$41),0)</f>
        <v>0</v>
      </c>
      <c r="HH41" s="518">
        <f>SUM(HH9:HH39)</f>
        <v>0</v>
      </c>
      <c r="HI41" s="518">
        <f>IFERROR((HH41/$L$41),0)</f>
        <v>0</v>
      </c>
      <c r="HJ41" s="518">
        <f>IFERROR(((HH41*HJ$8)/$L$41),0)</f>
        <v>0</v>
      </c>
      <c r="HK41" s="518">
        <f>SUM(HK9:HK39)</f>
        <v>0</v>
      </c>
      <c r="HL41" s="518">
        <f>IFERROR((HK41/$L$41),0)</f>
        <v>0</v>
      </c>
      <c r="HM41" s="518">
        <f>IFERROR(((HK41*HM$8)/$L$41),0)</f>
        <v>0</v>
      </c>
      <c r="HN41" s="518">
        <f>SUM(HN9:HN39)</f>
        <v>0</v>
      </c>
      <c r="HO41" s="518">
        <f>IFERROR((HN41/$L$41),0)</f>
        <v>0</v>
      </c>
      <c r="HP41" s="518">
        <f>IFERROR(((HN41*HP$8)/$L$41),0)</f>
        <v>0</v>
      </c>
      <c r="HQ41" s="518">
        <f>SUM(HQ9:HQ39)</f>
        <v>0</v>
      </c>
      <c r="HR41" s="518">
        <f>IFERROR((HQ41/$L$41),0)</f>
        <v>0</v>
      </c>
      <c r="HS41" s="518">
        <f>IFERROR(((HQ41*HS$8)/$L$41),0)</f>
        <v>0</v>
      </c>
      <c r="HT41" s="518">
        <f>SUM(HT9:HT39)</f>
        <v>0</v>
      </c>
      <c r="HU41" s="518">
        <f>IFERROR((HT41/$L$41),0)</f>
        <v>0</v>
      </c>
      <c r="HV41" s="518">
        <f>IFERROR(((HT41*HV$8)/$L$41),0)</f>
        <v>0</v>
      </c>
      <c r="HW41" s="518">
        <f>SUM(HW9:HW39)</f>
        <v>0</v>
      </c>
      <c r="HX41" s="518">
        <f>IFERROR((HW41/$L$41),0)</f>
        <v>0</v>
      </c>
      <c r="HY41" s="518">
        <f>IFERROR(((HW41*HY$8)/$L$41),0)</f>
        <v>0</v>
      </c>
      <c r="HZ41" s="518">
        <f>SUM(HZ9:HZ39)</f>
        <v>0</v>
      </c>
      <c r="IA41" s="518">
        <f>IFERROR((HZ41/$L$41),0)</f>
        <v>0</v>
      </c>
      <c r="IB41" s="518">
        <f>IFERROR(((HZ41*IB$8)/$L$41),0)</f>
        <v>0</v>
      </c>
      <c r="IC41" s="518">
        <f>SUM(IC9:IC39)</f>
        <v>0</v>
      </c>
      <c r="ID41" s="518">
        <f>IFERROR((IC41/$L$41),0)</f>
        <v>0</v>
      </c>
      <c r="IE41" s="518">
        <f>IFERROR(((IC41*IE$8)/$L$41),0)</f>
        <v>0</v>
      </c>
      <c r="IF41" s="518">
        <f>SUM(IF9:IF39)</f>
        <v>0</v>
      </c>
      <c r="IG41" s="518">
        <f>IFERROR((IF41/$L$41),0)</f>
        <v>0</v>
      </c>
      <c r="IH41" s="518">
        <f>IFERROR(((IF41*IH$8)/$L$41),0)</f>
        <v>0</v>
      </c>
      <c r="II41" s="518">
        <f>SUM(II9:II39)</f>
        <v>0</v>
      </c>
      <c r="IJ41" s="518">
        <f>IFERROR((II41/$L$41),0)</f>
        <v>0</v>
      </c>
      <c r="IK41" s="518">
        <f>IFERROR(((II41*IK$8)/$L$41),0)</f>
        <v>0</v>
      </c>
      <c r="IL41" s="518">
        <f>SUM(IL9:IL39)</f>
        <v>0</v>
      </c>
      <c r="IM41" s="518">
        <f>IFERROR((IL41/$L$41),0)</f>
        <v>0</v>
      </c>
      <c r="IN41" s="518">
        <f>IFERROR(((IL41*IN$8)/$L$41),0)</f>
        <v>0</v>
      </c>
      <c r="IO41" s="518">
        <f>SUM(IO9:IO39)</f>
        <v>0</v>
      </c>
      <c r="IP41" s="518">
        <f>IFERROR((IO41/$L$41),0)</f>
        <v>0</v>
      </c>
      <c r="IQ41" s="518">
        <f>IFERROR(((IO41*IQ$8)/$L$41),0)</f>
        <v>0</v>
      </c>
      <c r="IR41" s="518">
        <f>SUM(IR9:IR39)</f>
        <v>0</v>
      </c>
      <c r="IS41" s="518">
        <f>IFERROR((IR41/$L$41),0)</f>
        <v>0</v>
      </c>
      <c r="IT41" s="518">
        <f>IFERROR(((IR41*IT$8)/$L$41),0)</f>
        <v>0</v>
      </c>
      <c r="IU41" s="518">
        <f>SUM(IU9:IU39)</f>
        <v>0</v>
      </c>
      <c r="IV41" s="518">
        <f>IFERROR((IU41/$L$41),0)</f>
        <v>0</v>
      </c>
      <c r="IW41" s="518">
        <f>IFERROR(((IU41*IW$8)/$L$41),0)</f>
        <v>0</v>
      </c>
      <c r="IX41" s="518">
        <f>SUM(IX9:IX39)</f>
        <v>0</v>
      </c>
      <c r="IY41" s="518">
        <f>IFERROR((IX41/$L$41),0)</f>
        <v>0</v>
      </c>
      <c r="IZ41" s="518">
        <f>IFERROR(((IX41*IZ$8)/$L$41),0)</f>
        <v>0</v>
      </c>
      <c r="JA41" s="518">
        <f>SUM(JA9:JA39)</f>
        <v>0</v>
      </c>
      <c r="JB41" s="518">
        <f>IFERROR((JA41/$L$41),0)</f>
        <v>0</v>
      </c>
      <c r="JC41" s="518">
        <f>IFERROR(((JA41*JC$8)/$L$41),0)</f>
        <v>0</v>
      </c>
      <c r="JD41" s="518">
        <f>SUM(JD9:JD39)</f>
        <v>0</v>
      </c>
      <c r="JE41" s="518">
        <f>IFERROR((JD41/$L$41),0)</f>
        <v>0</v>
      </c>
      <c r="JF41" s="518">
        <f>IFERROR(((JD41*JF$8)/$L$41),0)</f>
        <v>0</v>
      </c>
      <c r="JG41" s="518">
        <f>SUM(JG9:JG39)</f>
        <v>0</v>
      </c>
      <c r="JH41" s="518">
        <f>IFERROR((JG41/$L$41),0)</f>
        <v>0</v>
      </c>
      <c r="JI41" s="518">
        <f>IFERROR(((JG41*JI$8)/$L$41),0)</f>
        <v>0</v>
      </c>
      <c r="JJ41" s="518">
        <f>SUM(JJ9:JJ39)</f>
        <v>0</v>
      </c>
      <c r="JK41" s="518">
        <f>IFERROR((JJ41/$L$41),0)</f>
        <v>0</v>
      </c>
      <c r="JL41" s="518">
        <f>IFERROR(((JJ41*JL$8)/$L$41),0)</f>
        <v>0</v>
      </c>
      <c r="JM41" s="518">
        <f>SUM(JM9:JM39)</f>
        <v>0</v>
      </c>
      <c r="JN41" s="518">
        <f>IFERROR((JM41/$L$41),0)</f>
        <v>0</v>
      </c>
      <c r="JO41" s="518">
        <f>IFERROR(((JM41*JO$8)/$L$41),0)</f>
        <v>0</v>
      </c>
      <c r="JP41" s="518">
        <f>SUM(JP9:JP39)</f>
        <v>0</v>
      </c>
      <c r="JQ41" s="518">
        <f>IFERROR((JP41/$L$41),0)</f>
        <v>0</v>
      </c>
      <c r="JR41" s="518">
        <f>IFERROR(((JP41*JR$8)/$L$41),0)</f>
        <v>0</v>
      </c>
      <c r="JS41" s="518">
        <f>SUM(JS9:JS39)</f>
        <v>0</v>
      </c>
      <c r="JT41" s="518">
        <f>IFERROR((JS41/$L$41),0)</f>
        <v>0</v>
      </c>
      <c r="JU41" s="518">
        <f>IFERROR(((JS41*JU$8)/$L$41),0)</f>
        <v>0</v>
      </c>
      <c r="JV41" s="518">
        <f>SUM(JV9:JV39)</f>
        <v>0</v>
      </c>
      <c r="JW41" s="518">
        <f>IFERROR((JV41/$L$41),0)</f>
        <v>0</v>
      </c>
      <c r="JX41" s="518">
        <f>IFERROR(((JV41*JX$8)/$L$41),0)</f>
        <v>0</v>
      </c>
      <c r="JY41" s="518">
        <f>SUM(JY9:JY39)</f>
        <v>0</v>
      </c>
      <c r="JZ41" s="518">
        <f>IFERROR((JY41/$L$41),0)</f>
        <v>0</v>
      </c>
      <c r="KA41" s="518">
        <f>IFERROR(((JY41*KA$8)/$L$41),0)</f>
        <v>0</v>
      </c>
      <c r="KB41" s="518">
        <f>SUM(KB9:KB39)</f>
        <v>0</v>
      </c>
      <c r="KC41" s="518">
        <f>IFERROR((KB41/$L$41),0)</f>
        <v>0</v>
      </c>
      <c r="KD41" s="518">
        <f>IFERROR(((KB41*KD$8)/$L$41),0)</f>
        <v>0</v>
      </c>
      <c r="KE41" s="518">
        <f>SUM(KE9:KE39)</f>
        <v>0</v>
      </c>
      <c r="KF41" s="518">
        <f>IFERROR((KE41/$L$41),0)</f>
        <v>0</v>
      </c>
      <c r="KG41" s="518">
        <f>IFERROR(((KE41*KG$8)/$L$41),0)</f>
        <v>0</v>
      </c>
      <c r="KH41" s="518">
        <f>SUM(KH9:KH39)</f>
        <v>0</v>
      </c>
      <c r="KI41" s="518">
        <f>IFERROR((KH41/$L$41),0)</f>
        <v>0</v>
      </c>
      <c r="KJ41" s="518">
        <f>IFERROR(((KH41*KJ$8)/$L$41),0)</f>
        <v>0</v>
      </c>
      <c r="KK41" s="518">
        <f>SUM(KK9:KK39)</f>
        <v>0</v>
      </c>
      <c r="KL41" s="518">
        <f>IFERROR((KK41/$L$41),0)</f>
        <v>0</v>
      </c>
      <c r="KM41" s="518">
        <f>IFERROR(((KK41*KM$8)/$L$41),0)</f>
        <v>0</v>
      </c>
      <c r="KN41" s="518">
        <f>SUM(KN9:KN39)</f>
        <v>0</v>
      </c>
      <c r="KO41" s="518">
        <f>IFERROR((KN41/$L$41),0)</f>
        <v>0</v>
      </c>
      <c r="KP41" s="518">
        <f>IFERROR(((KN41*KP$8)/$L$41),0)</f>
        <v>0</v>
      </c>
      <c r="KQ41" s="518">
        <f>SUM(KQ9:KQ39)</f>
        <v>0</v>
      </c>
      <c r="KR41" s="518">
        <f>IFERROR((KQ41/$L$41),0)</f>
        <v>0</v>
      </c>
      <c r="KS41" s="518">
        <f>IFERROR(((KQ41*KS$8)/$L$41),0)</f>
        <v>0</v>
      </c>
      <c r="KT41" s="519">
        <f t="shared" si="201"/>
        <v>0</v>
      </c>
      <c r="KU41" s="519">
        <f t="shared" si="202"/>
        <v>0</v>
      </c>
      <c r="KV41" s="263">
        <f t="shared" si="199"/>
        <v>12994.811879504296</v>
      </c>
    </row>
    <row r="43" spans="1:308" ht="15" customHeight="1">
      <c r="A43" s="270" t="s">
        <v>137</v>
      </c>
      <c r="B43" s="271" t="s">
        <v>138</v>
      </c>
      <c r="C43" s="272" t="s">
        <v>146</v>
      </c>
      <c r="D43" s="260"/>
      <c r="E43" s="260"/>
    </row>
    <row r="44" spans="1:308" ht="15" customHeight="1">
      <c r="A44" s="273"/>
      <c r="B44" s="271" t="s">
        <v>139</v>
      </c>
      <c r="C44" s="272" t="s">
        <v>145</v>
      </c>
      <c r="D44" s="260"/>
      <c r="E44" s="260"/>
    </row>
    <row r="45" spans="1:308" ht="15" customHeight="1">
      <c r="A45" s="273"/>
      <c r="B45" s="274" t="s">
        <v>140</v>
      </c>
      <c r="C45" s="272" t="s">
        <v>141</v>
      </c>
      <c r="D45" s="260"/>
      <c r="E45" s="260"/>
    </row>
  </sheetData>
  <mergeCells count="210">
    <mergeCell ref="F5:GC5"/>
    <mergeCell ref="GD5:KS5"/>
    <mergeCell ref="KT5:KT8"/>
    <mergeCell ref="KU5:KU8"/>
    <mergeCell ref="A6:A8"/>
    <mergeCell ref="B6:B8"/>
    <mergeCell ref="C6:C8"/>
    <mergeCell ref="D6:D8"/>
    <mergeCell ref="E6:E8"/>
    <mergeCell ref="F6:H6"/>
    <mergeCell ref="AA6:AC6"/>
    <mergeCell ref="AD6:AF6"/>
    <mergeCell ref="AG6:AI6"/>
    <mergeCell ref="AJ6:AL6"/>
    <mergeCell ref="AM6:AO6"/>
    <mergeCell ref="AP6:AR6"/>
    <mergeCell ref="I6:K6"/>
    <mergeCell ref="L6:N6"/>
    <mergeCell ref="O6:Q6"/>
    <mergeCell ref="R6:T6"/>
    <mergeCell ref="U6:W6"/>
    <mergeCell ref="X6:Z6"/>
    <mergeCell ref="BK6:BM6"/>
    <mergeCell ref="BN6:BP6"/>
    <mergeCell ref="BQ6:BS6"/>
    <mergeCell ref="BT6:BV6"/>
    <mergeCell ref="BW6:BY6"/>
    <mergeCell ref="BZ6:CB6"/>
    <mergeCell ref="AS6:AU6"/>
    <mergeCell ref="AV6:AX6"/>
    <mergeCell ref="AY6:BA6"/>
    <mergeCell ref="BB6:BD6"/>
    <mergeCell ref="BE6:BG6"/>
    <mergeCell ref="BH6:BJ6"/>
    <mergeCell ref="CU6:CW6"/>
    <mergeCell ref="CX6:CZ6"/>
    <mergeCell ref="DA6:DC6"/>
    <mergeCell ref="DD6:DF6"/>
    <mergeCell ref="DG6:DI6"/>
    <mergeCell ref="DJ6:DL6"/>
    <mergeCell ref="CC6:CE6"/>
    <mergeCell ref="CF6:CH6"/>
    <mergeCell ref="CI6:CK6"/>
    <mergeCell ref="CL6:CN6"/>
    <mergeCell ref="CO6:CQ6"/>
    <mergeCell ref="CR6:CT6"/>
    <mergeCell ref="EE6:EG6"/>
    <mergeCell ref="EH6:EJ6"/>
    <mergeCell ref="EK6:EM6"/>
    <mergeCell ref="EN6:EP6"/>
    <mergeCell ref="EQ6:ES6"/>
    <mergeCell ref="ET6:EV6"/>
    <mergeCell ref="DM6:DO6"/>
    <mergeCell ref="DP6:DR6"/>
    <mergeCell ref="DS6:DU6"/>
    <mergeCell ref="DV6:DX6"/>
    <mergeCell ref="DY6:EA6"/>
    <mergeCell ref="EB6:ED6"/>
    <mergeCell ref="FO6:FQ6"/>
    <mergeCell ref="FR6:FT6"/>
    <mergeCell ref="FU6:FW6"/>
    <mergeCell ref="FX6:FZ6"/>
    <mergeCell ref="GA6:GC6"/>
    <mergeCell ref="GD6:GF6"/>
    <mergeCell ref="EW6:EY6"/>
    <mergeCell ref="EZ6:FB6"/>
    <mergeCell ref="FC6:FE6"/>
    <mergeCell ref="FF6:FH6"/>
    <mergeCell ref="FI6:FK6"/>
    <mergeCell ref="FL6:FN6"/>
    <mergeCell ref="GY6:HA6"/>
    <mergeCell ref="HB6:HD6"/>
    <mergeCell ref="HE6:HG6"/>
    <mergeCell ref="HH6:HJ6"/>
    <mergeCell ref="HK6:HM6"/>
    <mergeCell ref="HN6:HP6"/>
    <mergeCell ref="GG6:GI6"/>
    <mergeCell ref="GJ6:GL6"/>
    <mergeCell ref="GM6:GO6"/>
    <mergeCell ref="GP6:GR6"/>
    <mergeCell ref="GS6:GU6"/>
    <mergeCell ref="GV6:GX6"/>
    <mergeCell ref="IO6:IQ6"/>
    <mergeCell ref="IR6:IT6"/>
    <mergeCell ref="IU6:IW6"/>
    <mergeCell ref="IX6:IZ6"/>
    <mergeCell ref="HQ6:HS6"/>
    <mergeCell ref="HT6:HV6"/>
    <mergeCell ref="HW6:HY6"/>
    <mergeCell ref="HZ6:IB6"/>
    <mergeCell ref="IC6:IE6"/>
    <mergeCell ref="IF6:IH6"/>
    <mergeCell ref="KK6:KM6"/>
    <mergeCell ref="KN6:KP6"/>
    <mergeCell ref="KQ6:KS6"/>
    <mergeCell ref="F7:G7"/>
    <mergeCell ref="I7:J7"/>
    <mergeCell ref="L7:M7"/>
    <mergeCell ref="O7:P7"/>
    <mergeCell ref="R7:S7"/>
    <mergeCell ref="U7:V7"/>
    <mergeCell ref="X7:Y7"/>
    <mergeCell ref="JS6:JU6"/>
    <mergeCell ref="JV6:JX6"/>
    <mergeCell ref="JY6:KA6"/>
    <mergeCell ref="KB6:KD6"/>
    <mergeCell ref="KE6:KG6"/>
    <mergeCell ref="KH6:KJ6"/>
    <mergeCell ref="JA6:JC6"/>
    <mergeCell ref="JD6:JF6"/>
    <mergeCell ref="JG6:JI6"/>
    <mergeCell ref="JJ6:JL6"/>
    <mergeCell ref="JM6:JO6"/>
    <mergeCell ref="JP6:JR6"/>
    <mergeCell ref="II6:IK6"/>
    <mergeCell ref="IL6:IN6"/>
    <mergeCell ref="AS7:AT7"/>
    <mergeCell ref="AV7:AW7"/>
    <mergeCell ref="AY7:AZ7"/>
    <mergeCell ref="BB7:BC7"/>
    <mergeCell ref="BE7:BF7"/>
    <mergeCell ref="BH7:BI7"/>
    <mergeCell ref="AA7:AB7"/>
    <mergeCell ref="AD7:AE7"/>
    <mergeCell ref="AG7:AH7"/>
    <mergeCell ref="AJ7:AK7"/>
    <mergeCell ref="AM7:AN7"/>
    <mergeCell ref="AP7:AQ7"/>
    <mergeCell ref="CC7:CD7"/>
    <mergeCell ref="CF7:CG7"/>
    <mergeCell ref="CI7:CJ7"/>
    <mergeCell ref="CL7:CM7"/>
    <mergeCell ref="CO7:CP7"/>
    <mergeCell ref="CR7:CS7"/>
    <mergeCell ref="BK7:BL7"/>
    <mergeCell ref="BN7:BO7"/>
    <mergeCell ref="BQ7:BR7"/>
    <mergeCell ref="BT7:BU7"/>
    <mergeCell ref="BW7:BX7"/>
    <mergeCell ref="BZ7:CA7"/>
    <mergeCell ref="DM7:DN7"/>
    <mergeCell ref="DP7:DQ7"/>
    <mergeCell ref="DS7:DT7"/>
    <mergeCell ref="DV7:DW7"/>
    <mergeCell ref="DY7:DZ7"/>
    <mergeCell ref="EB7:EC7"/>
    <mergeCell ref="CU7:CV7"/>
    <mergeCell ref="CX7:CY7"/>
    <mergeCell ref="DA7:DB7"/>
    <mergeCell ref="DD7:DE7"/>
    <mergeCell ref="DG7:DH7"/>
    <mergeCell ref="DJ7:DK7"/>
    <mergeCell ref="EW7:EX7"/>
    <mergeCell ref="EZ7:FA7"/>
    <mergeCell ref="FC7:FD7"/>
    <mergeCell ref="FF7:FG7"/>
    <mergeCell ref="FI7:FJ7"/>
    <mergeCell ref="FL7:FM7"/>
    <mergeCell ref="EE7:EF7"/>
    <mergeCell ref="EH7:EI7"/>
    <mergeCell ref="EK7:EL7"/>
    <mergeCell ref="EN7:EO7"/>
    <mergeCell ref="EQ7:ER7"/>
    <mergeCell ref="ET7:EU7"/>
    <mergeCell ref="GG7:GH7"/>
    <mergeCell ref="GJ7:GK7"/>
    <mergeCell ref="GM7:GN7"/>
    <mergeCell ref="GP7:GQ7"/>
    <mergeCell ref="GS7:GT7"/>
    <mergeCell ref="GV7:GW7"/>
    <mergeCell ref="FO7:FP7"/>
    <mergeCell ref="FR7:FS7"/>
    <mergeCell ref="FU7:FV7"/>
    <mergeCell ref="FX7:FY7"/>
    <mergeCell ref="GA7:GB7"/>
    <mergeCell ref="GD7:GE7"/>
    <mergeCell ref="HW7:HX7"/>
    <mergeCell ref="HZ7:IA7"/>
    <mergeCell ref="IC7:ID7"/>
    <mergeCell ref="IF7:IG7"/>
    <mergeCell ref="GY7:GZ7"/>
    <mergeCell ref="HB7:HC7"/>
    <mergeCell ref="HE7:HF7"/>
    <mergeCell ref="HH7:HI7"/>
    <mergeCell ref="HK7:HL7"/>
    <mergeCell ref="HN7:HO7"/>
    <mergeCell ref="KK7:KL7"/>
    <mergeCell ref="KN7:KO7"/>
    <mergeCell ref="KQ7:KR7"/>
    <mergeCell ref="A41:C41"/>
    <mergeCell ref="JS7:JT7"/>
    <mergeCell ref="JV7:JW7"/>
    <mergeCell ref="JY7:JZ7"/>
    <mergeCell ref="KB7:KC7"/>
    <mergeCell ref="KE7:KF7"/>
    <mergeCell ref="KH7:KI7"/>
    <mergeCell ref="JA7:JB7"/>
    <mergeCell ref="JD7:JE7"/>
    <mergeCell ref="JG7:JH7"/>
    <mergeCell ref="JJ7:JK7"/>
    <mergeCell ref="JM7:JN7"/>
    <mergeCell ref="JP7:JQ7"/>
    <mergeCell ref="II7:IJ7"/>
    <mergeCell ref="IL7:IM7"/>
    <mergeCell ref="IO7:IP7"/>
    <mergeCell ref="IR7:IS7"/>
    <mergeCell ref="IU7:IV7"/>
    <mergeCell ref="IX7:IY7"/>
    <mergeCell ref="HQ7:HR7"/>
    <mergeCell ref="HT7:H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9"/>
  <sheetViews>
    <sheetView workbookViewId="0">
      <pane xSplit="1" topLeftCell="R1" activePane="topRight" state="frozen"/>
      <selection pane="topRight" activeCell="AF8" sqref="AF8"/>
    </sheetView>
  </sheetViews>
  <sheetFormatPr defaultRowHeight="12.75"/>
  <cols>
    <col min="1" max="1" width="17.5703125" bestFit="1" customWidth="1"/>
    <col min="2" max="13" width="9.140625" customWidth="1"/>
    <col min="14" max="14" width="9.42578125" customWidth="1"/>
    <col min="15" max="17" width="9.140625" customWidth="1"/>
    <col min="18" max="19" width="6" bestFit="1" customWidth="1"/>
    <col min="20" max="21" width="9.140625" customWidth="1"/>
    <col min="22" max="22" width="9.28515625" customWidth="1"/>
    <col min="23" max="32" width="9.140625" customWidth="1"/>
    <col min="34" max="34" width="10.85546875" bestFit="1" customWidth="1"/>
    <col min="35" max="35" width="16.28515625" bestFit="1" customWidth="1"/>
  </cols>
  <sheetData>
    <row r="1" spans="1:35">
      <c r="B1">
        <v>3230</v>
      </c>
      <c r="C1">
        <v>3850</v>
      </c>
      <c r="D1">
        <v>3450</v>
      </c>
      <c r="E1">
        <v>3220</v>
      </c>
      <c r="F1">
        <v>3900</v>
      </c>
      <c r="G1">
        <v>4370</v>
      </c>
      <c r="H1">
        <v>4070</v>
      </c>
      <c r="I1">
        <v>5240</v>
      </c>
      <c r="J1">
        <v>4820</v>
      </c>
      <c r="K1">
        <v>4400</v>
      </c>
      <c r="L1">
        <v>4750</v>
      </c>
      <c r="M1">
        <v>3580</v>
      </c>
      <c r="N1">
        <v>3820</v>
      </c>
      <c r="O1">
        <v>4500</v>
      </c>
      <c r="P1">
        <v>4700</v>
      </c>
      <c r="Q1">
        <v>4160</v>
      </c>
      <c r="R1">
        <v>4430</v>
      </c>
      <c r="S1">
        <v>3635</v>
      </c>
      <c r="T1">
        <v>4590</v>
      </c>
      <c r="U1">
        <v>3370</v>
      </c>
      <c r="V1">
        <v>4850</v>
      </c>
      <c r="W1">
        <v>4490</v>
      </c>
      <c r="Y1">
        <v>3400</v>
      </c>
      <c r="Z1">
        <v>4200</v>
      </c>
      <c r="AA1">
        <v>4110</v>
      </c>
      <c r="AB1">
        <v>4650</v>
      </c>
      <c r="AC1">
        <v>4560</v>
      </c>
      <c r="AD1">
        <v>3380</v>
      </c>
      <c r="AE1">
        <v>3940</v>
      </c>
      <c r="AF1">
        <v>4430</v>
      </c>
    </row>
    <row r="2" spans="1:35" ht="15">
      <c r="A2" s="6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449" t="s">
        <v>254</v>
      </c>
      <c r="AH2" s="450" t="s">
        <v>255</v>
      </c>
      <c r="AI2" s="476" t="s">
        <v>275</v>
      </c>
    </row>
    <row r="3" spans="1:35">
      <c r="A3" s="431" t="s">
        <v>195</v>
      </c>
      <c r="B3" s="6">
        <f>1569/1000</f>
        <v>1.569</v>
      </c>
      <c r="C3" s="6">
        <f>1764/1000</f>
        <v>1.764</v>
      </c>
      <c r="D3" s="6">
        <f>2637/1000</f>
        <v>2.637</v>
      </c>
      <c r="E3" s="6">
        <f>1884/1000</f>
        <v>1.8839999999999999</v>
      </c>
      <c r="F3" s="6">
        <f>3304/1000</f>
        <v>3.3039999999999998</v>
      </c>
      <c r="G3" s="6">
        <f>2248/1000</f>
        <v>2.2480000000000002</v>
      </c>
      <c r="H3" s="6">
        <f>3906/1000</f>
        <v>3.9060000000000001</v>
      </c>
      <c r="I3" s="6">
        <f>4801/1000</f>
        <v>4.8010000000000002</v>
      </c>
      <c r="J3" s="6">
        <v>5.79</v>
      </c>
      <c r="K3" s="6">
        <v>2.2869999999999999</v>
      </c>
      <c r="L3" s="6">
        <v>0.68700000000000006</v>
      </c>
      <c r="M3" s="6">
        <f>1031/1000</f>
        <v>1.0309999999999999</v>
      </c>
      <c r="N3" s="6">
        <f>1898/1000</f>
        <v>1.8979999999999999</v>
      </c>
      <c r="O3" s="6">
        <f>2486/1000</f>
        <v>2.4860000000000002</v>
      </c>
      <c r="P3" s="6">
        <f>2349/1000</f>
        <v>2.3490000000000002</v>
      </c>
      <c r="Q3" s="6">
        <f>1248/1000</f>
        <v>1.248</v>
      </c>
      <c r="R3" s="6">
        <f>1348/1000</f>
        <v>1.3480000000000001</v>
      </c>
      <c r="S3" s="6">
        <f>2809/1000</f>
        <v>2.8090000000000002</v>
      </c>
      <c r="T3" s="6">
        <f>2624/1000</f>
        <v>2.6240000000000001</v>
      </c>
      <c r="U3">
        <f>1931/1000</f>
        <v>1.931</v>
      </c>
      <c r="V3" s="6">
        <f>3586/1000</f>
        <v>3.5859999999999999</v>
      </c>
      <c r="W3" s="6">
        <f>4271/1000</f>
        <v>4.2709999999999999</v>
      </c>
      <c r="X3" s="6"/>
      <c r="Y3" s="6">
        <f>4013/1000</f>
        <v>4.0129999999999999</v>
      </c>
      <c r="Z3" s="6">
        <f>4100/1000</f>
        <v>4.0999999999999996</v>
      </c>
      <c r="AA3" s="6">
        <f>3320/1000</f>
        <v>3.32</v>
      </c>
      <c r="AB3" s="6">
        <f>2115/1000</f>
        <v>2.1150000000000002</v>
      </c>
      <c r="AC3" s="6">
        <v>0.55000000000000004</v>
      </c>
      <c r="AD3" s="6">
        <f>2589/1000</f>
        <v>2.589</v>
      </c>
      <c r="AE3" s="6">
        <f>3249/1000</f>
        <v>3.2490000000000001</v>
      </c>
      <c r="AF3" s="6">
        <f>3206/1000</f>
        <v>3.206</v>
      </c>
      <c r="AG3" s="6">
        <f>+AF3</f>
        <v>3.206</v>
      </c>
      <c r="AH3" s="451">
        <f>+AG3/Efficiency1!$K$138</f>
        <v>2.2552938131876281E-3</v>
      </c>
      <c r="AI3" s="732">
        <f>SUM(AH3:AH4)</f>
        <v>3.0319140158573542E-3</v>
      </c>
    </row>
    <row r="4" spans="1:35">
      <c r="A4" s="431" t="s">
        <v>196</v>
      </c>
      <c r="B4" s="6">
        <f>1406/1000</f>
        <v>1.4059999999999999</v>
      </c>
      <c r="C4" s="6">
        <f>1617/1000</f>
        <v>1.617</v>
      </c>
      <c r="D4" s="6">
        <f>754/1000</f>
        <v>0.754</v>
      </c>
      <c r="E4" s="6">
        <f>993/1000</f>
        <v>0.99299999999999999</v>
      </c>
      <c r="F4" s="6">
        <f>624/1000</f>
        <v>0.624</v>
      </c>
      <c r="G4" s="6">
        <f>1616/1000</f>
        <v>1.6160000000000001</v>
      </c>
      <c r="H4" s="6">
        <f>756/1000</f>
        <v>0.75600000000000001</v>
      </c>
      <c r="I4" s="6">
        <f>1101/1000</f>
        <v>1.101</v>
      </c>
      <c r="J4" s="6">
        <f>200/1000</f>
        <v>0.2</v>
      </c>
      <c r="K4" s="6">
        <f>454/1000</f>
        <v>0.45400000000000001</v>
      </c>
      <c r="L4" s="6">
        <f>1107/1000</f>
        <v>1.107</v>
      </c>
      <c r="M4" s="6">
        <f>361/1000</f>
        <v>0.36099999999999999</v>
      </c>
      <c r="N4" s="432"/>
      <c r="O4" s="432">
        <f>789/1000</f>
        <v>0.78900000000000003</v>
      </c>
      <c r="P4" s="6">
        <f>997/1000</f>
        <v>0.997</v>
      </c>
      <c r="Q4" s="6">
        <f>1982/1000</f>
        <v>1.982</v>
      </c>
      <c r="R4" s="6">
        <f>1495/1000</f>
        <v>1.4950000000000001</v>
      </c>
      <c r="S4" s="6">
        <f>425/1000</f>
        <v>0.42499999999999999</v>
      </c>
      <c r="T4" s="6">
        <f>510/1000</f>
        <v>0.51</v>
      </c>
      <c r="U4" s="6">
        <f>656/1000</f>
        <v>0.65600000000000003</v>
      </c>
      <c r="V4" s="6">
        <f>589/1000</f>
        <v>0.58899999999999997</v>
      </c>
      <c r="W4" s="432">
        <f>1391/1000</f>
        <v>1.391</v>
      </c>
      <c r="X4" s="6"/>
      <c r="Y4" s="6">
        <f>1192/1000</f>
        <v>1.1919999999999999</v>
      </c>
      <c r="Z4" s="6">
        <f>1351/1000</f>
        <v>1.351</v>
      </c>
      <c r="AA4" s="6">
        <f>1282/1000</f>
        <v>1.282</v>
      </c>
      <c r="AB4" s="6">
        <f>1668/1000</f>
        <v>1.6679999999999999</v>
      </c>
      <c r="AC4" s="6">
        <f>500/1000</f>
        <v>0.5</v>
      </c>
      <c r="AD4" s="6">
        <f>1299/1000</f>
        <v>1.2989999999999999</v>
      </c>
      <c r="AE4" s="6">
        <f>534/1000</f>
        <v>0.53400000000000003</v>
      </c>
      <c r="AF4" s="6">
        <f>1104/1000</f>
        <v>1.1040000000000001</v>
      </c>
      <c r="AG4" s="6">
        <f>+AF4</f>
        <v>1.1040000000000001</v>
      </c>
      <c r="AH4" s="451">
        <f>+AG4/Efficiency1!$K$138</f>
        <v>7.7662020266972595E-4</v>
      </c>
      <c r="AI4" s="733"/>
    </row>
    <row r="5" spans="1:35">
      <c r="A5" s="477"/>
      <c r="B5" s="478"/>
      <c r="C5" s="478"/>
      <c r="D5" s="478"/>
      <c r="E5" s="478"/>
      <c r="F5" s="478"/>
      <c r="G5" s="478"/>
      <c r="H5" s="478"/>
      <c r="I5" s="478"/>
      <c r="J5" s="478"/>
      <c r="K5" s="478"/>
      <c r="L5" s="478"/>
      <c r="M5" s="478"/>
      <c r="N5" s="479"/>
      <c r="O5" s="479"/>
      <c r="P5" s="478"/>
      <c r="Q5" s="478"/>
      <c r="R5" s="478"/>
      <c r="S5" s="478"/>
      <c r="T5" s="478"/>
      <c r="U5" s="478"/>
      <c r="V5" s="478"/>
      <c r="W5" s="479"/>
      <c r="X5" s="478"/>
      <c r="Y5" s="478"/>
      <c r="Z5" s="478"/>
      <c r="AA5" s="478"/>
      <c r="AB5" s="478"/>
      <c r="AC5" s="478"/>
      <c r="AD5" s="478"/>
      <c r="AE5" s="478"/>
      <c r="AF5" s="478"/>
      <c r="AG5" s="478"/>
      <c r="AH5" s="480"/>
    </row>
    <row r="6" spans="1:35">
      <c r="A6" s="431" t="s">
        <v>197</v>
      </c>
      <c r="B6" s="432">
        <v>0.73099999999999998</v>
      </c>
      <c r="C6" s="6">
        <v>0.58699999999999997</v>
      </c>
      <c r="D6" s="6">
        <v>0.71699999999999997</v>
      </c>
      <c r="E6" s="6">
        <v>0.58799999999999997</v>
      </c>
      <c r="F6" s="6">
        <v>0.57199999999999995</v>
      </c>
      <c r="G6" s="6">
        <v>0.439</v>
      </c>
      <c r="H6" s="6"/>
      <c r="I6" s="6">
        <v>0.65</v>
      </c>
      <c r="J6" s="6">
        <v>0.49</v>
      </c>
      <c r="K6" s="6">
        <v>0.35</v>
      </c>
      <c r="L6" s="6">
        <v>0.53900000000000003</v>
      </c>
      <c r="M6" s="6"/>
      <c r="N6" s="6">
        <v>0.8</v>
      </c>
      <c r="O6" s="6">
        <v>0.216</v>
      </c>
      <c r="P6" s="6">
        <v>0.83199999999999996</v>
      </c>
      <c r="Q6" s="6">
        <v>0.52</v>
      </c>
      <c r="R6" s="6">
        <v>0.60699999999999998</v>
      </c>
      <c r="S6" s="6">
        <v>0.85399999999999998</v>
      </c>
      <c r="T6" s="6">
        <v>0.45</v>
      </c>
      <c r="U6" s="6">
        <v>0.501</v>
      </c>
      <c r="V6" s="6">
        <v>0.63900000000000001</v>
      </c>
      <c r="W6" s="432">
        <v>0.63300000000000001</v>
      </c>
      <c r="X6" s="6">
        <v>0.64400000000000002</v>
      </c>
      <c r="Y6" s="6">
        <v>0.4</v>
      </c>
      <c r="Z6" s="6">
        <v>0.28499999999999998</v>
      </c>
      <c r="AA6" s="6">
        <v>0.43</v>
      </c>
      <c r="AB6" s="432">
        <v>0.52400000000000002</v>
      </c>
      <c r="AC6" s="6">
        <v>0.5</v>
      </c>
      <c r="AD6" s="6">
        <v>0.46600000000000003</v>
      </c>
      <c r="AE6" s="6">
        <v>0.59</v>
      </c>
      <c r="AF6" s="6">
        <v>0.625</v>
      </c>
      <c r="AG6" s="6">
        <f t="shared" ref="AG6:AG37" si="0">+SUM(B6:AC6)</f>
        <v>14.497999999999998</v>
      </c>
      <c r="AH6" s="481">
        <f t="shared" ref="AH6:AH36" si="1">+AG6/$AG$39</f>
        <v>0.4150111639090856</v>
      </c>
    </row>
    <row r="7" spans="1:35">
      <c r="A7" s="431" t="s">
        <v>219</v>
      </c>
      <c r="B7" s="6">
        <v>0.60099999999999998</v>
      </c>
      <c r="C7" s="6">
        <v>0.51</v>
      </c>
      <c r="D7" s="6">
        <v>0.51</v>
      </c>
      <c r="E7" s="6">
        <v>0.34899999999999998</v>
      </c>
      <c r="F7" s="6">
        <v>0.42299999999999999</v>
      </c>
      <c r="G7" s="6">
        <v>0.71599999999999997</v>
      </c>
      <c r="H7" s="6">
        <v>0.23200000000000001</v>
      </c>
      <c r="I7" s="6"/>
      <c r="J7" s="6"/>
      <c r="K7" s="6"/>
      <c r="L7" s="6"/>
      <c r="M7" s="6"/>
      <c r="N7" s="6">
        <v>0.14899999999999999</v>
      </c>
      <c r="O7" s="6">
        <v>0.29399999999999998</v>
      </c>
      <c r="P7" s="6">
        <v>0.47799999999999998</v>
      </c>
      <c r="Q7" s="6">
        <v>0.48399999999999999</v>
      </c>
      <c r="R7" s="463">
        <v>0.66100000000000003</v>
      </c>
      <c r="S7" s="6">
        <v>0.75900000000000001</v>
      </c>
      <c r="T7" s="6">
        <v>0.61</v>
      </c>
      <c r="U7" s="6">
        <v>0.51600000000000001</v>
      </c>
      <c r="V7" s="6">
        <v>0.624</v>
      </c>
      <c r="W7" s="6">
        <v>0.47299999999999998</v>
      </c>
      <c r="X7" s="6">
        <v>0.54900000000000004</v>
      </c>
      <c r="Y7" s="6">
        <v>0.21</v>
      </c>
      <c r="Z7" s="6">
        <v>0.26</v>
      </c>
      <c r="AA7" s="6">
        <v>0.5</v>
      </c>
      <c r="AB7" s="432">
        <v>0.56000000000000005</v>
      </c>
      <c r="AC7" s="6">
        <v>0.51400000000000001</v>
      </c>
      <c r="AD7" s="6">
        <v>0.43099999999999999</v>
      </c>
      <c r="AE7" s="6">
        <v>0.15</v>
      </c>
      <c r="AF7" s="6">
        <v>0.46</v>
      </c>
      <c r="AG7" s="6">
        <f t="shared" si="0"/>
        <v>10.982000000000001</v>
      </c>
      <c r="AH7" s="451">
        <f t="shared" si="1"/>
        <v>0.31436422969027306</v>
      </c>
    </row>
    <row r="8" spans="1:35">
      <c r="A8" s="433" t="s">
        <v>198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>
        <f t="shared" si="0"/>
        <v>0</v>
      </c>
      <c r="AH8" s="451">
        <f t="shared" si="1"/>
        <v>0</v>
      </c>
    </row>
    <row r="9" spans="1:35">
      <c r="A9" s="431" t="s">
        <v>199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>
        <f t="shared" si="0"/>
        <v>0</v>
      </c>
      <c r="AH9" s="451">
        <f t="shared" si="1"/>
        <v>0</v>
      </c>
    </row>
    <row r="10" spans="1:35">
      <c r="A10" s="431" t="s">
        <v>200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0.60899999999999999</v>
      </c>
      <c r="P10" s="6"/>
      <c r="Q10" s="6"/>
      <c r="R10" s="6"/>
      <c r="S10" s="6"/>
      <c r="T10" s="6"/>
      <c r="U10" s="6"/>
      <c r="V10" s="6"/>
      <c r="W10" s="6">
        <v>0.70399999999999996</v>
      </c>
      <c r="X10" s="6">
        <v>0.72899999999999998</v>
      </c>
      <c r="Y10" s="6"/>
      <c r="Z10" s="6"/>
      <c r="AA10" s="6"/>
      <c r="AB10" s="6">
        <v>0.28799999999999998</v>
      </c>
      <c r="AC10" s="6"/>
      <c r="AD10" s="6"/>
      <c r="AE10" s="6">
        <v>0.21</v>
      </c>
      <c r="AF10" s="6"/>
      <c r="AG10" s="6">
        <f t="shared" si="0"/>
        <v>2.3299999999999996</v>
      </c>
      <c r="AH10" s="451">
        <f t="shared" si="1"/>
        <v>6.6697200435106185E-2</v>
      </c>
    </row>
    <row r="11" spans="1:35">
      <c r="A11" s="431" t="s">
        <v>201</v>
      </c>
      <c r="B11" s="6">
        <v>0.182</v>
      </c>
      <c r="C11" s="6">
        <v>0.19</v>
      </c>
      <c r="D11" s="6">
        <v>0.19</v>
      </c>
      <c r="E11" s="6"/>
      <c r="F11" s="6">
        <v>0.1</v>
      </c>
      <c r="G11" s="6"/>
      <c r="H11" s="6">
        <v>0.20799999999999999</v>
      </c>
      <c r="I11" s="6"/>
      <c r="J11" s="6"/>
      <c r="K11" s="6"/>
      <c r="L11" s="6"/>
      <c r="M11" s="6"/>
      <c r="N11" s="6">
        <v>0.186</v>
      </c>
      <c r="O11" s="6">
        <f>98/1000</f>
        <v>9.8000000000000004E-2</v>
      </c>
      <c r="P11" s="6">
        <v>0.505</v>
      </c>
      <c r="Q11" s="6"/>
      <c r="R11" s="6"/>
      <c r="S11" s="6"/>
      <c r="T11" s="6">
        <v>0.3</v>
      </c>
      <c r="U11" s="6"/>
      <c r="V11" s="6"/>
      <c r="W11" s="6"/>
      <c r="X11" s="6"/>
      <c r="Y11" s="6">
        <v>0.66</v>
      </c>
      <c r="Z11" s="6"/>
      <c r="AA11" s="6"/>
      <c r="AB11" s="6"/>
      <c r="AC11" s="6"/>
      <c r="AD11" s="6"/>
      <c r="AE11" s="6"/>
      <c r="AF11" s="6"/>
      <c r="AG11" s="6">
        <f t="shared" si="0"/>
        <v>2.6190000000000002</v>
      </c>
      <c r="AH11" s="451">
        <f t="shared" si="1"/>
        <v>7.4969943321692337E-2</v>
      </c>
    </row>
    <row r="12" spans="1:35">
      <c r="A12" s="431" t="s">
        <v>202</v>
      </c>
      <c r="B12" s="6"/>
      <c r="C12" s="6"/>
      <c r="D12" s="6"/>
      <c r="E12" s="6"/>
      <c r="F12" s="6"/>
      <c r="G12" s="6">
        <v>0.46300000000000002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>
        <f t="shared" si="0"/>
        <v>0.46300000000000002</v>
      </c>
      <c r="AH12" s="451">
        <f t="shared" si="1"/>
        <v>1.3253563863285051E-2</v>
      </c>
    </row>
    <row r="13" spans="1:35">
      <c r="A13" s="431" t="s">
        <v>203</v>
      </c>
      <c r="B13" s="6"/>
      <c r="C13" s="6"/>
      <c r="D13" s="6"/>
      <c r="E13" s="6"/>
      <c r="F13" s="6"/>
      <c r="G13" s="6">
        <v>0.32</v>
      </c>
      <c r="H13" s="6"/>
      <c r="I13" s="6">
        <v>0.44900000000000001</v>
      </c>
      <c r="J13" s="6">
        <v>0.20799999999999999</v>
      </c>
      <c r="K13" s="6"/>
      <c r="L13" s="6">
        <v>0.33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0.2</v>
      </c>
      <c r="AB13" s="432">
        <v>0.184</v>
      </c>
      <c r="AC13" s="6"/>
      <c r="AD13" s="6"/>
      <c r="AE13" s="6"/>
      <c r="AF13" s="6"/>
      <c r="AG13" s="6">
        <f t="shared" si="0"/>
        <v>1.6909999999999998</v>
      </c>
      <c r="AH13" s="451">
        <f t="shared" si="1"/>
        <v>4.8405564779298096E-2</v>
      </c>
    </row>
    <row r="14" spans="1:35">
      <c r="A14" s="431" t="s">
        <v>204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f t="shared" si="0"/>
        <v>0</v>
      </c>
      <c r="AH14" s="451">
        <f t="shared" si="1"/>
        <v>0</v>
      </c>
    </row>
    <row r="15" spans="1:35">
      <c r="A15" s="431" t="s">
        <v>276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f t="shared" si="0"/>
        <v>0</v>
      </c>
      <c r="AH15" s="451">
        <f t="shared" si="1"/>
        <v>0</v>
      </c>
    </row>
    <row r="16" spans="1:35">
      <c r="A16" s="431" t="s">
        <v>277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>
        <f t="shared" si="0"/>
        <v>0</v>
      </c>
      <c r="AH16" s="451">
        <f t="shared" si="1"/>
        <v>0</v>
      </c>
    </row>
    <row r="17" spans="1:34">
      <c r="A17" s="431" t="s">
        <v>205</v>
      </c>
      <c r="B17" s="6"/>
      <c r="C17" s="6"/>
      <c r="D17" s="6"/>
      <c r="E17" s="6"/>
      <c r="F17" s="6"/>
      <c r="G17" s="6"/>
      <c r="H17" s="6"/>
      <c r="I17" s="6">
        <v>0.52</v>
      </c>
      <c r="J17" s="6"/>
      <c r="K17" s="6"/>
      <c r="L17" s="6"/>
      <c r="M17" s="6"/>
      <c r="N17" s="6"/>
      <c r="O17" s="6"/>
      <c r="P17" s="6">
        <v>0.17</v>
      </c>
      <c r="Q17" s="6"/>
      <c r="R17" s="6"/>
      <c r="S17" s="6"/>
      <c r="T17" s="6"/>
      <c r="U17" s="6"/>
      <c r="V17" s="6"/>
      <c r="W17" s="6"/>
      <c r="X17" s="6"/>
      <c r="Y17" s="6">
        <v>0.26500000000000001</v>
      </c>
      <c r="Z17" s="6">
        <v>0.23</v>
      </c>
      <c r="AA17" s="6"/>
      <c r="AB17" s="6"/>
      <c r="AC17" s="6"/>
      <c r="AD17" s="6"/>
      <c r="AE17" s="6"/>
      <c r="AF17" s="6"/>
      <c r="AG17" s="6">
        <f t="shared" si="0"/>
        <v>1.1850000000000001</v>
      </c>
      <c r="AH17" s="451">
        <f t="shared" si="1"/>
        <v>3.3921108375794352E-2</v>
      </c>
    </row>
    <row r="18" spans="1:34">
      <c r="A18" s="431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432"/>
      <c r="P18" s="6"/>
      <c r="Q18" s="6">
        <v>0.13800000000000001</v>
      </c>
      <c r="R18" s="6"/>
      <c r="S18" s="6"/>
      <c r="T18" s="6"/>
      <c r="U18" s="6"/>
      <c r="V18" s="6"/>
      <c r="W18" s="6">
        <v>0.25800000000000001</v>
      </c>
      <c r="X18" s="6"/>
      <c r="Y18" s="6"/>
      <c r="Z18" s="6"/>
      <c r="AA18" s="6"/>
      <c r="AB18" s="6"/>
      <c r="AC18" s="6"/>
      <c r="AD18" s="6"/>
      <c r="AE18" s="6"/>
      <c r="AF18" s="6"/>
      <c r="AG18" s="6">
        <f t="shared" si="0"/>
        <v>0.39600000000000002</v>
      </c>
      <c r="AH18" s="451">
        <f t="shared" si="1"/>
        <v>1.1335661533176847E-2</v>
      </c>
    </row>
    <row r="19" spans="1:34">
      <c r="A19" s="431" t="s">
        <v>278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>
        <f t="shared" si="0"/>
        <v>0</v>
      </c>
      <c r="AH19" s="451">
        <f t="shared" si="1"/>
        <v>0</v>
      </c>
    </row>
    <row r="20" spans="1:34">
      <c r="A20" s="431" t="s">
        <v>279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>
        <f t="shared" si="0"/>
        <v>0</v>
      </c>
      <c r="AH20" s="451">
        <f t="shared" si="1"/>
        <v>0</v>
      </c>
    </row>
    <row r="21" spans="1:34">
      <c r="A21" s="431" t="s">
        <v>207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>
        <f t="shared" si="0"/>
        <v>0</v>
      </c>
      <c r="AH21" s="451">
        <f t="shared" si="1"/>
        <v>0</v>
      </c>
    </row>
    <row r="22" spans="1:34">
      <c r="A22" s="431" t="s">
        <v>285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0.77</v>
      </c>
      <c r="Z22" s="6"/>
      <c r="AA22" s="6"/>
      <c r="AB22" s="6"/>
      <c r="AC22" s="6"/>
      <c r="AD22" s="6"/>
      <c r="AE22" s="6"/>
      <c r="AF22" s="6"/>
      <c r="AG22" s="6">
        <f t="shared" si="0"/>
        <v>0.77</v>
      </c>
      <c r="AH22" s="451">
        <f t="shared" si="1"/>
        <v>2.2041564092288312E-2</v>
      </c>
    </row>
    <row r="23" spans="1:34">
      <c r="A23" s="431" t="s">
        <v>208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>
        <f t="shared" si="0"/>
        <v>0</v>
      </c>
      <c r="AH23" s="451">
        <f t="shared" si="1"/>
        <v>0</v>
      </c>
    </row>
    <row r="24" spans="1:34">
      <c r="A24" s="431" t="s">
        <v>280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f t="shared" si="0"/>
        <v>0</v>
      </c>
      <c r="AH24" s="451">
        <f t="shared" si="1"/>
        <v>0</v>
      </c>
    </row>
    <row r="25" spans="1:34">
      <c r="A25" s="431" t="s">
        <v>209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f t="shared" si="0"/>
        <v>0</v>
      </c>
      <c r="AH25" s="451">
        <f t="shared" si="1"/>
        <v>0</v>
      </c>
    </row>
    <row r="26" spans="1:34">
      <c r="A26" s="431" t="s">
        <v>210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>
        <f t="shared" si="0"/>
        <v>0</v>
      </c>
      <c r="AH26" s="451">
        <f t="shared" si="1"/>
        <v>0</v>
      </c>
    </row>
    <row r="27" spans="1:34">
      <c r="A27" s="431" t="s">
        <v>211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>
        <f t="shared" si="0"/>
        <v>0</v>
      </c>
      <c r="AH27" s="451">
        <f t="shared" si="1"/>
        <v>0</v>
      </c>
    </row>
    <row r="28" spans="1:34">
      <c r="A28" s="431" t="s">
        <v>212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f t="shared" si="0"/>
        <v>0</v>
      </c>
      <c r="AH28" s="451">
        <f t="shared" si="1"/>
        <v>0</v>
      </c>
    </row>
    <row r="29" spans="1:34">
      <c r="A29" s="431" t="s">
        <v>281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>
        <f t="shared" si="0"/>
        <v>0</v>
      </c>
      <c r="AH29" s="451">
        <f t="shared" si="1"/>
        <v>0</v>
      </c>
    </row>
    <row r="30" spans="1:34">
      <c r="A30" s="431" t="s">
        <v>282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f t="shared" si="0"/>
        <v>0</v>
      </c>
      <c r="AH30" s="451">
        <f t="shared" si="1"/>
        <v>0</v>
      </c>
    </row>
    <row r="31" spans="1:34">
      <c r="A31" s="431" t="s">
        <v>213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f t="shared" si="0"/>
        <v>0</v>
      </c>
      <c r="AH31" s="451">
        <f t="shared" si="1"/>
        <v>0</v>
      </c>
    </row>
    <row r="32" spans="1:34">
      <c r="A32" s="431" t="s">
        <v>214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f t="shared" si="0"/>
        <v>0</v>
      </c>
      <c r="AH32" s="451">
        <f t="shared" si="1"/>
        <v>0</v>
      </c>
    </row>
    <row r="33" spans="1:34">
      <c r="A33" s="431" t="s">
        <v>215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f t="shared" si="0"/>
        <v>0</v>
      </c>
      <c r="AH33" s="451">
        <f t="shared" si="1"/>
        <v>0</v>
      </c>
    </row>
    <row r="34" spans="1:34">
      <c r="A34" s="434" t="s">
        <v>216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f t="shared" si="0"/>
        <v>0</v>
      </c>
      <c r="AH34" s="451">
        <f t="shared" si="1"/>
        <v>0</v>
      </c>
    </row>
    <row r="35" spans="1:34">
      <c r="A35" s="434" t="s">
        <v>217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>
        <f t="shared" si="0"/>
        <v>0</v>
      </c>
      <c r="AH35" s="451">
        <f t="shared" si="1"/>
        <v>0</v>
      </c>
    </row>
    <row r="36" spans="1:34">
      <c r="A36" s="434" t="s">
        <v>218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>
        <f t="shared" si="0"/>
        <v>0</v>
      </c>
      <c r="AH36" s="451">
        <f t="shared" si="1"/>
        <v>0</v>
      </c>
    </row>
    <row r="37" spans="1:34">
      <c r="A37" s="434" t="s">
        <v>377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>
        <f t="shared" si="0"/>
        <v>0</v>
      </c>
      <c r="AH37" s="451">
        <f>+AG37/$AG$39</f>
        <v>0</v>
      </c>
    </row>
    <row r="38" spans="1:34">
      <c r="A38" s="482" t="s">
        <v>283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483">
        <f>+AG39/Efficiency1!$K$138</f>
        <v>2.4574683116000189E-2</v>
      </c>
    </row>
    <row r="39" spans="1:34">
      <c r="A39" s="434" t="s">
        <v>2</v>
      </c>
      <c r="B39" s="6">
        <f>SUM(B3:B37)</f>
        <v>4.4889999999999999</v>
      </c>
      <c r="C39" s="6">
        <f t="shared" ref="C39:AC39" si="2">SUM(C3:C37)</f>
        <v>4.6680000000000001</v>
      </c>
      <c r="D39" s="6">
        <f t="shared" si="2"/>
        <v>4.8079999999999998</v>
      </c>
      <c r="E39" s="6">
        <f t="shared" si="2"/>
        <v>3.8140000000000001</v>
      </c>
      <c r="F39" s="6">
        <f>SUM(F3:F37)</f>
        <v>5.0229999999999997</v>
      </c>
      <c r="G39" s="6">
        <f>SUM(G3:G37)</f>
        <v>5.8020000000000005</v>
      </c>
      <c r="H39" s="6">
        <f t="shared" si="2"/>
        <v>5.1020000000000003</v>
      </c>
      <c r="I39" s="6">
        <f t="shared" si="2"/>
        <v>7.5210000000000008</v>
      </c>
      <c r="J39" s="6">
        <f t="shared" si="2"/>
        <v>6.6880000000000006</v>
      </c>
      <c r="K39" s="6">
        <f t="shared" si="2"/>
        <v>3.0910000000000002</v>
      </c>
      <c r="L39" s="6">
        <f t="shared" si="2"/>
        <v>2.6630000000000003</v>
      </c>
      <c r="M39" s="6">
        <f t="shared" si="2"/>
        <v>1.3919999999999999</v>
      </c>
      <c r="N39" s="6">
        <f t="shared" si="2"/>
        <v>3.0329999999999999</v>
      </c>
      <c r="O39" s="7">
        <f t="shared" si="2"/>
        <v>4.492</v>
      </c>
      <c r="P39" s="6">
        <f t="shared" si="2"/>
        <v>5.3309999999999995</v>
      </c>
      <c r="Q39" s="6">
        <f t="shared" si="2"/>
        <v>4.3719999999999999</v>
      </c>
      <c r="R39" s="6">
        <f>SUM(R3:R37)</f>
        <v>4.1110000000000007</v>
      </c>
      <c r="S39" s="6">
        <f t="shared" si="2"/>
        <v>4.8470000000000004</v>
      </c>
      <c r="T39" s="6">
        <f t="shared" si="2"/>
        <v>4.4940000000000007</v>
      </c>
      <c r="U39" s="6">
        <f t="shared" si="2"/>
        <v>3.6040000000000001</v>
      </c>
      <c r="V39" s="6">
        <f t="shared" si="2"/>
        <v>5.4379999999999997</v>
      </c>
      <c r="W39" s="6">
        <f t="shared" si="2"/>
        <v>7.7299999999999995</v>
      </c>
      <c r="X39" s="6">
        <f t="shared" si="2"/>
        <v>1.9220000000000002</v>
      </c>
      <c r="Y39" s="6">
        <f t="shared" si="2"/>
        <v>7.51</v>
      </c>
      <c r="Z39" s="6">
        <f t="shared" si="2"/>
        <v>6.226</v>
      </c>
      <c r="AA39" s="6">
        <f t="shared" si="2"/>
        <v>5.7320000000000002</v>
      </c>
      <c r="AB39" s="6">
        <f t="shared" si="2"/>
        <v>5.3390000000000013</v>
      </c>
      <c r="AC39" s="6">
        <f t="shared" si="2"/>
        <v>2.0640000000000001</v>
      </c>
      <c r="AD39" s="6">
        <f>SUM(AD3:AD37)</f>
        <v>4.7850000000000001</v>
      </c>
      <c r="AE39" s="6">
        <f t="shared" ref="AE39:AF39" si="3">SUM(AE3:AE37)</f>
        <v>4.7330000000000005</v>
      </c>
      <c r="AF39" s="6">
        <f t="shared" si="3"/>
        <v>5.3950000000000005</v>
      </c>
      <c r="AG39" s="17">
        <f>SUM(AG6:AG38)</f>
        <v>34.934000000000005</v>
      </c>
      <c r="AH39" s="452">
        <f>SUM(AH6:AH37)</f>
        <v>0.99999999999999989</v>
      </c>
    </row>
  </sheetData>
  <mergeCells count="1">
    <mergeCell ref="AI3:AI4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45"/>
  <sheetViews>
    <sheetView zoomScale="85" workbookViewId="0">
      <pane xSplit="5" ySplit="9" topLeftCell="AX10" activePane="bottomRight" state="frozen"/>
      <selection activeCell="DK16" sqref="DK16"/>
      <selection pane="topRight" activeCell="DK16" sqref="DK16"/>
      <selection pane="bottomLeft" activeCell="DK16" sqref="DK16"/>
      <selection pane="bottomRight" activeCell="BL18" sqref="BL18"/>
    </sheetView>
  </sheetViews>
  <sheetFormatPr defaultColWidth="9.140625" defaultRowHeight="12.75"/>
  <cols>
    <col min="1" max="1" width="8" customWidth="1"/>
    <col min="4" max="4" width="12.5703125" customWidth="1"/>
    <col min="5" max="6" width="10" customWidth="1"/>
    <col min="7" max="7" width="10.7109375" hidden="1" customWidth="1"/>
    <col min="8" max="8" width="8.85546875" hidden="1" customWidth="1"/>
    <col min="9" max="9" width="11.5703125" hidden="1" customWidth="1"/>
    <col min="10" max="10" width="8" hidden="1" customWidth="1"/>
    <col min="11" max="11" width="11.5703125" hidden="1" customWidth="1"/>
    <col min="12" max="12" width="8" hidden="1" customWidth="1"/>
    <col min="13" max="13" width="11.5703125" hidden="1" customWidth="1"/>
    <col min="14" max="14" width="8" hidden="1" customWidth="1"/>
    <col min="15" max="15" width="10.5703125" hidden="1" customWidth="1"/>
    <col min="16" max="16" width="8" hidden="1" customWidth="1"/>
    <col min="17" max="17" width="11.5703125" hidden="1" customWidth="1"/>
    <col min="18" max="18" width="8" hidden="1" customWidth="1"/>
    <col min="19" max="19" width="13.140625" bestFit="1" customWidth="1"/>
    <col min="20" max="20" width="8.28515625" bestFit="1" customWidth="1"/>
    <col min="21" max="21" width="14.42578125" bestFit="1" customWidth="1"/>
    <col min="22" max="22" width="8" bestFit="1" customWidth="1"/>
    <col min="23" max="23" width="12.7109375" hidden="1" customWidth="1"/>
    <col min="24" max="24" width="8.7109375" hidden="1" customWidth="1"/>
    <col min="25" max="25" width="12.140625" hidden="1" customWidth="1"/>
    <col min="26" max="26" width="21.42578125" hidden="1" customWidth="1"/>
    <col min="27" max="27" width="17.7109375" hidden="1" customWidth="1"/>
    <col min="28" max="28" width="12.28515625" hidden="1" customWidth="1"/>
    <col min="29" max="29" width="14.42578125" hidden="1" customWidth="1"/>
    <col min="30" max="30" width="9.42578125" hidden="1" customWidth="1"/>
    <col min="31" max="31" width="17.7109375" hidden="1" customWidth="1"/>
    <col min="32" max="32" width="9.28515625" hidden="1" customWidth="1"/>
    <col min="33" max="33" width="14.42578125" hidden="1" customWidth="1"/>
    <col min="34" max="34" width="8.140625" hidden="1" customWidth="1"/>
    <col min="35" max="35" width="11.42578125" hidden="1" customWidth="1"/>
    <col min="36" max="36" width="8.5703125" hidden="1" customWidth="1"/>
    <col min="37" max="37" width="11.42578125" hidden="1" customWidth="1"/>
    <col min="38" max="38" width="8" hidden="1" customWidth="1"/>
    <col min="39" max="39" width="13.7109375" customWidth="1"/>
    <col min="40" max="40" width="8.140625" customWidth="1"/>
    <col min="41" max="41" width="13.140625" bestFit="1" customWidth="1"/>
    <col min="42" max="42" width="8.140625" customWidth="1"/>
    <col min="43" max="43" width="12.140625" hidden="1" customWidth="1"/>
    <col min="44" max="44" width="7.7109375" hidden="1" customWidth="1"/>
    <col min="45" max="45" width="12.140625" hidden="1" customWidth="1"/>
    <col min="46" max="46" width="7.7109375" hidden="1" customWidth="1"/>
    <col min="47" max="47" width="13.28515625" hidden="1" customWidth="1"/>
    <col min="48" max="48" width="8.85546875" hidden="1" customWidth="1"/>
    <col min="49" max="49" width="15.28515625" hidden="1" customWidth="1"/>
    <col min="50" max="50" width="7.7109375" hidden="1" customWidth="1"/>
    <col min="51" max="51" width="10.28515625" hidden="1" customWidth="1"/>
    <col min="52" max="52" width="8.140625" hidden="1" customWidth="1"/>
    <col min="53" max="53" width="11.42578125" hidden="1" customWidth="1"/>
    <col min="54" max="54" width="7.7109375" hidden="1" customWidth="1"/>
    <col min="55" max="55" width="17.7109375" customWidth="1"/>
    <col min="56" max="56" width="9.28515625" customWidth="1"/>
    <col min="57" max="57" width="14.42578125" customWidth="1"/>
    <col min="58" max="58" width="10" customWidth="1"/>
    <col min="59" max="59" width="15.42578125" hidden="1" customWidth="1"/>
    <col min="60" max="60" width="8.7109375" hidden="1" customWidth="1"/>
    <col min="61" max="61" width="12.85546875" hidden="1" customWidth="1"/>
    <col min="62" max="62" width="8.42578125" hidden="1" customWidth="1"/>
    <col min="63" max="63" width="17.7109375" bestFit="1" customWidth="1"/>
    <col min="64" max="64" width="14.42578125" bestFit="1" customWidth="1"/>
    <col min="65" max="65" width="8.85546875" bestFit="1" customWidth="1"/>
    <col min="66" max="66" width="10.28515625" bestFit="1" customWidth="1"/>
    <col min="67" max="67" width="13.28515625" bestFit="1" customWidth="1"/>
    <col min="68" max="68" width="10.42578125" bestFit="1" customWidth="1"/>
    <col min="70" max="70" width="15.42578125" bestFit="1" customWidth="1"/>
    <col min="71" max="71" width="10.42578125" bestFit="1" customWidth="1"/>
    <col min="74" max="74" width="10.42578125" bestFit="1" customWidth="1"/>
  </cols>
  <sheetData>
    <row r="1" spans="1:66" ht="15.75">
      <c r="A1" s="149"/>
      <c r="AE1" s="253"/>
    </row>
    <row r="2" spans="1:66" ht="15.75">
      <c r="A2" s="149"/>
      <c r="AE2" s="253"/>
      <c r="AI2" s="19"/>
    </row>
    <row r="3" spans="1:66" ht="15">
      <c r="A3" s="151"/>
      <c r="AE3" s="253"/>
    </row>
    <row r="4" spans="1:66" ht="15.75">
      <c r="A4" s="152" t="s">
        <v>287</v>
      </c>
      <c r="G4" s="14"/>
      <c r="AA4" s="14"/>
      <c r="AE4" s="253"/>
      <c r="AV4" s="19"/>
    </row>
    <row r="5" spans="1:66" ht="15.75">
      <c r="A5" s="152"/>
      <c r="G5" s="14"/>
      <c r="AA5" s="14"/>
      <c r="AE5" s="14"/>
    </row>
    <row r="6" spans="1:66" ht="18">
      <c r="A6" s="254"/>
      <c r="AA6" s="14"/>
      <c r="AE6" s="14"/>
      <c r="BD6" s="14"/>
      <c r="BE6" s="14"/>
      <c r="BF6" s="14"/>
      <c r="BL6" s="14"/>
    </row>
    <row r="7" spans="1:66" ht="16.5" thickBot="1">
      <c r="A7" s="255"/>
      <c r="B7" s="255"/>
      <c r="C7" s="255"/>
      <c r="D7" s="255"/>
      <c r="E7" s="255"/>
      <c r="F7" s="255"/>
      <c r="G7" s="255">
        <v>250</v>
      </c>
      <c r="K7">
        <v>233.59800000000001</v>
      </c>
      <c r="S7" s="255"/>
      <c r="T7" s="255"/>
      <c r="U7" s="256"/>
      <c r="V7" s="256"/>
      <c r="W7" s="255">
        <v>248.881</v>
      </c>
      <c r="X7" s="255"/>
      <c r="Y7" s="255"/>
      <c r="Z7" s="255"/>
      <c r="AA7" s="437">
        <v>250.69</v>
      </c>
      <c r="AB7" s="255"/>
      <c r="AC7" s="255"/>
      <c r="AD7" s="255"/>
      <c r="AE7" s="437">
        <v>251.53399999999999</v>
      </c>
      <c r="AF7" s="255"/>
      <c r="AG7" s="255"/>
      <c r="AH7" s="255"/>
      <c r="AI7" s="255">
        <v>238.345</v>
      </c>
      <c r="AJ7" s="255"/>
      <c r="AK7" s="255"/>
      <c r="AL7" s="255"/>
      <c r="AM7" s="255"/>
      <c r="AN7" s="255"/>
      <c r="AO7" s="255"/>
      <c r="AP7" s="255"/>
      <c r="AQ7" s="255">
        <v>251.53399999999999</v>
      </c>
      <c r="AR7" s="255"/>
      <c r="AS7" s="255"/>
      <c r="AT7" s="255"/>
      <c r="AU7" s="255"/>
      <c r="AV7" s="255"/>
      <c r="AW7" s="255"/>
      <c r="AX7" s="255"/>
      <c r="AY7" s="255"/>
      <c r="AZ7" s="255"/>
      <c r="BA7" s="255"/>
      <c r="BB7" s="255"/>
      <c r="BC7" s="256"/>
      <c r="BD7" s="256"/>
      <c r="BE7" s="255"/>
      <c r="BF7" s="255"/>
      <c r="BG7" s="255"/>
      <c r="BH7" s="255"/>
      <c r="BI7" s="255"/>
      <c r="BJ7" s="255"/>
      <c r="BK7" s="255"/>
      <c r="BL7" s="255"/>
      <c r="BM7" s="255"/>
      <c r="BN7" s="255"/>
    </row>
    <row r="8" spans="1:66" ht="38.25" customHeight="1" thickTop="1">
      <c r="A8" s="534" t="s">
        <v>29</v>
      </c>
      <c r="B8" s="534" t="s">
        <v>4</v>
      </c>
      <c r="C8" s="534" t="s">
        <v>5</v>
      </c>
      <c r="D8" s="536" t="s">
        <v>41</v>
      </c>
      <c r="E8" s="538" t="s">
        <v>39</v>
      </c>
      <c r="F8" s="539"/>
      <c r="G8" s="734" t="s">
        <v>376</v>
      </c>
      <c r="H8" s="735"/>
      <c r="I8" s="735"/>
      <c r="J8" s="736"/>
      <c r="K8" s="734" t="s">
        <v>417</v>
      </c>
      <c r="L8" s="735"/>
      <c r="M8" s="735"/>
      <c r="N8" s="736"/>
      <c r="O8" s="734" t="s">
        <v>42</v>
      </c>
      <c r="P8" s="735"/>
      <c r="Q8" s="735"/>
      <c r="R8" s="736"/>
      <c r="S8" s="734" t="s">
        <v>43</v>
      </c>
      <c r="T8" s="735"/>
      <c r="U8" s="735"/>
      <c r="V8" s="736"/>
      <c r="W8" s="734" t="s">
        <v>387</v>
      </c>
      <c r="X8" s="735"/>
      <c r="Y8" s="735"/>
      <c r="Z8" s="736"/>
      <c r="AA8" s="734" t="s">
        <v>171</v>
      </c>
      <c r="AB8" s="735"/>
      <c r="AC8" s="735"/>
      <c r="AD8" s="736"/>
      <c r="AE8" s="734" t="s">
        <v>226</v>
      </c>
      <c r="AF8" s="735"/>
      <c r="AG8" s="735"/>
      <c r="AH8" s="736"/>
      <c r="AI8" s="734" t="s">
        <v>379</v>
      </c>
      <c r="AJ8" s="735"/>
      <c r="AK8" s="735"/>
      <c r="AL8" s="736"/>
      <c r="AM8" s="734" t="s">
        <v>89</v>
      </c>
      <c r="AN8" s="735"/>
      <c r="AO8" s="735"/>
      <c r="AP8" s="736"/>
      <c r="AQ8" s="734" t="s">
        <v>418</v>
      </c>
      <c r="AR8" s="735"/>
      <c r="AS8" s="735"/>
      <c r="AT8" s="736"/>
      <c r="AU8" s="734"/>
      <c r="AV8" s="735"/>
      <c r="AW8" s="735"/>
      <c r="AX8" s="736"/>
      <c r="AY8" s="734"/>
      <c r="AZ8" s="735"/>
      <c r="BA8" s="735"/>
      <c r="BB8" s="736"/>
      <c r="BC8" s="734" t="s">
        <v>90</v>
      </c>
      <c r="BD8" s="735"/>
      <c r="BE8" s="735"/>
      <c r="BF8" s="736"/>
      <c r="BG8" s="530" t="s">
        <v>44</v>
      </c>
      <c r="BH8" s="531"/>
      <c r="BI8" s="531"/>
      <c r="BJ8" s="532"/>
      <c r="BK8" s="734" t="s">
        <v>45</v>
      </c>
      <c r="BL8" s="736"/>
      <c r="BM8" s="734" t="s">
        <v>46</v>
      </c>
      <c r="BN8" s="736"/>
    </row>
    <row r="9" spans="1:66">
      <c r="A9" s="535"/>
      <c r="B9" s="535"/>
      <c r="C9" s="535"/>
      <c r="D9" s="537"/>
      <c r="E9" s="2" t="s">
        <v>37</v>
      </c>
      <c r="F9" s="533" t="s">
        <v>38</v>
      </c>
      <c r="G9" s="9" t="s">
        <v>37</v>
      </c>
      <c r="H9" s="9" t="s">
        <v>11</v>
      </c>
      <c r="I9" s="537" t="s">
        <v>38</v>
      </c>
      <c r="J9" s="537" t="s">
        <v>11</v>
      </c>
      <c r="K9" s="9" t="s">
        <v>37</v>
      </c>
      <c r="L9" s="9" t="s">
        <v>11</v>
      </c>
      <c r="M9" s="537" t="s">
        <v>38</v>
      </c>
      <c r="N9" s="537" t="s">
        <v>11</v>
      </c>
      <c r="O9" s="9" t="s">
        <v>37</v>
      </c>
      <c r="P9" s="9" t="s">
        <v>11</v>
      </c>
      <c r="Q9" s="537" t="s">
        <v>38</v>
      </c>
      <c r="R9" s="537" t="s">
        <v>11</v>
      </c>
      <c r="S9" s="537" t="s">
        <v>37</v>
      </c>
      <c r="T9" s="537" t="s">
        <v>11</v>
      </c>
      <c r="U9" s="537" t="s">
        <v>38</v>
      </c>
      <c r="V9" s="537" t="s">
        <v>11</v>
      </c>
      <c r="W9" s="537" t="s">
        <v>37</v>
      </c>
      <c r="X9" s="537" t="s">
        <v>11</v>
      </c>
      <c r="Y9" s="537" t="s">
        <v>38</v>
      </c>
      <c r="Z9" s="537" t="s">
        <v>11</v>
      </c>
      <c r="AA9" s="537" t="s">
        <v>37</v>
      </c>
      <c r="AB9" s="537" t="s">
        <v>11</v>
      </c>
      <c r="AC9" s="537" t="s">
        <v>38</v>
      </c>
      <c r="AD9" s="537" t="s">
        <v>11</v>
      </c>
      <c r="AE9" s="537" t="s">
        <v>37</v>
      </c>
      <c r="AF9" s="537" t="s">
        <v>11</v>
      </c>
      <c r="AG9" s="537" t="s">
        <v>38</v>
      </c>
      <c r="AH9" s="537" t="s">
        <v>11</v>
      </c>
      <c r="AI9" s="537" t="s">
        <v>37</v>
      </c>
      <c r="AJ9" s="537" t="s">
        <v>11</v>
      </c>
      <c r="AK9" s="537" t="s">
        <v>38</v>
      </c>
      <c r="AL9" s="537" t="s">
        <v>11</v>
      </c>
      <c r="AM9" s="537" t="s">
        <v>37</v>
      </c>
      <c r="AN9" s="537" t="s">
        <v>11</v>
      </c>
      <c r="AO9" s="537" t="s">
        <v>38</v>
      </c>
      <c r="AP9" s="537" t="s">
        <v>11</v>
      </c>
      <c r="AQ9" s="537" t="s">
        <v>37</v>
      </c>
      <c r="AR9" s="537" t="s">
        <v>11</v>
      </c>
      <c r="AS9" s="537" t="s">
        <v>38</v>
      </c>
      <c r="AT9" s="537" t="s">
        <v>11</v>
      </c>
      <c r="AU9" s="537" t="s">
        <v>37</v>
      </c>
      <c r="AV9" s="537" t="s">
        <v>11</v>
      </c>
      <c r="AW9" s="537" t="s">
        <v>38</v>
      </c>
      <c r="AX9" s="537" t="s">
        <v>11</v>
      </c>
      <c r="AY9" s="537" t="s">
        <v>37</v>
      </c>
      <c r="AZ9" s="537" t="s">
        <v>11</v>
      </c>
      <c r="BA9" s="537" t="s">
        <v>38</v>
      </c>
      <c r="BB9" s="537" t="s">
        <v>11</v>
      </c>
      <c r="BC9" s="537" t="s">
        <v>37</v>
      </c>
      <c r="BD9" s="537" t="s">
        <v>11</v>
      </c>
      <c r="BE9" s="537" t="s">
        <v>38</v>
      </c>
      <c r="BF9" s="537" t="s">
        <v>11</v>
      </c>
      <c r="BG9" s="537" t="s">
        <v>37</v>
      </c>
      <c r="BH9" s="537" t="s">
        <v>11</v>
      </c>
      <c r="BI9" s="537" t="s">
        <v>38</v>
      </c>
      <c r="BJ9" s="537" t="s">
        <v>11</v>
      </c>
      <c r="BK9" s="537" t="s">
        <v>37</v>
      </c>
      <c r="BL9" s="537" t="s">
        <v>38</v>
      </c>
      <c r="BM9" s="537" t="s">
        <v>37</v>
      </c>
      <c r="BN9" s="537" t="s">
        <v>38</v>
      </c>
    </row>
    <row r="10" spans="1:66">
      <c r="A10" s="16">
        <f>+Chem!A9</f>
        <v>45839</v>
      </c>
      <c r="B10" s="6" t="str">
        <f>+Chem!B9</f>
        <v>Toilet/Facial</v>
      </c>
      <c r="C10" s="16" t="str">
        <f>+Chem!C9</f>
        <v>12,5/13</v>
      </c>
      <c r="D10" s="8">
        <f>+Chem!D9</f>
        <v>36.692</v>
      </c>
      <c r="E10" s="7">
        <f>+Chem!E9</f>
        <v>35.332000000000001</v>
      </c>
      <c r="F10" s="7">
        <f>+E10</f>
        <v>35.332000000000001</v>
      </c>
      <c r="G10" s="97"/>
      <c r="H10" s="10">
        <f t="shared" ref="H10:H40" si="0">G10/BK10*100</f>
        <v>0</v>
      </c>
      <c r="I10" s="8">
        <f>G10</f>
        <v>0</v>
      </c>
      <c r="J10" s="10">
        <f t="shared" ref="J10:J40" si="1">I10/BL10*100</f>
        <v>0</v>
      </c>
      <c r="K10" s="97">
        <f>17.5*K7</f>
        <v>4087.9650000000001</v>
      </c>
      <c r="L10" s="10">
        <f t="shared" ref="L10:L40" si="2">+K10/BK10*100</f>
        <v>10.52126818708015</v>
      </c>
      <c r="M10" s="10">
        <f>+K10</f>
        <v>4087.9650000000001</v>
      </c>
      <c r="N10" s="10">
        <f t="shared" ref="N10:N40" si="3">+M10/BL10*100</f>
        <v>10.52126818708015</v>
      </c>
      <c r="O10" s="97"/>
      <c r="P10" s="10">
        <f t="shared" ref="P10:P40" si="4">+O10/BK10*100</f>
        <v>0</v>
      </c>
      <c r="Q10" s="10">
        <f>+O10</f>
        <v>0</v>
      </c>
      <c r="R10" s="10">
        <f t="shared" ref="R10:R40" si="5">+Q10/BL10*100</f>
        <v>0</v>
      </c>
      <c r="S10" s="10">
        <f>G10+K10+O10</f>
        <v>4087.9650000000001</v>
      </c>
      <c r="T10" s="10">
        <f t="shared" ref="T10:T40" si="6">S10/BK10*100</f>
        <v>10.52126818708015</v>
      </c>
      <c r="U10" s="10">
        <f>S10</f>
        <v>4087.9650000000001</v>
      </c>
      <c r="V10" s="10">
        <f t="shared" ref="V10:V40" si="7">U10/BL10*100</f>
        <v>10.52126818708015</v>
      </c>
      <c r="W10" s="97"/>
      <c r="X10" s="10">
        <f>W10/BK10*100</f>
        <v>0</v>
      </c>
      <c r="Y10" s="10">
        <f>W10</f>
        <v>0</v>
      </c>
      <c r="Z10" s="10">
        <f>Y10/BL10*100</f>
        <v>0</v>
      </c>
      <c r="AA10" s="97"/>
      <c r="AB10" s="10">
        <f t="shared" ref="AB10:AB40" si="8">AA10/BK10*100</f>
        <v>0</v>
      </c>
      <c r="AC10" s="10">
        <f>AA10</f>
        <v>0</v>
      </c>
      <c r="AD10" s="10">
        <f t="shared" ref="AD10:AD40" si="9">AC10/BL10*100</f>
        <v>0</v>
      </c>
      <c r="AE10" s="97"/>
      <c r="AF10" s="10">
        <f t="shared" ref="AF10:AF40" si="10">AE10/BK10*100</f>
        <v>0</v>
      </c>
      <c r="AG10" s="10">
        <f>AE10</f>
        <v>0</v>
      </c>
      <c r="AH10" s="10">
        <f t="shared" ref="AH10:AH40" si="11">AG10/BL10*100</f>
        <v>0</v>
      </c>
      <c r="AI10" s="97">
        <f>34*AI7</f>
        <v>8103.73</v>
      </c>
      <c r="AJ10" s="10">
        <f t="shared" ref="AJ10:AJ40" si="12">AI10/BK10*100</f>
        <v>20.856713950752269</v>
      </c>
      <c r="AK10" s="10">
        <f>AI10</f>
        <v>8103.73</v>
      </c>
      <c r="AL10" s="10">
        <f t="shared" ref="AL10:AL40" si="13">AK10/BL10</f>
        <v>0.2085671395075227</v>
      </c>
      <c r="AM10" s="10">
        <f>AA10+AE10+AI10+W10</f>
        <v>8103.73</v>
      </c>
      <c r="AN10" s="10">
        <f t="shared" ref="AN10:AN39" si="14">AM10/BK10*100</f>
        <v>20.856713950752269</v>
      </c>
      <c r="AO10" s="10">
        <f>AM10</f>
        <v>8103.73</v>
      </c>
      <c r="AP10" s="10">
        <f t="shared" ref="AP10:AP39" si="15">AO10/BL10*100</f>
        <v>20.856713950752269</v>
      </c>
      <c r="AQ10" s="97">
        <f>106*AQ7</f>
        <v>26662.603999999999</v>
      </c>
      <c r="AR10" s="10">
        <f t="shared" ref="AR10:AR39" si="16">+AQ10/BK10*100</f>
        <v>68.622017862167581</v>
      </c>
      <c r="AS10" s="10">
        <f>+AQ10</f>
        <v>26662.603999999999</v>
      </c>
      <c r="AT10" s="10">
        <f t="shared" ref="AT10:AT39" si="17">+AS10/BL10*100</f>
        <v>68.622017862167581</v>
      </c>
      <c r="AU10" s="97">
        <f>14*AV6</f>
        <v>0</v>
      </c>
      <c r="AV10" s="10">
        <f t="shared" ref="AV10:AV39" si="18">AU10/BK10*100</f>
        <v>0</v>
      </c>
      <c r="AW10" s="10">
        <f>AU10</f>
        <v>0</v>
      </c>
      <c r="AX10" s="10">
        <f t="shared" ref="AX10:AX39" si="19">AW10/BL10*100</f>
        <v>0</v>
      </c>
      <c r="AY10" s="97"/>
      <c r="AZ10" s="15">
        <f t="shared" ref="AZ10:AZ39" si="20">AY10/BK10*100</f>
        <v>0</v>
      </c>
      <c r="BA10" s="10">
        <f>AY10</f>
        <v>0</v>
      </c>
      <c r="BB10" s="10">
        <f t="shared" ref="BB10:BB39" si="21">BA10/BL10*100</f>
        <v>0</v>
      </c>
      <c r="BC10" s="10">
        <f>AQ10+AU10+AY10</f>
        <v>26662.603999999999</v>
      </c>
      <c r="BD10" s="10">
        <f t="shared" ref="BD10:BD39" si="22">BC10/BK10*100</f>
        <v>68.622017862167581</v>
      </c>
      <c r="BE10" s="10">
        <f>BC10</f>
        <v>26662.603999999999</v>
      </c>
      <c r="BF10" s="10">
        <f t="shared" ref="BF10:BF39" si="23">BE10/BL10*100</f>
        <v>68.622017862167581</v>
      </c>
      <c r="BG10" s="97">
        <v>0</v>
      </c>
      <c r="BH10" s="10">
        <f t="shared" ref="BH10:BH39" si="24">BG10/BK10*100</f>
        <v>0</v>
      </c>
      <c r="BI10" s="10">
        <f>BG10</f>
        <v>0</v>
      </c>
      <c r="BJ10" s="10">
        <f t="shared" ref="BJ10:BJ39" si="25">BI10/BL10*100</f>
        <v>0</v>
      </c>
      <c r="BK10" s="10">
        <f t="shared" ref="BK10:BK40" si="26">S10+AM10+BC10+BG10</f>
        <v>38854.298999999999</v>
      </c>
      <c r="BL10" s="10">
        <f>BK10</f>
        <v>38854.298999999999</v>
      </c>
      <c r="BM10" s="503">
        <f t="shared" ref="BM10:BM40" si="27">BK10/1000/E10</f>
        <v>1.0996914694894147</v>
      </c>
      <c r="BN10" s="10">
        <f t="shared" ref="BN10:BN40" si="28">(BL10/1000)/F10</f>
        <v>1.0996914694894147</v>
      </c>
    </row>
    <row r="11" spans="1:66">
      <c r="A11" s="16">
        <f>+Chem!A10</f>
        <v>45840</v>
      </c>
      <c r="B11" s="6" t="str">
        <f>+Chem!B10</f>
        <v>Facial</v>
      </c>
      <c r="C11" s="16" t="str">
        <f>+Chem!C10</f>
        <v>13/12</v>
      </c>
      <c r="D11" s="8">
        <f>+Chem!D10</f>
        <v>39.07</v>
      </c>
      <c r="E11" s="7">
        <f>+Chem!E10</f>
        <v>37.323</v>
      </c>
      <c r="F11" s="7">
        <f t="shared" ref="F11:F39" si="29">+E11+F10</f>
        <v>72.655000000000001</v>
      </c>
      <c r="G11" s="97"/>
      <c r="H11" s="10">
        <f t="shared" si="0"/>
        <v>0</v>
      </c>
      <c r="I11" s="8">
        <f t="shared" ref="I11:I39" si="30">G11+I10</f>
        <v>0</v>
      </c>
      <c r="J11" s="10">
        <f t="shared" si="1"/>
        <v>0</v>
      </c>
      <c r="K11" s="97">
        <f>19*K7</f>
        <v>4438.3620000000001</v>
      </c>
      <c r="L11" s="10">
        <f t="shared" si="2"/>
        <v>10.524840819430754</v>
      </c>
      <c r="M11" s="10">
        <f t="shared" ref="M11:M39" si="31">+K11+M10</f>
        <v>8526.3270000000011</v>
      </c>
      <c r="N11" s="10">
        <f t="shared" si="3"/>
        <v>10.523127610787371</v>
      </c>
      <c r="O11" s="97"/>
      <c r="P11" s="10">
        <f t="shared" si="4"/>
        <v>0</v>
      </c>
      <c r="Q11" s="10">
        <f t="shared" ref="Q11:Q39" si="32">+O11+Q10</f>
        <v>0</v>
      </c>
      <c r="R11" s="10">
        <f t="shared" si="5"/>
        <v>0</v>
      </c>
      <c r="S11" s="10">
        <f t="shared" ref="S11:S40" si="33">G11+K11+O11</f>
        <v>4438.3620000000001</v>
      </c>
      <c r="T11" s="10">
        <f t="shared" si="6"/>
        <v>10.524840819430754</v>
      </c>
      <c r="U11" s="10">
        <f t="shared" ref="U11:U39" si="34">S11+U10</f>
        <v>8526.3270000000011</v>
      </c>
      <c r="V11" s="10">
        <f t="shared" si="7"/>
        <v>10.523127610787371</v>
      </c>
      <c r="W11" s="97"/>
      <c r="X11" s="10"/>
      <c r="Y11" s="10"/>
      <c r="Z11" s="10"/>
      <c r="AA11" s="97"/>
      <c r="AB11" s="10">
        <f t="shared" si="8"/>
        <v>0</v>
      </c>
      <c r="AC11" s="10">
        <f t="shared" ref="AC11:AC39" si="35">AA11+AC10</f>
        <v>0</v>
      </c>
      <c r="AD11" s="10">
        <f t="shared" si="9"/>
        <v>0</v>
      </c>
      <c r="AE11" s="97"/>
      <c r="AF11" s="10">
        <f t="shared" si="10"/>
        <v>0</v>
      </c>
      <c r="AG11" s="10">
        <f t="shared" ref="AG11:AG39" si="36">AE11+AG10</f>
        <v>0</v>
      </c>
      <c r="AH11" s="10">
        <f t="shared" si="11"/>
        <v>0</v>
      </c>
      <c r="AI11" s="97">
        <f>38*AI7</f>
        <v>9057.11</v>
      </c>
      <c r="AJ11" s="10">
        <f t="shared" si="12"/>
        <v>21.47743717931851</v>
      </c>
      <c r="AK11" s="10">
        <f t="shared" ref="AK11:AK39" si="37">AI11+AK10</f>
        <v>17160.84</v>
      </c>
      <c r="AL11" s="10">
        <f t="shared" si="13"/>
        <v>0.21179777555834339</v>
      </c>
      <c r="AM11" s="10">
        <f t="shared" ref="AM11:AM40" si="38">AA11+AE11+AI11+W11</f>
        <v>9057.11</v>
      </c>
      <c r="AN11" s="10">
        <f t="shared" si="14"/>
        <v>21.47743717931851</v>
      </c>
      <c r="AO11" s="10">
        <f t="shared" ref="AO11:AO39" si="39">AM11+AO10</f>
        <v>17160.84</v>
      </c>
      <c r="AP11" s="10">
        <f t="shared" si="15"/>
        <v>21.179777555834338</v>
      </c>
      <c r="AQ11" s="97">
        <f>114*AQ7</f>
        <v>28674.876</v>
      </c>
      <c r="AR11" s="10">
        <f t="shared" si="16"/>
        <v>67.997722001250736</v>
      </c>
      <c r="AS11" s="10">
        <f t="shared" ref="AS11:AS39" si="40">+AQ11+AS10</f>
        <v>55337.479999999996</v>
      </c>
      <c r="AT11" s="10">
        <f t="shared" si="17"/>
        <v>68.297094833378296</v>
      </c>
      <c r="AU11" s="97"/>
      <c r="AV11" s="10">
        <f t="shared" si="18"/>
        <v>0</v>
      </c>
      <c r="AW11" s="10">
        <f t="shared" ref="AW11:AW39" si="41">AU11+AW10</f>
        <v>0</v>
      </c>
      <c r="AX11" s="10">
        <f t="shared" si="19"/>
        <v>0</v>
      </c>
      <c r="AY11" s="97"/>
      <c r="AZ11" s="15">
        <f t="shared" si="20"/>
        <v>0</v>
      </c>
      <c r="BA11" s="10">
        <f t="shared" ref="BA11:BA39" si="42">AY11+BA10</f>
        <v>0</v>
      </c>
      <c r="BB11" s="10">
        <f t="shared" si="21"/>
        <v>0</v>
      </c>
      <c r="BC11" s="10">
        <f t="shared" ref="BC11:BC39" si="43">AQ11+AU11+AY11</f>
        <v>28674.876</v>
      </c>
      <c r="BD11" s="10">
        <f t="shared" si="22"/>
        <v>67.997722001250736</v>
      </c>
      <c r="BE11" s="10">
        <f t="shared" ref="BE11:BE39" si="44">BC11+BE10</f>
        <v>55337.479999999996</v>
      </c>
      <c r="BF11" s="10">
        <f t="shared" si="23"/>
        <v>68.297094833378296</v>
      </c>
      <c r="BG11" s="97">
        <v>0</v>
      </c>
      <c r="BH11" s="10">
        <f t="shared" si="24"/>
        <v>0</v>
      </c>
      <c r="BI11" s="10">
        <f t="shared" ref="BI11:BI39" si="45">BG11+BI10</f>
        <v>0</v>
      </c>
      <c r="BJ11" s="10">
        <f t="shared" si="25"/>
        <v>0</v>
      </c>
      <c r="BK11" s="10">
        <f t="shared" si="26"/>
        <v>42170.347999999998</v>
      </c>
      <c r="BL11" s="10">
        <f t="shared" ref="BL11:BL39" si="46">BK11+BL10</f>
        <v>81024.646999999997</v>
      </c>
      <c r="BM11" s="503">
        <f t="shared" si="27"/>
        <v>1.1298756262894194</v>
      </c>
      <c r="BN11" s="10">
        <f t="shared" si="28"/>
        <v>1.1151971233913702</v>
      </c>
    </row>
    <row r="12" spans="1:66">
      <c r="A12" s="16">
        <f>+Chem!A11</f>
        <v>45841</v>
      </c>
      <c r="B12" s="6" t="str">
        <f>+Chem!B11</f>
        <v>Facial</v>
      </c>
      <c r="C12" s="16" t="str">
        <f>+Chem!C11</f>
        <v>12</v>
      </c>
      <c r="D12" s="8">
        <f>+Chem!D11</f>
        <v>41.875999999999998</v>
      </c>
      <c r="E12" s="7">
        <f>+Chem!E11</f>
        <v>39.783000000000001</v>
      </c>
      <c r="F12" s="7">
        <f t="shared" si="29"/>
        <v>112.438</v>
      </c>
      <c r="G12" s="97"/>
      <c r="H12" s="10">
        <f t="shared" si="0"/>
        <v>0</v>
      </c>
      <c r="I12" s="8">
        <f t="shared" si="30"/>
        <v>0</v>
      </c>
      <c r="J12" s="10">
        <f t="shared" si="1"/>
        <v>0</v>
      </c>
      <c r="K12" s="97">
        <f>20*K7</f>
        <v>4671.96</v>
      </c>
      <c r="L12" s="10">
        <f t="shared" si="2"/>
        <v>10.518590304109191</v>
      </c>
      <c r="M12" s="10">
        <f t="shared" si="31"/>
        <v>13198.287</v>
      </c>
      <c r="N12" s="10">
        <f t="shared" si="3"/>
        <v>10.521521037024099</v>
      </c>
      <c r="O12" s="97"/>
      <c r="P12" s="10">
        <f t="shared" si="4"/>
        <v>0</v>
      </c>
      <c r="Q12" s="10">
        <f t="shared" si="32"/>
        <v>0</v>
      </c>
      <c r="R12" s="10">
        <f t="shared" si="5"/>
        <v>0</v>
      </c>
      <c r="S12" s="10">
        <f t="shared" si="33"/>
        <v>4671.96</v>
      </c>
      <c r="T12" s="10">
        <f t="shared" si="6"/>
        <v>10.518590304109191</v>
      </c>
      <c r="U12" s="10">
        <f t="shared" si="34"/>
        <v>13198.287</v>
      </c>
      <c r="V12" s="10">
        <f t="shared" si="7"/>
        <v>10.521521037024099</v>
      </c>
      <c r="W12" s="97"/>
      <c r="X12" s="10"/>
      <c r="Y12" s="10"/>
      <c r="Z12" s="10"/>
      <c r="AA12" s="97"/>
      <c r="AB12" s="10">
        <f t="shared" si="8"/>
        <v>0</v>
      </c>
      <c r="AC12" s="10">
        <f t="shared" si="35"/>
        <v>0</v>
      </c>
      <c r="AD12" s="10">
        <f t="shared" si="9"/>
        <v>0</v>
      </c>
      <c r="AE12" s="97"/>
      <c r="AF12" s="10">
        <f t="shared" si="10"/>
        <v>0</v>
      </c>
      <c r="AG12" s="10">
        <f t="shared" si="36"/>
        <v>0</v>
      </c>
      <c r="AH12" s="10">
        <f t="shared" si="11"/>
        <v>0</v>
      </c>
      <c r="AI12" s="97">
        <f>38*AI7</f>
        <v>9057.11</v>
      </c>
      <c r="AJ12" s="10">
        <f t="shared" si="12"/>
        <v>20.391448006671801</v>
      </c>
      <c r="AK12" s="10">
        <f t="shared" si="37"/>
        <v>26217.95</v>
      </c>
      <c r="AL12" s="10">
        <f t="shared" si="13"/>
        <v>0.20900645096795215</v>
      </c>
      <c r="AM12" s="10">
        <f t="shared" si="38"/>
        <v>9057.11</v>
      </c>
      <c r="AN12" s="10">
        <f t="shared" si="14"/>
        <v>20.391448006671801</v>
      </c>
      <c r="AO12" s="10">
        <f t="shared" si="39"/>
        <v>26217.95</v>
      </c>
      <c r="AP12" s="10">
        <f t="shared" si="15"/>
        <v>20.900645096795216</v>
      </c>
      <c r="AQ12" s="97">
        <f>122*AQ7</f>
        <v>30687.147999999997</v>
      </c>
      <c r="AR12" s="10">
        <f t="shared" si="16"/>
        <v>69.08996168921901</v>
      </c>
      <c r="AS12" s="10">
        <f t="shared" si="40"/>
        <v>86024.627999999997</v>
      </c>
      <c r="AT12" s="10">
        <f t="shared" si="17"/>
        <v>68.577833866180697</v>
      </c>
      <c r="AU12" s="97"/>
      <c r="AV12" s="10">
        <f t="shared" si="18"/>
        <v>0</v>
      </c>
      <c r="AW12" s="10">
        <f t="shared" si="41"/>
        <v>0</v>
      </c>
      <c r="AX12" s="10">
        <f t="shared" si="19"/>
        <v>0</v>
      </c>
      <c r="AY12" s="97"/>
      <c r="AZ12" s="15">
        <f t="shared" si="20"/>
        <v>0</v>
      </c>
      <c r="BA12" s="10">
        <f t="shared" si="42"/>
        <v>0</v>
      </c>
      <c r="BB12" s="10">
        <f t="shared" si="21"/>
        <v>0</v>
      </c>
      <c r="BC12" s="10">
        <f t="shared" si="43"/>
        <v>30687.147999999997</v>
      </c>
      <c r="BD12" s="10">
        <f t="shared" si="22"/>
        <v>69.08996168921901</v>
      </c>
      <c r="BE12" s="10">
        <f t="shared" si="44"/>
        <v>86024.627999999997</v>
      </c>
      <c r="BF12" s="10">
        <f t="shared" si="23"/>
        <v>68.577833866180697</v>
      </c>
      <c r="BG12" s="97">
        <v>0</v>
      </c>
      <c r="BH12" s="10">
        <f t="shared" si="24"/>
        <v>0</v>
      </c>
      <c r="BI12" s="10">
        <f t="shared" si="45"/>
        <v>0</v>
      </c>
      <c r="BJ12" s="10">
        <f t="shared" si="25"/>
        <v>0</v>
      </c>
      <c r="BK12" s="10">
        <f t="shared" si="26"/>
        <v>44416.217999999993</v>
      </c>
      <c r="BL12" s="10">
        <f t="shared" si="46"/>
        <v>125440.86499999999</v>
      </c>
      <c r="BM12" s="503">
        <f t="shared" si="27"/>
        <v>1.1164622577482843</v>
      </c>
      <c r="BN12" s="10">
        <f t="shared" si="28"/>
        <v>1.1156447553318272</v>
      </c>
    </row>
    <row r="13" spans="1:66">
      <c r="A13" s="16">
        <f>+Chem!A12</f>
        <v>45842</v>
      </c>
      <c r="B13" s="6" t="str">
        <f>+Chem!B12</f>
        <v>Facial</v>
      </c>
      <c r="C13" s="16" t="str">
        <f>+Chem!C12</f>
        <v>12</v>
      </c>
      <c r="D13" s="8">
        <f>+Chem!D12</f>
        <v>42.341999999999999</v>
      </c>
      <c r="E13" s="7">
        <f>+Chem!E12</f>
        <v>41.905999999999999</v>
      </c>
      <c r="F13" s="7">
        <f t="shared" si="29"/>
        <v>154.34399999999999</v>
      </c>
      <c r="G13" s="97"/>
      <c r="H13" s="10">
        <f t="shared" si="0"/>
        <v>0</v>
      </c>
      <c r="I13" s="8">
        <f t="shared" si="30"/>
        <v>0</v>
      </c>
      <c r="J13" s="10">
        <f t="shared" si="1"/>
        <v>0</v>
      </c>
      <c r="K13" s="97">
        <f>21.5*K7</f>
        <v>5022.357</v>
      </c>
      <c r="L13" s="10">
        <f t="shared" si="2"/>
        <v>22.243618335676455</v>
      </c>
      <c r="M13" s="10">
        <f t="shared" si="31"/>
        <v>18220.644</v>
      </c>
      <c r="N13" s="10">
        <f t="shared" si="3"/>
        <v>12.309604776206459</v>
      </c>
      <c r="O13" s="97"/>
      <c r="P13" s="10">
        <f t="shared" si="4"/>
        <v>0</v>
      </c>
      <c r="Q13" s="10">
        <f t="shared" si="32"/>
        <v>0</v>
      </c>
      <c r="R13" s="10">
        <f t="shared" si="5"/>
        <v>0</v>
      </c>
      <c r="S13" s="10">
        <f t="shared" si="33"/>
        <v>5022.357</v>
      </c>
      <c r="T13" s="10">
        <f t="shared" si="6"/>
        <v>22.243618335676455</v>
      </c>
      <c r="U13" s="10">
        <f t="shared" si="34"/>
        <v>18220.644</v>
      </c>
      <c r="V13" s="10">
        <f t="shared" si="7"/>
        <v>12.309604776206459</v>
      </c>
      <c r="W13" s="97"/>
      <c r="X13" s="10"/>
      <c r="Y13" s="10"/>
      <c r="Z13" s="10"/>
      <c r="AA13" s="97"/>
      <c r="AB13" s="10">
        <f t="shared" si="8"/>
        <v>0</v>
      </c>
      <c r="AC13" s="10">
        <f t="shared" si="35"/>
        <v>0</v>
      </c>
      <c r="AD13" s="10">
        <f t="shared" si="9"/>
        <v>0</v>
      </c>
      <c r="AE13" s="97"/>
      <c r="AF13" s="10">
        <f t="shared" si="10"/>
        <v>0</v>
      </c>
      <c r="AG13" s="10">
        <f t="shared" si="36"/>
        <v>0</v>
      </c>
      <c r="AH13" s="10">
        <f t="shared" si="11"/>
        <v>0</v>
      </c>
      <c r="AI13" s="97">
        <f>42*AI7</f>
        <v>10010.49</v>
      </c>
      <c r="AJ13" s="10">
        <f t="shared" si="12"/>
        <v>44.335661306654586</v>
      </c>
      <c r="AK13" s="10">
        <f t="shared" si="37"/>
        <v>36228.44</v>
      </c>
      <c r="AL13" s="10">
        <f t="shared" si="13"/>
        <v>0.24475412507840513</v>
      </c>
      <c r="AM13" s="10">
        <f t="shared" si="38"/>
        <v>10010.49</v>
      </c>
      <c r="AN13" s="10">
        <f t="shared" si="14"/>
        <v>44.335661306654586</v>
      </c>
      <c r="AO13" s="10">
        <f t="shared" si="39"/>
        <v>36228.44</v>
      </c>
      <c r="AP13" s="10">
        <f t="shared" si="15"/>
        <v>24.475412507840513</v>
      </c>
      <c r="AQ13" s="97">
        <f>30*AQ7</f>
        <v>7546.0199999999995</v>
      </c>
      <c r="AR13" s="10">
        <f t="shared" si="16"/>
        <v>33.420720357668962</v>
      </c>
      <c r="AS13" s="10">
        <f t="shared" si="40"/>
        <v>93570.648000000001</v>
      </c>
      <c r="AT13" s="10">
        <f t="shared" si="17"/>
        <v>63.214982715953042</v>
      </c>
      <c r="AU13" s="97"/>
      <c r="AV13" s="10">
        <f t="shared" si="18"/>
        <v>0</v>
      </c>
      <c r="AW13" s="10">
        <f t="shared" si="41"/>
        <v>0</v>
      </c>
      <c r="AX13" s="10">
        <f t="shared" si="19"/>
        <v>0</v>
      </c>
      <c r="AY13" s="97"/>
      <c r="AZ13" s="15">
        <f t="shared" si="20"/>
        <v>0</v>
      </c>
      <c r="BA13" s="10">
        <f t="shared" si="42"/>
        <v>0</v>
      </c>
      <c r="BB13" s="10">
        <f t="shared" si="21"/>
        <v>0</v>
      </c>
      <c r="BC13" s="10">
        <f t="shared" si="43"/>
        <v>7546.0199999999995</v>
      </c>
      <c r="BD13" s="10">
        <f t="shared" si="22"/>
        <v>33.420720357668962</v>
      </c>
      <c r="BE13" s="10">
        <f t="shared" si="44"/>
        <v>93570.648000000001</v>
      </c>
      <c r="BF13" s="10">
        <f t="shared" si="23"/>
        <v>63.214982715953042</v>
      </c>
      <c r="BG13" s="97">
        <v>0</v>
      </c>
      <c r="BH13" s="10">
        <f t="shared" si="24"/>
        <v>0</v>
      </c>
      <c r="BI13" s="10">
        <f t="shared" si="45"/>
        <v>0</v>
      </c>
      <c r="BJ13" s="10">
        <f t="shared" si="25"/>
        <v>0</v>
      </c>
      <c r="BK13" s="10">
        <f t="shared" si="26"/>
        <v>22578.866999999998</v>
      </c>
      <c r="BL13" s="10">
        <f t="shared" si="46"/>
        <v>148019.73199999999</v>
      </c>
      <c r="BM13" s="503">
        <f t="shared" si="27"/>
        <v>0.53879795256049257</v>
      </c>
      <c r="BN13" s="10">
        <f t="shared" si="28"/>
        <v>0.95902485357383493</v>
      </c>
    </row>
    <row r="14" spans="1:66">
      <c r="A14" s="16">
        <f>+Chem!A13</f>
        <v>45843</v>
      </c>
      <c r="B14" s="6" t="str">
        <f>+Chem!B13</f>
        <v>Facial</v>
      </c>
      <c r="C14" s="16" t="str">
        <f>+Chem!C13</f>
        <v>12/12,5/13</v>
      </c>
      <c r="D14" s="8">
        <f>+Chem!D13</f>
        <v>43.317999999999998</v>
      </c>
      <c r="E14" s="7">
        <f>+Chem!E13</f>
        <v>41.37</v>
      </c>
      <c r="F14" s="7">
        <f t="shared" si="29"/>
        <v>195.714</v>
      </c>
      <c r="G14" s="98"/>
      <c r="H14" s="88">
        <f t="shared" si="0"/>
        <v>0</v>
      </c>
      <c r="I14" s="8">
        <f t="shared" si="30"/>
        <v>0</v>
      </c>
      <c r="J14" s="88">
        <f t="shared" si="1"/>
        <v>0</v>
      </c>
      <c r="K14" s="98">
        <f>21.5*K7</f>
        <v>5022.357</v>
      </c>
      <c r="L14" s="88">
        <f t="shared" si="2"/>
        <v>10.691161039290906</v>
      </c>
      <c r="M14" s="88">
        <f t="shared" si="31"/>
        <v>23243.001</v>
      </c>
      <c r="N14" s="88">
        <f t="shared" si="3"/>
        <v>11.91970444754857</v>
      </c>
      <c r="O14" s="98"/>
      <c r="P14" s="88">
        <f t="shared" si="4"/>
        <v>0</v>
      </c>
      <c r="Q14" s="88">
        <f t="shared" si="32"/>
        <v>0</v>
      </c>
      <c r="R14" s="88">
        <f t="shared" si="5"/>
        <v>0</v>
      </c>
      <c r="S14" s="10">
        <f t="shared" si="33"/>
        <v>5022.357</v>
      </c>
      <c r="T14" s="88">
        <f t="shared" si="6"/>
        <v>10.691161039290906</v>
      </c>
      <c r="U14" s="88">
        <f t="shared" si="34"/>
        <v>23243.001</v>
      </c>
      <c r="V14" s="88">
        <f t="shared" si="7"/>
        <v>11.91970444754857</v>
      </c>
      <c r="W14" s="98"/>
      <c r="X14" s="88"/>
      <c r="Y14" s="88"/>
      <c r="Z14" s="88"/>
      <c r="AA14" s="98"/>
      <c r="AB14" s="88">
        <f t="shared" si="8"/>
        <v>0</v>
      </c>
      <c r="AC14" s="88">
        <f t="shared" si="35"/>
        <v>0</v>
      </c>
      <c r="AD14" s="88">
        <f t="shared" si="9"/>
        <v>0</v>
      </c>
      <c r="AE14" s="98"/>
      <c r="AF14" s="88">
        <f t="shared" si="10"/>
        <v>0</v>
      </c>
      <c r="AG14" s="88">
        <f t="shared" si="36"/>
        <v>0</v>
      </c>
      <c r="AH14" s="88">
        <f t="shared" si="11"/>
        <v>0</v>
      </c>
      <c r="AI14" s="98">
        <f>23*AI7</f>
        <v>5481.9350000000004</v>
      </c>
      <c r="AJ14" s="88">
        <f t="shared" si="12"/>
        <v>11.669471105284869</v>
      </c>
      <c r="AK14" s="88">
        <f t="shared" si="37"/>
        <v>41710.375</v>
      </c>
      <c r="AL14" s="88">
        <f t="shared" si="13"/>
        <v>0.21390324872266653</v>
      </c>
      <c r="AM14" s="10">
        <f t="shared" si="38"/>
        <v>5481.9350000000004</v>
      </c>
      <c r="AN14" s="88">
        <f t="shared" si="14"/>
        <v>11.669471105284869</v>
      </c>
      <c r="AO14" s="88">
        <f t="shared" si="39"/>
        <v>41710.375</v>
      </c>
      <c r="AP14" s="88">
        <f t="shared" si="15"/>
        <v>21.390324872266653</v>
      </c>
      <c r="AQ14" s="98">
        <f>145*AQ7</f>
        <v>36472.43</v>
      </c>
      <c r="AR14" s="88">
        <f t="shared" si="16"/>
        <v>77.639367855424226</v>
      </c>
      <c r="AS14" s="88">
        <f t="shared" si="40"/>
        <v>130043.07800000001</v>
      </c>
      <c r="AT14" s="88">
        <f t="shared" si="17"/>
        <v>66.689970680184786</v>
      </c>
      <c r="AU14" s="98"/>
      <c r="AV14" s="88">
        <f t="shared" si="18"/>
        <v>0</v>
      </c>
      <c r="AW14" s="88">
        <f t="shared" si="41"/>
        <v>0</v>
      </c>
      <c r="AX14" s="88">
        <f t="shared" si="19"/>
        <v>0</v>
      </c>
      <c r="AY14" s="98"/>
      <c r="AZ14" s="89">
        <f t="shared" si="20"/>
        <v>0</v>
      </c>
      <c r="BA14" s="88">
        <f t="shared" si="42"/>
        <v>0</v>
      </c>
      <c r="BB14" s="88">
        <f t="shared" si="21"/>
        <v>0</v>
      </c>
      <c r="BC14" s="88">
        <f t="shared" si="43"/>
        <v>36472.43</v>
      </c>
      <c r="BD14" s="88">
        <f t="shared" si="22"/>
        <v>77.639367855424226</v>
      </c>
      <c r="BE14" s="88">
        <f t="shared" si="44"/>
        <v>130043.07800000001</v>
      </c>
      <c r="BF14" s="88">
        <f t="shared" si="23"/>
        <v>66.689970680184786</v>
      </c>
      <c r="BG14" s="98">
        <v>0</v>
      </c>
      <c r="BH14" s="88">
        <f t="shared" si="24"/>
        <v>0</v>
      </c>
      <c r="BI14" s="88">
        <f t="shared" si="45"/>
        <v>0</v>
      </c>
      <c r="BJ14" s="88">
        <f t="shared" si="25"/>
        <v>0</v>
      </c>
      <c r="BK14" s="88">
        <f t="shared" si="26"/>
        <v>46976.722000000002</v>
      </c>
      <c r="BL14" s="88">
        <f t="shared" si="46"/>
        <v>194996.454</v>
      </c>
      <c r="BM14" s="503">
        <f t="shared" si="27"/>
        <v>1.1355262750785595</v>
      </c>
      <c r="BN14" s="88">
        <f t="shared" si="28"/>
        <v>0.99633370121708209</v>
      </c>
    </row>
    <row r="15" spans="1:66">
      <c r="A15" s="16">
        <f>+Chem!A14</f>
        <v>45844</v>
      </c>
      <c r="B15" s="6" t="str">
        <f>+Chem!B14</f>
        <v>Facial</v>
      </c>
      <c r="C15" s="16" t="str">
        <f>+Chem!C14</f>
        <v>13</v>
      </c>
      <c r="D15" s="8">
        <f>+Chem!D14</f>
        <v>43.295999999999999</v>
      </c>
      <c r="E15" s="7">
        <f>+Chem!E14</f>
        <v>42.210999999999999</v>
      </c>
      <c r="F15" s="7">
        <f t="shared" si="29"/>
        <v>237.92500000000001</v>
      </c>
      <c r="G15" s="98"/>
      <c r="H15" s="88">
        <f t="shared" si="0"/>
        <v>0</v>
      </c>
      <c r="I15" s="8">
        <f t="shared" si="30"/>
        <v>0</v>
      </c>
      <c r="J15" s="88">
        <f t="shared" si="1"/>
        <v>0</v>
      </c>
      <c r="K15" s="98">
        <f>20.5*K7</f>
        <v>4788.759</v>
      </c>
      <c r="L15" s="88">
        <f t="shared" si="2"/>
        <v>10.506567538535528</v>
      </c>
      <c r="M15" s="88">
        <f t="shared" si="31"/>
        <v>28031.760000000002</v>
      </c>
      <c r="N15" s="88">
        <f t="shared" si="3"/>
        <v>11.651975361347967</v>
      </c>
      <c r="O15" s="98"/>
      <c r="P15" s="88">
        <f t="shared" si="4"/>
        <v>0</v>
      </c>
      <c r="Q15" s="88">
        <f t="shared" si="32"/>
        <v>0</v>
      </c>
      <c r="R15" s="88">
        <f t="shared" si="5"/>
        <v>0</v>
      </c>
      <c r="S15" s="10">
        <f t="shared" si="33"/>
        <v>4788.759</v>
      </c>
      <c r="T15" s="88">
        <f t="shared" si="6"/>
        <v>10.506567538535528</v>
      </c>
      <c r="U15" s="88">
        <f t="shared" si="34"/>
        <v>28031.760000000002</v>
      </c>
      <c r="V15" s="88">
        <f t="shared" si="7"/>
        <v>11.651975361347967</v>
      </c>
      <c r="W15" s="98"/>
      <c r="X15" s="88"/>
      <c r="Y15" s="88"/>
      <c r="Z15" s="88"/>
      <c r="AA15" s="98"/>
      <c r="AB15" s="88">
        <f t="shared" si="8"/>
        <v>0</v>
      </c>
      <c r="AC15" s="88">
        <f t="shared" si="35"/>
        <v>0</v>
      </c>
      <c r="AD15" s="88">
        <f t="shared" si="9"/>
        <v>0</v>
      </c>
      <c r="AE15" s="98"/>
      <c r="AF15" s="88">
        <f t="shared" si="10"/>
        <v>0</v>
      </c>
      <c r="AG15" s="88">
        <f t="shared" si="36"/>
        <v>0</v>
      </c>
      <c r="AH15" s="88">
        <f t="shared" si="11"/>
        <v>0</v>
      </c>
      <c r="AI15" s="98">
        <f>35*AI7</f>
        <v>8342.0750000000007</v>
      </c>
      <c r="AJ15" s="88">
        <f t="shared" si="12"/>
        <v>18.302565319956333</v>
      </c>
      <c r="AK15" s="88">
        <f t="shared" si="37"/>
        <v>50052.45</v>
      </c>
      <c r="AL15" s="88">
        <f t="shared" si="13"/>
        <v>0.20805326321825707</v>
      </c>
      <c r="AM15" s="10">
        <f t="shared" si="38"/>
        <v>8342.0750000000007</v>
      </c>
      <c r="AN15" s="88">
        <f t="shared" si="14"/>
        <v>18.302565319956333</v>
      </c>
      <c r="AO15" s="88">
        <f t="shared" si="39"/>
        <v>50052.45</v>
      </c>
      <c r="AP15" s="88">
        <f t="shared" si="15"/>
        <v>20.805326321825707</v>
      </c>
      <c r="AQ15" s="98">
        <f>129*AQ7</f>
        <v>32447.885999999999</v>
      </c>
      <c r="AR15" s="88">
        <f t="shared" si="16"/>
        <v>71.190867141508136</v>
      </c>
      <c r="AS15" s="88">
        <f t="shared" si="40"/>
        <v>162490.96400000001</v>
      </c>
      <c r="AT15" s="88">
        <f t="shared" si="17"/>
        <v>67.542698316826318</v>
      </c>
      <c r="AU15" s="98"/>
      <c r="AV15" s="88">
        <f t="shared" si="18"/>
        <v>0</v>
      </c>
      <c r="AW15" s="88">
        <f t="shared" si="41"/>
        <v>0</v>
      </c>
      <c r="AX15" s="88">
        <f t="shared" si="19"/>
        <v>0</v>
      </c>
      <c r="AY15" s="98"/>
      <c r="AZ15" s="89">
        <f t="shared" si="20"/>
        <v>0</v>
      </c>
      <c r="BA15" s="88">
        <f t="shared" si="42"/>
        <v>0</v>
      </c>
      <c r="BB15" s="88">
        <f t="shared" si="21"/>
        <v>0</v>
      </c>
      <c r="BC15" s="88">
        <f t="shared" si="43"/>
        <v>32447.885999999999</v>
      </c>
      <c r="BD15" s="88">
        <f t="shared" si="22"/>
        <v>71.190867141508136</v>
      </c>
      <c r="BE15" s="88">
        <f t="shared" si="44"/>
        <v>162490.96400000001</v>
      </c>
      <c r="BF15" s="88">
        <f t="shared" si="23"/>
        <v>67.542698316826318</v>
      </c>
      <c r="BG15" s="98">
        <v>0</v>
      </c>
      <c r="BH15" s="88">
        <f t="shared" si="24"/>
        <v>0</v>
      </c>
      <c r="BI15" s="88">
        <f t="shared" si="45"/>
        <v>0</v>
      </c>
      <c r="BJ15" s="88">
        <f t="shared" si="25"/>
        <v>0</v>
      </c>
      <c r="BK15" s="88">
        <f t="shared" si="26"/>
        <v>45578.720000000001</v>
      </c>
      <c r="BL15" s="88">
        <f t="shared" si="46"/>
        <v>240575.174</v>
      </c>
      <c r="BM15" s="503">
        <f t="shared" si="27"/>
        <v>1.0797829949539222</v>
      </c>
      <c r="BN15" s="88">
        <f t="shared" si="28"/>
        <v>1.0111386949669012</v>
      </c>
    </row>
    <row r="16" spans="1:66">
      <c r="A16" s="16">
        <f>+Chem!A15</f>
        <v>45845</v>
      </c>
      <c r="B16" s="6" t="str">
        <f>+Chem!B15</f>
        <v>Facial/Toilet</v>
      </c>
      <c r="C16" s="16" t="str">
        <f>+Chem!C15</f>
        <v>13/13</v>
      </c>
      <c r="D16" s="8">
        <f>+Chem!D15</f>
        <v>42.278999999999996</v>
      </c>
      <c r="E16" s="7">
        <f>+Chem!E15</f>
        <v>40.351999999999997</v>
      </c>
      <c r="F16" s="7">
        <f t="shared" si="29"/>
        <v>278.27699999999999</v>
      </c>
      <c r="G16" s="98"/>
      <c r="H16" s="88">
        <f t="shared" si="0"/>
        <v>0</v>
      </c>
      <c r="I16" s="8">
        <f t="shared" si="30"/>
        <v>0</v>
      </c>
      <c r="J16" s="88">
        <f t="shared" si="1"/>
        <v>0</v>
      </c>
      <c r="K16" s="98">
        <f>20*K7</f>
        <v>4671.96</v>
      </c>
      <c r="L16" s="88">
        <f t="shared" si="2"/>
        <v>10.524840819430754</v>
      </c>
      <c r="M16" s="88">
        <f t="shared" si="31"/>
        <v>32703.72</v>
      </c>
      <c r="N16" s="88">
        <f t="shared" si="3"/>
        <v>11.476398292177722</v>
      </c>
      <c r="O16" s="98"/>
      <c r="P16" s="88">
        <f t="shared" si="4"/>
        <v>0</v>
      </c>
      <c r="Q16" s="88">
        <f t="shared" si="32"/>
        <v>0</v>
      </c>
      <c r="R16" s="88">
        <f t="shared" si="5"/>
        <v>0</v>
      </c>
      <c r="S16" s="10">
        <f t="shared" si="33"/>
        <v>4671.96</v>
      </c>
      <c r="T16" s="88">
        <f t="shared" si="6"/>
        <v>10.524840819430754</v>
      </c>
      <c r="U16" s="88">
        <f t="shared" si="34"/>
        <v>32703.72</v>
      </c>
      <c r="V16" s="88">
        <f t="shared" si="7"/>
        <v>11.476398292177722</v>
      </c>
      <c r="W16" s="98"/>
      <c r="X16" s="88"/>
      <c r="Y16" s="88"/>
      <c r="Z16" s="88"/>
      <c r="AA16" s="98"/>
      <c r="AB16" s="88">
        <f t="shared" si="8"/>
        <v>0</v>
      </c>
      <c r="AC16" s="88">
        <f t="shared" si="35"/>
        <v>0</v>
      </c>
      <c r="AD16" s="88">
        <f t="shared" si="9"/>
        <v>0</v>
      </c>
      <c r="AE16" s="98"/>
      <c r="AF16" s="88">
        <f t="shared" si="10"/>
        <v>0</v>
      </c>
      <c r="AG16" s="88">
        <f t="shared" si="36"/>
        <v>0</v>
      </c>
      <c r="AH16" s="88">
        <f t="shared" si="11"/>
        <v>0</v>
      </c>
      <c r="AI16" s="98">
        <f>40*AI7</f>
        <v>9533.7999999999993</v>
      </c>
      <c r="AJ16" s="88">
        <f t="shared" si="12"/>
        <v>21.47743717931851</v>
      </c>
      <c r="AK16" s="88">
        <f t="shared" si="37"/>
        <v>59586.25</v>
      </c>
      <c r="AL16" s="88">
        <f t="shared" si="13"/>
        <v>0.20910023010754578</v>
      </c>
      <c r="AM16" s="10">
        <f t="shared" si="38"/>
        <v>9533.7999999999993</v>
      </c>
      <c r="AN16" s="88">
        <f t="shared" si="14"/>
        <v>21.47743717931851</v>
      </c>
      <c r="AO16" s="88">
        <f t="shared" si="39"/>
        <v>59586.25</v>
      </c>
      <c r="AP16" s="88">
        <f t="shared" si="15"/>
        <v>20.910023010754578</v>
      </c>
      <c r="AQ16" s="98">
        <f>120*AQ7</f>
        <v>30184.079999999998</v>
      </c>
      <c r="AR16" s="88">
        <f t="shared" si="16"/>
        <v>67.997722001250736</v>
      </c>
      <c r="AS16" s="88">
        <f t="shared" si="40"/>
        <v>192675.04399999999</v>
      </c>
      <c r="AT16" s="88">
        <f t="shared" si="17"/>
        <v>67.613578697067709</v>
      </c>
      <c r="AU16" s="98"/>
      <c r="AV16" s="88">
        <f t="shared" si="18"/>
        <v>0</v>
      </c>
      <c r="AW16" s="88">
        <f t="shared" si="41"/>
        <v>0</v>
      </c>
      <c r="AX16" s="88">
        <f t="shared" si="19"/>
        <v>0</v>
      </c>
      <c r="AY16" s="98"/>
      <c r="AZ16" s="89">
        <f t="shared" si="20"/>
        <v>0</v>
      </c>
      <c r="BA16" s="88">
        <f t="shared" si="42"/>
        <v>0</v>
      </c>
      <c r="BB16" s="88">
        <f t="shared" si="21"/>
        <v>0</v>
      </c>
      <c r="BC16" s="88">
        <f t="shared" si="43"/>
        <v>30184.079999999998</v>
      </c>
      <c r="BD16" s="88">
        <f t="shared" si="22"/>
        <v>67.997722001250736</v>
      </c>
      <c r="BE16" s="88">
        <f t="shared" si="44"/>
        <v>192675.04399999999</v>
      </c>
      <c r="BF16" s="88">
        <f t="shared" si="23"/>
        <v>67.613578697067709</v>
      </c>
      <c r="BG16" s="98">
        <v>0</v>
      </c>
      <c r="BH16" s="88">
        <f t="shared" si="24"/>
        <v>0</v>
      </c>
      <c r="BI16" s="88">
        <f t="shared" si="45"/>
        <v>0</v>
      </c>
      <c r="BJ16" s="88">
        <f t="shared" si="25"/>
        <v>0</v>
      </c>
      <c r="BK16" s="88">
        <f t="shared" si="26"/>
        <v>44389.84</v>
      </c>
      <c r="BL16" s="88">
        <f t="shared" si="46"/>
        <v>284965.01399999997</v>
      </c>
      <c r="BM16" s="503">
        <f t="shared" si="27"/>
        <v>1.1000654242664554</v>
      </c>
      <c r="BN16" s="88">
        <f t="shared" si="28"/>
        <v>1.0240336571114392</v>
      </c>
    </row>
    <row r="17" spans="1:75">
      <c r="A17" s="16">
        <f>+Chem!A16</f>
        <v>45846</v>
      </c>
      <c r="B17" s="6" t="str">
        <f>+Chem!B16</f>
        <v>Toilet</v>
      </c>
      <c r="C17" s="16" t="str">
        <f>+Chem!C16</f>
        <v>13</v>
      </c>
      <c r="D17" s="8">
        <f>+Chem!D16</f>
        <v>42.275000000000006</v>
      </c>
      <c r="E17" s="7">
        <f>+Chem!E16</f>
        <v>38.69</v>
      </c>
      <c r="F17" s="7">
        <f t="shared" si="29"/>
        <v>316.96699999999998</v>
      </c>
      <c r="G17" s="98"/>
      <c r="H17" s="88">
        <f t="shared" si="0"/>
        <v>0</v>
      </c>
      <c r="I17" s="8">
        <f t="shared" si="30"/>
        <v>0</v>
      </c>
      <c r="J17" s="88">
        <f t="shared" si="1"/>
        <v>0</v>
      </c>
      <c r="K17" s="98">
        <f>20*K7</f>
        <v>4671.96</v>
      </c>
      <c r="L17" s="88">
        <f t="shared" si="2"/>
        <v>9.9127518661758565</v>
      </c>
      <c r="M17" s="88">
        <f t="shared" si="31"/>
        <v>37375.68</v>
      </c>
      <c r="N17" s="88">
        <f t="shared" si="3"/>
        <v>11.254486681338749</v>
      </c>
      <c r="O17" s="98"/>
      <c r="P17" s="88">
        <f t="shared" si="4"/>
        <v>0</v>
      </c>
      <c r="Q17" s="88">
        <f t="shared" si="32"/>
        <v>0</v>
      </c>
      <c r="R17" s="88">
        <f t="shared" si="5"/>
        <v>0</v>
      </c>
      <c r="S17" s="10">
        <f t="shared" si="33"/>
        <v>4671.96</v>
      </c>
      <c r="T17" s="88">
        <f t="shared" si="6"/>
        <v>9.9127518661758565</v>
      </c>
      <c r="U17" s="88">
        <f t="shared" si="34"/>
        <v>37375.68</v>
      </c>
      <c r="V17" s="88">
        <f t="shared" si="7"/>
        <v>11.254486681338749</v>
      </c>
      <c r="W17" s="98"/>
      <c r="X17" s="88"/>
      <c r="Y17" s="88"/>
      <c r="Z17" s="88"/>
      <c r="AA17" s="98"/>
      <c r="AB17" s="88">
        <f t="shared" si="8"/>
        <v>0</v>
      </c>
      <c r="AC17" s="88">
        <f t="shared" si="35"/>
        <v>0</v>
      </c>
      <c r="AD17" s="88">
        <f t="shared" si="9"/>
        <v>0</v>
      </c>
      <c r="AE17" s="98"/>
      <c r="AF17" s="88">
        <f t="shared" si="10"/>
        <v>0</v>
      </c>
      <c r="AG17" s="88">
        <f t="shared" si="36"/>
        <v>0</v>
      </c>
      <c r="AH17" s="88">
        <f t="shared" si="11"/>
        <v>0</v>
      </c>
      <c r="AI17" s="98">
        <f>51.5*AI7</f>
        <v>12274.7675</v>
      </c>
      <c r="AJ17" s="88">
        <f t="shared" si="12"/>
        <v>26.044042423843472</v>
      </c>
      <c r="AK17" s="88">
        <f t="shared" si="37"/>
        <v>71861.017500000002</v>
      </c>
      <c r="AL17" s="88">
        <f t="shared" si="13"/>
        <v>0.2163863946719366</v>
      </c>
      <c r="AM17" s="10">
        <f t="shared" si="38"/>
        <v>12274.7675</v>
      </c>
      <c r="AN17" s="88">
        <f t="shared" si="14"/>
        <v>26.044042423843472</v>
      </c>
      <c r="AO17" s="88">
        <f t="shared" si="39"/>
        <v>71861.017500000002</v>
      </c>
      <c r="AP17" s="88">
        <f t="shared" si="15"/>
        <v>21.638639467193659</v>
      </c>
      <c r="AQ17" s="98">
        <f>120*AQ7</f>
        <v>30184.079999999998</v>
      </c>
      <c r="AR17" s="88">
        <f t="shared" si="16"/>
        <v>64.043205709980683</v>
      </c>
      <c r="AS17" s="88">
        <f t="shared" si="40"/>
        <v>222859.12399999998</v>
      </c>
      <c r="AT17" s="88">
        <f t="shared" si="17"/>
        <v>67.106873851467597</v>
      </c>
      <c r="AU17" s="98"/>
      <c r="AV17" s="88">
        <f t="shared" si="18"/>
        <v>0</v>
      </c>
      <c r="AW17" s="88">
        <f t="shared" si="41"/>
        <v>0</v>
      </c>
      <c r="AX17" s="88">
        <f t="shared" si="19"/>
        <v>0</v>
      </c>
      <c r="AY17" s="98"/>
      <c r="AZ17" s="89">
        <f t="shared" si="20"/>
        <v>0</v>
      </c>
      <c r="BA17" s="88">
        <f t="shared" si="42"/>
        <v>0</v>
      </c>
      <c r="BB17" s="88">
        <f t="shared" si="21"/>
        <v>0</v>
      </c>
      <c r="BC17" s="88">
        <f t="shared" si="43"/>
        <v>30184.079999999998</v>
      </c>
      <c r="BD17" s="88">
        <f t="shared" si="22"/>
        <v>64.043205709980683</v>
      </c>
      <c r="BE17" s="88">
        <f t="shared" si="44"/>
        <v>222859.12399999998</v>
      </c>
      <c r="BF17" s="88">
        <f t="shared" si="23"/>
        <v>67.106873851467597</v>
      </c>
      <c r="BG17" s="98">
        <v>0</v>
      </c>
      <c r="BH17" s="88">
        <f t="shared" si="24"/>
        <v>0</v>
      </c>
      <c r="BI17" s="88">
        <f t="shared" si="45"/>
        <v>0</v>
      </c>
      <c r="BJ17" s="88">
        <f t="shared" si="25"/>
        <v>0</v>
      </c>
      <c r="BK17" s="88">
        <f t="shared" si="26"/>
        <v>47130.807499999995</v>
      </c>
      <c r="BL17" s="88">
        <f t="shared" si="46"/>
        <v>332095.82149999996</v>
      </c>
      <c r="BM17" s="503">
        <f t="shared" si="27"/>
        <v>1.2181650943396225</v>
      </c>
      <c r="BN17" s="88">
        <f t="shared" si="28"/>
        <v>1.0477299576927566</v>
      </c>
    </row>
    <row r="18" spans="1:75">
      <c r="A18" s="16">
        <f>+Chem!A17</f>
        <v>45847</v>
      </c>
      <c r="B18" s="6" t="str">
        <f>+Chem!B17</f>
        <v>Toilet</v>
      </c>
      <c r="C18" s="16" t="str">
        <f>+Chem!C17</f>
        <v>13</v>
      </c>
      <c r="D18" s="8">
        <f>+Chem!D17</f>
        <v>44.096000000000004</v>
      </c>
      <c r="E18" s="7">
        <f>+Chem!E17</f>
        <v>45.328000000000003</v>
      </c>
      <c r="F18" s="7">
        <f t="shared" si="29"/>
        <v>362.29499999999996</v>
      </c>
      <c r="G18" s="97"/>
      <c r="H18" s="10">
        <f t="shared" si="0"/>
        <v>0</v>
      </c>
      <c r="I18" s="8">
        <f t="shared" si="30"/>
        <v>0</v>
      </c>
      <c r="J18" s="10">
        <f t="shared" si="1"/>
        <v>0</v>
      </c>
      <c r="K18" s="97">
        <f>19*K7</f>
        <v>4438.3620000000001</v>
      </c>
      <c r="L18" s="10">
        <f t="shared" si="2"/>
        <v>9.6105522272451704</v>
      </c>
      <c r="M18" s="10">
        <f t="shared" si="31"/>
        <v>41814.042000000001</v>
      </c>
      <c r="N18" s="10">
        <f t="shared" si="3"/>
        <v>11.053786485640579</v>
      </c>
      <c r="O18" s="97"/>
      <c r="P18" s="10">
        <f t="shared" si="4"/>
        <v>0</v>
      </c>
      <c r="Q18" s="10">
        <f t="shared" si="32"/>
        <v>0</v>
      </c>
      <c r="R18" s="10">
        <f t="shared" si="5"/>
        <v>0</v>
      </c>
      <c r="S18" s="10">
        <f t="shared" si="33"/>
        <v>4438.3620000000001</v>
      </c>
      <c r="T18" s="10">
        <f t="shared" si="6"/>
        <v>9.6105522272451704</v>
      </c>
      <c r="U18" s="10">
        <f t="shared" si="34"/>
        <v>41814.042000000001</v>
      </c>
      <c r="V18" s="10">
        <f t="shared" si="7"/>
        <v>11.053786485640579</v>
      </c>
      <c r="W18" s="97"/>
      <c r="X18" s="10"/>
      <c r="Y18" s="10"/>
      <c r="Z18" s="10"/>
      <c r="AA18" s="97"/>
      <c r="AB18" s="10">
        <f t="shared" si="8"/>
        <v>0</v>
      </c>
      <c r="AC18" s="10">
        <f t="shared" si="35"/>
        <v>0</v>
      </c>
      <c r="AD18" s="10">
        <f t="shared" si="9"/>
        <v>0</v>
      </c>
      <c r="AE18" s="97"/>
      <c r="AF18" s="10">
        <f t="shared" si="10"/>
        <v>0</v>
      </c>
      <c r="AG18" s="10">
        <f t="shared" si="36"/>
        <v>0</v>
      </c>
      <c r="AH18" s="10">
        <f t="shared" si="11"/>
        <v>0</v>
      </c>
      <c r="AI18" s="97">
        <f>48.5*AI7</f>
        <v>11559.7325</v>
      </c>
      <c r="AJ18" s="10">
        <f t="shared" si="12"/>
        <v>25.03072370487882</v>
      </c>
      <c r="AK18" s="10">
        <f t="shared" si="37"/>
        <v>83420.75</v>
      </c>
      <c r="AL18" s="10">
        <f t="shared" si="13"/>
        <v>0.22052763016117918</v>
      </c>
      <c r="AM18" s="10">
        <f t="shared" si="38"/>
        <v>11559.7325</v>
      </c>
      <c r="AN18" s="10">
        <f t="shared" si="14"/>
        <v>25.03072370487882</v>
      </c>
      <c r="AO18" s="10">
        <f t="shared" si="39"/>
        <v>83420.75</v>
      </c>
      <c r="AP18" s="10">
        <f t="shared" si="15"/>
        <v>22.052763016117918</v>
      </c>
      <c r="AQ18" s="97">
        <f>120*AQ7</f>
        <v>30184.079999999998</v>
      </c>
      <c r="AR18" s="10">
        <f t="shared" si="16"/>
        <v>65.358724067876011</v>
      </c>
      <c r="AS18" s="10">
        <f t="shared" si="40"/>
        <v>253043.20399999997</v>
      </c>
      <c r="AT18" s="10">
        <f t="shared" si="17"/>
        <v>66.893450498241521</v>
      </c>
      <c r="AU18" s="97"/>
      <c r="AV18" s="10">
        <f t="shared" si="18"/>
        <v>0</v>
      </c>
      <c r="AW18" s="10">
        <f t="shared" si="41"/>
        <v>0</v>
      </c>
      <c r="AX18" s="10">
        <f t="shared" si="19"/>
        <v>0</v>
      </c>
      <c r="AY18" s="97"/>
      <c r="AZ18" s="15">
        <f t="shared" si="20"/>
        <v>0</v>
      </c>
      <c r="BA18" s="10">
        <f t="shared" si="42"/>
        <v>0</v>
      </c>
      <c r="BB18" s="10">
        <f t="shared" si="21"/>
        <v>0</v>
      </c>
      <c r="BC18" s="10">
        <f t="shared" si="43"/>
        <v>30184.079999999998</v>
      </c>
      <c r="BD18" s="10">
        <f t="shared" si="22"/>
        <v>65.358724067876011</v>
      </c>
      <c r="BE18" s="10">
        <f t="shared" si="44"/>
        <v>253043.20399999997</v>
      </c>
      <c r="BF18" s="10">
        <f t="shared" si="23"/>
        <v>66.893450498241521</v>
      </c>
      <c r="BG18" s="97">
        <v>0</v>
      </c>
      <c r="BH18" s="10">
        <f t="shared" si="24"/>
        <v>0</v>
      </c>
      <c r="BI18" s="10">
        <f t="shared" si="45"/>
        <v>0</v>
      </c>
      <c r="BJ18" s="10">
        <f t="shared" si="25"/>
        <v>0</v>
      </c>
      <c r="BK18" s="10">
        <f t="shared" si="26"/>
        <v>46182.174499999994</v>
      </c>
      <c r="BL18" s="10">
        <f t="shared" si="46"/>
        <v>378277.99599999993</v>
      </c>
      <c r="BM18" s="503">
        <f t="shared" si="27"/>
        <v>1.0188443015354747</v>
      </c>
      <c r="BN18" s="10">
        <f t="shared" si="28"/>
        <v>1.0441159717909438</v>
      </c>
    </row>
    <row r="19" spans="1:75">
      <c r="A19" s="16">
        <f>+Chem!A18</f>
        <v>45848</v>
      </c>
      <c r="B19" s="6" t="str">
        <f>+Chem!B18</f>
        <v>Toilet</v>
      </c>
      <c r="C19" s="16" t="str">
        <f>+Chem!C18</f>
        <v>13</v>
      </c>
      <c r="D19" s="8">
        <f>+Chem!D18</f>
        <v>42.021999999999998</v>
      </c>
      <c r="E19" s="7">
        <f>+Chem!E18</f>
        <v>43.484999999999999</v>
      </c>
      <c r="F19" s="7">
        <f t="shared" si="29"/>
        <v>405.78</v>
      </c>
      <c r="G19" s="97"/>
      <c r="H19" s="10">
        <f t="shared" si="0"/>
        <v>0</v>
      </c>
      <c r="I19" s="8">
        <f t="shared" si="30"/>
        <v>0</v>
      </c>
      <c r="J19" s="10">
        <f t="shared" si="1"/>
        <v>0</v>
      </c>
      <c r="K19" s="97">
        <f>18.5*K7</f>
        <v>4321.5630000000001</v>
      </c>
      <c r="L19" s="10">
        <f t="shared" si="2"/>
        <v>9.5125866977697946</v>
      </c>
      <c r="M19" s="10">
        <f t="shared" si="31"/>
        <v>46135.605000000003</v>
      </c>
      <c r="N19" s="10">
        <f t="shared" si="3"/>
        <v>10.888539115464589</v>
      </c>
      <c r="O19" s="97"/>
      <c r="P19" s="10">
        <f t="shared" si="4"/>
        <v>0</v>
      </c>
      <c r="Q19" s="10">
        <f t="shared" si="32"/>
        <v>0</v>
      </c>
      <c r="R19" s="10">
        <f t="shared" si="5"/>
        <v>0</v>
      </c>
      <c r="S19" s="10">
        <f t="shared" si="33"/>
        <v>4321.5630000000001</v>
      </c>
      <c r="T19" s="10">
        <f t="shared" si="6"/>
        <v>9.5125866977697946</v>
      </c>
      <c r="U19" s="10">
        <f t="shared" si="34"/>
        <v>46135.605000000003</v>
      </c>
      <c r="V19" s="10">
        <f t="shared" si="7"/>
        <v>10.888539115464589</v>
      </c>
      <c r="W19" s="97"/>
      <c r="X19" s="10"/>
      <c r="Y19" s="10"/>
      <c r="Z19" s="10"/>
      <c r="AA19" s="97"/>
      <c r="AB19" s="10">
        <f t="shared" si="8"/>
        <v>0</v>
      </c>
      <c r="AC19" s="10">
        <f t="shared" si="35"/>
        <v>0</v>
      </c>
      <c r="AD19" s="10">
        <f t="shared" si="9"/>
        <v>0</v>
      </c>
      <c r="AE19" s="97"/>
      <c r="AF19" s="10">
        <f t="shared" si="10"/>
        <v>0</v>
      </c>
      <c r="AG19" s="10">
        <f t="shared" si="36"/>
        <v>0</v>
      </c>
      <c r="AH19" s="10">
        <f t="shared" si="11"/>
        <v>0</v>
      </c>
      <c r="AI19" s="97">
        <f>49*AI7</f>
        <v>11678.905000000001</v>
      </c>
      <c r="AJ19" s="10">
        <f t="shared" si="12"/>
        <v>25.707503592454195</v>
      </c>
      <c r="AK19" s="10">
        <f t="shared" si="37"/>
        <v>95099.654999999999</v>
      </c>
      <c r="AL19" s="10">
        <f t="shared" si="13"/>
        <v>0.22444624132157526</v>
      </c>
      <c r="AM19" s="10">
        <f t="shared" si="38"/>
        <v>11678.905000000001</v>
      </c>
      <c r="AN19" s="10">
        <f t="shared" si="14"/>
        <v>25.707503592454195</v>
      </c>
      <c r="AO19" s="10">
        <f t="shared" si="39"/>
        <v>95099.654999999999</v>
      </c>
      <c r="AP19" s="10">
        <f t="shared" si="15"/>
        <v>22.444624132157525</v>
      </c>
      <c r="AQ19" s="97">
        <f>117*AQ7</f>
        <v>29429.477999999999</v>
      </c>
      <c r="AR19" s="10">
        <f t="shared" si="16"/>
        <v>64.779909709776021</v>
      </c>
      <c r="AS19" s="10">
        <f t="shared" si="40"/>
        <v>282472.68199999997</v>
      </c>
      <c r="AT19" s="10">
        <f t="shared" si="17"/>
        <v>66.666836752377904</v>
      </c>
      <c r="AU19" s="97"/>
      <c r="AV19" s="10">
        <f t="shared" si="18"/>
        <v>0</v>
      </c>
      <c r="AW19" s="10">
        <f t="shared" si="41"/>
        <v>0</v>
      </c>
      <c r="AX19" s="10">
        <f t="shared" si="19"/>
        <v>0</v>
      </c>
      <c r="AY19" s="97"/>
      <c r="AZ19" s="15">
        <f t="shared" si="20"/>
        <v>0</v>
      </c>
      <c r="BA19" s="10">
        <f t="shared" si="42"/>
        <v>0</v>
      </c>
      <c r="BB19" s="10">
        <f t="shared" si="21"/>
        <v>0</v>
      </c>
      <c r="BC19" s="10">
        <f t="shared" si="43"/>
        <v>29429.477999999999</v>
      </c>
      <c r="BD19" s="10">
        <f t="shared" si="22"/>
        <v>64.779909709776021</v>
      </c>
      <c r="BE19" s="10">
        <f t="shared" si="44"/>
        <v>282472.68199999997</v>
      </c>
      <c r="BF19" s="10">
        <f t="shared" si="23"/>
        <v>66.666836752377904</v>
      </c>
      <c r="BG19" s="97"/>
      <c r="BH19" s="10">
        <f t="shared" si="24"/>
        <v>0</v>
      </c>
      <c r="BI19" s="10">
        <f t="shared" si="45"/>
        <v>0</v>
      </c>
      <c r="BJ19" s="10">
        <f t="shared" si="25"/>
        <v>0</v>
      </c>
      <c r="BK19" s="10">
        <f t="shared" si="26"/>
        <v>45429.945999999996</v>
      </c>
      <c r="BL19" s="10">
        <f t="shared" si="46"/>
        <v>423707.94199999992</v>
      </c>
      <c r="BM19" s="503">
        <f t="shared" si="27"/>
        <v>1.0447268253420718</v>
      </c>
      <c r="BN19" s="10">
        <f t="shared" si="28"/>
        <v>1.0441814332889743</v>
      </c>
    </row>
    <row r="20" spans="1:75">
      <c r="A20" s="16">
        <f>+Chem!A19</f>
        <v>45849</v>
      </c>
      <c r="B20" s="6" t="str">
        <f>+Chem!B19</f>
        <v>Toilet</v>
      </c>
      <c r="C20" s="16" t="str">
        <f>+Chem!C19</f>
        <v>13</v>
      </c>
      <c r="D20" s="8">
        <f>+Chem!D19</f>
        <v>41.667999999999999</v>
      </c>
      <c r="E20" s="7">
        <f>+Chem!E19</f>
        <v>43.048000000000002</v>
      </c>
      <c r="F20" s="7">
        <f t="shared" si="29"/>
        <v>448.82799999999997</v>
      </c>
      <c r="G20" s="97"/>
      <c r="H20" s="10">
        <f t="shared" si="0"/>
        <v>0</v>
      </c>
      <c r="I20" s="8">
        <f t="shared" si="30"/>
        <v>0</v>
      </c>
      <c r="J20" s="10">
        <f t="shared" si="1"/>
        <v>0</v>
      </c>
      <c r="K20" s="97">
        <f>18.5*K7</f>
        <v>4321.5630000000001</v>
      </c>
      <c r="L20" s="10">
        <f t="shared" si="2"/>
        <v>9.6390126944381489</v>
      </c>
      <c r="M20" s="10">
        <f t="shared" si="31"/>
        <v>50457.168000000005</v>
      </c>
      <c r="N20" s="10">
        <f t="shared" si="3"/>
        <v>10.768973806811703</v>
      </c>
      <c r="O20" s="97"/>
      <c r="P20" s="10">
        <f t="shared" si="4"/>
        <v>0</v>
      </c>
      <c r="Q20" s="10">
        <f t="shared" si="32"/>
        <v>0</v>
      </c>
      <c r="R20" s="10">
        <f t="shared" si="5"/>
        <v>0</v>
      </c>
      <c r="S20" s="10">
        <f t="shared" si="33"/>
        <v>4321.5630000000001</v>
      </c>
      <c r="T20" s="10">
        <f t="shared" si="6"/>
        <v>9.6390126944381489</v>
      </c>
      <c r="U20" s="10">
        <f t="shared" si="34"/>
        <v>50457.168000000005</v>
      </c>
      <c r="V20" s="10">
        <f t="shared" si="7"/>
        <v>10.768973806811703</v>
      </c>
      <c r="W20" s="97"/>
      <c r="X20" s="10"/>
      <c r="Y20" s="10"/>
      <c r="Z20" s="10"/>
      <c r="AA20" s="97"/>
      <c r="AB20" s="10">
        <f t="shared" si="8"/>
        <v>0</v>
      </c>
      <c r="AC20" s="10">
        <f t="shared" si="35"/>
        <v>0</v>
      </c>
      <c r="AD20" s="10">
        <f t="shared" si="9"/>
        <v>0</v>
      </c>
      <c r="AE20" s="97"/>
      <c r="AF20" s="10">
        <f t="shared" si="10"/>
        <v>0</v>
      </c>
      <c r="AG20" s="10">
        <f t="shared" si="36"/>
        <v>0</v>
      </c>
      <c r="AH20" s="10">
        <f t="shared" si="11"/>
        <v>0</v>
      </c>
      <c r="AI20" s="97">
        <f>46.5*AI7</f>
        <v>11083.0425</v>
      </c>
      <c r="AJ20" s="10">
        <f t="shared" si="12"/>
        <v>24.720127266569417</v>
      </c>
      <c r="AK20" s="10">
        <f t="shared" si="37"/>
        <v>106182.69749999999</v>
      </c>
      <c r="AL20" s="10">
        <f t="shared" si="13"/>
        <v>0.2266236361331477</v>
      </c>
      <c r="AM20" s="10">
        <f t="shared" si="38"/>
        <v>11083.0425</v>
      </c>
      <c r="AN20" s="10">
        <f t="shared" si="14"/>
        <v>24.720127266569417</v>
      </c>
      <c r="AO20" s="10">
        <f t="shared" si="39"/>
        <v>106182.69749999999</v>
      </c>
      <c r="AP20" s="10">
        <f t="shared" si="15"/>
        <v>22.662363613314771</v>
      </c>
      <c r="AQ20" s="97">
        <f>117*AQ7</f>
        <v>29429.477999999999</v>
      </c>
      <c r="AR20" s="10">
        <f t="shared" si="16"/>
        <v>65.640860038992429</v>
      </c>
      <c r="AS20" s="10">
        <f t="shared" si="40"/>
        <v>311902.15999999997</v>
      </c>
      <c r="AT20" s="10">
        <f t="shared" si="17"/>
        <v>66.568662579873532</v>
      </c>
      <c r="AU20" s="97"/>
      <c r="AV20" s="10">
        <f t="shared" si="18"/>
        <v>0</v>
      </c>
      <c r="AW20" s="10">
        <f t="shared" si="41"/>
        <v>0</v>
      </c>
      <c r="AX20" s="10">
        <f t="shared" si="19"/>
        <v>0</v>
      </c>
      <c r="AY20" s="97"/>
      <c r="AZ20" s="15">
        <f t="shared" si="20"/>
        <v>0</v>
      </c>
      <c r="BA20" s="10">
        <f t="shared" si="42"/>
        <v>0</v>
      </c>
      <c r="BB20" s="10">
        <f t="shared" si="21"/>
        <v>0</v>
      </c>
      <c r="BC20" s="10">
        <f t="shared" si="43"/>
        <v>29429.477999999999</v>
      </c>
      <c r="BD20" s="10">
        <f t="shared" si="22"/>
        <v>65.640860038992429</v>
      </c>
      <c r="BE20" s="10">
        <f t="shared" si="44"/>
        <v>311902.15999999997</v>
      </c>
      <c r="BF20" s="10">
        <f t="shared" si="23"/>
        <v>66.568662579873532</v>
      </c>
      <c r="BG20" s="97"/>
      <c r="BH20" s="10">
        <f t="shared" si="24"/>
        <v>0</v>
      </c>
      <c r="BI20" s="10">
        <f t="shared" si="45"/>
        <v>0</v>
      </c>
      <c r="BJ20" s="10">
        <f t="shared" si="25"/>
        <v>0</v>
      </c>
      <c r="BK20" s="10">
        <f t="shared" si="26"/>
        <v>44834.083500000001</v>
      </c>
      <c r="BL20" s="10">
        <f t="shared" si="46"/>
        <v>468542.02549999993</v>
      </c>
      <c r="BM20" s="503">
        <f t="shared" si="27"/>
        <v>1.0414905105928265</v>
      </c>
      <c r="BN20" s="10">
        <f t="shared" si="28"/>
        <v>1.0439233414581977</v>
      </c>
    </row>
    <row r="21" spans="1:75">
      <c r="A21" s="16">
        <f>+Chem!A20</f>
        <v>45850</v>
      </c>
      <c r="B21" s="6" t="str">
        <f>+Chem!B20</f>
        <v>Toilet</v>
      </c>
      <c r="C21" s="16" t="str">
        <f>+Chem!C20</f>
        <v>13</v>
      </c>
      <c r="D21" s="8">
        <f>+Chem!D20</f>
        <v>46.683999999999997</v>
      </c>
      <c r="E21" s="7">
        <f>+Chem!E20</f>
        <v>43.52</v>
      </c>
      <c r="F21" s="7">
        <f t="shared" si="29"/>
        <v>492.34799999999996</v>
      </c>
      <c r="G21" s="97"/>
      <c r="H21" s="10">
        <f t="shared" si="0"/>
        <v>0</v>
      </c>
      <c r="I21" s="8">
        <f t="shared" si="30"/>
        <v>0</v>
      </c>
      <c r="J21" s="10">
        <f t="shared" si="1"/>
        <v>0</v>
      </c>
      <c r="K21" s="97">
        <f>19*K7</f>
        <v>4438.3620000000001</v>
      </c>
      <c r="L21" s="10">
        <f t="shared" si="2"/>
        <v>9.5042104093965545</v>
      </c>
      <c r="M21" s="10">
        <f t="shared" si="31"/>
        <v>54895.530000000006</v>
      </c>
      <c r="N21" s="10">
        <f t="shared" si="3"/>
        <v>10.654341874550832</v>
      </c>
      <c r="O21" s="97"/>
      <c r="P21" s="10">
        <f t="shared" si="4"/>
        <v>0</v>
      </c>
      <c r="Q21" s="10">
        <f t="shared" si="32"/>
        <v>0</v>
      </c>
      <c r="R21" s="10">
        <f t="shared" si="5"/>
        <v>0</v>
      </c>
      <c r="S21" s="10">
        <f t="shared" si="33"/>
        <v>4438.3620000000001</v>
      </c>
      <c r="T21" s="10">
        <f t="shared" si="6"/>
        <v>9.5042104093965545</v>
      </c>
      <c r="U21" s="10">
        <f t="shared" si="34"/>
        <v>54895.530000000006</v>
      </c>
      <c r="V21" s="10">
        <f t="shared" si="7"/>
        <v>10.654341874550832</v>
      </c>
      <c r="W21" s="97"/>
      <c r="X21" s="10"/>
      <c r="Y21" s="10"/>
      <c r="Z21" s="10"/>
      <c r="AA21" s="97"/>
      <c r="AB21" s="10">
        <f t="shared" si="8"/>
        <v>0</v>
      </c>
      <c r="AC21" s="10">
        <f t="shared" si="35"/>
        <v>0</v>
      </c>
      <c r="AD21" s="10">
        <f t="shared" si="9"/>
        <v>0</v>
      </c>
      <c r="AE21" s="97"/>
      <c r="AF21" s="10">
        <f t="shared" si="10"/>
        <v>0</v>
      </c>
      <c r="AG21" s="10">
        <f t="shared" si="36"/>
        <v>0</v>
      </c>
      <c r="AH21" s="10">
        <f t="shared" si="11"/>
        <v>0</v>
      </c>
      <c r="AI21" s="97">
        <f>57*AI7</f>
        <v>13585.664999999999</v>
      </c>
      <c r="AJ21" s="10">
        <f t="shared" si="12"/>
        <v>29.092043125723961</v>
      </c>
      <c r="AK21" s="10">
        <f t="shared" si="37"/>
        <v>119768.36249999999</v>
      </c>
      <c r="AL21" s="10">
        <f t="shared" si="13"/>
        <v>0.23245118133118187</v>
      </c>
      <c r="AM21" s="10">
        <f t="shared" si="38"/>
        <v>13585.664999999999</v>
      </c>
      <c r="AN21" s="10">
        <f t="shared" si="14"/>
        <v>29.092043125723961</v>
      </c>
      <c r="AO21" s="10">
        <f t="shared" si="39"/>
        <v>119768.36249999999</v>
      </c>
      <c r="AP21" s="10">
        <f t="shared" si="15"/>
        <v>23.245118133118186</v>
      </c>
      <c r="AQ21" s="97">
        <f>114*AQ7</f>
        <v>28674.876</v>
      </c>
      <c r="AR21" s="10">
        <f t="shared" si="16"/>
        <v>61.403746464879482</v>
      </c>
      <c r="AS21" s="10">
        <f t="shared" si="40"/>
        <v>340577.03599999996</v>
      </c>
      <c r="AT21" s="10">
        <f t="shared" si="17"/>
        <v>66.100539992330994</v>
      </c>
      <c r="AU21" s="97"/>
      <c r="AV21" s="10">
        <f t="shared" si="18"/>
        <v>0</v>
      </c>
      <c r="AW21" s="10">
        <f t="shared" si="41"/>
        <v>0</v>
      </c>
      <c r="AX21" s="10">
        <f t="shared" si="19"/>
        <v>0</v>
      </c>
      <c r="AY21" s="97"/>
      <c r="AZ21" s="15">
        <f t="shared" si="20"/>
        <v>0</v>
      </c>
      <c r="BA21" s="10">
        <f t="shared" si="42"/>
        <v>0</v>
      </c>
      <c r="BB21" s="10">
        <f t="shared" si="21"/>
        <v>0</v>
      </c>
      <c r="BC21" s="10">
        <f t="shared" si="43"/>
        <v>28674.876</v>
      </c>
      <c r="BD21" s="10">
        <f t="shared" si="22"/>
        <v>61.403746464879482</v>
      </c>
      <c r="BE21" s="10">
        <f t="shared" si="44"/>
        <v>340577.03599999996</v>
      </c>
      <c r="BF21" s="10">
        <f t="shared" si="23"/>
        <v>66.100539992330994</v>
      </c>
      <c r="BG21" s="97"/>
      <c r="BH21" s="10">
        <f t="shared" si="24"/>
        <v>0</v>
      </c>
      <c r="BI21" s="10">
        <f t="shared" si="45"/>
        <v>0</v>
      </c>
      <c r="BJ21" s="10">
        <f t="shared" si="25"/>
        <v>0</v>
      </c>
      <c r="BK21" s="10">
        <f t="shared" si="26"/>
        <v>46698.902999999998</v>
      </c>
      <c r="BL21" s="10">
        <f t="shared" si="46"/>
        <v>515240.92849999992</v>
      </c>
      <c r="BM21" s="503">
        <f t="shared" si="27"/>
        <v>1.0730446461397058</v>
      </c>
      <c r="BN21" s="10">
        <f t="shared" si="28"/>
        <v>1.0464974540365757</v>
      </c>
      <c r="BR21" s="14"/>
      <c r="BS21" s="14"/>
      <c r="BV21" s="14"/>
      <c r="BW21" s="14"/>
    </row>
    <row r="22" spans="1:75">
      <c r="A22" s="16">
        <f>+Chem!A21</f>
        <v>45851</v>
      </c>
      <c r="B22" s="6" t="str">
        <f>+Chem!B21</f>
        <v>Toilet</v>
      </c>
      <c r="C22" s="16" t="str">
        <f>+Chem!C21</f>
        <v>13/11,5</v>
      </c>
      <c r="D22" s="8">
        <f>+Chem!D21</f>
        <v>40.834000000000003</v>
      </c>
      <c r="E22" s="7">
        <f>+Chem!E21</f>
        <v>39.738</v>
      </c>
      <c r="F22" s="7">
        <f t="shared" si="29"/>
        <v>532.08600000000001</v>
      </c>
      <c r="G22" s="97"/>
      <c r="H22" s="10">
        <f t="shared" si="0"/>
        <v>0</v>
      </c>
      <c r="I22" s="8">
        <f t="shared" si="30"/>
        <v>0</v>
      </c>
      <c r="J22" s="10">
        <f t="shared" si="1"/>
        <v>0</v>
      </c>
      <c r="K22" s="97">
        <f>21*K7</f>
        <v>4905.558</v>
      </c>
      <c r="L22" s="10">
        <f t="shared" si="2"/>
        <v>11.155379500761795</v>
      </c>
      <c r="M22" s="10">
        <f t="shared" si="31"/>
        <v>59801.088000000003</v>
      </c>
      <c r="N22" s="10">
        <f t="shared" si="3"/>
        <v>10.693741764940427</v>
      </c>
      <c r="O22" s="97"/>
      <c r="P22" s="10">
        <f t="shared" si="4"/>
        <v>0</v>
      </c>
      <c r="Q22" s="10">
        <f t="shared" si="32"/>
        <v>0</v>
      </c>
      <c r="R22" s="10">
        <f t="shared" si="5"/>
        <v>0</v>
      </c>
      <c r="S22" s="10">
        <f t="shared" si="33"/>
        <v>4905.558</v>
      </c>
      <c r="T22" s="10">
        <f t="shared" si="6"/>
        <v>11.155379500761795</v>
      </c>
      <c r="U22" s="10">
        <f t="shared" si="34"/>
        <v>59801.088000000003</v>
      </c>
      <c r="V22" s="10">
        <f t="shared" si="7"/>
        <v>10.693741764940427</v>
      </c>
      <c r="W22" s="97"/>
      <c r="X22" s="10"/>
      <c r="Y22" s="10"/>
      <c r="Z22" s="10"/>
      <c r="AA22" s="97"/>
      <c r="AB22" s="10">
        <f t="shared" si="8"/>
        <v>0</v>
      </c>
      <c r="AC22" s="10">
        <f t="shared" si="35"/>
        <v>0</v>
      </c>
      <c r="AD22" s="10">
        <f t="shared" si="9"/>
        <v>0</v>
      </c>
      <c r="AE22" s="97"/>
      <c r="AF22" s="10">
        <f t="shared" si="10"/>
        <v>0</v>
      </c>
      <c r="AG22" s="10">
        <f t="shared" si="36"/>
        <v>0</v>
      </c>
      <c r="AH22" s="10">
        <f t="shared" si="11"/>
        <v>0</v>
      </c>
      <c r="AI22" s="97">
        <f>41.5*AI7</f>
        <v>9891.3174999999992</v>
      </c>
      <c r="AJ22" s="10">
        <f t="shared" si="12"/>
        <v>22.49313951135149</v>
      </c>
      <c r="AK22" s="10">
        <f t="shared" si="37"/>
        <v>129659.68</v>
      </c>
      <c r="AL22" s="10">
        <f t="shared" si="13"/>
        <v>0.23185985098545547</v>
      </c>
      <c r="AM22" s="10">
        <f t="shared" si="38"/>
        <v>9891.3174999999992</v>
      </c>
      <c r="AN22" s="10">
        <f t="shared" si="14"/>
        <v>22.49313951135149</v>
      </c>
      <c r="AO22" s="10">
        <f t="shared" si="39"/>
        <v>129659.68</v>
      </c>
      <c r="AP22" s="10">
        <f t="shared" si="15"/>
        <v>23.185985098545547</v>
      </c>
      <c r="AQ22" s="97">
        <f>116*AQ7</f>
        <v>29177.944</v>
      </c>
      <c r="AR22" s="10">
        <f t="shared" si="16"/>
        <v>66.351480987886717</v>
      </c>
      <c r="AS22" s="10">
        <f t="shared" si="40"/>
        <v>369754.98</v>
      </c>
      <c r="AT22" s="10">
        <f t="shared" si="17"/>
        <v>66.120273136514044</v>
      </c>
      <c r="AU22" s="97"/>
      <c r="AV22" s="10">
        <f t="shared" si="18"/>
        <v>0</v>
      </c>
      <c r="AW22" s="10">
        <f t="shared" si="41"/>
        <v>0</v>
      </c>
      <c r="AX22" s="10">
        <f t="shared" si="19"/>
        <v>0</v>
      </c>
      <c r="AY22" s="97"/>
      <c r="AZ22" s="15">
        <f t="shared" si="20"/>
        <v>0</v>
      </c>
      <c r="BA22" s="10">
        <f t="shared" si="42"/>
        <v>0</v>
      </c>
      <c r="BB22" s="10">
        <f t="shared" si="21"/>
        <v>0</v>
      </c>
      <c r="BC22" s="10">
        <f t="shared" si="43"/>
        <v>29177.944</v>
      </c>
      <c r="BD22" s="10">
        <f t="shared" si="22"/>
        <v>66.351480987886717</v>
      </c>
      <c r="BE22" s="10">
        <f t="shared" si="44"/>
        <v>369754.98</v>
      </c>
      <c r="BF22" s="10">
        <f t="shared" si="23"/>
        <v>66.120273136514044</v>
      </c>
      <c r="BG22" s="97"/>
      <c r="BH22" s="10">
        <f t="shared" si="24"/>
        <v>0</v>
      </c>
      <c r="BI22" s="10">
        <f t="shared" si="45"/>
        <v>0</v>
      </c>
      <c r="BJ22" s="10">
        <f t="shared" si="25"/>
        <v>0</v>
      </c>
      <c r="BK22" s="10">
        <f t="shared" si="26"/>
        <v>43974.819499999998</v>
      </c>
      <c r="BL22" s="10">
        <f t="shared" si="46"/>
        <v>559215.74799999991</v>
      </c>
      <c r="BM22" s="503">
        <f t="shared" si="27"/>
        <v>1.1066188409079469</v>
      </c>
      <c r="BN22" s="10">
        <f t="shared" si="28"/>
        <v>1.0509875245730951</v>
      </c>
      <c r="BR22" s="14"/>
      <c r="BS22" s="14"/>
      <c r="BV22" s="14"/>
      <c r="BW22" s="14"/>
    </row>
    <row r="23" spans="1:75">
      <c r="A23" s="16">
        <f>+Chem!A22</f>
        <v>45852</v>
      </c>
      <c r="B23" s="6" t="str">
        <f>+Chem!B22</f>
        <v>Facial</v>
      </c>
      <c r="C23" s="16" t="str">
        <f>+Chem!C22</f>
        <v>12</v>
      </c>
      <c r="D23" s="8">
        <f>+Chem!D22</f>
        <v>12.348000000000001</v>
      </c>
      <c r="E23" s="7">
        <f>+Chem!E22</f>
        <v>10.648999999999999</v>
      </c>
      <c r="F23" s="7">
        <f t="shared" si="29"/>
        <v>542.73500000000001</v>
      </c>
      <c r="G23" s="97"/>
      <c r="H23" s="10">
        <f t="shared" si="0"/>
        <v>0</v>
      </c>
      <c r="I23" s="8">
        <f t="shared" si="30"/>
        <v>0</v>
      </c>
      <c r="J23" s="10">
        <f t="shared" si="1"/>
        <v>0</v>
      </c>
      <c r="K23" s="97">
        <f>6*K7</f>
        <v>1401.5880000000002</v>
      </c>
      <c r="L23" s="10">
        <f t="shared" si="2"/>
        <v>10.524840819430754</v>
      </c>
      <c r="M23" s="10">
        <f t="shared" si="31"/>
        <v>61202.676000000007</v>
      </c>
      <c r="N23" s="10">
        <f t="shared" si="3"/>
        <v>10.689813175736514</v>
      </c>
      <c r="O23" s="97"/>
      <c r="P23" s="10">
        <f t="shared" si="4"/>
        <v>0</v>
      </c>
      <c r="Q23" s="10">
        <f t="shared" si="32"/>
        <v>0</v>
      </c>
      <c r="R23" s="10">
        <f t="shared" si="5"/>
        <v>0</v>
      </c>
      <c r="S23" s="10">
        <f t="shared" si="33"/>
        <v>1401.5880000000002</v>
      </c>
      <c r="T23" s="10">
        <f t="shared" si="6"/>
        <v>10.524840819430754</v>
      </c>
      <c r="U23" s="10">
        <f t="shared" si="34"/>
        <v>61202.676000000007</v>
      </c>
      <c r="V23" s="10">
        <f t="shared" si="7"/>
        <v>10.689813175736514</v>
      </c>
      <c r="W23" s="97"/>
      <c r="X23" s="10"/>
      <c r="Y23" s="10"/>
      <c r="Z23" s="10"/>
      <c r="AA23" s="97"/>
      <c r="AB23" s="10">
        <f t="shared" si="8"/>
        <v>0</v>
      </c>
      <c r="AC23" s="10">
        <f t="shared" si="35"/>
        <v>0</v>
      </c>
      <c r="AD23" s="10">
        <f t="shared" si="9"/>
        <v>0</v>
      </c>
      <c r="AE23" s="97"/>
      <c r="AF23" s="10">
        <f t="shared" si="10"/>
        <v>0</v>
      </c>
      <c r="AG23" s="10">
        <f t="shared" si="36"/>
        <v>0</v>
      </c>
      <c r="AH23" s="10">
        <f t="shared" si="11"/>
        <v>0</v>
      </c>
      <c r="AI23" s="97">
        <f>12*AI7</f>
        <v>2860.14</v>
      </c>
      <c r="AJ23" s="10">
        <f t="shared" si="12"/>
        <v>21.47743717931851</v>
      </c>
      <c r="AK23" s="10">
        <f t="shared" si="37"/>
        <v>132519.82</v>
      </c>
      <c r="AL23" s="10">
        <f t="shared" si="13"/>
        <v>0.23146244747243261</v>
      </c>
      <c r="AM23" s="10">
        <f t="shared" si="38"/>
        <v>2860.14</v>
      </c>
      <c r="AN23" s="10">
        <f t="shared" si="14"/>
        <v>21.47743717931851</v>
      </c>
      <c r="AO23" s="10">
        <f t="shared" si="39"/>
        <v>132519.82</v>
      </c>
      <c r="AP23" s="10">
        <f t="shared" si="15"/>
        <v>23.146244747243262</v>
      </c>
      <c r="AQ23" s="97">
        <f>36*AQ7</f>
        <v>9055.2240000000002</v>
      </c>
      <c r="AR23" s="10">
        <f t="shared" si="16"/>
        <v>67.997722001250722</v>
      </c>
      <c r="AS23" s="10">
        <f t="shared" si="40"/>
        <v>378810.20399999997</v>
      </c>
      <c r="AT23" s="10">
        <f t="shared" si="17"/>
        <v>66.163942077020238</v>
      </c>
      <c r="AU23" s="97"/>
      <c r="AV23" s="10">
        <f t="shared" si="18"/>
        <v>0</v>
      </c>
      <c r="AW23" s="10">
        <f t="shared" si="41"/>
        <v>0</v>
      </c>
      <c r="AX23" s="10">
        <f t="shared" si="19"/>
        <v>0</v>
      </c>
      <c r="AY23" s="97"/>
      <c r="AZ23" s="15">
        <f t="shared" si="20"/>
        <v>0</v>
      </c>
      <c r="BA23" s="10">
        <f t="shared" si="42"/>
        <v>0</v>
      </c>
      <c r="BB23" s="10">
        <f t="shared" si="21"/>
        <v>0</v>
      </c>
      <c r="BC23" s="10">
        <f t="shared" si="43"/>
        <v>9055.2240000000002</v>
      </c>
      <c r="BD23" s="10">
        <f t="shared" si="22"/>
        <v>67.997722001250722</v>
      </c>
      <c r="BE23" s="10">
        <f t="shared" si="44"/>
        <v>378810.20399999997</v>
      </c>
      <c r="BF23" s="10">
        <f t="shared" si="23"/>
        <v>66.163942077020238</v>
      </c>
      <c r="BG23" s="97"/>
      <c r="BH23" s="10">
        <f t="shared" si="24"/>
        <v>0</v>
      </c>
      <c r="BI23" s="10">
        <f t="shared" si="45"/>
        <v>0</v>
      </c>
      <c r="BJ23" s="10">
        <f t="shared" si="25"/>
        <v>0</v>
      </c>
      <c r="BK23" s="10">
        <f t="shared" si="26"/>
        <v>13316.952000000001</v>
      </c>
      <c r="BL23" s="10">
        <f t="shared" si="46"/>
        <v>572532.69999999995</v>
      </c>
      <c r="BM23" s="503">
        <f t="shared" si="27"/>
        <v>1.2505354493379661</v>
      </c>
      <c r="BN23" s="10">
        <f t="shared" si="28"/>
        <v>1.0549028531419569</v>
      </c>
      <c r="BV23" s="14"/>
      <c r="BW23" s="14"/>
    </row>
    <row r="24" spans="1:75">
      <c r="A24" s="16">
        <f>+Chem!A23</f>
        <v>45853</v>
      </c>
      <c r="B24" s="6" t="str">
        <f>+Chem!B23</f>
        <v>Facial</v>
      </c>
      <c r="C24" s="16" t="str">
        <f>+Chem!C23</f>
        <v>12/13</v>
      </c>
      <c r="D24" s="8">
        <f>+Chem!D23</f>
        <v>43.017000000000003</v>
      </c>
      <c r="E24" s="7">
        <f>+Chem!E23</f>
        <v>40.225999999999999</v>
      </c>
      <c r="F24" s="7">
        <f t="shared" si="29"/>
        <v>582.96100000000001</v>
      </c>
      <c r="G24" s="97"/>
      <c r="H24" s="10">
        <f t="shared" si="0"/>
        <v>0</v>
      </c>
      <c r="I24" s="8">
        <f t="shared" si="30"/>
        <v>0</v>
      </c>
      <c r="J24" s="10">
        <f t="shared" si="1"/>
        <v>0</v>
      </c>
      <c r="K24" s="97">
        <f>20.5*K7</f>
        <v>4788.759</v>
      </c>
      <c r="L24" s="10">
        <f t="shared" si="2"/>
        <v>10.524840819430752</v>
      </c>
      <c r="M24" s="10">
        <f t="shared" si="31"/>
        <v>65991.435000000012</v>
      </c>
      <c r="N24" s="10">
        <f t="shared" si="3"/>
        <v>10.677667897757694</v>
      </c>
      <c r="O24" s="97"/>
      <c r="P24" s="10">
        <f t="shared" si="4"/>
        <v>0</v>
      </c>
      <c r="Q24" s="10">
        <f t="shared" si="32"/>
        <v>0</v>
      </c>
      <c r="R24" s="10">
        <f t="shared" si="5"/>
        <v>0</v>
      </c>
      <c r="S24" s="10">
        <f t="shared" si="33"/>
        <v>4788.759</v>
      </c>
      <c r="T24" s="10">
        <f t="shared" si="6"/>
        <v>10.524840819430752</v>
      </c>
      <c r="U24" s="10">
        <f t="shared" si="34"/>
        <v>65991.435000000012</v>
      </c>
      <c r="V24" s="10">
        <f t="shared" si="7"/>
        <v>10.677667897757694</v>
      </c>
      <c r="W24" s="97"/>
      <c r="X24" s="10"/>
      <c r="Y24" s="10"/>
      <c r="Z24" s="10"/>
      <c r="AA24" s="97"/>
      <c r="AB24" s="10">
        <f t="shared" si="8"/>
        <v>0</v>
      </c>
      <c r="AC24" s="10">
        <f t="shared" si="35"/>
        <v>0</v>
      </c>
      <c r="AD24" s="10">
        <f t="shared" si="9"/>
        <v>0</v>
      </c>
      <c r="AE24" s="97"/>
      <c r="AF24" s="10">
        <f t="shared" si="10"/>
        <v>0</v>
      </c>
      <c r="AG24" s="10">
        <f t="shared" si="36"/>
        <v>0</v>
      </c>
      <c r="AH24" s="10">
        <f t="shared" si="11"/>
        <v>0</v>
      </c>
      <c r="AI24" s="97">
        <f>41*AI7</f>
        <v>9772.1450000000004</v>
      </c>
      <c r="AJ24" s="10">
        <f t="shared" si="12"/>
        <v>21.47743717931851</v>
      </c>
      <c r="AK24" s="10">
        <f t="shared" si="37"/>
        <v>142291.965</v>
      </c>
      <c r="AL24" s="10">
        <f t="shared" si="13"/>
        <v>0.23023387001500437</v>
      </c>
      <c r="AM24" s="10">
        <f t="shared" si="38"/>
        <v>9772.1450000000004</v>
      </c>
      <c r="AN24" s="10">
        <f t="shared" si="14"/>
        <v>21.47743717931851</v>
      </c>
      <c r="AO24" s="10">
        <f t="shared" si="39"/>
        <v>142291.965</v>
      </c>
      <c r="AP24" s="10">
        <f t="shared" si="15"/>
        <v>23.023387001500435</v>
      </c>
      <c r="AQ24" s="97">
        <f>123*AQ7</f>
        <v>30938.682000000001</v>
      </c>
      <c r="AR24" s="10">
        <f t="shared" si="16"/>
        <v>67.997722001250736</v>
      </c>
      <c r="AS24" s="10">
        <f t="shared" si="40"/>
        <v>409748.88599999994</v>
      </c>
      <c r="AT24" s="10">
        <f t="shared" si="17"/>
        <v>66.298945100741875</v>
      </c>
      <c r="AU24" s="97"/>
      <c r="AV24" s="10">
        <f t="shared" si="18"/>
        <v>0</v>
      </c>
      <c r="AW24" s="10">
        <f t="shared" si="41"/>
        <v>0</v>
      </c>
      <c r="AX24" s="10">
        <f t="shared" si="19"/>
        <v>0</v>
      </c>
      <c r="AY24" s="97"/>
      <c r="AZ24" s="15">
        <f t="shared" si="20"/>
        <v>0</v>
      </c>
      <c r="BA24" s="10">
        <f t="shared" si="42"/>
        <v>0</v>
      </c>
      <c r="BB24" s="10">
        <f t="shared" si="21"/>
        <v>0</v>
      </c>
      <c r="BC24" s="10">
        <f t="shared" si="43"/>
        <v>30938.682000000001</v>
      </c>
      <c r="BD24" s="10">
        <f t="shared" si="22"/>
        <v>67.997722001250736</v>
      </c>
      <c r="BE24" s="10">
        <f t="shared" si="44"/>
        <v>409748.88599999994</v>
      </c>
      <c r="BF24" s="10">
        <f t="shared" si="23"/>
        <v>66.298945100741875</v>
      </c>
      <c r="BG24" s="97"/>
      <c r="BH24" s="10">
        <f t="shared" si="24"/>
        <v>0</v>
      </c>
      <c r="BI24" s="10">
        <f t="shared" si="45"/>
        <v>0</v>
      </c>
      <c r="BJ24" s="10">
        <f t="shared" si="25"/>
        <v>0</v>
      </c>
      <c r="BK24" s="10">
        <f t="shared" si="26"/>
        <v>45499.586000000003</v>
      </c>
      <c r="BL24" s="10">
        <f t="shared" si="46"/>
        <v>618032.28599999996</v>
      </c>
      <c r="BM24" s="503">
        <f t="shared" si="27"/>
        <v>1.1310989409834435</v>
      </c>
      <c r="BN24" s="10">
        <f t="shared" si="28"/>
        <v>1.0601606042256686</v>
      </c>
      <c r="BV24" s="14"/>
      <c r="BW24" s="14"/>
    </row>
    <row r="25" spans="1:75">
      <c r="A25" s="16">
        <f>+Chem!A24</f>
        <v>45854</v>
      </c>
      <c r="B25" s="6" t="str">
        <f>+Chem!B24</f>
        <v>Facial</v>
      </c>
      <c r="C25" s="16" t="str">
        <f>+Chem!C24</f>
        <v>13</v>
      </c>
      <c r="D25" s="8">
        <f>+Chem!D24</f>
        <v>43.494</v>
      </c>
      <c r="E25" s="7">
        <f>+Chem!E24</f>
        <v>42.908999999999999</v>
      </c>
      <c r="F25" s="7">
        <f t="shared" si="29"/>
        <v>625.87</v>
      </c>
      <c r="G25" s="97"/>
      <c r="H25" s="10">
        <f t="shared" si="0"/>
        <v>0</v>
      </c>
      <c r="I25" s="8">
        <f t="shared" si="30"/>
        <v>0</v>
      </c>
      <c r="J25" s="10">
        <f t="shared" si="1"/>
        <v>0</v>
      </c>
      <c r="K25" s="97">
        <f>22*K7</f>
        <v>5139.1559999999999</v>
      </c>
      <c r="L25" s="10">
        <f t="shared" si="2"/>
        <v>10.524840819430754</v>
      </c>
      <c r="M25" s="10">
        <f t="shared" si="31"/>
        <v>71130.591000000015</v>
      </c>
      <c r="N25" s="10">
        <f t="shared" si="3"/>
        <v>10.666477611807354</v>
      </c>
      <c r="O25" s="97"/>
      <c r="P25" s="10">
        <f t="shared" si="4"/>
        <v>0</v>
      </c>
      <c r="Q25" s="10">
        <f t="shared" si="32"/>
        <v>0</v>
      </c>
      <c r="R25" s="10">
        <f t="shared" si="5"/>
        <v>0</v>
      </c>
      <c r="S25" s="10">
        <f t="shared" si="33"/>
        <v>5139.1559999999999</v>
      </c>
      <c r="T25" s="10">
        <f t="shared" si="6"/>
        <v>10.524840819430754</v>
      </c>
      <c r="U25" s="10">
        <f t="shared" si="34"/>
        <v>71130.591000000015</v>
      </c>
      <c r="V25" s="10">
        <f t="shared" si="7"/>
        <v>10.666477611807354</v>
      </c>
      <c r="W25" s="97"/>
      <c r="X25" s="10"/>
      <c r="Y25" s="10"/>
      <c r="Z25" s="10"/>
      <c r="AA25" s="97"/>
      <c r="AB25" s="10">
        <f t="shared" si="8"/>
        <v>0</v>
      </c>
      <c r="AC25" s="10">
        <f t="shared" si="35"/>
        <v>0</v>
      </c>
      <c r="AD25" s="10">
        <f t="shared" si="9"/>
        <v>0</v>
      </c>
      <c r="AE25" s="97"/>
      <c r="AF25" s="10">
        <f t="shared" si="10"/>
        <v>0</v>
      </c>
      <c r="AG25" s="10">
        <f t="shared" si="36"/>
        <v>0</v>
      </c>
      <c r="AH25" s="10">
        <f t="shared" si="11"/>
        <v>0</v>
      </c>
      <c r="AI25" s="97">
        <f>44*AI7</f>
        <v>10487.18</v>
      </c>
      <c r="AJ25" s="10">
        <f t="shared" si="12"/>
        <v>21.477437179318514</v>
      </c>
      <c r="AK25" s="10">
        <f t="shared" si="37"/>
        <v>152779.14499999999</v>
      </c>
      <c r="AL25" s="10">
        <f t="shared" si="13"/>
        <v>0.22910189649535867</v>
      </c>
      <c r="AM25" s="10">
        <f t="shared" si="38"/>
        <v>10487.18</v>
      </c>
      <c r="AN25" s="10">
        <f t="shared" si="14"/>
        <v>21.477437179318514</v>
      </c>
      <c r="AO25" s="10">
        <f t="shared" si="39"/>
        <v>152779.14499999999</v>
      </c>
      <c r="AP25" s="10">
        <f t="shared" si="15"/>
        <v>22.910189649535866</v>
      </c>
      <c r="AQ25" s="97">
        <f>132*AQ7</f>
        <v>33202.487999999998</v>
      </c>
      <c r="AR25" s="10">
        <f t="shared" si="16"/>
        <v>67.997722001250736</v>
      </c>
      <c r="AS25" s="10">
        <f t="shared" si="40"/>
        <v>442951.37399999995</v>
      </c>
      <c r="AT25" s="10">
        <f t="shared" si="17"/>
        <v>66.423332738656768</v>
      </c>
      <c r="AU25" s="97"/>
      <c r="AV25" s="10">
        <f t="shared" si="18"/>
        <v>0</v>
      </c>
      <c r="AW25" s="10">
        <f t="shared" si="41"/>
        <v>0</v>
      </c>
      <c r="AX25" s="10">
        <f t="shared" si="19"/>
        <v>0</v>
      </c>
      <c r="AY25" s="97"/>
      <c r="AZ25" s="15">
        <f t="shared" si="20"/>
        <v>0</v>
      </c>
      <c r="BA25" s="10">
        <f t="shared" si="42"/>
        <v>0</v>
      </c>
      <c r="BB25" s="10">
        <f t="shared" si="21"/>
        <v>0</v>
      </c>
      <c r="BC25" s="10">
        <f t="shared" si="43"/>
        <v>33202.487999999998</v>
      </c>
      <c r="BD25" s="10">
        <f t="shared" si="22"/>
        <v>67.997722001250736</v>
      </c>
      <c r="BE25" s="10">
        <f t="shared" si="44"/>
        <v>442951.37399999995</v>
      </c>
      <c r="BF25" s="10">
        <f t="shared" si="23"/>
        <v>66.423332738656768</v>
      </c>
      <c r="BG25" s="97"/>
      <c r="BH25" s="10">
        <f t="shared" si="24"/>
        <v>0</v>
      </c>
      <c r="BI25" s="10">
        <f t="shared" si="45"/>
        <v>0</v>
      </c>
      <c r="BJ25" s="10">
        <f t="shared" si="25"/>
        <v>0</v>
      </c>
      <c r="BK25" s="10">
        <f t="shared" si="26"/>
        <v>48828.823999999993</v>
      </c>
      <c r="BL25" s="10">
        <f t="shared" si="46"/>
        <v>666861.11</v>
      </c>
      <c r="BM25" s="503">
        <f t="shared" si="27"/>
        <v>1.137962292292992</v>
      </c>
      <c r="BN25" s="10">
        <f t="shared" si="28"/>
        <v>1.0654946075063512</v>
      </c>
      <c r="BV25" s="14"/>
      <c r="BW25" s="14"/>
    </row>
    <row r="26" spans="1:75">
      <c r="A26" s="16">
        <f>+Chem!A25</f>
        <v>45855</v>
      </c>
      <c r="B26" s="6" t="str">
        <f>+Chem!B25</f>
        <v>Facial</v>
      </c>
      <c r="C26" s="16" t="str">
        <f>+Chem!C25</f>
        <v>13</v>
      </c>
      <c r="D26" s="8">
        <f>+Chem!D25</f>
        <v>45.206000000000003</v>
      </c>
      <c r="E26" s="7">
        <f>+Chem!E25</f>
        <v>43.463000000000001</v>
      </c>
      <c r="F26" s="7">
        <f t="shared" si="29"/>
        <v>669.33299999999997</v>
      </c>
      <c r="G26" s="97"/>
      <c r="H26" s="10">
        <f t="shared" si="0"/>
        <v>0</v>
      </c>
      <c r="I26" s="8">
        <f t="shared" si="30"/>
        <v>0</v>
      </c>
      <c r="J26" s="10">
        <f t="shared" si="1"/>
        <v>0</v>
      </c>
      <c r="K26" s="97">
        <f>22.5*K7</f>
        <v>5255.9549999999999</v>
      </c>
      <c r="L26" s="10">
        <f t="shared" si="2"/>
        <v>10.524840819430754</v>
      </c>
      <c r="M26" s="10">
        <f t="shared" si="31"/>
        <v>76386.546000000017</v>
      </c>
      <c r="N26" s="10">
        <f t="shared" si="3"/>
        <v>10.656609947147301</v>
      </c>
      <c r="O26" s="97"/>
      <c r="P26" s="10">
        <f t="shared" si="4"/>
        <v>0</v>
      </c>
      <c r="Q26" s="10">
        <f t="shared" si="32"/>
        <v>0</v>
      </c>
      <c r="R26" s="10">
        <f t="shared" si="5"/>
        <v>0</v>
      </c>
      <c r="S26" s="10">
        <f t="shared" si="33"/>
        <v>5255.9549999999999</v>
      </c>
      <c r="T26" s="10">
        <f t="shared" si="6"/>
        <v>10.524840819430754</v>
      </c>
      <c r="U26" s="10">
        <f t="shared" si="34"/>
        <v>76386.546000000017</v>
      </c>
      <c r="V26" s="10">
        <f t="shared" si="7"/>
        <v>10.656609947147301</v>
      </c>
      <c r="W26" s="97"/>
      <c r="X26" s="10"/>
      <c r="Y26" s="10"/>
      <c r="Z26" s="10"/>
      <c r="AA26" s="97"/>
      <c r="AB26" s="10">
        <f t="shared" si="8"/>
        <v>0</v>
      </c>
      <c r="AC26" s="10">
        <f t="shared" si="35"/>
        <v>0</v>
      </c>
      <c r="AD26" s="10">
        <f t="shared" si="9"/>
        <v>0</v>
      </c>
      <c r="AE26" s="97"/>
      <c r="AF26" s="10">
        <f t="shared" si="10"/>
        <v>0</v>
      </c>
      <c r="AG26" s="10">
        <f t="shared" si="36"/>
        <v>0</v>
      </c>
      <c r="AH26" s="10">
        <f t="shared" si="11"/>
        <v>0</v>
      </c>
      <c r="AI26" s="97">
        <f>45*AI7</f>
        <v>10725.525</v>
      </c>
      <c r="AJ26" s="10">
        <f t="shared" si="12"/>
        <v>21.47743717931851</v>
      </c>
      <c r="AK26" s="10">
        <f t="shared" si="37"/>
        <v>163504.66999999998</v>
      </c>
      <c r="AL26" s="10">
        <f t="shared" si="13"/>
        <v>0.22810371511326569</v>
      </c>
      <c r="AM26" s="10">
        <f t="shared" si="38"/>
        <v>10725.525</v>
      </c>
      <c r="AN26" s="10">
        <f t="shared" si="14"/>
        <v>21.47743717931851</v>
      </c>
      <c r="AO26" s="10">
        <f t="shared" si="39"/>
        <v>163504.66999999998</v>
      </c>
      <c r="AP26" s="10">
        <f t="shared" si="15"/>
        <v>22.810371511326569</v>
      </c>
      <c r="AQ26" s="97">
        <f>135*AQ7</f>
        <v>33957.089999999997</v>
      </c>
      <c r="AR26" s="10">
        <f t="shared" si="16"/>
        <v>67.997722001250736</v>
      </c>
      <c r="AS26" s="10">
        <f t="shared" si="40"/>
        <v>476908.46399999992</v>
      </c>
      <c r="AT26" s="10">
        <f t="shared" si="17"/>
        <v>66.533018541526133</v>
      </c>
      <c r="AU26" s="97"/>
      <c r="AV26" s="10">
        <f t="shared" si="18"/>
        <v>0</v>
      </c>
      <c r="AW26" s="10">
        <f t="shared" si="41"/>
        <v>0</v>
      </c>
      <c r="AX26" s="10">
        <f t="shared" si="19"/>
        <v>0</v>
      </c>
      <c r="AY26" s="97"/>
      <c r="AZ26" s="15">
        <f t="shared" si="20"/>
        <v>0</v>
      </c>
      <c r="BA26" s="10">
        <f t="shared" si="42"/>
        <v>0</v>
      </c>
      <c r="BB26" s="10">
        <f t="shared" si="21"/>
        <v>0</v>
      </c>
      <c r="BC26" s="10">
        <f t="shared" si="43"/>
        <v>33957.089999999997</v>
      </c>
      <c r="BD26" s="10">
        <f t="shared" si="22"/>
        <v>67.997722001250736</v>
      </c>
      <c r="BE26" s="10">
        <f t="shared" si="44"/>
        <v>476908.46399999992</v>
      </c>
      <c r="BF26" s="10">
        <f t="shared" si="23"/>
        <v>66.533018541526133</v>
      </c>
      <c r="BG26" s="97"/>
      <c r="BH26" s="10">
        <f t="shared" si="24"/>
        <v>0</v>
      </c>
      <c r="BI26" s="10">
        <f t="shared" si="45"/>
        <v>0</v>
      </c>
      <c r="BJ26" s="10">
        <f t="shared" si="25"/>
        <v>0</v>
      </c>
      <c r="BK26" s="10">
        <f t="shared" si="26"/>
        <v>49938.569999999992</v>
      </c>
      <c r="BL26" s="10">
        <f t="shared" si="46"/>
        <v>716799.67999999993</v>
      </c>
      <c r="BM26" s="503">
        <f t="shared" si="27"/>
        <v>1.1489904056323768</v>
      </c>
      <c r="BN26" s="10">
        <f t="shared" si="28"/>
        <v>1.0709163898986005</v>
      </c>
      <c r="BP26" s="14"/>
      <c r="BV26" s="14"/>
    </row>
    <row r="27" spans="1:75">
      <c r="A27" s="16">
        <f>+Chem!A26</f>
        <v>45856</v>
      </c>
      <c r="B27" s="6" t="str">
        <f>+Chem!B26</f>
        <v>Facial/Toilet</v>
      </c>
      <c r="C27" s="16" t="str">
        <f>+Chem!C26</f>
        <v>13/15</v>
      </c>
      <c r="D27" s="8">
        <f>+Chem!D26</f>
        <v>45.74</v>
      </c>
      <c r="E27" s="7">
        <f>+Chem!E26</f>
        <v>45.875999999999998</v>
      </c>
      <c r="F27" s="7">
        <f t="shared" si="29"/>
        <v>715.20899999999995</v>
      </c>
      <c r="G27" s="97"/>
      <c r="H27" s="10">
        <f t="shared" si="0"/>
        <v>0</v>
      </c>
      <c r="I27" s="8">
        <f t="shared" si="30"/>
        <v>0</v>
      </c>
      <c r="J27" s="10">
        <f t="shared" si="1"/>
        <v>0</v>
      </c>
      <c r="K27" s="97">
        <f>23.5*K7</f>
        <v>5489.5529999999999</v>
      </c>
      <c r="L27" s="10">
        <f t="shared" si="2"/>
        <v>10.522180117935067</v>
      </c>
      <c r="M27" s="10">
        <f t="shared" si="31"/>
        <v>81876.099000000017</v>
      </c>
      <c r="N27" s="10">
        <f t="shared" si="3"/>
        <v>10.647489482277974</v>
      </c>
      <c r="O27" s="97"/>
      <c r="P27" s="10">
        <f t="shared" si="4"/>
        <v>0</v>
      </c>
      <c r="Q27" s="10">
        <f t="shared" si="32"/>
        <v>0</v>
      </c>
      <c r="R27" s="10">
        <f t="shared" si="5"/>
        <v>0</v>
      </c>
      <c r="S27" s="10">
        <f t="shared" si="33"/>
        <v>5489.5529999999999</v>
      </c>
      <c r="T27" s="10">
        <f t="shared" si="6"/>
        <v>10.522180117935067</v>
      </c>
      <c r="U27" s="10">
        <f t="shared" si="34"/>
        <v>81876.099000000017</v>
      </c>
      <c r="V27" s="10">
        <f t="shared" si="7"/>
        <v>10.647489482277974</v>
      </c>
      <c r="W27" s="97"/>
      <c r="X27" s="10"/>
      <c r="Y27" s="10"/>
      <c r="Z27" s="10"/>
      <c r="AA27" s="97"/>
      <c r="AB27" s="10">
        <f t="shared" si="8"/>
        <v>0</v>
      </c>
      <c r="AC27" s="10">
        <f t="shared" si="35"/>
        <v>0</v>
      </c>
      <c r="AD27" s="10">
        <f t="shared" si="9"/>
        <v>0</v>
      </c>
      <c r="AE27" s="97"/>
      <c r="AF27" s="10">
        <f t="shared" si="10"/>
        <v>0</v>
      </c>
      <c r="AG27" s="10">
        <f t="shared" si="36"/>
        <v>0</v>
      </c>
      <c r="AH27" s="10">
        <f t="shared" si="11"/>
        <v>0</v>
      </c>
      <c r="AI27" s="97">
        <f>46*AI7</f>
        <v>10963.87</v>
      </c>
      <c r="AJ27" s="10">
        <f t="shared" si="12"/>
        <v>21.015156412484721</v>
      </c>
      <c r="AK27" s="10">
        <f t="shared" si="37"/>
        <v>174468.53999999998</v>
      </c>
      <c r="AL27" s="10">
        <f t="shared" si="13"/>
        <v>0.22688574166661182</v>
      </c>
      <c r="AM27" s="10">
        <f t="shared" si="38"/>
        <v>10963.87</v>
      </c>
      <c r="AN27" s="10">
        <f t="shared" si="14"/>
        <v>21.015156412484721</v>
      </c>
      <c r="AO27" s="10">
        <f t="shared" si="39"/>
        <v>174468.53999999998</v>
      </c>
      <c r="AP27" s="10">
        <f t="shared" si="15"/>
        <v>22.688574166661184</v>
      </c>
      <c r="AQ27" s="97">
        <f>142*AQ7</f>
        <v>35717.828000000001</v>
      </c>
      <c r="AR27" s="10">
        <f t="shared" si="16"/>
        <v>68.462663469580207</v>
      </c>
      <c r="AS27" s="10">
        <f t="shared" si="40"/>
        <v>512626.2919999999</v>
      </c>
      <c r="AT27" s="10">
        <f t="shared" si="17"/>
        <v>66.66393635106084</v>
      </c>
      <c r="AU27" s="97"/>
      <c r="AV27" s="10">
        <f t="shared" si="18"/>
        <v>0</v>
      </c>
      <c r="AW27" s="10">
        <f t="shared" si="41"/>
        <v>0</v>
      </c>
      <c r="AX27" s="10">
        <f t="shared" si="19"/>
        <v>0</v>
      </c>
      <c r="AY27" s="97"/>
      <c r="AZ27" s="15">
        <f t="shared" si="20"/>
        <v>0</v>
      </c>
      <c r="BA27" s="10">
        <f t="shared" si="42"/>
        <v>0</v>
      </c>
      <c r="BB27" s="10">
        <f t="shared" si="21"/>
        <v>0</v>
      </c>
      <c r="BC27" s="10">
        <f t="shared" si="43"/>
        <v>35717.828000000001</v>
      </c>
      <c r="BD27" s="10">
        <f t="shared" si="22"/>
        <v>68.462663469580207</v>
      </c>
      <c r="BE27" s="10">
        <f t="shared" si="44"/>
        <v>512626.2919999999</v>
      </c>
      <c r="BF27" s="10">
        <f t="shared" si="23"/>
        <v>66.66393635106084</v>
      </c>
      <c r="BG27" s="97"/>
      <c r="BH27" s="10">
        <f t="shared" si="24"/>
        <v>0</v>
      </c>
      <c r="BI27" s="10">
        <f t="shared" si="45"/>
        <v>0</v>
      </c>
      <c r="BJ27" s="10">
        <f t="shared" si="25"/>
        <v>0</v>
      </c>
      <c r="BK27" s="10">
        <f t="shared" si="26"/>
        <v>52171.251000000004</v>
      </c>
      <c r="BL27" s="10">
        <f t="shared" si="46"/>
        <v>768970.93099999998</v>
      </c>
      <c r="BM27" s="503">
        <f t="shared" si="27"/>
        <v>1.1372231885953441</v>
      </c>
      <c r="BN27" s="10">
        <f t="shared" si="28"/>
        <v>1.075169539253561</v>
      </c>
      <c r="BV27" s="14"/>
    </row>
    <row r="28" spans="1:75">
      <c r="A28" s="16">
        <f>+Chem!A27</f>
        <v>45857</v>
      </c>
      <c r="B28" s="6" t="str">
        <f>+Chem!B27</f>
        <v>Toilet</v>
      </c>
      <c r="C28" s="16" t="str">
        <f>+Chem!C27</f>
        <v>15/12,5</v>
      </c>
      <c r="D28" s="8">
        <f>+Chem!D27</f>
        <v>46.280999999999999</v>
      </c>
      <c r="E28" s="7">
        <f>+Chem!E27</f>
        <v>46.088000000000001</v>
      </c>
      <c r="F28" s="7">
        <f t="shared" si="29"/>
        <v>761.29699999999991</v>
      </c>
      <c r="G28" s="97"/>
      <c r="H28" s="10">
        <f t="shared" si="0"/>
        <v>0</v>
      </c>
      <c r="I28" s="8">
        <f t="shared" si="30"/>
        <v>0</v>
      </c>
      <c r="J28" s="10">
        <f t="shared" si="1"/>
        <v>0</v>
      </c>
      <c r="K28" s="97">
        <f>24*K7</f>
        <v>5606.3520000000008</v>
      </c>
      <c r="L28" s="10">
        <f t="shared" si="2"/>
        <v>10.511827285059052</v>
      </c>
      <c r="M28" s="10">
        <f t="shared" si="31"/>
        <v>87482.451000000015</v>
      </c>
      <c r="N28" s="10">
        <f t="shared" si="3"/>
        <v>10.638690585398637</v>
      </c>
      <c r="O28" s="97"/>
      <c r="P28" s="10">
        <f t="shared" si="4"/>
        <v>0</v>
      </c>
      <c r="Q28" s="10">
        <f t="shared" si="32"/>
        <v>0</v>
      </c>
      <c r="R28" s="10">
        <f t="shared" si="5"/>
        <v>0</v>
      </c>
      <c r="S28" s="10">
        <f t="shared" si="33"/>
        <v>5606.3520000000008</v>
      </c>
      <c r="T28" s="10">
        <f t="shared" si="6"/>
        <v>10.511827285059052</v>
      </c>
      <c r="U28" s="10">
        <f t="shared" si="34"/>
        <v>87482.451000000015</v>
      </c>
      <c r="V28" s="10">
        <f t="shared" si="7"/>
        <v>10.638690585398637</v>
      </c>
      <c r="W28" s="97"/>
      <c r="X28" s="10"/>
      <c r="Y28" s="10"/>
      <c r="Z28" s="10"/>
      <c r="AA28" s="97"/>
      <c r="AB28" s="10">
        <f t="shared" si="8"/>
        <v>0</v>
      </c>
      <c r="AC28" s="10">
        <f t="shared" si="35"/>
        <v>0</v>
      </c>
      <c r="AD28" s="10">
        <f t="shared" si="9"/>
        <v>0</v>
      </c>
      <c r="AE28" s="97"/>
      <c r="AF28" s="10">
        <f t="shared" si="10"/>
        <v>0</v>
      </c>
      <c r="AG28" s="10">
        <f t="shared" si="36"/>
        <v>0</v>
      </c>
      <c r="AH28" s="10">
        <f t="shared" si="11"/>
        <v>0</v>
      </c>
      <c r="AI28" s="97">
        <f>43*AI7</f>
        <v>10248.834999999999</v>
      </c>
      <c r="AJ28" s="10">
        <f t="shared" si="12"/>
        <v>19.216414415839065</v>
      </c>
      <c r="AK28" s="10">
        <f t="shared" si="37"/>
        <v>184717.37499999997</v>
      </c>
      <c r="AL28" s="10">
        <f t="shared" si="13"/>
        <v>0.22463373807074163</v>
      </c>
      <c r="AM28" s="10">
        <f t="shared" si="38"/>
        <v>10248.834999999999</v>
      </c>
      <c r="AN28" s="10">
        <f t="shared" si="14"/>
        <v>19.216414415839065</v>
      </c>
      <c r="AO28" s="10">
        <f t="shared" si="39"/>
        <v>184717.37499999997</v>
      </c>
      <c r="AP28" s="10">
        <f t="shared" si="15"/>
        <v>22.463373807074163</v>
      </c>
      <c r="AQ28" s="97">
        <f>149*AQ7</f>
        <v>37478.565999999999</v>
      </c>
      <c r="AR28" s="10">
        <f t="shared" si="16"/>
        <v>70.27175829910189</v>
      </c>
      <c r="AS28" s="10">
        <f t="shared" si="40"/>
        <v>550104.85799999989</v>
      </c>
      <c r="AT28" s="10">
        <f t="shared" si="17"/>
        <v>66.897935607527188</v>
      </c>
      <c r="AU28" s="97"/>
      <c r="AV28" s="10">
        <f t="shared" si="18"/>
        <v>0</v>
      </c>
      <c r="AW28" s="10">
        <f t="shared" si="41"/>
        <v>0</v>
      </c>
      <c r="AX28" s="10">
        <f t="shared" si="19"/>
        <v>0</v>
      </c>
      <c r="AY28" s="97"/>
      <c r="AZ28" s="15">
        <f t="shared" si="20"/>
        <v>0</v>
      </c>
      <c r="BA28" s="10">
        <f t="shared" si="42"/>
        <v>0</v>
      </c>
      <c r="BB28" s="10">
        <f t="shared" si="21"/>
        <v>0</v>
      </c>
      <c r="BC28" s="10">
        <f t="shared" si="43"/>
        <v>37478.565999999999</v>
      </c>
      <c r="BD28" s="10">
        <f t="shared" si="22"/>
        <v>70.27175829910189</v>
      </c>
      <c r="BE28" s="10">
        <f t="shared" si="44"/>
        <v>550104.85799999989</v>
      </c>
      <c r="BF28" s="10">
        <f t="shared" si="23"/>
        <v>66.897935607527188</v>
      </c>
      <c r="BG28" s="97"/>
      <c r="BH28" s="10">
        <f t="shared" si="24"/>
        <v>0</v>
      </c>
      <c r="BI28" s="10">
        <f t="shared" si="45"/>
        <v>0</v>
      </c>
      <c r="BJ28" s="10">
        <f t="shared" si="25"/>
        <v>0</v>
      </c>
      <c r="BK28" s="10">
        <f t="shared" si="26"/>
        <v>53333.752999999997</v>
      </c>
      <c r="BL28" s="10">
        <f t="shared" si="46"/>
        <v>822304.68400000001</v>
      </c>
      <c r="BM28" s="503">
        <f t="shared" si="27"/>
        <v>1.1572156092692238</v>
      </c>
      <c r="BN28" s="10">
        <f t="shared" si="28"/>
        <v>1.0801365091416359</v>
      </c>
      <c r="BV28" s="14"/>
    </row>
    <row r="29" spans="1:75">
      <c r="A29" s="16">
        <f>+Chem!A28</f>
        <v>45858</v>
      </c>
      <c r="B29" s="6" t="str">
        <f>+Chem!B28</f>
        <v>Toilet</v>
      </c>
      <c r="C29" s="16" t="str">
        <f>+Chem!C28</f>
        <v>12,5</v>
      </c>
      <c r="D29" s="8">
        <f>+Chem!D28</f>
        <v>44.621000000000002</v>
      </c>
      <c r="E29" s="7">
        <f>+Chem!E28</f>
        <v>44.429000000000002</v>
      </c>
      <c r="F29" s="7">
        <f t="shared" si="29"/>
        <v>805.72599999999989</v>
      </c>
      <c r="G29" s="97"/>
      <c r="H29" s="10">
        <f t="shared" si="0"/>
        <v>0</v>
      </c>
      <c r="I29" s="8">
        <f t="shared" si="30"/>
        <v>0</v>
      </c>
      <c r="J29" s="10">
        <f t="shared" si="1"/>
        <v>0</v>
      </c>
      <c r="K29" s="97">
        <f>22.5*K7</f>
        <v>5255.9549999999999</v>
      </c>
      <c r="L29" s="10">
        <f t="shared" si="2"/>
        <v>10.499883223757843</v>
      </c>
      <c r="M29" s="10">
        <f t="shared" si="31"/>
        <v>92738.406000000017</v>
      </c>
      <c r="N29" s="10">
        <f t="shared" si="3"/>
        <v>10.630725637272894</v>
      </c>
      <c r="O29" s="97"/>
      <c r="P29" s="10">
        <f t="shared" si="4"/>
        <v>0</v>
      </c>
      <c r="Q29" s="10">
        <f t="shared" si="32"/>
        <v>0</v>
      </c>
      <c r="R29" s="10">
        <f t="shared" si="5"/>
        <v>0</v>
      </c>
      <c r="S29" s="10">
        <f t="shared" si="33"/>
        <v>5255.9549999999999</v>
      </c>
      <c r="T29" s="10">
        <f t="shared" si="6"/>
        <v>10.499883223757843</v>
      </c>
      <c r="U29" s="10">
        <f t="shared" si="34"/>
        <v>92738.406000000017</v>
      </c>
      <c r="V29" s="10">
        <f t="shared" si="7"/>
        <v>10.630725637272894</v>
      </c>
      <c r="W29" s="97"/>
      <c r="X29" s="10"/>
      <c r="Y29" s="10"/>
      <c r="Z29" s="10"/>
      <c r="AA29" s="97"/>
      <c r="AB29" s="10">
        <f t="shared" si="8"/>
        <v>0</v>
      </c>
      <c r="AC29" s="10">
        <f t="shared" si="35"/>
        <v>0</v>
      </c>
      <c r="AD29" s="10">
        <f t="shared" si="9"/>
        <v>0</v>
      </c>
      <c r="AE29" s="97"/>
      <c r="AF29" s="10">
        <f t="shared" si="10"/>
        <v>0</v>
      </c>
      <c r="AG29" s="10">
        <f t="shared" si="36"/>
        <v>0</v>
      </c>
      <c r="AH29" s="10">
        <f t="shared" si="11"/>
        <v>0</v>
      </c>
      <c r="AI29" s="97">
        <f>36*AI7</f>
        <v>8580.42</v>
      </c>
      <c r="AJ29" s="10">
        <f t="shared" si="12"/>
        <v>17.141206119686387</v>
      </c>
      <c r="AK29" s="10">
        <f t="shared" si="37"/>
        <v>193297.79499999998</v>
      </c>
      <c r="AL29" s="10">
        <f t="shared" si="13"/>
        <v>0.2215798085784243</v>
      </c>
      <c r="AM29" s="10">
        <f t="shared" si="38"/>
        <v>8580.42</v>
      </c>
      <c r="AN29" s="10">
        <f t="shared" si="14"/>
        <v>17.141206119686387</v>
      </c>
      <c r="AO29" s="10">
        <f t="shared" si="39"/>
        <v>193297.79499999998</v>
      </c>
      <c r="AP29" s="10">
        <f t="shared" si="15"/>
        <v>22.157980857842428</v>
      </c>
      <c r="AQ29" s="97">
        <f>144*AQ7</f>
        <v>36220.896000000001</v>
      </c>
      <c r="AR29" s="10">
        <f t="shared" si="16"/>
        <v>72.358910656555764</v>
      </c>
      <c r="AS29" s="10">
        <f t="shared" si="40"/>
        <v>586325.75399999984</v>
      </c>
      <c r="AT29" s="10">
        <f t="shared" si="17"/>
        <v>67.211293504884665</v>
      </c>
      <c r="AU29" s="97"/>
      <c r="AV29" s="10">
        <f t="shared" si="18"/>
        <v>0</v>
      </c>
      <c r="AW29" s="10">
        <f t="shared" si="41"/>
        <v>0</v>
      </c>
      <c r="AX29" s="10">
        <f t="shared" si="19"/>
        <v>0</v>
      </c>
      <c r="AY29" s="97"/>
      <c r="AZ29" s="15">
        <f t="shared" si="20"/>
        <v>0</v>
      </c>
      <c r="BA29" s="10">
        <f t="shared" si="42"/>
        <v>0</v>
      </c>
      <c r="BB29" s="10">
        <f t="shared" si="21"/>
        <v>0</v>
      </c>
      <c r="BC29" s="10">
        <f t="shared" si="43"/>
        <v>36220.896000000001</v>
      </c>
      <c r="BD29" s="10">
        <f t="shared" si="22"/>
        <v>72.358910656555764</v>
      </c>
      <c r="BE29" s="10">
        <f t="shared" si="44"/>
        <v>586325.75399999984</v>
      </c>
      <c r="BF29" s="10">
        <f t="shared" si="23"/>
        <v>67.211293504884665</v>
      </c>
      <c r="BG29" s="97"/>
      <c r="BH29" s="10">
        <f t="shared" si="24"/>
        <v>0</v>
      </c>
      <c r="BI29" s="10">
        <f t="shared" si="45"/>
        <v>0</v>
      </c>
      <c r="BJ29" s="10">
        <f t="shared" si="25"/>
        <v>0</v>
      </c>
      <c r="BK29" s="10">
        <f t="shared" si="26"/>
        <v>50057.271000000001</v>
      </c>
      <c r="BL29" s="10">
        <f t="shared" si="46"/>
        <v>872361.95499999996</v>
      </c>
      <c r="BM29" s="503">
        <f t="shared" si="27"/>
        <v>1.1266801188412974</v>
      </c>
      <c r="BN29" s="10">
        <f t="shared" si="28"/>
        <v>1.0827029970486246</v>
      </c>
      <c r="BV29" s="14"/>
    </row>
    <row r="30" spans="1:75">
      <c r="A30" s="16">
        <f>+Chem!A29</f>
        <v>45859</v>
      </c>
      <c r="B30" s="6" t="str">
        <f>+Chem!B29</f>
        <v>Toilet/Facial</v>
      </c>
      <c r="C30" s="16" t="str">
        <f>+Chem!C29</f>
        <v>12,5/11,5</v>
      </c>
      <c r="D30" s="8">
        <f>+Chem!D29</f>
        <v>40.161000000000001</v>
      </c>
      <c r="E30" s="7">
        <f>+Chem!E29</f>
        <v>38.055999999999997</v>
      </c>
      <c r="F30" s="7">
        <f t="shared" si="29"/>
        <v>843.78199999999993</v>
      </c>
      <c r="G30" s="97"/>
      <c r="H30" s="10">
        <f t="shared" si="0"/>
        <v>0</v>
      </c>
      <c r="I30" s="8">
        <f t="shared" si="30"/>
        <v>0</v>
      </c>
      <c r="J30" s="10">
        <f t="shared" si="1"/>
        <v>0</v>
      </c>
      <c r="K30" s="97">
        <f>22.5*K7</f>
        <v>5255.9549999999999</v>
      </c>
      <c r="L30" s="10">
        <f t="shared" si="2"/>
        <v>11.411326815838043</v>
      </c>
      <c r="M30" s="10">
        <f t="shared" si="31"/>
        <v>97994.361000000019</v>
      </c>
      <c r="N30" s="10">
        <f t="shared" si="3"/>
        <v>10.669873031874946</v>
      </c>
      <c r="O30" s="97"/>
      <c r="P30" s="10">
        <f t="shared" si="4"/>
        <v>0</v>
      </c>
      <c r="Q30" s="10">
        <f t="shared" si="32"/>
        <v>0</v>
      </c>
      <c r="R30" s="10">
        <f t="shared" si="5"/>
        <v>0</v>
      </c>
      <c r="S30" s="10">
        <f t="shared" si="33"/>
        <v>5255.9549999999999</v>
      </c>
      <c r="T30" s="10">
        <f t="shared" si="6"/>
        <v>11.411326815838043</v>
      </c>
      <c r="U30" s="10">
        <f t="shared" si="34"/>
        <v>97994.361000000019</v>
      </c>
      <c r="V30" s="10">
        <f t="shared" si="7"/>
        <v>10.669873031874946</v>
      </c>
      <c r="W30" s="97"/>
      <c r="X30" s="10"/>
      <c r="Y30" s="10"/>
      <c r="Z30" s="10"/>
      <c r="AA30" s="97"/>
      <c r="AB30" s="10">
        <f t="shared" si="8"/>
        <v>0</v>
      </c>
      <c r="AC30" s="10">
        <f t="shared" si="35"/>
        <v>0</v>
      </c>
      <c r="AD30" s="10">
        <f t="shared" si="9"/>
        <v>0</v>
      </c>
      <c r="AE30" s="97"/>
      <c r="AF30" s="10">
        <f t="shared" si="10"/>
        <v>0</v>
      </c>
      <c r="AG30" s="10">
        <f t="shared" si="36"/>
        <v>0</v>
      </c>
      <c r="AH30" s="10">
        <f t="shared" si="11"/>
        <v>0</v>
      </c>
      <c r="AI30" s="97">
        <f>34*AI7</f>
        <v>8103.73</v>
      </c>
      <c r="AJ30" s="10">
        <f t="shared" si="12"/>
        <v>17.5941977161736</v>
      </c>
      <c r="AK30" s="10">
        <f t="shared" si="37"/>
        <v>201401.52499999999</v>
      </c>
      <c r="AL30" s="10">
        <f t="shared" si="13"/>
        <v>0.21929105697989984</v>
      </c>
      <c r="AM30" s="10">
        <f t="shared" si="38"/>
        <v>8103.73</v>
      </c>
      <c r="AN30" s="10">
        <f t="shared" si="14"/>
        <v>17.5941977161736</v>
      </c>
      <c r="AO30" s="10">
        <f t="shared" si="39"/>
        <v>201401.52499999999</v>
      </c>
      <c r="AP30" s="10">
        <f t="shared" si="15"/>
        <v>21.929105697989986</v>
      </c>
      <c r="AQ30" s="97">
        <f>130*AQ7</f>
        <v>32699.42</v>
      </c>
      <c r="AR30" s="10">
        <f t="shared" si="16"/>
        <v>70.994475467988366</v>
      </c>
      <c r="AS30" s="10">
        <f t="shared" si="40"/>
        <v>619025.17399999988</v>
      </c>
      <c r="AT30" s="10">
        <f t="shared" si="17"/>
        <v>67.401021270135061</v>
      </c>
      <c r="AU30" s="97"/>
      <c r="AV30" s="10">
        <f t="shared" si="18"/>
        <v>0</v>
      </c>
      <c r="AW30" s="10">
        <f t="shared" si="41"/>
        <v>0</v>
      </c>
      <c r="AX30" s="10">
        <f t="shared" si="19"/>
        <v>0</v>
      </c>
      <c r="AY30" s="97"/>
      <c r="AZ30" s="15">
        <f t="shared" si="20"/>
        <v>0</v>
      </c>
      <c r="BA30" s="10">
        <f t="shared" si="42"/>
        <v>0</v>
      </c>
      <c r="BB30" s="10">
        <f t="shared" si="21"/>
        <v>0</v>
      </c>
      <c r="BC30" s="10">
        <f t="shared" si="43"/>
        <v>32699.42</v>
      </c>
      <c r="BD30" s="10">
        <f t="shared" si="22"/>
        <v>70.994475467988366</v>
      </c>
      <c r="BE30" s="10">
        <f t="shared" si="44"/>
        <v>619025.17399999988</v>
      </c>
      <c r="BF30" s="10">
        <f t="shared" si="23"/>
        <v>67.401021270135061</v>
      </c>
      <c r="BG30" s="97"/>
      <c r="BH30" s="10">
        <f t="shared" si="24"/>
        <v>0</v>
      </c>
      <c r="BI30" s="10">
        <f t="shared" si="45"/>
        <v>0</v>
      </c>
      <c r="BJ30" s="10">
        <f t="shared" si="25"/>
        <v>0</v>
      </c>
      <c r="BK30" s="10">
        <f t="shared" si="26"/>
        <v>46059.104999999996</v>
      </c>
      <c r="BL30" s="10">
        <f t="shared" si="46"/>
        <v>918421.05999999994</v>
      </c>
      <c r="BM30" s="503">
        <f t="shared" si="27"/>
        <v>1.2102981133067059</v>
      </c>
      <c r="BN30" s="10">
        <f t="shared" si="28"/>
        <v>1.0884577533059487</v>
      </c>
    </row>
    <row r="31" spans="1:75">
      <c r="A31" s="16">
        <f>+Chem!A30</f>
        <v>45860</v>
      </c>
      <c r="B31" s="6" t="str">
        <f>+Chem!B30</f>
        <v>Facial</v>
      </c>
      <c r="C31" s="16" t="str">
        <f>+Chem!C30</f>
        <v>11,5/14</v>
      </c>
      <c r="D31" s="8">
        <f>+Chem!D30</f>
        <v>44.03</v>
      </c>
      <c r="E31" s="7">
        <f>+Chem!E30</f>
        <v>41.243000000000002</v>
      </c>
      <c r="F31" s="7">
        <f t="shared" si="29"/>
        <v>885.02499999999998</v>
      </c>
      <c r="G31" s="97"/>
      <c r="H31" s="10">
        <f t="shared" si="0"/>
        <v>0</v>
      </c>
      <c r="I31" s="8">
        <f t="shared" si="30"/>
        <v>0</v>
      </c>
      <c r="J31" s="10">
        <f t="shared" si="1"/>
        <v>0</v>
      </c>
      <c r="K31" s="97">
        <f>34*K7</f>
        <v>7942.3320000000003</v>
      </c>
      <c r="L31" s="10">
        <f t="shared" si="2"/>
        <v>17.598864891858479</v>
      </c>
      <c r="M31" s="10">
        <f t="shared" si="31"/>
        <v>105936.69300000001</v>
      </c>
      <c r="N31" s="10">
        <f t="shared" si="3"/>
        <v>10.994405975604879</v>
      </c>
      <c r="O31" s="97"/>
      <c r="P31" s="10">
        <f t="shared" si="4"/>
        <v>0</v>
      </c>
      <c r="Q31" s="10">
        <f t="shared" si="32"/>
        <v>0</v>
      </c>
      <c r="R31" s="10">
        <f t="shared" si="5"/>
        <v>0</v>
      </c>
      <c r="S31" s="10">
        <f t="shared" si="33"/>
        <v>7942.3320000000003</v>
      </c>
      <c r="T31" s="10">
        <f t="shared" si="6"/>
        <v>17.598864891858479</v>
      </c>
      <c r="U31" s="10">
        <f t="shared" si="34"/>
        <v>105936.69300000001</v>
      </c>
      <c r="V31" s="10">
        <f t="shared" si="7"/>
        <v>10.994405975604879</v>
      </c>
      <c r="W31" s="97"/>
      <c r="X31" s="10"/>
      <c r="Y31" s="10"/>
      <c r="Z31" s="10"/>
      <c r="AA31" s="97"/>
      <c r="AB31" s="10">
        <f t="shared" si="8"/>
        <v>0</v>
      </c>
      <c r="AC31" s="10">
        <f t="shared" si="35"/>
        <v>0</v>
      </c>
      <c r="AD31" s="10">
        <f t="shared" si="9"/>
        <v>0</v>
      </c>
      <c r="AE31" s="97"/>
      <c r="AF31" s="10">
        <f t="shared" si="10"/>
        <v>0</v>
      </c>
      <c r="AG31" s="10">
        <f t="shared" si="36"/>
        <v>0</v>
      </c>
      <c r="AH31" s="10">
        <f t="shared" si="11"/>
        <v>0</v>
      </c>
      <c r="AI31" s="97">
        <f>3*AI7</f>
        <v>715.03499999999997</v>
      </c>
      <c r="AJ31" s="10">
        <f t="shared" si="12"/>
        <v>1.5843966681259389</v>
      </c>
      <c r="AK31" s="10">
        <f t="shared" si="37"/>
        <v>202116.56</v>
      </c>
      <c r="AL31" s="10">
        <f t="shared" si="13"/>
        <v>0.20976221289376115</v>
      </c>
      <c r="AM31" s="10">
        <f t="shared" si="38"/>
        <v>715.03499999999997</v>
      </c>
      <c r="AN31" s="10">
        <f t="shared" si="14"/>
        <v>1.5843966681259389</v>
      </c>
      <c r="AO31" s="10">
        <f t="shared" si="39"/>
        <v>202116.56</v>
      </c>
      <c r="AP31" s="10">
        <f t="shared" si="15"/>
        <v>20.976221289376117</v>
      </c>
      <c r="AQ31" s="97">
        <f>145*AQ7</f>
        <v>36472.43</v>
      </c>
      <c r="AR31" s="10">
        <f t="shared" si="16"/>
        <v>80.816738440015584</v>
      </c>
      <c r="AS31" s="10">
        <f t="shared" si="40"/>
        <v>655497.60399999993</v>
      </c>
      <c r="AT31" s="10">
        <f t="shared" si="17"/>
        <v>68.029372735018995</v>
      </c>
      <c r="AU31" s="97"/>
      <c r="AV31" s="10">
        <f t="shared" si="18"/>
        <v>0</v>
      </c>
      <c r="AW31" s="10">
        <f t="shared" si="41"/>
        <v>0</v>
      </c>
      <c r="AX31" s="10">
        <f t="shared" si="19"/>
        <v>0</v>
      </c>
      <c r="AY31" s="97"/>
      <c r="AZ31" s="15">
        <f t="shared" si="20"/>
        <v>0</v>
      </c>
      <c r="BA31" s="10">
        <f t="shared" si="42"/>
        <v>0</v>
      </c>
      <c r="BB31" s="10">
        <f t="shared" si="21"/>
        <v>0</v>
      </c>
      <c r="BC31" s="10">
        <f t="shared" si="43"/>
        <v>36472.43</v>
      </c>
      <c r="BD31" s="10">
        <f t="shared" si="22"/>
        <v>80.816738440015584</v>
      </c>
      <c r="BE31" s="10">
        <f t="shared" si="44"/>
        <v>655497.60399999993</v>
      </c>
      <c r="BF31" s="10">
        <f t="shared" si="23"/>
        <v>68.029372735018995</v>
      </c>
      <c r="BG31" s="97"/>
      <c r="BH31" s="10">
        <f t="shared" si="24"/>
        <v>0</v>
      </c>
      <c r="BI31" s="10">
        <f t="shared" si="45"/>
        <v>0</v>
      </c>
      <c r="BJ31" s="10">
        <f t="shared" si="25"/>
        <v>0</v>
      </c>
      <c r="BK31" s="10">
        <f t="shared" si="26"/>
        <v>45129.796999999999</v>
      </c>
      <c r="BL31" s="10">
        <f t="shared" si="46"/>
        <v>963550.85699999996</v>
      </c>
      <c r="BM31" s="503">
        <f t="shared" si="27"/>
        <v>1.0942413742938195</v>
      </c>
      <c r="BN31" s="10">
        <f t="shared" si="28"/>
        <v>1.088727275500692</v>
      </c>
    </row>
    <row r="32" spans="1:75">
      <c r="A32" s="16">
        <f>+Chem!A31</f>
        <v>45861</v>
      </c>
      <c r="B32" s="6" t="str">
        <f>+Chem!B31</f>
        <v>Facial</v>
      </c>
      <c r="C32" s="16" t="str">
        <f>+Chem!C31</f>
        <v>14</v>
      </c>
      <c r="D32" s="8">
        <f>+Chem!D31</f>
        <v>26.029</v>
      </c>
      <c r="E32" s="7">
        <f>+Chem!E31</f>
        <v>26.443000000000001</v>
      </c>
      <c r="F32" s="7">
        <f t="shared" si="29"/>
        <v>911.46799999999996</v>
      </c>
      <c r="G32" s="97"/>
      <c r="H32" s="10">
        <f t="shared" si="0"/>
        <v>0</v>
      </c>
      <c r="I32" s="8">
        <f t="shared" si="30"/>
        <v>0</v>
      </c>
      <c r="J32" s="10">
        <f t="shared" si="1"/>
        <v>0</v>
      </c>
      <c r="K32" s="97">
        <f>21*K7</f>
        <v>4905.558</v>
      </c>
      <c r="L32" s="10">
        <f t="shared" si="2"/>
        <v>18.842590426656038</v>
      </c>
      <c r="M32" s="10">
        <f t="shared" si="31"/>
        <v>110842.25100000002</v>
      </c>
      <c r="N32" s="10">
        <f t="shared" si="3"/>
        <v>11.200879221655272</v>
      </c>
      <c r="O32" s="97"/>
      <c r="P32" s="10">
        <f t="shared" si="4"/>
        <v>0</v>
      </c>
      <c r="Q32" s="10">
        <f t="shared" si="32"/>
        <v>0</v>
      </c>
      <c r="R32" s="10">
        <f t="shared" si="5"/>
        <v>0</v>
      </c>
      <c r="S32" s="10">
        <f t="shared" si="33"/>
        <v>4905.558</v>
      </c>
      <c r="T32" s="10">
        <f t="shared" si="6"/>
        <v>18.842590426656038</v>
      </c>
      <c r="U32" s="10">
        <f t="shared" si="34"/>
        <v>110842.25100000002</v>
      </c>
      <c r="V32" s="10">
        <f t="shared" si="7"/>
        <v>11.200879221655272</v>
      </c>
      <c r="W32" s="97"/>
      <c r="X32" s="10"/>
      <c r="Y32" s="10"/>
      <c r="Z32" s="10"/>
      <c r="AA32" s="97"/>
      <c r="AB32" s="10">
        <f t="shared" si="8"/>
        <v>0</v>
      </c>
      <c r="AC32" s="10">
        <f t="shared" si="35"/>
        <v>0</v>
      </c>
      <c r="AD32" s="10">
        <f t="shared" si="9"/>
        <v>0</v>
      </c>
      <c r="AE32" s="97"/>
      <c r="AF32" s="10">
        <f t="shared" si="10"/>
        <v>0</v>
      </c>
      <c r="AG32" s="10">
        <f t="shared" si="36"/>
        <v>0</v>
      </c>
      <c r="AH32" s="10">
        <f t="shared" si="11"/>
        <v>0</v>
      </c>
      <c r="AI32" s="97"/>
      <c r="AJ32" s="10">
        <f t="shared" si="12"/>
        <v>0</v>
      </c>
      <c r="AK32" s="10">
        <f t="shared" si="37"/>
        <v>202116.56</v>
      </c>
      <c r="AL32" s="10">
        <f t="shared" si="13"/>
        <v>0.20424370281477239</v>
      </c>
      <c r="AM32" s="10">
        <f t="shared" si="38"/>
        <v>0</v>
      </c>
      <c r="AN32" s="10">
        <f t="shared" si="14"/>
        <v>0</v>
      </c>
      <c r="AO32" s="10">
        <f t="shared" si="39"/>
        <v>202116.56</v>
      </c>
      <c r="AP32" s="10">
        <f t="shared" si="15"/>
        <v>20.424370281477238</v>
      </c>
      <c r="AQ32" s="97">
        <f>84*AQ7</f>
        <v>21128.856</v>
      </c>
      <c r="AR32" s="10">
        <f t="shared" si="16"/>
        <v>81.157409573343955</v>
      </c>
      <c r="AS32" s="10">
        <f t="shared" si="40"/>
        <v>676626.46</v>
      </c>
      <c r="AT32" s="10">
        <f t="shared" si="17"/>
        <v>68.374750496867492</v>
      </c>
      <c r="AU32" s="97"/>
      <c r="AV32" s="10">
        <f t="shared" si="18"/>
        <v>0</v>
      </c>
      <c r="AW32" s="10">
        <f t="shared" si="41"/>
        <v>0</v>
      </c>
      <c r="AX32" s="10">
        <f t="shared" si="19"/>
        <v>0</v>
      </c>
      <c r="AY32" s="97"/>
      <c r="AZ32" s="15">
        <f t="shared" si="20"/>
        <v>0</v>
      </c>
      <c r="BA32" s="10">
        <f t="shared" si="42"/>
        <v>0</v>
      </c>
      <c r="BB32" s="10">
        <f t="shared" si="21"/>
        <v>0</v>
      </c>
      <c r="BC32" s="10">
        <f t="shared" si="43"/>
        <v>21128.856</v>
      </c>
      <c r="BD32" s="10">
        <f t="shared" si="22"/>
        <v>81.157409573343955</v>
      </c>
      <c r="BE32" s="10">
        <f t="shared" si="44"/>
        <v>676626.46</v>
      </c>
      <c r="BF32" s="10">
        <f t="shared" si="23"/>
        <v>68.374750496867492</v>
      </c>
      <c r="BG32" s="97"/>
      <c r="BH32" s="10">
        <f t="shared" si="24"/>
        <v>0</v>
      </c>
      <c r="BI32" s="10">
        <f t="shared" si="45"/>
        <v>0</v>
      </c>
      <c r="BJ32" s="10">
        <f t="shared" si="25"/>
        <v>0</v>
      </c>
      <c r="BK32" s="10">
        <f t="shared" si="26"/>
        <v>26034.414000000001</v>
      </c>
      <c r="BL32" s="10">
        <f t="shared" si="46"/>
        <v>989585.27099999995</v>
      </c>
      <c r="BM32" s="503">
        <f t="shared" si="27"/>
        <v>0.98454842491396588</v>
      </c>
      <c r="BN32" s="10">
        <f t="shared" si="28"/>
        <v>1.085704896935493</v>
      </c>
    </row>
    <row r="33" spans="1:66">
      <c r="A33" s="16">
        <f>+Chem!A32</f>
        <v>45862</v>
      </c>
      <c r="B33" s="6" t="str">
        <f>+Chem!B32</f>
        <v>Facial</v>
      </c>
      <c r="C33" s="16" t="str">
        <f>+Chem!C32</f>
        <v>14</v>
      </c>
      <c r="D33" s="8">
        <f>+Chem!D32</f>
        <v>42.289000000000001</v>
      </c>
      <c r="E33" s="7">
        <f>+Chem!E32</f>
        <v>37.003999999999998</v>
      </c>
      <c r="F33" s="7">
        <f t="shared" si="29"/>
        <v>948.47199999999998</v>
      </c>
      <c r="G33" s="97"/>
      <c r="H33" s="10">
        <f t="shared" si="0"/>
        <v>0</v>
      </c>
      <c r="I33" s="8">
        <f t="shared" si="30"/>
        <v>0</v>
      </c>
      <c r="J33" s="10">
        <f t="shared" si="1"/>
        <v>0</v>
      </c>
      <c r="K33" s="97">
        <f>34*K7</f>
        <v>7942.3320000000003</v>
      </c>
      <c r="L33" s="10">
        <f t="shared" si="2"/>
        <v>18.842590426656042</v>
      </c>
      <c r="M33" s="10">
        <f t="shared" si="31"/>
        <v>118784.58300000001</v>
      </c>
      <c r="N33" s="10">
        <f t="shared" si="3"/>
        <v>11.513076684860851</v>
      </c>
      <c r="O33" s="97"/>
      <c r="P33" s="10">
        <f t="shared" si="4"/>
        <v>0</v>
      </c>
      <c r="Q33" s="10">
        <f t="shared" si="32"/>
        <v>0</v>
      </c>
      <c r="R33" s="10">
        <f t="shared" si="5"/>
        <v>0</v>
      </c>
      <c r="S33" s="10">
        <f t="shared" si="33"/>
        <v>7942.3320000000003</v>
      </c>
      <c r="T33" s="10">
        <f t="shared" si="6"/>
        <v>18.842590426656042</v>
      </c>
      <c r="U33" s="10">
        <f t="shared" si="34"/>
        <v>118784.58300000001</v>
      </c>
      <c r="V33" s="10">
        <f t="shared" si="7"/>
        <v>11.513076684860851</v>
      </c>
      <c r="W33" s="97"/>
      <c r="X33" s="10"/>
      <c r="Y33" s="10"/>
      <c r="Z33" s="10"/>
      <c r="AA33" s="97"/>
      <c r="AB33" s="10">
        <f t="shared" si="8"/>
        <v>0</v>
      </c>
      <c r="AC33" s="10">
        <f>AA33+AC32</f>
        <v>0</v>
      </c>
      <c r="AD33" s="10">
        <f t="shared" si="9"/>
        <v>0</v>
      </c>
      <c r="AE33" s="97"/>
      <c r="AF33" s="10">
        <f t="shared" si="10"/>
        <v>0</v>
      </c>
      <c r="AG33" s="10">
        <f t="shared" si="36"/>
        <v>0</v>
      </c>
      <c r="AH33" s="10">
        <f t="shared" si="11"/>
        <v>0</v>
      </c>
      <c r="AI33" s="97"/>
      <c r="AJ33" s="10">
        <f t="shared" si="12"/>
        <v>0</v>
      </c>
      <c r="AK33" s="10">
        <f t="shared" si="37"/>
        <v>202116.56</v>
      </c>
      <c r="AL33" s="10">
        <f t="shared" si="13"/>
        <v>0.19589945056761102</v>
      </c>
      <c r="AM33" s="10">
        <f t="shared" si="38"/>
        <v>0</v>
      </c>
      <c r="AN33" s="10">
        <f t="shared" si="14"/>
        <v>0</v>
      </c>
      <c r="AO33" s="10">
        <f t="shared" si="39"/>
        <v>202116.56</v>
      </c>
      <c r="AP33" s="10">
        <f t="shared" si="15"/>
        <v>19.589945056761103</v>
      </c>
      <c r="AQ33" s="97">
        <f>136*AQ7</f>
        <v>34208.623999999996</v>
      </c>
      <c r="AR33" s="10">
        <f t="shared" si="16"/>
        <v>81.157409573343955</v>
      </c>
      <c r="AS33" s="10">
        <f t="shared" si="40"/>
        <v>710835.08399999992</v>
      </c>
      <c r="AT33" s="10">
        <f t="shared" si="17"/>
        <v>68.896978258378041</v>
      </c>
      <c r="AU33" s="97"/>
      <c r="AV33" s="10">
        <f t="shared" si="18"/>
        <v>0</v>
      </c>
      <c r="AW33" s="10">
        <f t="shared" si="41"/>
        <v>0</v>
      </c>
      <c r="AX33" s="10">
        <f t="shared" si="19"/>
        <v>0</v>
      </c>
      <c r="AY33" s="97"/>
      <c r="AZ33" s="15">
        <f t="shared" si="20"/>
        <v>0</v>
      </c>
      <c r="BA33" s="10">
        <f t="shared" si="42"/>
        <v>0</v>
      </c>
      <c r="BB33" s="10">
        <f t="shared" si="21"/>
        <v>0</v>
      </c>
      <c r="BC33" s="10">
        <f t="shared" si="43"/>
        <v>34208.623999999996</v>
      </c>
      <c r="BD33" s="10">
        <f t="shared" si="22"/>
        <v>81.157409573343955</v>
      </c>
      <c r="BE33" s="10">
        <f t="shared" si="44"/>
        <v>710835.08399999992</v>
      </c>
      <c r="BF33" s="10">
        <f t="shared" si="23"/>
        <v>68.896978258378041</v>
      </c>
      <c r="BG33" s="97"/>
      <c r="BH33" s="10">
        <f t="shared" si="24"/>
        <v>0</v>
      </c>
      <c r="BI33" s="10">
        <f t="shared" si="45"/>
        <v>0</v>
      </c>
      <c r="BJ33" s="10">
        <f t="shared" si="25"/>
        <v>0</v>
      </c>
      <c r="BK33" s="10">
        <f t="shared" si="26"/>
        <v>42150.955999999998</v>
      </c>
      <c r="BL33" s="10">
        <f t="shared" si="46"/>
        <v>1031736.227</v>
      </c>
      <c r="BM33" s="503">
        <f t="shared" si="27"/>
        <v>1.1390918819587073</v>
      </c>
      <c r="BN33" s="10">
        <f t="shared" si="28"/>
        <v>1.0877877544091969</v>
      </c>
    </row>
    <row r="34" spans="1:66">
      <c r="A34" s="16">
        <f>+Chem!A33</f>
        <v>45863</v>
      </c>
      <c r="B34" s="6" t="str">
        <f>+Chem!B33</f>
        <v>Facial</v>
      </c>
      <c r="C34" s="16" t="str">
        <f>+Chem!C33</f>
        <v>14</v>
      </c>
      <c r="D34" s="8">
        <f>+Chem!D33</f>
        <v>43.67</v>
      </c>
      <c r="E34" s="7">
        <f>+Chem!E33</f>
        <v>42.747999999999998</v>
      </c>
      <c r="F34" s="7">
        <f t="shared" si="29"/>
        <v>991.22</v>
      </c>
      <c r="G34" s="97">
        <f>14*G7</f>
        <v>3500</v>
      </c>
      <c r="H34" s="10">
        <f t="shared" si="0"/>
        <v>7.3933998485831722</v>
      </c>
      <c r="I34" s="8">
        <f t="shared" si="30"/>
        <v>3500</v>
      </c>
      <c r="J34" s="10">
        <f t="shared" si="1"/>
        <v>0.32435165091334406</v>
      </c>
      <c r="K34" s="97">
        <f>24*K7</f>
        <v>5606.3520000000008</v>
      </c>
      <c r="L34" s="10">
        <f t="shared" si="2"/>
        <v>11.842857722258277</v>
      </c>
      <c r="M34" s="10">
        <f t="shared" si="31"/>
        <v>124390.93500000001</v>
      </c>
      <c r="N34" s="10">
        <f t="shared" si="3"/>
        <v>11.527544321686994</v>
      </c>
      <c r="O34" s="97"/>
      <c r="P34" s="10">
        <f t="shared" si="4"/>
        <v>0</v>
      </c>
      <c r="Q34" s="10">
        <f t="shared" si="32"/>
        <v>0</v>
      </c>
      <c r="R34" s="10">
        <f t="shared" si="5"/>
        <v>0</v>
      </c>
      <c r="S34" s="10">
        <f t="shared" si="33"/>
        <v>9106.3520000000008</v>
      </c>
      <c r="T34" s="10">
        <f t="shared" si="6"/>
        <v>19.236257570841449</v>
      </c>
      <c r="U34" s="10">
        <f t="shared" si="34"/>
        <v>127890.93500000001</v>
      </c>
      <c r="V34" s="10">
        <f t="shared" si="7"/>
        <v>11.851895972600337</v>
      </c>
      <c r="W34" s="97"/>
      <c r="X34" s="10"/>
      <c r="Y34" s="10"/>
      <c r="Z34" s="10"/>
      <c r="AA34" s="97"/>
      <c r="AB34" s="10">
        <f t="shared" si="8"/>
        <v>0</v>
      </c>
      <c r="AC34" s="10">
        <f>AA34+AC33</f>
        <v>0</v>
      </c>
      <c r="AD34" s="10">
        <f t="shared" si="9"/>
        <v>0</v>
      </c>
      <c r="AE34" s="97"/>
      <c r="AF34" s="10">
        <f t="shared" si="10"/>
        <v>0</v>
      </c>
      <c r="AG34" s="10">
        <f t="shared" si="36"/>
        <v>0</v>
      </c>
      <c r="AH34" s="10">
        <f t="shared" si="11"/>
        <v>0</v>
      </c>
      <c r="AI34" s="97"/>
      <c r="AJ34" s="10">
        <f t="shared" si="12"/>
        <v>0</v>
      </c>
      <c r="AK34" s="10">
        <f t="shared" si="37"/>
        <v>202116.56</v>
      </c>
      <c r="AL34" s="10">
        <f t="shared" si="13"/>
        <v>0.18730525689407418</v>
      </c>
      <c r="AM34" s="10">
        <f t="shared" si="38"/>
        <v>0</v>
      </c>
      <c r="AN34" s="10">
        <f t="shared" si="14"/>
        <v>0</v>
      </c>
      <c r="AO34" s="10">
        <f t="shared" si="39"/>
        <v>202116.56</v>
      </c>
      <c r="AP34" s="10">
        <f t="shared" si="15"/>
        <v>18.730525689407418</v>
      </c>
      <c r="AQ34" s="97">
        <f>152*AQ7</f>
        <v>38233.167999999998</v>
      </c>
      <c r="AR34" s="10">
        <f t="shared" si="16"/>
        <v>80.763742429158555</v>
      </c>
      <c r="AS34" s="10">
        <f t="shared" si="40"/>
        <v>749068.25199999986</v>
      </c>
      <c r="AT34" s="10">
        <f t="shared" si="17"/>
        <v>69.417578337992239</v>
      </c>
      <c r="AU34" s="97"/>
      <c r="AV34" s="10">
        <f t="shared" si="18"/>
        <v>0</v>
      </c>
      <c r="AW34" s="10">
        <f t="shared" si="41"/>
        <v>0</v>
      </c>
      <c r="AX34" s="10">
        <f t="shared" si="19"/>
        <v>0</v>
      </c>
      <c r="AY34" s="97"/>
      <c r="AZ34" s="15">
        <f t="shared" si="20"/>
        <v>0</v>
      </c>
      <c r="BA34" s="10">
        <f t="shared" si="42"/>
        <v>0</v>
      </c>
      <c r="BB34" s="10">
        <f t="shared" si="21"/>
        <v>0</v>
      </c>
      <c r="BC34" s="10">
        <f t="shared" si="43"/>
        <v>38233.167999999998</v>
      </c>
      <c r="BD34" s="10">
        <f t="shared" si="22"/>
        <v>80.763742429158555</v>
      </c>
      <c r="BE34" s="10">
        <f t="shared" si="44"/>
        <v>749068.25199999986</v>
      </c>
      <c r="BF34" s="10">
        <f t="shared" si="23"/>
        <v>69.417578337992239</v>
      </c>
      <c r="BG34" s="97"/>
      <c r="BH34" s="10">
        <f t="shared" si="24"/>
        <v>0</v>
      </c>
      <c r="BI34" s="10">
        <f t="shared" si="45"/>
        <v>0</v>
      </c>
      <c r="BJ34" s="10">
        <f t="shared" si="25"/>
        <v>0</v>
      </c>
      <c r="BK34" s="10">
        <f t="shared" si="26"/>
        <v>47339.519999999997</v>
      </c>
      <c r="BL34" s="10">
        <f t="shared" si="46"/>
        <v>1079075.747</v>
      </c>
      <c r="BM34" s="503">
        <f t="shared" si="27"/>
        <v>1.1074090015907179</v>
      </c>
      <c r="BN34" s="10">
        <f t="shared" si="28"/>
        <v>1.0886339531082907</v>
      </c>
    </row>
    <row r="35" spans="1:66">
      <c r="A35" s="16">
        <f>+Chem!A34</f>
        <v>45864</v>
      </c>
      <c r="B35" s="6" t="str">
        <f>+Chem!B34</f>
        <v>Facial</v>
      </c>
      <c r="C35" s="16" t="str">
        <f>+Chem!C34</f>
        <v>14</v>
      </c>
      <c r="D35" s="8">
        <f>+Chem!D34</f>
        <v>44.673000000000002</v>
      </c>
      <c r="E35" s="7">
        <f>+Chem!E34</f>
        <v>44.466999999999999</v>
      </c>
      <c r="F35" s="7">
        <f t="shared" si="29"/>
        <v>1035.6870000000001</v>
      </c>
      <c r="G35" s="97">
        <f>37*G7</f>
        <v>9250</v>
      </c>
      <c r="H35" s="10">
        <f t="shared" si="0"/>
        <v>19.902303572224664</v>
      </c>
      <c r="I35" s="8">
        <f t="shared" si="30"/>
        <v>12750</v>
      </c>
      <c r="J35" s="10">
        <f t="shared" si="1"/>
        <v>1.1327767331646383</v>
      </c>
      <c r="K35" s="97"/>
      <c r="L35" s="10">
        <f t="shared" si="2"/>
        <v>0</v>
      </c>
      <c r="M35" s="10">
        <f t="shared" si="31"/>
        <v>124390.93500000001</v>
      </c>
      <c r="N35" s="10">
        <f t="shared" si="3"/>
        <v>11.051541724281952</v>
      </c>
      <c r="O35" s="97"/>
      <c r="P35" s="10">
        <f t="shared" si="4"/>
        <v>0</v>
      </c>
      <c r="Q35" s="10">
        <f t="shared" si="32"/>
        <v>0</v>
      </c>
      <c r="R35" s="10">
        <f t="shared" si="5"/>
        <v>0</v>
      </c>
      <c r="S35" s="10">
        <f t="shared" si="33"/>
        <v>9250</v>
      </c>
      <c r="T35" s="10">
        <f t="shared" si="6"/>
        <v>19.902303572224664</v>
      </c>
      <c r="U35" s="10">
        <f t="shared" si="34"/>
        <v>137140.935</v>
      </c>
      <c r="V35" s="10">
        <f t="shared" si="7"/>
        <v>12.184318457446588</v>
      </c>
      <c r="W35" s="97"/>
      <c r="X35" s="10"/>
      <c r="Y35" s="10"/>
      <c r="Z35" s="10"/>
      <c r="AA35" s="97"/>
      <c r="AB35" s="10">
        <f t="shared" si="8"/>
        <v>0</v>
      </c>
      <c r="AC35" s="10">
        <f>AA35+AC34</f>
        <v>0</v>
      </c>
      <c r="AD35" s="10">
        <f t="shared" si="9"/>
        <v>0</v>
      </c>
      <c r="AE35" s="97"/>
      <c r="AF35" s="10">
        <f t="shared" si="10"/>
        <v>0</v>
      </c>
      <c r="AG35" s="10">
        <f t="shared" si="36"/>
        <v>0</v>
      </c>
      <c r="AH35" s="10">
        <f t="shared" si="11"/>
        <v>0</v>
      </c>
      <c r="AI35" s="97"/>
      <c r="AJ35" s="10">
        <f t="shared" si="12"/>
        <v>0</v>
      </c>
      <c r="AK35" s="10">
        <f t="shared" si="37"/>
        <v>202116.56</v>
      </c>
      <c r="AL35" s="10">
        <f t="shared" si="13"/>
        <v>0.17957093063158794</v>
      </c>
      <c r="AM35" s="10">
        <f t="shared" si="38"/>
        <v>0</v>
      </c>
      <c r="AN35" s="10">
        <f t="shared" si="14"/>
        <v>0</v>
      </c>
      <c r="AO35" s="10">
        <f t="shared" si="39"/>
        <v>202116.56</v>
      </c>
      <c r="AP35" s="10">
        <f t="shared" si="15"/>
        <v>17.957093063158794</v>
      </c>
      <c r="AQ35" s="97">
        <f>148*AQ7</f>
        <v>37227.031999999999</v>
      </c>
      <c r="AR35" s="10">
        <f t="shared" si="16"/>
        <v>80.097696427775332</v>
      </c>
      <c r="AS35" s="10">
        <f t="shared" si="40"/>
        <v>786295.28399999987</v>
      </c>
      <c r="AT35" s="10">
        <f t="shared" si="17"/>
        <v>69.858588479394626</v>
      </c>
      <c r="AU35" s="97"/>
      <c r="AV35" s="10">
        <f t="shared" si="18"/>
        <v>0</v>
      </c>
      <c r="AW35" s="10">
        <f t="shared" si="41"/>
        <v>0</v>
      </c>
      <c r="AX35" s="10">
        <f t="shared" si="19"/>
        <v>0</v>
      </c>
      <c r="AY35" s="97"/>
      <c r="AZ35" s="15">
        <f t="shared" si="20"/>
        <v>0</v>
      </c>
      <c r="BA35" s="10">
        <f t="shared" si="42"/>
        <v>0</v>
      </c>
      <c r="BB35" s="10">
        <f t="shared" si="21"/>
        <v>0</v>
      </c>
      <c r="BC35" s="10">
        <f t="shared" si="43"/>
        <v>37227.031999999999</v>
      </c>
      <c r="BD35" s="10">
        <f t="shared" si="22"/>
        <v>80.097696427775332</v>
      </c>
      <c r="BE35" s="10">
        <f t="shared" si="44"/>
        <v>786295.28399999987</v>
      </c>
      <c r="BF35" s="10">
        <f t="shared" si="23"/>
        <v>69.858588479394626</v>
      </c>
      <c r="BG35" s="97"/>
      <c r="BH35" s="10">
        <f t="shared" si="24"/>
        <v>0</v>
      </c>
      <c r="BI35" s="10">
        <f t="shared" si="45"/>
        <v>0</v>
      </c>
      <c r="BJ35" s="10">
        <f t="shared" si="25"/>
        <v>0</v>
      </c>
      <c r="BK35" s="10">
        <f t="shared" si="26"/>
        <v>46477.031999999999</v>
      </c>
      <c r="BL35" s="10">
        <f t="shared" si="46"/>
        <v>1125552.7789999999</v>
      </c>
      <c r="BM35" s="503">
        <f t="shared" si="27"/>
        <v>1.0452027795893584</v>
      </c>
      <c r="BN35" s="10">
        <f t="shared" si="28"/>
        <v>1.0867692449552806</v>
      </c>
    </row>
    <row r="36" spans="1:66">
      <c r="A36" s="16">
        <f>+Chem!A35</f>
        <v>45865</v>
      </c>
      <c r="B36" s="6" t="str">
        <f>+Chem!B35</f>
        <v>Facial</v>
      </c>
      <c r="C36" s="16" t="str">
        <f>+Chem!C35</f>
        <v>14/12</v>
      </c>
      <c r="D36" s="8">
        <f>+Chem!D35</f>
        <v>45.445</v>
      </c>
      <c r="E36" s="7">
        <f>+Chem!E35</f>
        <v>44.783999999999999</v>
      </c>
      <c r="F36" s="7">
        <f t="shared" si="29"/>
        <v>1080.4710000000002</v>
      </c>
      <c r="G36" s="97">
        <f>38.5*G7</f>
        <v>9625</v>
      </c>
      <c r="H36" s="10">
        <f t="shared" si="0"/>
        <v>19.697405287917334</v>
      </c>
      <c r="I36" s="8">
        <f t="shared" si="30"/>
        <v>22375</v>
      </c>
      <c r="J36" s="10">
        <f t="shared" si="1"/>
        <v>1.9052004883004587</v>
      </c>
      <c r="K36" s="97"/>
      <c r="L36" s="10">
        <f t="shared" si="2"/>
        <v>0</v>
      </c>
      <c r="M36" s="10">
        <f t="shared" si="31"/>
        <v>124390.93500000001</v>
      </c>
      <c r="N36" s="10">
        <f t="shared" si="3"/>
        <v>10.591717099537458</v>
      </c>
      <c r="O36" s="97"/>
      <c r="P36" s="10">
        <f t="shared" si="4"/>
        <v>0</v>
      </c>
      <c r="Q36" s="10">
        <f t="shared" si="32"/>
        <v>0</v>
      </c>
      <c r="R36" s="10">
        <f t="shared" si="5"/>
        <v>0</v>
      </c>
      <c r="S36" s="10">
        <f t="shared" si="33"/>
        <v>9625</v>
      </c>
      <c r="T36" s="10">
        <f t="shared" si="6"/>
        <v>19.697405287917334</v>
      </c>
      <c r="U36" s="10">
        <f t="shared" si="34"/>
        <v>146765.935</v>
      </c>
      <c r="V36" s="10">
        <f t="shared" si="7"/>
        <v>12.496917587837917</v>
      </c>
      <c r="W36" s="97"/>
      <c r="X36" s="10"/>
      <c r="Y36" s="10"/>
      <c r="Z36" s="10"/>
      <c r="AA36" s="97"/>
      <c r="AB36" s="10">
        <f t="shared" si="8"/>
        <v>0</v>
      </c>
      <c r="AC36" s="10">
        <f t="shared" si="35"/>
        <v>0</v>
      </c>
      <c r="AD36" s="10">
        <f t="shared" si="9"/>
        <v>0</v>
      </c>
      <c r="AE36" s="97"/>
      <c r="AF36" s="10">
        <f t="shared" si="10"/>
        <v>0</v>
      </c>
      <c r="AG36" s="10">
        <f t="shared" si="36"/>
        <v>0</v>
      </c>
      <c r="AH36" s="10">
        <f t="shared" si="11"/>
        <v>0</v>
      </c>
      <c r="AI36" s="97"/>
      <c r="AJ36" s="10">
        <f t="shared" si="12"/>
        <v>0</v>
      </c>
      <c r="AK36" s="10">
        <f t="shared" si="37"/>
        <v>202116.56</v>
      </c>
      <c r="AL36" s="10">
        <f t="shared" si="13"/>
        <v>0.17209947209189227</v>
      </c>
      <c r="AM36" s="10">
        <f t="shared" si="38"/>
        <v>0</v>
      </c>
      <c r="AN36" s="10">
        <f t="shared" si="14"/>
        <v>0</v>
      </c>
      <c r="AO36" s="10">
        <f t="shared" si="39"/>
        <v>202116.56</v>
      </c>
      <c r="AP36" s="10">
        <f t="shared" si="15"/>
        <v>17.209947209189227</v>
      </c>
      <c r="AQ36" s="97">
        <f>156*AQ7</f>
        <v>39239.303999999996</v>
      </c>
      <c r="AR36" s="10">
        <f t="shared" si="16"/>
        <v>80.302594712082666</v>
      </c>
      <c r="AS36" s="10">
        <f t="shared" si="40"/>
        <v>825534.58799999987</v>
      </c>
      <c r="AT36" s="10">
        <f t="shared" si="17"/>
        <v>70.293135202972863</v>
      </c>
      <c r="AU36" s="97"/>
      <c r="AV36" s="10">
        <f t="shared" si="18"/>
        <v>0</v>
      </c>
      <c r="AW36" s="10">
        <f t="shared" si="41"/>
        <v>0</v>
      </c>
      <c r="AX36" s="10">
        <f t="shared" si="19"/>
        <v>0</v>
      </c>
      <c r="AY36" s="97"/>
      <c r="AZ36" s="15">
        <f t="shared" si="20"/>
        <v>0</v>
      </c>
      <c r="BA36" s="10">
        <f t="shared" si="42"/>
        <v>0</v>
      </c>
      <c r="BB36" s="10">
        <f t="shared" si="21"/>
        <v>0</v>
      </c>
      <c r="BC36" s="10">
        <f t="shared" si="43"/>
        <v>39239.303999999996</v>
      </c>
      <c r="BD36" s="10">
        <f t="shared" si="22"/>
        <v>80.302594712082666</v>
      </c>
      <c r="BE36" s="10">
        <f t="shared" si="44"/>
        <v>825534.58799999987</v>
      </c>
      <c r="BF36" s="10">
        <f t="shared" si="23"/>
        <v>70.293135202972863</v>
      </c>
      <c r="BG36" s="97"/>
      <c r="BH36" s="10">
        <f t="shared" si="24"/>
        <v>0</v>
      </c>
      <c r="BI36" s="10">
        <f t="shared" si="45"/>
        <v>0</v>
      </c>
      <c r="BJ36" s="10">
        <f t="shared" si="25"/>
        <v>0</v>
      </c>
      <c r="BK36" s="10">
        <f t="shared" si="26"/>
        <v>48864.303999999996</v>
      </c>
      <c r="BL36" s="10">
        <f t="shared" si="46"/>
        <v>1174417.0829999999</v>
      </c>
      <c r="BM36" s="503">
        <f t="shared" si="27"/>
        <v>1.0911107538406573</v>
      </c>
      <c r="BN36" s="10">
        <f t="shared" si="28"/>
        <v>1.0869491943791176</v>
      </c>
    </row>
    <row r="37" spans="1:66">
      <c r="A37" s="16">
        <f>+Chem!A36</f>
        <v>45866</v>
      </c>
      <c r="B37" s="6" t="str">
        <f>+Chem!B36</f>
        <v>Facial</v>
      </c>
      <c r="C37" s="16" t="str">
        <f>+Chem!C36</f>
        <v>12</v>
      </c>
      <c r="D37" s="8">
        <f>+Chem!D36</f>
        <v>42.545000000000002</v>
      </c>
      <c r="E37" s="7">
        <f>+Chem!E36</f>
        <v>41.054000000000002</v>
      </c>
      <c r="F37" s="7">
        <f t="shared" si="29"/>
        <v>1121.5250000000003</v>
      </c>
      <c r="G37" s="97">
        <f>19*G7</f>
        <v>4750</v>
      </c>
      <c r="H37" s="10">
        <f t="shared" si="0"/>
        <v>11.050837388253933</v>
      </c>
      <c r="I37" s="8">
        <f t="shared" si="30"/>
        <v>27125</v>
      </c>
      <c r="J37" s="10">
        <f t="shared" si="1"/>
        <v>2.2281086255501359</v>
      </c>
      <c r="K37" s="97"/>
      <c r="L37" s="10">
        <f t="shared" si="2"/>
        <v>0</v>
      </c>
      <c r="M37" s="10">
        <f t="shared" si="31"/>
        <v>124390.93500000001</v>
      </c>
      <c r="N37" s="10">
        <f t="shared" si="3"/>
        <v>10.217751712949172</v>
      </c>
      <c r="O37" s="97"/>
      <c r="P37" s="10">
        <f t="shared" si="4"/>
        <v>0</v>
      </c>
      <c r="Q37" s="10">
        <f t="shared" si="32"/>
        <v>0</v>
      </c>
      <c r="R37" s="10">
        <f t="shared" si="5"/>
        <v>0</v>
      </c>
      <c r="S37" s="10">
        <f t="shared" si="33"/>
        <v>4750</v>
      </c>
      <c r="T37" s="10">
        <f t="shared" si="6"/>
        <v>11.050837388253933</v>
      </c>
      <c r="U37" s="10">
        <f t="shared" si="34"/>
        <v>151515.935</v>
      </c>
      <c r="V37" s="10">
        <f t="shared" si="7"/>
        <v>12.445860338499307</v>
      </c>
      <c r="W37" s="97"/>
      <c r="X37" s="10"/>
      <c r="Y37" s="10"/>
      <c r="Z37" s="10"/>
      <c r="AA37" s="97"/>
      <c r="AB37" s="10">
        <f t="shared" si="8"/>
        <v>0</v>
      </c>
      <c r="AC37" s="10">
        <f t="shared" si="35"/>
        <v>0</v>
      </c>
      <c r="AD37" s="10">
        <f t="shared" si="9"/>
        <v>0</v>
      </c>
      <c r="AE37" s="97"/>
      <c r="AF37" s="10">
        <f t="shared" si="10"/>
        <v>0</v>
      </c>
      <c r="AG37" s="10">
        <f t="shared" si="36"/>
        <v>0</v>
      </c>
      <c r="AH37" s="10">
        <f t="shared" si="11"/>
        <v>0</v>
      </c>
      <c r="AI37" s="97"/>
      <c r="AJ37" s="10">
        <f t="shared" si="12"/>
        <v>0</v>
      </c>
      <c r="AK37" s="10">
        <f t="shared" si="37"/>
        <v>202116.56</v>
      </c>
      <c r="AL37" s="10">
        <f t="shared" si="13"/>
        <v>0.16602309703318766</v>
      </c>
      <c r="AM37" s="10">
        <f t="shared" si="38"/>
        <v>0</v>
      </c>
      <c r="AN37" s="10">
        <f t="shared" si="14"/>
        <v>0</v>
      </c>
      <c r="AO37" s="10">
        <f t="shared" si="39"/>
        <v>202116.56</v>
      </c>
      <c r="AP37" s="10">
        <f t="shared" si="15"/>
        <v>16.602309703318767</v>
      </c>
      <c r="AQ37" s="97">
        <f>152*AQ7</f>
        <v>38233.167999999998</v>
      </c>
      <c r="AR37" s="10">
        <f t="shared" si="16"/>
        <v>88.949162611746075</v>
      </c>
      <c r="AS37" s="10">
        <f t="shared" si="40"/>
        <v>863767.75599999982</v>
      </c>
      <c r="AT37" s="10">
        <f t="shared" si="17"/>
        <v>70.951829958181918</v>
      </c>
      <c r="AU37" s="97"/>
      <c r="AV37" s="10">
        <f t="shared" si="18"/>
        <v>0</v>
      </c>
      <c r="AW37" s="10">
        <f t="shared" si="41"/>
        <v>0</v>
      </c>
      <c r="AX37" s="10">
        <f t="shared" si="19"/>
        <v>0</v>
      </c>
      <c r="AY37" s="97"/>
      <c r="AZ37" s="15">
        <f t="shared" si="20"/>
        <v>0</v>
      </c>
      <c r="BA37" s="10">
        <f t="shared" si="42"/>
        <v>0</v>
      </c>
      <c r="BB37" s="10">
        <f t="shared" si="21"/>
        <v>0</v>
      </c>
      <c r="BC37" s="10">
        <f t="shared" si="43"/>
        <v>38233.167999999998</v>
      </c>
      <c r="BD37" s="10">
        <f t="shared" si="22"/>
        <v>88.949162611746075</v>
      </c>
      <c r="BE37" s="10">
        <f t="shared" si="44"/>
        <v>863767.75599999982</v>
      </c>
      <c r="BF37" s="10">
        <f t="shared" si="23"/>
        <v>70.951829958181918</v>
      </c>
      <c r="BG37" s="97"/>
      <c r="BH37" s="10">
        <f t="shared" si="24"/>
        <v>0</v>
      </c>
      <c r="BI37" s="10">
        <f t="shared" si="45"/>
        <v>0</v>
      </c>
      <c r="BJ37" s="10">
        <f t="shared" si="25"/>
        <v>0</v>
      </c>
      <c r="BK37" s="10">
        <f t="shared" si="26"/>
        <v>42983.167999999998</v>
      </c>
      <c r="BL37" s="10">
        <f t="shared" si="46"/>
        <v>1217400.2509999999</v>
      </c>
      <c r="BM37" s="503">
        <f t="shared" si="27"/>
        <v>1.0469909874799044</v>
      </c>
      <c r="BN37" s="10">
        <f t="shared" si="28"/>
        <v>1.0854865036445909</v>
      </c>
    </row>
    <row r="38" spans="1:66">
      <c r="A38" s="16">
        <f>+Chem!A37</f>
        <v>45867</v>
      </c>
      <c r="B38" s="6" t="str">
        <f>+Chem!B37</f>
        <v>Facial</v>
      </c>
      <c r="C38" s="16" t="str">
        <f>+Chem!C37</f>
        <v>12/13</v>
      </c>
      <c r="D38" s="8">
        <f>+Chem!D37</f>
        <v>42.968000000000004</v>
      </c>
      <c r="E38" s="7">
        <f>+Chem!E37</f>
        <v>41.597000000000001</v>
      </c>
      <c r="F38" s="7">
        <f t="shared" si="29"/>
        <v>1163.1220000000003</v>
      </c>
      <c r="G38" s="97">
        <f>20*G7</f>
        <v>5000</v>
      </c>
      <c r="H38" s="10">
        <f t="shared" si="0"/>
        <v>11.050837388253932</v>
      </c>
      <c r="I38" s="8">
        <f t="shared" si="30"/>
        <v>32125</v>
      </c>
      <c r="J38" s="10">
        <f t="shared" si="1"/>
        <v>2.5442608507662503</v>
      </c>
      <c r="K38" s="97"/>
      <c r="L38" s="10">
        <f t="shared" si="2"/>
        <v>0</v>
      </c>
      <c r="M38" s="10">
        <f t="shared" si="31"/>
        <v>124390.93500000001</v>
      </c>
      <c r="N38" s="10">
        <f t="shared" si="3"/>
        <v>9.851610462590175</v>
      </c>
      <c r="O38" s="97"/>
      <c r="P38" s="10">
        <f t="shared" si="4"/>
        <v>0</v>
      </c>
      <c r="Q38" s="10">
        <f t="shared" si="32"/>
        <v>0</v>
      </c>
      <c r="R38" s="10">
        <f t="shared" si="5"/>
        <v>0</v>
      </c>
      <c r="S38" s="10">
        <f t="shared" si="33"/>
        <v>5000</v>
      </c>
      <c r="T38" s="10">
        <f t="shared" si="6"/>
        <v>11.050837388253932</v>
      </c>
      <c r="U38" s="10">
        <f t="shared" si="34"/>
        <v>156515.935</v>
      </c>
      <c r="V38" s="10">
        <f t="shared" si="7"/>
        <v>12.395871313356425</v>
      </c>
      <c r="W38" s="97"/>
      <c r="X38" s="10"/>
      <c r="Y38" s="10"/>
      <c r="Z38" s="10"/>
      <c r="AA38" s="97"/>
      <c r="AB38" s="10">
        <f t="shared" si="8"/>
        <v>0</v>
      </c>
      <c r="AC38" s="10">
        <f t="shared" si="35"/>
        <v>0</v>
      </c>
      <c r="AD38" s="10">
        <f t="shared" si="9"/>
        <v>0</v>
      </c>
      <c r="AE38" s="97"/>
      <c r="AF38" s="10">
        <f t="shared" si="10"/>
        <v>0</v>
      </c>
      <c r="AG38" s="10">
        <f t="shared" si="36"/>
        <v>0</v>
      </c>
      <c r="AH38" s="10">
        <f t="shared" si="11"/>
        <v>0</v>
      </c>
      <c r="AI38" s="97"/>
      <c r="AJ38" s="10">
        <f t="shared" si="12"/>
        <v>0</v>
      </c>
      <c r="AK38" s="10">
        <f t="shared" si="37"/>
        <v>202116.56</v>
      </c>
      <c r="AL38" s="10">
        <f t="shared" si="13"/>
        <v>0.16007385242009273</v>
      </c>
      <c r="AM38" s="10">
        <f t="shared" si="38"/>
        <v>0</v>
      </c>
      <c r="AN38" s="10">
        <f t="shared" si="14"/>
        <v>0</v>
      </c>
      <c r="AO38" s="10">
        <f t="shared" si="39"/>
        <v>202116.56</v>
      </c>
      <c r="AP38" s="10">
        <f t="shared" si="15"/>
        <v>16.007385242009274</v>
      </c>
      <c r="AQ38" s="97">
        <f>160*AQ7</f>
        <v>40245.440000000002</v>
      </c>
      <c r="AR38" s="10">
        <f t="shared" si="16"/>
        <v>88.949162611746075</v>
      </c>
      <c r="AS38" s="10">
        <f t="shared" si="40"/>
        <v>904013.19599999976</v>
      </c>
      <c r="AT38" s="10">
        <f t="shared" si="17"/>
        <v>71.596743444634285</v>
      </c>
      <c r="AU38" s="97"/>
      <c r="AV38" s="10">
        <f t="shared" si="18"/>
        <v>0</v>
      </c>
      <c r="AW38" s="10">
        <f t="shared" si="41"/>
        <v>0</v>
      </c>
      <c r="AX38" s="10">
        <f t="shared" si="19"/>
        <v>0</v>
      </c>
      <c r="AY38" s="97"/>
      <c r="AZ38" s="15">
        <f t="shared" si="20"/>
        <v>0</v>
      </c>
      <c r="BA38" s="10">
        <f t="shared" si="42"/>
        <v>0</v>
      </c>
      <c r="BB38" s="10">
        <f t="shared" si="21"/>
        <v>0</v>
      </c>
      <c r="BC38" s="10">
        <f t="shared" si="43"/>
        <v>40245.440000000002</v>
      </c>
      <c r="BD38" s="10">
        <f t="shared" si="22"/>
        <v>88.949162611746075</v>
      </c>
      <c r="BE38" s="10">
        <f t="shared" si="44"/>
        <v>904013.19599999976</v>
      </c>
      <c r="BF38" s="10">
        <f t="shared" si="23"/>
        <v>71.596743444634285</v>
      </c>
      <c r="BG38" s="97"/>
      <c r="BH38" s="10">
        <f t="shared" si="24"/>
        <v>0</v>
      </c>
      <c r="BI38" s="10">
        <f t="shared" si="45"/>
        <v>0</v>
      </c>
      <c r="BJ38" s="10">
        <f t="shared" si="25"/>
        <v>0</v>
      </c>
      <c r="BK38" s="10">
        <f t="shared" si="26"/>
        <v>45245.440000000002</v>
      </c>
      <c r="BL38" s="10">
        <f t="shared" si="46"/>
        <v>1262645.6909999999</v>
      </c>
      <c r="BM38" s="503">
        <f t="shared" si="27"/>
        <v>1.0877092097987835</v>
      </c>
      <c r="BN38" s="10">
        <f t="shared" si="28"/>
        <v>1.0855659947967622</v>
      </c>
    </row>
    <row r="39" spans="1:66">
      <c r="A39" s="16">
        <f>+Chem!A38</f>
        <v>45868</v>
      </c>
      <c r="B39" s="6" t="str">
        <f>+Chem!B38</f>
        <v>Facial/Toilet</v>
      </c>
      <c r="C39" s="16" t="str">
        <f>+Chem!C38</f>
        <v>13/13</v>
      </c>
      <c r="D39" s="8">
        <f>+Chem!D38</f>
        <v>48.722999999999999</v>
      </c>
      <c r="E39" s="7">
        <f>+Chem!E38</f>
        <v>44.423000000000002</v>
      </c>
      <c r="F39" s="7">
        <f t="shared" si="29"/>
        <v>1207.5450000000003</v>
      </c>
      <c r="G39" s="97">
        <f>22*G7</f>
        <v>5500</v>
      </c>
      <c r="H39" s="10">
        <f t="shared" si="0"/>
        <v>11.050837388253933</v>
      </c>
      <c r="I39" s="8">
        <f t="shared" si="30"/>
        <v>37625</v>
      </c>
      <c r="J39" s="10">
        <f t="shared" si="1"/>
        <v>2.8668508550082659</v>
      </c>
      <c r="K39" s="97"/>
      <c r="L39" s="10">
        <f t="shared" si="2"/>
        <v>0</v>
      </c>
      <c r="M39" s="10">
        <f t="shared" si="31"/>
        <v>124390.93500000001</v>
      </c>
      <c r="N39" s="10">
        <f t="shared" si="3"/>
        <v>9.478013511229971</v>
      </c>
      <c r="O39" s="97"/>
      <c r="P39" s="10">
        <f t="shared" si="4"/>
        <v>0</v>
      </c>
      <c r="Q39" s="10">
        <f t="shared" si="32"/>
        <v>0</v>
      </c>
      <c r="R39" s="10">
        <f t="shared" si="5"/>
        <v>0</v>
      </c>
      <c r="S39" s="10">
        <f t="shared" si="33"/>
        <v>5500</v>
      </c>
      <c r="T39" s="10">
        <f t="shared" si="6"/>
        <v>11.050837388253933</v>
      </c>
      <c r="U39" s="10">
        <f t="shared" si="34"/>
        <v>162015.935</v>
      </c>
      <c r="V39" s="10">
        <f t="shared" si="7"/>
        <v>12.344864366238237</v>
      </c>
      <c r="W39" s="97"/>
      <c r="X39" s="10"/>
      <c r="Y39" s="10"/>
      <c r="Z39" s="10"/>
      <c r="AA39" s="97"/>
      <c r="AB39" s="10">
        <f t="shared" si="8"/>
        <v>0</v>
      </c>
      <c r="AC39" s="10">
        <f t="shared" si="35"/>
        <v>0</v>
      </c>
      <c r="AD39" s="10">
        <f t="shared" si="9"/>
        <v>0</v>
      </c>
      <c r="AE39" s="97"/>
      <c r="AF39" s="10">
        <f t="shared" si="10"/>
        <v>0</v>
      </c>
      <c r="AG39" s="10">
        <f t="shared" si="36"/>
        <v>0</v>
      </c>
      <c r="AH39" s="10">
        <f t="shared" si="11"/>
        <v>0</v>
      </c>
      <c r="AI39" s="97"/>
      <c r="AJ39" s="10">
        <f t="shared" si="12"/>
        <v>0</v>
      </c>
      <c r="AK39" s="10">
        <f t="shared" si="37"/>
        <v>202116.56</v>
      </c>
      <c r="AL39" s="10">
        <f t="shared" si="13"/>
        <v>0.15400346387968891</v>
      </c>
      <c r="AM39" s="10">
        <f t="shared" si="38"/>
        <v>0</v>
      </c>
      <c r="AN39" s="10">
        <f t="shared" si="14"/>
        <v>0</v>
      </c>
      <c r="AO39" s="10">
        <f t="shared" si="39"/>
        <v>202116.56</v>
      </c>
      <c r="AP39" s="10">
        <f t="shared" si="15"/>
        <v>15.400346387968892</v>
      </c>
      <c r="AQ39" s="97">
        <f>176*AQ7</f>
        <v>44269.983999999997</v>
      </c>
      <c r="AR39" s="10">
        <f t="shared" si="16"/>
        <v>88.949162611746075</v>
      </c>
      <c r="AS39" s="10">
        <f t="shared" si="40"/>
        <v>948283.1799999997</v>
      </c>
      <c r="AT39" s="10">
        <f t="shared" si="17"/>
        <v>72.254789245792864</v>
      </c>
      <c r="AU39" s="97"/>
      <c r="AV39" s="10">
        <f t="shared" si="18"/>
        <v>0</v>
      </c>
      <c r="AW39" s="10">
        <f t="shared" si="41"/>
        <v>0</v>
      </c>
      <c r="AX39" s="10">
        <f t="shared" si="19"/>
        <v>0</v>
      </c>
      <c r="AY39" s="97"/>
      <c r="AZ39" s="15">
        <f t="shared" si="20"/>
        <v>0</v>
      </c>
      <c r="BA39" s="10">
        <f t="shared" si="42"/>
        <v>0</v>
      </c>
      <c r="BB39" s="10">
        <f t="shared" si="21"/>
        <v>0</v>
      </c>
      <c r="BC39" s="10">
        <f t="shared" si="43"/>
        <v>44269.983999999997</v>
      </c>
      <c r="BD39" s="10">
        <f t="shared" si="22"/>
        <v>88.949162611746075</v>
      </c>
      <c r="BE39" s="10">
        <f t="shared" si="44"/>
        <v>948283.1799999997</v>
      </c>
      <c r="BF39" s="10">
        <f t="shared" si="23"/>
        <v>72.254789245792864</v>
      </c>
      <c r="BG39" s="97"/>
      <c r="BH39" s="10">
        <f t="shared" si="24"/>
        <v>0</v>
      </c>
      <c r="BI39" s="10">
        <f t="shared" si="45"/>
        <v>0</v>
      </c>
      <c r="BJ39" s="10">
        <f t="shared" si="25"/>
        <v>0</v>
      </c>
      <c r="BK39" s="10">
        <f t="shared" si="26"/>
        <v>49769.983999999997</v>
      </c>
      <c r="BL39" s="10">
        <f t="shared" si="46"/>
        <v>1312415.6749999998</v>
      </c>
      <c r="BM39" s="503">
        <f t="shared" si="27"/>
        <v>1.1203652162168245</v>
      </c>
      <c r="BN39" s="10">
        <f t="shared" si="28"/>
        <v>1.086846183786111</v>
      </c>
    </row>
    <row r="40" spans="1:66">
      <c r="A40" s="16">
        <f>+Chem!A39</f>
        <v>45869</v>
      </c>
      <c r="B40" s="6" t="str">
        <f>+Chem!B39</f>
        <v>Toilet</v>
      </c>
      <c r="C40" s="16" t="str">
        <f>+Chem!C39</f>
        <v>13</v>
      </c>
      <c r="D40" s="8">
        <f>+Chem!D39</f>
        <v>45.920999999999999</v>
      </c>
      <c r="E40" s="7">
        <f>+Chem!E39</f>
        <v>46.16</v>
      </c>
      <c r="F40" s="7">
        <f>+E40+F39</f>
        <v>1253.7050000000004</v>
      </c>
      <c r="G40" s="97">
        <f>22.5*G7</f>
        <v>5625</v>
      </c>
      <c r="H40" s="10">
        <f t="shared" si="0"/>
        <v>11.050837388253933</v>
      </c>
      <c r="I40" s="8">
        <f>G40+I39</f>
        <v>43250</v>
      </c>
      <c r="J40" s="10">
        <f t="shared" si="1"/>
        <v>3.172410122036236</v>
      </c>
      <c r="K40" s="97"/>
      <c r="L40" s="10">
        <f t="shared" si="2"/>
        <v>0</v>
      </c>
      <c r="M40" s="10">
        <f>+K40+M39</f>
        <v>124390.93500000001</v>
      </c>
      <c r="N40" s="10">
        <f t="shared" si="3"/>
        <v>9.1241401452844286</v>
      </c>
      <c r="O40" s="97"/>
      <c r="P40" s="10">
        <f t="shared" si="4"/>
        <v>0</v>
      </c>
      <c r="Q40" s="10">
        <f>+O40+Q39</f>
        <v>0</v>
      </c>
      <c r="R40" s="10">
        <f t="shared" si="5"/>
        <v>0</v>
      </c>
      <c r="S40" s="10">
        <f t="shared" si="33"/>
        <v>5625</v>
      </c>
      <c r="T40" s="10">
        <f t="shared" si="6"/>
        <v>11.050837388253933</v>
      </c>
      <c r="U40" s="10">
        <f>S40+U39</f>
        <v>167640.935</v>
      </c>
      <c r="V40" s="10">
        <f t="shared" si="7"/>
        <v>12.296550267320663</v>
      </c>
      <c r="W40" s="97"/>
      <c r="X40" s="10"/>
      <c r="Y40" s="10"/>
      <c r="Z40" s="10"/>
      <c r="AA40" s="97"/>
      <c r="AB40" s="10">
        <f t="shared" si="8"/>
        <v>0</v>
      </c>
      <c r="AC40" s="10">
        <f>AA40+AC39</f>
        <v>0</v>
      </c>
      <c r="AD40" s="10">
        <f t="shared" si="9"/>
        <v>0</v>
      </c>
      <c r="AE40" s="97"/>
      <c r="AF40" s="10">
        <f t="shared" si="10"/>
        <v>0</v>
      </c>
      <c r="AG40" s="10">
        <f>AE40+AG39</f>
        <v>0</v>
      </c>
      <c r="AH40" s="10">
        <f t="shared" si="11"/>
        <v>0</v>
      </c>
      <c r="AI40" s="97"/>
      <c r="AJ40" s="10">
        <f t="shared" si="12"/>
        <v>0</v>
      </c>
      <c r="AK40" s="10">
        <f>AI40+AK39</f>
        <v>202116.56</v>
      </c>
      <c r="AL40" s="10">
        <f t="shared" si="13"/>
        <v>0.14825355393644954</v>
      </c>
      <c r="AM40" s="10">
        <f t="shared" si="38"/>
        <v>0</v>
      </c>
      <c r="AN40" s="10">
        <f>AM40/BK40*100</f>
        <v>0</v>
      </c>
      <c r="AO40" s="10">
        <f>AM40+AO39</f>
        <v>202116.56</v>
      </c>
      <c r="AP40" s="10">
        <f>AO40/BL40*100</f>
        <v>14.825355393644953</v>
      </c>
      <c r="AQ40" s="97">
        <f>180*AQ7</f>
        <v>45276.119999999995</v>
      </c>
      <c r="AR40" s="10">
        <f>+AQ40/BK40*100</f>
        <v>88.949162611746075</v>
      </c>
      <c r="AS40" s="10">
        <f>+AQ40+AS39</f>
        <v>993559.2999999997</v>
      </c>
      <c r="AT40" s="10">
        <f>+AS40/BL40*100</f>
        <v>72.878094339034362</v>
      </c>
      <c r="AU40" s="97"/>
      <c r="AV40" s="10">
        <f>AU40/BK40*100</f>
        <v>0</v>
      </c>
      <c r="AW40" s="10">
        <f>AU40+AW39</f>
        <v>0</v>
      </c>
      <c r="AX40" s="10">
        <f>AW40/BL40*100</f>
        <v>0</v>
      </c>
      <c r="AY40" s="97"/>
      <c r="AZ40" s="15">
        <f>AY40/BK40*100</f>
        <v>0</v>
      </c>
      <c r="BA40" s="10">
        <f>AY40+BA39</f>
        <v>0</v>
      </c>
      <c r="BB40" s="10">
        <f>BA40/BL40*100</f>
        <v>0</v>
      </c>
      <c r="BC40" s="10">
        <f>AQ40+AU40+AY40</f>
        <v>45276.119999999995</v>
      </c>
      <c r="BD40" s="10">
        <f>BC40/BK40*100</f>
        <v>88.949162611746075</v>
      </c>
      <c r="BE40" s="10">
        <f>BC40+BE39</f>
        <v>993559.2999999997</v>
      </c>
      <c r="BF40" s="10">
        <f>BE40/BL40*100</f>
        <v>72.878094339034362</v>
      </c>
      <c r="BG40" s="97"/>
      <c r="BH40" s="10">
        <f>BG40/BK40*100</f>
        <v>0</v>
      </c>
      <c r="BI40" s="10">
        <f>BG40+BI39</f>
        <v>0</v>
      </c>
      <c r="BJ40" s="10">
        <f>BI40/BL40*100</f>
        <v>0</v>
      </c>
      <c r="BK40" s="10">
        <f t="shared" si="26"/>
        <v>50901.119999999995</v>
      </c>
      <c r="BL40" s="10">
        <f>BK40+BL39</f>
        <v>1363316.7949999999</v>
      </c>
      <c r="BM40" s="503">
        <f t="shared" si="27"/>
        <v>1.1027105719237436</v>
      </c>
      <c r="BN40" s="10">
        <f t="shared" si="28"/>
        <v>1.0874302926126955</v>
      </c>
    </row>
    <row r="41" spans="1:66">
      <c r="A41" s="16"/>
      <c r="B41" s="16"/>
      <c r="C41" s="16"/>
      <c r="D41" s="8"/>
      <c r="E41" s="7"/>
      <c r="F41" s="7"/>
      <c r="G41" s="97"/>
      <c r="H41" s="10"/>
      <c r="I41" s="8"/>
      <c r="J41" s="10"/>
      <c r="K41" s="97"/>
      <c r="L41" s="10"/>
      <c r="M41" s="10"/>
      <c r="N41" s="10"/>
      <c r="O41" s="97"/>
      <c r="P41" s="10"/>
      <c r="Q41" s="10"/>
      <c r="R41" s="10"/>
      <c r="S41" s="10"/>
      <c r="T41" s="10"/>
      <c r="U41" s="10"/>
      <c r="V41" s="10"/>
      <c r="W41" s="97"/>
      <c r="X41" s="10"/>
      <c r="Y41" s="10"/>
      <c r="Z41" s="10"/>
      <c r="AA41" s="97"/>
      <c r="AB41" s="10"/>
      <c r="AC41" s="10"/>
      <c r="AD41" s="10"/>
      <c r="AE41" s="97"/>
      <c r="AF41" s="10"/>
      <c r="AG41" s="10"/>
      <c r="AH41" s="10"/>
      <c r="AI41" s="97"/>
      <c r="AJ41" s="10"/>
      <c r="AK41" s="10"/>
      <c r="AL41" s="10"/>
      <c r="AM41" s="10"/>
      <c r="AN41" s="10"/>
      <c r="AO41" s="10"/>
      <c r="AP41" s="10"/>
      <c r="AQ41" s="97"/>
      <c r="AR41" s="10"/>
      <c r="AS41" s="10"/>
      <c r="AT41" s="10"/>
      <c r="AU41" s="97"/>
      <c r="AV41" s="10"/>
      <c r="AW41" s="10"/>
      <c r="AX41" s="10"/>
      <c r="AY41" s="97"/>
      <c r="AZ41" s="15"/>
      <c r="BA41" s="10"/>
      <c r="BB41" s="10"/>
      <c r="BC41" s="10"/>
      <c r="BD41" s="10"/>
      <c r="BE41" s="10"/>
      <c r="BF41" s="10"/>
      <c r="BG41" s="97"/>
      <c r="BH41" s="10"/>
      <c r="BI41" s="10"/>
      <c r="BJ41" s="10"/>
      <c r="BK41" s="10"/>
      <c r="BL41" s="10"/>
      <c r="BM41" s="10"/>
      <c r="BN41" s="10"/>
    </row>
    <row r="42" spans="1:66" ht="13.5" thickBot="1">
      <c r="A42" s="11" t="s">
        <v>28</v>
      </c>
      <c r="B42" s="11"/>
      <c r="C42" s="12"/>
      <c r="D42" s="12">
        <f>SUM(D10:D41)</f>
        <v>1293.6130000000001</v>
      </c>
      <c r="E42" s="12">
        <f>SUM(E10:E41)</f>
        <v>1253.7050000000004</v>
      </c>
      <c r="F42" s="12"/>
      <c r="G42" s="12">
        <f>SUM(G10:G41)</f>
        <v>43250</v>
      </c>
      <c r="H42" s="12">
        <f>G42/BK42*100</f>
        <v>3.172410122036236</v>
      </c>
      <c r="I42" s="12"/>
      <c r="J42" s="12"/>
      <c r="K42" s="12">
        <f>SUM(K10:K41)</f>
        <v>124390.93500000001</v>
      </c>
      <c r="L42" s="12"/>
      <c r="M42" s="12"/>
      <c r="N42" s="12"/>
      <c r="O42" s="12"/>
      <c r="P42" s="12"/>
      <c r="Q42" s="12"/>
      <c r="R42" s="12"/>
      <c r="S42" s="12">
        <f>SUM(S10:S41)</f>
        <v>167640.935</v>
      </c>
      <c r="T42" s="18">
        <f>S42/$BK$42*100</f>
        <v>12.296550267320663</v>
      </c>
      <c r="U42" s="12"/>
      <c r="V42" s="12"/>
      <c r="W42" s="12">
        <f>SUM(W10:W41)</f>
        <v>0</v>
      </c>
      <c r="X42" s="12" t="e">
        <f>W42/BG42*100</f>
        <v>#DIV/0!</v>
      </c>
      <c r="Y42" s="12"/>
      <c r="Z42" s="12"/>
      <c r="AA42" s="12">
        <f>SUM(AA10:AA41)</f>
        <v>0</v>
      </c>
      <c r="AB42" s="12">
        <f>AA42/$BK$42*100</f>
        <v>0</v>
      </c>
      <c r="AC42" s="12"/>
      <c r="AD42" s="12"/>
      <c r="AE42" s="12">
        <f>SUM(AE10:AE41)</f>
        <v>0</v>
      </c>
      <c r="AF42" s="12">
        <f>AE42/$BK$42*100</f>
        <v>0</v>
      </c>
      <c r="AG42" s="12"/>
      <c r="AH42" s="12"/>
      <c r="AI42" s="12">
        <f>SUM(AI10:AI41)</f>
        <v>202116.56</v>
      </c>
      <c r="AJ42" s="12">
        <f>AI42/$BK$42*100</f>
        <v>14.825355393644953</v>
      </c>
      <c r="AK42" s="12"/>
      <c r="AL42" s="12"/>
      <c r="AM42" s="12">
        <f>SUM(AM10:AM41)</f>
        <v>202116.56</v>
      </c>
      <c r="AN42" s="12"/>
      <c r="AO42" s="12"/>
      <c r="AP42" s="12"/>
      <c r="AQ42" s="12">
        <f>SUM(AQ10:AQ41)</f>
        <v>993559.2999999997</v>
      </c>
      <c r="AR42" s="12">
        <f>AQ42/$BK$42*100</f>
        <v>72.878094339034362</v>
      </c>
      <c r="AS42" s="12"/>
      <c r="AT42" s="12"/>
      <c r="AU42" s="12">
        <f>SUM(AU10:AU41)</f>
        <v>0</v>
      </c>
      <c r="AV42" s="12">
        <f>AU42/$BK$42*100</f>
        <v>0</v>
      </c>
      <c r="AW42" s="12"/>
      <c r="AX42" s="12"/>
      <c r="AY42" s="12">
        <f>SUM(AY10:AY41)</f>
        <v>0</v>
      </c>
      <c r="AZ42" s="12">
        <f>AY42/$BK$42*100</f>
        <v>0</v>
      </c>
      <c r="BA42" s="12"/>
      <c r="BB42" s="12"/>
      <c r="BC42" s="12">
        <f>SUM(BC10:BC41)</f>
        <v>993559.2999999997</v>
      </c>
      <c r="BD42" s="20">
        <f>BC42/$BK$42*100</f>
        <v>72.878094339034362</v>
      </c>
      <c r="BE42" s="12"/>
      <c r="BF42" s="12"/>
      <c r="BG42" s="12">
        <f>SUM(BG10:BG41)</f>
        <v>0</v>
      </c>
      <c r="BH42" s="12">
        <f>BG42/$BK$42*100</f>
        <v>0</v>
      </c>
      <c r="BI42" s="12"/>
      <c r="BJ42" s="12"/>
      <c r="BK42" s="12">
        <f>SUM(BK10:BK41)</f>
        <v>1363316.7949999999</v>
      </c>
      <c r="BL42" s="12">
        <f>BK42/$BK$42*100</f>
        <v>100</v>
      </c>
      <c r="BM42" s="12">
        <f>BK42/1000/E42</f>
        <v>1.0874302926126955</v>
      </c>
      <c r="BN42" s="12"/>
    </row>
    <row r="43" spans="1:66" ht="13.5" thickTop="1"/>
    <row r="44" spans="1:66">
      <c r="W44" s="14"/>
      <c r="AA44" s="14"/>
      <c r="AE44" s="14"/>
      <c r="BD44" s="14"/>
      <c r="BG44" s="14"/>
      <c r="BH44" s="14"/>
    </row>
    <row r="45" spans="1:66">
      <c r="E45" s="14"/>
      <c r="F45" s="14"/>
      <c r="G45" s="14"/>
      <c r="I45" s="14"/>
      <c r="AA45" s="14"/>
      <c r="AE45" s="14"/>
      <c r="BG45" s="14"/>
    </row>
  </sheetData>
  <mergeCells count="15">
    <mergeCell ref="G8:J8"/>
    <mergeCell ref="O8:R8"/>
    <mergeCell ref="K8:N8"/>
    <mergeCell ref="BK8:BL8"/>
    <mergeCell ref="BM8:BN8"/>
    <mergeCell ref="S8:V8"/>
    <mergeCell ref="W8:Z8"/>
    <mergeCell ref="AA8:AD8"/>
    <mergeCell ref="AE8:AH8"/>
    <mergeCell ref="AI8:AL8"/>
    <mergeCell ref="AM8:AP8"/>
    <mergeCell ref="AQ8:AT8"/>
    <mergeCell ref="AU8:AX8"/>
    <mergeCell ref="AY8:BB8"/>
    <mergeCell ref="BC8:BF8"/>
  </mergeCells>
  <phoneticPr fontId="32" type="noConversion"/>
  <pageMargins left="0.19513888888888889" right="0.19513888888888889" top="0.05" bottom="0.05" header="0" footer="0"/>
  <pageSetup paperSize="9" scale="70" firstPageNumber="4294963191" orientation="landscape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5"/>
  <sheetViews>
    <sheetView topLeftCell="A109" zoomScale="91" zoomScaleNormal="91" workbookViewId="0">
      <selection activeCell="E136" sqref="E136"/>
    </sheetView>
  </sheetViews>
  <sheetFormatPr defaultRowHeight="12.75"/>
  <cols>
    <col min="2" max="2" width="10.85546875" style="461" bestFit="1" customWidth="1"/>
    <col min="3" max="3" width="11.85546875" style="4" customWidth="1"/>
    <col min="4" max="4" width="38.28515625" customWidth="1"/>
    <col min="5" max="6" width="23.140625" bestFit="1" customWidth="1"/>
    <col min="8" max="8" width="30.7109375" bestFit="1" customWidth="1"/>
    <col min="10" max="10" width="12" customWidth="1"/>
    <col min="13" max="13" width="10.85546875" style="461" bestFit="1" customWidth="1"/>
    <col min="14" max="14" width="11.85546875" style="4" customWidth="1"/>
    <col min="15" max="15" width="38.28515625" customWidth="1"/>
    <col min="16" max="17" width="23.140625" bestFit="1" customWidth="1"/>
    <col min="19" max="19" width="30.7109375" bestFit="1" customWidth="1"/>
    <col min="21" max="21" width="12" customWidth="1"/>
  </cols>
  <sheetData>
    <row r="1" spans="1:21" ht="30">
      <c r="A1" s="413" t="s">
        <v>185</v>
      </c>
      <c r="B1" s="454" t="s">
        <v>8</v>
      </c>
      <c r="C1" s="455" t="s">
        <v>256</v>
      </c>
      <c r="D1" s="456" t="s">
        <v>127</v>
      </c>
      <c r="E1" s="456" t="s">
        <v>257</v>
      </c>
      <c r="F1" s="456" t="s">
        <v>258</v>
      </c>
      <c r="H1" s="453" t="s">
        <v>259</v>
      </c>
      <c r="I1" s="446" t="s">
        <v>260</v>
      </c>
      <c r="J1" s="446" t="s">
        <v>261</v>
      </c>
      <c r="L1" s="413" t="s">
        <v>371</v>
      </c>
      <c r="M1" s="454" t="s">
        <v>8</v>
      </c>
      <c r="N1" s="455" t="s">
        <v>256</v>
      </c>
      <c r="O1" s="456" t="s">
        <v>127</v>
      </c>
      <c r="P1" s="456" t="s">
        <v>257</v>
      </c>
      <c r="Q1" s="456" t="s">
        <v>258</v>
      </c>
      <c r="S1" s="524" t="s">
        <v>259</v>
      </c>
      <c r="T1" s="446" t="s">
        <v>260</v>
      </c>
      <c r="U1" s="446" t="s">
        <v>261</v>
      </c>
    </row>
    <row r="2" spans="1:21">
      <c r="B2" s="329">
        <v>45839</v>
      </c>
      <c r="C2" s="4">
        <v>21</v>
      </c>
      <c r="D2" s="460" t="s">
        <v>413</v>
      </c>
      <c r="E2" t="s">
        <v>247</v>
      </c>
      <c r="F2" t="s">
        <v>244</v>
      </c>
      <c r="H2" s="6" t="s">
        <v>147</v>
      </c>
      <c r="I2" s="307">
        <f>+Efficiency1!Z138</f>
        <v>1.5791230812832167</v>
      </c>
      <c r="J2" s="448">
        <f t="shared" ref="J2:J3" si="0">I2/$I$8</f>
        <v>1.1108504415096141E-3</v>
      </c>
      <c r="M2" s="329">
        <v>45839</v>
      </c>
      <c r="N2" s="4">
        <v>21</v>
      </c>
      <c r="O2" s="460" t="s">
        <v>413</v>
      </c>
      <c r="P2" t="s">
        <v>247</v>
      </c>
      <c r="Q2" t="s">
        <v>244</v>
      </c>
      <c r="S2" s="6" t="s">
        <v>147</v>
      </c>
      <c r="T2" s="307">
        <f>+Efficiency2!Z138</f>
        <v>1.5791230812832167</v>
      </c>
      <c r="U2" s="448">
        <f>T2/$T$8</f>
        <v>1.1127080509801997E-3</v>
      </c>
    </row>
    <row r="3" spans="1:21">
      <c r="B3" s="329"/>
      <c r="C3" s="4">
        <v>10</v>
      </c>
      <c r="D3" s="460" t="s">
        <v>385</v>
      </c>
      <c r="E3" t="s">
        <v>245</v>
      </c>
      <c r="F3" t="s">
        <v>244</v>
      </c>
      <c r="H3" s="6" t="s">
        <v>238</v>
      </c>
      <c r="I3" s="307">
        <f>+Efficiency1!Y138+Efficiency1!AA138</f>
        <v>9.7949597681579732</v>
      </c>
      <c r="J3" s="448">
        <f t="shared" si="0"/>
        <v>6.8903656162034935E-3</v>
      </c>
      <c r="M3" s="329"/>
      <c r="N3" s="4">
        <v>10</v>
      </c>
      <c r="O3" s="460" t="s">
        <v>385</v>
      </c>
      <c r="P3" t="s">
        <v>245</v>
      </c>
      <c r="Q3" t="s">
        <v>244</v>
      </c>
      <c r="S3" s="6" t="s">
        <v>238</v>
      </c>
      <c r="T3" s="307">
        <f>+Efficiency2!AA138+Efficiency2!Y138</f>
        <v>9.7949597681579732</v>
      </c>
      <c r="U3" s="448">
        <f t="shared" ref="U3:U5" si="1">T3/$T$8</f>
        <v>6.9018879669594281E-3</v>
      </c>
    </row>
    <row r="4" spans="1:21">
      <c r="B4" s="41"/>
      <c r="C4" s="4">
        <v>39</v>
      </c>
      <c r="D4" s="460" t="s">
        <v>414</v>
      </c>
      <c r="E4" t="s">
        <v>246</v>
      </c>
      <c r="F4" t="s">
        <v>244</v>
      </c>
      <c r="H4" s="6" t="s">
        <v>262</v>
      </c>
      <c r="I4" s="307">
        <f>+Efficiency1!AB138</f>
        <v>-0.73442867458194727</v>
      </c>
      <c r="J4" s="448">
        <f>I4/$I$8</f>
        <v>-5.1664143668504541E-4</v>
      </c>
      <c r="M4" s="41"/>
      <c r="N4" s="4">
        <v>39</v>
      </c>
      <c r="O4" s="460" t="s">
        <v>414</v>
      </c>
      <c r="P4" t="s">
        <v>246</v>
      </c>
      <c r="Q4" t="s">
        <v>244</v>
      </c>
      <c r="S4" s="6" t="s">
        <v>262</v>
      </c>
      <c r="T4" s="307">
        <f>+Efficiency2!AB138</f>
        <v>-0.6360503072854391</v>
      </c>
      <c r="U4" s="448">
        <f t="shared" si="1"/>
        <v>-4.4818437912377319E-4</v>
      </c>
    </row>
    <row r="5" spans="1:21" ht="15" customHeight="1">
      <c r="B5" s="41"/>
      <c r="C5" s="4">
        <v>18</v>
      </c>
      <c r="D5" s="460" t="s">
        <v>416</v>
      </c>
      <c r="E5" t="s">
        <v>554</v>
      </c>
      <c r="F5" t="s">
        <v>307</v>
      </c>
      <c r="H5" s="6" t="s">
        <v>241</v>
      </c>
      <c r="I5" s="307">
        <f>+Efficiency1!AC138</f>
        <v>20.073301309948576</v>
      </c>
      <c r="J5" s="448">
        <f>I5/$I$8</f>
        <v>1.4120771133680016E-2</v>
      </c>
      <c r="M5" s="41"/>
      <c r="N5" s="4">
        <v>18</v>
      </c>
      <c r="O5" s="460" t="s">
        <v>416</v>
      </c>
      <c r="P5" t="s">
        <v>554</v>
      </c>
      <c r="Q5" t="s">
        <v>307</v>
      </c>
      <c r="S5" s="6" t="s">
        <v>241</v>
      </c>
      <c r="T5" s="307">
        <f>+Efficiency2!AC138</f>
        <v>19.974922942652064</v>
      </c>
      <c r="U5" s="448">
        <f t="shared" si="1"/>
        <v>1.4075063457331456E-2</v>
      </c>
    </row>
    <row r="6" spans="1:21" ht="15" customHeight="1">
      <c r="B6" s="329"/>
      <c r="C6" s="4">
        <v>146</v>
      </c>
      <c r="D6" s="460" t="s">
        <v>415</v>
      </c>
      <c r="E6" t="s">
        <v>554</v>
      </c>
      <c r="F6" t="s">
        <v>306</v>
      </c>
      <c r="M6" s="329"/>
      <c r="N6" s="4">
        <v>68</v>
      </c>
      <c r="O6" s="460" t="s">
        <v>415</v>
      </c>
      <c r="P6" t="s">
        <v>554</v>
      </c>
      <c r="Q6" t="s">
        <v>306</v>
      </c>
    </row>
    <row r="7" spans="1:21" ht="12.75" customHeight="1">
      <c r="B7" s="329"/>
      <c r="I7" s="457"/>
      <c r="J7" s="458"/>
      <c r="M7" s="329"/>
      <c r="T7" s="457"/>
      <c r="U7" s="458"/>
    </row>
    <row r="8" spans="1:21" ht="12.75" customHeight="1">
      <c r="B8" s="329">
        <v>45840</v>
      </c>
      <c r="C8" s="4">
        <v>6</v>
      </c>
      <c r="D8" t="s">
        <v>394</v>
      </c>
      <c r="E8" t="s">
        <v>247</v>
      </c>
      <c r="F8" t="s">
        <v>244</v>
      </c>
      <c r="H8" s="459" t="s">
        <v>263</v>
      </c>
      <c r="I8" s="7">
        <f>+Efficiency1!K138</f>
        <v>1421.5442711957098</v>
      </c>
      <c r="M8" s="329">
        <v>45840</v>
      </c>
      <c r="N8" s="4">
        <v>6</v>
      </c>
      <c r="O8" t="s">
        <v>394</v>
      </c>
      <c r="P8" t="s">
        <v>247</v>
      </c>
      <c r="Q8" t="s">
        <v>244</v>
      </c>
      <c r="S8" s="459" t="s">
        <v>263</v>
      </c>
      <c r="T8" s="7">
        <f>+Efficiency2!K138</f>
        <v>1419.1710753707098</v>
      </c>
    </row>
    <row r="9" spans="1:21" ht="12.75" customHeight="1">
      <c r="B9" s="329"/>
      <c r="C9" s="4">
        <v>8</v>
      </c>
      <c r="D9" t="s">
        <v>385</v>
      </c>
      <c r="E9" t="s">
        <v>245</v>
      </c>
      <c r="F9" t="s">
        <v>244</v>
      </c>
      <c r="H9" s="459" t="s">
        <v>264</v>
      </c>
      <c r="I9" s="7">
        <f>+Efficiency1!AD138</f>
        <v>4330</v>
      </c>
      <c r="M9" s="329"/>
      <c r="N9" s="4">
        <v>8</v>
      </c>
      <c r="O9" t="s">
        <v>385</v>
      </c>
      <c r="P9" t="s">
        <v>245</v>
      </c>
      <c r="Q9" t="s">
        <v>244</v>
      </c>
      <c r="S9" s="459" t="s">
        <v>264</v>
      </c>
      <c r="T9" s="7">
        <f>+Efficiency2!AD138</f>
        <v>4252</v>
      </c>
    </row>
    <row r="10" spans="1:21" ht="15" customHeight="1">
      <c r="B10" s="329"/>
      <c r="C10" s="4">
        <v>44</v>
      </c>
      <c r="D10" t="s">
        <v>444</v>
      </c>
      <c r="E10" t="s">
        <v>246</v>
      </c>
      <c r="F10" t="s">
        <v>244</v>
      </c>
      <c r="H10" s="459" t="s">
        <v>265</v>
      </c>
      <c r="I10" s="7">
        <f>+Efficiency1!V138</f>
        <v>137.12631571090171</v>
      </c>
      <c r="M10" s="329"/>
      <c r="N10" s="4">
        <v>44</v>
      </c>
      <c r="O10" t="s">
        <v>444</v>
      </c>
      <c r="P10" t="s">
        <v>246</v>
      </c>
      <c r="Q10" t="s">
        <v>244</v>
      </c>
      <c r="S10" s="459" t="s">
        <v>265</v>
      </c>
      <c r="T10" s="7">
        <f>+Efficiency2!V138</f>
        <v>134.75311988590173</v>
      </c>
    </row>
    <row r="11" spans="1:21" ht="12.75" customHeight="1">
      <c r="B11" s="329"/>
      <c r="C11" s="4">
        <v>137</v>
      </c>
      <c r="D11" t="s">
        <v>447</v>
      </c>
      <c r="E11" t="s">
        <v>554</v>
      </c>
      <c r="F11" t="s">
        <v>306</v>
      </c>
      <c r="H11" s="459" t="s">
        <v>266</v>
      </c>
      <c r="I11" s="451">
        <f>I10/I8</f>
        <v>9.6462923096696837E-2</v>
      </c>
      <c r="M11" s="329"/>
      <c r="N11" s="4">
        <v>137</v>
      </c>
      <c r="O11" t="s">
        <v>447</v>
      </c>
      <c r="P11" t="s">
        <v>554</v>
      </c>
      <c r="Q11" t="s">
        <v>306</v>
      </c>
      <c r="S11" s="459" t="s">
        <v>266</v>
      </c>
      <c r="T11" s="451">
        <f>T10/T8</f>
        <v>9.4951991500180549E-2</v>
      </c>
    </row>
    <row r="12" spans="1:21">
      <c r="B12" s="329"/>
      <c r="M12" s="329"/>
    </row>
    <row r="13" spans="1:21">
      <c r="B13" s="329">
        <v>45841</v>
      </c>
      <c r="C13" s="4">
        <v>15</v>
      </c>
      <c r="D13" t="s">
        <v>454</v>
      </c>
      <c r="E13" t="s">
        <v>247</v>
      </c>
      <c r="F13" t="s">
        <v>244</v>
      </c>
      <c r="M13" s="329">
        <v>45841</v>
      </c>
      <c r="N13" s="4">
        <v>15</v>
      </c>
      <c r="O13" t="s">
        <v>454</v>
      </c>
      <c r="P13" t="s">
        <v>247</v>
      </c>
      <c r="Q13" t="s">
        <v>244</v>
      </c>
    </row>
    <row r="14" spans="1:21" ht="15" customHeight="1">
      <c r="B14" s="329"/>
      <c r="C14" s="4">
        <v>9</v>
      </c>
      <c r="D14" t="s">
        <v>385</v>
      </c>
      <c r="E14" t="s">
        <v>245</v>
      </c>
      <c r="F14" t="s">
        <v>244</v>
      </c>
      <c r="M14" s="329"/>
      <c r="N14" s="4">
        <v>9</v>
      </c>
      <c r="O14" t="s">
        <v>385</v>
      </c>
      <c r="P14" t="s">
        <v>245</v>
      </c>
      <c r="Q14" t="s">
        <v>244</v>
      </c>
    </row>
    <row r="15" spans="1:21" ht="15" customHeight="1">
      <c r="B15" s="329"/>
      <c r="C15" s="4">
        <v>53</v>
      </c>
      <c r="D15" t="s">
        <v>456</v>
      </c>
      <c r="E15" t="s">
        <v>246</v>
      </c>
      <c r="F15" t="s">
        <v>244</v>
      </c>
      <c r="G15" s="504">
        <f>+summary!H42</f>
        <v>1</v>
      </c>
      <c r="M15" s="329"/>
      <c r="N15" s="4">
        <v>53</v>
      </c>
      <c r="O15" t="s">
        <v>456</v>
      </c>
      <c r="P15" t="s">
        <v>246</v>
      </c>
      <c r="Q15" t="s">
        <v>244</v>
      </c>
      <c r="R15" s="504">
        <f>+summary!Q42</f>
        <v>1.0000000000000002</v>
      </c>
    </row>
    <row r="16" spans="1:21">
      <c r="B16" s="329"/>
      <c r="M16" s="329"/>
    </row>
    <row r="17" spans="2:17">
      <c r="B17" s="329">
        <v>45842</v>
      </c>
      <c r="C17" s="4">
        <v>9</v>
      </c>
      <c r="D17" t="s">
        <v>394</v>
      </c>
      <c r="E17" t="s">
        <v>247</v>
      </c>
      <c r="F17" t="s">
        <v>244</v>
      </c>
      <c r="M17" s="329">
        <v>45842</v>
      </c>
      <c r="N17" s="4">
        <v>9</v>
      </c>
      <c r="O17" t="s">
        <v>394</v>
      </c>
      <c r="P17" t="s">
        <v>247</v>
      </c>
      <c r="Q17" t="s">
        <v>244</v>
      </c>
    </row>
    <row r="18" spans="2:17">
      <c r="B18" s="329"/>
      <c r="C18" s="4">
        <v>16</v>
      </c>
      <c r="D18" t="s">
        <v>460</v>
      </c>
      <c r="E18" t="s">
        <v>245</v>
      </c>
      <c r="F18" t="s">
        <v>244</v>
      </c>
      <c r="M18" s="329"/>
      <c r="N18" s="4">
        <v>16</v>
      </c>
      <c r="O18" t="s">
        <v>460</v>
      </c>
      <c r="P18" t="s">
        <v>245</v>
      </c>
      <c r="Q18" t="s">
        <v>244</v>
      </c>
    </row>
    <row r="19" spans="2:17">
      <c r="B19" s="329"/>
      <c r="C19" s="4">
        <v>37</v>
      </c>
      <c r="D19" t="s">
        <v>444</v>
      </c>
      <c r="E19" t="s">
        <v>246</v>
      </c>
      <c r="F19" t="s">
        <v>244</v>
      </c>
      <c r="M19" s="329"/>
      <c r="N19" s="4">
        <v>37</v>
      </c>
      <c r="O19" t="s">
        <v>444</v>
      </c>
      <c r="P19" t="s">
        <v>246</v>
      </c>
      <c r="Q19" t="s">
        <v>244</v>
      </c>
    </row>
    <row r="20" spans="2:17">
      <c r="B20" s="329"/>
      <c r="M20" s="329"/>
    </row>
    <row r="21" spans="2:17">
      <c r="B21" s="329">
        <v>45843</v>
      </c>
      <c r="C21" s="4">
        <v>12</v>
      </c>
      <c r="D21" t="s">
        <v>394</v>
      </c>
      <c r="E21" t="s">
        <v>247</v>
      </c>
      <c r="F21" t="s">
        <v>244</v>
      </c>
      <c r="M21" s="329">
        <v>45843</v>
      </c>
      <c r="N21" s="4">
        <v>12</v>
      </c>
      <c r="O21" t="s">
        <v>394</v>
      </c>
      <c r="P21" t="s">
        <v>247</v>
      </c>
      <c r="Q21" t="s">
        <v>244</v>
      </c>
    </row>
    <row r="22" spans="2:17">
      <c r="B22" s="329"/>
      <c r="C22" s="4">
        <v>9</v>
      </c>
      <c r="D22" t="s">
        <v>385</v>
      </c>
      <c r="E22" t="s">
        <v>245</v>
      </c>
      <c r="F22" t="s">
        <v>244</v>
      </c>
      <c r="M22" s="329"/>
      <c r="N22" s="4">
        <v>9</v>
      </c>
      <c r="O22" t="s">
        <v>385</v>
      </c>
      <c r="P22" t="s">
        <v>245</v>
      </c>
      <c r="Q22" t="s">
        <v>244</v>
      </c>
    </row>
    <row r="23" spans="2:17">
      <c r="B23" s="329"/>
      <c r="C23" s="4">
        <v>49</v>
      </c>
      <c r="D23" t="s">
        <v>456</v>
      </c>
      <c r="E23" t="s">
        <v>246</v>
      </c>
      <c r="F23" t="s">
        <v>244</v>
      </c>
      <c r="M23" s="329"/>
      <c r="N23" s="4">
        <v>49</v>
      </c>
      <c r="O23" t="s">
        <v>456</v>
      </c>
      <c r="P23" t="s">
        <v>246</v>
      </c>
      <c r="Q23" t="s">
        <v>244</v>
      </c>
    </row>
    <row r="24" spans="2:17">
      <c r="B24" s="329"/>
      <c r="M24" s="329"/>
    </row>
    <row r="25" spans="2:17">
      <c r="B25" s="329">
        <v>45844</v>
      </c>
      <c r="C25" s="4">
        <v>57</v>
      </c>
      <c r="D25" t="s">
        <v>474</v>
      </c>
      <c r="E25" t="s">
        <v>247</v>
      </c>
      <c r="F25" t="s">
        <v>244</v>
      </c>
      <c r="M25" s="329">
        <v>45844</v>
      </c>
      <c r="N25" s="4">
        <v>57</v>
      </c>
      <c r="O25" t="s">
        <v>474</v>
      </c>
      <c r="P25" t="s">
        <v>247</v>
      </c>
      <c r="Q25" t="s">
        <v>244</v>
      </c>
    </row>
    <row r="26" spans="2:17">
      <c r="B26" s="329"/>
      <c r="C26" s="4">
        <v>0</v>
      </c>
      <c r="D26" t="s">
        <v>408</v>
      </c>
      <c r="E26" t="s">
        <v>245</v>
      </c>
      <c r="F26" t="s">
        <v>244</v>
      </c>
      <c r="M26" s="329"/>
      <c r="N26" s="4">
        <v>0</v>
      </c>
      <c r="O26" t="s">
        <v>408</v>
      </c>
      <c r="P26" t="s">
        <v>245</v>
      </c>
      <c r="Q26" t="s">
        <v>244</v>
      </c>
    </row>
    <row r="27" spans="2:17">
      <c r="B27" s="329"/>
      <c r="C27" s="4">
        <v>45</v>
      </c>
      <c r="D27" t="s">
        <v>444</v>
      </c>
      <c r="E27" t="s">
        <v>246</v>
      </c>
      <c r="F27" t="s">
        <v>244</v>
      </c>
      <c r="M27" s="329"/>
      <c r="N27" s="4">
        <v>45</v>
      </c>
      <c r="O27" t="s">
        <v>444</v>
      </c>
      <c r="P27" t="s">
        <v>246</v>
      </c>
      <c r="Q27" t="s">
        <v>244</v>
      </c>
    </row>
    <row r="28" spans="2:17">
      <c r="B28" s="329"/>
      <c r="M28" s="329"/>
    </row>
    <row r="29" spans="2:17">
      <c r="B29" s="329">
        <v>45845</v>
      </c>
      <c r="C29" s="4">
        <v>48</v>
      </c>
      <c r="D29" t="s">
        <v>491</v>
      </c>
      <c r="E29" t="s">
        <v>247</v>
      </c>
      <c r="F29" t="s">
        <v>244</v>
      </c>
      <c r="M29" s="329">
        <v>45845</v>
      </c>
      <c r="N29" s="4">
        <v>48</v>
      </c>
      <c r="O29" t="s">
        <v>491</v>
      </c>
      <c r="P29" t="s">
        <v>247</v>
      </c>
      <c r="Q29" t="s">
        <v>244</v>
      </c>
    </row>
    <row r="30" spans="2:17">
      <c r="B30" s="329"/>
      <c r="C30" s="4">
        <v>0</v>
      </c>
      <c r="D30" t="s">
        <v>408</v>
      </c>
      <c r="E30" t="s">
        <v>245</v>
      </c>
      <c r="F30" t="s">
        <v>244</v>
      </c>
      <c r="M30" s="329"/>
      <c r="N30" s="4">
        <v>0</v>
      </c>
      <c r="O30" t="s">
        <v>408</v>
      </c>
      <c r="P30" t="s">
        <v>245</v>
      </c>
      <c r="Q30" t="s">
        <v>244</v>
      </c>
    </row>
    <row r="31" spans="2:17">
      <c r="B31" s="329"/>
      <c r="C31" s="4">
        <v>45</v>
      </c>
      <c r="D31" t="s">
        <v>492</v>
      </c>
      <c r="E31" t="s">
        <v>246</v>
      </c>
      <c r="F31" t="s">
        <v>244</v>
      </c>
      <c r="M31" s="329"/>
      <c r="N31" s="4">
        <v>45</v>
      </c>
      <c r="O31" t="s">
        <v>492</v>
      </c>
      <c r="P31" t="s">
        <v>246</v>
      </c>
      <c r="Q31" t="s">
        <v>244</v>
      </c>
    </row>
    <row r="32" spans="2:17">
      <c r="B32" s="329"/>
      <c r="M32" s="329"/>
    </row>
    <row r="33" spans="2:17">
      <c r="B33" s="329">
        <v>45846</v>
      </c>
      <c r="C33" s="4">
        <v>45</v>
      </c>
      <c r="D33" t="s">
        <v>504</v>
      </c>
      <c r="E33" t="s">
        <v>247</v>
      </c>
      <c r="F33" t="s">
        <v>244</v>
      </c>
      <c r="M33" s="329">
        <v>45846</v>
      </c>
      <c r="N33" s="4">
        <v>45</v>
      </c>
      <c r="O33" t="s">
        <v>504</v>
      </c>
      <c r="P33" t="s">
        <v>247</v>
      </c>
      <c r="Q33" t="s">
        <v>244</v>
      </c>
    </row>
    <row r="34" spans="2:17">
      <c r="B34" s="329"/>
      <c r="C34" s="4">
        <v>8</v>
      </c>
      <c r="D34" t="s">
        <v>503</v>
      </c>
      <c r="E34" t="s">
        <v>245</v>
      </c>
      <c r="F34" t="s">
        <v>244</v>
      </c>
      <c r="M34" s="329"/>
      <c r="N34" s="4">
        <v>8</v>
      </c>
      <c r="O34" t="s">
        <v>503</v>
      </c>
      <c r="P34" t="s">
        <v>245</v>
      </c>
      <c r="Q34" t="s">
        <v>244</v>
      </c>
    </row>
    <row r="35" spans="2:17">
      <c r="B35" s="329"/>
      <c r="C35" s="4">
        <v>32</v>
      </c>
      <c r="D35" t="s">
        <v>456</v>
      </c>
      <c r="E35" t="s">
        <v>246</v>
      </c>
      <c r="F35" t="s">
        <v>244</v>
      </c>
      <c r="M35" s="329"/>
      <c r="N35" s="4">
        <v>32</v>
      </c>
      <c r="O35" t="s">
        <v>456</v>
      </c>
      <c r="P35" t="s">
        <v>246</v>
      </c>
      <c r="Q35" t="s">
        <v>244</v>
      </c>
    </row>
    <row r="36" spans="2:17">
      <c r="B36" s="329"/>
      <c r="M36" s="329"/>
    </row>
    <row r="37" spans="2:17">
      <c r="B37" s="329">
        <v>45847</v>
      </c>
      <c r="C37" s="4">
        <v>47</v>
      </c>
      <c r="D37" t="s">
        <v>504</v>
      </c>
      <c r="E37" t="s">
        <v>247</v>
      </c>
      <c r="F37" t="s">
        <v>244</v>
      </c>
      <c r="M37" s="329">
        <v>45847</v>
      </c>
      <c r="N37" s="4">
        <v>47</v>
      </c>
      <c r="O37" t="s">
        <v>504</v>
      </c>
      <c r="P37" t="s">
        <v>247</v>
      </c>
      <c r="Q37" t="s">
        <v>244</v>
      </c>
    </row>
    <row r="38" spans="2:17">
      <c r="B38" s="329"/>
      <c r="C38" s="4">
        <v>10</v>
      </c>
      <c r="D38" t="s">
        <v>511</v>
      </c>
      <c r="E38" t="s">
        <v>245</v>
      </c>
      <c r="F38" t="s">
        <v>244</v>
      </c>
      <c r="M38" s="329"/>
      <c r="N38" s="4">
        <v>10</v>
      </c>
      <c r="O38" t="s">
        <v>511</v>
      </c>
      <c r="P38" t="s">
        <v>245</v>
      </c>
      <c r="Q38" t="s">
        <v>244</v>
      </c>
    </row>
    <row r="39" spans="2:17">
      <c r="B39" s="329"/>
      <c r="C39" s="4">
        <v>35</v>
      </c>
      <c r="D39" t="s">
        <v>444</v>
      </c>
      <c r="E39" t="s">
        <v>246</v>
      </c>
      <c r="F39" t="s">
        <v>244</v>
      </c>
      <c r="M39" s="329"/>
      <c r="N39" s="4">
        <v>35</v>
      </c>
      <c r="O39" t="s">
        <v>444</v>
      </c>
      <c r="P39" t="s">
        <v>246</v>
      </c>
      <c r="Q39" t="s">
        <v>244</v>
      </c>
    </row>
    <row r="40" spans="2:17">
      <c r="B40" s="329"/>
      <c r="M40" s="329"/>
    </row>
    <row r="41" spans="2:17">
      <c r="B41" s="329">
        <v>45848</v>
      </c>
      <c r="C41" s="4">
        <v>49</v>
      </c>
      <c r="D41" t="s">
        <v>504</v>
      </c>
      <c r="E41" t="s">
        <v>247</v>
      </c>
      <c r="F41" t="s">
        <v>244</v>
      </c>
      <c r="M41" s="329">
        <v>45848</v>
      </c>
      <c r="N41" s="4">
        <v>49</v>
      </c>
      <c r="O41" t="s">
        <v>504</v>
      </c>
      <c r="P41" t="s">
        <v>247</v>
      </c>
      <c r="Q41" t="s">
        <v>244</v>
      </c>
    </row>
    <row r="42" spans="2:17">
      <c r="B42" s="329"/>
      <c r="C42" s="4">
        <v>9</v>
      </c>
      <c r="D42" t="s">
        <v>521</v>
      </c>
      <c r="E42" t="s">
        <v>245</v>
      </c>
      <c r="F42" t="s">
        <v>244</v>
      </c>
      <c r="M42" s="329"/>
      <c r="N42" s="4">
        <v>9</v>
      </c>
      <c r="O42" t="s">
        <v>521</v>
      </c>
      <c r="P42" t="s">
        <v>245</v>
      </c>
      <c r="Q42" t="s">
        <v>244</v>
      </c>
    </row>
    <row r="43" spans="2:17">
      <c r="B43" s="329"/>
      <c r="C43" s="4">
        <v>41</v>
      </c>
      <c r="D43" t="s">
        <v>414</v>
      </c>
      <c r="E43" t="s">
        <v>246</v>
      </c>
      <c r="F43" t="s">
        <v>244</v>
      </c>
      <c r="M43" s="329"/>
      <c r="N43" s="4">
        <v>41</v>
      </c>
      <c r="O43" t="s">
        <v>414</v>
      </c>
      <c r="P43" t="s">
        <v>246</v>
      </c>
      <c r="Q43" t="s">
        <v>244</v>
      </c>
    </row>
    <row r="44" spans="2:17">
      <c r="B44" s="329"/>
      <c r="M44" s="329"/>
    </row>
    <row r="45" spans="2:17">
      <c r="B45" s="329">
        <v>45849</v>
      </c>
      <c r="C45" s="4">
        <v>41</v>
      </c>
      <c r="D45" t="s">
        <v>528</v>
      </c>
      <c r="E45" t="s">
        <v>247</v>
      </c>
      <c r="F45" t="s">
        <v>244</v>
      </c>
      <c r="M45" s="329">
        <v>45849</v>
      </c>
      <c r="N45" s="4">
        <v>41</v>
      </c>
      <c r="O45" t="s">
        <v>528</v>
      </c>
      <c r="P45" t="s">
        <v>247</v>
      </c>
      <c r="Q45" t="s">
        <v>244</v>
      </c>
    </row>
    <row r="46" spans="2:17">
      <c r="B46" s="329"/>
      <c r="C46" s="4">
        <v>0</v>
      </c>
      <c r="D46" t="s">
        <v>408</v>
      </c>
      <c r="E46" t="s">
        <v>245</v>
      </c>
      <c r="F46" t="s">
        <v>244</v>
      </c>
      <c r="M46" s="329"/>
      <c r="N46" s="4">
        <v>0</v>
      </c>
      <c r="O46" t="s">
        <v>408</v>
      </c>
      <c r="P46" t="s">
        <v>245</v>
      </c>
      <c r="Q46" t="s">
        <v>244</v>
      </c>
    </row>
    <row r="47" spans="2:17">
      <c r="B47" s="329"/>
      <c r="C47" s="4">
        <v>43</v>
      </c>
      <c r="D47" t="s">
        <v>414</v>
      </c>
      <c r="E47" t="s">
        <v>246</v>
      </c>
      <c r="F47" t="s">
        <v>244</v>
      </c>
      <c r="M47" s="329"/>
      <c r="N47" s="4">
        <v>43</v>
      </c>
      <c r="O47" t="s">
        <v>414</v>
      </c>
      <c r="P47" t="s">
        <v>246</v>
      </c>
      <c r="Q47" t="s">
        <v>244</v>
      </c>
    </row>
    <row r="48" spans="2:17">
      <c r="B48" s="329"/>
      <c r="M48" s="329"/>
    </row>
    <row r="49" spans="2:17">
      <c r="B49" s="329">
        <v>45850</v>
      </c>
      <c r="C49" s="4">
        <v>24</v>
      </c>
      <c r="D49" t="s">
        <v>471</v>
      </c>
      <c r="E49" t="s">
        <v>247</v>
      </c>
      <c r="F49" t="s">
        <v>244</v>
      </c>
      <c r="M49" s="329">
        <v>45850</v>
      </c>
      <c r="N49" s="4">
        <v>24</v>
      </c>
      <c r="O49" t="s">
        <v>471</v>
      </c>
      <c r="P49" t="s">
        <v>247</v>
      </c>
      <c r="Q49" t="s">
        <v>244</v>
      </c>
    </row>
    <row r="50" spans="2:17">
      <c r="B50" s="329"/>
      <c r="C50" s="4">
        <v>10</v>
      </c>
      <c r="D50" t="s">
        <v>460</v>
      </c>
      <c r="E50" t="s">
        <v>245</v>
      </c>
      <c r="F50" t="s">
        <v>244</v>
      </c>
      <c r="M50" s="329"/>
      <c r="N50" s="4">
        <v>10</v>
      </c>
      <c r="O50" t="s">
        <v>460</v>
      </c>
      <c r="P50" t="s">
        <v>245</v>
      </c>
      <c r="Q50" t="s">
        <v>244</v>
      </c>
    </row>
    <row r="51" spans="2:17">
      <c r="B51" s="329"/>
      <c r="C51" s="4">
        <v>46</v>
      </c>
      <c r="D51" t="s">
        <v>492</v>
      </c>
      <c r="E51" t="s">
        <v>246</v>
      </c>
      <c r="F51" t="s">
        <v>244</v>
      </c>
      <c r="M51" s="329"/>
      <c r="N51" s="4">
        <v>46</v>
      </c>
      <c r="O51" t="s">
        <v>492</v>
      </c>
      <c r="P51" t="s">
        <v>246</v>
      </c>
      <c r="Q51" t="s">
        <v>244</v>
      </c>
    </row>
    <row r="52" spans="2:17">
      <c r="B52" s="329"/>
      <c r="M52" s="329"/>
    </row>
    <row r="53" spans="2:17">
      <c r="B53" s="329">
        <v>45851</v>
      </c>
      <c r="C53" s="4">
        <v>32</v>
      </c>
      <c r="D53" t="s">
        <v>471</v>
      </c>
      <c r="E53" t="s">
        <v>247</v>
      </c>
      <c r="F53" t="s">
        <v>244</v>
      </c>
      <c r="M53" s="329">
        <v>45851</v>
      </c>
      <c r="N53" s="4">
        <v>32</v>
      </c>
      <c r="O53" t="s">
        <v>471</v>
      </c>
      <c r="P53" t="s">
        <v>247</v>
      </c>
      <c r="Q53" t="s">
        <v>244</v>
      </c>
    </row>
    <row r="54" spans="2:17">
      <c r="B54" s="329"/>
      <c r="C54" s="4">
        <v>9</v>
      </c>
      <c r="D54" t="s">
        <v>521</v>
      </c>
      <c r="E54" t="s">
        <v>245</v>
      </c>
      <c r="F54" t="s">
        <v>244</v>
      </c>
      <c r="M54" s="329"/>
      <c r="N54" s="4">
        <v>9</v>
      </c>
      <c r="O54" t="s">
        <v>521</v>
      </c>
      <c r="P54" t="s">
        <v>245</v>
      </c>
      <c r="Q54" t="s">
        <v>244</v>
      </c>
    </row>
    <row r="55" spans="2:17">
      <c r="B55" s="329"/>
      <c r="C55" s="4">
        <v>40</v>
      </c>
      <c r="D55" t="s">
        <v>456</v>
      </c>
      <c r="E55" t="s">
        <v>246</v>
      </c>
      <c r="F55" t="s">
        <v>244</v>
      </c>
      <c r="M55" s="329"/>
      <c r="N55" s="4">
        <v>40</v>
      </c>
      <c r="O55" t="s">
        <v>456</v>
      </c>
      <c r="P55" t="s">
        <v>246</v>
      </c>
      <c r="Q55" t="s">
        <v>244</v>
      </c>
    </row>
    <row r="56" spans="2:17">
      <c r="B56" s="329"/>
      <c r="C56" s="4">
        <v>113</v>
      </c>
      <c r="D56" t="s">
        <v>540</v>
      </c>
      <c r="E56" t="s">
        <v>555</v>
      </c>
      <c r="F56" t="s">
        <v>253</v>
      </c>
      <c r="M56" s="329"/>
      <c r="N56" s="4">
        <v>113</v>
      </c>
      <c r="O56" t="s">
        <v>540</v>
      </c>
      <c r="P56" t="s">
        <v>555</v>
      </c>
      <c r="Q56" t="s">
        <v>253</v>
      </c>
    </row>
    <row r="57" spans="2:17">
      <c r="B57" s="329"/>
      <c r="M57" s="329"/>
    </row>
    <row r="58" spans="2:17">
      <c r="B58" s="329">
        <v>45852</v>
      </c>
      <c r="C58" s="4">
        <v>8</v>
      </c>
      <c r="D58" t="s">
        <v>470</v>
      </c>
      <c r="E58" t="s">
        <v>247</v>
      </c>
      <c r="F58" t="s">
        <v>244</v>
      </c>
      <c r="M58" s="329">
        <v>45852</v>
      </c>
      <c r="N58" s="4">
        <v>8</v>
      </c>
      <c r="O58" t="s">
        <v>470</v>
      </c>
      <c r="P58" t="s">
        <v>247</v>
      </c>
      <c r="Q58" t="s">
        <v>244</v>
      </c>
    </row>
    <row r="59" spans="2:17">
      <c r="B59" s="329"/>
      <c r="C59" s="4">
        <v>0</v>
      </c>
      <c r="D59" t="s">
        <v>408</v>
      </c>
      <c r="E59" t="s">
        <v>245</v>
      </c>
      <c r="F59" t="s">
        <v>244</v>
      </c>
      <c r="M59" s="329"/>
      <c r="N59" s="4">
        <v>0</v>
      </c>
      <c r="O59" t="s">
        <v>408</v>
      </c>
      <c r="P59" t="s">
        <v>245</v>
      </c>
      <c r="Q59" t="s">
        <v>244</v>
      </c>
    </row>
    <row r="60" spans="2:17">
      <c r="B60" s="329"/>
      <c r="C60" s="4">
        <v>21</v>
      </c>
      <c r="D60" t="s">
        <v>553</v>
      </c>
      <c r="E60" t="s">
        <v>246</v>
      </c>
      <c r="F60" t="s">
        <v>244</v>
      </c>
      <c r="M60" s="329"/>
      <c r="N60" s="4">
        <v>21</v>
      </c>
      <c r="O60" t="s">
        <v>553</v>
      </c>
      <c r="P60" t="s">
        <v>246</v>
      </c>
      <c r="Q60" t="s">
        <v>244</v>
      </c>
    </row>
    <row r="61" spans="2:17">
      <c r="B61" s="329"/>
      <c r="C61" s="4">
        <v>887</v>
      </c>
      <c r="D61" t="s">
        <v>540</v>
      </c>
      <c r="E61" t="s">
        <v>555</v>
      </c>
      <c r="F61" t="s">
        <v>253</v>
      </c>
      <c r="M61" s="329"/>
      <c r="N61" s="4">
        <v>887</v>
      </c>
      <c r="O61" t="s">
        <v>540</v>
      </c>
      <c r="P61" t="s">
        <v>555</v>
      </c>
      <c r="Q61" t="s">
        <v>253</v>
      </c>
    </row>
    <row r="62" spans="2:17">
      <c r="B62" s="329"/>
      <c r="M62" s="329"/>
    </row>
    <row r="63" spans="2:17">
      <c r="B63" s="329">
        <v>45853</v>
      </c>
      <c r="C63" s="4">
        <v>32</v>
      </c>
      <c r="D63" t="s">
        <v>568</v>
      </c>
      <c r="E63" t="s">
        <v>247</v>
      </c>
      <c r="F63" t="s">
        <v>244</v>
      </c>
      <c r="M63" s="329">
        <v>45853</v>
      </c>
      <c r="N63" s="4">
        <v>32</v>
      </c>
      <c r="O63" t="s">
        <v>568</v>
      </c>
      <c r="P63" t="s">
        <v>247</v>
      </c>
      <c r="Q63" t="s">
        <v>244</v>
      </c>
    </row>
    <row r="64" spans="2:17">
      <c r="B64" s="329"/>
      <c r="C64" s="4">
        <v>0</v>
      </c>
      <c r="D64" t="s">
        <v>408</v>
      </c>
      <c r="E64" t="s">
        <v>245</v>
      </c>
      <c r="F64" t="s">
        <v>244</v>
      </c>
      <c r="M64" s="329"/>
      <c r="N64" s="4">
        <v>0</v>
      </c>
      <c r="O64" t="s">
        <v>408</v>
      </c>
      <c r="P64" t="s">
        <v>245</v>
      </c>
      <c r="Q64" t="s">
        <v>244</v>
      </c>
    </row>
    <row r="65" spans="2:17">
      <c r="B65" s="329"/>
      <c r="C65" s="4">
        <v>45</v>
      </c>
      <c r="D65" t="s">
        <v>492</v>
      </c>
      <c r="E65" t="s">
        <v>246</v>
      </c>
      <c r="F65" t="s">
        <v>244</v>
      </c>
      <c r="M65" s="329"/>
      <c r="N65" s="4">
        <v>45</v>
      </c>
      <c r="O65" t="s">
        <v>492</v>
      </c>
      <c r="P65" t="s">
        <v>246</v>
      </c>
      <c r="Q65" t="s">
        <v>244</v>
      </c>
    </row>
    <row r="66" spans="2:17" ht="12.75" customHeight="1">
      <c r="B66" s="329"/>
      <c r="M66" s="329"/>
    </row>
    <row r="67" spans="2:17" ht="12.75" customHeight="1">
      <c r="B67" s="329">
        <v>45854</v>
      </c>
      <c r="C67" s="4">
        <v>16</v>
      </c>
      <c r="D67" t="s">
        <v>470</v>
      </c>
      <c r="E67" t="s">
        <v>247</v>
      </c>
      <c r="F67" t="s">
        <v>244</v>
      </c>
      <c r="M67" s="329">
        <v>45854</v>
      </c>
      <c r="N67" s="4">
        <v>16</v>
      </c>
      <c r="O67" t="s">
        <v>470</v>
      </c>
      <c r="P67" t="s">
        <v>247</v>
      </c>
      <c r="Q67" t="s">
        <v>244</v>
      </c>
    </row>
    <row r="68" spans="2:17" ht="12.75" customHeight="1">
      <c r="B68" s="329"/>
      <c r="C68" s="4">
        <v>17</v>
      </c>
      <c r="D68" t="s">
        <v>511</v>
      </c>
      <c r="E68" t="s">
        <v>245</v>
      </c>
      <c r="F68" t="s">
        <v>244</v>
      </c>
      <c r="M68" s="329"/>
      <c r="N68" s="4">
        <v>17</v>
      </c>
      <c r="O68" t="s">
        <v>511</v>
      </c>
      <c r="P68" t="s">
        <v>245</v>
      </c>
      <c r="Q68" t="s">
        <v>244</v>
      </c>
    </row>
    <row r="69" spans="2:17" ht="12.75" customHeight="1">
      <c r="B69" s="329"/>
      <c r="C69" s="4">
        <v>43</v>
      </c>
      <c r="D69" t="s">
        <v>575</v>
      </c>
      <c r="E69" t="s">
        <v>246</v>
      </c>
      <c r="F69" t="s">
        <v>244</v>
      </c>
      <c r="M69" s="329"/>
      <c r="N69" s="4">
        <v>43</v>
      </c>
      <c r="O69" t="s">
        <v>575</v>
      </c>
      <c r="P69" t="s">
        <v>246</v>
      </c>
      <c r="Q69" t="s">
        <v>244</v>
      </c>
    </row>
    <row r="70" spans="2:17">
      <c r="B70" s="329"/>
      <c r="M70" s="329"/>
    </row>
    <row r="71" spans="2:17">
      <c r="B71" s="329">
        <v>45855</v>
      </c>
      <c r="C71" s="4">
        <v>28</v>
      </c>
      <c r="D71" t="s">
        <v>470</v>
      </c>
      <c r="E71" t="s">
        <v>247</v>
      </c>
      <c r="F71" t="s">
        <v>244</v>
      </c>
      <c r="M71" s="329">
        <v>45855</v>
      </c>
      <c r="N71" s="4">
        <v>28</v>
      </c>
      <c r="O71" t="s">
        <v>470</v>
      </c>
      <c r="P71" t="s">
        <v>247</v>
      </c>
      <c r="Q71" t="s">
        <v>244</v>
      </c>
    </row>
    <row r="72" spans="2:17">
      <c r="B72" s="329"/>
      <c r="C72" s="4">
        <v>18</v>
      </c>
      <c r="D72" t="s">
        <v>511</v>
      </c>
      <c r="E72" t="s">
        <v>245</v>
      </c>
      <c r="F72" t="s">
        <v>244</v>
      </c>
      <c r="M72" s="329"/>
      <c r="N72" s="4">
        <v>18</v>
      </c>
      <c r="O72" t="s">
        <v>511</v>
      </c>
      <c r="P72" t="s">
        <v>245</v>
      </c>
      <c r="Q72" t="s">
        <v>244</v>
      </c>
    </row>
    <row r="73" spans="2:17">
      <c r="B73" s="329"/>
      <c r="C73" s="4">
        <v>36</v>
      </c>
      <c r="D73" t="s">
        <v>575</v>
      </c>
      <c r="E73" t="s">
        <v>246</v>
      </c>
      <c r="F73" t="s">
        <v>244</v>
      </c>
      <c r="M73" s="329"/>
      <c r="N73" s="4">
        <v>36</v>
      </c>
      <c r="O73" t="s">
        <v>575</v>
      </c>
      <c r="P73" t="s">
        <v>246</v>
      </c>
      <c r="Q73" t="s">
        <v>244</v>
      </c>
    </row>
    <row r="74" spans="2:17">
      <c r="B74" s="329"/>
      <c r="M74" s="329"/>
    </row>
    <row r="75" spans="2:17">
      <c r="B75" s="329">
        <v>45856</v>
      </c>
      <c r="C75" s="4">
        <v>6</v>
      </c>
      <c r="D75" t="s">
        <v>394</v>
      </c>
      <c r="E75" t="s">
        <v>247</v>
      </c>
      <c r="F75" t="s">
        <v>244</v>
      </c>
      <c r="M75" s="329">
        <v>45856</v>
      </c>
      <c r="N75" s="4">
        <v>6</v>
      </c>
      <c r="O75" t="s">
        <v>394</v>
      </c>
      <c r="P75" t="s">
        <v>247</v>
      </c>
      <c r="Q75" t="s">
        <v>244</v>
      </c>
    </row>
    <row r="76" spans="2:17">
      <c r="B76" s="329"/>
      <c r="C76" s="4">
        <v>18</v>
      </c>
      <c r="D76" t="s">
        <v>586</v>
      </c>
      <c r="E76" t="s">
        <v>245</v>
      </c>
      <c r="F76" t="s">
        <v>244</v>
      </c>
      <c r="M76" s="329"/>
      <c r="N76" s="4">
        <v>18</v>
      </c>
      <c r="O76" t="s">
        <v>586</v>
      </c>
      <c r="P76" t="s">
        <v>245</v>
      </c>
      <c r="Q76" t="s">
        <v>244</v>
      </c>
    </row>
    <row r="77" spans="2:17">
      <c r="B77" s="329"/>
      <c r="C77" s="4">
        <v>37</v>
      </c>
      <c r="D77" t="s">
        <v>587</v>
      </c>
      <c r="E77" t="s">
        <v>246</v>
      </c>
      <c r="F77" t="s">
        <v>244</v>
      </c>
      <c r="M77" s="329"/>
      <c r="N77" s="4">
        <v>37</v>
      </c>
      <c r="O77" t="s">
        <v>587</v>
      </c>
      <c r="P77" t="s">
        <v>246</v>
      </c>
      <c r="Q77" t="s">
        <v>244</v>
      </c>
    </row>
    <row r="78" spans="2:17">
      <c r="B78" s="329"/>
      <c r="M78" s="329"/>
    </row>
    <row r="79" spans="2:17">
      <c r="B79" s="329">
        <v>45857</v>
      </c>
      <c r="C79" s="4">
        <v>12</v>
      </c>
      <c r="D79" t="s">
        <v>413</v>
      </c>
      <c r="E79" t="s">
        <v>247</v>
      </c>
      <c r="F79" t="s">
        <v>244</v>
      </c>
      <c r="M79" s="329">
        <v>45857</v>
      </c>
      <c r="N79" s="4">
        <v>12</v>
      </c>
      <c r="O79" t="s">
        <v>413</v>
      </c>
      <c r="P79" t="s">
        <v>247</v>
      </c>
      <c r="Q79" t="s">
        <v>244</v>
      </c>
    </row>
    <row r="80" spans="2:17">
      <c r="B80" s="329"/>
      <c r="C80" s="4">
        <v>9</v>
      </c>
      <c r="D80" t="s">
        <v>602</v>
      </c>
      <c r="E80" t="s">
        <v>245</v>
      </c>
      <c r="F80" t="s">
        <v>244</v>
      </c>
      <c r="M80" s="329"/>
      <c r="N80" s="4">
        <v>9</v>
      </c>
      <c r="O80" t="s">
        <v>602</v>
      </c>
      <c r="P80" t="s">
        <v>245</v>
      </c>
      <c r="Q80" t="s">
        <v>244</v>
      </c>
    </row>
    <row r="81" spans="2:17">
      <c r="B81" s="329"/>
      <c r="C81" s="4">
        <v>38</v>
      </c>
      <c r="D81" t="s">
        <v>587</v>
      </c>
      <c r="E81" t="s">
        <v>246</v>
      </c>
      <c r="F81" t="s">
        <v>244</v>
      </c>
      <c r="M81" s="329"/>
      <c r="N81" s="4">
        <v>38</v>
      </c>
      <c r="O81" t="s">
        <v>587</v>
      </c>
      <c r="P81" t="s">
        <v>246</v>
      </c>
      <c r="Q81" t="s">
        <v>244</v>
      </c>
    </row>
    <row r="82" spans="2:17">
      <c r="B82" s="329"/>
      <c r="M82" s="329"/>
    </row>
    <row r="83" spans="2:17">
      <c r="B83" s="329">
        <v>45858</v>
      </c>
      <c r="C83" s="4">
        <v>30</v>
      </c>
      <c r="D83" t="s">
        <v>603</v>
      </c>
      <c r="E83" t="s">
        <v>247</v>
      </c>
      <c r="F83" t="s">
        <v>244</v>
      </c>
      <c r="M83" s="329">
        <v>45858</v>
      </c>
      <c r="N83" s="4">
        <v>30</v>
      </c>
      <c r="O83" t="s">
        <v>603</v>
      </c>
      <c r="P83" t="s">
        <v>247</v>
      </c>
      <c r="Q83" t="s">
        <v>244</v>
      </c>
    </row>
    <row r="84" spans="2:17">
      <c r="B84" s="329"/>
      <c r="C84" s="4">
        <v>0</v>
      </c>
      <c r="D84" t="s">
        <v>408</v>
      </c>
      <c r="E84" t="s">
        <v>245</v>
      </c>
      <c r="F84" t="s">
        <v>244</v>
      </c>
      <c r="M84" s="329"/>
      <c r="N84" s="4">
        <v>0</v>
      </c>
      <c r="O84" t="s">
        <v>408</v>
      </c>
      <c r="P84" t="s">
        <v>245</v>
      </c>
      <c r="Q84" t="s">
        <v>244</v>
      </c>
    </row>
    <row r="85" spans="2:17">
      <c r="B85" s="329"/>
      <c r="C85" s="4">
        <v>41</v>
      </c>
      <c r="D85" t="s">
        <v>444</v>
      </c>
      <c r="E85" t="s">
        <v>246</v>
      </c>
      <c r="F85" t="s">
        <v>244</v>
      </c>
      <c r="M85" s="329"/>
      <c r="N85" s="4">
        <v>41</v>
      </c>
      <c r="O85" t="s">
        <v>444</v>
      </c>
      <c r="P85" t="s">
        <v>246</v>
      </c>
      <c r="Q85" t="s">
        <v>244</v>
      </c>
    </row>
    <row r="86" spans="2:17">
      <c r="B86" s="329"/>
      <c r="M86" s="329"/>
    </row>
    <row r="87" spans="2:17">
      <c r="B87" s="329">
        <v>45859</v>
      </c>
      <c r="C87" s="4">
        <v>33</v>
      </c>
      <c r="D87" t="s">
        <v>488</v>
      </c>
      <c r="E87" t="s">
        <v>247</v>
      </c>
      <c r="F87" t="s">
        <v>244</v>
      </c>
      <c r="M87" s="329">
        <v>45859</v>
      </c>
      <c r="N87" s="4">
        <v>33</v>
      </c>
      <c r="O87" t="s">
        <v>488</v>
      </c>
      <c r="P87" t="s">
        <v>247</v>
      </c>
      <c r="Q87" t="s">
        <v>244</v>
      </c>
    </row>
    <row r="88" spans="2:17">
      <c r="B88" s="329"/>
      <c r="C88" s="4">
        <v>0</v>
      </c>
      <c r="D88" t="s">
        <v>408</v>
      </c>
      <c r="E88" t="s">
        <v>245</v>
      </c>
      <c r="F88" t="s">
        <v>244</v>
      </c>
      <c r="M88" s="329"/>
      <c r="N88" s="4">
        <v>0</v>
      </c>
      <c r="O88" t="s">
        <v>408</v>
      </c>
      <c r="P88" t="s">
        <v>245</v>
      </c>
      <c r="Q88" t="s">
        <v>244</v>
      </c>
    </row>
    <row r="89" spans="2:17">
      <c r="B89" s="329"/>
      <c r="C89" s="4">
        <v>50</v>
      </c>
      <c r="D89" t="s">
        <v>456</v>
      </c>
      <c r="E89" t="s">
        <v>246</v>
      </c>
      <c r="F89" t="s">
        <v>244</v>
      </c>
      <c r="M89" s="329"/>
      <c r="N89" s="4">
        <v>50</v>
      </c>
      <c r="O89" t="s">
        <v>456</v>
      </c>
      <c r="P89" t="s">
        <v>246</v>
      </c>
      <c r="Q89" t="s">
        <v>244</v>
      </c>
    </row>
    <row r="90" spans="2:17">
      <c r="B90" s="329"/>
      <c r="M90" s="329"/>
    </row>
    <row r="91" spans="2:17">
      <c r="B91" s="329">
        <v>45860</v>
      </c>
      <c r="C91" s="4">
        <v>25</v>
      </c>
      <c r="D91" t="s">
        <v>619</v>
      </c>
      <c r="E91" t="s">
        <v>247</v>
      </c>
      <c r="F91" t="s">
        <v>244</v>
      </c>
      <c r="M91" s="329">
        <v>45860</v>
      </c>
      <c r="N91" s="4">
        <v>25</v>
      </c>
      <c r="O91" t="s">
        <v>619</v>
      </c>
      <c r="P91" t="s">
        <v>247</v>
      </c>
      <c r="Q91" t="s">
        <v>244</v>
      </c>
    </row>
    <row r="92" spans="2:17">
      <c r="B92" s="329"/>
      <c r="C92" s="4">
        <v>9</v>
      </c>
      <c r="D92" t="s">
        <v>385</v>
      </c>
      <c r="E92" t="s">
        <v>245</v>
      </c>
      <c r="F92" t="s">
        <v>244</v>
      </c>
      <c r="M92" s="329"/>
      <c r="N92" s="4">
        <v>9</v>
      </c>
      <c r="O92" t="s">
        <v>385</v>
      </c>
      <c r="P92" t="s">
        <v>245</v>
      </c>
      <c r="Q92" t="s">
        <v>244</v>
      </c>
    </row>
    <row r="93" spans="2:17">
      <c r="B93" s="329"/>
      <c r="C93" s="4">
        <v>38</v>
      </c>
      <c r="D93" t="s">
        <v>620</v>
      </c>
      <c r="E93" t="s">
        <v>246</v>
      </c>
      <c r="F93" t="s">
        <v>244</v>
      </c>
      <c r="M93" s="329"/>
      <c r="N93" s="4">
        <v>38</v>
      </c>
      <c r="O93" t="s">
        <v>620</v>
      </c>
      <c r="P93" t="s">
        <v>246</v>
      </c>
      <c r="Q93" t="s">
        <v>244</v>
      </c>
    </row>
    <row r="94" spans="2:17">
      <c r="B94" s="329"/>
      <c r="M94" s="329"/>
    </row>
    <row r="95" spans="2:17">
      <c r="B95" s="329">
        <v>45861</v>
      </c>
      <c r="C95" s="4">
        <v>0</v>
      </c>
      <c r="D95" t="s">
        <v>383</v>
      </c>
      <c r="E95" t="s">
        <v>247</v>
      </c>
      <c r="F95" t="s">
        <v>244</v>
      </c>
      <c r="M95" s="329">
        <v>45861</v>
      </c>
      <c r="N95" s="4">
        <v>0</v>
      </c>
      <c r="O95" t="s">
        <v>383</v>
      </c>
      <c r="P95" t="s">
        <v>247</v>
      </c>
      <c r="Q95" t="s">
        <v>244</v>
      </c>
    </row>
    <row r="96" spans="2:17">
      <c r="B96" s="329"/>
      <c r="C96" s="4">
        <v>12</v>
      </c>
      <c r="D96" t="s">
        <v>503</v>
      </c>
      <c r="E96" t="s">
        <v>245</v>
      </c>
      <c r="F96" t="s">
        <v>244</v>
      </c>
      <c r="M96" s="329"/>
      <c r="N96" s="4">
        <v>12</v>
      </c>
      <c r="O96" t="s">
        <v>503</v>
      </c>
      <c r="P96" t="s">
        <v>245</v>
      </c>
      <c r="Q96" t="s">
        <v>244</v>
      </c>
    </row>
    <row r="97" spans="2:17">
      <c r="B97" s="329"/>
      <c r="C97" s="4">
        <v>31</v>
      </c>
      <c r="D97" t="s">
        <v>628</v>
      </c>
      <c r="E97" t="s">
        <v>246</v>
      </c>
      <c r="F97" t="s">
        <v>244</v>
      </c>
      <c r="M97" s="329"/>
      <c r="N97" s="4">
        <v>31</v>
      </c>
      <c r="O97" t="s">
        <v>628</v>
      </c>
      <c r="P97" t="s">
        <v>246</v>
      </c>
      <c r="Q97" t="s">
        <v>244</v>
      </c>
    </row>
    <row r="98" spans="2:17">
      <c r="B98" s="329"/>
      <c r="C98" s="4">
        <v>660</v>
      </c>
      <c r="D98" t="s">
        <v>625</v>
      </c>
      <c r="E98" t="s">
        <v>641</v>
      </c>
      <c r="F98" t="s">
        <v>249</v>
      </c>
      <c r="M98" s="329"/>
      <c r="N98" s="4">
        <v>660</v>
      </c>
      <c r="O98" t="s">
        <v>625</v>
      </c>
      <c r="P98" t="s">
        <v>641</v>
      </c>
      <c r="Q98" t="s">
        <v>249</v>
      </c>
    </row>
    <row r="99" spans="2:17">
      <c r="B99" s="329"/>
      <c r="M99" s="329"/>
    </row>
    <row r="100" spans="2:17">
      <c r="B100" s="329">
        <v>45862</v>
      </c>
      <c r="C100" s="4">
        <v>22</v>
      </c>
      <c r="D100" t="s">
        <v>619</v>
      </c>
      <c r="E100" t="s">
        <v>247</v>
      </c>
      <c r="F100" t="s">
        <v>244</v>
      </c>
      <c r="M100" s="329">
        <v>45862</v>
      </c>
      <c r="N100" s="4">
        <v>22</v>
      </c>
      <c r="O100" t="s">
        <v>619</v>
      </c>
      <c r="P100" t="s">
        <v>247</v>
      </c>
      <c r="Q100" t="s">
        <v>244</v>
      </c>
    </row>
    <row r="101" spans="2:17">
      <c r="B101" s="329"/>
      <c r="C101" s="4">
        <v>12</v>
      </c>
      <c r="D101" t="s">
        <v>503</v>
      </c>
      <c r="E101" t="s">
        <v>245</v>
      </c>
      <c r="F101" t="s">
        <v>244</v>
      </c>
      <c r="M101" s="329"/>
      <c r="N101" s="4">
        <v>12</v>
      </c>
      <c r="O101" t="s">
        <v>503</v>
      </c>
      <c r="P101" t="s">
        <v>245</v>
      </c>
      <c r="Q101" t="s">
        <v>244</v>
      </c>
    </row>
    <row r="102" spans="2:17">
      <c r="B102" s="329"/>
      <c r="C102" s="4">
        <v>45</v>
      </c>
      <c r="D102" t="s">
        <v>620</v>
      </c>
      <c r="E102" t="s">
        <v>246</v>
      </c>
      <c r="F102" t="s">
        <v>244</v>
      </c>
      <c r="M102" s="329"/>
      <c r="N102" s="4">
        <v>45</v>
      </c>
      <c r="O102" t="s">
        <v>620</v>
      </c>
      <c r="P102" t="s">
        <v>246</v>
      </c>
      <c r="Q102" t="s">
        <v>244</v>
      </c>
    </row>
    <row r="103" spans="2:17">
      <c r="B103" s="329"/>
      <c r="C103" s="4">
        <v>40</v>
      </c>
      <c r="D103" t="s">
        <v>633</v>
      </c>
      <c r="E103" t="s">
        <v>641</v>
      </c>
      <c r="F103" t="s">
        <v>249</v>
      </c>
      <c r="M103" s="329"/>
      <c r="N103" s="4">
        <v>40</v>
      </c>
      <c r="O103" t="s">
        <v>633</v>
      </c>
      <c r="P103" t="s">
        <v>641</v>
      </c>
      <c r="Q103" t="s">
        <v>249</v>
      </c>
    </row>
    <row r="104" spans="2:17">
      <c r="B104" s="329"/>
      <c r="M104" s="329"/>
    </row>
    <row r="105" spans="2:17">
      <c r="B105" s="329">
        <v>45863</v>
      </c>
      <c r="C105" s="4">
        <v>15</v>
      </c>
      <c r="D105" t="s">
        <v>454</v>
      </c>
      <c r="E105" t="s">
        <v>247</v>
      </c>
      <c r="F105" t="s">
        <v>244</v>
      </c>
      <c r="M105" s="329">
        <v>45863</v>
      </c>
      <c r="N105" s="4">
        <v>15</v>
      </c>
      <c r="O105" t="s">
        <v>454</v>
      </c>
      <c r="P105" t="s">
        <v>247</v>
      </c>
      <c r="Q105" t="s">
        <v>244</v>
      </c>
    </row>
    <row r="106" spans="2:17">
      <c r="B106" s="329"/>
      <c r="C106" s="4">
        <v>18</v>
      </c>
      <c r="D106" t="s">
        <v>640</v>
      </c>
      <c r="E106" t="s">
        <v>245</v>
      </c>
      <c r="F106" t="s">
        <v>244</v>
      </c>
      <c r="M106" s="329"/>
      <c r="N106" s="4">
        <v>18</v>
      </c>
      <c r="O106" t="s">
        <v>640</v>
      </c>
      <c r="P106" t="s">
        <v>245</v>
      </c>
      <c r="Q106" t="s">
        <v>244</v>
      </c>
    </row>
    <row r="107" spans="2:17">
      <c r="B107" s="329"/>
      <c r="C107" s="4">
        <v>41</v>
      </c>
      <c r="D107" t="s">
        <v>492</v>
      </c>
      <c r="E107" t="s">
        <v>246</v>
      </c>
      <c r="F107" t="s">
        <v>244</v>
      </c>
      <c r="M107" s="329"/>
      <c r="N107" s="4">
        <v>41</v>
      </c>
      <c r="O107" t="s">
        <v>492</v>
      </c>
      <c r="P107" t="s">
        <v>246</v>
      </c>
      <c r="Q107" t="s">
        <v>244</v>
      </c>
    </row>
    <row r="108" spans="2:17">
      <c r="B108" s="329"/>
      <c r="M108" s="329"/>
    </row>
    <row r="109" spans="2:17">
      <c r="B109" s="329">
        <v>45864</v>
      </c>
      <c r="C109" s="4">
        <v>9</v>
      </c>
      <c r="D109" t="s">
        <v>394</v>
      </c>
      <c r="E109" t="s">
        <v>247</v>
      </c>
      <c r="F109" t="s">
        <v>244</v>
      </c>
      <c r="M109" s="329">
        <v>45864</v>
      </c>
      <c r="N109" s="4">
        <v>9</v>
      </c>
      <c r="O109" t="s">
        <v>394</v>
      </c>
      <c r="P109" t="s">
        <v>247</v>
      </c>
      <c r="Q109" t="s">
        <v>244</v>
      </c>
    </row>
    <row r="110" spans="2:17">
      <c r="B110" s="329"/>
      <c r="C110" s="4">
        <v>38</v>
      </c>
      <c r="D110" t="s">
        <v>658</v>
      </c>
      <c r="E110" t="s">
        <v>245</v>
      </c>
      <c r="F110" t="s">
        <v>244</v>
      </c>
      <c r="M110" s="329"/>
      <c r="N110" s="4">
        <v>38</v>
      </c>
      <c r="O110" t="s">
        <v>658</v>
      </c>
      <c r="P110" t="s">
        <v>245</v>
      </c>
      <c r="Q110" t="s">
        <v>244</v>
      </c>
    </row>
    <row r="111" spans="2:17">
      <c r="B111" s="329"/>
      <c r="C111" s="4">
        <v>47</v>
      </c>
      <c r="D111" t="s">
        <v>659</v>
      </c>
      <c r="E111" t="s">
        <v>246</v>
      </c>
      <c r="F111" t="s">
        <v>244</v>
      </c>
      <c r="M111" s="329"/>
      <c r="N111" s="4">
        <v>47</v>
      </c>
      <c r="O111" t="s">
        <v>659</v>
      </c>
      <c r="P111" t="s">
        <v>246</v>
      </c>
      <c r="Q111" t="s">
        <v>244</v>
      </c>
    </row>
    <row r="112" spans="2:17">
      <c r="B112" s="329"/>
      <c r="M112" s="329"/>
    </row>
    <row r="113" spans="2:17">
      <c r="B113" s="329">
        <v>45865</v>
      </c>
      <c r="C113" s="4">
        <v>44</v>
      </c>
      <c r="D113" t="s">
        <v>660</v>
      </c>
      <c r="E113" t="s">
        <v>247</v>
      </c>
      <c r="F113" t="s">
        <v>244</v>
      </c>
      <c r="M113" s="329">
        <v>45865</v>
      </c>
      <c r="N113" s="4">
        <v>44</v>
      </c>
      <c r="O113" t="s">
        <v>660</v>
      </c>
      <c r="P113" t="s">
        <v>247</v>
      </c>
      <c r="Q113" t="s">
        <v>244</v>
      </c>
    </row>
    <row r="114" spans="2:17">
      <c r="B114" s="329"/>
      <c r="C114" s="4">
        <v>0</v>
      </c>
      <c r="D114" t="s">
        <v>408</v>
      </c>
      <c r="E114" t="s">
        <v>245</v>
      </c>
      <c r="F114" t="s">
        <v>244</v>
      </c>
      <c r="M114" s="329"/>
      <c r="N114" s="4">
        <v>0</v>
      </c>
      <c r="O114" t="s">
        <v>408</v>
      </c>
      <c r="P114" t="s">
        <v>245</v>
      </c>
      <c r="Q114" t="s">
        <v>244</v>
      </c>
    </row>
    <row r="115" spans="2:17">
      <c r="B115" s="329"/>
      <c r="C115" s="4">
        <v>62</v>
      </c>
      <c r="D115" t="s">
        <v>620</v>
      </c>
      <c r="E115" t="s">
        <v>246</v>
      </c>
      <c r="F115" t="s">
        <v>244</v>
      </c>
      <c r="M115" s="329"/>
      <c r="N115" s="4">
        <v>62</v>
      </c>
      <c r="O115" t="s">
        <v>620</v>
      </c>
      <c r="P115" t="s">
        <v>246</v>
      </c>
      <c r="Q115" t="s">
        <v>244</v>
      </c>
    </row>
    <row r="116" spans="2:17">
      <c r="B116" s="329"/>
      <c r="M116" s="329"/>
    </row>
    <row r="117" spans="2:17">
      <c r="B117" s="329">
        <v>45866</v>
      </c>
      <c r="C117" s="4">
        <v>12</v>
      </c>
      <c r="D117" t="s">
        <v>470</v>
      </c>
      <c r="E117" t="s">
        <v>247</v>
      </c>
      <c r="F117" t="s">
        <v>244</v>
      </c>
      <c r="M117" s="329">
        <v>45866</v>
      </c>
      <c r="N117" s="4">
        <v>12</v>
      </c>
      <c r="O117" t="s">
        <v>470</v>
      </c>
      <c r="P117" t="s">
        <v>247</v>
      </c>
      <c r="Q117" t="s">
        <v>244</v>
      </c>
    </row>
    <row r="118" spans="2:17">
      <c r="B118" s="329"/>
      <c r="C118" s="4">
        <v>12</v>
      </c>
      <c r="D118" t="s">
        <v>672</v>
      </c>
      <c r="E118" t="s">
        <v>245</v>
      </c>
      <c r="F118" t="s">
        <v>244</v>
      </c>
      <c r="M118" s="329"/>
      <c r="N118" s="4">
        <v>12</v>
      </c>
      <c r="O118" t="s">
        <v>672</v>
      </c>
      <c r="P118" t="s">
        <v>245</v>
      </c>
      <c r="Q118" t="s">
        <v>244</v>
      </c>
    </row>
    <row r="119" spans="2:17">
      <c r="B119" s="329"/>
      <c r="C119" s="4">
        <v>42</v>
      </c>
      <c r="D119" t="s">
        <v>492</v>
      </c>
      <c r="E119" t="s">
        <v>246</v>
      </c>
      <c r="F119" t="s">
        <v>244</v>
      </c>
      <c r="M119" s="329"/>
      <c r="N119" s="4">
        <v>42</v>
      </c>
      <c r="O119" t="s">
        <v>492</v>
      </c>
      <c r="P119" t="s">
        <v>246</v>
      </c>
      <c r="Q119" t="s">
        <v>244</v>
      </c>
    </row>
    <row r="120" spans="2:17">
      <c r="B120" s="329"/>
      <c r="M120" s="329"/>
    </row>
    <row r="121" spans="2:17">
      <c r="B121" s="329">
        <v>45867</v>
      </c>
      <c r="C121" s="4">
        <v>17</v>
      </c>
      <c r="D121" t="s">
        <v>471</v>
      </c>
      <c r="E121" t="s">
        <v>247</v>
      </c>
      <c r="F121" t="s">
        <v>244</v>
      </c>
      <c r="M121" s="329">
        <v>45867</v>
      </c>
      <c r="N121" s="4">
        <v>17</v>
      </c>
      <c r="O121" t="s">
        <v>471</v>
      </c>
      <c r="P121" t="s">
        <v>247</v>
      </c>
      <c r="Q121" t="s">
        <v>244</v>
      </c>
    </row>
    <row r="122" spans="2:17">
      <c r="B122" s="329"/>
      <c r="C122" s="4">
        <v>8</v>
      </c>
      <c r="D122" t="s">
        <v>459</v>
      </c>
      <c r="E122" t="s">
        <v>245</v>
      </c>
      <c r="F122" t="s">
        <v>244</v>
      </c>
      <c r="M122" s="329"/>
      <c r="N122" s="4">
        <v>8</v>
      </c>
      <c r="O122" t="s">
        <v>459</v>
      </c>
      <c r="P122" t="s">
        <v>245</v>
      </c>
      <c r="Q122" t="s">
        <v>244</v>
      </c>
    </row>
    <row r="123" spans="2:17">
      <c r="B123" s="329"/>
      <c r="C123" s="4">
        <v>49</v>
      </c>
      <c r="D123" t="s">
        <v>492</v>
      </c>
      <c r="E123" t="s">
        <v>246</v>
      </c>
      <c r="F123" t="s">
        <v>244</v>
      </c>
      <c r="M123" s="329"/>
      <c r="N123" s="4">
        <v>49</v>
      </c>
      <c r="O123" t="s">
        <v>492</v>
      </c>
      <c r="P123" t="s">
        <v>246</v>
      </c>
      <c r="Q123" t="s">
        <v>244</v>
      </c>
    </row>
    <row r="124" spans="2:17">
      <c r="B124" s="329"/>
      <c r="M124" s="329"/>
    </row>
    <row r="125" spans="2:17">
      <c r="B125" s="329">
        <v>45868</v>
      </c>
      <c r="C125" s="4">
        <v>16</v>
      </c>
      <c r="D125" s="4" t="s">
        <v>471</v>
      </c>
      <c r="E125" t="s">
        <v>247</v>
      </c>
      <c r="F125" t="s">
        <v>244</v>
      </c>
      <c r="M125" s="329">
        <v>45868</v>
      </c>
      <c r="N125" s="4">
        <v>16</v>
      </c>
      <c r="O125" s="4" t="s">
        <v>471</v>
      </c>
      <c r="P125" t="s">
        <v>247</v>
      </c>
      <c r="Q125" t="s">
        <v>244</v>
      </c>
    </row>
    <row r="126" spans="2:17">
      <c r="B126" s="329"/>
      <c r="C126" s="4">
        <v>8</v>
      </c>
      <c r="D126" s="4" t="s">
        <v>459</v>
      </c>
      <c r="E126" t="s">
        <v>245</v>
      </c>
      <c r="F126" t="s">
        <v>244</v>
      </c>
      <c r="M126" s="329"/>
      <c r="N126" s="4">
        <v>8</v>
      </c>
      <c r="O126" s="4" t="s">
        <v>459</v>
      </c>
      <c r="P126" t="s">
        <v>245</v>
      </c>
      <c r="Q126" t="s">
        <v>244</v>
      </c>
    </row>
    <row r="127" spans="2:17">
      <c r="B127" s="329"/>
      <c r="C127" s="4">
        <v>43</v>
      </c>
      <c r="D127" s="4" t="s">
        <v>492</v>
      </c>
      <c r="E127" t="s">
        <v>246</v>
      </c>
      <c r="F127" t="s">
        <v>244</v>
      </c>
      <c r="M127" s="329"/>
      <c r="N127" s="4">
        <v>43</v>
      </c>
      <c r="O127" s="4" t="s">
        <v>492</v>
      </c>
      <c r="P127" t="s">
        <v>246</v>
      </c>
      <c r="Q127" t="s">
        <v>244</v>
      </c>
    </row>
    <row r="128" spans="2:17">
      <c r="B128" s="329"/>
      <c r="D128" s="4"/>
      <c r="M128" s="329"/>
      <c r="O128" s="4"/>
    </row>
    <row r="129" spans="2:18">
      <c r="B129" s="329">
        <v>45869</v>
      </c>
      <c r="C129" s="4">
        <v>14</v>
      </c>
      <c r="D129" s="4" t="s">
        <v>619</v>
      </c>
      <c r="E129" t="s">
        <v>247</v>
      </c>
      <c r="F129" t="s">
        <v>244</v>
      </c>
      <c r="M129" s="329">
        <v>45869</v>
      </c>
      <c r="N129" s="4">
        <v>14</v>
      </c>
      <c r="O129" s="4" t="s">
        <v>619</v>
      </c>
      <c r="P129" t="s">
        <v>247</v>
      </c>
      <c r="Q129" t="s">
        <v>244</v>
      </c>
    </row>
    <row r="130" spans="2:18">
      <c r="B130" s="329"/>
      <c r="C130" s="4">
        <v>14</v>
      </c>
      <c r="D130" s="4" t="s">
        <v>672</v>
      </c>
      <c r="E130" t="s">
        <v>245</v>
      </c>
      <c r="F130" t="s">
        <v>244</v>
      </c>
      <c r="M130" s="329"/>
      <c r="N130" s="4">
        <v>14</v>
      </c>
      <c r="O130" s="4" t="s">
        <v>672</v>
      </c>
      <c r="P130" t="s">
        <v>245</v>
      </c>
      <c r="Q130" t="s">
        <v>244</v>
      </c>
    </row>
    <row r="131" spans="2:18">
      <c r="B131" s="329"/>
      <c r="C131" s="4">
        <v>35</v>
      </c>
      <c r="D131" s="4" t="s">
        <v>620</v>
      </c>
      <c r="E131" t="s">
        <v>246</v>
      </c>
      <c r="F131" t="s">
        <v>244</v>
      </c>
      <c r="M131" s="329"/>
      <c r="N131" s="4">
        <v>35</v>
      </c>
      <c r="O131" s="4" t="s">
        <v>620</v>
      </c>
      <c r="P131" t="s">
        <v>246</v>
      </c>
      <c r="Q131" t="s">
        <v>244</v>
      </c>
    </row>
    <row r="132" spans="2:18">
      <c r="B132" s="329"/>
      <c r="M132" s="329"/>
    </row>
    <row r="133" spans="2:18">
      <c r="B133" s="329"/>
      <c r="M133" s="329"/>
    </row>
    <row r="134" spans="2:18">
      <c r="B134" s="329"/>
      <c r="M134" s="329"/>
    </row>
    <row r="135" spans="2:18">
      <c r="B135" s="329"/>
      <c r="M135" s="329"/>
    </row>
    <row r="136" spans="2:18">
      <c r="B136" s="329"/>
      <c r="M136" s="329"/>
    </row>
    <row r="137" spans="2:18">
      <c r="B137" s="329"/>
      <c r="M137" s="329"/>
    </row>
    <row r="138" spans="2:18" ht="12.75" customHeight="1">
      <c r="B138" s="329"/>
      <c r="M138" s="329"/>
    </row>
    <row r="139" spans="2:18">
      <c r="B139" s="329"/>
      <c r="M139" s="329"/>
    </row>
    <row r="140" spans="2:18">
      <c r="B140" s="329"/>
      <c r="M140" s="329"/>
    </row>
    <row r="141" spans="2:18">
      <c r="B141" s="329"/>
      <c r="M141" s="329"/>
    </row>
    <row r="142" spans="2:18">
      <c r="B142" s="329"/>
      <c r="M142" s="329"/>
    </row>
    <row r="143" spans="2:18">
      <c r="B143" s="329"/>
      <c r="M143" s="329"/>
    </row>
    <row r="144" spans="2:18">
      <c r="B144" s="329"/>
      <c r="M144" s="329"/>
      <c r="R144" s="504">
        <f>+summary!Q52</f>
        <v>0</v>
      </c>
    </row>
    <row r="145" spans="2:13">
      <c r="B145" s="329"/>
      <c r="G145" s="504">
        <f>+summary!H52</f>
        <v>0</v>
      </c>
      <c r="M145" s="329"/>
    </row>
    <row r="146" spans="2:13">
      <c r="B146" s="329"/>
      <c r="M146" s="329"/>
    </row>
    <row r="147" spans="2:13">
      <c r="B147" s="329"/>
      <c r="M147" s="329"/>
    </row>
    <row r="148" spans="2:13">
      <c r="B148" s="329"/>
      <c r="M148" s="329"/>
    </row>
    <row r="149" spans="2:13">
      <c r="B149" s="329"/>
      <c r="M149" s="329"/>
    </row>
    <row r="150" spans="2:13">
      <c r="B150" s="329"/>
      <c r="M150" s="329"/>
    </row>
    <row r="151" spans="2:13">
      <c r="B151" s="329"/>
      <c r="M151" s="329"/>
    </row>
    <row r="152" spans="2:13">
      <c r="B152" s="329"/>
      <c r="M152" s="329"/>
    </row>
    <row r="153" spans="2:13">
      <c r="B153" s="329"/>
      <c r="M153" s="329"/>
    </row>
    <row r="154" spans="2:13">
      <c r="B154" s="329"/>
      <c r="M154" s="329"/>
    </row>
    <row r="155" spans="2:13">
      <c r="B155" s="329"/>
      <c r="M155" s="329"/>
    </row>
  </sheetData>
  <autoFilter ref="B1:F121"/>
  <conditionalFormatting sqref="G1:G7 R1:R7 R9:R76 R144 G9:G68 G70:G115 G117:G1048576">
    <cfRule type="cellIs" dxfId="7" priority="2" operator="greaterThan">
      <formula>0</formula>
    </cfRule>
  </conditionalFormatting>
  <conditionalFormatting sqref="R78:R104 R106:R143 R145:R1048576">
    <cfRule type="cellIs" dxfId="6" priority="1" operator="greaterThan">
      <formula>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topLeftCell="G1" workbookViewId="0">
      <selection activeCell="L6" sqref="L6"/>
    </sheetView>
  </sheetViews>
  <sheetFormatPr defaultRowHeight="12.75"/>
  <cols>
    <col min="1" max="1" width="15.28515625" bestFit="1" customWidth="1"/>
    <col min="2" max="2" width="23.28515625" bestFit="1" customWidth="1"/>
    <col min="3" max="3" width="34.28515625" style="544" customWidth="1"/>
    <col min="4" max="8" width="13.5703125" customWidth="1"/>
    <col min="10" max="10" width="15.28515625" bestFit="1" customWidth="1"/>
    <col min="11" max="11" width="23.28515625" bestFit="1" customWidth="1"/>
    <col min="12" max="12" width="34.28515625" style="544" customWidth="1"/>
    <col min="13" max="17" width="13.5703125" customWidth="1"/>
  </cols>
  <sheetData>
    <row r="1" spans="1:17" ht="15">
      <c r="A1" s="413" t="s">
        <v>267</v>
      </c>
      <c r="E1" s="444"/>
      <c r="F1" s="1"/>
      <c r="J1" s="413" t="s">
        <v>372</v>
      </c>
      <c r="N1" s="444"/>
      <c r="O1" s="1"/>
    </row>
    <row r="2" spans="1:17" ht="30">
      <c r="A2" s="756" t="s">
        <v>228</v>
      </c>
      <c r="B2" s="756" t="s">
        <v>229</v>
      </c>
      <c r="C2" s="757" t="s">
        <v>230</v>
      </c>
      <c r="D2" s="445" t="s">
        <v>231</v>
      </c>
      <c r="E2" s="543" t="s">
        <v>232</v>
      </c>
      <c r="F2" s="447" t="s">
        <v>233</v>
      </c>
      <c r="G2" s="543" t="s">
        <v>234</v>
      </c>
      <c r="H2" s="543" t="s">
        <v>235</v>
      </c>
      <c r="J2" s="756" t="s">
        <v>228</v>
      </c>
      <c r="K2" s="756" t="s">
        <v>229</v>
      </c>
      <c r="L2" s="755" t="s">
        <v>230</v>
      </c>
      <c r="M2" s="445" t="s">
        <v>231</v>
      </c>
      <c r="N2" s="543" t="s">
        <v>232</v>
      </c>
      <c r="O2" s="447" t="s">
        <v>233</v>
      </c>
      <c r="P2" s="543" t="s">
        <v>234</v>
      </c>
      <c r="Q2" s="543" t="s">
        <v>235</v>
      </c>
    </row>
    <row r="3" spans="1:17" ht="15">
      <c r="A3" s="756"/>
      <c r="B3" s="756"/>
      <c r="C3" s="758"/>
      <c r="D3" s="445" t="s">
        <v>689</v>
      </c>
      <c r="E3" s="445" t="str">
        <f>+D3</f>
        <v>JULI</v>
      </c>
      <c r="F3" s="445" t="str">
        <f>+E3</f>
        <v>JULI</v>
      </c>
      <c r="G3" s="445" t="str">
        <f>+F3</f>
        <v>JULI</v>
      </c>
      <c r="H3" s="445" t="str">
        <f>+G3</f>
        <v>JULI</v>
      </c>
      <c r="J3" s="756"/>
      <c r="K3" s="756"/>
      <c r="L3" s="755"/>
      <c r="M3" s="445" t="str">
        <f>+H3</f>
        <v>JULI</v>
      </c>
      <c r="N3" s="445" t="str">
        <f>+M3</f>
        <v>JULI</v>
      </c>
      <c r="O3" s="445" t="str">
        <f>+N3</f>
        <v>JULI</v>
      </c>
      <c r="P3" s="445" t="str">
        <f>+O3</f>
        <v>JULI</v>
      </c>
      <c r="Q3" s="445" t="str">
        <f>+P3</f>
        <v>JULI</v>
      </c>
    </row>
    <row r="4" spans="1:17" ht="15">
      <c r="A4" s="740" t="s">
        <v>236</v>
      </c>
      <c r="B4" s="542" t="s">
        <v>300</v>
      </c>
      <c r="C4" s="545"/>
      <c r="D4" s="7">
        <f>SUMIFS(Sheet1!$C$2:$C$180,Sheet1!$F$2:$F$180,B4,Sheet1!$E$2:$E$180,C4)</f>
        <v>0</v>
      </c>
      <c r="E4" s="7">
        <f>D4/Sheet1!$I$9*Sheet1!$I$10</f>
        <v>0</v>
      </c>
      <c r="F4" s="462">
        <f>D4/Sheet1!$I$9*Sheet1!$I$11</f>
        <v>0</v>
      </c>
      <c r="G4" s="541">
        <f>F4</f>
        <v>0</v>
      </c>
      <c r="H4" s="754">
        <f>SUM(G4:G11)</f>
        <v>6.705621212957447E-3</v>
      </c>
      <c r="J4" s="740" t="s">
        <v>236</v>
      </c>
      <c r="K4" s="542" t="s">
        <v>300</v>
      </c>
      <c r="L4" s="545"/>
      <c r="M4" s="7">
        <f>SUMIFS(Sheet1!$N$2:$N$180,Sheet1!$Q$2:$Q$180,K4,Sheet1!$P$2:$P$180,L4)</f>
        <v>0</v>
      </c>
      <c r="N4" s="7">
        <f>M4/Sheet1!$T$9*Sheet1!$T$10</f>
        <v>0</v>
      </c>
      <c r="O4" s="462">
        <f>M4/Sheet1!$T$9*Sheet1!$T$11</f>
        <v>0</v>
      </c>
      <c r="P4" s="541">
        <f>O4</f>
        <v>0</v>
      </c>
      <c r="Q4" s="754">
        <f>SUM(P4:P11)</f>
        <v>4.9798433924130442E-3</v>
      </c>
    </row>
    <row r="5" spans="1:17" ht="15">
      <c r="A5" s="740"/>
      <c r="B5" s="542" t="s">
        <v>237</v>
      </c>
      <c r="C5" s="545"/>
      <c r="D5" s="7">
        <f>SUMIFS(Sheet1!$C$2:$C$180,Sheet1!$F$2:$F$180,B5,Sheet1!$E$2:$E$180,C5)</f>
        <v>0</v>
      </c>
      <c r="E5" s="7">
        <f>D5/Sheet1!$I$9*Sheet1!$I$10</f>
        <v>0</v>
      </c>
      <c r="F5" s="462">
        <f>D5/Sheet1!$I$9*Sheet1!$I$11</f>
        <v>0</v>
      </c>
      <c r="G5" s="546">
        <f t="shared" ref="G5:G14" si="0">F5</f>
        <v>0</v>
      </c>
      <c r="H5" s="740"/>
      <c r="J5" s="740"/>
      <c r="K5" s="542" t="s">
        <v>237</v>
      </c>
      <c r="L5" s="545"/>
      <c r="M5" s="7">
        <f>SUMIFS(Sheet1!$N$2:$N$180,Sheet1!$Q$2:$Q$180,K5,Sheet1!$P$2:$P$180,L5)</f>
        <v>0</v>
      </c>
      <c r="N5" s="7">
        <f>M5/Sheet1!$T$9*Sheet1!$T$10</f>
        <v>0</v>
      </c>
      <c r="O5" s="462">
        <f>M5/Sheet1!$T$9*Sheet1!$T$11</f>
        <v>0</v>
      </c>
      <c r="P5" s="546">
        <f t="shared" ref="P5:P14" si="1">O5</f>
        <v>0</v>
      </c>
      <c r="Q5" s="740"/>
    </row>
    <row r="6" spans="1:17" ht="15">
      <c r="A6" s="740"/>
      <c r="B6" s="743" t="s">
        <v>307</v>
      </c>
      <c r="C6" s="545" t="s">
        <v>554</v>
      </c>
      <c r="D6" s="7">
        <f>SUMIFS(Sheet1!$C$2:$C$180,Sheet1!$F$2:$F$180,B6,Sheet1!$E$2:$E$180,C6)</f>
        <v>18</v>
      </c>
      <c r="E6" s="7">
        <f>D6/Sheet1!$I$9*Sheet1!$I$10</f>
        <v>0.57004011150028433</v>
      </c>
      <c r="F6" s="462">
        <f>D6/Sheet1!$I$9*Sheet1!$I$11</f>
        <v>4.0100060409712317E-4</v>
      </c>
      <c r="G6" s="546">
        <f t="shared" si="0"/>
        <v>4.0100060409712317E-4</v>
      </c>
      <c r="H6" s="740"/>
      <c r="J6" s="740"/>
      <c r="K6" s="743" t="s">
        <v>307</v>
      </c>
      <c r="L6" s="545" t="s">
        <v>554</v>
      </c>
      <c r="M6" s="7">
        <f>SUMIFS(Sheet1!$N$2:$N$180,Sheet1!$Q$2:$Q$180,K6,Sheet1!$P$2:$P$180,L6)</f>
        <v>18</v>
      </c>
      <c r="N6" s="7">
        <f>M6/Sheet1!$T$9*Sheet1!$T$10</f>
        <v>0.57045064862329042</v>
      </c>
      <c r="O6" s="462">
        <f>M6/Sheet1!$T$9*Sheet1!$T$11</f>
        <v>4.0196045319925913E-4</v>
      </c>
      <c r="P6" s="546">
        <f t="shared" si="1"/>
        <v>4.0196045319925913E-4</v>
      </c>
      <c r="Q6" s="740"/>
    </row>
    <row r="7" spans="1:17" ht="15">
      <c r="A7" s="740"/>
      <c r="B7" s="744"/>
      <c r="C7" s="545"/>
      <c r="D7" s="7">
        <f>SUMIFS(Sheet1!$C$2:$C$180,Sheet1!$F$2:$F$180,B6,Sheet1!$E$2:$E$180,C7)</f>
        <v>0</v>
      </c>
      <c r="E7" s="7">
        <f>D7/Sheet1!$I$9*Sheet1!$I$10</f>
        <v>0</v>
      </c>
      <c r="F7" s="462">
        <f>D7/Sheet1!$I$9*Sheet1!$I$11</f>
        <v>0</v>
      </c>
      <c r="G7" s="546">
        <f t="shared" si="0"/>
        <v>0</v>
      </c>
      <c r="H7" s="740"/>
      <c r="J7" s="740"/>
      <c r="K7" s="744"/>
      <c r="L7" s="545"/>
      <c r="M7" s="7">
        <f>SUMIFS(Sheet1!$N$2:$N$180,Sheet1!$Q$2:$Q$180,K6,Sheet1!$P$2:$P$180,L7)</f>
        <v>0</v>
      </c>
      <c r="N7" s="7">
        <f>M7/Sheet1!$T$9*Sheet1!$T$10</f>
        <v>0</v>
      </c>
      <c r="O7" s="462">
        <f>M7/Sheet1!$T$9*Sheet1!$T$11</f>
        <v>0</v>
      </c>
      <c r="P7" s="546">
        <f t="shared" si="1"/>
        <v>0</v>
      </c>
      <c r="Q7" s="740"/>
    </row>
    <row r="8" spans="1:17">
      <c r="A8" s="740"/>
      <c r="B8" s="743" t="s">
        <v>306</v>
      </c>
      <c r="C8" s="545" t="s">
        <v>554</v>
      </c>
      <c r="D8" s="7">
        <f>SUMIFS(Sheet1!$C$2:$C$180,Sheet1!$F$2:$F$180,B8,Sheet1!$E$2:$E$180,C8)</f>
        <v>283</v>
      </c>
      <c r="E8" s="7">
        <f>D8/Sheet1!$I$9*Sheet1!$I$10</f>
        <v>8.9622973085878019</v>
      </c>
      <c r="F8" s="462">
        <f>D8/Sheet1!$I$9*Sheet1!$I$11</f>
        <v>6.3046206088603236E-3</v>
      </c>
      <c r="G8" s="547">
        <f t="shared" si="0"/>
        <v>6.3046206088603236E-3</v>
      </c>
      <c r="H8" s="740"/>
      <c r="J8" s="740"/>
      <c r="K8" s="743" t="s">
        <v>306</v>
      </c>
      <c r="L8" s="545" t="s">
        <v>554</v>
      </c>
      <c r="M8" s="7">
        <f>SUMIFS(Sheet1!$N$2:$N$180,Sheet1!$Q$2:$Q$180,K8,Sheet1!$P$2:$P$180,L8)</f>
        <v>205</v>
      </c>
      <c r="N8" s="7">
        <f>M8/Sheet1!$T$9*Sheet1!$T$10</f>
        <v>6.4967990537652529</v>
      </c>
      <c r="O8" s="462">
        <f>M8/Sheet1!$T$9*Sheet1!$T$11</f>
        <v>4.577882939213785E-3</v>
      </c>
      <c r="P8" s="547">
        <f t="shared" si="1"/>
        <v>4.577882939213785E-3</v>
      </c>
      <c r="Q8" s="740"/>
    </row>
    <row r="9" spans="1:17">
      <c r="A9" s="740"/>
      <c r="B9" s="744"/>
      <c r="C9" s="545"/>
      <c r="D9" s="7">
        <f>SUMIFS(Sheet1!$C$2:$C$180,Sheet1!$F$2:$F$180,B8,Sheet1!$E$2:$E$180,C9)</f>
        <v>0</v>
      </c>
      <c r="E9" s="7">
        <f>D9/Sheet1!$I$9*Sheet1!$I$10</f>
        <v>0</v>
      </c>
      <c r="F9" s="462">
        <f>D9/Sheet1!$I$9*Sheet1!$I$11</f>
        <v>0</v>
      </c>
      <c r="G9" s="547">
        <f t="shared" si="0"/>
        <v>0</v>
      </c>
      <c r="H9" s="740"/>
      <c r="J9" s="740"/>
      <c r="K9" s="744"/>
      <c r="L9" s="545"/>
      <c r="M9" s="7">
        <f>SUMIFS(Sheet1!$N$2:$N$180,Sheet1!$Q$2:$Q$180,K8,Sheet1!$P$2:$P$180,L9)</f>
        <v>0</v>
      </c>
      <c r="N9" s="7">
        <f>M9/Sheet1!$T$9*Sheet1!$T$10</f>
        <v>0</v>
      </c>
      <c r="O9" s="462">
        <f>M9/Sheet1!$T$9*Sheet1!$T$11</f>
        <v>0</v>
      </c>
      <c r="P9" s="547">
        <f t="shared" si="1"/>
        <v>0</v>
      </c>
      <c r="Q9" s="740"/>
    </row>
    <row r="10" spans="1:17" ht="15" customHeight="1">
      <c r="A10" s="740"/>
      <c r="B10" s="743" t="s">
        <v>373</v>
      </c>
      <c r="C10" s="545"/>
      <c r="D10" s="7">
        <f>SUMIFS(Sheet1!$C$2:$C$180,Sheet1!$F$2:$F$180,B10,Sheet1!$E$2:$E$180,C10)</f>
        <v>0</v>
      </c>
      <c r="E10" s="7">
        <f>D10/Sheet1!$I$9*Sheet1!$I$10</f>
        <v>0</v>
      </c>
      <c r="F10" s="462">
        <f>D10/Sheet1!$I$9*Sheet1!$I$11</f>
        <v>0</v>
      </c>
      <c r="G10" s="547">
        <f t="shared" si="0"/>
        <v>0</v>
      </c>
      <c r="H10" s="740"/>
      <c r="J10" s="740"/>
      <c r="K10" s="743" t="s">
        <v>373</v>
      </c>
      <c r="L10" s="545"/>
      <c r="M10" s="7">
        <f>SUMIFS(Sheet1!$N$2:$N$180,Sheet1!$Q$2:$Q$180,K10,Sheet1!$P$2:$P$180,L10)</f>
        <v>0</v>
      </c>
      <c r="N10" s="7">
        <f>M10/Sheet1!$T$9*Sheet1!$T$10</f>
        <v>0</v>
      </c>
      <c r="O10" s="462">
        <f>M10/Sheet1!$T$9*Sheet1!$T$11</f>
        <v>0</v>
      </c>
      <c r="P10" s="547">
        <f t="shared" si="1"/>
        <v>0</v>
      </c>
      <c r="Q10" s="740"/>
    </row>
    <row r="11" spans="1:17" ht="15" customHeight="1">
      <c r="A11" s="740"/>
      <c r="B11" s="744"/>
      <c r="C11" s="545"/>
      <c r="D11" s="7">
        <f>SUMIFS(Sheet1!$C$2:$C$180,Sheet1!$F$2:$F$180,B10,Sheet1!$E$2:$E$180,C11)</f>
        <v>0</v>
      </c>
      <c r="E11" s="7">
        <f>D11/Sheet1!$I$9*Sheet1!$I$10</f>
        <v>0</v>
      </c>
      <c r="F11" s="462">
        <f>D11/Sheet1!$I$9*Sheet1!$I$11</f>
        <v>0</v>
      </c>
      <c r="G11" s="547">
        <f t="shared" si="0"/>
        <v>0</v>
      </c>
      <c r="H11" s="740"/>
      <c r="J11" s="740"/>
      <c r="K11" s="744"/>
      <c r="L11" s="545"/>
      <c r="M11" s="7">
        <f>SUMIFS(Sheet1!$N$2:$N$180,Sheet1!$Q$2:$Q$180,K10,Sheet1!$P$2:$P$180,L11)</f>
        <v>0</v>
      </c>
      <c r="N11" s="7">
        <f>M11/Sheet1!$T$9*Sheet1!$T$10</f>
        <v>0</v>
      </c>
      <c r="O11" s="462">
        <f>M11/Sheet1!$T$9*Sheet1!$T$11</f>
        <v>0</v>
      </c>
      <c r="P11" s="547">
        <f t="shared" si="1"/>
        <v>0</v>
      </c>
      <c r="Q11" s="740"/>
    </row>
    <row r="12" spans="1:17" ht="15">
      <c r="A12" s="740" t="s">
        <v>10</v>
      </c>
      <c r="B12" s="542" t="s">
        <v>147</v>
      </c>
      <c r="C12" s="545" t="s">
        <v>147</v>
      </c>
      <c r="D12" s="7"/>
      <c r="E12" s="7">
        <f>+Sheet1!I2</f>
        <v>1.5791230812832167</v>
      </c>
      <c r="F12" s="462">
        <f>E12/Sheet1!$I$8</f>
        <v>1.1108504415096141E-3</v>
      </c>
      <c r="G12" s="546">
        <f t="shared" si="0"/>
        <v>1.1108504415096141E-3</v>
      </c>
      <c r="H12" s="748">
        <f>SUM(G12:G13)</f>
        <v>8.0012160577131071E-3</v>
      </c>
      <c r="J12" s="740" t="s">
        <v>10</v>
      </c>
      <c r="K12" s="542" t="s">
        <v>147</v>
      </c>
      <c r="L12" s="545" t="s">
        <v>147</v>
      </c>
      <c r="M12" s="7"/>
      <c r="N12" s="7">
        <f>+Sheet1!T2</f>
        <v>1.5791230812832167</v>
      </c>
      <c r="O12" s="462">
        <f>+Sheet1!U2</f>
        <v>1.1127080509801997E-3</v>
      </c>
      <c r="P12" s="546">
        <f t="shared" si="1"/>
        <v>1.1127080509801997E-3</v>
      </c>
      <c r="Q12" s="748">
        <f>SUM(P12:P13)</f>
        <v>8.0145960179396278E-3</v>
      </c>
    </row>
    <row r="13" spans="1:17" ht="15">
      <c r="A13" s="740"/>
      <c r="B13" s="542" t="s">
        <v>238</v>
      </c>
      <c r="C13" s="545" t="s">
        <v>239</v>
      </c>
      <c r="D13" s="7"/>
      <c r="E13" s="7">
        <f>+Sheet1!I3</f>
        <v>9.7949597681579732</v>
      </c>
      <c r="F13" s="462">
        <f>E13/Sheet1!$I$8</f>
        <v>6.8903656162034935E-3</v>
      </c>
      <c r="G13" s="546">
        <f t="shared" si="0"/>
        <v>6.8903656162034935E-3</v>
      </c>
      <c r="H13" s="749"/>
      <c r="J13" s="740"/>
      <c r="K13" s="542" t="s">
        <v>238</v>
      </c>
      <c r="L13" s="545" t="s">
        <v>239</v>
      </c>
      <c r="M13" s="7"/>
      <c r="N13" s="7">
        <f>+Sheet1!T3</f>
        <v>9.7949597681579732</v>
      </c>
      <c r="O13" s="462">
        <f>+Sheet1!U3</f>
        <v>6.9018879669594281E-3</v>
      </c>
      <c r="P13" s="546">
        <f t="shared" si="1"/>
        <v>6.9018879669594281E-3</v>
      </c>
      <c r="Q13" s="749"/>
    </row>
    <row r="14" spans="1:17" ht="15">
      <c r="A14" s="750" t="s">
        <v>12</v>
      </c>
      <c r="B14" s="542" t="s">
        <v>240</v>
      </c>
      <c r="C14" s="545" t="s">
        <v>240</v>
      </c>
      <c r="D14" s="7"/>
      <c r="E14" s="7">
        <f>+Sheet1!I4</f>
        <v>-0.73442867458194727</v>
      </c>
      <c r="F14" s="462">
        <f>E14/Sheet1!$I$8</f>
        <v>-5.1664143668504541E-4</v>
      </c>
      <c r="G14" s="546">
        <f t="shared" si="0"/>
        <v>-5.1664143668504541E-4</v>
      </c>
      <c r="H14" s="746">
        <f>SUM(G14:G23)</f>
        <v>6.5489152304894951E-2</v>
      </c>
      <c r="J14" s="750" t="s">
        <v>12</v>
      </c>
      <c r="K14" s="542" t="s">
        <v>240</v>
      </c>
      <c r="L14" s="545" t="s">
        <v>240</v>
      </c>
      <c r="M14" s="7"/>
      <c r="N14" s="7">
        <f>+Sheet1!T4</f>
        <v>-0.6360503072854391</v>
      </c>
      <c r="O14" s="462">
        <f>+Sheet1!U4</f>
        <v>-4.4818437912377319E-4</v>
      </c>
      <c r="P14" s="546">
        <f t="shared" si="1"/>
        <v>-4.4818437912377319E-4</v>
      </c>
      <c r="Q14" s="746">
        <f>SUM(P14:P23)</f>
        <v>6.5636095494934057E-2</v>
      </c>
    </row>
    <row r="15" spans="1:17" ht="15">
      <c r="A15" s="751"/>
      <c r="B15" s="542" t="s">
        <v>241</v>
      </c>
      <c r="C15" s="545" t="s">
        <v>241</v>
      </c>
      <c r="D15" s="7"/>
      <c r="E15" s="7">
        <f>+Sheet1!I5</f>
        <v>20.073301309948576</v>
      </c>
      <c r="F15" s="462">
        <f>E15/Sheet1!$I$8</f>
        <v>1.4120771133680016E-2</v>
      </c>
      <c r="G15" s="546">
        <f>F15</f>
        <v>1.4120771133680016E-2</v>
      </c>
      <c r="H15" s="746"/>
      <c r="J15" s="751"/>
      <c r="K15" s="542" t="s">
        <v>241</v>
      </c>
      <c r="L15" s="545" t="s">
        <v>241</v>
      </c>
      <c r="M15" s="7"/>
      <c r="N15" s="7">
        <f>+Sheet1!T5</f>
        <v>19.974922942652064</v>
      </c>
      <c r="O15" s="462">
        <f>+Sheet1!U5</f>
        <v>1.4075063457331456E-2</v>
      </c>
      <c r="P15" s="546">
        <f>O15</f>
        <v>1.4075063457331456E-2</v>
      </c>
      <c r="Q15" s="746"/>
    </row>
    <row r="16" spans="1:17">
      <c r="A16" s="751"/>
      <c r="B16" s="747" t="s">
        <v>242</v>
      </c>
      <c r="C16" s="545"/>
      <c r="D16" s="7">
        <f>SUMIFS(Sheet1!$C$2:$C$180,Sheet1!$F$2:$F$180,B16,Sheet1!$E$2:$E$180,C16)</f>
        <v>0</v>
      </c>
      <c r="E16" s="7">
        <f>D16/Sheet1!$I$9*Sheet1!$I$10</f>
        <v>0</v>
      </c>
      <c r="F16" s="462">
        <f>D16/Sheet1!$I$9*Sheet1!$I$11</f>
        <v>0</v>
      </c>
      <c r="G16" s="745">
        <f>SUM(F16:F17)</f>
        <v>0</v>
      </c>
      <c r="H16" s="746"/>
      <c r="J16" s="751"/>
      <c r="K16" s="747" t="s">
        <v>242</v>
      </c>
      <c r="L16" s="545"/>
      <c r="M16" s="7">
        <f>SUMIFS(Sheet1!$N$2:$N$180,Sheet1!$Q$2:$Q$180,K16,Sheet1!$P$2:$P$180,L16)</f>
        <v>0</v>
      </c>
      <c r="N16" s="7">
        <f>M16/Sheet1!$T$9*Sheet1!$T$10</f>
        <v>0</v>
      </c>
      <c r="O16" s="462">
        <f>M16/Sheet1!$T$9*Sheet1!$T$11</f>
        <v>0</v>
      </c>
      <c r="P16" s="745">
        <f>SUM(O16:O17)</f>
        <v>0</v>
      </c>
      <c r="Q16" s="746"/>
    </row>
    <row r="17" spans="1:17">
      <c r="A17" s="751"/>
      <c r="B17" s="747"/>
      <c r="C17" s="545"/>
      <c r="D17" s="7">
        <f>SUMIFS(Sheet1!$C$2:$C$180,Sheet1!$F$2:$F$180,B16,Sheet1!$E$2:$E$180,C17)</f>
        <v>0</v>
      </c>
      <c r="E17" s="7">
        <f>D17/Sheet1!$I$9*Sheet1!$I$10</f>
        <v>0</v>
      </c>
      <c r="F17" s="462">
        <f>D17/Sheet1!$I$9*Sheet1!$I$11</f>
        <v>0</v>
      </c>
      <c r="G17" s="745"/>
      <c r="H17" s="746"/>
      <c r="J17" s="751"/>
      <c r="K17" s="747"/>
      <c r="L17" s="545"/>
      <c r="M17" s="7">
        <f>SUMIFS(Sheet1!$N$2:$N$180,Sheet1!$Q$2:$Q$180,K16,Sheet1!$P$2:$P$180,L17)</f>
        <v>0</v>
      </c>
      <c r="N17" s="7">
        <f>M17/Sheet1!$T$9*Sheet1!$T$10</f>
        <v>0</v>
      </c>
      <c r="O17" s="462">
        <f>M17/Sheet1!$T$9*Sheet1!$T$11</f>
        <v>0</v>
      </c>
      <c r="P17" s="745"/>
      <c r="Q17" s="746"/>
    </row>
    <row r="18" spans="1:17" ht="15">
      <c r="A18" s="751"/>
      <c r="B18" s="542" t="s">
        <v>243</v>
      </c>
      <c r="C18" s="545" t="s">
        <v>220</v>
      </c>
      <c r="D18" s="7">
        <f>SUMIFS(Sheet1!$C$2:$C$180,Sheet1!$F$2:$F$180,B18,Sheet1!$E$2:$E$180,C18)</f>
        <v>0</v>
      </c>
      <c r="E18" s="7">
        <f>D18/Sheet1!$I$9*Sheet1!$I$10</f>
        <v>0</v>
      </c>
      <c r="F18" s="462">
        <f>D18/Sheet1!$I$9*Sheet1!$I$11</f>
        <v>0</v>
      </c>
      <c r="G18" s="546">
        <f>F18</f>
        <v>0</v>
      </c>
      <c r="H18" s="746"/>
      <c r="J18" s="751"/>
      <c r="K18" s="542" t="s">
        <v>243</v>
      </c>
      <c r="L18" s="545" t="s">
        <v>220</v>
      </c>
      <c r="M18" s="7">
        <f>SUMIFS(Sheet1!$N$2:$N$180,Sheet1!$Q$2:$Q$180,K18,Sheet1!$P$2:$P$180,L18)</f>
        <v>0</v>
      </c>
      <c r="N18" s="7">
        <f>M18/Sheet1!$T$9*Sheet1!$T$10</f>
        <v>0</v>
      </c>
      <c r="O18" s="462">
        <f>M18/Sheet1!$T$9*Sheet1!$T$11</f>
        <v>0</v>
      </c>
      <c r="P18" s="546">
        <f>O18</f>
        <v>0</v>
      </c>
      <c r="Q18" s="746"/>
    </row>
    <row r="19" spans="1:17">
      <c r="A19" s="751"/>
      <c r="B19" s="743" t="s">
        <v>244</v>
      </c>
      <c r="C19" s="545" t="s">
        <v>245</v>
      </c>
      <c r="D19" s="7">
        <f>SUMIFS(Sheet1!$C$2:$C$180,Sheet1!$F$2:$F$180,B19,Sheet1!$E$2:$E$180,C19)</f>
        <v>291</v>
      </c>
      <c r="E19" s="7">
        <f>D19/Sheet1!$I$9*Sheet1!$I$10</f>
        <v>9.2156484692545941</v>
      </c>
      <c r="F19" s="462">
        <f>D19/Sheet1!$I$9*Sheet1!$I$11</f>
        <v>6.4828430995701562E-3</v>
      </c>
      <c r="G19" s="741">
        <f>SUM(F19:F23)</f>
        <v>5.1885022607899983E-2</v>
      </c>
      <c r="H19" s="746"/>
      <c r="J19" s="751"/>
      <c r="K19" s="743" t="s">
        <v>244</v>
      </c>
      <c r="L19" s="545" t="s">
        <v>245</v>
      </c>
      <c r="M19" s="7">
        <f>SUMIFS(Sheet1!$N$2:$N$180,Sheet1!$Q$2:$Q$180,$K$19,Sheet1!$P$2:$P$180,L19)</f>
        <v>291</v>
      </c>
      <c r="N19" s="7">
        <f>M19/Sheet1!$T$9*Sheet1!$T$10</f>
        <v>9.2222854860765295</v>
      </c>
      <c r="O19" s="462">
        <f>M19/Sheet1!$T$9*Sheet1!$T$11</f>
        <v>6.4983606600546896E-3</v>
      </c>
      <c r="P19" s="741">
        <f>SUM(O19:O23)</f>
        <v>5.2009216416726373E-2</v>
      </c>
      <c r="Q19" s="746"/>
    </row>
    <row r="20" spans="1:17">
      <c r="A20" s="751"/>
      <c r="B20" s="752"/>
      <c r="C20" s="545" t="s">
        <v>246</v>
      </c>
      <c r="D20" s="7">
        <f>SUMIFS(Sheet1!$C$2:$C$180,Sheet1!$F$2:$F$180,B19,Sheet1!$E$2:$E$180,C20)</f>
        <v>1293</v>
      </c>
      <c r="E20" s="7">
        <f>D20/Sheet1!$I$9*Sheet1!$I$10</f>
        <v>40.947881342770415</v>
      </c>
      <c r="F20" s="462">
        <f>D20/Sheet1!$I$9*Sheet1!$I$11</f>
        <v>2.8805210060976676E-2</v>
      </c>
      <c r="G20" s="753"/>
      <c r="H20" s="746"/>
      <c r="J20" s="751"/>
      <c r="K20" s="752"/>
      <c r="L20" s="545" t="s">
        <v>246</v>
      </c>
      <c r="M20" s="7">
        <f>SUMIFS(Sheet1!$N$2:$N$180,Sheet1!$Q$2:$Q$180,$K$19,Sheet1!$P$2:$P$180,L20)</f>
        <v>1293</v>
      </c>
      <c r="N20" s="7">
        <f>M20/Sheet1!$T$9*Sheet1!$T$10</f>
        <v>40.977371592773032</v>
      </c>
      <c r="O20" s="462">
        <f>M20/Sheet1!$T$9*Sheet1!$T$11</f>
        <v>2.8874159221480115E-2</v>
      </c>
      <c r="P20" s="753"/>
      <c r="Q20" s="746"/>
    </row>
    <row r="21" spans="1:17">
      <c r="A21" s="751"/>
      <c r="B21" s="752"/>
      <c r="C21" s="545" t="s">
        <v>247</v>
      </c>
      <c r="D21" s="7">
        <f>SUMIFS(Sheet1!$C$2:$C$180,Sheet1!$F$2:$F$180,B19,Sheet1!$E$2:$E$180,C21)</f>
        <v>745</v>
      </c>
      <c r="E21" s="7">
        <f>D21/Sheet1!$I$9*Sheet1!$I$10</f>
        <v>23.593326837095095</v>
      </c>
      <c r="F21" s="462">
        <f>D21/Sheet1!$I$9*Sheet1!$I$11</f>
        <v>1.6596969447353151E-2</v>
      </c>
      <c r="G21" s="753"/>
      <c r="H21" s="746"/>
      <c r="J21" s="751"/>
      <c r="K21" s="752"/>
      <c r="L21" s="545" t="s">
        <v>247</v>
      </c>
      <c r="M21" s="7">
        <f>SUMIFS(Sheet1!$N$2:$N$180,Sheet1!$Q$2:$Q$180,$K$19,Sheet1!$P$2:$P$180,L21)</f>
        <v>745</v>
      </c>
      <c r="N21" s="7">
        <f>M21/Sheet1!$T$9*Sheet1!$T$10</f>
        <v>23.610318512463969</v>
      </c>
      <c r="O21" s="462">
        <f>M21/Sheet1!$T$9*Sheet1!$T$11</f>
        <v>1.6636696535191561E-2</v>
      </c>
      <c r="P21" s="753"/>
      <c r="Q21" s="746"/>
    </row>
    <row r="22" spans="1:17">
      <c r="A22" s="751"/>
      <c r="B22" s="752"/>
      <c r="C22" s="545" t="s">
        <v>13</v>
      </c>
      <c r="D22" s="7">
        <f>SUMIFS(Sheet1!$C$2:$C$180,Sheet1!$F$2:$F$180,B19,Sheet1!$E$2:$E$180,C22)</f>
        <v>0</v>
      </c>
      <c r="E22" s="7">
        <f>D22/Sheet1!$I$9*Sheet1!$I$10</f>
        <v>0</v>
      </c>
      <c r="F22" s="462">
        <f>D22/Sheet1!$I$9*Sheet1!$I$11</f>
        <v>0</v>
      </c>
      <c r="G22" s="753"/>
      <c r="H22" s="746"/>
      <c r="J22" s="751"/>
      <c r="K22" s="752"/>
      <c r="L22" s="545" t="s">
        <v>13</v>
      </c>
      <c r="M22" s="7">
        <f>SUMIFS(Sheet1!$N$2:$N$180,Sheet1!$Q$2:$Q$180,$K$19,Sheet1!$P$2:$P$180,L22)</f>
        <v>0</v>
      </c>
      <c r="N22" s="7">
        <f>M22/Sheet1!$T$9*Sheet1!$T$10</f>
        <v>0</v>
      </c>
      <c r="O22" s="462">
        <f>M22/Sheet1!$T$9*Sheet1!$T$11</f>
        <v>0</v>
      </c>
      <c r="P22" s="753"/>
      <c r="Q22" s="746"/>
    </row>
    <row r="23" spans="1:17">
      <c r="A23" s="751"/>
      <c r="B23" s="744"/>
      <c r="C23" s="545"/>
      <c r="D23" s="7">
        <f>SUMIFS(Sheet1!$C$2:$C$180,Sheet1!$F$2:$F$180,B19,Sheet1!$E$2:$E$180,C23)</f>
        <v>0</v>
      </c>
      <c r="E23" s="7">
        <f>D23/Sheet1!$I$9*Sheet1!$I$10</f>
        <v>0</v>
      </c>
      <c r="F23" s="462">
        <f>D23/Sheet1!$I$9*Sheet1!$I$11</f>
        <v>0</v>
      </c>
      <c r="G23" s="742"/>
      <c r="H23" s="746"/>
      <c r="J23" s="751"/>
      <c r="K23" s="744"/>
      <c r="L23" s="545"/>
      <c r="M23" s="7">
        <f>SUMIFS(Sheet1!$N$2:$N$180,Sheet1!$Q$2:$Q$180,$K$19,Sheet1!$P$2:$P$180,L23)</f>
        <v>0</v>
      </c>
      <c r="N23" s="7">
        <f>M23/Sheet1!$T$9*Sheet1!$T$10</f>
        <v>0</v>
      </c>
      <c r="O23" s="462">
        <f>M23/Sheet1!$T$9*Sheet1!$T$11</f>
        <v>0</v>
      </c>
      <c r="P23" s="742"/>
      <c r="Q23" s="746"/>
    </row>
    <row r="24" spans="1:17" ht="12.75" customHeight="1">
      <c r="A24" s="740" t="s">
        <v>248</v>
      </c>
      <c r="B24" s="747" t="s">
        <v>249</v>
      </c>
      <c r="C24" s="548" t="s">
        <v>641</v>
      </c>
      <c r="D24" s="7">
        <f>SUMIFS(Sheet1!$C$2:$C$180,Sheet1!$F$2:$F$180,B24,Sheet1!$E$2:$E$180,C24)</f>
        <v>700</v>
      </c>
      <c r="E24" s="7">
        <f>D24/Sheet1!$I$9*Sheet1!$I$10</f>
        <v>22.168226558344386</v>
      </c>
      <c r="F24" s="462">
        <f>D24/Sheet1!$I$9*Sheet1!$I$11</f>
        <v>1.5594467937110343E-2</v>
      </c>
      <c r="G24" s="745">
        <f>SUM(F24:F30)</f>
        <v>1.5594467937110343E-2</v>
      </c>
      <c r="H24" s="746">
        <f>SUM(G24:G37)</f>
        <v>1.5594467937110343E-2</v>
      </c>
      <c r="J24" s="740" t="s">
        <v>248</v>
      </c>
      <c r="K24" s="747" t="s">
        <v>249</v>
      </c>
      <c r="L24" s="548" t="s">
        <v>641</v>
      </c>
      <c r="M24" s="7">
        <f>SUMIFS(Sheet1!$N$2:$N$180,Sheet1!$Q$2:$Q$180,$K$24,Sheet1!$P$2:$P$180,L24)</f>
        <v>700</v>
      </c>
      <c r="N24" s="7">
        <f>M24/Sheet1!$T$9*Sheet1!$T$10</f>
        <v>22.184191890905741</v>
      </c>
      <c r="O24" s="462">
        <f>M24/Sheet1!$T$9*Sheet1!$T$11</f>
        <v>1.5631795402193411E-2</v>
      </c>
      <c r="P24" s="745">
        <f>SUM(O24:O30)</f>
        <v>1.5631795402193411E-2</v>
      </c>
      <c r="Q24" s="746">
        <f>SUM(P24:P37)</f>
        <v>1.5631795402193411E-2</v>
      </c>
    </row>
    <row r="25" spans="1:17" ht="12.75" customHeight="1">
      <c r="A25" s="740"/>
      <c r="B25" s="747"/>
      <c r="C25" s="548"/>
      <c r="D25" s="7">
        <f>SUMIFS(Sheet1!$C$2:$C$180,Sheet1!$F$2:$F$180,B24,Sheet1!$E$2:$E$180,C25)</f>
        <v>0</v>
      </c>
      <c r="E25" s="7">
        <f>D25/Sheet1!$I$9*Sheet1!$I$10</f>
        <v>0</v>
      </c>
      <c r="F25" s="462">
        <f>D25/Sheet1!$I$9*Sheet1!$I$11</f>
        <v>0</v>
      </c>
      <c r="G25" s="745"/>
      <c r="H25" s="746"/>
      <c r="J25" s="740"/>
      <c r="K25" s="747"/>
      <c r="L25" s="548"/>
      <c r="M25" s="7">
        <f>SUMIFS(Sheet1!$N$2:$N$180,Sheet1!$Q$2:$Q$180,$K$24,Sheet1!$P$2:$P$180,L25)</f>
        <v>0</v>
      </c>
      <c r="N25" s="7">
        <f>M25/Sheet1!$T$9*Sheet1!$T$10</f>
        <v>0</v>
      </c>
      <c r="O25" s="462">
        <f>M25/Sheet1!$T$9*Sheet1!$T$11</f>
        <v>0</v>
      </c>
      <c r="P25" s="745"/>
      <c r="Q25" s="746"/>
    </row>
    <row r="26" spans="1:17" ht="12.75" customHeight="1">
      <c r="A26" s="740"/>
      <c r="B26" s="747"/>
      <c r="C26" s="525"/>
      <c r="D26" s="7">
        <f>SUMIFS(Sheet1!$C$2:$C$180,Sheet1!$F$2:$F$180,B24,Sheet1!$E$2:$E$180,C26)</f>
        <v>0</v>
      </c>
      <c r="E26" s="7">
        <f>D26/Sheet1!$I$9*Sheet1!$I$10</f>
        <v>0</v>
      </c>
      <c r="F26" s="462">
        <f>D26/Sheet1!$I$9*Sheet1!$I$11</f>
        <v>0</v>
      </c>
      <c r="G26" s="745"/>
      <c r="H26" s="746"/>
      <c r="J26" s="740"/>
      <c r="K26" s="747"/>
      <c r="L26" s="525"/>
      <c r="M26" s="7">
        <f>SUMIFS(Sheet1!$N$2:$N$180,Sheet1!$Q$2:$Q$180,$K$24,Sheet1!$P$2:$P$180,L26)</f>
        <v>0</v>
      </c>
      <c r="N26" s="7">
        <f>M26/Sheet1!$T$9*Sheet1!$T$10</f>
        <v>0</v>
      </c>
      <c r="O26" s="462">
        <f>M26/Sheet1!$T$9*Sheet1!$T$11</f>
        <v>0</v>
      </c>
      <c r="P26" s="745"/>
      <c r="Q26" s="746"/>
    </row>
    <row r="27" spans="1:17" ht="12.75" customHeight="1">
      <c r="A27" s="740"/>
      <c r="B27" s="747"/>
      <c r="D27" s="7">
        <f>SUMIFS(Sheet1!$C$2:$C$180,Sheet1!$F$2:$F$180,B24,Sheet1!$E$2:$E$180,C27)</f>
        <v>0</v>
      </c>
      <c r="E27" s="7">
        <f>D27/Sheet1!$I$9*Sheet1!$I$10</f>
        <v>0</v>
      </c>
      <c r="F27" s="462">
        <f>D27/Sheet1!$I$9*Sheet1!$I$11</f>
        <v>0</v>
      </c>
      <c r="G27" s="745"/>
      <c r="H27" s="746"/>
      <c r="J27" s="740"/>
      <c r="K27" s="747"/>
      <c r="M27" s="7">
        <f>SUMIFS(Sheet1!$N$2:$N$180,Sheet1!$Q$2:$Q$180,$K$24,Sheet1!$P$2:$P$180,L27)</f>
        <v>0</v>
      </c>
      <c r="N27" s="7">
        <f>M27/Sheet1!$T$9*Sheet1!$T$10</f>
        <v>0</v>
      </c>
      <c r="O27" s="462">
        <f>M27/Sheet1!$T$9*Sheet1!$T$11</f>
        <v>0</v>
      </c>
      <c r="P27" s="745"/>
      <c r="Q27" s="746"/>
    </row>
    <row r="28" spans="1:17" ht="12.75" customHeight="1">
      <c r="A28" s="740"/>
      <c r="B28" s="747"/>
      <c r="C28" s="545"/>
      <c r="D28" s="7">
        <f>SUMIFS(Sheet1!$C$2:$C$180,Sheet1!$F$2:$F$180,B24,Sheet1!$E$2:$E$180,C28)</f>
        <v>0</v>
      </c>
      <c r="E28" s="7">
        <f>D28/Sheet1!$I$9*Sheet1!$I$10</f>
        <v>0</v>
      </c>
      <c r="F28" s="462">
        <f>D28/Sheet1!$I$9*Sheet1!$I$11</f>
        <v>0</v>
      </c>
      <c r="G28" s="745"/>
      <c r="H28" s="746"/>
      <c r="J28" s="740"/>
      <c r="K28" s="747"/>
      <c r="L28" s="545"/>
      <c r="M28" s="7">
        <f>SUMIFS(Sheet1!$N$2:$N$180,Sheet1!$Q$2:$Q$180,$K$24,Sheet1!$P$2:$P$180,L28)</f>
        <v>0</v>
      </c>
      <c r="N28" s="7">
        <f>M28/Sheet1!$T$9*Sheet1!$T$10</f>
        <v>0</v>
      </c>
      <c r="O28" s="462">
        <f>M28/Sheet1!$T$9*Sheet1!$T$11</f>
        <v>0</v>
      </c>
      <c r="P28" s="745"/>
      <c r="Q28" s="746"/>
    </row>
    <row r="29" spans="1:17" ht="12.75" customHeight="1">
      <c r="A29" s="740"/>
      <c r="B29" s="747"/>
      <c r="C29" s="545"/>
      <c r="D29" s="7">
        <f>SUMIFS(Sheet1!$C$2:$C$180,Sheet1!$F$2:$F$180,B24,Sheet1!$E$2:$E$180,C29)</f>
        <v>0</v>
      </c>
      <c r="E29" s="7">
        <f>D29/Sheet1!$I$9*Sheet1!$I$10</f>
        <v>0</v>
      </c>
      <c r="F29" s="462">
        <f>D29/Sheet1!$I$9*Sheet1!$I$11</f>
        <v>0</v>
      </c>
      <c r="G29" s="745"/>
      <c r="H29" s="746"/>
      <c r="J29" s="740"/>
      <c r="K29" s="747"/>
      <c r="L29" s="545"/>
      <c r="M29" s="7">
        <f>SUMIFS(Sheet1!$N$2:$N$180,Sheet1!$Q$2:$Q$180,$K$24,Sheet1!$P$2:$P$180,L29)</f>
        <v>0</v>
      </c>
      <c r="N29" s="7">
        <f>M29/Sheet1!$T$9*Sheet1!$T$10</f>
        <v>0</v>
      </c>
      <c r="O29" s="462">
        <f>M29/Sheet1!$T$9*Sheet1!$T$11</f>
        <v>0</v>
      </c>
      <c r="P29" s="745"/>
      <c r="Q29" s="746"/>
    </row>
    <row r="30" spans="1:17" ht="12.75" customHeight="1">
      <c r="A30" s="740"/>
      <c r="B30" s="747"/>
      <c r="C30" s="545"/>
      <c r="D30" s="7">
        <f>SUMIFS(Sheet1!$C$2:$C$180,Sheet1!$F$2:$F$180,B24,Sheet1!$E$2:$E$180,C30)</f>
        <v>0</v>
      </c>
      <c r="E30" s="7">
        <f>D30/Sheet1!$I$9*Sheet1!$I$10</f>
        <v>0</v>
      </c>
      <c r="F30" s="462">
        <f>D30/Sheet1!$I$9*Sheet1!$I$11</f>
        <v>0</v>
      </c>
      <c r="G30" s="745"/>
      <c r="H30" s="746"/>
      <c r="J30" s="740"/>
      <c r="K30" s="747"/>
      <c r="L30" s="545"/>
      <c r="M30" s="7">
        <f>SUMIFS(Sheet1!$N$2:$N$180,Sheet1!$Q$2:$Q$180,$K$24,Sheet1!$P$2:$P$180,L30)</f>
        <v>0</v>
      </c>
      <c r="N30" s="7">
        <f>M30/Sheet1!$T$9*Sheet1!$T$10</f>
        <v>0</v>
      </c>
      <c r="O30" s="462">
        <f>M30/Sheet1!$T$9*Sheet1!$T$11</f>
        <v>0</v>
      </c>
      <c r="P30" s="745"/>
      <c r="Q30" s="746"/>
    </row>
    <row r="31" spans="1:17" ht="12.75" customHeight="1">
      <c r="A31" s="740"/>
      <c r="B31" s="743" t="s">
        <v>250</v>
      </c>
      <c r="D31" s="7">
        <f>SUMIFS(Sheet1!$C$2:$C$180,Sheet1!$F$2:$F$180,B31,Sheet1!$E$2:$E$180,C31)</f>
        <v>0</v>
      </c>
      <c r="E31" s="7">
        <f>D31/Sheet1!$I$9*Sheet1!$I$10</f>
        <v>0</v>
      </c>
      <c r="F31" s="462">
        <f>D31/Sheet1!$I$9*Sheet1!$I$11</f>
        <v>0</v>
      </c>
      <c r="G31" s="741">
        <f>SUM(F31:F32)</f>
        <v>0</v>
      </c>
      <c r="H31" s="746"/>
      <c r="J31" s="740"/>
      <c r="K31" s="743" t="s">
        <v>250</v>
      </c>
      <c r="M31" s="7">
        <f>SUMIFS(Sheet1!$N$2:$N$180,Sheet1!$Q$2:$Q$180,$K$31,Sheet1!$P$2:$P$180,L31)</f>
        <v>0</v>
      </c>
      <c r="N31" s="7">
        <f>M31/Sheet1!$T$9*Sheet1!$T$10</f>
        <v>0</v>
      </c>
      <c r="O31" s="462">
        <f>M31/Sheet1!$T$9*Sheet1!$T$11</f>
        <v>0</v>
      </c>
      <c r="P31" s="741">
        <f>SUM(O31:O32)</f>
        <v>0</v>
      </c>
      <c r="Q31" s="746"/>
    </row>
    <row r="32" spans="1:17" ht="12.75" customHeight="1">
      <c r="A32" s="740"/>
      <c r="B32" s="744"/>
      <c r="C32" s="545"/>
      <c r="D32" s="7">
        <f>SUMIFS(Sheet1!$C$2:$C$180,Sheet1!$F$2:$F$180,B31,Sheet1!$E$2:$E$180,C32)</f>
        <v>0</v>
      </c>
      <c r="E32" s="7">
        <f>D32/Sheet1!$I$9*Sheet1!$I$10</f>
        <v>0</v>
      </c>
      <c r="F32" s="462">
        <f>D32/Sheet1!$I$9*Sheet1!$I$11</f>
        <v>0</v>
      </c>
      <c r="G32" s="742"/>
      <c r="H32" s="746"/>
      <c r="J32" s="740"/>
      <c r="K32" s="744"/>
      <c r="L32" s="545"/>
      <c r="M32" s="7">
        <f>SUMIFS(Sheet1!$N$2:$N$180,Sheet1!$Q$2:$Q$180,$K$31,Sheet1!$P$2:$P$180,L32)</f>
        <v>0</v>
      </c>
      <c r="N32" s="7">
        <f>M32/Sheet1!$T$9*Sheet1!$T$10</f>
        <v>0</v>
      </c>
      <c r="O32" s="462">
        <f>M32/Sheet1!$T$9*Sheet1!$T$11</f>
        <v>0</v>
      </c>
      <c r="P32" s="742"/>
      <c r="Q32" s="746"/>
    </row>
    <row r="33" spans="1:17" ht="12.75" customHeight="1">
      <c r="A33" s="740"/>
      <c r="B33" s="747" t="s">
        <v>251</v>
      </c>
      <c r="C33" s="545"/>
      <c r="D33" s="7">
        <f>SUMIFS(Sheet1!$C$2:$C$180,Sheet1!$F$2:$F$180,B33,Sheet1!$E$2:$E$180,C33)</f>
        <v>0</v>
      </c>
      <c r="E33" s="7">
        <f>D33/Sheet1!$I$9*Sheet1!$I$10</f>
        <v>0</v>
      </c>
      <c r="F33" s="462">
        <f>D33/Sheet1!$I$9*Sheet1!$I$11</f>
        <v>0</v>
      </c>
      <c r="G33" s="745">
        <f>SUM(F33:F35)</f>
        <v>0</v>
      </c>
      <c r="H33" s="746"/>
      <c r="J33" s="740"/>
      <c r="K33" s="747" t="s">
        <v>251</v>
      </c>
      <c r="L33" s="545"/>
      <c r="M33" s="7">
        <f>SUMIFS(Sheet1!$N$2:$N$180,Sheet1!$Q$2:$Q$180,$K$33,Sheet1!$P$2:$P$180,L33)</f>
        <v>0</v>
      </c>
      <c r="N33" s="7">
        <f>M33/Sheet1!$T$9*Sheet1!$T$10</f>
        <v>0</v>
      </c>
      <c r="O33" s="462">
        <f>M33/Sheet1!$T$9*Sheet1!$T$11</f>
        <v>0</v>
      </c>
      <c r="P33" s="745">
        <f>SUM(O33:O35)</f>
        <v>0</v>
      </c>
      <c r="Q33" s="746"/>
    </row>
    <row r="34" spans="1:17" ht="12.75" customHeight="1">
      <c r="A34" s="740"/>
      <c r="B34" s="747"/>
      <c r="C34" s="545"/>
      <c r="D34" s="7">
        <f>SUMIFS(Sheet1!$C$2:$C$180,Sheet1!$F$2:$F$180,B33,Sheet1!$E$2:$E$180,C34)</f>
        <v>0</v>
      </c>
      <c r="E34" s="7">
        <f>D34/Sheet1!$I$9*Sheet1!$I$10</f>
        <v>0</v>
      </c>
      <c r="F34" s="462">
        <f>D34/Sheet1!$I$9*Sheet1!$I$11</f>
        <v>0</v>
      </c>
      <c r="G34" s="745"/>
      <c r="H34" s="746"/>
      <c r="J34" s="740"/>
      <c r="K34" s="747"/>
      <c r="L34" s="545"/>
      <c r="M34" s="7">
        <f>SUMIFS(Sheet1!$N$2:$N$180,Sheet1!$Q$2:$Q$180,$K$33,Sheet1!$P$2:$P$180,L34)</f>
        <v>0</v>
      </c>
      <c r="N34" s="7">
        <f>M34/Sheet1!$T$9*Sheet1!$T$10</f>
        <v>0</v>
      </c>
      <c r="O34" s="462">
        <f>M34/Sheet1!$T$9*Sheet1!$T$11</f>
        <v>0</v>
      </c>
      <c r="P34" s="745"/>
      <c r="Q34" s="746"/>
    </row>
    <row r="35" spans="1:17" ht="12.75" customHeight="1">
      <c r="A35" s="740"/>
      <c r="B35" s="747"/>
      <c r="C35" s="545"/>
      <c r="D35" s="7">
        <f>SUMIFS(Sheet1!$C$2:$C$180,Sheet1!$F$2:$F$180,B33,Sheet1!$E$2:$E$180,C35)</f>
        <v>0</v>
      </c>
      <c r="E35" s="7">
        <f>D35/Sheet1!$I$9*Sheet1!$I$10</f>
        <v>0</v>
      </c>
      <c r="F35" s="462">
        <f>D35/Sheet1!$I$9*Sheet1!$I$11</f>
        <v>0</v>
      </c>
      <c r="G35" s="745"/>
      <c r="H35" s="746"/>
      <c r="J35" s="740"/>
      <c r="K35" s="747"/>
      <c r="L35" s="545"/>
      <c r="M35" s="7">
        <f>SUMIFS(Sheet1!$N$2:$N$180,Sheet1!$Q$2:$Q$180,$K$33,Sheet1!$P$2:$P$180,L35)</f>
        <v>0</v>
      </c>
      <c r="N35" s="7">
        <f>M35/Sheet1!$T$9*Sheet1!$T$10</f>
        <v>0</v>
      </c>
      <c r="O35" s="462">
        <f>M35/Sheet1!$T$9*Sheet1!$T$11</f>
        <v>0</v>
      </c>
      <c r="P35" s="745"/>
      <c r="Q35" s="746"/>
    </row>
    <row r="36" spans="1:17" ht="12.75" customHeight="1">
      <c r="A36" s="740"/>
      <c r="B36" s="743" t="s">
        <v>252</v>
      </c>
      <c r="C36" s="545"/>
      <c r="D36" s="7">
        <f>SUMIFS(Sheet1!$C$2:$C$180,Sheet1!$F$2:$F$180,B36,Sheet1!$E$2:$E$180,C36)</f>
        <v>0</v>
      </c>
      <c r="E36" s="7">
        <f>D36/Sheet1!$I$9*Sheet1!$I$10</f>
        <v>0</v>
      </c>
      <c r="F36" s="462">
        <f>D36/Sheet1!$I$9*Sheet1!$I$11</f>
        <v>0</v>
      </c>
      <c r="G36" s="741">
        <f>SUM(F36:F37)</f>
        <v>0</v>
      </c>
      <c r="H36" s="746"/>
      <c r="J36" s="740"/>
      <c r="K36" s="743" t="s">
        <v>252</v>
      </c>
      <c r="L36" s="545"/>
      <c r="M36" s="7">
        <f>SUMIFS(Sheet1!$N$2:$N$180,Sheet1!$Q$2:$Q$180,$K$36,Sheet1!$P$2:$P$180,L36)</f>
        <v>0</v>
      </c>
      <c r="N36" s="7">
        <f>M36/Sheet1!$T$9*Sheet1!$T$10</f>
        <v>0</v>
      </c>
      <c r="O36" s="462">
        <f>M36/Sheet1!$T$9*Sheet1!$T$11</f>
        <v>0</v>
      </c>
      <c r="P36" s="741">
        <f>SUM(O36:O37)</f>
        <v>0</v>
      </c>
      <c r="Q36" s="746"/>
    </row>
    <row r="37" spans="1:17" ht="12.75" customHeight="1">
      <c r="A37" s="740"/>
      <c r="B37" s="744"/>
      <c r="C37" s="545"/>
      <c r="D37" s="7">
        <f>SUMIFS(Sheet1!$C$2:$C$180,Sheet1!$F$2:$F$180,B36,Sheet1!$E$2:$E$180,C37)</f>
        <v>0</v>
      </c>
      <c r="E37" s="7">
        <f>D37/Sheet1!$I$9*Sheet1!$I$10</f>
        <v>0</v>
      </c>
      <c r="F37" s="462">
        <f>D37/Sheet1!$I$9*Sheet1!$I$11</f>
        <v>0</v>
      </c>
      <c r="G37" s="742"/>
      <c r="H37" s="746"/>
      <c r="J37" s="740"/>
      <c r="K37" s="744"/>
      <c r="L37" s="545"/>
      <c r="M37" s="7">
        <f>SUMIFS(Sheet1!$N$2:$N$180,Sheet1!$Q$2:$Q$180,$K$36,Sheet1!$P$2:$P$180,L37)</f>
        <v>0</v>
      </c>
      <c r="N37" s="7">
        <f>M37/Sheet1!$T$9*Sheet1!$T$10</f>
        <v>0</v>
      </c>
      <c r="O37" s="462">
        <f>M37/Sheet1!$T$9*Sheet1!$T$11</f>
        <v>0</v>
      </c>
      <c r="P37" s="742"/>
      <c r="Q37" s="746"/>
    </row>
    <row r="38" spans="1:17" ht="12.75" customHeight="1">
      <c r="A38" s="740" t="s">
        <v>388</v>
      </c>
      <c r="B38" s="743" t="s">
        <v>253</v>
      </c>
      <c r="C38" t="s">
        <v>555</v>
      </c>
      <c r="D38" s="7">
        <f>SUMIFS(Sheet1!$C$2:$C$180,Sheet1!$F$2:$F$180,B38,Sheet1!$E$2:$E$180,C38)</f>
        <v>1000</v>
      </c>
      <c r="E38" s="7">
        <f>D38/Sheet1!$I$9*Sheet1!$I$10</f>
        <v>31.668895083349124</v>
      </c>
      <c r="F38" s="462">
        <f>D38/Sheet1!$I$9*Sheet1!$I$11</f>
        <v>2.227781133872906E-2</v>
      </c>
      <c r="G38" s="741">
        <f>SUM(F38:F39)</f>
        <v>2.227781133872906E-2</v>
      </c>
      <c r="H38" s="737">
        <f>SUM(G38:G39)</f>
        <v>2.227781133872906E-2</v>
      </c>
      <c r="J38" s="740" t="s">
        <v>388</v>
      </c>
      <c r="K38" s="743" t="s">
        <v>253</v>
      </c>
      <c r="L38" t="s">
        <v>555</v>
      </c>
      <c r="M38" s="7">
        <f>SUMIFS(Sheet1!$N$2:$N$180,Sheet1!$Q$2:$Q$180,K38,Sheet1!$P$2:$P$180,L38)</f>
        <v>1000</v>
      </c>
      <c r="N38" s="7">
        <f>M38/Sheet1!$T$9*Sheet1!$T$10</f>
        <v>31.691702701293913</v>
      </c>
      <c r="O38" s="462">
        <f>M38/Sheet1!$T$9*Sheet1!$T$11</f>
        <v>2.2331136288847728E-2</v>
      </c>
      <c r="P38" s="741">
        <f>SUM(O38:O39)</f>
        <v>2.2331136288847728E-2</v>
      </c>
      <c r="Q38" s="737">
        <f>SUM(P38:P39)</f>
        <v>2.2331136288847728E-2</v>
      </c>
    </row>
    <row r="39" spans="1:17" ht="12.75" customHeight="1">
      <c r="A39" s="740"/>
      <c r="B39" s="744"/>
      <c r="C39" s="548"/>
      <c r="D39" s="7">
        <f>SUMIFS(Sheet1!$C$2:$C$180,Sheet1!$F$2:$F$180,B38,Sheet1!$E$2:$E$180,C39)</f>
        <v>0</v>
      </c>
      <c r="E39" s="7">
        <f>D39/Sheet1!$I$9*Sheet1!$I$10</f>
        <v>0</v>
      </c>
      <c r="F39" s="462">
        <f>D39/Sheet1!$I$9*Sheet1!$I$11</f>
        <v>0</v>
      </c>
      <c r="G39" s="742"/>
      <c r="H39" s="738"/>
      <c r="J39" s="740"/>
      <c r="K39" s="744"/>
      <c r="L39" s="548"/>
      <c r="M39" s="7">
        <f>SUMIFS(Sheet1!$N$2:$N$180,Sheet1!$Q$2:$Q$180,K38,Sheet1!$P$2:$P$180,L39)</f>
        <v>0</v>
      </c>
      <c r="N39" s="7">
        <f>M39/Sheet1!$T$9*Sheet1!$T$10</f>
        <v>0</v>
      </c>
      <c r="O39" s="462">
        <f>M39/Sheet1!$T$9*Sheet1!$T$11</f>
        <v>0</v>
      </c>
      <c r="P39" s="742"/>
      <c r="Q39" s="738"/>
    </row>
    <row r="40" spans="1:17" ht="15">
      <c r="A40" s="549"/>
      <c r="B40" s="739" t="s">
        <v>2</v>
      </c>
      <c r="C40" s="739"/>
      <c r="D40" s="307">
        <f>SUM(D4:D39)</f>
        <v>4330</v>
      </c>
      <c r="E40" s="307">
        <f>SUM(E4:E39)</f>
        <v>167.83927119570953</v>
      </c>
      <c r="F40" s="448">
        <f>SUM(F4:F39)</f>
        <v>0.11806826885140492</v>
      </c>
      <c r="G40" s="448">
        <f>SUM(G4:G39)</f>
        <v>0.11806826885140492</v>
      </c>
      <c r="H40" s="448">
        <f>SUM(H4:H39)</f>
        <v>0.11806826885140492</v>
      </c>
      <c r="J40" s="549"/>
      <c r="K40" s="739" t="s">
        <v>2</v>
      </c>
      <c r="L40" s="739"/>
      <c r="M40" s="307">
        <f>SUM(M4:M39)</f>
        <v>4252</v>
      </c>
      <c r="N40" s="307">
        <f>SUM(N4:N39)</f>
        <v>165.46607537070955</v>
      </c>
      <c r="O40" s="448">
        <f>SUM(O4:O39)</f>
        <v>0.11659346659632785</v>
      </c>
      <c r="P40" s="448">
        <f>SUM(P4:P39)</f>
        <v>0.11659346659632787</v>
      </c>
      <c r="Q40" s="448">
        <f>SUM(Q4:Q39)</f>
        <v>0.11659346659632787</v>
      </c>
    </row>
    <row r="41" spans="1:17" ht="15">
      <c r="A41" s="549"/>
      <c r="B41" s="739" t="s">
        <v>1</v>
      </c>
      <c r="C41" s="739"/>
      <c r="D41" s="739"/>
      <c r="E41" s="739"/>
      <c r="F41" s="550">
        <f>+Efficiency1!X138</f>
        <v>0.88193173114859513</v>
      </c>
      <c r="G41" s="550">
        <f>+F41</f>
        <v>0.88193173114859513</v>
      </c>
      <c r="H41" s="550">
        <f>+G41</f>
        <v>0.88193173114859513</v>
      </c>
      <c r="J41" s="549"/>
      <c r="K41" s="739" t="s">
        <v>1</v>
      </c>
      <c r="L41" s="739"/>
      <c r="M41" s="739"/>
      <c r="N41" s="739"/>
      <c r="O41" s="550">
        <f>+Efficiency2!X138</f>
        <v>0.88340653340367226</v>
      </c>
      <c r="P41" s="550">
        <f>+O41</f>
        <v>0.88340653340367226</v>
      </c>
      <c r="Q41" s="550">
        <f>+P41</f>
        <v>0.88340653340367226</v>
      </c>
    </row>
    <row r="42" spans="1:17" ht="15">
      <c r="A42" s="549"/>
      <c r="B42" s="739" t="s">
        <v>57</v>
      </c>
      <c r="C42" s="739"/>
      <c r="D42" s="739"/>
      <c r="E42" s="739"/>
      <c r="F42" s="464">
        <f>SUM(F40:F41)</f>
        <v>1</v>
      </c>
      <c r="G42" s="464">
        <f>SUM(G40:G41)</f>
        <v>1</v>
      </c>
      <c r="H42" s="541">
        <f>SUM(H40:H41)</f>
        <v>1</v>
      </c>
      <c r="J42" s="549"/>
      <c r="K42" s="739" t="s">
        <v>57</v>
      </c>
      <c r="L42" s="739"/>
      <c r="M42" s="739"/>
      <c r="N42" s="739"/>
      <c r="O42" s="464">
        <f>SUM(O40:O41)</f>
        <v>1</v>
      </c>
      <c r="P42" s="464">
        <f>SUM(P40:P41)</f>
        <v>1.0000000000000002</v>
      </c>
      <c r="Q42" s="541">
        <f>SUM(Q40:Q41)</f>
        <v>1.0000000000000002</v>
      </c>
    </row>
  </sheetData>
  <mergeCells count="66">
    <mergeCell ref="L2:L3"/>
    <mergeCell ref="A2:A3"/>
    <mergeCell ref="B2:B3"/>
    <mergeCell ref="C2:C3"/>
    <mergeCell ref="J2:J3"/>
    <mergeCell ref="K2:K3"/>
    <mergeCell ref="A4:A11"/>
    <mergeCell ref="H4:H11"/>
    <mergeCell ref="J4:J11"/>
    <mergeCell ref="Q4:Q11"/>
    <mergeCell ref="B6:B7"/>
    <mergeCell ref="K6:K7"/>
    <mergeCell ref="B8:B9"/>
    <mergeCell ref="K8:K9"/>
    <mergeCell ref="B10:B11"/>
    <mergeCell ref="K10:K11"/>
    <mergeCell ref="Q12:Q13"/>
    <mergeCell ref="A14:A23"/>
    <mergeCell ref="H14:H23"/>
    <mergeCell ref="J14:J23"/>
    <mergeCell ref="Q14:Q23"/>
    <mergeCell ref="B16:B17"/>
    <mergeCell ref="G16:G17"/>
    <mergeCell ref="K16:K17"/>
    <mergeCell ref="P16:P17"/>
    <mergeCell ref="B19:B23"/>
    <mergeCell ref="G19:G23"/>
    <mergeCell ref="K19:K23"/>
    <mergeCell ref="P19:P23"/>
    <mergeCell ref="A24:A37"/>
    <mergeCell ref="A38:A39"/>
    <mergeCell ref="A12:A13"/>
    <mergeCell ref="H12:H13"/>
    <mergeCell ref="J12:J13"/>
    <mergeCell ref="Q24:Q37"/>
    <mergeCell ref="B31:B32"/>
    <mergeCell ref="G31:G32"/>
    <mergeCell ref="K31:K32"/>
    <mergeCell ref="P31:P32"/>
    <mergeCell ref="B33:B35"/>
    <mergeCell ref="G33:G35"/>
    <mergeCell ref="K33:K35"/>
    <mergeCell ref="P33:P35"/>
    <mergeCell ref="K24:K30"/>
    <mergeCell ref="K36:K37"/>
    <mergeCell ref="B24:B30"/>
    <mergeCell ref="G24:G30"/>
    <mergeCell ref="H24:H37"/>
    <mergeCell ref="B36:B37"/>
    <mergeCell ref="G36:G37"/>
    <mergeCell ref="B42:E42"/>
    <mergeCell ref="K42:N42"/>
    <mergeCell ref="P36:P37"/>
    <mergeCell ref="B38:B39"/>
    <mergeCell ref="G38:G39"/>
    <mergeCell ref="H38:H39"/>
    <mergeCell ref="K38:K39"/>
    <mergeCell ref="P38:P39"/>
    <mergeCell ref="J24:J37"/>
    <mergeCell ref="P24:P30"/>
    <mergeCell ref="Q38:Q39"/>
    <mergeCell ref="B40:C40"/>
    <mergeCell ref="K40:L40"/>
    <mergeCell ref="B41:E41"/>
    <mergeCell ref="K41:N41"/>
    <mergeCell ref="J38:J39"/>
  </mergeCells>
  <conditionalFormatting sqref="D4:D39">
    <cfRule type="cellIs" dxfId="5" priority="5" operator="between">
      <formula>180</formula>
      <formula>360</formula>
    </cfRule>
    <cfRule type="cellIs" dxfId="4" priority="6" operator="greaterThan">
      <formula>360</formula>
    </cfRule>
  </conditionalFormatting>
  <conditionalFormatting sqref="M5:M39">
    <cfRule type="cellIs" dxfId="3" priority="3" operator="between">
      <formula>180</formula>
      <formula>360</formula>
    </cfRule>
    <cfRule type="cellIs" dxfId="2" priority="4" operator="greaterThan">
      <formula>360</formula>
    </cfRule>
  </conditionalFormatting>
  <conditionalFormatting sqref="M4:M39">
    <cfRule type="cellIs" dxfId="1" priority="1" operator="between">
      <formula>180</formula>
      <formula>360</formula>
    </cfRule>
    <cfRule type="cellIs" dxfId="0" priority="2" operator="greaterThan">
      <formula>360</formula>
    </cfRule>
  </conditionalFormatting>
  <pageMargins left="0.31496062992125984" right="0.31496062992125984" top="0.3543307086614173" bottom="0.3543307086614173" header="0.31496062992125984" footer="0.31496062992125984"/>
  <pageSetup paperSize="9" scale="33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1"/>
  <sheetViews>
    <sheetView topLeftCell="A46" zoomScale="80" zoomScaleNormal="80" workbookViewId="0">
      <selection activeCell="H29" sqref="H29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4.42578125" style="150" customWidth="1"/>
    <col min="14" max="15" width="0" style="150" hidden="1" customWidth="1"/>
    <col min="16" max="16" width="10.28515625" style="150" hidden="1" customWidth="1"/>
    <col min="17" max="17" width="9.28515625" style="150" hidden="1" customWidth="1"/>
    <col min="18" max="23" width="0" style="150" hidden="1" customWidth="1"/>
    <col min="24" max="16384" width="9.140625" style="150"/>
  </cols>
  <sheetData>
    <row r="1" spans="1:23" ht="15.75">
      <c r="A1" s="149"/>
    </row>
    <row r="2" spans="1:23" ht="15.75">
      <c r="A2" s="149" t="s">
        <v>182</v>
      </c>
    </row>
    <row r="3" spans="1:23" ht="15">
      <c r="A3" s="151"/>
    </row>
    <row r="4" spans="1:23" ht="20.25">
      <c r="A4" s="152" t="s">
        <v>3</v>
      </c>
      <c r="B4" s="153"/>
      <c r="F4" s="154" t="s">
        <v>29</v>
      </c>
      <c r="G4" s="155">
        <v>31</v>
      </c>
      <c r="H4" s="155" t="str">
        <f>+'1'!H4</f>
        <v>.07.25</v>
      </c>
      <c r="J4" s="150">
        <f>460+499+454</f>
        <v>1413</v>
      </c>
    </row>
    <row r="5" spans="1:23" ht="13.5" thickBot="1">
      <c r="C5" s="156"/>
      <c r="D5" s="156"/>
    </row>
    <row r="6" spans="1:23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82" t="s">
        <v>92</v>
      </c>
      <c r="O6" s="414" t="s">
        <v>189</v>
      </c>
      <c r="P6" s="414" t="s">
        <v>189</v>
      </c>
      <c r="Q6" s="414" t="s">
        <v>190</v>
      </c>
      <c r="R6" s="414" t="s">
        <v>191</v>
      </c>
      <c r="S6" s="414" t="s">
        <v>192</v>
      </c>
      <c r="T6" s="414" t="s">
        <v>187</v>
      </c>
      <c r="U6" s="415" t="s">
        <v>193</v>
      </c>
      <c r="V6" s="414" t="s">
        <v>194</v>
      </c>
      <c r="W6" s="414" t="s">
        <v>188</v>
      </c>
    </row>
    <row r="7" spans="1:23" ht="13.5" customHeight="1" thickBot="1">
      <c r="A7" s="771" t="s">
        <v>423</v>
      </c>
      <c r="B7" s="216" t="s">
        <v>494</v>
      </c>
      <c r="C7" s="217">
        <v>15212</v>
      </c>
      <c r="D7" s="218"/>
      <c r="E7" s="219"/>
      <c r="F7" s="229"/>
      <c r="G7" s="557" t="s">
        <v>12</v>
      </c>
      <c r="H7" s="558" t="s">
        <v>383</v>
      </c>
      <c r="I7" s="774" t="s">
        <v>406</v>
      </c>
      <c r="J7" s="215" t="str">
        <f>+'30'!J7</f>
        <v>T 12,5 VP OW</v>
      </c>
      <c r="K7" s="239"/>
      <c r="L7" s="243"/>
      <c r="M7" s="118">
        <f>+L7+'30'!M7+K7</f>
        <v>106521</v>
      </c>
      <c r="N7" s="416">
        <v>14.5</v>
      </c>
      <c r="O7" s="200">
        <v>1200</v>
      </c>
      <c r="P7" s="200">
        <v>1120</v>
      </c>
      <c r="Q7" s="200">
        <v>896</v>
      </c>
      <c r="R7" s="417">
        <f>1-(Q7/P7)</f>
        <v>0.19999999999999996</v>
      </c>
      <c r="S7" s="418">
        <v>45</v>
      </c>
      <c r="T7" s="419">
        <v>256.5</v>
      </c>
      <c r="U7" s="420">
        <f>(O7*(1-R7)*N7*T7*S7)/100000000</f>
        <v>1.606716</v>
      </c>
      <c r="V7" s="421">
        <f>+C14/1000</f>
        <v>15.212</v>
      </c>
      <c r="W7" s="422">
        <f>SUM(V7:V9)/SUM(U7:U9)</f>
        <v>0.72828916009664824</v>
      </c>
    </row>
    <row r="8" spans="1:23" ht="13.5" thickBot="1">
      <c r="A8" s="772"/>
      <c r="B8" s="216"/>
      <c r="C8" s="217"/>
      <c r="D8" s="218"/>
      <c r="E8" s="220"/>
      <c r="F8" s="232">
        <v>8</v>
      </c>
      <c r="G8" s="559" t="s">
        <v>12</v>
      </c>
      <c r="H8" s="231" t="s">
        <v>459</v>
      </c>
      <c r="I8" s="775"/>
      <c r="J8" s="215" t="str">
        <f>+'30'!J8</f>
        <v>F 13 VP OW</v>
      </c>
      <c r="K8" s="240"/>
      <c r="L8" s="240"/>
      <c r="M8" s="118">
        <f>+L8+'30'!M8+K8</f>
        <v>290617</v>
      </c>
      <c r="N8" s="416">
        <v>18</v>
      </c>
      <c r="O8" s="200">
        <v>1200</v>
      </c>
      <c r="P8" s="200">
        <v>930</v>
      </c>
      <c r="Q8" s="200">
        <v>744</v>
      </c>
      <c r="R8" s="417">
        <f>1-(Q8/P8)</f>
        <v>0.19999999999999996</v>
      </c>
      <c r="S8" s="418">
        <f>480-S7</f>
        <v>435</v>
      </c>
      <c r="T8" s="419">
        <v>256.5</v>
      </c>
      <c r="U8" s="420">
        <f>(O8*(1-R8)*N8*T8*S8)/100000000</f>
        <v>19.280591999999999</v>
      </c>
      <c r="V8" s="421"/>
      <c r="W8" s="423"/>
    </row>
    <row r="9" spans="1:23" ht="13.5" thickBot="1">
      <c r="A9" s="772"/>
      <c r="B9" s="216"/>
      <c r="C9" s="217"/>
      <c r="D9" s="218"/>
      <c r="E9" s="221"/>
      <c r="F9" s="229">
        <v>11</v>
      </c>
      <c r="G9" s="559" t="s">
        <v>12</v>
      </c>
      <c r="H9" s="234" t="s">
        <v>409</v>
      </c>
      <c r="I9" s="775"/>
      <c r="J9" s="215" t="str">
        <f>+'30'!J9</f>
        <v>F 12 VP OW</v>
      </c>
      <c r="K9" s="240"/>
      <c r="L9" s="240"/>
      <c r="M9" s="118">
        <f>+L9+'30'!M9+K9</f>
        <v>168376</v>
      </c>
      <c r="N9" s="424"/>
    </row>
    <row r="10" spans="1:23" ht="13.5" thickBot="1">
      <c r="A10" s="772"/>
      <c r="B10" s="216"/>
      <c r="C10" s="217"/>
      <c r="D10" s="218"/>
      <c r="E10" s="220"/>
      <c r="F10" s="229"/>
      <c r="G10" s="230"/>
      <c r="H10" s="560" t="s">
        <v>687</v>
      </c>
      <c r="I10" s="775"/>
      <c r="J10" s="215" t="str">
        <f>+'30'!J10</f>
        <v>F 12,5 VP OW</v>
      </c>
      <c r="K10" s="240"/>
      <c r="L10" s="240"/>
      <c r="M10" s="118">
        <f>+L10+'30'!M10+K10</f>
        <v>19792</v>
      </c>
      <c r="N10" s="424"/>
    </row>
    <row r="11" spans="1:23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+'30'!J11</f>
        <v>T 13 VP OW</v>
      </c>
      <c r="K11" s="240"/>
      <c r="L11" s="240"/>
      <c r="M11" s="118">
        <f>+L11+'30'!M11+K11</f>
        <v>278149</v>
      </c>
      <c r="N11" s="424"/>
    </row>
    <row r="12" spans="1:23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+'30'!J12</f>
        <v>F 11,5 VP OW</v>
      </c>
      <c r="K12" s="240"/>
      <c r="L12" s="240"/>
      <c r="M12" s="118">
        <f>+L12+'30'!M12+K12</f>
        <v>38991</v>
      </c>
      <c r="N12" s="424"/>
    </row>
    <row r="13" spans="1:23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+'30'!J13</f>
        <v>T 15 VP OW</v>
      </c>
      <c r="K13" s="240"/>
      <c r="L13" s="240"/>
      <c r="M13" s="118">
        <f>+L13+'30'!M13+K13</f>
        <v>37511</v>
      </c>
      <c r="N13" s="425"/>
      <c r="O13" s="426"/>
      <c r="P13" s="426"/>
      <c r="Q13" s="426"/>
      <c r="R13" s="426"/>
      <c r="S13" s="426"/>
      <c r="T13" s="426"/>
      <c r="U13" s="426"/>
      <c r="V13" s="426"/>
      <c r="W13" s="426"/>
    </row>
    <row r="14" spans="1:23" ht="13.5" thickBot="1">
      <c r="A14" s="773"/>
      <c r="B14" s="166" t="s">
        <v>2</v>
      </c>
      <c r="C14" s="100">
        <f>SUM(C7:C13)</f>
        <v>15212</v>
      </c>
      <c r="D14" s="112">
        <f>SUM(D7:D13)</f>
        <v>0</v>
      </c>
      <c r="E14" s="113">
        <f>SUM(E5:E13)</f>
        <v>0</v>
      </c>
      <c r="F14" s="117">
        <f>SUM(F7:F13)</f>
        <v>19</v>
      </c>
      <c r="G14" s="160"/>
      <c r="H14" s="167"/>
      <c r="I14" s="168"/>
      <c r="J14" s="215" t="str">
        <f>+'30'!J14</f>
        <v>F 14 VP OW</v>
      </c>
      <c r="K14" s="240"/>
      <c r="L14" s="240"/>
      <c r="M14" s="118">
        <f>+L14+'30'!M14+K14</f>
        <v>231917</v>
      </c>
    </row>
    <row r="15" spans="1:23" ht="13.5" customHeight="1" thickBot="1">
      <c r="A15" s="771" t="s">
        <v>685</v>
      </c>
      <c r="B15" s="166"/>
      <c r="C15" s="114">
        <f>C14/($C$23+$D$23+$E$23)</f>
        <v>0.9379123250508663</v>
      </c>
      <c r="D15" s="115">
        <f>D14/($C$23+$D$23+$E$23)</f>
        <v>0</v>
      </c>
      <c r="E15" s="116">
        <f>E14/($C$23+$D$23+$E$23)</f>
        <v>0</v>
      </c>
      <c r="F15" s="229">
        <v>6</v>
      </c>
      <c r="G15" s="557" t="s">
        <v>12</v>
      </c>
      <c r="H15" s="558" t="s">
        <v>394</v>
      </c>
      <c r="I15" s="774" t="s">
        <v>406</v>
      </c>
      <c r="J15" s="215" t="str">
        <f>+'30'!J15</f>
        <v>T 13 VP OW</v>
      </c>
      <c r="K15" s="240">
        <f>+C34</f>
        <v>46160</v>
      </c>
      <c r="L15" s="240"/>
      <c r="M15" s="118">
        <f>+L15+'30'!M15+K15</f>
        <v>81831</v>
      </c>
      <c r="N15" s="416">
        <v>18</v>
      </c>
      <c r="O15" s="200">
        <v>1200</v>
      </c>
      <c r="P15" s="200">
        <v>850</v>
      </c>
      <c r="Q15" s="200">
        <v>680</v>
      </c>
      <c r="R15" s="417">
        <f>1-(Q15/P15)</f>
        <v>0.19999999999999996</v>
      </c>
      <c r="S15" s="418">
        <v>480</v>
      </c>
      <c r="T15" s="419">
        <v>256.5</v>
      </c>
      <c r="U15" s="420">
        <f>(O15*(1-R15)*N15*T15*S15)/100000000</f>
        <v>21.275136</v>
      </c>
      <c r="V15" s="421">
        <f>+C23/1000</f>
        <v>16.219000000000001</v>
      </c>
      <c r="W15" s="422">
        <f>SUM(V15:V17)/SUM(U15:U17)</f>
        <v>0.76234530298654735</v>
      </c>
    </row>
    <row r="16" spans="1:23" ht="13.5" thickBot="1">
      <c r="A16" s="777"/>
      <c r="B16" s="216" t="s">
        <v>494</v>
      </c>
      <c r="C16" s="223">
        <v>16219</v>
      </c>
      <c r="D16" s="224"/>
      <c r="E16" s="225"/>
      <c r="F16" s="229">
        <v>6</v>
      </c>
      <c r="G16" s="559" t="s">
        <v>12</v>
      </c>
      <c r="H16" s="231" t="s">
        <v>688</v>
      </c>
      <c r="I16" s="775"/>
      <c r="J16" s="215">
        <f>+'30'!J16</f>
        <v>0</v>
      </c>
      <c r="K16" s="230"/>
      <c r="L16" s="230"/>
      <c r="M16" s="118">
        <f>+L16+'30'!M16+K16</f>
        <v>0</v>
      </c>
      <c r="N16" s="427"/>
      <c r="O16" s="200"/>
      <c r="P16" s="200"/>
      <c r="Q16" s="428"/>
      <c r="R16" s="417"/>
      <c r="S16" s="200"/>
      <c r="T16" s="419"/>
      <c r="U16" s="420"/>
      <c r="V16" s="421"/>
      <c r="W16" s="423"/>
    </row>
    <row r="17" spans="1:23" ht="13.5" thickBot="1">
      <c r="A17" s="777"/>
      <c r="B17" s="216"/>
      <c r="C17" s="217"/>
      <c r="D17" s="218"/>
      <c r="E17" s="226"/>
      <c r="F17" s="232">
        <f>21-12</f>
        <v>9</v>
      </c>
      <c r="G17" s="559" t="s">
        <v>12</v>
      </c>
      <c r="H17" s="234" t="s">
        <v>409</v>
      </c>
      <c r="I17" s="775"/>
      <c r="J17" s="215">
        <f>+'30'!J17</f>
        <v>0</v>
      </c>
      <c r="K17" s="230"/>
      <c r="L17" s="230"/>
      <c r="M17" s="118">
        <f>+L17+'30'!M17+K17</f>
        <v>0</v>
      </c>
      <c r="N17" s="424"/>
      <c r="O17" s="200"/>
      <c r="R17" s="417"/>
      <c r="T17" s="419"/>
      <c r="U17" s="420"/>
    </row>
    <row r="18" spans="1:23" ht="13.5" thickBot="1">
      <c r="A18" s="777"/>
      <c r="B18" s="216"/>
      <c r="C18" s="217"/>
      <c r="D18" s="218"/>
      <c r="E18" s="226"/>
      <c r="F18" s="229"/>
      <c r="G18" s="230"/>
      <c r="H18" s="560" t="s">
        <v>682</v>
      </c>
      <c r="I18" s="775"/>
      <c r="J18" s="215">
        <f>+'30'!J18</f>
        <v>0</v>
      </c>
      <c r="K18" s="240"/>
      <c r="L18" s="240"/>
      <c r="M18" s="118">
        <f>+L18+'30'!M18+K18</f>
        <v>0</v>
      </c>
      <c r="N18" s="424"/>
    </row>
    <row r="19" spans="1:23" ht="13.5" thickBot="1">
      <c r="A19" s="777"/>
      <c r="B19" s="216"/>
      <c r="C19" s="217"/>
      <c r="D19" s="218"/>
      <c r="E19" s="226"/>
      <c r="F19" s="229"/>
      <c r="G19" s="233"/>
      <c r="H19" s="234"/>
      <c r="I19" s="775"/>
      <c r="J19" s="215">
        <f>+'30'!J19</f>
        <v>0</v>
      </c>
      <c r="K19" s="240"/>
      <c r="L19" s="240"/>
      <c r="M19" s="118">
        <f>+L19+'30'!M19+K19</f>
        <v>0</v>
      </c>
      <c r="N19" s="424"/>
    </row>
    <row r="20" spans="1:2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+'30'!J20</f>
        <v>0</v>
      </c>
      <c r="K20" s="241"/>
      <c r="L20" s="241"/>
      <c r="M20" s="118">
        <f>+L20+'30'!M20+K20</f>
        <v>0</v>
      </c>
      <c r="N20" s="424"/>
    </row>
    <row r="21" spans="1:2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+'30'!J21</f>
        <v>0</v>
      </c>
      <c r="K21" s="240"/>
      <c r="L21" s="240"/>
      <c r="M21" s="118">
        <f>+L21+'30'!M21+K21</f>
        <v>0</v>
      </c>
      <c r="N21" s="425"/>
      <c r="O21" s="426"/>
      <c r="P21" s="426"/>
      <c r="Q21" s="426"/>
      <c r="R21" s="426"/>
      <c r="S21" s="426"/>
      <c r="T21" s="426"/>
      <c r="U21" s="426"/>
      <c r="V21" s="426"/>
      <c r="W21" s="426"/>
    </row>
    <row r="22" spans="1:2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+'30'!J22</f>
        <v>0</v>
      </c>
      <c r="K22" s="240"/>
      <c r="L22" s="240"/>
      <c r="M22" s="118">
        <f>+L22+'30'!M22+K22</f>
        <v>0</v>
      </c>
    </row>
    <row r="23" spans="1:23" ht="13.5" thickBot="1">
      <c r="A23" s="778"/>
      <c r="B23" s="169" t="s">
        <v>2</v>
      </c>
      <c r="C23" s="101">
        <f>SUM(C16:C22)</f>
        <v>16219</v>
      </c>
      <c r="D23" s="112">
        <f>SUM(D16:D22)</f>
        <v>0</v>
      </c>
      <c r="E23" s="113">
        <f>SUM(E18:E22)</f>
        <v>0</v>
      </c>
      <c r="F23" s="117">
        <f>SUM(F15:F22)</f>
        <v>21</v>
      </c>
      <c r="G23" s="160"/>
      <c r="H23" s="167"/>
      <c r="I23" s="170"/>
      <c r="J23" s="215">
        <f>+'30'!J23</f>
        <v>0</v>
      </c>
      <c r="K23" s="240"/>
      <c r="L23" s="240"/>
      <c r="M23" s="118">
        <f>+L23+'30'!M23+K23</f>
        <v>0</v>
      </c>
      <c r="N23" s="429"/>
      <c r="O23" s="430"/>
      <c r="P23" s="430"/>
      <c r="Q23" s="430"/>
      <c r="R23" s="430"/>
      <c r="S23" s="430"/>
      <c r="T23" s="430"/>
      <c r="U23" s="430"/>
      <c r="V23" s="430"/>
      <c r="W23" s="430"/>
    </row>
    <row r="24" spans="1:23" ht="13.5" customHeight="1" thickBot="1">
      <c r="A24" s="771" t="s">
        <v>445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37">
        <v>8</v>
      </c>
      <c r="G24" s="557" t="s">
        <v>12</v>
      </c>
      <c r="H24" s="558" t="s">
        <v>470</v>
      </c>
      <c r="I24" s="774" t="s">
        <v>406</v>
      </c>
      <c r="J24" s="215">
        <f>+'30'!J24</f>
        <v>0</v>
      </c>
      <c r="K24" s="240"/>
      <c r="L24" s="240"/>
      <c r="M24" s="118">
        <f>+L24+'30'!M24+K24</f>
        <v>0</v>
      </c>
      <c r="N24" s="416">
        <v>18</v>
      </c>
      <c r="O24" s="200">
        <v>1200</v>
      </c>
      <c r="P24" s="200">
        <v>770</v>
      </c>
      <c r="Q24" s="200">
        <v>616</v>
      </c>
      <c r="R24" s="417">
        <f>1-(Q24/P24)</f>
        <v>0.19999999999999996</v>
      </c>
      <c r="S24" s="418">
        <v>480</v>
      </c>
      <c r="T24" s="419">
        <v>256.5</v>
      </c>
      <c r="U24" s="420">
        <f>(O24*(1-R24)*N24*T24*S24)/100000000</f>
        <v>21.275136</v>
      </c>
      <c r="V24" s="421">
        <f>+C32/1000</f>
        <v>14.728999999999999</v>
      </c>
      <c r="W24" s="422">
        <f>SUM(V24:V25)/SUM(U24:U25)</f>
        <v>0.69231049803864941</v>
      </c>
    </row>
    <row r="25" spans="1:23" ht="13.5" thickBot="1">
      <c r="A25" s="777"/>
      <c r="B25" s="216" t="s">
        <v>494</v>
      </c>
      <c r="C25" s="227">
        <v>14729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+'30'!J25</f>
        <v>0</v>
      </c>
      <c r="K25" s="240"/>
      <c r="L25" s="240"/>
      <c r="M25" s="118">
        <f>+L25+'30'!M25+K25</f>
        <v>0</v>
      </c>
      <c r="N25" s="416"/>
      <c r="O25" s="200"/>
      <c r="P25" s="200"/>
      <c r="Q25" s="200"/>
      <c r="R25" s="417"/>
      <c r="S25" s="418"/>
      <c r="T25" s="419"/>
      <c r="U25" s="420"/>
      <c r="V25" s="421"/>
      <c r="W25" s="422"/>
    </row>
    <row r="26" spans="1:23" ht="13.5" thickBot="1">
      <c r="A26" s="777"/>
      <c r="B26" s="216"/>
      <c r="C26" s="227"/>
      <c r="D26" s="218"/>
      <c r="E26" s="228"/>
      <c r="F26" s="232">
        <f>23-8</f>
        <v>15</v>
      </c>
      <c r="G26" s="559" t="s">
        <v>12</v>
      </c>
      <c r="H26" s="234" t="s">
        <v>409</v>
      </c>
      <c r="I26" s="775"/>
      <c r="J26" s="215">
        <f>+'30'!J26</f>
        <v>0</v>
      </c>
      <c r="K26" s="240"/>
      <c r="L26" s="240"/>
      <c r="M26" s="118">
        <f>+L26+'30'!M26+K26</f>
        <v>0</v>
      </c>
    </row>
    <row r="27" spans="1:23" ht="13.5" thickBot="1">
      <c r="A27" s="777"/>
      <c r="B27" s="216"/>
      <c r="C27" s="217"/>
      <c r="D27" s="218"/>
      <c r="E27" s="226"/>
      <c r="F27" s="229"/>
      <c r="G27" s="230"/>
      <c r="H27" s="560" t="s">
        <v>682</v>
      </c>
      <c r="I27" s="775"/>
      <c r="J27" s="215">
        <f>+'30'!J27</f>
        <v>0</v>
      </c>
      <c r="K27" s="240"/>
      <c r="L27" s="240"/>
      <c r="M27" s="118">
        <f>+L27+'30'!M27+K27</f>
        <v>0</v>
      </c>
    </row>
    <row r="28" spans="1:23" ht="13.5" thickBot="1">
      <c r="A28" s="777"/>
      <c r="B28" s="216"/>
      <c r="C28" s="217"/>
      <c r="D28" s="218"/>
      <c r="E28" s="226"/>
      <c r="F28" s="229"/>
      <c r="G28" s="233"/>
      <c r="H28" s="234"/>
      <c r="I28" s="775"/>
      <c r="J28" s="215">
        <f>+'30'!J28</f>
        <v>0</v>
      </c>
      <c r="K28" s="240"/>
      <c r="L28" s="240"/>
      <c r="M28" s="118">
        <f>+L28+'30'!M28+K28</f>
        <v>0</v>
      </c>
    </row>
    <row r="29" spans="1:23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+'30'!J29</f>
        <v>0</v>
      </c>
      <c r="K29" s="240"/>
      <c r="L29" s="240"/>
      <c r="M29" s="118">
        <f>+L29+'30'!M29+K29</f>
        <v>0</v>
      </c>
    </row>
    <row r="30" spans="1:23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+'30'!J30</f>
        <v>0</v>
      </c>
      <c r="K30" s="240"/>
      <c r="L30" s="240"/>
      <c r="M30" s="118">
        <f>+L30+'30'!M30+K30</f>
        <v>0</v>
      </c>
      <c r="N30" s="156"/>
    </row>
    <row r="31" spans="1:23" ht="13.5" thickBot="1">
      <c r="A31" s="777"/>
      <c r="B31" s="216"/>
      <c r="C31" s="227"/>
      <c r="D31" s="218"/>
      <c r="E31" s="226"/>
      <c r="F31" s="237"/>
      <c r="G31" s="238"/>
      <c r="H31" s="235"/>
      <c r="I31" s="776"/>
      <c r="J31" s="215">
        <f>+'30'!J31</f>
        <v>0</v>
      </c>
      <c r="K31" s="240"/>
      <c r="L31" s="240"/>
      <c r="M31" s="118">
        <f>+L31+'30'!M31+K31</f>
        <v>0</v>
      </c>
    </row>
    <row r="32" spans="1:23" ht="13.5" thickBot="1">
      <c r="A32" s="778"/>
      <c r="B32" s="166" t="s">
        <v>2</v>
      </c>
      <c r="C32" s="100">
        <f>SUM(C25:C31)</f>
        <v>14729</v>
      </c>
      <c r="D32" s="101">
        <f>SUM(D25:D31)</f>
        <v>0</v>
      </c>
      <c r="E32" s="102">
        <f>SUM(E25:E31)</f>
        <v>0</v>
      </c>
      <c r="F32" s="103">
        <f>SUM(F24:F31)</f>
        <v>23</v>
      </c>
      <c r="G32" s="172"/>
      <c r="H32" s="173"/>
      <c r="I32" s="170"/>
      <c r="J32" s="215">
        <f>+'30'!J32</f>
        <v>0</v>
      </c>
      <c r="K32" s="242"/>
      <c r="L32" s="244"/>
      <c r="M32" s="118">
        <f>+L32+'30'!M32+K32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67" t="s">
        <v>57</v>
      </c>
      <c r="B34" s="768"/>
      <c r="C34" s="108">
        <f>C14+C23+C32</f>
        <v>46160</v>
      </c>
      <c r="D34" s="108">
        <f>D14+D23+D32</f>
        <v>0</v>
      </c>
      <c r="E34" s="108">
        <f>E14+E23+E32</f>
        <v>0</v>
      </c>
      <c r="F34" s="109">
        <f>F14+F23+F32</f>
        <v>63</v>
      </c>
      <c r="H34" s="179"/>
      <c r="I34" s="179"/>
      <c r="J34" s="124" t="s">
        <v>28</v>
      </c>
      <c r="K34" s="125">
        <f>SUM(K7:K32)</f>
        <v>46160</v>
      </c>
      <c r="L34" s="213">
        <f>SUM(L7:L32)</f>
        <v>0</v>
      </c>
      <c r="M34" s="121">
        <f>SUM(M7:M32)</f>
        <v>1253705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4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48.579410879999998</v>
      </c>
      <c r="J37" s="126">
        <f>+I37+'30'!J37</f>
        <v>1414.8778076045819</v>
      </c>
      <c r="K37" s="127" t="s">
        <v>63</v>
      </c>
    </row>
    <row r="38" spans="1:14" ht="17.45" customHeight="1">
      <c r="A38" s="761" t="s">
        <v>12</v>
      </c>
      <c r="B38" s="762"/>
      <c r="C38" s="165">
        <f>SUMIF($G$7:$G$31,"Process",$F$7:$F$31)</f>
        <v>63</v>
      </c>
      <c r="D38" s="119">
        <f>+C38+'30'!D38</f>
        <v>2329</v>
      </c>
      <c r="E38" s="144">
        <f t="shared" ref="E38:E51" si="0">D38/60</f>
        <v>38.81666666666667</v>
      </c>
      <c r="F38" s="323">
        <v>1230</v>
      </c>
      <c r="G38" s="323">
        <v>947.09999999999991</v>
      </c>
      <c r="H38" s="188" t="s">
        <v>64</v>
      </c>
      <c r="I38" s="246">
        <f>15.928+15.264+14.729</f>
        <v>45.920999999999999</v>
      </c>
      <c r="J38" s="128">
        <f>+I38+'30'!J38</f>
        <v>1293.6130000000001</v>
      </c>
      <c r="K38" s="129" t="s">
        <v>63</v>
      </c>
    </row>
    <row r="39" spans="1:14" ht="17.45" customHeight="1">
      <c r="A39" s="765" t="s">
        <v>13</v>
      </c>
      <c r="B39" s="766"/>
      <c r="C39" s="165">
        <f>SUMIF($G$7:$G$31,"Cleaning",$F$7:$F$31)</f>
        <v>0</v>
      </c>
      <c r="D39" s="119">
        <f>+C39+'30'!D39</f>
        <v>0</v>
      </c>
      <c r="E39" s="144">
        <f t="shared" si="0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45.641219600147807</v>
      </c>
      <c r="K39" s="131" t="s">
        <v>63</v>
      </c>
    </row>
    <row r="40" spans="1:14" ht="17.45" customHeight="1">
      <c r="A40" s="765" t="s">
        <v>66</v>
      </c>
      <c r="B40" s="766"/>
      <c r="C40" s="165">
        <f>SUMIF($G$7:$G$31,"Mechanical",$F$7:$F$31)</f>
        <v>0</v>
      </c>
      <c r="D40" s="119">
        <f>+C40+'30'!D40</f>
        <v>0</v>
      </c>
      <c r="E40" s="144">
        <f t="shared" si="0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46.16</v>
      </c>
      <c r="J40" s="132">
        <f>+I40+'30'!J40</f>
        <v>1253.7050000000004</v>
      </c>
      <c r="K40" s="131" t="s">
        <v>63</v>
      </c>
    </row>
    <row r="41" spans="1:14" ht="17.45" customHeight="1">
      <c r="A41" s="765" t="s">
        <v>68</v>
      </c>
      <c r="B41" s="766"/>
      <c r="C41" s="165">
        <f>SUMIF($G$7:$G$31,"Electrical",$F$7:$F$31)</f>
        <v>0</v>
      </c>
      <c r="D41" s="119">
        <f>+C41+'30'!D41</f>
        <v>700</v>
      </c>
      <c r="E41" s="144">
        <f t="shared" si="0"/>
        <v>11.666666666666666</v>
      </c>
      <c r="F41" s="323"/>
      <c r="G41" s="323"/>
      <c r="H41" s="188" t="s">
        <v>69</v>
      </c>
      <c r="I41" s="143"/>
      <c r="J41" s="130">
        <f>J40/G4</f>
        <v>40.442096774193558</v>
      </c>
      <c r="K41" s="131" t="s">
        <v>63</v>
      </c>
    </row>
    <row r="42" spans="1:14" ht="17.45" customHeight="1">
      <c r="A42" s="765" t="s">
        <v>16</v>
      </c>
      <c r="B42" s="766"/>
      <c r="C42" s="165">
        <f>SUMIF($G$7:$G$31,"Instrument",$F$7:$F$31)</f>
        <v>0</v>
      </c>
      <c r="D42" s="119">
        <f>+C42+'30'!D42</f>
        <v>0</v>
      </c>
      <c r="E42" s="144">
        <f t="shared" si="0"/>
        <v>0</v>
      </c>
      <c r="F42" s="323">
        <f>+(F38*480+F39*480+F40*480)/1440</f>
        <v>1230</v>
      </c>
      <c r="G42" s="323">
        <f>+(G38*480+G39*480+G40*480)/1440</f>
        <v>947.0999999999998</v>
      </c>
      <c r="H42" s="188" t="s">
        <v>70</v>
      </c>
      <c r="I42" s="247" t="s">
        <v>406</v>
      </c>
      <c r="J42" s="133"/>
      <c r="K42" s="131" t="s">
        <v>71</v>
      </c>
    </row>
    <row r="43" spans="1:14" ht="17.45" customHeight="1">
      <c r="A43" s="765" t="s">
        <v>72</v>
      </c>
      <c r="B43" s="766"/>
      <c r="C43" s="165">
        <f>SUMIF($G$7:$G$31,"Water",$F$7:$F$31)</f>
        <v>0</v>
      </c>
      <c r="D43" s="119">
        <f>+C43+'30'!D43</f>
        <v>0</v>
      </c>
      <c r="E43" s="144">
        <f t="shared" si="0"/>
        <v>0</v>
      </c>
      <c r="F43" s="323"/>
      <c r="G43" s="324"/>
      <c r="H43" s="189" t="s">
        <v>73</v>
      </c>
      <c r="I43" s="119">
        <f>+Report1!Z39</f>
        <v>61.8</v>
      </c>
      <c r="J43" s="134">
        <f>+I43+'30'!J43</f>
        <v>1864.3999999999996</v>
      </c>
      <c r="K43" s="131" t="s">
        <v>63</v>
      </c>
      <c r="L43" s="190"/>
    </row>
    <row r="44" spans="1:14" ht="17.45" customHeight="1">
      <c r="A44" s="765" t="s">
        <v>17</v>
      </c>
      <c r="B44" s="766"/>
      <c r="C44" s="165">
        <f>SUMIF($G$7:$G$31,"PLN",$F$7:$F$31)</f>
        <v>0</v>
      </c>
      <c r="D44" s="119">
        <f>+C44+'30'!D44</f>
        <v>0</v>
      </c>
      <c r="E44" s="144">
        <f t="shared" si="0"/>
        <v>0</v>
      </c>
      <c r="F44" s="323"/>
      <c r="G44" s="324"/>
      <c r="H44" s="189" t="s">
        <v>74</v>
      </c>
      <c r="I44" s="119">
        <f>I43/I38</f>
        <v>1.3457895080682041</v>
      </c>
      <c r="J44" s="135">
        <f>J43/J38</f>
        <v>1.4412347433119483</v>
      </c>
      <c r="K44" s="131" t="s">
        <v>63</v>
      </c>
    </row>
    <row r="45" spans="1:14" ht="17.45" customHeight="1">
      <c r="A45" s="765" t="s">
        <v>18</v>
      </c>
      <c r="B45" s="766"/>
      <c r="C45" s="165">
        <f>SUMIF($G$7:$G$31,"Boiler",$F$7:$F$31)</f>
        <v>0</v>
      </c>
      <c r="D45" s="119">
        <f>+C45+'30'!D45</f>
        <v>0</v>
      </c>
      <c r="E45" s="144">
        <f t="shared" si="0"/>
        <v>0</v>
      </c>
      <c r="F45" s="323"/>
      <c r="G45" s="326"/>
      <c r="H45" s="189" t="s">
        <v>75</v>
      </c>
      <c r="I45" s="119">
        <f>I43/I40</f>
        <v>1.3388214904679376</v>
      </c>
      <c r="J45" s="135">
        <f>J43/J40</f>
        <v>1.4871121994408565</v>
      </c>
      <c r="K45" s="131" t="s">
        <v>63</v>
      </c>
    </row>
    <row r="46" spans="1:14" ht="17.45" customHeight="1">
      <c r="A46" s="765" t="s">
        <v>76</v>
      </c>
      <c r="B46" s="766"/>
      <c r="C46" s="165">
        <f>SUMIF($G$7:$G$31,"Gas",$F$7:$F$31)</f>
        <v>0</v>
      </c>
      <c r="D46" s="119">
        <f>+C46+'30'!D46</f>
        <v>0</v>
      </c>
      <c r="E46" s="144">
        <f t="shared" si="0"/>
        <v>0</v>
      </c>
      <c r="F46" s="323"/>
      <c r="G46" s="324"/>
      <c r="H46" s="189" t="s">
        <v>77</v>
      </c>
      <c r="I46" s="141">
        <f>+SUMIF(Listrik!P38,"&gt;0")</f>
        <v>38324.019999999633</v>
      </c>
      <c r="J46" s="136">
        <f>+I46+'30'!J46</f>
        <v>1109855.5399999986</v>
      </c>
      <c r="K46" s="131" t="s">
        <v>78</v>
      </c>
    </row>
    <row r="47" spans="1:14" ht="17.45" customHeight="1">
      <c r="A47" s="765" t="s">
        <v>79</v>
      </c>
      <c r="B47" s="766"/>
      <c r="C47" s="165">
        <f>SUMIF($G$7:$G$31,"Gas",$F$7:$F$31)</f>
        <v>0</v>
      </c>
      <c r="D47" s="119">
        <f>+C47+'30'!D47</f>
        <v>0</v>
      </c>
      <c r="E47" s="144">
        <f t="shared" si="0"/>
        <v>0</v>
      </c>
      <c r="F47" s="323"/>
      <c r="G47" s="324"/>
      <c r="H47" s="189" t="s">
        <v>80</v>
      </c>
      <c r="I47" s="119">
        <f>I46/I38</f>
        <v>834.56414276691783</v>
      </c>
      <c r="J47" s="136">
        <f>J46/J38</f>
        <v>857.95020612810674</v>
      </c>
      <c r="K47" s="131" t="s">
        <v>24</v>
      </c>
    </row>
    <row r="48" spans="1:14" ht="17.45" customHeight="1">
      <c r="A48" s="765" t="s">
        <v>14</v>
      </c>
      <c r="B48" s="766"/>
      <c r="C48" s="165">
        <f>SUMIF($G$7:$G$31,"Start Up",$F$7:$F$31)</f>
        <v>0</v>
      </c>
      <c r="D48" s="119">
        <f>+C48+'30'!D48</f>
        <v>0</v>
      </c>
      <c r="E48" s="144">
        <f t="shared" si="0"/>
        <v>0</v>
      </c>
      <c r="F48" s="323"/>
      <c r="G48" s="324"/>
      <c r="H48" s="189" t="s">
        <v>81</v>
      </c>
      <c r="I48" s="119">
        <f>I46/I40</f>
        <v>830.24306759097999</v>
      </c>
      <c r="J48" s="136">
        <f>J46/J40</f>
        <v>885.26051981925434</v>
      </c>
      <c r="K48" s="131" t="s">
        <v>24</v>
      </c>
    </row>
    <row r="49" spans="1:23" ht="17.45" customHeight="1">
      <c r="A49" s="765" t="s">
        <v>20</v>
      </c>
      <c r="B49" s="766"/>
      <c r="C49" s="165">
        <f>SUMIF($G$7:$G$31,"Others",$F$7:$F$31)</f>
        <v>0</v>
      </c>
      <c r="D49" s="119">
        <f>+C49+'30'!D49</f>
        <v>301</v>
      </c>
      <c r="E49" s="144">
        <f t="shared" si="0"/>
        <v>5.0166666666666666</v>
      </c>
      <c r="F49" s="186"/>
      <c r="H49" s="189" t="s">
        <v>269</v>
      </c>
      <c r="I49" s="119">
        <f>+Report1!T39</f>
        <v>4176.2677363245402</v>
      </c>
      <c r="J49" s="136">
        <f>+I49+'30'!J49</f>
        <v>123511.29424624954</v>
      </c>
      <c r="K49" s="131" t="s">
        <v>82</v>
      </c>
    </row>
    <row r="50" spans="1:23" ht="17.45" customHeight="1">
      <c r="A50" s="765" t="s">
        <v>19</v>
      </c>
      <c r="B50" s="766"/>
      <c r="C50" s="165">
        <f>SUMIF($G$7:$G$31,"Steam",$F$7:$F$31)</f>
        <v>0</v>
      </c>
      <c r="D50" s="119">
        <f>+C50+'30'!D50</f>
        <v>0</v>
      </c>
      <c r="E50" s="144">
        <f t="shared" si="0"/>
        <v>0</v>
      </c>
      <c r="F50" s="186"/>
      <c r="H50" s="189" t="s">
        <v>83</v>
      </c>
      <c r="I50" s="141">
        <f>I49/I38</f>
        <v>90.944616544163679</v>
      </c>
      <c r="J50" s="134">
        <f>J49/J38</f>
        <v>95.477777547264552</v>
      </c>
      <c r="K50" s="131" t="s">
        <v>82</v>
      </c>
    </row>
    <row r="51" spans="1:23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+C51+'30'!D51</f>
        <v>1000</v>
      </c>
      <c r="E51" s="144">
        <f t="shared" si="0"/>
        <v>16.666666666666668</v>
      </c>
      <c r="F51" s="186"/>
      <c r="H51" s="191" t="s">
        <v>85</v>
      </c>
      <c r="I51" s="142">
        <f>I49/I40</f>
        <v>90.473737788659889</v>
      </c>
      <c r="J51" s="137">
        <f>J49/J40</f>
        <v>98.517030917360543</v>
      </c>
      <c r="K51" s="138" t="s">
        <v>82</v>
      </c>
    </row>
    <row r="52" spans="1:23" ht="13.5" thickBot="1">
      <c r="A52" s="761" t="s">
        <v>28</v>
      </c>
      <c r="B52" s="762"/>
      <c r="C52" s="145">
        <f>SUM(C38:C51)</f>
        <v>63</v>
      </c>
      <c r="D52" s="145">
        <f>SUM(D38:D51)</f>
        <v>4330</v>
      </c>
      <c r="E52" s="146">
        <f>SUM(E38:E51)</f>
        <v>72.166666666666671</v>
      </c>
      <c r="F52" s="186"/>
      <c r="H52" s="192"/>
      <c r="I52" s="193"/>
      <c r="J52" s="139"/>
      <c r="K52" s="140"/>
    </row>
    <row r="53" spans="1:23" ht="13.5" thickBot="1">
      <c r="A53" s="763"/>
      <c r="B53" s="764"/>
      <c r="C53" s="147">
        <f>C52/(24*60)</f>
        <v>4.3749999999999997E-2</v>
      </c>
      <c r="D53" s="147">
        <f>D52/(24*60*G4)</f>
        <v>9.6998207885304666E-2</v>
      </c>
      <c r="E53" s="148">
        <f>E52/(G4*24)</f>
        <v>9.6998207885304666E-2</v>
      </c>
      <c r="F53" s="186"/>
    </row>
    <row r="54" spans="1:23">
      <c r="E54" s="194"/>
      <c r="F54" s="186"/>
    </row>
    <row r="55" spans="1:23">
      <c r="E55" s="194"/>
    </row>
    <row r="56" spans="1:23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+D34+'30'!J56</f>
        <v>1579</v>
      </c>
      <c r="K56" s="202">
        <f>J56/(J40+J56/1000)/1000</f>
        <v>1.257882678342112E-3</v>
      </c>
    </row>
    <row r="57" spans="1:23">
      <c r="A57" s="177"/>
      <c r="I57" s="200" t="s">
        <v>88</v>
      </c>
      <c r="J57" s="201">
        <f>+E34+'30'!J57</f>
        <v>0</v>
      </c>
      <c r="K57" s="202">
        <f>J57/(J40+J57/1000)/1000</f>
        <v>0</v>
      </c>
    </row>
    <row r="58" spans="1:23">
      <c r="A58" s="203"/>
      <c r="B58" s="204"/>
      <c r="F58" s="186"/>
      <c r="H58" s="205"/>
    </row>
    <row r="59" spans="1:23">
      <c r="A59" s="206"/>
      <c r="B59" s="177"/>
      <c r="C59" s="177"/>
      <c r="D59" s="177"/>
      <c r="E59" s="177"/>
      <c r="F59" s="190"/>
      <c r="G59" s="177"/>
      <c r="H59" s="205"/>
    </row>
    <row r="60" spans="1:23">
      <c r="H60" s="205"/>
    </row>
    <row r="61" spans="1:23">
      <c r="A61" s="207"/>
      <c r="B61" s="208"/>
      <c r="C61" s="208"/>
      <c r="D61" s="208"/>
      <c r="E61" s="208"/>
      <c r="F61" s="209"/>
      <c r="G61" s="208"/>
      <c r="H61" s="210"/>
      <c r="W61" s="150" t="s">
        <v>0</v>
      </c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25" right="0.25" top="0.25" bottom="0.5" header="0.5" footer="0.5"/>
  <pageSetup paperSize="9" scale="60" firstPageNumber="4294963191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1"/>
  <sheetViews>
    <sheetView topLeftCell="A22" zoomScale="80" zoomScaleNormal="80" workbookViewId="0">
      <selection activeCell="A7" sqref="A7:A3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7.140625" style="150" customWidth="1"/>
    <col min="14" max="15" width="0" style="150" hidden="1" customWidth="1"/>
    <col min="16" max="16" width="10.28515625" style="150" hidden="1" customWidth="1"/>
    <col min="17" max="17" width="9.28515625" style="150" hidden="1" customWidth="1"/>
    <col min="18" max="23" width="0" style="150" hidden="1" customWidth="1"/>
    <col min="24" max="16384" width="9.140625" style="150"/>
  </cols>
  <sheetData>
    <row r="1" spans="1:30" ht="15.75">
      <c r="A1" s="149"/>
    </row>
    <row r="2" spans="1:30" ht="15.75">
      <c r="A2" s="149" t="s">
        <v>182</v>
      </c>
    </row>
    <row r="3" spans="1:30" ht="15">
      <c r="A3" s="151"/>
    </row>
    <row r="4" spans="1:30" ht="20.25">
      <c r="A4" s="152" t="s">
        <v>3</v>
      </c>
      <c r="B4" s="153"/>
      <c r="F4" s="154" t="s">
        <v>29</v>
      </c>
      <c r="G4" s="155">
        <v>30</v>
      </c>
      <c r="H4" s="155" t="str">
        <f>+'1'!H4</f>
        <v>.07.25</v>
      </c>
      <c r="J4" s="150">
        <f>498+497+545</f>
        <v>1540</v>
      </c>
    </row>
    <row r="5" spans="1:30" ht="13.5" thickBot="1">
      <c r="C5" s="156"/>
      <c r="D5" s="156"/>
    </row>
    <row r="6" spans="1:30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82" t="s">
        <v>92</v>
      </c>
      <c r="O6" s="414" t="s">
        <v>189</v>
      </c>
      <c r="P6" s="414" t="s">
        <v>189</v>
      </c>
      <c r="Q6" s="414" t="s">
        <v>190</v>
      </c>
      <c r="R6" s="414" t="s">
        <v>191</v>
      </c>
      <c r="S6" s="414" t="s">
        <v>192</v>
      </c>
      <c r="T6" s="414" t="s">
        <v>187</v>
      </c>
      <c r="U6" s="415" t="s">
        <v>193</v>
      </c>
      <c r="V6" s="414" t="s">
        <v>194</v>
      </c>
      <c r="W6" s="414" t="s">
        <v>188</v>
      </c>
      <c r="Y6" s="150" t="s">
        <v>437</v>
      </c>
      <c r="Z6" s="150">
        <v>1230</v>
      </c>
      <c r="AA6" s="150">
        <f>+Z6-Z6*0.23</f>
        <v>947.09999999999991</v>
      </c>
      <c r="AB6" s="150">
        <f>60*2+55</f>
        <v>175</v>
      </c>
      <c r="AC6" s="150">
        <f>+Z6*AB6</f>
        <v>215250</v>
      </c>
      <c r="AD6" s="150">
        <f>+AA6*AB6</f>
        <v>165742.49999999997</v>
      </c>
    </row>
    <row r="7" spans="1:30" ht="13.5" customHeight="1" thickBot="1">
      <c r="A7" s="771" t="s">
        <v>423</v>
      </c>
      <c r="B7" s="216" t="s">
        <v>425</v>
      </c>
      <c r="C7" s="217">
        <f>7171+1581</f>
        <v>8752</v>
      </c>
      <c r="D7" s="218"/>
      <c r="E7" s="219"/>
      <c r="F7" s="229"/>
      <c r="G7" s="557" t="s">
        <v>12</v>
      </c>
      <c r="H7" s="558" t="s">
        <v>383</v>
      </c>
      <c r="I7" s="774" t="s">
        <v>406</v>
      </c>
      <c r="J7" s="215" t="str">
        <f>+'29'!J7</f>
        <v>T 12,5 VP OW</v>
      </c>
      <c r="K7" s="239"/>
      <c r="L7" s="243"/>
      <c r="M7" s="118">
        <f>+K7+'29'!M7+L7</f>
        <v>106521</v>
      </c>
      <c r="N7" s="416">
        <v>14.5</v>
      </c>
      <c r="O7" s="200">
        <v>1200</v>
      </c>
      <c r="P7" s="200">
        <v>1120</v>
      </c>
      <c r="Q7" s="200">
        <v>896</v>
      </c>
      <c r="R7" s="417">
        <f>1-(Q7/P7)</f>
        <v>0.19999999999999996</v>
      </c>
      <c r="S7" s="418">
        <v>45</v>
      </c>
      <c r="T7" s="419">
        <v>256.5</v>
      </c>
      <c r="U7" s="420">
        <f>(O7*(1-R7)*N7*T7*S7)/100000000</f>
        <v>1.606716</v>
      </c>
      <c r="V7" s="421">
        <f>+C14/1000</f>
        <v>11.125999999999999</v>
      </c>
      <c r="W7" s="422">
        <f>SUM(V7:V9)/SUM(U7:U9)</f>
        <v>0.53266797233994923</v>
      </c>
      <c r="AA7" s="150">
        <f>+Z7-Z7*0.23</f>
        <v>0</v>
      </c>
      <c r="AC7" s="150">
        <f t="shared" ref="AC7:AC10" si="0">+Z7*AB7</f>
        <v>0</v>
      </c>
      <c r="AD7" s="150">
        <f t="shared" ref="AD7:AD10" si="1">+AA7*AB7</f>
        <v>0</v>
      </c>
    </row>
    <row r="8" spans="1:30" ht="13.5" thickBot="1">
      <c r="A8" s="772"/>
      <c r="B8" s="216" t="s">
        <v>494</v>
      </c>
      <c r="C8" s="217">
        <f>1145+1229</f>
        <v>2374</v>
      </c>
      <c r="D8" s="218"/>
      <c r="E8" s="220"/>
      <c r="F8" s="232">
        <v>8</v>
      </c>
      <c r="G8" s="559" t="s">
        <v>12</v>
      </c>
      <c r="H8" s="231" t="s">
        <v>459</v>
      </c>
      <c r="I8" s="775"/>
      <c r="J8" s="215" t="str">
        <f>+'29'!J8</f>
        <v>F 13 VP OW</v>
      </c>
      <c r="K8" s="240">
        <f>+C7</f>
        <v>8752</v>
      </c>
      <c r="L8" s="240"/>
      <c r="M8" s="118">
        <f>+K8+'29'!M8+L8</f>
        <v>290617</v>
      </c>
      <c r="N8" s="416">
        <v>18</v>
      </c>
      <c r="O8" s="200">
        <v>1200</v>
      </c>
      <c r="P8" s="200">
        <v>930</v>
      </c>
      <c r="Q8" s="200">
        <v>744</v>
      </c>
      <c r="R8" s="417">
        <f>1-(Q8/P8)</f>
        <v>0.19999999999999996</v>
      </c>
      <c r="S8" s="418">
        <f>480-S7</f>
        <v>435</v>
      </c>
      <c r="T8" s="419">
        <v>256.5</v>
      </c>
      <c r="U8" s="420">
        <f>(O8*(1-R8)*N8*T8*S8)/100000000</f>
        <v>19.280591999999999</v>
      </c>
      <c r="V8" s="421"/>
      <c r="W8" s="423"/>
      <c r="AA8" s="150">
        <f>+Z8-Z8*0.23</f>
        <v>0</v>
      </c>
      <c r="AC8" s="150">
        <f t="shared" si="0"/>
        <v>0</v>
      </c>
      <c r="AD8" s="150">
        <f t="shared" si="1"/>
        <v>0</v>
      </c>
    </row>
    <row r="9" spans="1:30" ht="13.5" thickBot="1">
      <c r="A9" s="772"/>
      <c r="B9" s="216"/>
      <c r="C9" s="217"/>
      <c r="D9" s="218"/>
      <c r="E9" s="221"/>
      <c r="F9" s="229">
        <f>19-8</f>
        <v>11</v>
      </c>
      <c r="G9" s="559" t="s">
        <v>12</v>
      </c>
      <c r="H9" s="234" t="s">
        <v>453</v>
      </c>
      <c r="I9" s="775"/>
      <c r="J9" s="215" t="str">
        <f>+'29'!J9</f>
        <v>F 12 VP OW</v>
      </c>
      <c r="K9" s="240"/>
      <c r="L9" s="240"/>
      <c r="M9" s="118">
        <f>+K9+'29'!M9+L9</f>
        <v>168376</v>
      </c>
      <c r="N9" s="424"/>
      <c r="AA9" s="150">
        <f t="shared" ref="AA9:AA10" si="2">+Z9-Z9*0.25</f>
        <v>0</v>
      </c>
      <c r="AC9" s="150">
        <f t="shared" si="0"/>
        <v>0</v>
      </c>
      <c r="AD9" s="150">
        <f t="shared" si="1"/>
        <v>0</v>
      </c>
    </row>
    <row r="10" spans="1:30" ht="13.5" thickBot="1">
      <c r="A10" s="772"/>
      <c r="B10" s="216"/>
      <c r="C10" s="217"/>
      <c r="D10" s="218"/>
      <c r="E10" s="220"/>
      <c r="F10" s="229"/>
      <c r="G10" s="230"/>
      <c r="H10" s="560" t="s">
        <v>676</v>
      </c>
      <c r="I10" s="775"/>
      <c r="J10" s="215" t="str">
        <f>+'29'!J10</f>
        <v>F 12,5 VP OW</v>
      </c>
      <c r="K10" s="240"/>
      <c r="L10" s="240"/>
      <c r="M10" s="118">
        <f>+K10+'29'!M10+L10</f>
        <v>19792</v>
      </c>
      <c r="N10" s="424"/>
      <c r="AA10" s="150">
        <f t="shared" si="2"/>
        <v>0</v>
      </c>
      <c r="AC10" s="150">
        <f t="shared" si="0"/>
        <v>0</v>
      </c>
      <c r="AD10" s="150">
        <f t="shared" si="1"/>
        <v>0</v>
      </c>
    </row>
    <row r="11" spans="1:30" ht="13.5" thickBot="1">
      <c r="A11" s="772"/>
      <c r="B11" s="216"/>
      <c r="C11" s="217"/>
      <c r="D11" s="218"/>
      <c r="E11" s="220"/>
      <c r="F11" s="229"/>
      <c r="G11" s="233"/>
      <c r="H11" s="234" t="s">
        <v>684</v>
      </c>
      <c r="I11" s="775"/>
      <c r="J11" s="215" t="str">
        <f>+'29'!J11</f>
        <v>T 13 VP OW</v>
      </c>
      <c r="K11" s="240"/>
      <c r="L11" s="240"/>
      <c r="M11" s="118">
        <f>+K11+'29'!M11+L11</f>
        <v>278149</v>
      </c>
      <c r="N11" s="424"/>
      <c r="AB11" s="150">
        <f>SUM(AB6:AB10)</f>
        <v>175</v>
      </c>
      <c r="AC11" s="150">
        <f>SUM(AC6:AC10)</f>
        <v>215250</v>
      </c>
      <c r="AD11" s="150">
        <f>SUM(AD6:AD10)</f>
        <v>165742.49999999997</v>
      </c>
    </row>
    <row r="12" spans="1:30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+'29'!J12</f>
        <v>F 11,5 VP OW</v>
      </c>
      <c r="K12" s="240"/>
      <c r="L12" s="240"/>
      <c r="M12" s="118">
        <f>+K12+'29'!M12+L12</f>
        <v>38991</v>
      </c>
      <c r="N12" s="424"/>
      <c r="Z12" s="150" t="s">
        <v>402</v>
      </c>
      <c r="AC12" s="150">
        <f>+AC11/AB11</f>
        <v>1230</v>
      </c>
      <c r="AD12" s="150">
        <f>+AD11/AB11</f>
        <v>947.0999999999998</v>
      </c>
    </row>
    <row r="13" spans="1:30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+'29'!J13</f>
        <v>T 15 VP OW</v>
      </c>
      <c r="K13" s="240"/>
      <c r="L13" s="240"/>
      <c r="M13" s="118">
        <f>+K13+'29'!M13+L13</f>
        <v>37511</v>
      </c>
      <c r="N13" s="425"/>
      <c r="O13" s="426"/>
      <c r="P13" s="426"/>
      <c r="Q13" s="426"/>
      <c r="R13" s="426"/>
      <c r="S13" s="426"/>
      <c r="T13" s="426"/>
      <c r="U13" s="426"/>
      <c r="V13" s="426"/>
      <c r="W13" s="426"/>
    </row>
    <row r="14" spans="1:30" ht="13.5" thickBot="1">
      <c r="A14" s="773"/>
      <c r="B14" s="166" t="s">
        <v>2</v>
      </c>
      <c r="C14" s="100">
        <f>SUM(C7:C13)</f>
        <v>11126</v>
      </c>
      <c r="D14" s="112">
        <f>SUM(D7:D13)</f>
        <v>0</v>
      </c>
      <c r="E14" s="113">
        <f>SUM(E5:E13)</f>
        <v>0</v>
      </c>
      <c r="F14" s="117">
        <f>SUM(F7:F13)</f>
        <v>19</v>
      </c>
      <c r="G14" s="160"/>
      <c r="H14" s="167"/>
      <c r="I14" s="168"/>
      <c r="J14" s="215" t="str">
        <f>+'29'!J14</f>
        <v>F 14 VP OW</v>
      </c>
      <c r="K14" s="240"/>
      <c r="L14" s="240"/>
      <c r="M14" s="118">
        <f>+K14+'29'!M14+L14</f>
        <v>231917</v>
      </c>
    </row>
    <row r="15" spans="1:30" ht="13.5" customHeight="1" thickBot="1">
      <c r="A15" s="771" t="s">
        <v>685</v>
      </c>
      <c r="B15" s="166"/>
      <c r="C15" s="114">
        <f>C14/($C$23+$D$23+$E$23)</f>
        <v>0.58385810243492864</v>
      </c>
      <c r="D15" s="115">
        <f>D14/($C$23+$D$23+$E$23)</f>
        <v>0</v>
      </c>
      <c r="E15" s="116">
        <f>E14/($C$23+$D$23+$E$23)</f>
        <v>0</v>
      </c>
      <c r="F15" s="229">
        <v>8</v>
      </c>
      <c r="G15" s="557" t="s">
        <v>12</v>
      </c>
      <c r="H15" s="558" t="s">
        <v>470</v>
      </c>
      <c r="I15" s="774" t="s">
        <v>406</v>
      </c>
      <c r="J15" s="215" t="s">
        <v>494</v>
      </c>
      <c r="K15" s="240">
        <f>+C8+C16+C25</f>
        <v>35671</v>
      </c>
      <c r="L15" s="240"/>
      <c r="M15" s="118">
        <f>+K15+'29'!M15+L15</f>
        <v>35671</v>
      </c>
      <c r="N15" s="416">
        <v>18</v>
      </c>
      <c r="O15" s="200">
        <v>1200</v>
      </c>
      <c r="P15" s="200">
        <v>850</v>
      </c>
      <c r="Q15" s="200">
        <v>680</v>
      </c>
      <c r="R15" s="417">
        <f>1-(Q15/P15)</f>
        <v>0.19999999999999996</v>
      </c>
      <c r="S15" s="418">
        <v>480</v>
      </c>
      <c r="T15" s="419">
        <v>256.5</v>
      </c>
      <c r="U15" s="420">
        <f>(O15*(1-R15)*N15*T15*S15)/100000000</f>
        <v>21.275136</v>
      </c>
      <c r="V15" s="421">
        <f>+C23/1000</f>
        <v>18.776</v>
      </c>
      <c r="W15" s="422">
        <f>SUM(V15:V17)/SUM(U15:U17)</f>
        <v>0.88253254879310761</v>
      </c>
    </row>
    <row r="16" spans="1:30" ht="13.5" thickBot="1">
      <c r="A16" s="777"/>
      <c r="B16" s="222" t="s">
        <v>494</v>
      </c>
      <c r="C16" s="223">
        <v>18776</v>
      </c>
      <c r="D16" s="224">
        <v>280</v>
      </c>
      <c r="E16" s="225"/>
      <c r="F16" s="229"/>
      <c r="G16" s="559" t="s">
        <v>12</v>
      </c>
      <c r="H16" s="231" t="s">
        <v>408</v>
      </c>
      <c r="I16" s="775"/>
      <c r="J16" s="215">
        <f>+'29'!J16</f>
        <v>0</v>
      </c>
      <c r="K16" s="230"/>
      <c r="L16" s="230"/>
      <c r="M16" s="118">
        <f>+K16+'29'!M16+L16</f>
        <v>0</v>
      </c>
      <c r="N16" s="427"/>
      <c r="O16" s="200"/>
      <c r="P16" s="200"/>
      <c r="Q16" s="428"/>
      <c r="R16" s="417"/>
      <c r="S16" s="200"/>
      <c r="T16" s="419"/>
      <c r="U16" s="420"/>
      <c r="V16" s="421"/>
      <c r="W16" s="423"/>
    </row>
    <row r="17" spans="1:27" ht="13.5" thickBot="1">
      <c r="A17" s="777"/>
      <c r="B17" s="216"/>
      <c r="C17" s="217"/>
      <c r="D17" s="218"/>
      <c r="E17" s="226"/>
      <c r="F17" s="229">
        <f>22-8</f>
        <v>14</v>
      </c>
      <c r="G17" s="559" t="s">
        <v>12</v>
      </c>
      <c r="H17" s="234" t="s">
        <v>442</v>
      </c>
      <c r="I17" s="775"/>
      <c r="J17" s="215">
        <f>+'29'!J17</f>
        <v>0</v>
      </c>
      <c r="K17" s="230"/>
      <c r="L17" s="230"/>
      <c r="M17" s="118">
        <f>+K17+'29'!M17+L17</f>
        <v>0</v>
      </c>
      <c r="N17" s="424"/>
      <c r="O17" s="200"/>
      <c r="R17" s="417"/>
      <c r="T17" s="419"/>
      <c r="U17" s="420"/>
    </row>
    <row r="18" spans="1:27" ht="13.5" thickBot="1">
      <c r="A18" s="777"/>
      <c r="B18" s="216"/>
      <c r="C18" s="217"/>
      <c r="D18" s="218"/>
      <c r="E18" s="226"/>
      <c r="F18" s="229"/>
      <c r="G18" s="230"/>
      <c r="H18" s="560" t="s">
        <v>682</v>
      </c>
      <c r="I18" s="775"/>
      <c r="J18" s="215">
        <f>+'29'!J18</f>
        <v>0</v>
      </c>
      <c r="K18" s="240"/>
      <c r="L18" s="240"/>
      <c r="M18" s="118">
        <f>+K18+'29'!M18+L18</f>
        <v>0</v>
      </c>
      <c r="N18" s="424"/>
    </row>
    <row r="19" spans="1:27" ht="26.25" thickBot="1">
      <c r="A19" s="777"/>
      <c r="B19" s="216"/>
      <c r="C19" s="217"/>
      <c r="D19" s="218"/>
      <c r="E19" s="226"/>
      <c r="F19" s="236"/>
      <c r="G19" s="233"/>
      <c r="H19" s="234" t="s">
        <v>683</v>
      </c>
      <c r="I19" s="775"/>
      <c r="J19" s="215">
        <f>+'29'!J19</f>
        <v>0</v>
      </c>
      <c r="K19" s="240"/>
      <c r="L19" s="240"/>
      <c r="M19" s="118">
        <f>+K19+'29'!M19+L19</f>
        <v>0</v>
      </c>
      <c r="N19" s="424"/>
    </row>
    <row r="20" spans="1:27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+'29'!J20</f>
        <v>0</v>
      </c>
      <c r="K20" s="241"/>
      <c r="L20" s="241"/>
      <c r="M20" s="118">
        <f>+K20+'29'!M20+L20</f>
        <v>0</v>
      </c>
      <c r="N20" s="424"/>
    </row>
    <row r="21" spans="1:27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+'29'!J21</f>
        <v>0</v>
      </c>
      <c r="K21" s="240"/>
      <c r="L21" s="240"/>
      <c r="M21" s="118">
        <f>+K21+'29'!M21+L21</f>
        <v>0</v>
      </c>
      <c r="N21" s="425"/>
      <c r="O21" s="426"/>
      <c r="P21" s="426"/>
      <c r="Q21" s="426"/>
      <c r="R21" s="426"/>
      <c r="S21" s="426"/>
      <c r="T21" s="426"/>
      <c r="U21" s="426"/>
      <c r="V21" s="426"/>
      <c r="W21" s="426"/>
    </row>
    <row r="22" spans="1:27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+'29'!J22</f>
        <v>0</v>
      </c>
      <c r="K22" s="240"/>
      <c r="L22" s="240"/>
      <c r="M22" s="118">
        <f>+K22+'29'!M22+L22</f>
        <v>0</v>
      </c>
    </row>
    <row r="23" spans="1:27" ht="13.5" thickBot="1">
      <c r="A23" s="778"/>
      <c r="B23" s="169" t="s">
        <v>2</v>
      </c>
      <c r="C23" s="101">
        <f>SUM(C16:C22)</f>
        <v>18776</v>
      </c>
      <c r="D23" s="112">
        <f>SUM(D16:D22)</f>
        <v>280</v>
      </c>
      <c r="E23" s="113">
        <f>SUM(E18:E22)</f>
        <v>0</v>
      </c>
      <c r="F23" s="117">
        <f>SUM(F15:F22)</f>
        <v>22</v>
      </c>
      <c r="G23" s="160"/>
      <c r="H23" s="167"/>
      <c r="I23" s="170"/>
      <c r="J23" s="215">
        <f>+'29'!J23</f>
        <v>0</v>
      </c>
      <c r="K23" s="240"/>
      <c r="L23" s="240"/>
      <c r="M23" s="118">
        <f>+K23+'29'!M23+L23</f>
        <v>0</v>
      </c>
      <c r="N23" s="429"/>
      <c r="O23" s="430"/>
      <c r="P23" s="430"/>
      <c r="Q23" s="430"/>
      <c r="R23" s="430"/>
      <c r="S23" s="430"/>
      <c r="T23" s="430"/>
      <c r="U23" s="430"/>
      <c r="V23" s="430"/>
      <c r="W23" s="430"/>
    </row>
    <row r="24" spans="1:27" ht="13.5" customHeight="1" thickBot="1">
      <c r="A24" s="771" t="s">
        <v>445</v>
      </c>
      <c r="B24" s="171"/>
      <c r="C24" s="114">
        <f>C23/($C$23+$D$23+$E$23)</f>
        <v>0.9853064651553316</v>
      </c>
      <c r="D24" s="115">
        <f>D23/($C$23+$D$23+$E$23)</f>
        <v>1.4693534844668345E-2</v>
      </c>
      <c r="E24" s="116">
        <f>E23/($C$23+$D$23+$E$23)</f>
        <v>0</v>
      </c>
      <c r="F24" s="237">
        <v>8</v>
      </c>
      <c r="G24" s="557" t="s">
        <v>12</v>
      </c>
      <c r="H24" s="558" t="s">
        <v>470</v>
      </c>
      <c r="I24" s="774" t="s">
        <v>406</v>
      </c>
      <c r="J24" s="215">
        <f>+'29'!J24</f>
        <v>0</v>
      </c>
      <c r="K24" s="240"/>
      <c r="L24" s="240"/>
      <c r="M24" s="118">
        <f>+K24+'29'!M24+L24</f>
        <v>0</v>
      </c>
      <c r="N24" s="416">
        <v>18</v>
      </c>
      <c r="O24" s="200">
        <v>1200</v>
      </c>
      <c r="P24" s="200">
        <v>770</v>
      </c>
      <c r="Q24" s="200">
        <v>616</v>
      </c>
      <c r="R24" s="417">
        <f>1-(Q24/P24)</f>
        <v>0.19999999999999996</v>
      </c>
      <c r="S24" s="418">
        <v>480</v>
      </c>
      <c r="T24" s="419">
        <v>256.5</v>
      </c>
      <c r="U24" s="420">
        <f>(O24*(1-R24)*N24*T24*S24)/100000000</f>
        <v>21.275136</v>
      </c>
      <c r="V24" s="421">
        <f>+C32/1000</f>
        <v>14.521000000000001</v>
      </c>
      <c r="W24" s="422">
        <f>SUM(V24:V25)/SUM(U24:U25)</f>
        <v>0.68253382728082213</v>
      </c>
    </row>
    <row r="25" spans="1:27" ht="13.5" thickBot="1">
      <c r="A25" s="777"/>
      <c r="B25" s="216" t="s">
        <v>494</v>
      </c>
      <c r="C25" s="227">
        <v>14521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+'29'!J25</f>
        <v>0</v>
      </c>
      <c r="K25" s="240"/>
      <c r="L25" s="240"/>
      <c r="M25" s="118">
        <f>+K25+'29'!M25+L25</f>
        <v>0</v>
      </c>
      <c r="N25" s="416"/>
      <c r="O25" s="200"/>
      <c r="P25" s="200"/>
      <c r="Q25" s="200"/>
      <c r="R25" s="417"/>
      <c r="S25" s="418"/>
      <c r="T25" s="419"/>
      <c r="U25" s="420"/>
      <c r="V25" s="421"/>
      <c r="W25" s="422"/>
    </row>
    <row r="26" spans="1:27" ht="13.5" thickBot="1">
      <c r="A26" s="777"/>
      <c r="B26" s="216"/>
      <c r="C26" s="227"/>
      <c r="D26" s="218"/>
      <c r="E26" s="228"/>
      <c r="F26" s="232">
        <f>26-8</f>
        <v>18</v>
      </c>
      <c r="G26" s="559" t="s">
        <v>12</v>
      </c>
      <c r="H26" s="234" t="s">
        <v>409</v>
      </c>
      <c r="I26" s="775"/>
      <c r="J26" s="215">
        <f>+'29'!J26</f>
        <v>0</v>
      </c>
      <c r="K26" s="240"/>
      <c r="L26" s="240"/>
      <c r="M26" s="118">
        <f>+K26+'29'!M26+L26</f>
        <v>0</v>
      </c>
    </row>
    <row r="27" spans="1:27" ht="13.5" thickBot="1">
      <c r="A27" s="777"/>
      <c r="B27" s="216"/>
      <c r="C27" s="217"/>
      <c r="D27" s="218"/>
      <c r="E27" s="226"/>
      <c r="F27" s="232"/>
      <c r="G27" s="230"/>
      <c r="H27" s="560" t="s">
        <v>680</v>
      </c>
      <c r="I27" s="775"/>
      <c r="J27" s="215">
        <f>+'29'!J27</f>
        <v>0</v>
      </c>
      <c r="K27" s="240"/>
      <c r="L27" s="240"/>
      <c r="M27" s="118">
        <f>+K27+'29'!M27+L27</f>
        <v>0</v>
      </c>
    </row>
    <row r="28" spans="1:27" ht="26.25" thickBot="1">
      <c r="A28" s="777"/>
      <c r="B28" s="216"/>
      <c r="C28" s="217"/>
      <c r="D28" s="218"/>
      <c r="E28" s="226"/>
      <c r="F28" s="232"/>
      <c r="G28" s="233"/>
      <c r="H28" s="234" t="s">
        <v>681</v>
      </c>
      <c r="I28" s="775"/>
      <c r="J28" s="215">
        <f>+'29'!J28</f>
        <v>0</v>
      </c>
      <c r="K28" s="240"/>
      <c r="L28" s="240"/>
      <c r="M28" s="118">
        <f>+K28+'29'!M28+L28</f>
        <v>0</v>
      </c>
      <c r="X28" s="150" t="s">
        <v>437</v>
      </c>
      <c r="Y28" s="150">
        <v>1230</v>
      </c>
      <c r="Z28" s="150">
        <v>947.09999999999991</v>
      </c>
      <c r="AA28" s="150">
        <v>175</v>
      </c>
    </row>
    <row r="29" spans="1:27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+'29'!J29</f>
        <v>0</v>
      </c>
      <c r="K29" s="240"/>
      <c r="L29" s="240"/>
      <c r="M29" s="118">
        <f>+K29+'29'!M29+L29</f>
        <v>0</v>
      </c>
      <c r="X29" s="150" t="s">
        <v>482</v>
      </c>
      <c r="Y29" s="150">
        <v>1230</v>
      </c>
      <c r="Z29" s="150">
        <v>947.09999999999991</v>
      </c>
      <c r="AA29" s="150">
        <f>1440-AA28</f>
        <v>1265</v>
      </c>
    </row>
    <row r="30" spans="1:27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+'29'!J30</f>
        <v>0</v>
      </c>
      <c r="K30" s="240"/>
      <c r="L30" s="240"/>
      <c r="M30" s="118">
        <f>+K30+'29'!M30+L30</f>
        <v>0</v>
      </c>
      <c r="N30" s="156"/>
    </row>
    <row r="31" spans="1:27" ht="13.5" thickBot="1">
      <c r="A31" s="777"/>
      <c r="B31" s="216"/>
      <c r="C31" s="227"/>
      <c r="D31" s="218"/>
      <c r="E31" s="226"/>
      <c r="F31" s="237"/>
      <c r="G31" s="238"/>
      <c r="H31" s="235"/>
      <c r="I31" s="776"/>
      <c r="J31" s="215">
        <f>+'29'!J31</f>
        <v>0</v>
      </c>
      <c r="K31" s="240"/>
      <c r="L31" s="240"/>
      <c r="M31" s="118">
        <f>+K31+'29'!M31+L31</f>
        <v>0</v>
      </c>
    </row>
    <row r="32" spans="1:27" ht="13.5" thickBot="1">
      <c r="A32" s="778"/>
      <c r="B32" s="166" t="s">
        <v>2</v>
      </c>
      <c r="C32" s="100">
        <f>SUM(C25:C31)</f>
        <v>14521</v>
      </c>
      <c r="D32" s="101">
        <f>SUM(D25:D31)</f>
        <v>0</v>
      </c>
      <c r="E32" s="102">
        <f>SUM(E25:E31)</f>
        <v>0</v>
      </c>
      <c r="F32" s="103">
        <f>SUM(F24:F31)</f>
        <v>26</v>
      </c>
      <c r="G32" s="172"/>
      <c r="H32" s="173"/>
      <c r="I32" s="170"/>
      <c r="J32" s="215">
        <f>+'29'!J32</f>
        <v>0</v>
      </c>
      <c r="K32" s="242"/>
      <c r="L32" s="244"/>
      <c r="M32" s="118">
        <f>+K32+'29'!M32+L32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67" t="s">
        <v>57</v>
      </c>
      <c r="B34" s="768"/>
      <c r="C34" s="108">
        <f>C14+C23+C32</f>
        <v>44423</v>
      </c>
      <c r="D34" s="108">
        <f>D14+D23+D32</f>
        <v>280</v>
      </c>
      <c r="E34" s="108">
        <f>E14+E23+E32</f>
        <v>0</v>
      </c>
      <c r="F34" s="109">
        <f>F14+F23+F32</f>
        <v>67</v>
      </c>
      <c r="H34" s="179"/>
      <c r="I34" s="179"/>
      <c r="J34" s="124" t="s">
        <v>28</v>
      </c>
      <c r="K34" s="125">
        <f>SUM(K7:K32)</f>
        <v>44423</v>
      </c>
      <c r="L34" s="213">
        <f>SUM(L7:L32)</f>
        <v>0</v>
      </c>
      <c r="M34" s="121">
        <f>SUM(M7:M32)</f>
        <v>1207545</v>
      </c>
      <c r="N34" s="156"/>
    </row>
    <row r="35" spans="1:14" ht="13.5" thickBot="1">
      <c r="A35" s="180"/>
      <c r="B35" s="181"/>
      <c r="C35" s="105">
        <f>C34/($C$34+$D$34+$E$34)</f>
        <v>0.99373643827036218</v>
      </c>
      <c r="D35" s="105">
        <f>D34/($C$34+$D$34+$E$34)</f>
        <v>6.2635617296378319E-3</v>
      </c>
      <c r="E35" s="110">
        <f>E34/($C$34+$D$34+$E$34)</f>
        <v>0</v>
      </c>
      <c r="K35" s="156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4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(13*175+13*1265)/1440*G42*2.74*1440/1000000</f>
        <v>48.579410879999998</v>
      </c>
      <c r="J37" s="126">
        <f>+I37+'29'!J37</f>
        <v>1366.2983967245818</v>
      </c>
      <c r="K37" s="127" t="s">
        <v>63</v>
      </c>
    </row>
    <row r="38" spans="1:14" ht="17.45" customHeight="1">
      <c r="A38" s="761" t="s">
        <v>12</v>
      </c>
      <c r="B38" s="762"/>
      <c r="C38" s="165">
        <f>SUMIF($G$7:$G$31,"Process",$F$7:$F$31)</f>
        <v>67</v>
      </c>
      <c r="D38" s="119">
        <f>+C38+'29'!D38</f>
        <v>2266</v>
      </c>
      <c r="E38" s="144">
        <f t="shared" ref="E38:E51" si="3">D38/60</f>
        <v>37.766666666666666</v>
      </c>
      <c r="F38" s="323">
        <v>1230</v>
      </c>
      <c r="G38" s="323">
        <v>947.09999999999991</v>
      </c>
      <c r="H38" s="188" t="s">
        <v>64</v>
      </c>
      <c r="I38" s="246">
        <f>15.581+15.093+18.049</f>
        <v>48.722999999999999</v>
      </c>
      <c r="J38" s="128">
        <f>+I38+'29'!J38</f>
        <v>1247.692</v>
      </c>
      <c r="K38" s="129" t="s">
        <v>63</v>
      </c>
    </row>
    <row r="39" spans="1:14" ht="17.45" customHeight="1">
      <c r="A39" s="765" t="s">
        <v>13</v>
      </c>
      <c r="B39" s="766"/>
      <c r="C39" s="165">
        <f>SUMIF($G$7:$G$31,"Cleaning",$F$7:$F$31)</f>
        <v>0</v>
      </c>
      <c r="D39" s="119">
        <f>+C39+'29'!D39</f>
        <v>0</v>
      </c>
      <c r="E39" s="144">
        <f t="shared" si="3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45.543279890819392</v>
      </c>
      <c r="K39" s="131" t="s">
        <v>63</v>
      </c>
    </row>
    <row r="40" spans="1:14" ht="17.45" customHeight="1">
      <c r="A40" s="765" t="s">
        <v>66</v>
      </c>
      <c r="B40" s="766"/>
      <c r="C40" s="165">
        <f>SUMIF($G$7:$G$31,"Mechanical",$F$7:$F$31)</f>
        <v>0</v>
      </c>
      <c r="D40" s="119">
        <f>+C40+'29'!D40</f>
        <v>0</v>
      </c>
      <c r="E40" s="144">
        <f t="shared" si="3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44.423000000000002</v>
      </c>
      <c r="J40" s="132">
        <f>+I40+'29'!J40</f>
        <v>1207.5450000000003</v>
      </c>
      <c r="K40" s="131" t="s">
        <v>63</v>
      </c>
    </row>
    <row r="41" spans="1:14" ht="17.45" customHeight="1">
      <c r="A41" s="765" t="s">
        <v>68</v>
      </c>
      <c r="B41" s="766"/>
      <c r="C41" s="165">
        <f>SUMIF($G$7:$G$31,"Electrical",$F$7:$F$31)</f>
        <v>0</v>
      </c>
      <c r="D41" s="119">
        <f>+C41+'29'!D41</f>
        <v>700</v>
      </c>
      <c r="E41" s="144">
        <f t="shared" si="3"/>
        <v>11.666666666666666</v>
      </c>
      <c r="F41" s="323"/>
      <c r="G41" s="323"/>
      <c r="H41" s="188" t="s">
        <v>69</v>
      </c>
      <c r="I41" s="143"/>
      <c r="J41" s="130">
        <f>J40/G4</f>
        <v>40.251500000000007</v>
      </c>
      <c r="K41" s="131" t="s">
        <v>63</v>
      </c>
    </row>
    <row r="42" spans="1:14" ht="17.45" customHeight="1">
      <c r="A42" s="765" t="s">
        <v>16</v>
      </c>
      <c r="B42" s="766"/>
      <c r="C42" s="165">
        <f>SUMIF($G$7:$G$31,"Instrument",$F$7:$F$31)</f>
        <v>0</v>
      </c>
      <c r="D42" s="119">
        <f>+C42+'29'!D42</f>
        <v>0</v>
      </c>
      <c r="E42" s="144">
        <f t="shared" si="3"/>
        <v>0</v>
      </c>
      <c r="F42" s="323">
        <f>+(F38*480+F39*480+F40*480)/1440</f>
        <v>1230</v>
      </c>
      <c r="G42" s="323">
        <f>+(G38*480+G39*480+G40*480)/1440</f>
        <v>947.0999999999998</v>
      </c>
      <c r="H42" s="188" t="s">
        <v>70</v>
      </c>
      <c r="I42" s="247" t="s">
        <v>406</v>
      </c>
      <c r="J42" s="133"/>
      <c r="K42" s="131" t="s">
        <v>71</v>
      </c>
    </row>
    <row r="43" spans="1:14" ht="17.45" customHeight="1">
      <c r="A43" s="765" t="s">
        <v>72</v>
      </c>
      <c r="B43" s="766"/>
      <c r="C43" s="165">
        <f>SUMIF($G$7:$G$31,"Water",$F$7:$F$31)</f>
        <v>0</v>
      </c>
      <c r="D43" s="119">
        <f>+C43+'29'!D43</f>
        <v>0</v>
      </c>
      <c r="E43" s="144">
        <f t="shared" si="3"/>
        <v>0</v>
      </c>
      <c r="F43" s="323"/>
      <c r="G43" s="324"/>
      <c r="H43" s="189" t="s">
        <v>73</v>
      </c>
      <c r="I43" s="119">
        <f>+Report1!Z38</f>
        <v>62.3</v>
      </c>
      <c r="J43" s="134">
        <f>+I43+'29'!J43</f>
        <v>1802.5999999999997</v>
      </c>
      <c r="K43" s="131" t="s">
        <v>63</v>
      </c>
      <c r="L43" s="190"/>
    </row>
    <row r="44" spans="1:14" ht="17.45" customHeight="1">
      <c r="A44" s="765" t="s">
        <v>17</v>
      </c>
      <c r="B44" s="766"/>
      <c r="C44" s="165">
        <f>SUMIF($G$7:$G$31,"PLN",$F$7:$F$31)</f>
        <v>0</v>
      </c>
      <c r="D44" s="119">
        <f>+C44+'29'!D44</f>
        <v>0</v>
      </c>
      <c r="E44" s="144">
        <f t="shared" si="3"/>
        <v>0</v>
      </c>
      <c r="F44" s="323"/>
      <c r="G44" s="324"/>
      <c r="H44" s="189" t="s">
        <v>74</v>
      </c>
      <c r="I44" s="119">
        <f>I43/I38</f>
        <v>1.2786568971532952</v>
      </c>
      <c r="J44" s="135">
        <f>J43/J38</f>
        <v>1.4447475819352851</v>
      </c>
      <c r="K44" s="131" t="s">
        <v>63</v>
      </c>
    </row>
    <row r="45" spans="1:14" ht="17.45" customHeight="1">
      <c r="A45" s="765" t="s">
        <v>18</v>
      </c>
      <c r="B45" s="766"/>
      <c r="C45" s="165">
        <f>SUMIF($G$7:$G$31,"Boiler",$F$7:$F$31)</f>
        <v>0</v>
      </c>
      <c r="D45" s="119">
        <f>+C45+'29'!D45</f>
        <v>0</v>
      </c>
      <c r="E45" s="144">
        <f t="shared" si="3"/>
        <v>0</v>
      </c>
      <c r="F45" s="323"/>
      <c r="G45" s="326"/>
      <c r="H45" s="189" t="s">
        <v>75</v>
      </c>
      <c r="I45" s="119">
        <f>I43/I40</f>
        <v>1.4024266708686941</v>
      </c>
      <c r="J45" s="135">
        <f>J43/J40</f>
        <v>1.4927808073405127</v>
      </c>
      <c r="K45" s="131" t="s">
        <v>63</v>
      </c>
    </row>
    <row r="46" spans="1:14" ht="17.45" customHeight="1">
      <c r="A46" s="765" t="s">
        <v>76</v>
      </c>
      <c r="B46" s="766"/>
      <c r="C46" s="165">
        <f>SUMIF($G$7:$G$31,"Gas",$F$7:$F$31)</f>
        <v>0</v>
      </c>
      <c r="D46" s="119">
        <f>+C46+'29'!D46</f>
        <v>0</v>
      </c>
      <c r="E46" s="144">
        <f t="shared" si="3"/>
        <v>0</v>
      </c>
      <c r="F46" s="323"/>
      <c r="G46" s="324"/>
      <c r="H46" s="189" t="s">
        <v>77</v>
      </c>
      <c r="I46" s="141">
        <f>+SUMIF(Listrik!P37,"&gt;0")</f>
        <v>37362.639999999999</v>
      </c>
      <c r="J46" s="136">
        <f>+I46+'29'!J46</f>
        <v>1071531.5199999991</v>
      </c>
      <c r="K46" s="131" t="s">
        <v>78</v>
      </c>
    </row>
    <row r="47" spans="1:14" ht="17.45" customHeight="1">
      <c r="A47" s="765" t="s">
        <v>79</v>
      </c>
      <c r="B47" s="766"/>
      <c r="C47" s="165">
        <f>SUMIF($G$7:$G$31,"Gas",$F$7:$F$31)</f>
        <v>0</v>
      </c>
      <c r="D47" s="119">
        <f>+C47+'29'!D47</f>
        <v>0</v>
      </c>
      <c r="E47" s="144">
        <f t="shared" si="3"/>
        <v>0</v>
      </c>
      <c r="F47" s="323"/>
      <c r="G47" s="324"/>
      <c r="H47" s="189" t="s">
        <v>80</v>
      </c>
      <c r="I47" s="119">
        <f>I46/I38</f>
        <v>766.83783839254556</v>
      </c>
      <c r="J47" s="136">
        <f>J46/J38</f>
        <v>858.81092449097946</v>
      </c>
      <c r="K47" s="131" t="s">
        <v>24</v>
      </c>
    </row>
    <row r="48" spans="1:14" ht="17.45" customHeight="1">
      <c r="A48" s="765" t="s">
        <v>14</v>
      </c>
      <c r="B48" s="766"/>
      <c r="C48" s="165">
        <f>SUMIF($G$7:$G$31,"Start Up",$F$7:$F$31)</f>
        <v>0</v>
      </c>
      <c r="D48" s="119">
        <f>+C48+'29'!D48</f>
        <v>0</v>
      </c>
      <c r="E48" s="144">
        <f t="shared" si="3"/>
        <v>0</v>
      </c>
      <c r="F48" s="323"/>
      <c r="G48" s="324"/>
      <c r="H48" s="189" t="s">
        <v>81</v>
      </c>
      <c r="I48" s="119">
        <f>I46/I40</f>
        <v>841.06521396573839</v>
      </c>
      <c r="J48" s="136">
        <f>J46/J40</f>
        <v>887.36363448152974</v>
      </c>
      <c r="K48" s="131" t="s">
        <v>24</v>
      </c>
    </row>
    <row r="49" spans="1:23" ht="17.45" customHeight="1">
      <c r="A49" s="765" t="s">
        <v>20</v>
      </c>
      <c r="B49" s="766"/>
      <c r="C49" s="165">
        <f>SUMIF($G$7:$G$31,"Others",$F$7:$F$31)</f>
        <v>0</v>
      </c>
      <c r="D49" s="119">
        <f>+C49+'29'!D49</f>
        <v>301</v>
      </c>
      <c r="E49" s="144">
        <f t="shared" si="3"/>
        <v>5.0166666666666666</v>
      </c>
      <c r="F49" s="186"/>
      <c r="H49" s="189" t="s">
        <v>269</v>
      </c>
      <c r="I49" s="119">
        <f>+Report1!T38</f>
        <v>4131.4278345552329</v>
      </c>
      <c r="J49" s="136">
        <f>+I49+'29'!J49</f>
        <v>119335.026509925</v>
      </c>
      <c r="K49" s="131" t="s">
        <v>82</v>
      </c>
    </row>
    <row r="50" spans="1:23" ht="17.45" customHeight="1">
      <c r="A50" s="765" t="s">
        <v>19</v>
      </c>
      <c r="B50" s="766"/>
      <c r="C50" s="165">
        <f>SUMIF($G$7:$G$31,"Steam",$F$7:$F$31)</f>
        <v>0</v>
      </c>
      <c r="D50" s="119">
        <f>+C50+'29'!D50</f>
        <v>0</v>
      </c>
      <c r="E50" s="144">
        <f t="shared" si="3"/>
        <v>0</v>
      </c>
      <c r="F50" s="186"/>
      <c r="H50" s="189" t="s">
        <v>83</v>
      </c>
      <c r="I50" s="141">
        <f>I49/I38</f>
        <v>84.794200573758445</v>
      </c>
      <c r="J50" s="134">
        <f>J49/J38</f>
        <v>95.644619433261568</v>
      </c>
      <c r="K50" s="131" t="s">
        <v>82</v>
      </c>
    </row>
    <row r="51" spans="1:23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+C51+'29'!D51</f>
        <v>1000</v>
      </c>
      <c r="E51" s="144">
        <f t="shared" si="3"/>
        <v>16.666666666666668</v>
      </c>
      <c r="F51" s="186"/>
      <c r="H51" s="191" t="s">
        <v>85</v>
      </c>
      <c r="I51" s="142">
        <f>I49/I40</f>
        <v>93.001999742368426</v>
      </c>
      <c r="J51" s="137">
        <f>J49/J40</f>
        <v>98.824496403798591</v>
      </c>
      <c r="K51" s="138" t="s">
        <v>82</v>
      </c>
    </row>
    <row r="52" spans="1:23" ht="13.5" thickBot="1">
      <c r="A52" s="761" t="s">
        <v>28</v>
      </c>
      <c r="B52" s="762"/>
      <c r="C52" s="145">
        <f>SUM(C38:C51)</f>
        <v>67</v>
      </c>
      <c r="D52" s="145">
        <f>SUM(D38:D51)</f>
        <v>4267</v>
      </c>
      <c r="E52" s="146">
        <f>SUM(E38:E51)</f>
        <v>71.11666666666666</v>
      </c>
      <c r="F52" s="186"/>
      <c r="H52" s="192"/>
      <c r="I52" s="193"/>
      <c r="J52" s="139"/>
      <c r="K52" s="140"/>
    </row>
    <row r="53" spans="1:23" ht="13.5" thickBot="1">
      <c r="A53" s="763"/>
      <c r="B53" s="764"/>
      <c r="C53" s="147">
        <f>C52/(24*60)</f>
        <v>4.6527777777777779E-2</v>
      </c>
      <c r="D53" s="147">
        <f>D52/(24*60*G4)</f>
        <v>9.8773148148148152E-2</v>
      </c>
      <c r="E53" s="148">
        <f>E52/(G4*24)</f>
        <v>9.8773148148148138E-2</v>
      </c>
      <c r="F53" s="186"/>
    </row>
    <row r="54" spans="1:23">
      <c r="E54" s="194"/>
      <c r="F54" s="186"/>
    </row>
    <row r="55" spans="1:23">
      <c r="E55" s="194"/>
    </row>
    <row r="56" spans="1:23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+D34+'29'!J56</f>
        <v>1579</v>
      </c>
      <c r="K56" s="202">
        <f>J56/(J40+J56/1000)/1000</f>
        <v>1.3059041090905479E-3</v>
      </c>
    </row>
    <row r="57" spans="1:23">
      <c r="A57" s="177"/>
      <c r="I57" s="200" t="s">
        <v>88</v>
      </c>
      <c r="J57" s="201">
        <f>+E34+'29'!J57</f>
        <v>0</v>
      </c>
      <c r="K57" s="202">
        <f>J57/(J40+J57/1000)/1000</f>
        <v>0</v>
      </c>
    </row>
    <row r="58" spans="1:23">
      <c r="A58" s="203"/>
      <c r="B58" s="204"/>
      <c r="F58" s="186"/>
      <c r="H58" s="205"/>
    </row>
    <row r="59" spans="1:23">
      <c r="A59" s="206"/>
      <c r="B59" s="177"/>
      <c r="C59" s="177"/>
      <c r="D59" s="177"/>
      <c r="E59" s="177"/>
      <c r="F59" s="190"/>
      <c r="G59" s="177"/>
      <c r="H59" s="205"/>
    </row>
    <row r="60" spans="1:23">
      <c r="H60" s="205"/>
    </row>
    <row r="61" spans="1:23">
      <c r="A61" s="207"/>
      <c r="B61" s="208"/>
      <c r="C61" s="208"/>
      <c r="D61" s="208"/>
      <c r="E61" s="208"/>
      <c r="F61" s="209"/>
      <c r="G61" s="208"/>
      <c r="H61" s="210"/>
      <c r="W61" s="150" t="s">
        <v>0</v>
      </c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5625" right="0.19513888888888889" top="0.39027777777777778" bottom="0.39027777777777778" header="0" footer="0"/>
  <pageSetup paperSize="9" scale="63" firstPageNumber="4294963191" orientation="landscape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1"/>
  <sheetViews>
    <sheetView topLeftCell="C1" zoomScale="80" zoomScaleNormal="80" workbookViewId="0">
      <selection activeCell="H15" sqref="H15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4.140625" style="150" customWidth="1"/>
    <col min="14" max="15" width="0" style="150" hidden="1" customWidth="1"/>
    <col min="16" max="16" width="10.28515625" style="150" hidden="1" customWidth="1"/>
    <col min="17" max="17" width="9.28515625" style="150" hidden="1" customWidth="1"/>
    <col min="18" max="23" width="0" style="150" hidden="1" customWidth="1"/>
    <col min="24" max="16384" width="9.140625" style="150"/>
  </cols>
  <sheetData>
    <row r="1" spans="1:30" ht="15.75">
      <c r="A1" s="149"/>
    </row>
    <row r="2" spans="1:30" ht="15.75">
      <c r="A2" s="149" t="s">
        <v>182</v>
      </c>
    </row>
    <row r="3" spans="1:30" ht="15">
      <c r="A3" s="151"/>
    </row>
    <row r="4" spans="1:30" ht="20.25">
      <c r="A4" s="152" t="s">
        <v>3</v>
      </c>
      <c r="B4" s="153"/>
      <c r="F4" s="154" t="s">
        <v>29</v>
      </c>
      <c r="G4" s="155">
        <v>29</v>
      </c>
      <c r="H4" s="155" t="str">
        <f>+'1'!H4</f>
        <v>.07.25</v>
      </c>
      <c r="J4" s="150">
        <f>537+506+518</f>
        <v>1561</v>
      </c>
    </row>
    <row r="5" spans="1:30" ht="13.5" thickBot="1">
      <c r="C5" s="156"/>
      <c r="D5" s="156"/>
    </row>
    <row r="6" spans="1:30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82" t="s">
        <v>92</v>
      </c>
      <c r="O6" s="414" t="s">
        <v>189</v>
      </c>
      <c r="P6" s="414" t="s">
        <v>189</v>
      </c>
      <c r="Q6" s="414" t="s">
        <v>190</v>
      </c>
      <c r="R6" s="414" t="s">
        <v>191</v>
      </c>
      <c r="S6" s="414" t="s">
        <v>192</v>
      </c>
      <c r="T6" s="414" t="s">
        <v>187</v>
      </c>
      <c r="U6" s="415" t="s">
        <v>193</v>
      </c>
      <c r="V6" s="414" t="s">
        <v>194</v>
      </c>
      <c r="W6" s="414" t="s">
        <v>188</v>
      </c>
      <c r="Y6" s="150" t="s">
        <v>437</v>
      </c>
      <c r="Z6" s="150">
        <v>1230</v>
      </c>
      <c r="AA6" s="150">
        <f>+Z6-Z6*0.23</f>
        <v>947.09999999999991</v>
      </c>
      <c r="AB6" s="150">
        <v>480</v>
      </c>
      <c r="AC6" s="150">
        <f>+Z6*AB6</f>
        <v>590400</v>
      </c>
      <c r="AD6" s="150">
        <f>+AA6*AB6</f>
        <v>454607.99999999994</v>
      </c>
    </row>
    <row r="7" spans="1:30" ht="13.5" customHeight="1" thickBot="1">
      <c r="A7" s="771" t="s">
        <v>423</v>
      </c>
      <c r="B7" s="216" t="s">
        <v>386</v>
      </c>
      <c r="C7" s="217">
        <v>13086</v>
      </c>
      <c r="D7" s="218"/>
      <c r="E7" s="219"/>
      <c r="F7" s="229"/>
      <c r="G7" s="557" t="s">
        <v>12</v>
      </c>
      <c r="H7" s="558" t="s">
        <v>383</v>
      </c>
      <c r="I7" s="774" t="s">
        <v>406</v>
      </c>
      <c r="J7" s="215" t="str">
        <f>+'28'!J7</f>
        <v>T 12,5 VP OW</v>
      </c>
      <c r="K7" s="239"/>
      <c r="L7" s="243"/>
      <c r="M7" s="118">
        <f>+K7+'28'!M7+L7</f>
        <v>106521</v>
      </c>
      <c r="N7" s="416">
        <v>14.5</v>
      </c>
      <c r="O7" s="200">
        <v>1200</v>
      </c>
      <c r="P7" s="200">
        <v>1120</v>
      </c>
      <c r="Q7" s="200">
        <v>896</v>
      </c>
      <c r="R7" s="417">
        <f>1-(Q7/P7)</f>
        <v>0.19999999999999996</v>
      </c>
      <c r="S7" s="418">
        <v>45</v>
      </c>
      <c r="T7" s="419">
        <v>256.5</v>
      </c>
      <c r="U7" s="420">
        <f>(O7*(1-R7)*N7*T7*S7)/100000000</f>
        <v>1.606716</v>
      </c>
      <c r="V7" s="421">
        <f>+C14/1000</f>
        <v>13.086</v>
      </c>
      <c r="W7" s="422">
        <f>SUM(V7:V9)/SUM(U7:U9)</f>
        <v>0.62650486122960425</v>
      </c>
      <c r="Z7" s="150">
        <v>1230</v>
      </c>
      <c r="AA7" s="150">
        <f>+Z7-Z7*0.23</f>
        <v>947.09999999999991</v>
      </c>
      <c r="AB7" s="150">
        <f>60*6+31</f>
        <v>391</v>
      </c>
      <c r="AC7" s="150">
        <f t="shared" ref="AC7:AC10" si="0">+Z7*AB7</f>
        <v>480930</v>
      </c>
      <c r="AD7" s="150">
        <f t="shared" ref="AD7:AD10" si="1">+AA7*AB7</f>
        <v>370316.1</v>
      </c>
    </row>
    <row r="8" spans="1:30" ht="13.5" thickBot="1">
      <c r="A8" s="772"/>
      <c r="B8" s="216"/>
      <c r="C8" s="217"/>
      <c r="D8" s="218"/>
      <c r="E8" s="220"/>
      <c r="F8" s="232">
        <v>8</v>
      </c>
      <c r="G8" s="559" t="s">
        <v>12</v>
      </c>
      <c r="H8" s="231" t="s">
        <v>459</v>
      </c>
      <c r="I8" s="775"/>
      <c r="J8" s="215" t="str">
        <f>+'28'!J8</f>
        <v>F 13 VP OW</v>
      </c>
      <c r="K8" s="240">
        <f>+C26</f>
        <v>13780</v>
      </c>
      <c r="L8" s="240"/>
      <c r="M8" s="118">
        <f>+K8+'28'!M8+L8</f>
        <v>281865</v>
      </c>
      <c r="N8" s="416">
        <v>18</v>
      </c>
      <c r="O8" s="200">
        <v>1200</v>
      </c>
      <c r="P8" s="200">
        <v>930</v>
      </c>
      <c r="Q8" s="200">
        <v>744</v>
      </c>
      <c r="R8" s="417">
        <f>1-(Q8/P8)</f>
        <v>0.19999999999999996</v>
      </c>
      <c r="S8" s="418">
        <f>480-S7</f>
        <v>435</v>
      </c>
      <c r="T8" s="419">
        <v>256.5</v>
      </c>
      <c r="U8" s="420">
        <f>(O8*(1-R8)*N8*T8*S8)/100000000</f>
        <v>19.280591999999999</v>
      </c>
      <c r="V8" s="421"/>
      <c r="W8" s="423"/>
      <c r="AA8" s="150">
        <f>+Z8-Z8*0.23</f>
        <v>0</v>
      </c>
      <c r="AC8" s="150">
        <f t="shared" si="0"/>
        <v>0</v>
      </c>
      <c r="AD8" s="150">
        <f t="shared" si="1"/>
        <v>0</v>
      </c>
    </row>
    <row r="9" spans="1:30" ht="13.5" thickBot="1">
      <c r="A9" s="772"/>
      <c r="B9" s="216"/>
      <c r="C9" s="217"/>
      <c r="D9" s="218"/>
      <c r="E9" s="221"/>
      <c r="F9" s="229">
        <v>10</v>
      </c>
      <c r="G9" s="559" t="s">
        <v>12</v>
      </c>
      <c r="H9" s="234" t="s">
        <v>453</v>
      </c>
      <c r="I9" s="775"/>
      <c r="J9" s="215" t="str">
        <f>+'28'!J9</f>
        <v>F 12 VP OW</v>
      </c>
      <c r="K9" s="240">
        <f>+C7+C16+C25</f>
        <v>27817</v>
      </c>
      <c r="L9" s="240"/>
      <c r="M9" s="118">
        <f>+K9+'28'!M9+L9</f>
        <v>168376</v>
      </c>
      <c r="N9" s="424"/>
      <c r="AA9" s="150">
        <f t="shared" ref="AA9:AA10" si="2">+Z9-Z9*0.25</f>
        <v>0</v>
      </c>
      <c r="AC9" s="150">
        <f t="shared" si="0"/>
        <v>0</v>
      </c>
      <c r="AD9" s="150">
        <f t="shared" si="1"/>
        <v>0</v>
      </c>
    </row>
    <row r="10" spans="1:30" ht="26.25" thickBot="1">
      <c r="A10" s="772"/>
      <c r="B10" s="216"/>
      <c r="C10" s="217"/>
      <c r="D10" s="218"/>
      <c r="E10" s="220"/>
      <c r="F10" s="229"/>
      <c r="G10" s="230"/>
      <c r="H10" s="560" t="s">
        <v>670</v>
      </c>
      <c r="I10" s="775"/>
      <c r="J10" s="215" t="str">
        <f>+'28'!J10</f>
        <v>F 12,5 VP OW</v>
      </c>
      <c r="K10" s="240"/>
      <c r="L10" s="240"/>
      <c r="M10" s="118">
        <f>+K10+'28'!M10+L10</f>
        <v>19792</v>
      </c>
      <c r="N10" s="424"/>
      <c r="AA10" s="150">
        <f t="shared" si="2"/>
        <v>0</v>
      </c>
      <c r="AC10" s="150">
        <f t="shared" si="0"/>
        <v>0</v>
      </c>
      <c r="AD10" s="150">
        <f t="shared" si="1"/>
        <v>0</v>
      </c>
    </row>
    <row r="11" spans="1:30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+'28'!J11</f>
        <v>T 13 VP OW</v>
      </c>
      <c r="K11" s="240"/>
      <c r="L11" s="240"/>
      <c r="M11" s="118">
        <f>+K11+'28'!M11+L11</f>
        <v>278149</v>
      </c>
      <c r="N11" s="424"/>
      <c r="AB11" s="150">
        <f>SUM(AB6:AB10)</f>
        <v>871</v>
      </c>
      <c r="AC11" s="150">
        <f>SUM(AC6:AC10)</f>
        <v>1071330</v>
      </c>
      <c r="AD11" s="150">
        <f>SUM(AD6:AD10)</f>
        <v>824924.09999999986</v>
      </c>
    </row>
    <row r="12" spans="1:30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+'28'!J12</f>
        <v>F 11,5 VP OW</v>
      </c>
      <c r="K12" s="240"/>
      <c r="L12" s="240"/>
      <c r="M12" s="118">
        <f>+K12+'28'!M12+L12</f>
        <v>38991</v>
      </c>
      <c r="N12" s="424"/>
      <c r="Z12" s="150" t="s">
        <v>402</v>
      </c>
      <c r="AC12" s="150">
        <f>+AC11/AB11</f>
        <v>1230</v>
      </c>
      <c r="AD12" s="150">
        <f>+AD11/AB11</f>
        <v>947.0999999999998</v>
      </c>
    </row>
    <row r="13" spans="1:30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+'28'!J13</f>
        <v>T 15 VP OW</v>
      </c>
      <c r="K13" s="240"/>
      <c r="L13" s="240"/>
      <c r="M13" s="118">
        <f>+K13+'28'!M13+L13</f>
        <v>37511</v>
      </c>
      <c r="N13" s="425"/>
      <c r="O13" s="426"/>
      <c r="P13" s="426"/>
      <c r="Q13" s="426"/>
      <c r="R13" s="426"/>
      <c r="S13" s="426"/>
      <c r="T13" s="426"/>
      <c r="U13" s="426"/>
      <c r="V13" s="426"/>
      <c r="W13" s="426"/>
    </row>
    <row r="14" spans="1:30" ht="13.5" thickBot="1">
      <c r="A14" s="773"/>
      <c r="B14" s="166" t="s">
        <v>2</v>
      </c>
      <c r="C14" s="100">
        <f>SUM(C7:C13)</f>
        <v>13086</v>
      </c>
      <c r="D14" s="112">
        <f>SUM(D7:D13)</f>
        <v>0</v>
      </c>
      <c r="E14" s="113">
        <f>SUM(E5:E13)</f>
        <v>0</v>
      </c>
      <c r="F14" s="117">
        <f>SUM(F7:F13)</f>
        <v>18</v>
      </c>
      <c r="G14" s="160"/>
      <c r="H14" s="167"/>
      <c r="I14" s="168"/>
      <c r="J14" s="215" t="str">
        <f>+'28'!J14</f>
        <v>F 14 VP OW</v>
      </c>
      <c r="K14" s="240"/>
      <c r="L14" s="240"/>
      <c r="M14" s="118">
        <f>+K14+'28'!M14+L14</f>
        <v>231917</v>
      </c>
    </row>
    <row r="15" spans="1:30" ht="13.5" customHeight="1" thickBot="1">
      <c r="A15" s="771" t="s">
        <v>675</v>
      </c>
      <c r="B15" s="166"/>
      <c r="C15" s="114">
        <f>C14/($C$23+$D$23+$E$23)</f>
        <v>0.9187026116259478</v>
      </c>
      <c r="D15" s="115">
        <f>D14/($C$23+$D$23+$E$23)</f>
        <v>0</v>
      </c>
      <c r="E15" s="116">
        <f>E14/($C$23+$D$23+$E$23)</f>
        <v>0</v>
      </c>
      <c r="F15" s="229">
        <v>9</v>
      </c>
      <c r="G15" s="557" t="s">
        <v>12</v>
      </c>
      <c r="H15" s="558" t="s">
        <v>470</v>
      </c>
      <c r="I15" s="774" t="s">
        <v>406</v>
      </c>
      <c r="J15" s="215">
        <f>+'28'!J15</f>
        <v>0</v>
      </c>
      <c r="K15" s="240"/>
      <c r="L15" s="240"/>
      <c r="M15" s="118">
        <f>+K15+'28'!M15+L15</f>
        <v>0</v>
      </c>
      <c r="N15" s="416">
        <v>18</v>
      </c>
      <c r="O15" s="200">
        <v>1200</v>
      </c>
      <c r="P15" s="200">
        <v>850</v>
      </c>
      <c r="Q15" s="200">
        <v>680</v>
      </c>
      <c r="R15" s="417">
        <f>1-(Q15/P15)</f>
        <v>0.19999999999999996</v>
      </c>
      <c r="S15" s="418">
        <v>480</v>
      </c>
      <c r="T15" s="419">
        <v>256.5</v>
      </c>
      <c r="U15" s="420">
        <f>(O15*(1-R15)*N15*T15*S15)/100000000</f>
        <v>21.275136</v>
      </c>
      <c r="V15" s="421">
        <f>+C23/1000</f>
        <v>14.244</v>
      </c>
      <c r="W15" s="422">
        <f>SUM(V15:V17)/SUM(U15:U17)</f>
        <v>0.66951393401198467</v>
      </c>
    </row>
    <row r="16" spans="1:30" ht="13.5" thickBot="1">
      <c r="A16" s="777"/>
      <c r="B16" s="216" t="s">
        <v>386</v>
      </c>
      <c r="C16" s="223">
        <v>14244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+'28'!J16</f>
        <v>0</v>
      </c>
      <c r="K16" s="230"/>
      <c r="L16" s="230"/>
      <c r="M16" s="118">
        <f>+K16+'28'!M16+L16</f>
        <v>0</v>
      </c>
      <c r="N16" s="427"/>
      <c r="O16" s="200"/>
      <c r="P16" s="200"/>
      <c r="Q16" s="428"/>
      <c r="R16" s="417"/>
      <c r="S16" s="200"/>
      <c r="T16" s="419"/>
      <c r="U16" s="420"/>
      <c r="V16" s="421"/>
      <c r="W16" s="423"/>
    </row>
    <row r="17" spans="1:30" ht="13.5" thickBot="1">
      <c r="A17" s="777"/>
      <c r="B17" s="216"/>
      <c r="C17" s="217"/>
      <c r="D17" s="218"/>
      <c r="E17" s="226"/>
      <c r="F17" s="229">
        <v>20</v>
      </c>
      <c r="G17" s="559" t="s">
        <v>12</v>
      </c>
      <c r="H17" s="234" t="s">
        <v>442</v>
      </c>
      <c r="I17" s="775"/>
      <c r="J17" s="215">
        <f>+'28'!J17</f>
        <v>0</v>
      </c>
      <c r="K17" s="230"/>
      <c r="L17" s="230"/>
      <c r="M17" s="118">
        <f>+K17+'28'!M17+L17</f>
        <v>0</v>
      </c>
      <c r="N17" s="424"/>
      <c r="O17" s="200"/>
      <c r="R17" s="417"/>
      <c r="T17" s="419"/>
      <c r="U17" s="420"/>
      <c r="Y17" s="150" t="s">
        <v>404</v>
      </c>
      <c r="Z17" s="150">
        <v>1230</v>
      </c>
      <c r="AA17" s="150">
        <f>+Z17-Z17*0.23</f>
        <v>947.09999999999991</v>
      </c>
      <c r="AB17" s="150">
        <f>480-391</f>
        <v>89</v>
      </c>
      <c r="AC17" s="150">
        <f>+Z17*AB17</f>
        <v>109470</v>
      </c>
      <c r="AD17" s="150">
        <f>+AA17*AB17</f>
        <v>84291.9</v>
      </c>
    </row>
    <row r="18" spans="1:30" ht="13.5" thickBot="1">
      <c r="A18" s="777"/>
      <c r="B18" s="216"/>
      <c r="C18" s="217"/>
      <c r="D18" s="218"/>
      <c r="E18" s="226"/>
      <c r="F18" s="229"/>
      <c r="G18" s="230"/>
      <c r="H18" s="560" t="s">
        <v>677</v>
      </c>
      <c r="I18" s="775"/>
      <c r="J18" s="215">
        <f>+'28'!J18</f>
        <v>0</v>
      </c>
      <c r="K18" s="240"/>
      <c r="L18" s="240"/>
      <c r="M18" s="118">
        <f>+K18+'28'!M18+L18</f>
        <v>0</v>
      </c>
      <c r="N18" s="424"/>
      <c r="Y18" s="150" t="s">
        <v>404</v>
      </c>
      <c r="Z18" s="150">
        <v>1230</v>
      </c>
      <c r="AA18" s="150">
        <f>+Z18-Z18*0.23</f>
        <v>947.09999999999991</v>
      </c>
      <c r="AB18" s="150">
        <v>480</v>
      </c>
      <c r="AC18" s="150">
        <f t="shared" ref="AC18:AC21" si="3">+Z18*AB18</f>
        <v>590400</v>
      </c>
      <c r="AD18" s="150">
        <f t="shared" ref="AD18:AD21" si="4">+AA18*AB18</f>
        <v>454607.99999999994</v>
      </c>
    </row>
    <row r="19" spans="1:30" ht="26.25" thickBot="1">
      <c r="A19" s="777"/>
      <c r="B19" s="216"/>
      <c r="C19" s="217"/>
      <c r="D19" s="218"/>
      <c r="E19" s="226"/>
      <c r="F19" s="236"/>
      <c r="G19" s="233"/>
      <c r="H19" s="234" t="s">
        <v>678</v>
      </c>
      <c r="I19" s="775"/>
      <c r="J19" s="215">
        <f>+'28'!J19</f>
        <v>0</v>
      </c>
      <c r="K19" s="240"/>
      <c r="L19" s="240"/>
      <c r="M19" s="118">
        <f>+K19+'28'!M19+L19</f>
        <v>0</v>
      </c>
      <c r="N19" s="424"/>
      <c r="AA19" s="150">
        <f>+Z19-Z19*0.23</f>
        <v>0</v>
      </c>
      <c r="AC19" s="150">
        <f t="shared" si="3"/>
        <v>0</v>
      </c>
      <c r="AD19" s="150">
        <f t="shared" si="4"/>
        <v>0</v>
      </c>
    </row>
    <row r="20" spans="1:30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+'28'!J20</f>
        <v>0</v>
      </c>
      <c r="K20" s="241"/>
      <c r="L20" s="241"/>
      <c r="M20" s="118">
        <f>+K20+'28'!M20+L20</f>
        <v>0</v>
      </c>
      <c r="N20" s="424"/>
      <c r="AA20" s="150">
        <f t="shared" ref="AA20:AA21" si="5">+Z20-Z20*0.25</f>
        <v>0</v>
      </c>
      <c r="AC20" s="150">
        <f t="shared" si="3"/>
        <v>0</v>
      </c>
      <c r="AD20" s="150">
        <f t="shared" si="4"/>
        <v>0</v>
      </c>
    </row>
    <row r="21" spans="1:30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+'28'!J21</f>
        <v>0</v>
      </c>
      <c r="K21" s="240"/>
      <c r="L21" s="240"/>
      <c r="M21" s="118">
        <f>+K21+'28'!M21+L21</f>
        <v>0</v>
      </c>
      <c r="N21" s="425"/>
      <c r="O21" s="426"/>
      <c r="P21" s="426"/>
      <c r="Q21" s="426"/>
      <c r="R21" s="426"/>
      <c r="S21" s="426"/>
      <c r="T21" s="426"/>
      <c r="U21" s="426"/>
      <c r="V21" s="426"/>
      <c r="W21" s="426"/>
      <c r="AA21" s="150">
        <f t="shared" si="5"/>
        <v>0</v>
      </c>
      <c r="AC21" s="150">
        <f t="shared" si="3"/>
        <v>0</v>
      </c>
      <c r="AD21" s="150">
        <f t="shared" si="4"/>
        <v>0</v>
      </c>
    </row>
    <row r="22" spans="1:30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+'28'!J22</f>
        <v>0</v>
      </c>
      <c r="K22" s="240"/>
      <c r="L22" s="240"/>
      <c r="M22" s="118">
        <f>+K22+'28'!M22+L22</f>
        <v>0</v>
      </c>
      <c r="AB22" s="150">
        <f>SUM(AB17:AB21)</f>
        <v>569</v>
      </c>
      <c r="AC22" s="150">
        <f>SUM(AC17:AC21)</f>
        <v>699870</v>
      </c>
      <c r="AD22" s="150">
        <f>SUM(AD17:AD21)</f>
        <v>538899.89999999991</v>
      </c>
    </row>
    <row r="23" spans="1:30" ht="13.5" thickBot="1">
      <c r="A23" s="778"/>
      <c r="B23" s="169" t="s">
        <v>2</v>
      </c>
      <c r="C23" s="101">
        <f>SUM(C16:C22)</f>
        <v>14244</v>
      </c>
      <c r="D23" s="112">
        <f>SUM(D16:D22)</f>
        <v>0</v>
      </c>
      <c r="E23" s="113">
        <f>SUM(E18:E22)</f>
        <v>0</v>
      </c>
      <c r="F23" s="117">
        <f>SUM(F15:F22)</f>
        <v>29</v>
      </c>
      <c r="G23" s="160"/>
      <c r="H23" s="167"/>
      <c r="I23" s="170"/>
      <c r="J23" s="215">
        <f>+'28'!J23</f>
        <v>0</v>
      </c>
      <c r="K23" s="240"/>
      <c r="L23" s="240"/>
      <c r="M23" s="118">
        <f>+K23+'28'!M23+L23</f>
        <v>0</v>
      </c>
      <c r="N23" s="429"/>
      <c r="O23" s="430"/>
      <c r="P23" s="430"/>
      <c r="Q23" s="430"/>
      <c r="R23" s="430"/>
      <c r="S23" s="430"/>
      <c r="T23" s="430"/>
      <c r="U23" s="430"/>
      <c r="V23" s="430"/>
      <c r="W23" s="430"/>
      <c r="Z23" s="150" t="s">
        <v>402</v>
      </c>
      <c r="AC23" s="150">
        <f>+AC22/AB22</f>
        <v>1230</v>
      </c>
      <c r="AD23" s="150">
        <f>+AD22/AB22</f>
        <v>947.0999999999998</v>
      </c>
    </row>
    <row r="24" spans="1:30" ht="13.5" customHeight="1" thickBot="1">
      <c r="A24" s="771" t="s">
        <v>674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8</v>
      </c>
      <c r="G24" s="557" t="s">
        <v>12</v>
      </c>
      <c r="H24" s="558" t="s">
        <v>470</v>
      </c>
      <c r="I24" s="774" t="s">
        <v>406</v>
      </c>
      <c r="J24" s="215">
        <f>+'28'!J24</f>
        <v>0</v>
      </c>
      <c r="K24" s="240"/>
      <c r="L24" s="240"/>
      <c r="M24" s="118">
        <f>+K24+'28'!M24+L24</f>
        <v>0</v>
      </c>
      <c r="N24" s="416">
        <v>18</v>
      </c>
      <c r="O24" s="200">
        <v>1200</v>
      </c>
      <c r="P24" s="200">
        <v>770</v>
      </c>
      <c r="Q24" s="200">
        <v>616</v>
      </c>
      <c r="R24" s="417">
        <f>1-(Q24/P24)</f>
        <v>0.19999999999999996</v>
      </c>
      <c r="S24" s="418">
        <v>480</v>
      </c>
      <c r="T24" s="419">
        <v>256.5</v>
      </c>
      <c r="U24" s="420">
        <f>(O24*(1-R24)*N24*T24*S24)/100000000</f>
        <v>21.275136</v>
      </c>
      <c r="V24" s="421">
        <f>+C32/1000</f>
        <v>14.266999999999999</v>
      </c>
      <c r="W24" s="422">
        <f>SUM(V24:V25)/SUM(U24:U25)</f>
        <v>0.67059500818232132</v>
      </c>
    </row>
    <row r="25" spans="1:30" ht="13.5" customHeight="1" thickBot="1">
      <c r="A25" s="777"/>
      <c r="B25" s="216" t="s">
        <v>386</v>
      </c>
      <c r="C25" s="227">
        <f>261+226</f>
        <v>487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+'28'!J25</f>
        <v>0</v>
      </c>
      <c r="K25" s="240"/>
      <c r="L25" s="240"/>
      <c r="M25" s="118">
        <f>+K25+'28'!M25+L25</f>
        <v>0</v>
      </c>
      <c r="N25" s="416"/>
      <c r="O25" s="200"/>
      <c r="P25" s="200"/>
      <c r="Q25" s="200"/>
      <c r="R25" s="417"/>
      <c r="S25" s="418"/>
      <c r="T25" s="419"/>
      <c r="U25" s="420"/>
      <c r="V25" s="421"/>
      <c r="W25" s="422"/>
    </row>
    <row r="26" spans="1:30" ht="13.5" customHeight="1" thickBot="1">
      <c r="A26" s="777"/>
      <c r="B26" s="216" t="s">
        <v>425</v>
      </c>
      <c r="C26" s="227">
        <f>11284+2496</f>
        <v>13780</v>
      </c>
      <c r="D26" s="218"/>
      <c r="E26" s="228"/>
      <c r="F26" s="229">
        <f>27-8</f>
        <v>19</v>
      </c>
      <c r="G26" s="559" t="s">
        <v>12</v>
      </c>
      <c r="H26" s="234" t="s">
        <v>409</v>
      </c>
      <c r="I26" s="775"/>
      <c r="J26" s="215">
        <f>+'28'!J26</f>
        <v>0</v>
      </c>
      <c r="K26" s="240"/>
      <c r="L26" s="240"/>
      <c r="M26" s="118">
        <f>+K26+'28'!M26+L26</f>
        <v>0</v>
      </c>
    </row>
    <row r="27" spans="1:30" ht="13.5" customHeight="1" thickBot="1">
      <c r="A27" s="777"/>
      <c r="B27" s="216"/>
      <c r="C27" s="217"/>
      <c r="D27" s="218"/>
      <c r="E27" s="226"/>
      <c r="F27" s="229"/>
      <c r="G27" s="230"/>
      <c r="H27" s="560" t="s">
        <v>676</v>
      </c>
      <c r="I27" s="775"/>
      <c r="J27" s="215">
        <f>+'28'!J27</f>
        <v>0</v>
      </c>
      <c r="K27" s="240"/>
      <c r="L27" s="240"/>
      <c r="M27" s="118">
        <f>+K27+'28'!M27+L27</f>
        <v>0</v>
      </c>
    </row>
    <row r="28" spans="1:30" ht="13.5" customHeight="1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+'28'!J28</f>
        <v>0</v>
      </c>
      <c r="K28" s="240"/>
      <c r="L28" s="240"/>
      <c r="M28" s="118">
        <f>+K28+'28'!M28+L28</f>
        <v>0</v>
      </c>
      <c r="X28" s="150" t="s">
        <v>437</v>
      </c>
      <c r="Y28" s="150">
        <v>1230</v>
      </c>
      <c r="Z28" s="150">
        <f>+Y28-Y28*0.23</f>
        <v>947.09999999999991</v>
      </c>
      <c r="AA28" s="150">
        <v>871</v>
      </c>
    </row>
    <row r="29" spans="1:30" ht="13.5" customHeight="1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+'28'!J29</f>
        <v>0</v>
      </c>
      <c r="K29" s="240"/>
      <c r="L29" s="240"/>
      <c r="M29" s="118">
        <f>+K29+'28'!M29+L29</f>
        <v>0</v>
      </c>
      <c r="X29" s="150" t="s">
        <v>404</v>
      </c>
      <c r="Y29" s="150">
        <v>1230</v>
      </c>
      <c r="Z29" s="150">
        <f>+Y29-Y29*0.23</f>
        <v>947.09999999999991</v>
      </c>
      <c r="AA29" s="150">
        <v>569</v>
      </c>
    </row>
    <row r="30" spans="1:30" ht="13.5" customHeight="1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+'28'!J30</f>
        <v>0</v>
      </c>
      <c r="K30" s="240"/>
      <c r="L30" s="240"/>
      <c r="M30" s="118">
        <f>+K30+'28'!M30+L30</f>
        <v>0</v>
      </c>
      <c r="N30" s="156"/>
      <c r="AA30" s="150">
        <f>+AA28+AA29</f>
        <v>1440</v>
      </c>
    </row>
    <row r="31" spans="1:30" ht="13.5" customHeight="1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+'28'!J31</f>
        <v>0</v>
      </c>
      <c r="K31" s="240"/>
      <c r="L31" s="240"/>
      <c r="M31" s="118">
        <f>+K31+'28'!M31+L31</f>
        <v>0</v>
      </c>
    </row>
    <row r="32" spans="1:30" ht="13.5" customHeight="1" thickBot="1">
      <c r="A32" s="778"/>
      <c r="B32" s="166" t="s">
        <v>2</v>
      </c>
      <c r="C32" s="100">
        <f>SUM(C25:C31)</f>
        <v>14267</v>
      </c>
      <c r="D32" s="101">
        <f>SUM(D25:D31)</f>
        <v>0</v>
      </c>
      <c r="E32" s="102">
        <f>SUM(E25:E31)</f>
        <v>0</v>
      </c>
      <c r="F32" s="103">
        <f>SUM(F24:F31)</f>
        <v>27</v>
      </c>
      <c r="G32" s="172"/>
      <c r="H32" s="173"/>
      <c r="I32" s="170"/>
      <c r="J32" s="215">
        <f>+'28'!J32</f>
        <v>0</v>
      </c>
      <c r="K32" s="242"/>
      <c r="L32" s="244"/>
      <c r="M32" s="118">
        <f>+K32+'28'!M32+L32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67" t="s">
        <v>57</v>
      </c>
      <c r="B34" s="768"/>
      <c r="C34" s="108">
        <f>C14+C23+C32</f>
        <v>41597</v>
      </c>
      <c r="D34" s="108">
        <f>D14+D23+D32</f>
        <v>0</v>
      </c>
      <c r="E34" s="108">
        <f>E14+E23+E32</f>
        <v>0</v>
      </c>
      <c r="F34" s="109">
        <f>F14+F23+F32</f>
        <v>74</v>
      </c>
      <c r="H34" s="179"/>
      <c r="I34" s="179"/>
      <c r="J34" s="124" t="s">
        <v>28</v>
      </c>
      <c r="K34" s="125">
        <f>SUM(K7:K32)</f>
        <v>41597</v>
      </c>
      <c r="L34" s="213">
        <f>SUM(L7:L32)</f>
        <v>0</v>
      </c>
      <c r="M34" s="121">
        <f>SUM(M7:M32)</f>
        <v>1163122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4" ht="13.5" thickBot="1">
      <c r="A36" s="179"/>
      <c r="B36" s="179"/>
      <c r="C36" s="156"/>
      <c r="D36" s="156"/>
      <c r="E36" s="156"/>
      <c r="G36" s="156"/>
      <c r="H36" s="182" t="s">
        <v>0</v>
      </c>
      <c r="I36" s="163" t="s">
        <v>37</v>
      </c>
      <c r="J36" s="163" t="s">
        <v>38</v>
      </c>
      <c r="K36" s="183"/>
    </row>
    <row r="37" spans="1:14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(12*871+569*13)/1440*G42*2.74*1440/1000000</f>
        <v>46.319118845999988</v>
      </c>
      <c r="J37" s="126">
        <f>+I37+'28'!J37</f>
        <v>1317.7189858445818</v>
      </c>
      <c r="K37" s="127" t="s">
        <v>63</v>
      </c>
    </row>
    <row r="38" spans="1:14" ht="17.45" customHeight="1">
      <c r="A38" s="761" t="s">
        <v>12</v>
      </c>
      <c r="B38" s="762"/>
      <c r="C38" s="165">
        <f>SUMIF($G$7:$G$31,"Process",$F$7:$F$31)</f>
        <v>74</v>
      </c>
      <c r="D38" s="119">
        <f>+C38+'28'!D38</f>
        <v>2199</v>
      </c>
      <c r="E38" s="144">
        <f t="shared" ref="E38:E51" si="6">D38/60</f>
        <v>36.65</v>
      </c>
      <c r="F38" s="323">
        <v>1230</v>
      </c>
      <c r="G38" s="323">
        <v>947.0999999999998</v>
      </c>
      <c r="H38" s="188" t="s">
        <v>64</v>
      </c>
      <c r="I38" s="246">
        <f>13.673+13.958+15.337</f>
        <v>42.968000000000004</v>
      </c>
      <c r="J38" s="128">
        <f>+I38+'28'!J38</f>
        <v>1198.9690000000001</v>
      </c>
      <c r="K38" s="129" t="s">
        <v>63</v>
      </c>
    </row>
    <row r="39" spans="1:14" ht="17.45" customHeight="1">
      <c r="A39" s="765" t="s">
        <v>13</v>
      </c>
      <c r="B39" s="766"/>
      <c r="C39" s="165">
        <f>SUMIF($G$7:$G$31,"Cleaning",$F$7:$F$31)</f>
        <v>0</v>
      </c>
      <c r="D39" s="119">
        <f>+C39+'28'!D39</f>
        <v>0</v>
      </c>
      <c r="E39" s="144">
        <f t="shared" si="6"/>
        <v>0</v>
      </c>
      <c r="F39" s="323">
        <v>1230</v>
      </c>
      <c r="G39" s="323">
        <v>947.0999999999998</v>
      </c>
      <c r="H39" s="188" t="s">
        <v>65</v>
      </c>
      <c r="I39" s="143"/>
      <c r="J39" s="130">
        <f>J37/G4</f>
        <v>45.438585718778683</v>
      </c>
      <c r="K39" s="131" t="s">
        <v>63</v>
      </c>
    </row>
    <row r="40" spans="1:14" ht="17.45" customHeight="1">
      <c r="A40" s="765" t="s">
        <v>66</v>
      </c>
      <c r="B40" s="766"/>
      <c r="C40" s="165">
        <f>SUMIF($G$7:$G$31,"Mechanical",$F$7:$F$31)</f>
        <v>0</v>
      </c>
      <c r="D40" s="119">
        <f>+C40+'28'!D40</f>
        <v>0</v>
      </c>
      <c r="E40" s="144">
        <f t="shared" si="6"/>
        <v>0</v>
      </c>
      <c r="F40" s="323">
        <v>1230</v>
      </c>
      <c r="G40" s="323">
        <v>947.0999999999998</v>
      </c>
      <c r="H40" s="188" t="s">
        <v>67</v>
      </c>
      <c r="I40" s="119">
        <f>(K34+L34)/1000</f>
        <v>41.597000000000001</v>
      </c>
      <c r="J40" s="132">
        <f>+I40+'28'!J40</f>
        <v>1163.1220000000003</v>
      </c>
      <c r="K40" s="131" t="s">
        <v>63</v>
      </c>
    </row>
    <row r="41" spans="1:14" ht="17.45" customHeight="1">
      <c r="A41" s="765" t="s">
        <v>68</v>
      </c>
      <c r="B41" s="766"/>
      <c r="C41" s="165">
        <f>SUMIF($G$7:$G$31,"Electrical",$F$7:$F$31)</f>
        <v>0</v>
      </c>
      <c r="D41" s="119">
        <f>+C41+'28'!D41</f>
        <v>700</v>
      </c>
      <c r="E41" s="144">
        <f t="shared" si="6"/>
        <v>11.666666666666666</v>
      </c>
      <c r="F41" s="323"/>
      <c r="G41" s="323"/>
      <c r="H41" s="188" t="s">
        <v>69</v>
      </c>
      <c r="I41" s="143"/>
      <c r="J41" s="130">
        <f>J40/G4</f>
        <v>40.1076551724138</v>
      </c>
      <c r="K41" s="131" t="s">
        <v>63</v>
      </c>
    </row>
    <row r="42" spans="1:14" ht="17.45" customHeight="1">
      <c r="A42" s="765" t="s">
        <v>16</v>
      </c>
      <c r="B42" s="766"/>
      <c r="C42" s="165">
        <f>SUMIF($G$7:$G$31,"Instrument",$F$7:$F$31)</f>
        <v>0</v>
      </c>
      <c r="D42" s="119">
        <f>+C42+'28'!D42</f>
        <v>0</v>
      </c>
      <c r="E42" s="144">
        <f t="shared" si="6"/>
        <v>0</v>
      </c>
      <c r="F42" s="323">
        <f>+(480*F38+480*F39+480*F40)/1440</f>
        <v>1230</v>
      </c>
      <c r="G42" s="323">
        <f>+(480*G38+480*G39+480*G40)/1440</f>
        <v>947.09999999999968</v>
      </c>
      <c r="H42" s="188" t="s">
        <v>70</v>
      </c>
      <c r="I42" s="247" t="s">
        <v>406</v>
      </c>
      <c r="J42" s="133"/>
      <c r="K42" s="131" t="s">
        <v>71</v>
      </c>
    </row>
    <row r="43" spans="1:14" ht="17.45" customHeight="1">
      <c r="A43" s="765" t="s">
        <v>72</v>
      </c>
      <c r="B43" s="766"/>
      <c r="C43" s="165">
        <f>SUMIF($G$7:$G$31,"Water",$F$7:$F$31)</f>
        <v>0</v>
      </c>
      <c r="D43" s="119">
        <f>+C43+'28'!D43</f>
        <v>0</v>
      </c>
      <c r="E43" s="144">
        <f t="shared" si="6"/>
        <v>0</v>
      </c>
      <c r="F43" s="323"/>
      <c r="G43" s="324"/>
      <c r="H43" s="189" t="s">
        <v>73</v>
      </c>
      <c r="I43" s="119">
        <f>+Report1!Z37</f>
        <v>60.6</v>
      </c>
      <c r="J43" s="134">
        <f>+I43+'28'!J43</f>
        <v>1740.2999999999997</v>
      </c>
      <c r="K43" s="131" t="s">
        <v>63</v>
      </c>
      <c r="L43" s="190"/>
    </row>
    <row r="44" spans="1:14" ht="17.45" customHeight="1">
      <c r="A44" s="765" t="s">
        <v>17</v>
      </c>
      <c r="B44" s="766"/>
      <c r="C44" s="165">
        <f>SUMIF($G$7:$G$31,"PLN",$F$7:$F$31)</f>
        <v>0</v>
      </c>
      <c r="D44" s="119">
        <f>+C44+'28'!D44</f>
        <v>0</v>
      </c>
      <c r="E44" s="144">
        <f t="shared" si="6"/>
        <v>0</v>
      </c>
      <c r="F44" s="323"/>
      <c r="G44" s="324"/>
      <c r="H44" s="189" t="s">
        <v>74</v>
      </c>
      <c r="I44" s="119">
        <f>I43/I38</f>
        <v>1.4103518897784397</v>
      </c>
      <c r="J44" s="135">
        <f>J43/J38</f>
        <v>1.4514970779061007</v>
      </c>
      <c r="K44" s="131" t="s">
        <v>63</v>
      </c>
    </row>
    <row r="45" spans="1:14" ht="17.45" customHeight="1">
      <c r="A45" s="765" t="s">
        <v>18</v>
      </c>
      <c r="B45" s="766"/>
      <c r="C45" s="165">
        <f>SUMIF($G$7:$G$31,"Boiler",$F$7:$F$31)</f>
        <v>0</v>
      </c>
      <c r="D45" s="119">
        <f>+C45+'28'!D45</f>
        <v>0</v>
      </c>
      <c r="E45" s="144">
        <f t="shared" si="6"/>
        <v>0</v>
      </c>
      <c r="F45" s="323"/>
      <c r="G45" s="326"/>
      <c r="H45" s="189" t="s">
        <v>75</v>
      </c>
      <c r="I45" s="119">
        <f>I43/I40</f>
        <v>1.4568358295069357</v>
      </c>
      <c r="J45" s="135">
        <f>J43/J40</f>
        <v>1.4962316936658402</v>
      </c>
      <c r="K45" s="131" t="s">
        <v>63</v>
      </c>
    </row>
    <row r="46" spans="1:14" ht="17.45" customHeight="1">
      <c r="A46" s="765" t="s">
        <v>76</v>
      </c>
      <c r="B46" s="766"/>
      <c r="C46" s="165">
        <f>SUMIF($G$7:$G$31,"Gas",$F$7:$F$31)</f>
        <v>0</v>
      </c>
      <c r="D46" s="119">
        <f>+C46+'28'!D46</f>
        <v>0</v>
      </c>
      <c r="E46" s="144">
        <f t="shared" si="6"/>
        <v>0</v>
      </c>
      <c r="F46" s="323"/>
      <c r="G46" s="324"/>
      <c r="H46" s="189" t="s">
        <v>77</v>
      </c>
      <c r="I46" s="141">
        <f>+SUMIF(Listrik!P36,"&gt;0")</f>
        <v>39176.89999999891</v>
      </c>
      <c r="J46" s="136">
        <f>+I46+'28'!J46</f>
        <v>1034168.8799999991</v>
      </c>
      <c r="K46" s="131" t="s">
        <v>78</v>
      </c>
    </row>
    <row r="47" spans="1:14" ht="17.45" customHeight="1">
      <c r="A47" s="765" t="s">
        <v>79</v>
      </c>
      <c r="B47" s="766"/>
      <c r="C47" s="165">
        <f>SUMIF($G$7:$G$31,"Gas",$F$7:$F$31)</f>
        <v>0</v>
      </c>
      <c r="D47" s="119">
        <f>+C47+'28'!D47</f>
        <v>0</v>
      </c>
      <c r="E47" s="144">
        <f t="shared" si="6"/>
        <v>0</v>
      </c>
      <c r="F47" s="323"/>
      <c r="G47" s="324"/>
      <c r="H47" s="189" t="s">
        <v>80</v>
      </c>
      <c r="I47" s="119">
        <f>I46/I38</f>
        <v>911.76922360824119</v>
      </c>
      <c r="J47" s="136">
        <f>J46/J38</f>
        <v>862.54847289629595</v>
      </c>
      <c r="K47" s="131" t="s">
        <v>24</v>
      </c>
    </row>
    <row r="48" spans="1:14" ht="17.45" customHeight="1">
      <c r="A48" s="765" t="s">
        <v>14</v>
      </c>
      <c r="B48" s="766"/>
      <c r="C48" s="165">
        <f>SUMIF($G$7:$G$31,"Start Up",$F$7:$F$31)</f>
        <v>0</v>
      </c>
      <c r="D48" s="119">
        <f>+C48+'28'!D48</f>
        <v>0</v>
      </c>
      <c r="E48" s="144">
        <f t="shared" si="6"/>
        <v>0</v>
      </c>
      <c r="F48" s="323"/>
      <c r="G48" s="324"/>
      <c r="H48" s="189" t="s">
        <v>81</v>
      </c>
      <c r="I48" s="119">
        <f>I46/I40</f>
        <v>941.82032358100128</v>
      </c>
      <c r="J48" s="136">
        <f>J46/J40</f>
        <v>889.13190533753016</v>
      </c>
      <c r="K48" s="131" t="s">
        <v>24</v>
      </c>
    </row>
    <row r="49" spans="1:23" ht="17.45" customHeight="1">
      <c r="A49" s="779" t="s">
        <v>20</v>
      </c>
      <c r="B49" s="766"/>
      <c r="C49" s="165">
        <f>SUMIF($G$7:$G$31,"Others",$F$7:$F$31)</f>
        <v>0</v>
      </c>
      <c r="D49" s="119">
        <f>+C49+'28'!D49</f>
        <v>301</v>
      </c>
      <c r="E49" s="144">
        <f t="shared" si="6"/>
        <v>5.0166666666666666</v>
      </c>
      <c r="F49" s="186"/>
      <c r="H49" s="189" t="s">
        <v>269</v>
      </c>
      <c r="I49" s="119">
        <f>+Report1!T37</f>
        <v>3825.5265426741357</v>
      </c>
      <c r="J49" s="136">
        <f>+I49+'28'!J49</f>
        <v>115203.59867536977</v>
      </c>
      <c r="K49" s="131" t="s">
        <v>82</v>
      </c>
    </row>
    <row r="50" spans="1:23" ht="17.45" customHeight="1">
      <c r="A50" s="765" t="s">
        <v>19</v>
      </c>
      <c r="B50" s="766"/>
      <c r="C50" s="165">
        <f>SUMIF($G$7:$G$31,"Steam",$F$7:$F$31)</f>
        <v>0</v>
      </c>
      <c r="D50" s="119">
        <f>+C50+'28'!D50</f>
        <v>0</v>
      </c>
      <c r="E50" s="144">
        <f t="shared" si="6"/>
        <v>0</v>
      </c>
      <c r="F50" s="186"/>
      <c r="H50" s="189" t="s">
        <v>83</v>
      </c>
      <c r="I50" s="141">
        <f>I49/I38</f>
        <v>89.03198991514931</v>
      </c>
      <c r="J50" s="134">
        <f>J49/J38</f>
        <v>96.08555239991172</v>
      </c>
      <c r="K50" s="131" t="s">
        <v>82</v>
      </c>
    </row>
    <row r="51" spans="1:23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+C51+'28'!D51</f>
        <v>1000</v>
      </c>
      <c r="E51" s="144">
        <f t="shared" si="6"/>
        <v>16.666666666666668</v>
      </c>
      <c r="F51" s="186"/>
      <c r="H51" s="191" t="s">
        <v>85</v>
      </c>
      <c r="I51" s="142">
        <f>I49/I40</f>
        <v>91.966404853093621</v>
      </c>
      <c r="J51" s="137">
        <f>J49/J40</f>
        <v>99.046874425356705</v>
      </c>
      <c r="K51" s="138" t="s">
        <v>82</v>
      </c>
    </row>
    <row r="52" spans="1:23" ht="13.5" thickBot="1">
      <c r="A52" s="761" t="s">
        <v>28</v>
      </c>
      <c r="B52" s="762"/>
      <c r="C52" s="145">
        <f>SUM(C38:C51)</f>
        <v>74</v>
      </c>
      <c r="D52" s="145">
        <f>SUM(D38:D51)</f>
        <v>4200</v>
      </c>
      <c r="E52" s="146">
        <f>SUM(E38:E51)</f>
        <v>70</v>
      </c>
      <c r="F52" s="186"/>
      <c r="H52" s="192"/>
      <c r="I52" s="193"/>
      <c r="J52" s="139"/>
      <c r="K52" s="140"/>
    </row>
    <row r="53" spans="1:23" ht="13.5" thickBot="1">
      <c r="A53" s="763"/>
      <c r="B53" s="764"/>
      <c r="C53" s="147">
        <f>C52/(24*60)</f>
        <v>5.1388888888888887E-2</v>
      </c>
      <c r="D53" s="147">
        <f>D52/(24*60*G4)</f>
        <v>0.10057471264367816</v>
      </c>
      <c r="E53" s="148">
        <f>E52/(G4*24)</f>
        <v>0.10057471264367816</v>
      </c>
      <c r="F53" s="186"/>
    </row>
    <row r="54" spans="1:23">
      <c r="E54" s="194"/>
      <c r="F54" s="186"/>
    </row>
    <row r="55" spans="1:23">
      <c r="E55" s="194"/>
    </row>
    <row r="56" spans="1:23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+D34+'28'!J56</f>
        <v>1299</v>
      </c>
      <c r="K56" s="202">
        <f>J56/(J40+J56/1000)/1000</f>
        <v>1.115575895659731E-3</v>
      </c>
    </row>
    <row r="57" spans="1:23">
      <c r="A57" s="177"/>
      <c r="I57" s="200" t="s">
        <v>88</v>
      </c>
      <c r="J57" s="201">
        <f>+E34+'28'!J57</f>
        <v>0</v>
      </c>
      <c r="K57" s="202">
        <f>J57/(J40+J57/1000)/1000</f>
        <v>0</v>
      </c>
    </row>
    <row r="58" spans="1:23">
      <c r="A58" s="203"/>
      <c r="B58" s="204"/>
      <c r="F58" s="186"/>
      <c r="H58" s="205"/>
    </row>
    <row r="59" spans="1:23">
      <c r="A59" s="206"/>
      <c r="B59" s="177"/>
      <c r="C59" s="177"/>
      <c r="D59" s="177"/>
      <c r="E59" s="177"/>
      <c r="F59" s="190"/>
      <c r="G59" s="177"/>
      <c r="H59" s="205"/>
    </row>
    <row r="60" spans="1:23">
      <c r="H60" s="205"/>
    </row>
    <row r="61" spans="1:23">
      <c r="A61" s="207"/>
      <c r="B61" s="208"/>
      <c r="C61" s="208"/>
      <c r="D61" s="208"/>
      <c r="E61" s="208"/>
      <c r="F61" s="209"/>
      <c r="G61" s="208"/>
      <c r="H61" s="210"/>
      <c r="W61" s="150" t="s">
        <v>0</v>
      </c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zoomScale="80" zoomScaleNormal="80" workbookViewId="0">
      <selection activeCell="A7" sqref="A7:A3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5.42578125" style="150" customWidth="1"/>
    <col min="14" max="15" width="0" style="150" hidden="1" customWidth="1"/>
    <col min="16" max="16" width="10.28515625" style="150" hidden="1" customWidth="1"/>
    <col min="17" max="17" width="9.28515625" style="150" hidden="1" customWidth="1"/>
    <col min="18" max="23" width="0" style="150" hidden="1" customWidth="1"/>
    <col min="24" max="16384" width="9.140625" style="150"/>
  </cols>
  <sheetData>
    <row r="1" spans="1:29" ht="15.75">
      <c r="A1" s="149"/>
    </row>
    <row r="2" spans="1:29" ht="15.75">
      <c r="A2" s="149" t="s">
        <v>182</v>
      </c>
    </row>
    <row r="3" spans="1:29" ht="15">
      <c r="A3" s="151"/>
    </row>
    <row r="4" spans="1:29" ht="20.25">
      <c r="A4" s="152" t="s">
        <v>3</v>
      </c>
      <c r="B4" s="153"/>
      <c r="F4" s="154" t="s">
        <v>29</v>
      </c>
      <c r="G4" s="155">
        <v>28</v>
      </c>
      <c r="H4" s="155" t="str">
        <f>+'1'!H4</f>
        <v>.07.25</v>
      </c>
      <c r="J4" s="150">
        <f>521+460+474</f>
        <v>1455</v>
      </c>
    </row>
    <row r="5" spans="1:29" ht="13.5" thickBot="1">
      <c r="C5" s="156"/>
      <c r="D5" s="156"/>
    </row>
    <row r="6" spans="1:2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82" t="s">
        <v>92</v>
      </c>
      <c r="O6" s="414" t="s">
        <v>189</v>
      </c>
      <c r="P6" s="414" t="s">
        <v>189</v>
      </c>
      <c r="Q6" s="414" t="s">
        <v>190</v>
      </c>
      <c r="R6" s="414" t="s">
        <v>191</v>
      </c>
      <c r="S6" s="414" t="s">
        <v>192</v>
      </c>
      <c r="T6" s="414" t="s">
        <v>187</v>
      </c>
      <c r="U6" s="415" t="s">
        <v>193</v>
      </c>
      <c r="V6" s="414" t="s">
        <v>194</v>
      </c>
      <c r="W6" s="414" t="s">
        <v>188</v>
      </c>
      <c r="X6" s="150" t="s">
        <v>437</v>
      </c>
      <c r="Y6" s="150">
        <v>1230</v>
      </c>
      <c r="Z6" s="150">
        <f>+Y6-Y6*0.23</f>
        <v>947.09999999999991</v>
      </c>
      <c r="AA6" s="150">
        <v>480</v>
      </c>
      <c r="AB6" s="150">
        <f>+Y6*AA6</f>
        <v>590400</v>
      </c>
      <c r="AC6" s="150">
        <f>+Z6*AA6</f>
        <v>454607.99999999994</v>
      </c>
    </row>
    <row r="7" spans="1:29" ht="13.5" customHeight="1" thickBot="1">
      <c r="A7" s="771" t="s">
        <v>423</v>
      </c>
      <c r="B7" s="216" t="s">
        <v>622</v>
      </c>
      <c r="C7" s="217">
        <f>679+800</f>
        <v>1479</v>
      </c>
      <c r="D7" s="218"/>
      <c r="E7" s="219"/>
      <c r="F7" s="229"/>
      <c r="G7" s="557" t="s">
        <v>12</v>
      </c>
      <c r="H7" s="558" t="s">
        <v>383</v>
      </c>
      <c r="I7" s="774" t="s">
        <v>406</v>
      </c>
      <c r="J7" s="215" t="str">
        <f>+'27'!J7</f>
        <v>T 12,5 VP OW</v>
      </c>
      <c r="K7" s="239"/>
      <c r="L7" s="243"/>
      <c r="M7" s="118">
        <f>+K7+'27'!M7+L7</f>
        <v>106521</v>
      </c>
      <c r="N7" s="416">
        <v>14.5</v>
      </c>
      <c r="O7" s="200">
        <v>1200</v>
      </c>
      <c r="P7" s="200">
        <v>1120</v>
      </c>
      <c r="Q7" s="200">
        <v>896</v>
      </c>
      <c r="R7" s="417">
        <f>1-(Q7/P7)</f>
        <v>0.19999999999999996</v>
      </c>
      <c r="S7" s="418">
        <v>45</v>
      </c>
      <c r="T7" s="419">
        <v>256.5</v>
      </c>
      <c r="U7" s="420">
        <f>(O7*(1-R7)*N7*T7*S7)/100000000</f>
        <v>1.606716</v>
      </c>
      <c r="V7" s="421">
        <f>+C14/1000</f>
        <v>10.648</v>
      </c>
      <c r="W7" s="422">
        <f>SUM(V7:V9)/SUM(U7:U9)</f>
        <v>0.50978326168216603</v>
      </c>
      <c r="Y7" s="150">
        <v>1230</v>
      </c>
      <c r="Z7" s="150">
        <f>+Y7-Y7*0.23</f>
        <v>947.09999999999991</v>
      </c>
      <c r="AA7" s="150">
        <v>480</v>
      </c>
      <c r="AB7" s="150">
        <f t="shared" ref="AB7:AB10" si="0">+Y7*AA7</f>
        <v>590400</v>
      </c>
      <c r="AC7" s="150">
        <f t="shared" ref="AC7:AC10" si="1">+Z7*AA7</f>
        <v>454607.99999999994</v>
      </c>
    </row>
    <row r="8" spans="1:29" ht="13.5" thickBot="1">
      <c r="A8" s="772"/>
      <c r="B8" s="216" t="s">
        <v>386</v>
      </c>
      <c r="C8" s="217">
        <f>10648-C7</f>
        <v>9169</v>
      </c>
      <c r="D8" s="218"/>
      <c r="E8" s="220"/>
      <c r="F8" s="232">
        <v>6</v>
      </c>
      <c r="G8" s="559" t="s">
        <v>12</v>
      </c>
      <c r="H8" s="231" t="s">
        <v>385</v>
      </c>
      <c r="I8" s="775"/>
      <c r="J8" s="215" t="str">
        <f>+'27'!J8</f>
        <v>F 13 VP OW</v>
      </c>
      <c r="K8" s="240"/>
      <c r="L8" s="240"/>
      <c r="M8" s="118">
        <f>+K8+'27'!M8+L8</f>
        <v>268085</v>
      </c>
      <c r="N8" s="416">
        <v>18</v>
      </c>
      <c r="O8" s="200">
        <v>1200</v>
      </c>
      <c r="P8" s="200">
        <v>930</v>
      </c>
      <c r="Q8" s="200">
        <v>744</v>
      </c>
      <c r="R8" s="417">
        <f>1-(Q8/P8)</f>
        <v>0.19999999999999996</v>
      </c>
      <c r="S8" s="418">
        <f>480-S7</f>
        <v>435</v>
      </c>
      <c r="T8" s="419">
        <v>256.5</v>
      </c>
      <c r="U8" s="420">
        <f>(O8*(1-R8)*N8*T8*S8)/100000000</f>
        <v>19.280591999999999</v>
      </c>
      <c r="V8" s="421"/>
      <c r="W8" s="423"/>
      <c r="Y8" s="150">
        <v>1230</v>
      </c>
      <c r="Z8" s="150">
        <f>+Y8-Y8*0.23</f>
        <v>947.09999999999991</v>
      </c>
      <c r="AA8" s="150">
        <v>480</v>
      </c>
      <c r="AB8" s="150">
        <f t="shared" si="0"/>
        <v>590400</v>
      </c>
      <c r="AC8" s="150">
        <f t="shared" si="1"/>
        <v>454607.99999999994</v>
      </c>
    </row>
    <row r="9" spans="1:29" ht="13.5" thickBot="1">
      <c r="A9" s="772"/>
      <c r="B9" s="216"/>
      <c r="C9" s="217"/>
      <c r="D9" s="218"/>
      <c r="E9" s="221"/>
      <c r="F9" s="229">
        <v>10</v>
      </c>
      <c r="G9" s="559" t="s">
        <v>12</v>
      </c>
      <c r="H9" s="234" t="s">
        <v>453</v>
      </c>
      <c r="I9" s="775"/>
      <c r="J9" s="215" t="str">
        <f>+'27'!J9</f>
        <v>F 12 VP OW</v>
      </c>
      <c r="K9" s="240">
        <f>+C8+C16+C25</f>
        <v>39575</v>
      </c>
      <c r="L9" s="240"/>
      <c r="M9" s="118">
        <f>+K9+'27'!M9+L9</f>
        <v>140559</v>
      </c>
      <c r="N9" s="424"/>
      <c r="Z9" s="150">
        <f t="shared" ref="Z9:Z10" si="2">+Y9-Y9*0.25</f>
        <v>0</v>
      </c>
      <c r="AB9" s="150">
        <f t="shared" si="0"/>
        <v>0</v>
      </c>
      <c r="AC9" s="150">
        <f t="shared" si="1"/>
        <v>0</v>
      </c>
    </row>
    <row r="10" spans="1:29" ht="26.25" thickBot="1">
      <c r="A10" s="772"/>
      <c r="B10" s="216"/>
      <c r="C10" s="217"/>
      <c r="D10" s="218"/>
      <c r="E10" s="220"/>
      <c r="F10" s="229"/>
      <c r="G10" s="230"/>
      <c r="H10" s="560" t="s">
        <v>669</v>
      </c>
      <c r="I10" s="775"/>
      <c r="J10" s="215" t="str">
        <f>+'27'!J10</f>
        <v>F 12,5 VP OW</v>
      </c>
      <c r="K10" s="240"/>
      <c r="L10" s="240"/>
      <c r="M10" s="118">
        <f>+K10+'27'!M10+L10</f>
        <v>19792</v>
      </c>
      <c r="N10" s="424"/>
      <c r="Z10" s="150">
        <f t="shared" si="2"/>
        <v>0</v>
      </c>
      <c r="AB10" s="150">
        <f t="shared" si="0"/>
        <v>0</v>
      </c>
      <c r="AC10" s="150">
        <f t="shared" si="1"/>
        <v>0</v>
      </c>
    </row>
    <row r="11" spans="1:2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+'27'!J11</f>
        <v>T 13 VP OW</v>
      </c>
      <c r="K11" s="240"/>
      <c r="L11" s="240"/>
      <c r="M11" s="118">
        <f>+K11+'27'!M11+L11</f>
        <v>278149</v>
      </c>
      <c r="N11" s="424"/>
      <c r="AA11" s="150">
        <f>SUM(AA6:AA10)</f>
        <v>1440</v>
      </c>
      <c r="AB11" s="150">
        <f>SUM(AB6:AB10)</f>
        <v>1771200</v>
      </c>
      <c r="AC11" s="150">
        <f>SUM(AC6:AC10)</f>
        <v>1363823.9999999998</v>
      </c>
    </row>
    <row r="12" spans="1:2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+'27'!J12</f>
        <v>F 11,5 VP OW</v>
      </c>
      <c r="K12" s="240"/>
      <c r="L12" s="240"/>
      <c r="M12" s="118">
        <f>+K12+'27'!M12+L12</f>
        <v>38991</v>
      </c>
      <c r="N12" s="424"/>
      <c r="Y12" s="150" t="s">
        <v>402</v>
      </c>
      <c r="AB12" s="150">
        <f>+AB11/AA11</f>
        <v>1230</v>
      </c>
      <c r="AC12" s="150">
        <f>+AC11/AA11</f>
        <v>947.0999999999998</v>
      </c>
    </row>
    <row r="13" spans="1:2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+'27'!J13</f>
        <v>T 15 VP OW</v>
      </c>
      <c r="K13" s="240"/>
      <c r="L13" s="240"/>
      <c r="M13" s="118">
        <f>+K13+'27'!M13+L13</f>
        <v>37511</v>
      </c>
      <c r="N13" s="425"/>
      <c r="O13" s="426"/>
      <c r="P13" s="426"/>
      <c r="Q13" s="426"/>
      <c r="R13" s="426"/>
      <c r="S13" s="426"/>
      <c r="T13" s="426"/>
      <c r="U13" s="426"/>
      <c r="V13" s="426"/>
      <c r="W13" s="426"/>
    </row>
    <row r="14" spans="1:29" ht="13.5" thickBot="1">
      <c r="A14" s="773"/>
      <c r="B14" s="166" t="s">
        <v>2</v>
      </c>
      <c r="C14" s="100">
        <f>SUM(C7:C13)</f>
        <v>10648</v>
      </c>
      <c r="D14" s="112">
        <f>SUM(D7:D13)</f>
        <v>0</v>
      </c>
      <c r="E14" s="113">
        <f>SUM(E5:E13)</f>
        <v>0</v>
      </c>
      <c r="F14" s="117">
        <f>SUM(F7:F13)</f>
        <v>16</v>
      </c>
      <c r="G14" s="160"/>
      <c r="H14" s="167"/>
      <c r="I14" s="168"/>
      <c r="J14" s="215" t="str">
        <f>+'27'!J14</f>
        <v>F 14 VP OW</v>
      </c>
      <c r="K14" s="240">
        <f>+C7</f>
        <v>1479</v>
      </c>
      <c r="L14" s="240"/>
      <c r="M14" s="118">
        <f>+K14+'27'!M14+L14</f>
        <v>231917</v>
      </c>
    </row>
    <row r="15" spans="1:29" ht="13.5" customHeight="1" thickBot="1">
      <c r="A15" s="771" t="s">
        <v>675</v>
      </c>
      <c r="B15" s="166"/>
      <c r="C15" s="114">
        <f>C14/($C$23+$D$23+$E$23)</f>
        <v>0.6835719329781087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406</v>
      </c>
      <c r="J15" s="215">
        <f>+'27'!J15</f>
        <v>0</v>
      </c>
      <c r="K15" s="240"/>
      <c r="L15" s="240"/>
      <c r="M15" s="118">
        <f>+K15+'27'!M15+L15</f>
        <v>0</v>
      </c>
      <c r="N15" s="416">
        <v>18</v>
      </c>
      <c r="O15" s="200">
        <v>1200</v>
      </c>
      <c r="P15" s="200">
        <v>850</v>
      </c>
      <c r="Q15" s="200">
        <v>680</v>
      </c>
      <c r="R15" s="417">
        <f>1-(Q15/P15)</f>
        <v>0.19999999999999996</v>
      </c>
      <c r="S15" s="418">
        <v>480</v>
      </c>
      <c r="T15" s="419">
        <v>256.5</v>
      </c>
      <c r="U15" s="420">
        <f>(O15*(1-R15)*N15*T15*S15)/100000000</f>
        <v>21.275136</v>
      </c>
      <c r="V15" s="421">
        <f>+C23/1000</f>
        <v>15.577</v>
      </c>
      <c r="W15" s="422">
        <f>SUM(V15:V17)/SUM(U15:U17)</f>
        <v>0.73216923266671485</v>
      </c>
    </row>
    <row r="16" spans="1:29" ht="13.5" thickBot="1">
      <c r="A16" s="777"/>
      <c r="B16" s="216" t="s">
        <v>386</v>
      </c>
      <c r="C16" s="223">
        <v>15577</v>
      </c>
      <c r="D16" s="224"/>
      <c r="E16" s="225"/>
      <c r="F16" s="232">
        <v>6</v>
      </c>
      <c r="G16" s="559" t="s">
        <v>12</v>
      </c>
      <c r="H16" s="231" t="s">
        <v>671</v>
      </c>
      <c r="I16" s="775"/>
      <c r="J16" s="215">
        <f>+'27'!J16</f>
        <v>0</v>
      </c>
      <c r="K16" s="230"/>
      <c r="L16" s="230"/>
      <c r="M16" s="118">
        <f>+K16+'27'!M16+L16</f>
        <v>0</v>
      </c>
      <c r="N16" s="427"/>
      <c r="O16" s="200"/>
      <c r="P16" s="200"/>
      <c r="Q16" s="428"/>
      <c r="R16" s="417"/>
      <c r="S16" s="200"/>
      <c r="T16" s="419"/>
      <c r="U16" s="420"/>
      <c r="V16" s="421"/>
      <c r="W16" s="423"/>
    </row>
    <row r="17" spans="1:23" ht="13.5" thickBot="1">
      <c r="A17" s="777"/>
      <c r="B17" s="216"/>
      <c r="C17" s="217"/>
      <c r="D17" s="218"/>
      <c r="E17" s="226"/>
      <c r="F17" s="229">
        <v>20</v>
      </c>
      <c r="G17" s="559" t="s">
        <v>12</v>
      </c>
      <c r="H17" s="234" t="s">
        <v>442</v>
      </c>
      <c r="I17" s="775"/>
      <c r="J17" s="215">
        <f>+'27'!J17</f>
        <v>0</v>
      </c>
      <c r="K17" s="230"/>
      <c r="L17" s="230"/>
      <c r="M17" s="118">
        <f>+K17+'27'!M17+L17</f>
        <v>0</v>
      </c>
      <c r="N17" s="424"/>
      <c r="O17" s="200"/>
      <c r="R17" s="417"/>
      <c r="T17" s="419"/>
      <c r="U17" s="420"/>
    </row>
    <row r="18" spans="1:23" ht="26.25" thickBot="1">
      <c r="A18" s="777"/>
      <c r="B18" s="216"/>
      <c r="C18" s="217"/>
      <c r="D18" s="218"/>
      <c r="E18" s="226"/>
      <c r="F18" s="229"/>
      <c r="G18" s="230"/>
      <c r="H18" s="560" t="s">
        <v>668</v>
      </c>
      <c r="I18" s="775"/>
      <c r="J18" s="215">
        <f>+'27'!J18</f>
        <v>0</v>
      </c>
      <c r="K18" s="240"/>
      <c r="L18" s="240"/>
      <c r="M18" s="118">
        <f>+K18+'27'!M18+L18</f>
        <v>0</v>
      </c>
      <c r="N18" s="424"/>
    </row>
    <row r="19" spans="1:23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+'27'!J19</f>
        <v>0</v>
      </c>
      <c r="K19" s="240"/>
      <c r="L19" s="240"/>
      <c r="M19" s="118">
        <f>+K19+'27'!M19+L19</f>
        <v>0</v>
      </c>
      <c r="N19" s="424"/>
    </row>
    <row r="20" spans="1:2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+'27'!J20</f>
        <v>0</v>
      </c>
      <c r="K20" s="241"/>
      <c r="L20" s="241"/>
      <c r="M20" s="118">
        <f>+K20+'27'!M20+L20</f>
        <v>0</v>
      </c>
      <c r="N20" s="424"/>
    </row>
    <row r="21" spans="1:2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+'27'!J21</f>
        <v>0</v>
      </c>
      <c r="K21" s="240"/>
      <c r="L21" s="240"/>
      <c r="M21" s="118">
        <f>+K21+'27'!M21+L21</f>
        <v>0</v>
      </c>
      <c r="N21" s="425"/>
      <c r="O21" s="426"/>
      <c r="P21" s="426"/>
      <c r="Q21" s="426"/>
      <c r="R21" s="426"/>
      <c r="S21" s="426"/>
      <c r="T21" s="426"/>
      <c r="U21" s="426"/>
      <c r="V21" s="426"/>
      <c r="W21" s="426"/>
    </row>
    <row r="22" spans="1:2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+'27'!J22</f>
        <v>0</v>
      </c>
      <c r="K22" s="240"/>
      <c r="L22" s="240"/>
      <c r="M22" s="118">
        <f>+K22+'27'!M22+L22</f>
        <v>0</v>
      </c>
    </row>
    <row r="23" spans="1:23" ht="13.5" thickBot="1">
      <c r="A23" s="778"/>
      <c r="B23" s="169" t="s">
        <v>2</v>
      </c>
      <c r="C23" s="101">
        <f>SUM(C16:C22)</f>
        <v>15577</v>
      </c>
      <c r="D23" s="112">
        <f>SUM(D16:D22)</f>
        <v>0</v>
      </c>
      <c r="E23" s="113">
        <f>SUM(E18:E22)</f>
        <v>0</v>
      </c>
      <c r="F23" s="117">
        <f>SUM(F15:F22)</f>
        <v>26</v>
      </c>
      <c r="G23" s="160"/>
      <c r="H23" s="167"/>
      <c r="I23" s="170"/>
      <c r="J23" s="215">
        <f>+'27'!J23</f>
        <v>0</v>
      </c>
      <c r="K23" s="240"/>
      <c r="L23" s="240"/>
      <c r="M23" s="118">
        <f>+K23+'27'!M23+L23</f>
        <v>0</v>
      </c>
      <c r="N23" s="429"/>
      <c r="O23" s="430"/>
      <c r="P23" s="430"/>
      <c r="Q23" s="430"/>
      <c r="R23" s="430"/>
      <c r="S23" s="430"/>
      <c r="T23" s="430"/>
      <c r="U23" s="430"/>
      <c r="V23" s="430"/>
      <c r="W23" s="430"/>
    </row>
    <row r="24" spans="1:23" ht="13.5" customHeight="1" thickBot="1">
      <c r="A24" s="771" t="s">
        <v>674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12</v>
      </c>
      <c r="G24" s="557" t="s">
        <v>12</v>
      </c>
      <c r="H24" s="558" t="s">
        <v>470</v>
      </c>
      <c r="I24" s="774" t="s">
        <v>406</v>
      </c>
      <c r="J24" s="215">
        <f>+'27'!J24</f>
        <v>0</v>
      </c>
      <c r="K24" s="240"/>
      <c r="L24" s="240"/>
      <c r="M24" s="118">
        <f>+K24+'27'!M24+L24</f>
        <v>0</v>
      </c>
      <c r="N24" s="416">
        <v>18</v>
      </c>
      <c r="O24" s="200">
        <v>1200</v>
      </c>
      <c r="P24" s="200">
        <v>770</v>
      </c>
      <c r="Q24" s="200">
        <v>616</v>
      </c>
      <c r="R24" s="417">
        <f>1-(Q24/P24)</f>
        <v>0.19999999999999996</v>
      </c>
      <c r="S24" s="418">
        <v>480</v>
      </c>
      <c r="T24" s="419">
        <v>256.5</v>
      </c>
      <c r="U24" s="420">
        <f>(O24*(1-R24)*N24*T24*S24)/100000000</f>
        <v>21.275136</v>
      </c>
      <c r="V24" s="421">
        <f>+C32/1000</f>
        <v>14.829000000000001</v>
      </c>
      <c r="W24" s="422">
        <f>SUM(V24:V25)/SUM(U24:U25)</f>
        <v>0.69701082051837415</v>
      </c>
    </row>
    <row r="25" spans="1:23" ht="13.5" customHeight="1" thickBot="1">
      <c r="A25" s="777"/>
      <c r="B25" s="216" t="s">
        <v>386</v>
      </c>
      <c r="C25" s="227">
        <v>14829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+'27'!J25</f>
        <v>0</v>
      </c>
      <c r="K25" s="240"/>
      <c r="L25" s="240"/>
      <c r="M25" s="118">
        <f>+K25+'27'!M25+L25</f>
        <v>0</v>
      </c>
      <c r="N25" s="416"/>
      <c r="O25" s="200"/>
      <c r="P25" s="200"/>
      <c r="Q25" s="200"/>
      <c r="R25" s="417"/>
      <c r="S25" s="418"/>
      <c r="T25" s="419"/>
      <c r="U25" s="420"/>
      <c r="V25" s="421"/>
      <c r="W25" s="422"/>
    </row>
    <row r="26" spans="1:23" ht="13.5" customHeight="1" thickBot="1">
      <c r="A26" s="777"/>
      <c r="B26" s="216"/>
      <c r="C26" s="227"/>
      <c r="D26" s="218"/>
      <c r="E26" s="228"/>
      <c r="F26" s="229">
        <v>12</v>
      </c>
      <c r="G26" s="559" t="s">
        <v>12</v>
      </c>
      <c r="H26" s="234" t="s">
        <v>409</v>
      </c>
      <c r="I26" s="775"/>
      <c r="J26" s="215">
        <f>+'27'!J26</f>
        <v>0</v>
      </c>
      <c r="K26" s="240"/>
      <c r="L26" s="240"/>
      <c r="M26" s="118">
        <f>+K26+'27'!M26+L26</f>
        <v>0</v>
      </c>
    </row>
    <row r="27" spans="1:23" ht="26.25" thickBot="1">
      <c r="A27" s="777"/>
      <c r="B27" s="216"/>
      <c r="C27" s="217"/>
      <c r="D27" s="218"/>
      <c r="E27" s="226"/>
      <c r="F27" s="229"/>
      <c r="G27" s="230"/>
      <c r="H27" s="560" t="s">
        <v>670</v>
      </c>
      <c r="I27" s="775"/>
      <c r="J27" s="215">
        <f>+'27'!J27</f>
        <v>0</v>
      </c>
      <c r="K27" s="240"/>
      <c r="L27" s="240"/>
      <c r="M27" s="118">
        <f>+K27+'27'!M27+L27</f>
        <v>0</v>
      </c>
    </row>
    <row r="28" spans="1:23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+'27'!J28</f>
        <v>0</v>
      </c>
      <c r="K28" s="240"/>
      <c r="L28" s="240"/>
      <c r="M28" s="118">
        <f>+K28+'27'!M28+L28</f>
        <v>0</v>
      </c>
    </row>
    <row r="29" spans="1:23" ht="13.5" customHeight="1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+'27'!J29</f>
        <v>0</v>
      </c>
      <c r="K29" s="240"/>
      <c r="L29" s="240"/>
      <c r="M29" s="118">
        <f>+K29+'27'!M29+L29</f>
        <v>0</v>
      </c>
    </row>
    <row r="30" spans="1:23" ht="13.5" customHeight="1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+'27'!J30</f>
        <v>0</v>
      </c>
      <c r="K30" s="240"/>
      <c r="L30" s="240"/>
      <c r="M30" s="118">
        <f>+K30+'27'!M30+L30</f>
        <v>0</v>
      </c>
      <c r="N30" s="156"/>
    </row>
    <row r="31" spans="1:23" ht="13.5" customHeight="1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+'27'!J31</f>
        <v>0</v>
      </c>
      <c r="K31" s="240"/>
      <c r="L31" s="240"/>
      <c r="M31" s="118">
        <f>+K31+'27'!M31+L31</f>
        <v>0</v>
      </c>
    </row>
    <row r="32" spans="1:23" ht="13.5" customHeight="1" thickBot="1">
      <c r="A32" s="778"/>
      <c r="B32" s="166" t="s">
        <v>2</v>
      </c>
      <c r="C32" s="100">
        <f>SUM(C25:C31)</f>
        <v>14829</v>
      </c>
      <c r="D32" s="101">
        <f>SUM(D25:D31)</f>
        <v>0</v>
      </c>
      <c r="E32" s="102">
        <f>SUM(E25:E31)</f>
        <v>0</v>
      </c>
      <c r="F32" s="103">
        <f>SUM(F24:F31)</f>
        <v>24</v>
      </c>
      <c r="G32" s="172"/>
      <c r="H32" s="173"/>
      <c r="I32" s="170"/>
      <c r="J32" s="215">
        <f>+'27'!J32</f>
        <v>0</v>
      </c>
      <c r="K32" s="242"/>
      <c r="L32" s="244"/>
      <c r="M32" s="118">
        <f>+K32+'27'!M32+L32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67" t="s">
        <v>57</v>
      </c>
      <c r="B34" s="768"/>
      <c r="C34" s="108">
        <f>C14+C23+C32</f>
        <v>41054</v>
      </c>
      <c r="D34" s="108">
        <f>D14+D23+D32</f>
        <v>0</v>
      </c>
      <c r="E34" s="108">
        <f>E14+E23+E32</f>
        <v>0</v>
      </c>
      <c r="F34" s="109">
        <f>F14+F23+F32</f>
        <v>66</v>
      </c>
      <c r="H34" s="179"/>
      <c r="I34" s="179"/>
      <c r="J34" s="124" t="s">
        <v>28</v>
      </c>
      <c r="K34" s="125">
        <f>SUM(K7:K32)</f>
        <v>41054</v>
      </c>
      <c r="L34" s="213">
        <f>SUM(L7:L32)</f>
        <v>0</v>
      </c>
      <c r="M34" s="121">
        <f>SUM(M7:M32)</f>
        <v>1121525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4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(12*1440)/1440*G42*2.74*1440/1000000</f>
        <v>44.842533119999992</v>
      </c>
      <c r="J37" s="126">
        <f>+I37+'27'!J37</f>
        <v>1271.3998669985817</v>
      </c>
      <c r="K37" s="127" t="s">
        <v>63</v>
      </c>
    </row>
    <row r="38" spans="1:14" ht="17.45" customHeight="1">
      <c r="A38" s="761" t="s">
        <v>12</v>
      </c>
      <c r="B38" s="762"/>
      <c r="C38" s="165">
        <f>SUMIF($G$7:$G$31,"Process",$F$7:$F$31)</f>
        <v>66</v>
      </c>
      <c r="D38" s="119">
        <f>+C38+'27'!D38</f>
        <v>2125</v>
      </c>
      <c r="E38" s="144">
        <f t="shared" ref="E38:E51" si="3">D38/60</f>
        <v>35.416666666666664</v>
      </c>
      <c r="F38" s="323">
        <v>1230</v>
      </c>
      <c r="G38" s="323">
        <v>947.09999999999991</v>
      </c>
      <c r="H38" s="188" t="s">
        <v>64</v>
      </c>
      <c r="I38" s="246">
        <f>14.608+13.186+14.751</f>
        <v>42.545000000000002</v>
      </c>
      <c r="J38" s="128">
        <f>+I38+'27'!J38</f>
        <v>1156.001</v>
      </c>
      <c r="K38" s="129" t="s">
        <v>63</v>
      </c>
    </row>
    <row r="39" spans="1:14" ht="17.45" customHeight="1">
      <c r="A39" s="765" t="s">
        <v>13</v>
      </c>
      <c r="B39" s="766"/>
      <c r="C39" s="165">
        <f>SUMIF($G$7:$G$31,"Cleaning",$F$7:$F$31)</f>
        <v>0</v>
      </c>
      <c r="D39" s="119">
        <f>+C39+'27'!D39</f>
        <v>0</v>
      </c>
      <c r="E39" s="144">
        <f t="shared" si="3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45.407138107092202</v>
      </c>
      <c r="K39" s="131" t="s">
        <v>63</v>
      </c>
    </row>
    <row r="40" spans="1:14" ht="17.45" customHeight="1">
      <c r="A40" s="765" t="s">
        <v>66</v>
      </c>
      <c r="B40" s="766"/>
      <c r="C40" s="165">
        <f>SUMIF($G$7:$G$31,"Mechanical",$F$7:$F$31)</f>
        <v>0</v>
      </c>
      <c r="D40" s="119">
        <f>+C40+'27'!D40</f>
        <v>0</v>
      </c>
      <c r="E40" s="144">
        <f t="shared" si="3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41.054000000000002</v>
      </c>
      <c r="J40" s="132">
        <f>+I40+'27'!J40</f>
        <v>1121.5250000000003</v>
      </c>
      <c r="K40" s="131" t="s">
        <v>63</v>
      </c>
    </row>
    <row r="41" spans="1:14" ht="17.45" customHeight="1">
      <c r="A41" s="765" t="s">
        <v>68</v>
      </c>
      <c r="B41" s="766"/>
      <c r="C41" s="165">
        <f>SUMIF($G$7:$G$31,"Electrical",$F$7:$F$31)</f>
        <v>0</v>
      </c>
      <c r="D41" s="119">
        <f>+C41+'27'!D41</f>
        <v>700</v>
      </c>
      <c r="E41" s="144">
        <f t="shared" si="3"/>
        <v>11.666666666666666</v>
      </c>
      <c r="F41" s="323"/>
      <c r="G41" s="323"/>
      <c r="H41" s="188" t="s">
        <v>69</v>
      </c>
      <c r="I41" s="143"/>
      <c r="J41" s="130">
        <f>J40/G4</f>
        <v>40.054464285714296</v>
      </c>
      <c r="K41" s="131" t="s">
        <v>63</v>
      </c>
    </row>
    <row r="42" spans="1:14" ht="17.45" customHeight="1">
      <c r="A42" s="765" t="s">
        <v>16</v>
      </c>
      <c r="B42" s="766"/>
      <c r="C42" s="165">
        <f>SUMIF($G$7:$G$31,"Instrument",$F$7:$F$31)</f>
        <v>0</v>
      </c>
      <c r="D42" s="119">
        <f>+C42+'27'!D42</f>
        <v>0</v>
      </c>
      <c r="E42" s="144">
        <f t="shared" si="3"/>
        <v>0</v>
      </c>
      <c r="F42" s="323">
        <f>+(F38*480+F39*480+F40*480)/1440</f>
        <v>1230</v>
      </c>
      <c r="G42" s="323">
        <f>+(G38*480+G39*480+G40*480)/1440</f>
        <v>947.0999999999998</v>
      </c>
      <c r="H42" s="188" t="s">
        <v>70</v>
      </c>
      <c r="I42" s="247" t="s">
        <v>406</v>
      </c>
      <c r="J42" s="133"/>
      <c r="K42" s="131" t="s">
        <v>71</v>
      </c>
    </row>
    <row r="43" spans="1:14" ht="17.45" customHeight="1">
      <c r="A43" s="765" t="s">
        <v>72</v>
      </c>
      <c r="B43" s="766"/>
      <c r="C43" s="165">
        <f>SUMIF($G$7:$G$31,"Water",$F$7:$F$31)</f>
        <v>0</v>
      </c>
      <c r="D43" s="119">
        <f>+C43+'27'!D43</f>
        <v>0</v>
      </c>
      <c r="E43" s="144">
        <f t="shared" si="3"/>
        <v>0</v>
      </c>
      <c r="F43" s="323"/>
      <c r="G43" s="324"/>
      <c r="H43" s="189" t="s">
        <v>73</v>
      </c>
      <c r="I43" s="119">
        <f>+Report1!Z36</f>
        <v>59.4</v>
      </c>
      <c r="J43" s="134">
        <f>+I43+'27'!J43</f>
        <v>1679.6999999999998</v>
      </c>
      <c r="K43" s="131" t="s">
        <v>63</v>
      </c>
      <c r="L43" s="190"/>
    </row>
    <row r="44" spans="1:14" ht="17.45" customHeight="1">
      <c r="A44" s="765" t="s">
        <v>17</v>
      </c>
      <c r="B44" s="766"/>
      <c r="C44" s="165">
        <f>SUMIF($G$7:$G$31,"PLN",$F$7:$F$31)</f>
        <v>0</v>
      </c>
      <c r="D44" s="119">
        <f>+C44+'27'!D44</f>
        <v>0</v>
      </c>
      <c r="E44" s="144">
        <f t="shared" si="3"/>
        <v>0</v>
      </c>
      <c r="F44" s="323"/>
      <c r="G44" s="324"/>
      <c r="H44" s="189" t="s">
        <v>74</v>
      </c>
      <c r="I44" s="119">
        <f>I43/I38</f>
        <v>1.3961687624867787</v>
      </c>
      <c r="J44" s="135">
        <f>J43/J38</f>
        <v>1.4530264247176254</v>
      </c>
      <c r="K44" s="131" t="s">
        <v>63</v>
      </c>
    </row>
    <row r="45" spans="1:14" ht="17.45" customHeight="1">
      <c r="A45" s="765" t="s">
        <v>18</v>
      </c>
      <c r="B45" s="766"/>
      <c r="C45" s="165">
        <f>SUMIF($G$7:$G$31,"Boiler",$F$7:$F$31)</f>
        <v>0</v>
      </c>
      <c r="D45" s="119">
        <f>+C45+'27'!D45</f>
        <v>0</v>
      </c>
      <c r="E45" s="144">
        <f t="shared" si="3"/>
        <v>0</v>
      </c>
      <c r="F45" s="323"/>
      <c r="G45" s="326"/>
      <c r="H45" s="189" t="s">
        <v>75</v>
      </c>
      <c r="I45" s="119">
        <f>I43/I40</f>
        <v>1.4468748477614848</v>
      </c>
      <c r="J45" s="135">
        <f>J43/J40</f>
        <v>1.4976928735427202</v>
      </c>
      <c r="K45" s="131" t="s">
        <v>63</v>
      </c>
    </row>
    <row r="46" spans="1:14" ht="17.45" customHeight="1">
      <c r="A46" s="765" t="s">
        <v>76</v>
      </c>
      <c r="B46" s="766"/>
      <c r="C46" s="165">
        <f>SUMIF($G$7:$G$31,"Gas",$F$7:$F$31)</f>
        <v>0</v>
      </c>
      <c r="D46" s="119">
        <f>+C46+'27'!D46</f>
        <v>0</v>
      </c>
      <c r="E46" s="144">
        <f t="shared" si="3"/>
        <v>0</v>
      </c>
      <c r="F46" s="323"/>
      <c r="G46" s="324"/>
      <c r="H46" s="189" t="s">
        <v>77</v>
      </c>
      <c r="I46" s="141">
        <f>+SUMIF(Listrik!P35,"&gt;0")</f>
        <v>36738.5</v>
      </c>
      <c r="J46" s="136">
        <f>+I46+'27'!J46</f>
        <v>994991.98000000021</v>
      </c>
      <c r="K46" s="131" t="s">
        <v>78</v>
      </c>
    </row>
    <row r="47" spans="1:14" ht="17.45" customHeight="1">
      <c r="A47" s="765" t="s">
        <v>79</v>
      </c>
      <c r="B47" s="766"/>
      <c r="C47" s="165">
        <f>SUMIF($G$7:$G$31,"Gas",$F$7:$F$31)</f>
        <v>0</v>
      </c>
      <c r="D47" s="119">
        <f>+C47+'27'!D47</f>
        <v>0</v>
      </c>
      <c r="E47" s="144">
        <f t="shared" si="3"/>
        <v>0</v>
      </c>
      <c r="F47" s="323"/>
      <c r="G47" s="324"/>
      <c r="H47" s="189" t="s">
        <v>80</v>
      </c>
      <c r="I47" s="119">
        <f>I46/I38</f>
        <v>863.52097778822417</v>
      </c>
      <c r="J47" s="136">
        <f>J46/J38</f>
        <v>860.71896131577762</v>
      </c>
      <c r="K47" s="131" t="s">
        <v>24</v>
      </c>
    </row>
    <row r="48" spans="1:14" ht="17.45" customHeight="1">
      <c r="A48" s="765" t="s">
        <v>14</v>
      </c>
      <c r="B48" s="766"/>
      <c r="C48" s="165">
        <f>SUMIF($G$7:$G$31,"Start Up",$F$7:$F$31)</f>
        <v>0</v>
      </c>
      <c r="D48" s="119">
        <f>+C48+'27'!D48</f>
        <v>0</v>
      </c>
      <c r="E48" s="144">
        <f t="shared" si="3"/>
        <v>0</v>
      </c>
      <c r="F48" s="323"/>
      <c r="G48" s="324"/>
      <c r="H48" s="189" t="s">
        <v>81</v>
      </c>
      <c r="I48" s="119">
        <f>I46/I40</f>
        <v>894.8823500755102</v>
      </c>
      <c r="J48" s="136">
        <f>J46/J40</f>
        <v>887.17770892311796</v>
      </c>
      <c r="K48" s="131" t="s">
        <v>24</v>
      </c>
    </row>
    <row r="49" spans="1:23" ht="17.45" customHeight="1">
      <c r="A49" s="765" t="s">
        <v>20</v>
      </c>
      <c r="B49" s="766"/>
      <c r="C49" s="165">
        <f>SUMIF($G$7:$G$31,"Others",$F$7:$F$31)</f>
        <v>0</v>
      </c>
      <c r="D49" s="119">
        <f>+C49+'27'!D49</f>
        <v>301</v>
      </c>
      <c r="E49" s="144">
        <f t="shared" si="3"/>
        <v>5.0166666666666666</v>
      </c>
      <c r="F49" s="186"/>
      <c r="H49" s="189" t="s">
        <v>269</v>
      </c>
      <c r="I49" s="119">
        <f>+Report1!T36</f>
        <v>3778.1279860306008</v>
      </c>
      <c r="J49" s="136">
        <f>+I49+'27'!J49</f>
        <v>111378.07213269563</v>
      </c>
      <c r="K49" s="131" t="s">
        <v>82</v>
      </c>
    </row>
    <row r="50" spans="1:23" ht="17.45" customHeight="1">
      <c r="A50" s="765" t="s">
        <v>19</v>
      </c>
      <c r="B50" s="766"/>
      <c r="C50" s="165">
        <f>SUMIF($G$7:$G$31,"Steam",$F$7:$F$31)</f>
        <v>0</v>
      </c>
      <c r="D50" s="119">
        <f>+C50+'27'!D50</f>
        <v>0</v>
      </c>
      <c r="E50" s="144">
        <f t="shared" si="3"/>
        <v>0</v>
      </c>
      <c r="F50" s="186"/>
      <c r="H50" s="189" t="s">
        <v>83</v>
      </c>
      <c r="I50" s="141">
        <f>I49/I38</f>
        <v>88.803102268905874</v>
      </c>
      <c r="J50" s="134">
        <f>J49/J38</f>
        <v>96.347729917790403</v>
      </c>
      <c r="K50" s="131" t="s">
        <v>82</v>
      </c>
    </row>
    <row r="51" spans="1:23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+C51+'27'!D51</f>
        <v>1000</v>
      </c>
      <c r="E51" s="144">
        <f t="shared" si="3"/>
        <v>16.666666666666668</v>
      </c>
      <c r="F51" s="186"/>
      <c r="H51" s="191" t="s">
        <v>85</v>
      </c>
      <c r="I51" s="142">
        <f>I49/I40</f>
        <v>92.028255128138568</v>
      </c>
      <c r="J51" s="137">
        <f>J49/J40</f>
        <v>99.309486754816518</v>
      </c>
      <c r="K51" s="138" t="s">
        <v>82</v>
      </c>
    </row>
    <row r="52" spans="1:23" ht="13.5" thickBot="1">
      <c r="A52" s="761" t="s">
        <v>28</v>
      </c>
      <c r="B52" s="762"/>
      <c r="C52" s="145">
        <f>SUM(C38:C51)</f>
        <v>66</v>
      </c>
      <c r="D52" s="145">
        <f>SUM(D38:D51)</f>
        <v>4126</v>
      </c>
      <c r="E52" s="146">
        <f>SUM(E38:E51)</f>
        <v>68.766666666666666</v>
      </c>
      <c r="F52" s="186"/>
      <c r="H52" s="192"/>
      <c r="I52" s="193"/>
      <c r="J52" s="139"/>
      <c r="K52" s="140"/>
    </row>
    <row r="53" spans="1:23" ht="13.5" thickBot="1">
      <c r="A53" s="763"/>
      <c r="B53" s="764"/>
      <c r="C53" s="147">
        <f>C52/(24*60)</f>
        <v>4.583333333333333E-2</v>
      </c>
      <c r="D53" s="147">
        <f>D52/(24*60*G4)</f>
        <v>0.1023313492063492</v>
      </c>
      <c r="E53" s="148">
        <f>E52/(G4*24)</f>
        <v>0.1023313492063492</v>
      </c>
      <c r="F53" s="186"/>
    </row>
    <row r="54" spans="1:23">
      <c r="E54" s="194"/>
      <c r="F54" s="186"/>
    </row>
    <row r="55" spans="1:23">
      <c r="E55" s="194"/>
    </row>
    <row r="56" spans="1:23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+D34+'27'!J56</f>
        <v>1299</v>
      </c>
      <c r="K56" s="202">
        <f>J56/(J40+J56/1000)/1000</f>
        <v>1.1569043768213003E-3</v>
      </c>
    </row>
    <row r="57" spans="1:23">
      <c r="A57" s="177"/>
      <c r="I57" s="200" t="s">
        <v>88</v>
      </c>
      <c r="J57" s="201">
        <f>+E34+'27'!J57</f>
        <v>0</v>
      </c>
      <c r="K57" s="202">
        <f>J57/(J40+J57/1000)/1000</f>
        <v>0</v>
      </c>
    </row>
    <row r="58" spans="1:23">
      <c r="A58" s="203"/>
      <c r="B58" s="204"/>
      <c r="F58" s="186"/>
      <c r="H58" s="205"/>
    </row>
    <row r="59" spans="1:23">
      <c r="A59" s="206"/>
      <c r="B59" s="177"/>
      <c r="C59" s="177"/>
      <c r="D59" s="177"/>
      <c r="E59" s="177"/>
      <c r="F59" s="190"/>
      <c r="G59" s="177"/>
      <c r="H59" s="205"/>
    </row>
    <row r="60" spans="1:23">
      <c r="H60" s="205"/>
    </row>
    <row r="61" spans="1:23">
      <c r="A61" s="207"/>
      <c r="B61" s="208"/>
      <c r="C61" s="208"/>
      <c r="D61" s="208"/>
      <c r="E61" s="208"/>
      <c r="F61" s="209"/>
      <c r="G61" s="208"/>
      <c r="H61" s="210"/>
      <c r="W61" s="150" t="s">
        <v>0</v>
      </c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05" right="0.05" top="0.19513888888888889" bottom="0.39027777777777778" header="0" footer="0"/>
  <pageSetup paperSize="9" scale="63" firstPageNumber="429496319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1"/>
  <sheetViews>
    <sheetView zoomScale="80" zoomScaleNormal="80" workbookViewId="0">
      <selection activeCell="D9" sqref="D9"/>
    </sheetView>
  </sheetViews>
  <sheetFormatPr defaultColWidth="9.140625" defaultRowHeight="12.75"/>
  <cols>
    <col min="1" max="1" width="8" style="150" customWidth="1"/>
    <col min="2" max="2" width="10.7109375" style="150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4.28515625" style="150" customWidth="1"/>
    <col min="14" max="16384" width="9.140625" style="150"/>
  </cols>
  <sheetData>
    <row r="1" spans="1:26" ht="15.75">
      <c r="A1" s="149"/>
    </row>
    <row r="2" spans="1:26" ht="15.75">
      <c r="A2" s="149" t="s">
        <v>182</v>
      </c>
    </row>
    <row r="3" spans="1:26" ht="15">
      <c r="A3" s="151"/>
    </row>
    <row r="4" spans="1:26" ht="20.25">
      <c r="A4" s="152" t="s">
        <v>3</v>
      </c>
      <c r="B4" s="153"/>
      <c r="F4" s="154" t="s">
        <v>29</v>
      </c>
      <c r="G4" s="155">
        <v>27</v>
      </c>
      <c r="H4" s="155" t="str">
        <f>+'1'!H4</f>
        <v>.07.25</v>
      </c>
      <c r="J4" s="150">
        <f>471+499+504</f>
        <v>1474</v>
      </c>
    </row>
    <row r="5" spans="1:26" ht="13.5" thickBot="1">
      <c r="C5" s="156"/>
      <c r="D5" s="156"/>
    </row>
    <row r="6" spans="1:26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611</v>
      </c>
      <c r="O6" s="150">
        <v>1200</v>
      </c>
      <c r="P6" s="150">
        <f>+O6-O6*0.25</f>
        <v>900</v>
      </c>
      <c r="Q6" s="150">
        <v>480</v>
      </c>
      <c r="R6" s="150">
        <f>+O6*Q6</f>
        <v>576000</v>
      </c>
      <c r="S6" s="150">
        <f>+P6*Q6</f>
        <v>432000</v>
      </c>
      <c r="U6" s="150" t="s">
        <v>611</v>
      </c>
      <c r="V6" s="150">
        <v>1200</v>
      </c>
      <c r="W6" s="150">
        <f>+V6-V6*0.25</f>
        <v>900</v>
      </c>
      <c r="X6" s="150">
        <v>480</v>
      </c>
      <c r="Y6" s="150">
        <f>+V6*X6</f>
        <v>576000</v>
      </c>
      <c r="Z6" s="150">
        <f>+W6*X6</f>
        <v>432000</v>
      </c>
    </row>
    <row r="7" spans="1:26" ht="13.5" customHeight="1" thickBot="1">
      <c r="A7" s="771" t="s">
        <v>422</v>
      </c>
      <c r="B7" s="216" t="s">
        <v>622</v>
      </c>
      <c r="C7" s="217">
        <v>13909</v>
      </c>
      <c r="D7" s="218"/>
      <c r="E7" s="219"/>
      <c r="F7" s="229">
        <v>16</v>
      </c>
      <c r="G7" s="557" t="s">
        <v>12</v>
      </c>
      <c r="H7" s="558" t="s">
        <v>470</v>
      </c>
      <c r="I7" s="774" t="s">
        <v>637</v>
      </c>
      <c r="J7" s="215" t="str">
        <f>+'26'!J7</f>
        <v>T 12,5 VP OW</v>
      </c>
      <c r="K7" s="239"/>
      <c r="L7" s="243"/>
      <c r="M7" s="118">
        <f>+K7+'26'!M7+L7</f>
        <v>106521</v>
      </c>
      <c r="P7" s="150">
        <f t="shared" ref="P7:P10" si="0">+O7-O7*0.25</f>
        <v>0</v>
      </c>
      <c r="R7" s="150">
        <f t="shared" ref="R7:R10" si="1">+O7*Q7</f>
        <v>0</v>
      </c>
      <c r="S7" s="150">
        <f t="shared" ref="S7:S10" si="2">+P7*Q7</f>
        <v>0</v>
      </c>
      <c r="V7" s="150">
        <v>1200</v>
      </c>
      <c r="W7" s="150">
        <v>900</v>
      </c>
      <c r="X7" s="150">
        <v>480</v>
      </c>
      <c r="Y7" s="150">
        <f t="shared" ref="Y7:Y10" si="3">+V7*X7</f>
        <v>576000</v>
      </c>
      <c r="Z7" s="150">
        <f t="shared" ref="Z7:Z10" si="4">+W7*X7</f>
        <v>432000</v>
      </c>
    </row>
    <row r="8" spans="1:26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+'26'!J8</f>
        <v>F 13 VP OW</v>
      </c>
      <c r="K8" s="240"/>
      <c r="L8" s="240"/>
      <c r="M8" s="118">
        <f>+K8+'26'!M8+L8</f>
        <v>268085</v>
      </c>
      <c r="P8" s="150">
        <f t="shared" si="0"/>
        <v>0</v>
      </c>
      <c r="R8" s="150">
        <f t="shared" si="1"/>
        <v>0</v>
      </c>
      <c r="S8" s="150">
        <f t="shared" si="2"/>
        <v>0</v>
      </c>
      <c r="V8" s="150">
        <v>1210</v>
      </c>
      <c r="W8" s="150">
        <v>907.5</v>
      </c>
      <c r="X8" s="150">
        <v>427</v>
      </c>
      <c r="Y8" s="150">
        <f t="shared" si="3"/>
        <v>516670</v>
      </c>
      <c r="Z8" s="150">
        <f t="shared" si="4"/>
        <v>387502.5</v>
      </c>
    </row>
    <row r="9" spans="1:26" ht="13.5" thickBot="1">
      <c r="A9" s="772"/>
      <c r="B9" s="216"/>
      <c r="C9" s="217"/>
      <c r="D9" s="218"/>
      <c r="E9" s="221"/>
      <c r="F9" s="229">
        <v>20</v>
      </c>
      <c r="G9" s="559" t="s">
        <v>12</v>
      </c>
      <c r="H9" s="234" t="s">
        <v>409</v>
      </c>
      <c r="I9" s="775"/>
      <c r="J9" s="215" t="str">
        <f>+'26'!J9</f>
        <v>F 12 VP OW</v>
      </c>
      <c r="K9" s="240"/>
      <c r="L9" s="240"/>
      <c r="M9" s="118">
        <f>+K9+'26'!M9+L9</f>
        <v>100984</v>
      </c>
      <c r="P9" s="150">
        <f t="shared" si="0"/>
        <v>0</v>
      </c>
      <c r="R9" s="150">
        <f t="shared" si="1"/>
        <v>0</v>
      </c>
      <c r="S9" s="150">
        <f t="shared" si="2"/>
        <v>0</v>
      </c>
      <c r="W9" s="150">
        <f t="shared" ref="W9:W10" si="5">+V9-V9*0.25</f>
        <v>0</v>
      </c>
      <c r="Y9" s="150">
        <f t="shared" si="3"/>
        <v>0</v>
      </c>
      <c r="Z9" s="150">
        <f t="shared" si="4"/>
        <v>0</v>
      </c>
    </row>
    <row r="10" spans="1:26" ht="13.5" thickBot="1">
      <c r="A10" s="772"/>
      <c r="B10" s="216"/>
      <c r="C10" s="217"/>
      <c r="D10" s="218"/>
      <c r="E10" s="220"/>
      <c r="F10" s="229"/>
      <c r="G10" s="230"/>
      <c r="H10" s="560" t="s">
        <v>646</v>
      </c>
      <c r="I10" s="775"/>
      <c r="J10" s="215" t="str">
        <f>+'26'!J10</f>
        <v>F 12,5 VP OW</v>
      </c>
      <c r="K10" s="240"/>
      <c r="L10" s="240"/>
      <c r="M10" s="118">
        <f>+K10+'26'!M10+L10</f>
        <v>19792</v>
      </c>
      <c r="P10" s="150">
        <f t="shared" si="0"/>
        <v>0</v>
      </c>
      <c r="R10" s="150">
        <f t="shared" si="1"/>
        <v>0</v>
      </c>
      <c r="S10" s="150">
        <f t="shared" si="2"/>
        <v>0</v>
      </c>
      <c r="W10" s="150">
        <f t="shared" si="5"/>
        <v>0</v>
      </c>
      <c r="Y10" s="150">
        <f t="shared" si="3"/>
        <v>0</v>
      </c>
      <c r="Z10" s="150">
        <f t="shared" si="4"/>
        <v>0</v>
      </c>
    </row>
    <row r="11" spans="1:26" ht="39" thickBot="1">
      <c r="A11" s="772"/>
      <c r="B11" s="216"/>
      <c r="C11" s="217"/>
      <c r="D11" s="218"/>
      <c r="E11" s="220"/>
      <c r="F11" s="229"/>
      <c r="G11" s="233"/>
      <c r="H11" s="234" t="s">
        <v>647</v>
      </c>
      <c r="I11" s="775"/>
      <c r="J11" s="215" t="str">
        <f>+'26'!J11</f>
        <v>T 13 VP OW</v>
      </c>
      <c r="K11" s="240"/>
      <c r="L11" s="240"/>
      <c r="M11" s="118">
        <f>+K11+'26'!M11+L11</f>
        <v>278149</v>
      </c>
      <c r="Q11" s="150">
        <f>SUM(Q6:Q10)</f>
        <v>480</v>
      </c>
      <c r="R11" s="150">
        <f>SUM(R6:R10)</f>
        <v>576000</v>
      </c>
      <c r="S11" s="150">
        <f>SUM(S6:S10)</f>
        <v>432000</v>
      </c>
      <c r="X11" s="150">
        <f>SUM(X6:X10)</f>
        <v>1387</v>
      </c>
      <c r="Y11" s="150">
        <f>SUM(Y6:Y10)</f>
        <v>1668670</v>
      </c>
      <c r="Z11" s="150">
        <f>SUM(Z6:Z10)</f>
        <v>1251502.5</v>
      </c>
    </row>
    <row r="12" spans="1:26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+'26'!J12</f>
        <v>F 11,5 VP OW</v>
      </c>
      <c r="K12" s="240"/>
      <c r="L12" s="240"/>
      <c r="M12" s="118">
        <f>+K12+'26'!M12+L12</f>
        <v>38991</v>
      </c>
      <c r="O12" s="150" t="s">
        <v>402</v>
      </c>
      <c r="R12" s="150">
        <f>+R11/Q11</f>
        <v>1200</v>
      </c>
      <c r="S12" s="150">
        <f>+S11/Q11</f>
        <v>900</v>
      </c>
      <c r="V12" s="150" t="s">
        <v>402</v>
      </c>
      <c r="Y12" s="150">
        <f>+Y11/X11</f>
        <v>1203.0785868781543</v>
      </c>
      <c r="Z12" s="150">
        <f>+Z11/X11</f>
        <v>902.30894015861577</v>
      </c>
    </row>
    <row r="13" spans="1:26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+'26'!J13</f>
        <v>T 15 VP OW</v>
      </c>
      <c r="K13" s="240"/>
      <c r="L13" s="240"/>
      <c r="M13" s="118">
        <f>+K13+'26'!M13+L13</f>
        <v>37511</v>
      </c>
    </row>
    <row r="14" spans="1:26" ht="13.5" thickBot="1">
      <c r="A14" s="773"/>
      <c r="B14" s="166" t="s">
        <v>2</v>
      </c>
      <c r="C14" s="100">
        <f>SUM(C7:C13)</f>
        <v>13909</v>
      </c>
      <c r="D14" s="112">
        <f>SUM(D7:D13)</f>
        <v>0</v>
      </c>
      <c r="E14" s="113">
        <f>SUM(E5:E13)</f>
        <v>0</v>
      </c>
      <c r="F14" s="117">
        <f>SUM(F7:F13)</f>
        <v>36</v>
      </c>
      <c r="G14" s="160"/>
      <c r="H14" s="167"/>
      <c r="I14" s="168"/>
      <c r="J14" s="215" t="str">
        <f>+'26'!J14</f>
        <v>F 14 VP OW</v>
      </c>
      <c r="K14" s="240">
        <f>+C34</f>
        <v>44784</v>
      </c>
      <c r="L14" s="240"/>
      <c r="M14" s="118">
        <f>+K14+'26'!M14+L14</f>
        <v>230438</v>
      </c>
    </row>
    <row r="15" spans="1:26" ht="13.5" customHeight="1" thickBot="1">
      <c r="A15" s="771" t="s">
        <v>661</v>
      </c>
      <c r="B15" s="166"/>
      <c r="C15" s="114">
        <f>C14/($C$23+$D$23+$E$23)</f>
        <v>0.91627140974967058</v>
      </c>
      <c r="D15" s="115">
        <f>D14/($C$23+$D$23+$E$23)</f>
        <v>0</v>
      </c>
      <c r="E15" s="116">
        <f>E14/($C$23+$D$23+$E$23)</f>
        <v>0</v>
      </c>
      <c r="F15" s="229">
        <v>12</v>
      </c>
      <c r="G15" s="557" t="s">
        <v>12</v>
      </c>
      <c r="H15" s="558" t="s">
        <v>394</v>
      </c>
      <c r="I15" s="774" t="s">
        <v>637</v>
      </c>
      <c r="J15" s="215">
        <f>+'26'!J15</f>
        <v>0</v>
      </c>
      <c r="K15" s="240"/>
      <c r="L15" s="240"/>
      <c r="M15" s="118">
        <f>+K15+'26'!M15+L15</f>
        <v>0</v>
      </c>
      <c r="N15" s="150" t="s">
        <v>611</v>
      </c>
      <c r="O15" s="150">
        <v>1200</v>
      </c>
      <c r="P15" s="150">
        <f>+O15-O15*0.25</f>
        <v>900</v>
      </c>
      <c r="Q15" s="150">
        <v>480</v>
      </c>
      <c r="R15" s="150">
        <f>+O15*Q15</f>
        <v>576000</v>
      </c>
      <c r="S15" s="150">
        <f>+P15*Q15</f>
        <v>432000</v>
      </c>
    </row>
    <row r="16" spans="1:26" ht="13.5" thickBot="1">
      <c r="A16" s="777"/>
      <c r="B16" s="216" t="s">
        <v>622</v>
      </c>
      <c r="C16" s="223">
        <v>15180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+'26'!J16</f>
        <v>0</v>
      </c>
      <c r="K16" s="230"/>
      <c r="L16" s="230"/>
      <c r="M16" s="118">
        <f>+K16+'26'!M16+L16</f>
        <v>0</v>
      </c>
      <c r="P16" s="150">
        <f t="shared" ref="P16:P19" si="6">+O16-O16*0.25</f>
        <v>0</v>
      </c>
      <c r="R16" s="150">
        <f t="shared" ref="R16:R19" si="7">+O16*Q16</f>
        <v>0</v>
      </c>
      <c r="S16" s="150">
        <f t="shared" ref="S16:S19" si="8">+P16*Q16</f>
        <v>0</v>
      </c>
    </row>
    <row r="17" spans="1:19" ht="13.5" thickBot="1">
      <c r="A17" s="777"/>
      <c r="B17" s="216"/>
      <c r="C17" s="217"/>
      <c r="D17" s="218"/>
      <c r="E17" s="226"/>
      <c r="F17" s="229">
        <f>34-12</f>
        <v>22</v>
      </c>
      <c r="G17" s="559" t="s">
        <v>12</v>
      </c>
      <c r="H17" s="234" t="s">
        <v>442</v>
      </c>
      <c r="I17" s="775"/>
      <c r="J17" s="215">
        <f>+'26'!J17</f>
        <v>0</v>
      </c>
      <c r="K17" s="230"/>
      <c r="L17" s="230"/>
      <c r="M17" s="118">
        <f>+K17+'26'!M17+L17</f>
        <v>0</v>
      </c>
      <c r="P17" s="150">
        <f t="shared" si="6"/>
        <v>0</v>
      </c>
      <c r="R17" s="150">
        <f t="shared" si="7"/>
        <v>0</v>
      </c>
      <c r="S17" s="150">
        <f t="shared" si="8"/>
        <v>0</v>
      </c>
    </row>
    <row r="18" spans="1:19" ht="51.75" thickBot="1">
      <c r="A18" s="777"/>
      <c r="B18" s="216"/>
      <c r="C18" s="217"/>
      <c r="D18" s="218"/>
      <c r="E18" s="226"/>
      <c r="F18" s="229"/>
      <c r="G18" s="230"/>
      <c r="H18" s="560" t="s">
        <v>644</v>
      </c>
      <c r="I18" s="775"/>
      <c r="J18" s="215">
        <f>+'26'!J18</f>
        <v>0</v>
      </c>
      <c r="K18" s="240"/>
      <c r="L18" s="240"/>
      <c r="M18" s="118">
        <f>+K18+'26'!M18+L18</f>
        <v>0</v>
      </c>
      <c r="P18" s="150">
        <f t="shared" si="6"/>
        <v>0</v>
      </c>
      <c r="R18" s="150">
        <f t="shared" si="7"/>
        <v>0</v>
      </c>
      <c r="S18" s="150">
        <f t="shared" si="8"/>
        <v>0</v>
      </c>
    </row>
    <row r="19" spans="1:19" ht="52.5" customHeight="1" thickBot="1">
      <c r="A19" s="777"/>
      <c r="B19" s="216"/>
      <c r="C19" s="217"/>
      <c r="D19" s="218"/>
      <c r="E19" s="226"/>
      <c r="F19" s="236"/>
      <c r="G19" s="233"/>
      <c r="H19" s="234" t="s">
        <v>645</v>
      </c>
      <c r="I19" s="775"/>
      <c r="J19" s="215">
        <f>+'26'!J19</f>
        <v>0</v>
      </c>
      <c r="K19" s="240"/>
      <c r="L19" s="240"/>
      <c r="M19" s="118">
        <f>+K19+'26'!M19+L19</f>
        <v>0</v>
      </c>
      <c r="P19" s="150">
        <f t="shared" si="6"/>
        <v>0</v>
      </c>
      <c r="R19" s="150">
        <f t="shared" si="7"/>
        <v>0</v>
      </c>
      <c r="S19" s="150">
        <f t="shared" si="8"/>
        <v>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+'26'!J20</f>
        <v>0</v>
      </c>
      <c r="K20" s="241"/>
      <c r="L20" s="241"/>
      <c r="M20" s="118">
        <f>+K20+'26'!M20+L20</f>
        <v>0</v>
      </c>
      <c r="Q20" s="150">
        <f>SUM(Q15:Q19)</f>
        <v>480</v>
      </c>
      <c r="R20" s="150">
        <f>SUM(R15:R19)</f>
        <v>576000</v>
      </c>
      <c r="S20" s="150">
        <f>SUM(S15:S19)</f>
        <v>432000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+'26'!J21</f>
        <v>0</v>
      </c>
      <c r="K21" s="240"/>
      <c r="L21" s="240"/>
      <c r="M21" s="118">
        <f>+K21+'26'!M21+L21</f>
        <v>0</v>
      </c>
      <c r="O21" s="150" t="s">
        <v>402</v>
      </c>
      <c r="R21" s="150">
        <f>+R20/Q20</f>
        <v>1200</v>
      </c>
      <c r="S21" s="150">
        <f>+S20/Q20</f>
        <v>900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+'26'!J22</f>
        <v>0</v>
      </c>
      <c r="K22" s="240"/>
      <c r="L22" s="240"/>
      <c r="M22" s="118">
        <f>+K22+'26'!M22+L22</f>
        <v>0</v>
      </c>
    </row>
    <row r="23" spans="1:19" ht="13.5" thickBot="1">
      <c r="A23" s="778"/>
      <c r="B23" s="169" t="s">
        <v>2</v>
      </c>
      <c r="C23" s="101">
        <f>SUM(C16:C22)</f>
        <v>15180</v>
      </c>
      <c r="D23" s="112">
        <f>SUM(D16:D22)</f>
        <v>0</v>
      </c>
      <c r="E23" s="113">
        <f>SUM(E18:E22)</f>
        <v>0</v>
      </c>
      <c r="F23" s="117">
        <f>SUM(F15:F22)</f>
        <v>34</v>
      </c>
      <c r="G23" s="160"/>
      <c r="H23" s="167"/>
      <c r="I23" s="170"/>
      <c r="J23" s="215">
        <f>+'26'!J23</f>
        <v>0</v>
      </c>
      <c r="K23" s="240"/>
      <c r="L23" s="240"/>
      <c r="M23" s="118">
        <f>+K23+'26'!M23+L23</f>
        <v>0</v>
      </c>
      <c r="N23" s="150" t="s">
        <v>611</v>
      </c>
      <c r="O23" s="150">
        <v>1210</v>
      </c>
      <c r="P23" s="150">
        <f>+O23-O23*0.25</f>
        <v>907.5</v>
      </c>
      <c r="Q23" s="150">
        <f>60*7+7</f>
        <v>427</v>
      </c>
      <c r="R23" s="150">
        <f>+O23*Q23</f>
        <v>516670</v>
      </c>
      <c r="S23" s="150">
        <f>+P23*Q23</f>
        <v>387502.5</v>
      </c>
    </row>
    <row r="24" spans="1:19" ht="13.5" customHeight="1" thickBot="1">
      <c r="A24" s="771" t="s">
        <v>445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16</v>
      </c>
      <c r="G24" s="557" t="s">
        <v>12</v>
      </c>
      <c r="H24" s="558" t="s">
        <v>470</v>
      </c>
      <c r="I24" s="774" t="s">
        <v>655</v>
      </c>
      <c r="J24" s="215">
        <f>+'26'!J24</f>
        <v>0</v>
      </c>
      <c r="K24" s="240"/>
      <c r="L24" s="240"/>
      <c r="M24" s="118">
        <f>+K24+'26'!M24+L24</f>
        <v>0</v>
      </c>
      <c r="N24" s="150" t="s">
        <v>437</v>
      </c>
      <c r="O24" s="150">
        <v>1230</v>
      </c>
      <c r="P24" s="150">
        <f>+O24-O24*0.23</f>
        <v>947.09999999999991</v>
      </c>
      <c r="Q24" s="150">
        <f>480-Q23</f>
        <v>53</v>
      </c>
      <c r="R24" s="150">
        <f t="shared" ref="R24:R27" si="9">+O24*Q24</f>
        <v>65190</v>
      </c>
      <c r="S24" s="150">
        <f t="shared" ref="S24:S27" si="10">+P24*Q24</f>
        <v>50196.299999999996</v>
      </c>
    </row>
    <row r="25" spans="1:19" ht="13.5" thickBot="1">
      <c r="A25" s="777"/>
      <c r="B25" s="216" t="s">
        <v>622</v>
      </c>
      <c r="C25" s="227">
        <v>15695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+'26'!J25</f>
        <v>0</v>
      </c>
      <c r="K25" s="240"/>
      <c r="L25" s="240"/>
      <c r="M25" s="118">
        <f>+K25+'26'!M25+L25</f>
        <v>0</v>
      </c>
      <c r="P25" s="150">
        <f t="shared" ref="P25:P27" si="11">+O25-O25*0.25</f>
        <v>0</v>
      </c>
      <c r="R25" s="150">
        <f t="shared" si="9"/>
        <v>0</v>
      </c>
      <c r="S25" s="150">
        <f t="shared" si="10"/>
        <v>0</v>
      </c>
    </row>
    <row r="26" spans="1:19" ht="13.5" thickBot="1">
      <c r="A26" s="777"/>
      <c r="B26" s="216"/>
      <c r="C26" s="227"/>
      <c r="D26" s="218"/>
      <c r="E26" s="228"/>
      <c r="F26" s="229">
        <v>20</v>
      </c>
      <c r="G26" s="559" t="s">
        <v>12</v>
      </c>
      <c r="H26" s="234" t="s">
        <v>487</v>
      </c>
      <c r="I26" s="775"/>
      <c r="J26" s="215">
        <f>+'26'!J26</f>
        <v>0</v>
      </c>
      <c r="K26" s="240"/>
      <c r="L26" s="240"/>
      <c r="M26" s="118">
        <f>+K26+'26'!M26+L26</f>
        <v>0</v>
      </c>
      <c r="P26" s="150">
        <f t="shared" si="11"/>
        <v>0</v>
      </c>
      <c r="R26" s="150">
        <f t="shared" si="9"/>
        <v>0</v>
      </c>
      <c r="S26" s="150">
        <f t="shared" si="10"/>
        <v>0</v>
      </c>
    </row>
    <row r="27" spans="1:19" ht="51.75" thickBot="1">
      <c r="A27" s="777"/>
      <c r="B27" s="216"/>
      <c r="C27" s="217"/>
      <c r="D27" s="218"/>
      <c r="E27" s="226"/>
      <c r="F27" s="229"/>
      <c r="G27" s="230"/>
      <c r="H27" s="560" t="s">
        <v>642</v>
      </c>
      <c r="I27" s="775"/>
      <c r="J27" s="215">
        <f>+'26'!J27</f>
        <v>0</v>
      </c>
      <c r="K27" s="240"/>
      <c r="L27" s="240"/>
      <c r="M27" s="118">
        <f>+K27+'26'!M27+L27</f>
        <v>0</v>
      </c>
      <c r="P27" s="150">
        <f t="shared" si="11"/>
        <v>0</v>
      </c>
      <c r="R27" s="150">
        <f t="shared" si="9"/>
        <v>0</v>
      </c>
      <c r="S27" s="150">
        <f t="shared" si="10"/>
        <v>0</v>
      </c>
    </row>
    <row r="28" spans="1:19" ht="51.75" thickBot="1">
      <c r="A28" s="777"/>
      <c r="B28" s="216"/>
      <c r="C28" s="217"/>
      <c r="D28" s="218"/>
      <c r="E28" s="226"/>
      <c r="F28" s="232"/>
      <c r="G28" s="233"/>
      <c r="H28" s="234" t="s">
        <v>643</v>
      </c>
      <c r="I28" s="775"/>
      <c r="J28" s="215">
        <f>+'26'!J28</f>
        <v>0</v>
      </c>
      <c r="K28" s="240"/>
      <c r="L28" s="240"/>
      <c r="M28" s="118">
        <f>+K28+'26'!M28+L28</f>
        <v>0</v>
      </c>
      <c r="Q28" s="150">
        <f>SUM(Q23:Q27)</f>
        <v>480</v>
      </c>
      <c r="R28" s="150">
        <f>SUM(R23:R27)</f>
        <v>581860</v>
      </c>
      <c r="S28" s="150">
        <f>SUM(S23:S27)</f>
        <v>437698.8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+'26'!J29</f>
        <v>0</v>
      </c>
      <c r="K29" s="240"/>
      <c r="L29" s="240"/>
      <c r="M29" s="118">
        <f>+K29+'26'!M29+L29</f>
        <v>0</v>
      </c>
      <c r="O29" s="150" t="s">
        <v>402</v>
      </c>
      <c r="R29" s="150">
        <f>+R28/Q28</f>
        <v>1212.2083333333333</v>
      </c>
      <c r="S29" s="150">
        <f>+S28/Q28</f>
        <v>911.87249999999995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+'26'!J30</f>
        <v>0</v>
      </c>
      <c r="K30" s="240"/>
      <c r="L30" s="240"/>
      <c r="M30" s="118">
        <f>+K30+'26'!M30+L30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+'26'!J31</f>
        <v>0</v>
      </c>
      <c r="K31" s="240"/>
      <c r="L31" s="240"/>
      <c r="M31" s="118">
        <f>+K31+'26'!M31+L31</f>
        <v>0</v>
      </c>
    </row>
    <row r="32" spans="1:19" ht="13.5" thickBot="1">
      <c r="A32" s="778"/>
      <c r="B32" s="166" t="s">
        <v>2</v>
      </c>
      <c r="C32" s="100">
        <f>SUM(C25:C31)</f>
        <v>15695</v>
      </c>
      <c r="D32" s="101">
        <f>SUM(D25:D31)</f>
        <v>0</v>
      </c>
      <c r="E32" s="102">
        <f>SUM(E25:E31)</f>
        <v>0</v>
      </c>
      <c r="F32" s="103">
        <f>SUM(F24:F31)</f>
        <v>36</v>
      </c>
      <c r="G32" s="172"/>
      <c r="H32" s="173"/>
      <c r="I32" s="170"/>
      <c r="J32" s="215">
        <f>+'26'!J32</f>
        <v>0</v>
      </c>
      <c r="K32" s="242"/>
      <c r="L32" s="244"/>
      <c r="M32" s="118">
        <f>+K32+'26'!M32+L32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N33" s="150" t="s">
        <v>611</v>
      </c>
      <c r="O33" s="150">
        <v>1203.0785868781543</v>
      </c>
      <c r="P33" s="150">
        <v>902.30894015861577</v>
      </c>
      <c r="Q33" s="150">
        <v>1387</v>
      </c>
    </row>
    <row r="34" spans="1:17" ht="13.5" thickBot="1">
      <c r="A34" s="767" t="s">
        <v>57</v>
      </c>
      <c r="B34" s="768"/>
      <c r="C34" s="108">
        <f>C14+C23+C32</f>
        <v>44784</v>
      </c>
      <c r="D34" s="108">
        <f>D14+D23+D32</f>
        <v>0</v>
      </c>
      <c r="E34" s="108">
        <f>E14+E23+E32</f>
        <v>0</v>
      </c>
      <c r="F34" s="109">
        <f>F14+F23+F32</f>
        <v>106</v>
      </c>
      <c r="H34" s="179"/>
      <c r="I34" s="179"/>
      <c r="J34" s="124" t="s">
        <v>28</v>
      </c>
      <c r="K34" s="125">
        <f>SUM(K7:K32)</f>
        <v>44784</v>
      </c>
      <c r="L34" s="213">
        <f>SUM(L7:L32)</f>
        <v>0</v>
      </c>
      <c r="M34" s="121">
        <f>SUM(M7:M32)</f>
        <v>1080471</v>
      </c>
      <c r="N34" s="150" t="s">
        <v>437</v>
      </c>
      <c r="O34" s="150">
        <v>1230</v>
      </c>
      <c r="P34" s="150">
        <v>947.09999999999991</v>
      </c>
      <c r="Q34" s="150">
        <v>53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Q35" s="150">
        <f>SUM(Q33:Q34)</f>
        <v>1440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30"/>
      <c r="G37" s="325"/>
      <c r="H37" s="187" t="s">
        <v>62</v>
      </c>
      <c r="I37" s="245">
        <f>(14*1387+53*12)/1440*G42*2.74*1440/1000000</f>
        <v>49.670620551700011</v>
      </c>
      <c r="J37" s="126">
        <f>+I37+'26'!J37</f>
        <v>1226.5573338785816</v>
      </c>
      <c r="K37" s="127" t="s">
        <v>63</v>
      </c>
    </row>
    <row r="38" spans="1:17" ht="17.45" customHeight="1">
      <c r="A38" s="761" t="s">
        <v>12</v>
      </c>
      <c r="B38" s="762"/>
      <c r="C38" s="165">
        <f>SUMIF($G$7:$G$31,"Process",$F$7:$F$31)</f>
        <v>106</v>
      </c>
      <c r="D38" s="119">
        <f>+C38+'26'!D38</f>
        <v>2059</v>
      </c>
      <c r="E38" s="144">
        <f t="shared" ref="E38:E51" si="12">D38/60</f>
        <v>34.31666666666667</v>
      </c>
      <c r="F38" s="323">
        <v>1200</v>
      </c>
      <c r="G38" s="323">
        <v>900</v>
      </c>
      <c r="H38" s="188" t="s">
        <v>64</v>
      </c>
      <c r="I38" s="246">
        <f>14.56+14.924+15.961</f>
        <v>45.445</v>
      </c>
      <c r="J38" s="128">
        <f>+I38+'26'!J38</f>
        <v>1113.4559999999999</v>
      </c>
      <c r="K38" s="129" t="s">
        <v>63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+C39+'26'!D39</f>
        <v>0</v>
      </c>
      <c r="E39" s="144">
        <f t="shared" si="12"/>
        <v>0</v>
      </c>
      <c r="F39" s="323">
        <v>1200</v>
      </c>
      <c r="G39" s="323">
        <v>900</v>
      </c>
      <c r="H39" s="188" t="s">
        <v>65</v>
      </c>
      <c r="I39" s="143"/>
      <c r="J39" s="130">
        <f>J37/G4</f>
        <v>45.428049402910432</v>
      </c>
      <c r="K39" s="131" t="s">
        <v>63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+C40+'26'!D40</f>
        <v>0</v>
      </c>
      <c r="E40" s="144">
        <f t="shared" si="12"/>
        <v>0</v>
      </c>
      <c r="F40" s="323">
        <v>1212.2083333333333</v>
      </c>
      <c r="G40" s="323">
        <v>911.87249999999995</v>
      </c>
      <c r="H40" s="188" t="s">
        <v>67</v>
      </c>
      <c r="I40" s="119">
        <f>(K34+L34)/1000</f>
        <v>44.783999999999999</v>
      </c>
      <c r="J40" s="132">
        <f>+I40+'26'!J40</f>
        <v>1080.4710000000002</v>
      </c>
      <c r="K40" s="131" t="s">
        <v>63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+C41+'26'!D41</f>
        <v>700</v>
      </c>
      <c r="E41" s="144">
        <f t="shared" si="12"/>
        <v>11.666666666666666</v>
      </c>
      <c r="F41" s="323"/>
      <c r="G41" s="323"/>
      <c r="H41" s="188" t="s">
        <v>69</v>
      </c>
      <c r="I41" s="143"/>
      <c r="J41" s="130">
        <f>J40/G4</f>
        <v>40.01744444444445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+C42+'26'!D42</f>
        <v>0</v>
      </c>
      <c r="E42" s="144">
        <f t="shared" si="12"/>
        <v>0</v>
      </c>
      <c r="F42" s="323">
        <f>+(480*F38+480*F39+480*F40)/1440</f>
        <v>1204.0694444444443</v>
      </c>
      <c r="G42" s="323">
        <f>+(480*G38+480*G39+480*G40)/1440</f>
        <v>903.95749999999998</v>
      </c>
      <c r="H42" s="188" t="s">
        <v>70</v>
      </c>
      <c r="I42" s="247" t="s">
        <v>656</v>
      </c>
      <c r="J42" s="133"/>
      <c r="K42" s="131" t="s">
        <v>71</v>
      </c>
    </row>
    <row r="43" spans="1:17" ht="17.45" customHeight="1">
      <c r="A43" s="765" t="s">
        <v>72</v>
      </c>
      <c r="B43" s="766"/>
      <c r="C43" s="165">
        <f>SUMIF($G$7:$G$31,"Water",$F$7:$F$31)</f>
        <v>0</v>
      </c>
      <c r="D43" s="119">
        <f>+C43+'26'!D43</f>
        <v>0</v>
      </c>
      <c r="E43" s="144">
        <f t="shared" si="12"/>
        <v>0</v>
      </c>
      <c r="F43" s="323"/>
      <c r="G43" s="324"/>
      <c r="H43" s="189" t="s">
        <v>73</v>
      </c>
      <c r="I43" s="119">
        <f>+Report1!Z35</f>
        <v>62</v>
      </c>
      <c r="J43" s="134">
        <f>+I43+'26'!J43</f>
        <v>1620.2999999999997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+C44+'26'!D44</f>
        <v>0</v>
      </c>
      <c r="E44" s="144">
        <f t="shared" si="12"/>
        <v>0</v>
      </c>
      <c r="F44" s="323"/>
      <c r="G44" s="324"/>
      <c r="H44" s="189" t="s">
        <v>74</v>
      </c>
      <c r="I44" s="119">
        <f>I43/I38</f>
        <v>1.3642865001650346</v>
      </c>
      <c r="J44" s="135">
        <f>J43/J38</f>
        <v>1.4551989481398455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+C45+'26'!D45</f>
        <v>0</v>
      </c>
      <c r="E45" s="144">
        <f t="shared" si="12"/>
        <v>0</v>
      </c>
      <c r="F45" s="323"/>
      <c r="G45" s="326"/>
      <c r="H45" s="189" t="s">
        <v>75</v>
      </c>
      <c r="I45" s="119">
        <f>I43/I40</f>
        <v>1.3844230082172204</v>
      </c>
      <c r="J45" s="135">
        <f>J43/J40</f>
        <v>1.4996237751869317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+C46+'26'!D46</f>
        <v>0</v>
      </c>
      <c r="E46" s="144">
        <f t="shared" si="12"/>
        <v>0</v>
      </c>
      <c r="F46" s="323"/>
      <c r="G46" s="324"/>
      <c r="H46" s="189" t="s">
        <v>77</v>
      </c>
      <c r="I46" s="141">
        <f>+SUMIF(Listrik!P34,"&gt;0")</f>
        <v>34511.340000000724</v>
      </c>
      <c r="J46" s="136">
        <f>+I46+'26'!J46</f>
        <v>958253.48000000021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+C47+'26'!D47</f>
        <v>0</v>
      </c>
      <c r="E47" s="144">
        <f t="shared" si="12"/>
        <v>0</v>
      </c>
      <c r="F47" s="323"/>
      <c r="G47" s="324"/>
      <c r="H47" s="189" t="s">
        <v>80</v>
      </c>
      <c r="I47" s="119">
        <f>I46/I38</f>
        <v>759.40895588075091</v>
      </c>
      <c r="J47" s="136">
        <f>J46/J38</f>
        <v>860.61189665330312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+C48+'26'!D48</f>
        <v>0</v>
      </c>
      <c r="E48" s="144">
        <f t="shared" si="12"/>
        <v>0</v>
      </c>
      <c r="F48" s="323"/>
      <c r="G48" s="324"/>
      <c r="H48" s="189" t="s">
        <v>81</v>
      </c>
      <c r="I48" s="119">
        <f>I46/I40</f>
        <v>770.61763129690792</v>
      </c>
      <c r="J48" s="136">
        <f>J46/J40</f>
        <v>886.88496035525247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+C49+'26'!D49</f>
        <v>301</v>
      </c>
      <c r="E49" s="144">
        <f t="shared" si="12"/>
        <v>5.0166666666666666</v>
      </c>
      <c r="F49" s="186"/>
      <c r="H49" s="189" t="s">
        <v>269</v>
      </c>
      <c r="I49" s="119">
        <f>+Report1!T35</f>
        <v>3828.5366688613431</v>
      </c>
      <c r="J49" s="136">
        <f>+I49+'26'!J49</f>
        <v>107599.94414666503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+C50+'26'!D50</f>
        <v>0</v>
      </c>
      <c r="E50" s="144">
        <f t="shared" si="12"/>
        <v>0</v>
      </c>
      <c r="F50" s="186"/>
      <c r="H50" s="189" t="s">
        <v>83</v>
      </c>
      <c r="I50" s="141">
        <f>I49/I38</f>
        <v>84.245498269586164</v>
      </c>
      <c r="J50" s="134">
        <f>J49/J38</f>
        <v>96.636009098397281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+C51+'26'!D51</f>
        <v>1000</v>
      </c>
      <c r="E51" s="144">
        <f t="shared" si="12"/>
        <v>16.666666666666668</v>
      </c>
      <c r="F51" s="186"/>
      <c r="H51" s="191" t="s">
        <v>85</v>
      </c>
      <c r="I51" s="142">
        <f>I49/I40</f>
        <v>85.488939551208986</v>
      </c>
      <c r="J51" s="137">
        <f>J49/J40</f>
        <v>99.586147288233562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106</v>
      </c>
      <c r="D52" s="145">
        <f>SUM(D38:D51)</f>
        <v>4060</v>
      </c>
      <c r="E52" s="146">
        <f>SUM(E38:E51)</f>
        <v>67.666666666666671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7.3611111111111113E-2</v>
      </c>
      <c r="D53" s="147">
        <f>D52/(24*60*G4)</f>
        <v>0.1044238683127572</v>
      </c>
      <c r="E53" s="148">
        <f>E52/(G4*24)</f>
        <v>0.10442386831275721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+D34+'26'!J56</f>
        <v>1299</v>
      </c>
      <c r="K56" s="202">
        <f>J56/(J40+J56/1000)/1000</f>
        <v>1.2008097839651679E-3</v>
      </c>
    </row>
    <row r="57" spans="1:11">
      <c r="A57" s="177"/>
      <c r="I57" s="200" t="s">
        <v>88</v>
      </c>
      <c r="J57" s="201">
        <f>+E34+'26'!J57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3" firstPageNumber="4294963191" orientation="landscape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4" zoomScale="80" zoomScaleNormal="80" workbookViewId="0">
      <selection activeCell="H11" sqref="H1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4" style="150" bestFit="1" customWidth="1"/>
    <col min="12" max="12" width="8.28515625" style="150" customWidth="1"/>
    <col min="13" max="13" width="17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26</v>
      </c>
      <c r="H4" s="155" t="str">
        <f>+'1'!H4</f>
        <v>.07.25</v>
      </c>
      <c r="J4" s="150">
        <f>489+547+491</f>
        <v>1527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611</v>
      </c>
      <c r="O6" s="150">
        <v>1200</v>
      </c>
      <c r="P6" s="150">
        <f>+O6-O6*0.25</f>
        <v>900</v>
      </c>
      <c r="Q6" s="150">
        <v>60</v>
      </c>
      <c r="R6" s="150">
        <f>+O6*Q6</f>
        <v>72000</v>
      </c>
      <c r="S6" s="150">
        <f>+P6*Q6</f>
        <v>54000</v>
      </c>
    </row>
    <row r="7" spans="1:19" ht="13.5" customHeight="1" thickBot="1">
      <c r="A7" s="771" t="s">
        <v>422</v>
      </c>
      <c r="B7" s="216" t="s">
        <v>622</v>
      </c>
      <c r="C7" s="217">
        <v>15294</v>
      </c>
      <c r="D7" s="218"/>
      <c r="E7" s="219"/>
      <c r="F7" s="229">
        <v>9</v>
      </c>
      <c r="G7" s="557" t="s">
        <v>12</v>
      </c>
      <c r="H7" s="558" t="s">
        <v>394</v>
      </c>
      <c r="I7" s="774" t="s">
        <v>653</v>
      </c>
      <c r="J7" s="215" t="str">
        <f>+'25'!J7</f>
        <v>T 12,5 VP OW</v>
      </c>
      <c r="K7" s="239"/>
      <c r="L7" s="243"/>
      <c r="M7" s="118">
        <f>+K7+'25'!M7+L7</f>
        <v>106521</v>
      </c>
      <c r="O7" s="150">
        <f>1200+20</f>
        <v>1220</v>
      </c>
      <c r="P7" s="150">
        <f t="shared" ref="P7:P10" si="0">+O7-O7*0.25</f>
        <v>915</v>
      </c>
      <c r="Q7" s="150">
        <v>120</v>
      </c>
      <c r="R7" s="150">
        <f t="shared" ref="R7:R10" si="1">+O7*Q7</f>
        <v>146400</v>
      </c>
      <c r="S7" s="150">
        <f t="shared" ref="S7:S10" si="2">+P7*Q7</f>
        <v>109800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+'25'!J8</f>
        <v>F 13 VP OW</v>
      </c>
      <c r="K8" s="240"/>
      <c r="L8" s="240"/>
      <c r="M8" s="118">
        <f>+K8+'25'!M8+L8</f>
        <v>268085</v>
      </c>
      <c r="O8" s="150">
        <f>+O7-20</f>
        <v>1200</v>
      </c>
      <c r="P8" s="150">
        <f t="shared" si="0"/>
        <v>900</v>
      </c>
      <c r="Q8" s="150">
        <f>60*3+11</f>
        <v>191</v>
      </c>
      <c r="R8" s="150">
        <f t="shared" si="1"/>
        <v>229200</v>
      </c>
      <c r="S8" s="150">
        <f t="shared" si="2"/>
        <v>171900</v>
      </c>
    </row>
    <row r="9" spans="1:19" ht="13.5" thickBot="1">
      <c r="A9" s="772"/>
      <c r="B9" s="216"/>
      <c r="C9" s="217"/>
      <c r="D9" s="218"/>
      <c r="E9" s="221"/>
      <c r="F9" s="229">
        <f>26-9</f>
        <v>17</v>
      </c>
      <c r="G9" s="559" t="s">
        <v>12</v>
      </c>
      <c r="H9" s="234" t="s">
        <v>442</v>
      </c>
      <c r="I9" s="775"/>
      <c r="J9" s="215" t="str">
        <f>+'25'!J9</f>
        <v>F 12 VP OW</v>
      </c>
      <c r="K9" s="240"/>
      <c r="L9" s="240"/>
      <c r="M9" s="118">
        <f>+K9+'25'!M9+L9</f>
        <v>100984</v>
      </c>
      <c r="O9" s="150">
        <f>+O8-20</f>
        <v>1180</v>
      </c>
      <c r="P9" s="150">
        <f t="shared" si="0"/>
        <v>885</v>
      </c>
      <c r="Q9" s="150">
        <f>60-11+40</f>
        <v>89</v>
      </c>
      <c r="R9" s="150">
        <f t="shared" si="1"/>
        <v>105020</v>
      </c>
      <c r="S9" s="150">
        <f t="shared" si="2"/>
        <v>78765</v>
      </c>
    </row>
    <row r="10" spans="1:19" ht="39" thickBot="1">
      <c r="A10" s="772"/>
      <c r="B10" s="216"/>
      <c r="C10" s="217"/>
      <c r="D10" s="218"/>
      <c r="E10" s="220"/>
      <c r="F10" s="229"/>
      <c r="G10" s="230"/>
      <c r="H10" s="560" t="s">
        <v>650</v>
      </c>
      <c r="I10" s="775"/>
      <c r="J10" s="215" t="str">
        <f>+'25'!J10</f>
        <v>F 12,5 VP OW</v>
      </c>
      <c r="K10" s="240"/>
      <c r="L10" s="240"/>
      <c r="M10" s="118">
        <f>+K10+'25'!M10+L10</f>
        <v>19792</v>
      </c>
      <c r="O10" s="150">
        <f>+O9+20</f>
        <v>1200</v>
      </c>
      <c r="P10" s="150">
        <f t="shared" si="0"/>
        <v>900</v>
      </c>
      <c r="Q10" s="150">
        <f>60-40</f>
        <v>20</v>
      </c>
      <c r="R10" s="150">
        <f t="shared" si="1"/>
        <v>24000</v>
      </c>
      <c r="S10" s="150">
        <f t="shared" si="2"/>
        <v>18000</v>
      </c>
    </row>
    <row r="11" spans="1:19" ht="93.75" customHeight="1" thickBot="1">
      <c r="A11" s="772"/>
      <c r="B11" s="216"/>
      <c r="C11" s="217"/>
      <c r="D11" s="218"/>
      <c r="E11" s="220"/>
      <c r="F11" s="229"/>
      <c r="G11" s="233"/>
      <c r="H11" s="234" t="s">
        <v>651</v>
      </c>
      <c r="I11" s="775"/>
      <c r="J11" s="215" t="str">
        <f>+'25'!J11</f>
        <v>T 13 VP OW</v>
      </c>
      <c r="K11" s="240"/>
      <c r="L11" s="240"/>
      <c r="M11" s="118">
        <f>+K11+'25'!M11+L11</f>
        <v>278149</v>
      </c>
      <c r="Q11" s="150">
        <f>SUM(Q6:Q10)</f>
        <v>480</v>
      </c>
      <c r="R11" s="150">
        <f>SUM(R6:R10)</f>
        <v>576620</v>
      </c>
      <c r="S11" s="150">
        <f>SUM(S6:S10)</f>
        <v>432465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+'25'!J12</f>
        <v>F 11,5 VP OW</v>
      </c>
      <c r="K12" s="240"/>
      <c r="L12" s="240"/>
      <c r="M12" s="118">
        <f>+K12+'25'!M12+L12</f>
        <v>38991</v>
      </c>
      <c r="O12" s="150" t="s">
        <v>402</v>
      </c>
      <c r="R12" s="150">
        <f>+R11/Q11</f>
        <v>1201.2916666666667</v>
      </c>
      <c r="S12" s="150">
        <f>+S11/Q11</f>
        <v>900.96875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+'25'!J13</f>
        <v>T 15 VP OW</v>
      </c>
      <c r="K13" s="240"/>
      <c r="L13" s="240"/>
      <c r="M13" s="118">
        <f>+K13+'25'!M13+L13</f>
        <v>37511</v>
      </c>
      <c r="P13" s="177"/>
      <c r="Q13" s="177"/>
      <c r="R13" s="177"/>
    </row>
    <row r="14" spans="1:19" ht="13.5" thickBot="1">
      <c r="A14" s="773"/>
      <c r="B14" s="166" t="s">
        <v>2</v>
      </c>
      <c r="C14" s="100">
        <f>SUM(C7:C13)</f>
        <v>15294</v>
      </c>
      <c r="D14" s="112">
        <f>SUM(D7:D13)</f>
        <v>0</v>
      </c>
      <c r="E14" s="113">
        <f>SUM(E5:E13)</f>
        <v>0</v>
      </c>
      <c r="F14" s="117">
        <f>SUM(F7:F13)</f>
        <v>26</v>
      </c>
      <c r="G14" s="160"/>
      <c r="H14" s="167"/>
      <c r="I14" s="168"/>
      <c r="J14" s="215" t="str">
        <f>+'25'!J14</f>
        <v>F 14 VP OW</v>
      </c>
      <c r="K14" s="240">
        <f>+C34</f>
        <v>44467</v>
      </c>
      <c r="L14" s="240"/>
      <c r="M14" s="118">
        <f>+K14+'25'!M14+L14</f>
        <v>185654</v>
      </c>
      <c r="N14" s="150" t="s">
        <v>611</v>
      </c>
      <c r="O14" s="150">
        <v>1200</v>
      </c>
      <c r="P14" s="150">
        <f>+O14-O14*0.25</f>
        <v>900</v>
      </c>
      <c r="Q14" s="150">
        <v>480</v>
      </c>
      <c r="R14" s="150">
        <f>+O14*Q14</f>
        <v>576000</v>
      </c>
      <c r="S14" s="150">
        <f>+P14*Q14</f>
        <v>432000</v>
      </c>
    </row>
    <row r="15" spans="1:19" ht="13.5" customHeight="1" thickBot="1">
      <c r="A15" s="771" t="s">
        <v>661</v>
      </c>
      <c r="B15" s="166"/>
      <c r="C15" s="114">
        <f>C14/($C$23+$D$23+$E$23)</f>
        <v>1.0908701854493581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637</v>
      </c>
      <c r="J15" s="215">
        <f>+'25'!J15</f>
        <v>0</v>
      </c>
      <c r="K15" s="240"/>
      <c r="L15" s="240"/>
      <c r="M15" s="118">
        <f>+K15+'25'!M15+L15</f>
        <v>0</v>
      </c>
      <c r="P15" s="150">
        <f t="shared" ref="P15:P18" si="3">+O15-O15*0.25</f>
        <v>0</v>
      </c>
      <c r="R15" s="150">
        <f t="shared" ref="R15:R18" si="4">+O15*Q15</f>
        <v>0</v>
      </c>
      <c r="S15" s="150">
        <f t="shared" ref="S15:S18" si="5">+P15*Q15</f>
        <v>0</v>
      </c>
    </row>
    <row r="16" spans="1:19" ht="13.5" thickBot="1">
      <c r="A16" s="777"/>
      <c r="B16" s="216" t="s">
        <v>622</v>
      </c>
      <c r="C16" s="223">
        <v>14020</v>
      </c>
      <c r="D16" s="224"/>
      <c r="E16" s="225"/>
      <c r="F16" s="232">
        <v>22</v>
      </c>
      <c r="G16" s="559" t="s">
        <v>12</v>
      </c>
      <c r="H16" s="231" t="s">
        <v>511</v>
      </c>
      <c r="I16" s="775"/>
      <c r="J16" s="215">
        <f>+'25'!J16</f>
        <v>0</v>
      </c>
      <c r="K16" s="230"/>
      <c r="L16" s="230"/>
      <c r="M16" s="118">
        <f>+K16+'25'!M16+L16</f>
        <v>0</v>
      </c>
      <c r="P16" s="150">
        <f t="shared" si="3"/>
        <v>0</v>
      </c>
      <c r="R16" s="150">
        <f t="shared" si="4"/>
        <v>0</v>
      </c>
      <c r="S16" s="150">
        <f t="shared" si="5"/>
        <v>0</v>
      </c>
    </row>
    <row r="17" spans="1:19" ht="13.5" thickBot="1">
      <c r="A17" s="777"/>
      <c r="B17" s="216"/>
      <c r="C17" s="217"/>
      <c r="D17" s="218"/>
      <c r="E17" s="226"/>
      <c r="F17" s="229">
        <v>15</v>
      </c>
      <c r="G17" s="559" t="s">
        <v>12</v>
      </c>
      <c r="H17" s="234" t="s">
        <v>487</v>
      </c>
      <c r="I17" s="775"/>
      <c r="J17" s="215">
        <f>+'25'!J17</f>
        <v>0</v>
      </c>
      <c r="K17" s="230"/>
      <c r="L17" s="230"/>
      <c r="M17" s="118">
        <f>+K17+'25'!M17+L17</f>
        <v>0</v>
      </c>
      <c r="P17" s="150">
        <f t="shared" si="3"/>
        <v>0</v>
      </c>
      <c r="R17" s="150">
        <f t="shared" si="4"/>
        <v>0</v>
      </c>
      <c r="S17" s="150">
        <f t="shared" si="5"/>
        <v>0</v>
      </c>
    </row>
    <row r="18" spans="1:19" ht="39" thickBot="1">
      <c r="A18" s="777"/>
      <c r="B18" s="216"/>
      <c r="C18" s="217"/>
      <c r="D18" s="218"/>
      <c r="E18" s="226"/>
      <c r="F18" s="229"/>
      <c r="G18" s="230"/>
      <c r="H18" s="560" t="s">
        <v>649</v>
      </c>
      <c r="I18" s="775"/>
      <c r="J18" s="215">
        <f>+'25'!J18</f>
        <v>0</v>
      </c>
      <c r="K18" s="240"/>
      <c r="L18" s="240"/>
      <c r="M18" s="118">
        <f>+K18+'25'!M18+L18</f>
        <v>0</v>
      </c>
      <c r="P18" s="150">
        <f t="shared" si="3"/>
        <v>0</v>
      </c>
      <c r="R18" s="150">
        <f t="shared" si="4"/>
        <v>0</v>
      </c>
      <c r="S18" s="150">
        <f t="shared" si="5"/>
        <v>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+'25'!J19</f>
        <v>0</v>
      </c>
      <c r="K19" s="240"/>
      <c r="L19" s="240"/>
      <c r="M19" s="118">
        <f>+K19+'25'!M19+L19</f>
        <v>0</v>
      </c>
      <c r="Q19" s="150">
        <f>SUM(Q14:Q18)</f>
        <v>480</v>
      </c>
      <c r="R19" s="150">
        <f>SUM(R14:R18)</f>
        <v>576000</v>
      </c>
      <c r="S19" s="150">
        <f>SUM(S14:S18)</f>
        <v>432000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+'25'!J20</f>
        <v>0</v>
      </c>
      <c r="K20" s="241"/>
      <c r="L20" s="241"/>
      <c r="M20" s="118">
        <f>+K20+'25'!M20+L20</f>
        <v>0</v>
      </c>
      <c r="O20" s="150" t="s">
        <v>402</v>
      </c>
      <c r="R20" s="150">
        <f>+R19/Q19</f>
        <v>1200</v>
      </c>
      <c r="S20" s="150">
        <f>+S19/Q19</f>
        <v>900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+'25'!J21</f>
        <v>0</v>
      </c>
      <c r="K21" s="240"/>
      <c r="L21" s="240"/>
      <c r="M21" s="118">
        <f>+K21+'25'!M21+L21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+'25'!J22</f>
        <v>0</v>
      </c>
      <c r="K22" s="240"/>
      <c r="L22" s="240"/>
      <c r="M22" s="118">
        <f>+K22+'25'!M22+L22</f>
        <v>0</v>
      </c>
    </row>
    <row r="23" spans="1:19" ht="13.5" thickBot="1">
      <c r="A23" s="778"/>
      <c r="B23" s="169" t="s">
        <v>2</v>
      </c>
      <c r="C23" s="101">
        <f>SUM(C16:C22)</f>
        <v>14020</v>
      </c>
      <c r="D23" s="112">
        <f>SUM(D16:D22)</f>
        <v>0</v>
      </c>
      <c r="E23" s="113">
        <f>SUM(E18:E22)</f>
        <v>0</v>
      </c>
      <c r="F23" s="117">
        <f>SUM(F15:F22)</f>
        <v>37</v>
      </c>
      <c r="G23" s="160"/>
      <c r="H23" s="167"/>
      <c r="I23" s="170"/>
      <c r="J23" s="215">
        <f>+'25'!J23</f>
        <v>0</v>
      </c>
      <c r="K23" s="240"/>
      <c r="L23" s="240"/>
      <c r="M23" s="118">
        <f>+K23+'25'!M23+L23</f>
        <v>0</v>
      </c>
      <c r="N23" s="150" t="s">
        <v>611</v>
      </c>
      <c r="O23" s="150">
        <v>1210</v>
      </c>
      <c r="P23" s="150">
        <f>+O23-O23*0.205</f>
        <v>961.95</v>
      </c>
      <c r="Q23" s="150">
        <v>480</v>
      </c>
      <c r="R23" s="150">
        <f>+O23*Q23</f>
        <v>580800</v>
      </c>
      <c r="S23" s="150">
        <f>+P23*Q23</f>
        <v>461736</v>
      </c>
    </row>
    <row r="24" spans="1:19" ht="13.5" customHeight="1" thickBot="1">
      <c r="A24" s="771" t="s">
        <v>445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652</v>
      </c>
      <c r="J24" s="215">
        <f>+'25'!J24</f>
        <v>0</v>
      </c>
      <c r="K24" s="240"/>
      <c r="L24" s="240"/>
      <c r="M24" s="118">
        <f>+K24+'25'!M24+L24</f>
        <v>0</v>
      </c>
      <c r="P24" s="150">
        <f t="shared" ref="P24:P27" si="6">+O24-O24*0.25</f>
        <v>0</v>
      </c>
      <c r="R24" s="150">
        <f t="shared" ref="R24:R27" si="7">+O24*Q24</f>
        <v>0</v>
      </c>
      <c r="S24" s="150">
        <f t="shared" ref="S24:S27" si="8">+P24*Q24</f>
        <v>0</v>
      </c>
    </row>
    <row r="25" spans="1:19" ht="13.5" thickBot="1">
      <c r="A25" s="777"/>
      <c r="B25" s="216" t="s">
        <v>622</v>
      </c>
      <c r="C25" s="227">
        <v>15153</v>
      </c>
      <c r="D25" s="218"/>
      <c r="E25" s="226"/>
      <c r="F25" s="232">
        <v>16</v>
      </c>
      <c r="G25" s="559" t="s">
        <v>12</v>
      </c>
      <c r="H25" s="231" t="s">
        <v>521</v>
      </c>
      <c r="I25" s="775"/>
      <c r="J25" s="215">
        <f>+'25'!J25</f>
        <v>0</v>
      </c>
      <c r="K25" s="240"/>
      <c r="L25" s="240"/>
      <c r="M25" s="118">
        <f>+K25+'25'!M25+L25</f>
        <v>0</v>
      </c>
      <c r="P25" s="150">
        <f t="shared" si="6"/>
        <v>0</v>
      </c>
      <c r="R25" s="150">
        <f t="shared" si="7"/>
        <v>0</v>
      </c>
      <c r="S25" s="150">
        <f t="shared" si="8"/>
        <v>0</v>
      </c>
    </row>
    <row r="26" spans="1:19" ht="13.5" thickBot="1">
      <c r="A26" s="777"/>
      <c r="B26" s="216"/>
      <c r="C26" s="227"/>
      <c r="D26" s="218"/>
      <c r="E26" s="228"/>
      <c r="F26" s="229">
        <v>15</v>
      </c>
      <c r="G26" s="559" t="s">
        <v>12</v>
      </c>
      <c r="H26" s="234" t="s">
        <v>553</v>
      </c>
      <c r="I26" s="775"/>
      <c r="J26" s="215">
        <f>+'25'!J26</f>
        <v>0</v>
      </c>
      <c r="K26" s="240"/>
      <c r="L26" s="240"/>
      <c r="M26" s="118">
        <f>+K26+'25'!M26+L26</f>
        <v>0</v>
      </c>
      <c r="P26" s="150">
        <f t="shared" si="6"/>
        <v>0</v>
      </c>
      <c r="R26" s="150">
        <f t="shared" si="7"/>
        <v>0</v>
      </c>
      <c r="S26" s="150">
        <f t="shared" si="8"/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636</v>
      </c>
      <c r="I27" s="775"/>
      <c r="J27" s="215">
        <f>+'25'!J27</f>
        <v>0</v>
      </c>
      <c r="K27" s="240"/>
      <c r="L27" s="240"/>
      <c r="M27" s="118">
        <f>+K27+'25'!M27+L27</f>
        <v>0</v>
      </c>
      <c r="P27" s="150">
        <f t="shared" si="6"/>
        <v>0</v>
      </c>
      <c r="R27" s="150">
        <f t="shared" si="7"/>
        <v>0</v>
      </c>
      <c r="S27" s="150">
        <f t="shared" si="8"/>
        <v>0</v>
      </c>
    </row>
    <row r="28" spans="1:19" ht="13.5" customHeight="1" thickBot="1">
      <c r="A28" s="777"/>
      <c r="B28" s="216"/>
      <c r="C28" s="217"/>
      <c r="D28" s="218"/>
      <c r="E28" s="226"/>
      <c r="F28" s="232"/>
      <c r="G28" s="233"/>
      <c r="H28" s="234" t="s">
        <v>648</v>
      </c>
      <c r="I28" s="775"/>
      <c r="J28" s="215">
        <f>+'25'!J28</f>
        <v>0</v>
      </c>
      <c r="K28" s="240"/>
      <c r="L28" s="240"/>
      <c r="M28" s="118">
        <f>+K28+'25'!M28+L28</f>
        <v>0</v>
      </c>
      <c r="Q28" s="150">
        <f>SUM(Q23:Q27)</f>
        <v>480</v>
      </c>
      <c r="R28" s="150">
        <f>SUM(R23:R27)</f>
        <v>580800</v>
      </c>
      <c r="S28" s="150">
        <f>SUM(S23:S27)</f>
        <v>461736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+'25'!J29</f>
        <v>0</v>
      </c>
      <c r="K29" s="240"/>
      <c r="L29" s="240"/>
      <c r="M29" s="118">
        <f>+K29+'25'!M29+L29</f>
        <v>0</v>
      </c>
      <c r="O29" s="150" t="s">
        <v>402</v>
      </c>
      <c r="R29" s="150">
        <f>+R28/Q28</f>
        <v>1210</v>
      </c>
      <c r="S29" s="150">
        <f>+S28/Q28</f>
        <v>961.95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+'25'!J30</f>
        <v>0</v>
      </c>
      <c r="K30" s="240"/>
      <c r="L30" s="240"/>
      <c r="M30" s="118">
        <f>+K30+'25'!M30+L30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+'25'!J31</f>
        <v>0</v>
      </c>
      <c r="K31" s="240"/>
      <c r="L31" s="240"/>
      <c r="M31" s="118">
        <f>+K31+'25'!M31+L31</f>
        <v>0</v>
      </c>
    </row>
    <row r="32" spans="1:19" ht="13.5" thickBot="1">
      <c r="A32" s="778"/>
      <c r="B32" s="166" t="s">
        <v>2</v>
      </c>
      <c r="C32" s="100">
        <f>SUM(C25:C31)</f>
        <v>15153</v>
      </c>
      <c r="D32" s="101">
        <f>SUM(D25:D31)</f>
        <v>0</v>
      </c>
      <c r="E32" s="102">
        <f>SUM(E25:E31)</f>
        <v>0</v>
      </c>
      <c r="F32" s="103">
        <f>SUM(F24:F31)</f>
        <v>31</v>
      </c>
      <c r="G32" s="172"/>
      <c r="H32" s="173"/>
      <c r="I32" s="170"/>
      <c r="J32" s="215">
        <f>+'25'!J32</f>
        <v>0</v>
      </c>
      <c r="K32" s="242"/>
      <c r="L32" s="244"/>
      <c r="M32" s="118">
        <f>+K32+'25'!M32+L32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44467</v>
      </c>
      <c r="D34" s="108">
        <f>D14+D23+D32</f>
        <v>0</v>
      </c>
      <c r="E34" s="108">
        <f>E14+E23+E32</f>
        <v>0</v>
      </c>
      <c r="F34" s="109">
        <f>F14+F23+F32</f>
        <v>94</v>
      </c>
      <c r="H34" s="179"/>
      <c r="I34" s="179"/>
      <c r="J34" s="124" t="s">
        <v>28</v>
      </c>
      <c r="K34" s="125">
        <f>SUM(K7:K32)</f>
        <v>44467</v>
      </c>
      <c r="L34" s="213">
        <f>SUM(L7:L32)</f>
        <v>0</v>
      </c>
      <c r="M34" s="121">
        <f>SUM(M7:M32)</f>
        <v>1035687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(14*1440)/1440*G42*2.74*1440/1000000</f>
        <v>50.873070360000007</v>
      </c>
      <c r="J37" s="126">
        <f>+I37+'25'!J37</f>
        <v>1176.8867133268816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94</v>
      </c>
      <c r="D38" s="119">
        <f>+C38+'25'!D38</f>
        <v>1953</v>
      </c>
      <c r="E38" s="144">
        <f t="shared" ref="E38:E51" si="9">D38/60</f>
        <v>32.549999999999997</v>
      </c>
      <c r="F38" s="323">
        <v>1201.2916666666667</v>
      </c>
      <c r="G38" s="323">
        <v>900.96875</v>
      </c>
      <c r="H38" s="188" t="s">
        <v>64</v>
      </c>
      <c r="I38" s="246">
        <f>13.486+16.307+14.88</f>
        <v>44.673000000000002</v>
      </c>
      <c r="J38" s="128">
        <f>+I38+'25'!J38</f>
        <v>1068.011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+C39+'25'!D39</f>
        <v>0</v>
      </c>
      <c r="E39" s="144">
        <f t="shared" si="9"/>
        <v>0</v>
      </c>
      <c r="F39" s="323">
        <v>1200</v>
      </c>
      <c r="G39" s="323">
        <v>900</v>
      </c>
      <c r="H39" s="188" t="s">
        <v>65</v>
      </c>
      <c r="I39" s="143"/>
      <c r="J39" s="130">
        <f>J37/G4</f>
        <v>45.264873589495444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+C40+'25'!D40</f>
        <v>0</v>
      </c>
      <c r="E40" s="144">
        <f t="shared" si="9"/>
        <v>0</v>
      </c>
      <c r="F40" s="323">
        <v>1210</v>
      </c>
      <c r="G40" s="323">
        <v>961.95</v>
      </c>
      <c r="H40" s="188" t="s">
        <v>67</v>
      </c>
      <c r="I40" s="119">
        <f>(K34+L34)/1000</f>
        <v>44.466999999999999</v>
      </c>
      <c r="J40" s="132">
        <f>+I40+'25'!J40</f>
        <v>1035.6870000000001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+C41+'25'!D41</f>
        <v>700</v>
      </c>
      <c r="E41" s="144">
        <f t="shared" si="9"/>
        <v>11.666666666666666</v>
      </c>
      <c r="F41" s="323"/>
      <c r="G41" s="323"/>
      <c r="H41" s="188" t="s">
        <v>69</v>
      </c>
      <c r="I41" s="143"/>
      <c r="J41" s="130">
        <f>J40/G4</f>
        <v>39.834115384615387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+C42+'25'!D42</f>
        <v>0</v>
      </c>
      <c r="E42" s="144">
        <f t="shared" si="9"/>
        <v>0</v>
      </c>
      <c r="F42" s="323">
        <f>+(480*F38+480*F39+480*F40)/1440</f>
        <v>1203.7638888888889</v>
      </c>
      <c r="G42" s="323">
        <f>+(480*G38+480*G39+480*G40)/1440</f>
        <v>920.97291666666672</v>
      </c>
      <c r="H42" s="188" t="s">
        <v>70</v>
      </c>
      <c r="I42" s="247" t="s">
        <v>654</v>
      </c>
      <c r="J42" s="133"/>
      <c r="K42" s="131" t="s">
        <v>71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+C43+'25'!D43</f>
        <v>0</v>
      </c>
      <c r="E43" s="144">
        <f t="shared" si="9"/>
        <v>0</v>
      </c>
      <c r="F43" s="323"/>
      <c r="G43" s="324"/>
      <c r="H43" s="189" t="s">
        <v>73</v>
      </c>
      <c r="I43" s="119">
        <f>+Report1!Z34</f>
        <v>61.7</v>
      </c>
      <c r="J43" s="134">
        <f>+I43+'25'!J43</f>
        <v>1558.2999999999997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+C44+'25'!D44</f>
        <v>0</v>
      </c>
      <c r="E44" s="144">
        <f t="shared" si="9"/>
        <v>0</v>
      </c>
      <c r="F44" s="323"/>
      <c r="G44" s="324"/>
      <c r="H44" s="189" t="s">
        <v>74</v>
      </c>
      <c r="I44" s="119">
        <f>I43/I38</f>
        <v>1.3811474492422717</v>
      </c>
      <c r="J44" s="135">
        <f>J43/J38</f>
        <v>1.4590673691563101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+C45+'25'!D45</f>
        <v>0</v>
      </c>
      <c r="E45" s="144">
        <f t="shared" si="9"/>
        <v>0</v>
      </c>
      <c r="F45" s="323"/>
      <c r="G45" s="326"/>
      <c r="H45" s="189" t="s">
        <v>75</v>
      </c>
      <c r="I45" s="119">
        <f>I43/I40</f>
        <v>1.3875458204960984</v>
      </c>
      <c r="J45" s="135">
        <f>J43/J40</f>
        <v>1.5046051558047939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+C46+'25'!D46</f>
        <v>0</v>
      </c>
      <c r="E46" s="144">
        <f t="shared" si="9"/>
        <v>0</v>
      </c>
      <c r="F46" s="323"/>
      <c r="G46" s="324"/>
      <c r="H46" s="189" t="s">
        <v>77</v>
      </c>
      <c r="I46" s="141">
        <f>+SUMIF(Listrik!P33,"&gt;0")</f>
        <v>36331.34000000036</v>
      </c>
      <c r="J46" s="136">
        <f>+I46+'25'!J46</f>
        <v>923742.13999999955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+C47+'25'!D47</f>
        <v>0</v>
      </c>
      <c r="E47" s="144">
        <f t="shared" si="9"/>
        <v>0</v>
      </c>
      <c r="F47" s="323"/>
      <c r="G47" s="324"/>
      <c r="H47" s="189" t="s">
        <v>80</v>
      </c>
      <c r="I47" s="119">
        <f>I46/I38</f>
        <v>813.2728941418834</v>
      </c>
      <c r="J47" s="136">
        <f>J46/J38</f>
        <v>864.918189044869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+C48+'25'!D48</f>
        <v>0</v>
      </c>
      <c r="E48" s="144">
        <f t="shared" si="9"/>
        <v>0</v>
      </c>
      <c r="F48" s="323"/>
      <c r="G48" s="324"/>
      <c r="H48" s="189" t="s">
        <v>81</v>
      </c>
      <c r="I48" s="119">
        <f>I46/I40</f>
        <v>817.04050194527088</v>
      </c>
      <c r="J48" s="136">
        <f>J46/J40</f>
        <v>891.91246003860181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+C49+'25'!D49</f>
        <v>301</v>
      </c>
      <c r="E49" s="144">
        <f t="shared" si="9"/>
        <v>5.0166666666666666</v>
      </c>
      <c r="F49" s="186"/>
      <c r="H49" s="189" t="s">
        <v>269</v>
      </c>
      <c r="I49" s="119">
        <f>+Report1!T34</f>
        <v>4020.2916952857881</v>
      </c>
      <c r="J49" s="136">
        <f>+I49+'25'!J49</f>
        <v>103771.40747780369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+C50+'25'!D50</f>
        <v>0</v>
      </c>
      <c r="E50" s="144">
        <f t="shared" si="9"/>
        <v>0</v>
      </c>
      <c r="F50" s="186"/>
      <c r="H50" s="189" t="s">
        <v>83</v>
      </c>
      <c r="I50" s="141">
        <f>I49/I38</f>
        <v>89.993770180775584</v>
      </c>
      <c r="J50" s="134">
        <f>J49/J38</f>
        <v>97.163238466461195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+C51+'25'!D51</f>
        <v>1000</v>
      </c>
      <c r="E51" s="144">
        <f t="shared" si="9"/>
        <v>16.666666666666668</v>
      </c>
      <c r="F51" s="186"/>
      <c r="H51" s="191" t="s">
        <v>85</v>
      </c>
      <c r="I51" s="142">
        <f>I49/I40</f>
        <v>90.410679723970318</v>
      </c>
      <c r="J51" s="137">
        <f>J49/J40</f>
        <v>100.19572272105731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94</v>
      </c>
      <c r="D52" s="145">
        <f>SUM(D38:D51)</f>
        <v>3954</v>
      </c>
      <c r="E52" s="146">
        <f>SUM(E38:E51)</f>
        <v>65.899999999999991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6.5277777777777782E-2</v>
      </c>
      <c r="D53" s="147">
        <f>D52/(24*60*G4)</f>
        <v>0.10560897435897436</v>
      </c>
      <c r="E53" s="148">
        <f>E52/(G4*24)</f>
        <v>0.10560897435897434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+D34+'25'!J56</f>
        <v>1299</v>
      </c>
      <c r="K56" s="202">
        <f>J56/(J40+J56/1000)/1000</f>
        <v>1.2526687920569803E-3</v>
      </c>
    </row>
    <row r="57" spans="1:11">
      <c r="A57" s="177"/>
      <c r="I57" s="200" t="s">
        <v>88</v>
      </c>
      <c r="J57" s="201">
        <f>+E34+'25'!J57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opLeftCell="A7" zoomScale="80" zoomScaleNormal="80" workbookViewId="0">
      <selection activeCell="G11" sqref="G1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4.42578125" style="150" bestFit="1" customWidth="1"/>
    <col min="14" max="16384" width="9.140625" style="150"/>
  </cols>
  <sheetData>
    <row r="1" spans="1:26" ht="15.75">
      <c r="A1" s="149"/>
    </row>
    <row r="2" spans="1:26" ht="15.75">
      <c r="A2" s="149" t="s">
        <v>182</v>
      </c>
    </row>
    <row r="3" spans="1:26" ht="15">
      <c r="A3" s="151"/>
    </row>
    <row r="4" spans="1:26" ht="20.25">
      <c r="A4" s="152" t="s">
        <v>3</v>
      </c>
      <c r="B4" s="153"/>
      <c r="F4" s="154" t="s">
        <v>29</v>
      </c>
      <c r="G4" s="155">
        <v>25</v>
      </c>
      <c r="H4" s="155" t="str">
        <f>+'1'!H4</f>
        <v>.07.25</v>
      </c>
      <c r="J4" s="150">
        <f>520+498+487</f>
        <v>1505</v>
      </c>
    </row>
    <row r="5" spans="1:26" ht="13.5" thickBot="1">
      <c r="C5" s="156"/>
      <c r="D5" s="156"/>
    </row>
    <row r="6" spans="1:26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611</v>
      </c>
      <c r="O6" s="150">
        <v>1200</v>
      </c>
      <c r="P6" s="150">
        <f>+O6-O6*0.26</f>
        <v>888</v>
      </c>
      <c r="Q6" s="150">
        <v>36</v>
      </c>
      <c r="R6" s="150">
        <f>+O6*Q6</f>
        <v>43200</v>
      </c>
      <c r="S6" s="150">
        <f>+P6*Q6</f>
        <v>31968</v>
      </c>
      <c r="U6" s="150" t="s">
        <v>611</v>
      </c>
      <c r="V6" s="150">
        <v>1200</v>
      </c>
      <c r="W6" s="150">
        <f>+V6-V6*0.26</f>
        <v>888</v>
      </c>
      <c r="X6" s="150">
        <v>36</v>
      </c>
      <c r="Y6" s="150">
        <f>+V6*X6</f>
        <v>43200</v>
      </c>
      <c r="Z6" s="150">
        <f>+W6*X6</f>
        <v>31968</v>
      </c>
    </row>
    <row r="7" spans="1:26" ht="13.5" customHeight="1" thickBot="1">
      <c r="A7" s="771" t="s">
        <v>445</v>
      </c>
      <c r="B7" s="216" t="s">
        <v>622</v>
      </c>
      <c r="C7" s="217">
        <v>14208</v>
      </c>
      <c r="D7" s="218"/>
      <c r="E7" s="219"/>
      <c r="F7" s="229">
        <v>15</v>
      </c>
      <c r="G7" s="557" t="s">
        <v>12</v>
      </c>
      <c r="H7" s="558" t="s">
        <v>454</v>
      </c>
      <c r="I7" s="774" t="s">
        <v>665</v>
      </c>
      <c r="J7" s="215" t="str">
        <f>+'24'!J7</f>
        <v>T 12,5 VP OW</v>
      </c>
      <c r="K7" s="239"/>
      <c r="L7" s="243"/>
      <c r="M7" s="118">
        <f>+K7+'24'!M7+L7</f>
        <v>106521</v>
      </c>
      <c r="N7" s="150" t="s">
        <v>611</v>
      </c>
      <c r="O7" s="150">
        <v>1180</v>
      </c>
      <c r="P7" s="150">
        <f>+O7-O7*0.26</f>
        <v>873.2</v>
      </c>
      <c r="Q7" s="150">
        <f>60-36+120+33</f>
        <v>177</v>
      </c>
      <c r="R7" s="150">
        <f>+O7*Q7</f>
        <v>208860</v>
      </c>
      <c r="S7" s="150">
        <f>+P7*Q7</f>
        <v>154556.4</v>
      </c>
      <c r="U7" s="150" t="s">
        <v>611</v>
      </c>
      <c r="V7" s="150">
        <v>1180</v>
      </c>
      <c r="W7" s="150">
        <f>+V7-V7*0.26</f>
        <v>873.2</v>
      </c>
      <c r="X7" s="150">
        <f>60-36+120+33</f>
        <v>177</v>
      </c>
      <c r="Y7" s="150">
        <f>+V7*X7</f>
        <v>208860</v>
      </c>
      <c r="Z7" s="150">
        <f>+W7*X7</f>
        <v>154556.4</v>
      </c>
    </row>
    <row r="8" spans="1:26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503</v>
      </c>
      <c r="I8" s="775"/>
      <c r="J8" s="215" t="str">
        <f>+'24'!J8</f>
        <v>F 13 VP OW</v>
      </c>
      <c r="K8" s="240"/>
      <c r="L8" s="240"/>
      <c r="M8" s="118">
        <f>+K8+'24'!M8+L8</f>
        <v>268085</v>
      </c>
      <c r="O8" s="150">
        <v>1220</v>
      </c>
      <c r="P8" s="150">
        <f>+O8-O8*0.26</f>
        <v>902.8</v>
      </c>
      <c r="Q8" s="150">
        <f>480-Q6-Q7</f>
        <v>267</v>
      </c>
      <c r="R8" s="150">
        <f>+O8*Q8</f>
        <v>325740</v>
      </c>
      <c r="S8" s="150">
        <f>+P8*Q8</f>
        <v>241047.59999999998</v>
      </c>
      <c r="V8" s="150">
        <v>1220</v>
      </c>
      <c r="W8" s="150">
        <f>+V8-V8*0.26</f>
        <v>902.8</v>
      </c>
      <c r="X8" s="150">
        <f>480-X6-X7</f>
        <v>267</v>
      </c>
      <c r="Y8" s="150">
        <f>+V8*X8</f>
        <v>325740</v>
      </c>
      <c r="Z8" s="150">
        <f>+W8*X8</f>
        <v>241047.59999999998</v>
      </c>
    </row>
    <row r="9" spans="1:26" ht="13.5" thickBot="1">
      <c r="A9" s="772"/>
      <c r="B9" s="216"/>
      <c r="C9" s="217"/>
      <c r="D9" s="218"/>
      <c r="E9" s="221"/>
      <c r="F9" s="229">
        <f>36-15</f>
        <v>21</v>
      </c>
      <c r="G9" s="559" t="s">
        <v>12</v>
      </c>
      <c r="H9" s="234" t="s">
        <v>442</v>
      </c>
      <c r="I9" s="775"/>
      <c r="J9" s="215" t="str">
        <f>+'24'!J9</f>
        <v>F 12 VP OW</v>
      </c>
      <c r="K9" s="240"/>
      <c r="L9" s="240"/>
      <c r="M9" s="118">
        <f>+K9+'24'!M9+L9</f>
        <v>100984</v>
      </c>
      <c r="P9" s="150">
        <f t="shared" ref="P9" si="0">+O9-O9*0.23</f>
        <v>0</v>
      </c>
      <c r="R9" s="150">
        <f>+O9*Q9</f>
        <v>0</v>
      </c>
      <c r="S9" s="150">
        <f>+P9*Q9</f>
        <v>0</v>
      </c>
      <c r="V9" s="150">
        <v>1200</v>
      </c>
      <c r="W9" s="150">
        <f>+V9-V9*0.26</f>
        <v>888</v>
      </c>
      <c r="X9" s="150">
        <v>480</v>
      </c>
      <c r="Y9" s="150">
        <f>+V9*X9</f>
        <v>576000</v>
      </c>
      <c r="Z9" s="150">
        <f>+W9*X9</f>
        <v>426240</v>
      </c>
    </row>
    <row r="10" spans="1:26" ht="13.5" thickBot="1">
      <c r="A10" s="772"/>
      <c r="B10" s="216"/>
      <c r="C10" s="217"/>
      <c r="D10" s="218"/>
      <c r="E10" s="220"/>
      <c r="F10" s="229"/>
      <c r="G10" s="230"/>
      <c r="H10" s="560" t="s">
        <v>663</v>
      </c>
      <c r="I10" s="775"/>
      <c r="J10" s="215" t="str">
        <f>+'24'!J10</f>
        <v>F 12,5 VP OW</v>
      </c>
      <c r="K10" s="240"/>
      <c r="L10" s="240"/>
      <c r="M10" s="118">
        <f>+K10+'24'!M10+L10</f>
        <v>19792</v>
      </c>
      <c r="V10" s="150">
        <v>1200</v>
      </c>
      <c r="W10" s="150">
        <f>+V10-V10*0.26</f>
        <v>888</v>
      </c>
      <c r="X10" s="150">
        <v>120</v>
      </c>
      <c r="Y10" s="150">
        <f>+V10*X10</f>
        <v>144000</v>
      </c>
      <c r="Z10" s="150">
        <f>+W10*X10</f>
        <v>106560</v>
      </c>
    </row>
    <row r="11" spans="1:26" ht="107.25" customHeight="1" thickBot="1">
      <c r="A11" s="772"/>
      <c r="B11" s="216"/>
      <c r="C11" s="217"/>
      <c r="D11" s="218"/>
      <c r="E11" s="220"/>
      <c r="F11" s="229"/>
      <c r="G11" s="233"/>
      <c r="H11" s="234" t="s">
        <v>635</v>
      </c>
      <c r="I11" s="775"/>
      <c r="J11" s="215" t="str">
        <f>+'24'!J11</f>
        <v>T 13 VP OW</v>
      </c>
      <c r="K11" s="240"/>
      <c r="L11" s="240"/>
      <c r="M11" s="118">
        <f>+K11+'24'!M11+L11</f>
        <v>278149</v>
      </c>
      <c r="Q11" s="150">
        <f>SUM(Q6:Q9)</f>
        <v>480</v>
      </c>
      <c r="R11" s="150">
        <f>SUM(R6:R9)</f>
        <v>577800</v>
      </c>
      <c r="S11" s="150">
        <f>SUM(S6:S9)</f>
        <v>427572</v>
      </c>
      <c r="X11" s="150">
        <f>SUM(X6:X10)</f>
        <v>1080</v>
      </c>
      <c r="Y11" s="150">
        <f>SUM(Y6:Y10)</f>
        <v>1297800</v>
      </c>
      <c r="Z11" s="150">
        <f>SUM(Z6:Z10)</f>
        <v>960372</v>
      </c>
    </row>
    <row r="12" spans="1:26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+'24'!J12</f>
        <v>F 11,5 VP OW</v>
      </c>
      <c r="K12" s="240"/>
      <c r="L12" s="240"/>
      <c r="M12" s="118">
        <f>+K12+'24'!M12+L12</f>
        <v>38991</v>
      </c>
      <c r="O12" s="150" t="s">
        <v>402</v>
      </c>
      <c r="R12" s="150">
        <f>+R11/Q11</f>
        <v>1203.75</v>
      </c>
      <c r="S12" s="150">
        <f>+S11/Q11</f>
        <v>890.77499999999998</v>
      </c>
      <c r="V12" s="150" t="s">
        <v>402</v>
      </c>
      <c r="Y12" s="150">
        <f>+Y11/X11</f>
        <v>1201.6666666666667</v>
      </c>
      <c r="Z12" s="150">
        <f>+Z11/X11</f>
        <v>889.23333333333335</v>
      </c>
    </row>
    <row r="13" spans="1:26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+'24'!J13</f>
        <v>T 15 VP OW</v>
      </c>
      <c r="K13" s="240"/>
      <c r="L13" s="240"/>
      <c r="M13" s="118">
        <f>+K13+'24'!M13+L13</f>
        <v>37511</v>
      </c>
    </row>
    <row r="14" spans="1:26" ht="13.5" thickBot="1">
      <c r="A14" s="773"/>
      <c r="B14" s="166" t="s">
        <v>2</v>
      </c>
      <c r="C14" s="100">
        <f>SUM(C7:C13)</f>
        <v>14208</v>
      </c>
      <c r="D14" s="112">
        <f>SUM(D7:D13)</f>
        <v>0</v>
      </c>
      <c r="E14" s="113">
        <f>SUM(E5:E13)</f>
        <v>0</v>
      </c>
      <c r="F14" s="117">
        <f>SUM(F7:F13)</f>
        <v>36</v>
      </c>
      <c r="G14" s="160"/>
      <c r="H14" s="167"/>
      <c r="I14" s="168"/>
      <c r="J14" s="215" t="str">
        <f>+'24'!J14</f>
        <v>F 14 VP OW</v>
      </c>
      <c r="K14" s="240">
        <f>+C7+C16+C25</f>
        <v>42748</v>
      </c>
      <c r="L14" s="240"/>
      <c r="M14" s="118">
        <f>+K14+'24'!M14+L14</f>
        <v>141187</v>
      </c>
    </row>
    <row r="15" spans="1:26" ht="13.5" customHeight="1" thickBot="1">
      <c r="A15" s="771" t="s">
        <v>634</v>
      </c>
      <c r="B15" s="166"/>
      <c r="C15" s="114">
        <f>C14/($C$23+$D$23+$E$23)</f>
        <v>0.98013245033112584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666</v>
      </c>
      <c r="J15" s="215">
        <f>+'24'!J15</f>
        <v>0</v>
      </c>
      <c r="K15" s="240"/>
      <c r="L15" s="240"/>
      <c r="M15" s="118">
        <f>+K15+'24'!M15+L15</f>
        <v>0</v>
      </c>
      <c r="N15" s="150" t="s">
        <v>611</v>
      </c>
      <c r="O15" s="150">
        <v>1200</v>
      </c>
      <c r="P15" s="150">
        <f>+O15-O15*0.26</f>
        <v>888</v>
      </c>
      <c r="Q15" s="150">
        <v>480</v>
      </c>
      <c r="R15" s="150">
        <f>+O15*Q15</f>
        <v>576000</v>
      </c>
      <c r="S15" s="150">
        <f>+P15*Q15</f>
        <v>426240</v>
      </c>
    </row>
    <row r="16" spans="1:26" ht="13.5" thickBot="1">
      <c r="A16" s="777"/>
      <c r="B16" s="216" t="s">
        <v>622</v>
      </c>
      <c r="C16" s="223">
        <v>14496</v>
      </c>
      <c r="D16" s="224"/>
      <c r="E16" s="225"/>
      <c r="F16" s="232">
        <v>9</v>
      </c>
      <c r="G16" s="559" t="s">
        <v>12</v>
      </c>
      <c r="H16" s="231" t="s">
        <v>639</v>
      </c>
      <c r="I16" s="775"/>
      <c r="J16" s="215">
        <f>+'24'!J16</f>
        <v>0</v>
      </c>
      <c r="K16" s="230"/>
      <c r="L16" s="230"/>
      <c r="M16" s="118">
        <f>+K16+'24'!M16+L16</f>
        <v>0</v>
      </c>
      <c r="P16" s="150">
        <f>+O16-O16*0.25</f>
        <v>0</v>
      </c>
      <c r="R16" s="150">
        <f>+O16*Q16</f>
        <v>0</v>
      </c>
      <c r="S16" s="150">
        <f>+P16*Q16</f>
        <v>0</v>
      </c>
    </row>
    <row r="17" spans="1:19" ht="13.5" thickBot="1">
      <c r="A17" s="777"/>
      <c r="B17" s="216"/>
      <c r="C17" s="217"/>
      <c r="D17" s="218"/>
      <c r="E17" s="226"/>
      <c r="F17" s="229">
        <v>10</v>
      </c>
      <c r="G17" s="559" t="s">
        <v>12</v>
      </c>
      <c r="H17" s="234" t="s">
        <v>442</v>
      </c>
      <c r="I17" s="775"/>
      <c r="J17" s="215">
        <f>+'24'!J17</f>
        <v>0</v>
      </c>
      <c r="K17" s="230"/>
      <c r="L17" s="230"/>
      <c r="M17" s="118">
        <f>+K17+'24'!M17+L17</f>
        <v>0</v>
      </c>
      <c r="P17" s="150">
        <f t="shared" ref="P17" si="1">+O17-O17*0.25</f>
        <v>0</v>
      </c>
      <c r="R17" s="150">
        <f>+O17*Q17</f>
        <v>0</v>
      </c>
      <c r="S17" s="150">
        <f>+P17*Q17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664</v>
      </c>
      <c r="I18" s="775"/>
      <c r="J18" s="215">
        <f>+'24'!J18</f>
        <v>0</v>
      </c>
      <c r="K18" s="240"/>
      <c r="L18" s="240"/>
      <c r="M18" s="118">
        <f>+K18+'24'!M18+L18</f>
        <v>0</v>
      </c>
      <c r="P18" s="150">
        <f t="shared" ref="P18" si="2">+O18-O18*0.23</f>
        <v>0</v>
      </c>
      <c r="R18" s="150">
        <f>+O18*Q18</f>
        <v>0</v>
      </c>
      <c r="S18" s="150">
        <f>+P18*Q18</f>
        <v>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+'24'!J19</f>
        <v>0</v>
      </c>
      <c r="K19" s="240"/>
      <c r="L19" s="240"/>
      <c r="M19" s="118">
        <f>+K19+'24'!M19+L19</f>
        <v>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+'24'!J20</f>
        <v>0</v>
      </c>
      <c r="K20" s="241"/>
      <c r="L20" s="241"/>
      <c r="M20" s="118">
        <f>+K20+'24'!M20+L20</f>
        <v>0</v>
      </c>
      <c r="Q20" s="150">
        <f>SUM(Q15:Q18)</f>
        <v>480</v>
      </c>
      <c r="R20" s="150">
        <f>SUM(R15:R18)</f>
        <v>576000</v>
      </c>
      <c r="S20" s="150">
        <f>SUM(S15:S18)</f>
        <v>426240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+'24'!J21</f>
        <v>0</v>
      </c>
      <c r="K21" s="240"/>
      <c r="L21" s="240"/>
      <c r="M21" s="118">
        <f>+K21+'24'!M21+L21</f>
        <v>0</v>
      </c>
      <c r="O21" s="150" t="s">
        <v>402</v>
      </c>
      <c r="R21" s="150">
        <f>+R20/Q20</f>
        <v>1200</v>
      </c>
      <c r="S21" s="150">
        <f>+S20/Q20</f>
        <v>888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+'24'!J22</f>
        <v>0</v>
      </c>
      <c r="K22" s="240"/>
      <c r="L22" s="240"/>
      <c r="M22" s="118">
        <f>+K22+'24'!M22+L22</f>
        <v>0</v>
      </c>
    </row>
    <row r="23" spans="1:19" ht="13.5" thickBot="1">
      <c r="A23" s="778"/>
      <c r="B23" s="169" t="s">
        <v>2</v>
      </c>
      <c r="C23" s="101">
        <f>SUM(C16:C22)</f>
        <v>14496</v>
      </c>
      <c r="D23" s="112">
        <f>SUM(D16:D22)</f>
        <v>0</v>
      </c>
      <c r="E23" s="113">
        <f>SUM(E18:E22)</f>
        <v>0</v>
      </c>
      <c r="F23" s="117">
        <f>SUM(F15:F22)</f>
        <v>19</v>
      </c>
      <c r="G23" s="160"/>
      <c r="H23" s="167"/>
      <c r="I23" s="170"/>
      <c r="J23" s="215">
        <f>+'24'!J23</f>
        <v>0</v>
      </c>
      <c r="K23" s="240"/>
      <c r="L23" s="240"/>
      <c r="M23" s="118">
        <f>+K23+'24'!M23+L23</f>
        <v>0</v>
      </c>
    </row>
    <row r="24" spans="1:19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667</v>
      </c>
      <c r="J24" s="215">
        <f>+'24'!J24</f>
        <v>0</v>
      </c>
      <c r="K24" s="240"/>
      <c r="L24" s="240"/>
      <c r="M24" s="118">
        <f>+K24+'24'!M24+L24</f>
        <v>0</v>
      </c>
      <c r="N24" s="150" t="s">
        <v>611</v>
      </c>
      <c r="O24" s="150">
        <v>1200</v>
      </c>
      <c r="P24" s="150">
        <f>+O24-O24*0.26</f>
        <v>888</v>
      </c>
      <c r="Q24" s="150">
        <f>480-Q25</f>
        <v>120</v>
      </c>
      <c r="R24" s="150">
        <f>+O24*Q24</f>
        <v>144000</v>
      </c>
      <c r="S24" s="150">
        <f>+P24*Q24</f>
        <v>106560</v>
      </c>
    </row>
    <row r="25" spans="1:19" ht="13.5" thickBot="1">
      <c r="A25" s="777"/>
      <c r="B25" s="216" t="s">
        <v>622</v>
      </c>
      <c r="C25" s="227">
        <v>14044</v>
      </c>
      <c r="D25" s="218"/>
      <c r="E25" s="226"/>
      <c r="F25" s="232">
        <v>9</v>
      </c>
      <c r="G25" s="559" t="s">
        <v>12</v>
      </c>
      <c r="H25" s="231" t="s">
        <v>511</v>
      </c>
      <c r="I25" s="775"/>
      <c r="J25" s="215">
        <f>+'24'!J25</f>
        <v>0</v>
      </c>
      <c r="K25" s="240"/>
      <c r="L25" s="240"/>
      <c r="M25" s="118">
        <f>+K25+'24'!M25+L25</f>
        <v>0</v>
      </c>
      <c r="O25" s="150">
        <v>1230</v>
      </c>
      <c r="P25" s="150">
        <f>+O25-O25*0.25</f>
        <v>922.5</v>
      </c>
      <c r="Q25" s="150">
        <f>6*60</f>
        <v>360</v>
      </c>
      <c r="R25" s="150">
        <f>+O25*Q25</f>
        <v>442800</v>
      </c>
      <c r="S25" s="150">
        <f>+P25*Q25</f>
        <v>332100</v>
      </c>
    </row>
    <row r="26" spans="1:19" ht="13.5" thickBot="1">
      <c r="A26" s="777"/>
      <c r="B26" s="216"/>
      <c r="C26" s="227"/>
      <c r="D26" s="218"/>
      <c r="E26" s="228"/>
      <c r="F26" s="229">
        <v>10</v>
      </c>
      <c r="G26" s="559" t="s">
        <v>12</v>
      </c>
      <c r="H26" s="234" t="s">
        <v>442</v>
      </c>
      <c r="I26" s="775"/>
      <c r="J26" s="215">
        <f>+'24'!J26</f>
        <v>0</v>
      </c>
      <c r="K26" s="240"/>
      <c r="L26" s="240"/>
      <c r="M26" s="118">
        <f>+K26+'24'!M26+L26</f>
        <v>0</v>
      </c>
      <c r="P26" s="150">
        <f t="shared" ref="P26" si="3">+O26-O26*0.25</f>
        <v>0</v>
      </c>
      <c r="R26" s="150">
        <f>+O26*Q26</f>
        <v>0</v>
      </c>
      <c r="S26" s="150">
        <f>+P26*Q26</f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636</v>
      </c>
      <c r="I27" s="775"/>
      <c r="J27" s="215">
        <f>+'24'!J27</f>
        <v>0</v>
      </c>
      <c r="K27" s="240"/>
      <c r="L27" s="240"/>
      <c r="M27" s="118">
        <f>+K27+'24'!M27+L27</f>
        <v>0</v>
      </c>
      <c r="P27" s="150">
        <f t="shared" ref="P27" si="4">+O27-O27*0.23</f>
        <v>0</v>
      </c>
      <c r="R27" s="150">
        <f>+O27*Q27</f>
        <v>0</v>
      </c>
      <c r="S27" s="150">
        <f>+P27*Q27</f>
        <v>0</v>
      </c>
    </row>
    <row r="28" spans="1:19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+'24'!J28</f>
        <v>0</v>
      </c>
      <c r="K28" s="240"/>
      <c r="L28" s="240"/>
      <c r="M28" s="118">
        <f>+K28+'24'!M28+L28</f>
        <v>0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+'24'!J29</f>
        <v>0</v>
      </c>
      <c r="K29" s="240"/>
      <c r="L29" s="240"/>
      <c r="M29" s="118">
        <f>+K29+'24'!M29+L29</f>
        <v>0</v>
      </c>
      <c r="Q29" s="150">
        <f>SUM(Q24:Q27)</f>
        <v>480</v>
      </c>
      <c r="R29" s="150">
        <f>SUM(R24:R27)</f>
        <v>586800</v>
      </c>
      <c r="S29" s="150">
        <f>SUM(S24:S27)</f>
        <v>438660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+'24'!J30</f>
        <v>0</v>
      </c>
      <c r="K30" s="240"/>
      <c r="L30" s="240"/>
      <c r="M30" s="118">
        <f>+K30+'24'!M30+L30</f>
        <v>0</v>
      </c>
      <c r="O30" s="150" t="s">
        <v>402</v>
      </c>
      <c r="R30" s="150">
        <f>+R29/Q29</f>
        <v>1222.5</v>
      </c>
      <c r="S30" s="150">
        <f>+S29/Q29</f>
        <v>913.875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+'24'!J31</f>
        <v>0</v>
      </c>
      <c r="K31" s="240"/>
      <c r="L31" s="240"/>
      <c r="M31" s="118">
        <f>+K31+'24'!M31+L31</f>
        <v>0</v>
      </c>
    </row>
    <row r="32" spans="1:19" ht="13.5" thickBot="1">
      <c r="A32" s="778"/>
      <c r="B32" s="166" t="s">
        <v>2</v>
      </c>
      <c r="C32" s="100">
        <f>SUM(C25:C31)</f>
        <v>14044</v>
      </c>
      <c r="D32" s="101">
        <f>SUM(D25:D31)</f>
        <v>0</v>
      </c>
      <c r="E32" s="102">
        <f>SUM(E25:E31)</f>
        <v>0</v>
      </c>
      <c r="F32" s="103">
        <f>SUM(F24:F31)</f>
        <v>19</v>
      </c>
      <c r="G32" s="172"/>
      <c r="H32" s="173"/>
      <c r="I32" s="170"/>
      <c r="J32" s="215">
        <f>+'24'!J32</f>
        <v>0</v>
      </c>
      <c r="K32" s="242"/>
      <c r="L32" s="244"/>
      <c r="M32" s="118">
        <f>+K32+'24'!M32+L32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7" ht="13.5" thickBot="1">
      <c r="A34" s="767" t="s">
        <v>57</v>
      </c>
      <c r="B34" s="768"/>
      <c r="C34" s="108">
        <f>C14+C23+C32</f>
        <v>42748</v>
      </c>
      <c r="D34" s="108">
        <f>D14+D23+D32</f>
        <v>0</v>
      </c>
      <c r="E34" s="108">
        <f>E14+E23+E32</f>
        <v>0</v>
      </c>
      <c r="F34" s="109">
        <f>F14+F23+F32</f>
        <v>74</v>
      </c>
      <c r="H34" s="179"/>
      <c r="I34" s="179"/>
      <c r="J34" s="124" t="s">
        <v>28</v>
      </c>
      <c r="K34" s="125">
        <f>SUM(K7:K32)</f>
        <v>42748</v>
      </c>
      <c r="L34" s="213">
        <f>SUM(L7:L32)</f>
        <v>0</v>
      </c>
      <c r="M34" s="121">
        <f>SUM(M7:M32)</f>
        <v>991220</v>
      </c>
      <c r="N34" s="150" t="s">
        <v>611</v>
      </c>
      <c r="O34" s="150">
        <v>1201.6666666666667</v>
      </c>
      <c r="P34" s="150">
        <v>889.23333333333335</v>
      </c>
      <c r="Q34" s="150">
        <v>1080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N35" s="150" t="s">
        <v>611</v>
      </c>
      <c r="O35" s="150">
        <v>1230</v>
      </c>
      <c r="P35" s="150">
        <v>922.5</v>
      </c>
      <c r="Q35" s="150">
        <v>360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(14*1440)/1440*G42*2.74*1440/1000000</f>
        <v>49.579225919999992</v>
      </c>
      <c r="J37" s="126">
        <f>+I37+'24'!J37</f>
        <v>1126.0136429668817</v>
      </c>
      <c r="K37" s="127" t="s">
        <v>63</v>
      </c>
    </row>
    <row r="38" spans="1:17" ht="17.45" customHeight="1">
      <c r="A38" s="761" t="s">
        <v>12</v>
      </c>
      <c r="B38" s="762"/>
      <c r="C38" s="165">
        <f>SUMIF($G$7:$G$31,"Process",$F$7:$F$31)</f>
        <v>74</v>
      </c>
      <c r="D38" s="119">
        <f>+C38+'24'!D38</f>
        <v>1859</v>
      </c>
      <c r="E38" s="144">
        <f t="shared" ref="E38:E51" si="5">D38/60</f>
        <v>30.983333333333334</v>
      </c>
      <c r="F38" s="323">
        <v>1203.75</v>
      </c>
      <c r="G38" s="323">
        <v>890.77499999999998</v>
      </c>
      <c r="H38" s="188" t="s">
        <v>64</v>
      </c>
      <c r="I38" s="246">
        <f>14.524+14.342+14.804</f>
        <v>43.67</v>
      </c>
      <c r="J38" s="128">
        <f>+I38+'24'!J38</f>
        <v>1023.3379999999999</v>
      </c>
      <c r="K38" s="129" t="s">
        <v>63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+C39+'24'!D39</f>
        <v>0</v>
      </c>
      <c r="E39" s="144">
        <f t="shared" si="5"/>
        <v>0</v>
      </c>
      <c r="F39" s="323">
        <v>1200</v>
      </c>
      <c r="G39" s="323">
        <v>888</v>
      </c>
      <c r="H39" s="188" t="s">
        <v>65</v>
      </c>
      <c r="I39" s="143"/>
      <c r="J39" s="130">
        <f>J37/G4</f>
        <v>45.040545718675268</v>
      </c>
      <c r="K39" s="131" t="s">
        <v>63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+C40+'24'!D40</f>
        <v>0</v>
      </c>
      <c r="E40" s="144">
        <f t="shared" si="5"/>
        <v>0</v>
      </c>
      <c r="F40" s="323">
        <v>1222.5</v>
      </c>
      <c r="G40" s="323">
        <v>913.875</v>
      </c>
      <c r="H40" s="188" t="s">
        <v>67</v>
      </c>
      <c r="I40" s="119">
        <f>(K34+L34)/1000</f>
        <v>42.747999999999998</v>
      </c>
      <c r="J40" s="132">
        <f>+I40+'24'!J40</f>
        <v>991.22</v>
      </c>
      <c r="K40" s="131" t="s">
        <v>63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+C41+'24'!D41</f>
        <v>700</v>
      </c>
      <c r="E41" s="144">
        <f t="shared" si="5"/>
        <v>11.666666666666666</v>
      </c>
      <c r="F41" s="323"/>
      <c r="G41" s="323"/>
      <c r="H41" s="188" t="s">
        <v>69</v>
      </c>
      <c r="I41" s="143"/>
      <c r="J41" s="130">
        <f>J40/G4</f>
        <v>39.648800000000001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+C42+'24'!D42</f>
        <v>0</v>
      </c>
      <c r="E42" s="144">
        <f t="shared" si="5"/>
        <v>0</v>
      </c>
      <c r="F42" s="323">
        <f>+(480*F38+480*F39+480*F40)/1440</f>
        <v>1208.75</v>
      </c>
      <c r="G42" s="323">
        <f>+(480*G38+480*G39+480*G40)/1440</f>
        <v>897.55</v>
      </c>
      <c r="H42" s="188" t="s">
        <v>70</v>
      </c>
      <c r="I42" s="247" t="s">
        <v>638</v>
      </c>
      <c r="J42" s="133"/>
      <c r="K42" s="131" t="s">
        <v>71</v>
      </c>
    </row>
    <row r="43" spans="1:17" ht="17.45" customHeight="1">
      <c r="A43" s="765" t="s">
        <v>72</v>
      </c>
      <c r="B43" s="766"/>
      <c r="C43" s="165">
        <f>SUMIF($G$7:$G$31,"Water",$F$7:$F$31)</f>
        <v>0</v>
      </c>
      <c r="D43" s="119">
        <f>+C43+'24'!D43</f>
        <v>0</v>
      </c>
      <c r="E43" s="144">
        <f t="shared" si="5"/>
        <v>0</v>
      </c>
      <c r="F43" s="323"/>
      <c r="G43" s="324"/>
      <c r="H43" s="189" t="s">
        <v>73</v>
      </c>
      <c r="I43" s="119">
        <f>+Report1!Z33</f>
        <v>62.9</v>
      </c>
      <c r="J43" s="134">
        <f>+I43+'24'!J43</f>
        <v>1496.5999999999997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+C44+'24'!D44</f>
        <v>0</v>
      </c>
      <c r="E44" s="144">
        <f t="shared" si="5"/>
        <v>0</v>
      </c>
      <c r="F44" s="323"/>
      <c r="G44" s="324"/>
      <c r="H44" s="189" t="s">
        <v>74</v>
      </c>
      <c r="I44" s="119">
        <f>I43/I38</f>
        <v>1.4403480650332035</v>
      </c>
      <c r="J44" s="135">
        <f>J43/J38</f>
        <v>1.4624689007932863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+C45+'24'!D45</f>
        <v>0</v>
      </c>
      <c r="E45" s="144">
        <f t="shared" si="5"/>
        <v>0</v>
      </c>
      <c r="F45" s="323"/>
      <c r="G45" s="326"/>
      <c r="H45" s="189" t="s">
        <v>75</v>
      </c>
      <c r="I45" s="119">
        <f>I43/I40</f>
        <v>1.47141386731543</v>
      </c>
      <c r="J45" s="135">
        <f>J43/J40</f>
        <v>1.5098565404249304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+C46+'24'!D46</f>
        <v>0</v>
      </c>
      <c r="E46" s="144">
        <f t="shared" si="5"/>
        <v>0</v>
      </c>
      <c r="F46" s="323"/>
      <c r="G46" s="324"/>
      <c r="H46" s="189" t="s">
        <v>77</v>
      </c>
      <c r="I46" s="141">
        <f>+SUMIF(Listrik!P32,"&gt;0")</f>
        <v>34188.819999998908</v>
      </c>
      <c r="J46" s="136">
        <f>+I46+'24'!J46</f>
        <v>887410.79999999923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+C47+'24'!D47</f>
        <v>0</v>
      </c>
      <c r="E47" s="144">
        <f t="shared" si="5"/>
        <v>0</v>
      </c>
      <c r="F47" s="323"/>
      <c r="G47" s="324"/>
      <c r="H47" s="189" t="s">
        <v>80</v>
      </c>
      <c r="I47" s="119">
        <f>I46/I38</f>
        <v>782.89031371648514</v>
      </c>
      <c r="J47" s="136">
        <f>J46/J38</f>
        <v>867.17272299083913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+C48+'24'!D48</f>
        <v>0</v>
      </c>
      <c r="E48" s="144">
        <f t="shared" si="5"/>
        <v>0</v>
      </c>
      <c r="F48" s="323"/>
      <c r="G48" s="324"/>
      <c r="H48" s="189" t="s">
        <v>81</v>
      </c>
      <c r="I48" s="119">
        <f>I46/I40</f>
        <v>799.77589594832295</v>
      </c>
      <c r="J48" s="136">
        <f>J46/J40</f>
        <v>895.27128185468337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+C49+'24'!D49</f>
        <v>301</v>
      </c>
      <c r="E49" s="144">
        <f t="shared" si="5"/>
        <v>5.0166666666666666</v>
      </c>
      <c r="F49" s="186"/>
      <c r="H49" s="189" t="s">
        <v>269</v>
      </c>
      <c r="I49" s="119">
        <f>+Report1!T33</f>
        <v>4185.9291089357957</v>
      </c>
      <c r="J49" s="136">
        <f>+I49+'24'!J49</f>
        <v>99751.115782517896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+C50+'24'!D50</f>
        <v>0</v>
      </c>
      <c r="E50" s="144">
        <f t="shared" si="5"/>
        <v>0</v>
      </c>
      <c r="F50" s="186"/>
      <c r="H50" s="189" t="s">
        <v>83</v>
      </c>
      <c r="I50" s="141">
        <f>I49/I38</f>
        <v>95.85365488746956</v>
      </c>
      <c r="J50" s="134">
        <f>J49/J38</f>
        <v>97.476215856850729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+C51+'24'!D51</f>
        <v>1000</v>
      </c>
      <c r="E51" s="144">
        <f t="shared" si="5"/>
        <v>16.666666666666668</v>
      </c>
      <c r="F51" s="186"/>
      <c r="H51" s="191" t="s">
        <v>85</v>
      </c>
      <c r="I51" s="142">
        <f>I49/I40</f>
        <v>97.921051486286984</v>
      </c>
      <c r="J51" s="137">
        <f>J49/J40</f>
        <v>100.63468834619751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74</v>
      </c>
      <c r="D52" s="145">
        <f>SUM(D38:D51)</f>
        <v>3860</v>
      </c>
      <c r="E52" s="146">
        <f>SUM(E38:E51)</f>
        <v>64.333333333333329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5.1388888888888887E-2</v>
      </c>
      <c r="D53" s="147">
        <f>D52/(24*60*G4)</f>
        <v>0.10722222222222222</v>
      </c>
      <c r="E53" s="148">
        <f>E52/(G4*24)</f>
        <v>0.10722222222222222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+D34+'24'!J56</f>
        <v>1299</v>
      </c>
      <c r="K56" s="202">
        <f>J56/(J40+J56/1000)/1000</f>
        <v>1.3087910659644803E-3</v>
      </c>
    </row>
    <row r="57" spans="1:11">
      <c r="A57" s="177"/>
      <c r="I57" s="200" t="s">
        <v>88</v>
      </c>
      <c r="J57" s="201">
        <f>+E34+'24'!J57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19513888888888889" header="0" footer="0"/>
  <pageSetup paperSize="9" scale="62" firstPageNumber="4294963191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C4" zoomScale="80" zoomScaleNormal="80" workbookViewId="0">
      <selection activeCell="H12" sqref="H1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3.57031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24</v>
      </c>
      <c r="H4" s="155" t="str">
        <f>+'1'!H4</f>
        <v>.07.25</v>
      </c>
      <c r="J4" s="150">
        <f>473+571+499</f>
        <v>1543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611</v>
      </c>
      <c r="P6" s="150">
        <f>+O6-O6*0.25</f>
        <v>0</v>
      </c>
      <c r="R6" s="150">
        <f>+O6*Q6</f>
        <v>0</v>
      </c>
      <c r="S6" s="150">
        <f>+P6*Q6</f>
        <v>0</v>
      </c>
    </row>
    <row r="7" spans="1:19" ht="13.5" customHeight="1" thickBot="1">
      <c r="A7" s="771" t="s">
        <v>445</v>
      </c>
      <c r="B7" s="216" t="s">
        <v>622</v>
      </c>
      <c r="C7" s="217">
        <v>7459</v>
      </c>
      <c r="D7" s="218"/>
      <c r="E7" s="219"/>
      <c r="F7" s="229">
        <v>16</v>
      </c>
      <c r="G7" s="557" t="s">
        <v>12</v>
      </c>
      <c r="H7" s="558" t="s">
        <v>470</v>
      </c>
      <c r="I7" s="774" t="s">
        <v>631</v>
      </c>
      <c r="J7" s="215" t="str">
        <f>+'23'!J7</f>
        <v>T 12,5 VP OW</v>
      </c>
      <c r="K7" s="239"/>
      <c r="L7" s="243"/>
      <c r="M7" s="118">
        <f>+K7+'23'!M7+L7</f>
        <v>106521</v>
      </c>
      <c r="N7" s="150" t="s">
        <v>611</v>
      </c>
      <c r="O7" s="150">
        <v>1100</v>
      </c>
      <c r="P7" s="150">
        <f>+O7-O7*0.25</f>
        <v>825</v>
      </c>
      <c r="Q7" s="150">
        <f>60-40+60+5</f>
        <v>85</v>
      </c>
      <c r="R7" s="150">
        <f>+O7*Q7</f>
        <v>93500</v>
      </c>
      <c r="S7" s="150">
        <f>+P7*Q7</f>
        <v>70125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+'23'!J8</f>
        <v>F 13 VP OW</v>
      </c>
      <c r="K8" s="240"/>
      <c r="L8" s="240"/>
      <c r="M8" s="118">
        <f>+K8+'23'!M8+L8</f>
        <v>268085</v>
      </c>
      <c r="O8" s="150">
        <v>1220</v>
      </c>
      <c r="P8" s="150">
        <f>+O8-O8*0.25</f>
        <v>915</v>
      </c>
      <c r="Q8" s="150">
        <f>480-Q7-40</f>
        <v>355</v>
      </c>
      <c r="R8" s="150">
        <f>+O8*Q8</f>
        <v>433100</v>
      </c>
      <c r="S8" s="150">
        <f>+P8*Q8</f>
        <v>324825</v>
      </c>
    </row>
    <row r="9" spans="1:19" ht="13.5" thickBot="1">
      <c r="A9" s="772"/>
      <c r="B9" s="216"/>
      <c r="C9" s="217"/>
      <c r="D9" s="218"/>
      <c r="E9" s="221"/>
      <c r="F9" s="229">
        <f>38-16</f>
        <v>22</v>
      </c>
      <c r="G9" s="559" t="s">
        <v>12</v>
      </c>
      <c r="H9" s="234" t="s">
        <v>409</v>
      </c>
      <c r="I9" s="775"/>
      <c r="J9" s="215" t="str">
        <f>+'23'!J9</f>
        <v>F 12 VP OW</v>
      </c>
      <c r="K9" s="240"/>
      <c r="L9" s="240"/>
      <c r="M9" s="118">
        <f>+K9+'23'!M9+L9</f>
        <v>100984</v>
      </c>
      <c r="P9" s="150">
        <f t="shared" ref="P9" si="0">+O9-O9*0.23</f>
        <v>0</v>
      </c>
      <c r="R9" s="150">
        <f>+O9*Q9</f>
        <v>0</v>
      </c>
      <c r="S9" s="150">
        <f>+P9*Q9</f>
        <v>0</v>
      </c>
    </row>
    <row r="10" spans="1:19" ht="13.5" thickBot="1">
      <c r="A10" s="772"/>
      <c r="B10" s="216"/>
      <c r="C10" s="217"/>
      <c r="D10" s="218"/>
      <c r="E10" s="220"/>
      <c r="F10" s="229"/>
      <c r="G10" s="230"/>
      <c r="H10" s="560" t="s">
        <v>613</v>
      </c>
      <c r="I10" s="775"/>
      <c r="J10" s="215" t="str">
        <f>+'23'!J10</f>
        <v>F 12,5 VP OW</v>
      </c>
      <c r="K10" s="240"/>
      <c r="L10" s="240"/>
      <c r="M10" s="118">
        <f>+K10+'23'!M10+L10</f>
        <v>19792</v>
      </c>
    </row>
    <row r="11" spans="1:19" ht="26.25" thickBot="1">
      <c r="A11" s="772"/>
      <c r="B11" s="216"/>
      <c r="C11" s="217"/>
      <c r="D11" s="218"/>
      <c r="E11" s="220"/>
      <c r="F11" s="229"/>
      <c r="G11" s="233"/>
      <c r="H11" s="234" t="s">
        <v>629</v>
      </c>
      <c r="I11" s="775"/>
      <c r="J11" s="215" t="str">
        <f>+'23'!J11</f>
        <v>T 13 VP OW</v>
      </c>
      <c r="K11" s="240"/>
      <c r="L11" s="240"/>
      <c r="M11" s="118">
        <f>+K11+'23'!M11+L11</f>
        <v>278149</v>
      </c>
      <c r="Q11" s="150">
        <f>SUM(Q6:Q9)</f>
        <v>440</v>
      </c>
      <c r="R11" s="150">
        <f>SUM(R6:R9)</f>
        <v>526600</v>
      </c>
      <c r="S11" s="150">
        <f>SUM(S6:S9)</f>
        <v>394950</v>
      </c>
    </row>
    <row r="12" spans="1:19" ht="90" thickBot="1">
      <c r="A12" s="772"/>
      <c r="B12" s="216"/>
      <c r="C12" s="217"/>
      <c r="D12" s="218"/>
      <c r="E12" s="220"/>
      <c r="F12" s="229">
        <v>40</v>
      </c>
      <c r="G12" s="233" t="s">
        <v>68</v>
      </c>
      <c r="H12" s="234" t="s">
        <v>630</v>
      </c>
      <c r="I12" s="775"/>
      <c r="J12" s="215" t="str">
        <f>+'23'!J12</f>
        <v>F 11,5 VP OW</v>
      </c>
      <c r="K12" s="240"/>
      <c r="L12" s="240"/>
      <c r="M12" s="118">
        <f>+K12+'23'!M12+L12</f>
        <v>38991</v>
      </c>
      <c r="O12" s="150" t="s">
        <v>402</v>
      </c>
      <c r="R12" s="150">
        <f>+R11/Q11</f>
        <v>1196.8181818181818</v>
      </c>
      <c r="S12" s="150">
        <f>+S11/Q11</f>
        <v>897.61363636363637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+'23'!J13</f>
        <v>T 15 VP OW</v>
      </c>
      <c r="K13" s="240"/>
      <c r="L13" s="240"/>
      <c r="M13" s="118">
        <f>+K13+'23'!M13+L13</f>
        <v>37511</v>
      </c>
    </row>
    <row r="14" spans="1:19" ht="13.5" thickBot="1">
      <c r="A14" s="773"/>
      <c r="B14" s="166" t="s">
        <v>2</v>
      </c>
      <c r="C14" s="100">
        <f>SUM(C7:C13)</f>
        <v>7459</v>
      </c>
      <c r="D14" s="112">
        <f>SUM(D7:D13)</f>
        <v>0</v>
      </c>
      <c r="E14" s="113">
        <f>SUM(E5:E13)</f>
        <v>0</v>
      </c>
      <c r="F14" s="117">
        <f>SUM(F7:F13)</f>
        <v>78</v>
      </c>
      <c r="G14" s="160"/>
      <c r="H14" s="167"/>
      <c r="I14" s="168"/>
      <c r="J14" s="215" t="str">
        <f>+'23'!J14</f>
        <v>F 14 VP OW</v>
      </c>
      <c r="K14" s="240">
        <f>+C34</f>
        <v>37004</v>
      </c>
      <c r="L14" s="240"/>
      <c r="M14" s="118">
        <f>+K14+'23'!M14+L14</f>
        <v>98439</v>
      </c>
    </row>
    <row r="15" spans="1:19" ht="13.5" customHeight="1" thickBot="1">
      <c r="A15" s="771" t="s">
        <v>634</v>
      </c>
      <c r="B15" s="166"/>
      <c r="C15" s="114">
        <f>C14/($C$23+$D$23+$E$23)</f>
        <v>0.49156451825490971</v>
      </c>
      <c r="D15" s="115">
        <f>D14/($C$23+$D$23+$E$23)</f>
        <v>0</v>
      </c>
      <c r="E15" s="116">
        <f>E14/($C$23+$D$23+$E$23)</f>
        <v>0</v>
      </c>
      <c r="F15" s="229">
        <v>6</v>
      </c>
      <c r="G15" s="557" t="s">
        <v>12</v>
      </c>
      <c r="H15" s="558" t="s">
        <v>394</v>
      </c>
      <c r="I15" s="774" t="s">
        <v>615</v>
      </c>
      <c r="J15" s="215">
        <f>+'23'!J15</f>
        <v>0</v>
      </c>
      <c r="K15" s="240"/>
      <c r="L15" s="240"/>
      <c r="M15" s="118">
        <f>+K15+'23'!M15+L15</f>
        <v>0</v>
      </c>
      <c r="N15" s="150" t="s">
        <v>611</v>
      </c>
      <c r="O15" s="150">
        <v>1230</v>
      </c>
      <c r="P15" s="150">
        <f>+O15-O15*0.25</f>
        <v>922.5</v>
      </c>
      <c r="Q15" s="150">
        <v>480</v>
      </c>
      <c r="R15" s="150">
        <f>+O15*Q15</f>
        <v>590400</v>
      </c>
      <c r="S15" s="150">
        <f>+P15*Q15</f>
        <v>442800</v>
      </c>
    </row>
    <row r="16" spans="1:19" ht="13.5" thickBot="1">
      <c r="A16" s="777"/>
      <c r="B16" s="216" t="s">
        <v>622</v>
      </c>
      <c r="C16" s="223">
        <v>15174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+'23'!J16</f>
        <v>0</v>
      </c>
      <c r="K16" s="230"/>
      <c r="L16" s="230"/>
      <c r="M16" s="118">
        <f>+K16+'23'!M16+L16</f>
        <v>0</v>
      </c>
      <c r="N16" s="150" t="s">
        <v>611</v>
      </c>
      <c r="O16" s="150">
        <v>1230</v>
      </c>
      <c r="P16" s="150">
        <f>+O16-O16*0.25</f>
        <v>922.5</v>
      </c>
      <c r="Q16" s="150">
        <v>480</v>
      </c>
      <c r="R16" s="150">
        <f>+O16*Q16</f>
        <v>590400</v>
      </c>
      <c r="S16" s="150">
        <f>+P16*Q16</f>
        <v>442800</v>
      </c>
    </row>
    <row r="17" spans="1:19" ht="13.5" thickBot="1">
      <c r="A17" s="777"/>
      <c r="B17" s="216"/>
      <c r="C17" s="217"/>
      <c r="D17" s="218"/>
      <c r="E17" s="226"/>
      <c r="F17" s="229">
        <v>13</v>
      </c>
      <c r="G17" s="559" t="s">
        <v>12</v>
      </c>
      <c r="H17" s="234" t="s">
        <v>487</v>
      </c>
      <c r="I17" s="775"/>
      <c r="J17" s="215">
        <f>+'23'!J17</f>
        <v>0</v>
      </c>
      <c r="K17" s="230"/>
      <c r="L17" s="230"/>
      <c r="M17" s="118">
        <f>+K17+'23'!M17+L17</f>
        <v>0</v>
      </c>
      <c r="P17" s="150">
        <f>+O17-O17*0.25</f>
        <v>0</v>
      </c>
      <c r="R17" s="150">
        <f>+O17*Q17</f>
        <v>0</v>
      </c>
      <c r="S17" s="150">
        <f>+P17*Q17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613</v>
      </c>
      <c r="I18" s="775"/>
      <c r="J18" s="215">
        <f>+'23'!J18</f>
        <v>0</v>
      </c>
      <c r="K18" s="240"/>
      <c r="L18" s="240"/>
      <c r="M18" s="118">
        <f>+K18+'23'!M18+L18</f>
        <v>0</v>
      </c>
      <c r="P18" s="150">
        <f t="shared" ref="P18" si="1">+O18-O18*0.23</f>
        <v>0</v>
      </c>
      <c r="R18" s="150">
        <f>+O18*Q18</f>
        <v>0</v>
      </c>
      <c r="S18" s="150">
        <f>+P18*Q18</f>
        <v>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+'23'!J19</f>
        <v>0</v>
      </c>
      <c r="K19" s="240"/>
      <c r="L19" s="240">
        <v>0</v>
      </c>
      <c r="M19" s="118">
        <f>+K19+'23'!M19+L19</f>
        <v>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+'23'!J20</f>
        <v>0</v>
      </c>
      <c r="K20" s="241"/>
      <c r="L20" s="241">
        <v>0</v>
      </c>
      <c r="M20" s="118">
        <f>+K20+'23'!M20+L20</f>
        <v>0</v>
      </c>
      <c r="Q20" s="150">
        <f>SUM(Q15:Q18)</f>
        <v>960</v>
      </c>
      <c r="R20" s="150">
        <f>SUM(R15:R18)</f>
        <v>1180800</v>
      </c>
      <c r="S20" s="150">
        <f>SUM(S15:S18)</f>
        <v>885600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+'23'!J21</f>
        <v>0</v>
      </c>
      <c r="K21" s="240"/>
      <c r="L21" s="240">
        <v>0</v>
      </c>
      <c r="M21" s="118">
        <f>+K21+'23'!M21+L21</f>
        <v>0</v>
      </c>
      <c r="O21" s="150" t="s">
        <v>402</v>
      </c>
      <c r="R21" s="150">
        <f>+R20/Q20</f>
        <v>1230</v>
      </c>
      <c r="S21" s="150">
        <f>+S20/Q20</f>
        <v>922.5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+'23'!J22</f>
        <v>0</v>
      </c>
      <c r="K22" s="240"/>
      <c r="L22" s="240">
        <v>0</v>
      </c>
      <c r="M22" s="118">
        <f>+K22+'23'!M22+L22</f>
        <v>0</v>
      </c>
    </row>
    <row r="23" spans="1:19" ht="13.5" thickBot="1">
      <c r="A23" s="778"/>
      <c r="B23" s="169" t="s">
        <v>2</v>
      </c>
      <c r="C23" s="101">
        <f>SUM(C16:C22)</f>
        <v>15174</v>
      </c>
      <c r="D23" s="112">
        <f>SUM(D16:D22)</f>
        <v>0</v>
      </c>
      <c r="E23" s="113">
        <f>SUM(E18:E22)</f>
        <v>0</v>
      </c>
      <c r="F23" s="117">
        <f>SUM(F15:F22)</f>
        <v>19</v>
      </c>
      <c r="G23" s="160"/>
      <c r="H23" s="167"/>
      <c r="I23" s="170"/>
      <c r="J23" s="215">
        <f>+'23'!J23</f>
        <v>0</v>
      </c>
      <c r="K23" s="240"/>
      <c r="L23" s="240"/>
      <c r="M23" s="118">
        <f>+K23+'23'!M23+L23</f>
        <v>0</v>
      </c>
    </row>
    <row r="24" spans="1:19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615</v>
      </c>
      <c r="J24" s="215">
        <f>+'23'!J24</f>
        <v>0</v>
      </c>
      <c r="K24" s="240"/>
      <c r="L24" s="240"/>
      <c r="M24" s="118">
        <f>+K24+'23'!M24+L24</f>
        <v>0</v>
      </c>
    </row>
    <row r="25" spans="1:19" ht="13.5" thickBot="1">
      <c r="A25" s="777"/>
      <c r="B25" s="216" t="s">
        <v>622</v>
      </c>
      <c r="C25" s="227">
        <v>14371</v>
      </c>
      <c r="D25" s="218"/>
      <c r="E25" s="226"/>
      <c r="F25" s="232">
        <v>12</v>
      </c>
      <c r="G25" s="559" t="s">
        <v>12</v>
      </c>
      <c r="H25" s="231" t="s">
        <v>503</v>
      </c>
      <c r="I25" s="775"/>
      <c r="J25" s="215">
        <f>+'23'!J25</f>
        <v>0</v>
      </c>
      <c r="K25" s="240"/>
      <c r="L25" s="240"/>
      <c r="M25" s="118">
        <f>+K25+'23'!M25+L25</f>
        <v>0</v>
      </c>
    </row>
    <row r="26" spans="1:19" ht="13.5" thickBot="1">
      <c r="A26" s="777"/>
      <c r="B26" s="216"/>
      <c r="C26" s="227"/>
      <c r="D26" s="218"/>
      <c r="E26" s="228"/>
      <c r="F26" s="229">
        <v>10</v>
      </c>
      <c r="G26" s="559" t="s">
        <v>12</v>
      </c>
      <c r="H26" s="234" t="s">
        <v>442</v>
      </c>
      <c r="I26" s="775"/>
      <c r="J26" s="215">
        <f>+'23'!J26</f>
        <v>0</v>
      </c>
      <c r="K26" s="240"/>
      <c r="L26" s="240"/>
      <c r="M26" s="118">
        <f>+K26+'23'!M26+L26</f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613</v>
      </c>
      <c r="I27" s="775"/>
      <c r="J27" s="215">
        <f>+'23'!J27</f>
        <v>0</v>
      </c>
      <c r="K27" s="240"/>
      <c r="L27" s="240"/>
      <c r="M27" s="118">
        <f>+K27+'23'!M27+L27</f>
        <v>0</v>
      </c>
    </row>
    <row r="28" spans="1:19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+'23'!J28</f>
        <v>0</v>
      </c>
      <c r="K28" s="240"/>
      <c r="L28" s="240"/>
      <c r="M28" s="118">
        <f>+K28+'23'!M28+L28</f>
        <v>0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+'23'!J29</f>
        <v>0</v>
      </c>
      <c r="K29" s="240"/>
      <c r="L29" s="240"/>
      <c r="M29" s="118">
        <f>+K29+'23'!M29+L29</f>
        <v>0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+'23'!J30</f>
        <v>0</v>
      </c>
      <c r="K30" s="240"/>
      <c r="L30" s="240"/>
      <c r="M30" s="118">
        <f>+K30+'23'!M30+L30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+'23'!J31</f>
        <v>0</v>
      </c>
      <c r="K31" s="240"/>
      <c r="L31" s="240"/>
      <c r="M31" s="118">
        <f>+K31+'23'!M31+L31</f>
        <v>0</v>
      </c>
    </row>
    <row r="32" spans="1:19" ht="13.5" thickBot="1">
      <c r="A32" s="778"/>
      <c r="B32" s="166" t="s">
        <v>2</v>
      </c>
      <c r="C32" s="100">
        <f>SUM(C25:C31)</f>
        <v>14371</v>
      </c>
      <c r="D32" s="101">
        <f>SUM(D25:D31)</f>
        <v>0</v>
      </c>
      <c r="E32" s="102">
        <f>SUM(E25:E31)</f>
        <v>0</v>
      </c>
      <c r="F32" s="103">
        <f>SUM(F24:F31)</f>
        <v>22</v>
      </c>
      <c r="G32" s="172"/>
      <c r="H32" s="173"/>
      <c r="I32" s="170"/>
      <c r="J32" s="215">
        <f>+'23'!J32</f>
        <v>0</v>
      </c>
      <c r="K32" s="242"/>
      <c r="L32" s="244"/>
      <c r="M32" s="118">
        <f>+K32+'23'!M32+L32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37004</v>
      </c>
      <c r="D34" s="108">
        <f>D14+D23+D32</f>
        <v>0</v>
      </c>
      <c r="E34" s="108">
        <f>E14+E23+E32</f>
        <v>0</v>
      </c>
      <c r="F34" s="109">
        <f>F14+F23+F32</f>
        <v>119</v>
      </c>
      <c r="H34" s="179"/>
      <c r="I34" s="179"/>
      <c r="J34" s="124" t="s">
        <v>28</v>
      </c>
      <c r="K34" s="125">
        <f>SUM(K7:K32)</f>
        <v>37004</v>
      </c>
      <c r="L34" s="213">
        <f>SUM(L7:L32)</f>
        <v>0</v>
      </c>
      <c r="M34" s="121">
        <f>SUM(M7:M32)</f>
        <v>948472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(14*1400)/1400*G42*2.74*1400/1000000</f>
        <v>49.121898000000002</v>
      </c>
      <c r="J37" s="126">
        <f>+I37+'23'!J37</f>
        <v>1076.4344170468817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79</v>
      </c>
      <c r="D38" s="119">
        <f>+C38+'23'!D38</f>
        <v>1785</v>
      </c>
      <c r="E38" s="144">
        <f t="shared" ref="E38:E51" si="2">D38/60</f>
        <v>29.75</v>
      </c>
      <c r="F38" s="323">
        <v>1196.8181818181818</v>
      </c>
      <c r="G38" s="323">
        <v>897.61363636363637</v>
      </c>
      <c r="H38" s="188" t="s">
        <v>64</v>
      </c>
      <c r="I38" s="246">
        <f>12.594+15.292+14.403</f>
        <v>42.289000000000001</v>
      </c>
      <c r="J38" s="128">
        <f>+I38+'23'!J38</f>
        <v>979.66799999999989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+C39+'23'!D39</f>
        <v>0</v>
      </c>
      <c r="E39" s="144">
        <f t="shared" si="2"/>
        <v>0</v>
      </c>
      <c r="F39" s="323">
        <v>1230</v>
      </c>
      <c r="G39" s="323">
        <v>922.5</v>
      </c>
      <c r="H39" s="188" t="s">
        <v>65</v>
      </c>
      <c r="I39" s="143"/>
      <c r="J39" s="130">
        <f>J37/G4</f>
        <v>44.851434043620067</v>
      </c>
      <c r="K39" s="131" t="s">
        <v>63</v>
      </c>
      <c r="M39" s="150">
        <v>440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+C40+'23'!D40</f>
        <v>0</v>
      </c>
      <c r="E40" s="144">
        <f t="shared" si="2"/>
        <v>0</v>
      </c>
      <c r="F40" s="323">
        <v>1230</v>
      </c>
      <c r="G40" s="323">
        <v>922.5</v>
      </c>
      <c r="H40" s="188" t="s">
        <v>67</v>
      </c>
      <c r="I40" s="119">
        <f>(K34+L34)/1000</f>
        <v>37.003999999999998</v>
      </c>
      <c r="J40" s="132">
        <f>+I40+'23'!J40</f>
        <v>948.47199999999998</v>
      </c>
      <c r="K40" s="131" t="s">
        <v>63</v>
      </c>
      <c r="M40" s="150">
        <v>480</v>
      </c>
    </row>
    <row r="41" spans="1:13" ht="17.45" customHeight="1">
      <c r="A41" s="765" t="s">
        <v>68</v>
      </c>
      <c r="B41" s="766"/>
      <c r="C41" s="165">
        <f>SUMIF($G$7:$G$31,"Electrical",$F$7:$F$31)</f>
        <v>40</v>
      </c>
      <c r="D41" s="119">
        <f>+C41+'23'!D41</f>
        <v>700</v>
      </c>
      <c r="E41" s="144">
        <f t="shared" si="2"/>
        <v>11.666666666666666</v>
      </c>
      <c r="F41" s="323"/>
      <c r="G41" s="323"/>
      <c r="H41" s="188" t="s">
        <v>69</v>
      </c>
      <c r="I41" s="143"/>
      <c r="J41" s="130">
        <f>J40/G4</f>
        <v>39.519666666666666</v>
      </c>
      <c r="K41" s="131" t="s">
        <v>63</v>
      </c>
      <c r="M41" s="150">
        <v>480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+C42+'23'!D42</f>
        <v>0</v>
      </c>
      <c r="E42" s="144">
        <f t="shared" si="2"/>
        <v>0</v>
      </c>
      <c r="F42" s="323">
        <f>+(440*F38+480*F39+480*F40)/1400</f>
        <v>1219.5714285714287</v>
      </c>
      <c r="G42" s="323">
        <f>+(440*G38+480*G39+480*G40)/1400</f>
        <v>914.67857142857144</v>
      </c>
      <c r="H42" s="188" t="s">
        <v>70</v>
      </c>
      <c r="I42" s="247" t="s">
        <v>632</v>
      </c>
      <c r="J42" s="133"/>
      <c r="K42" s="131" t="s">
        <v>71</v>
      </c>
      <c r="M42" s="150">
        <f>+M39+M40+M41</f>
        <v>1400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+C43+'23'!D43</f>
        <v>0</v>
      </c>
      <c r="E43" s="144">
        <f t="shared" si="2"/>
        <v>0</v>
      </c>
      <c r="F43" s="323"/>
      <c r="G43" s="324"/>
      <c r="H43" s="189" t="s">
        <v>73</v>
      </c>
      <c r="I43" s="119">
        <f>+Report1!Z32</f>
        <v>64.599999999999994</v>
      </c>
      <c r="J43" s="134">
        <f>+I43+'23'!J43</f>
        <v>1433.6999999999996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+C44+'23'!D44</f>
        <v>0</v>
      </c>
      <c r="E44" s="144">
        <f t="shared" si="2"/>
        <v>0</v>
      </c>
      <c r="F44" s="323"/>
      <c r="G44" s="324"/>
      <c r="H44" s="189" t="s">
        <v>74</v>
      </c>
      <c r="I44" s="119">
        <f>I43/I38</f>
        <v>1.5275840052968854</v>
      </c>
      <c r="J44" s="135">
        <f>J43/J38</f>
        <v>1.4634549663763641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+C45+'23'!D45</f>
        <v>0</v>
      </c>
      <c r="E45" s="144">
        <f t="shared" si="2"/>
        <v>0</v>
      </c>
      <c r="F45" s="323"/>
      <c r="G45" s="326"/>
      <c r="H45" s="189" t="s">
        <v>75</v>
      </c>
      <c r="I45" s="119">
        <f>I43/I40</f>
        <v>1.7457572154361689</v>
      </c>
      <c r="J45" s="135">
        <f>J43/J40</f>
        <v>1.5115891665752912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+C46+'23'!D46</f>
        <v>0</v>
      </c>
      <c r="E46" s="144">
        <f t="shared" si="2"/>
        <v>0</v>
      </c>
      <c r="F46" s="323"/>
      <c r="G46" s="324"/>
      <c r="H46" s="189" t="s">
        <v>77</v>
      </c>
      <c r="I46" s="141">
        <f>+SUMIF(Listrik!P31,"&gt;0")</f>
        <v>34295.699999999997</v>
      </c>
      <c r="J46" s="136">
        <f>+I46+'23'!J46</f>
        <v>853221.98000000033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+C47+'23'!D47</f>
        <v>0</v>
      </c>
      <c r="E47" s="144">
        <f t="shared" si="2"/>
        <v>0</v>
      </c>
      <c r="F47" s="323"/>
      <c r="G47" s="324"/>
      <c r="H47" s="189" t="s">
        <v>80</v>
      </c>
      <c r="I47" s="119">
        <f>I46/I38</f>
        <v>810.98394381517642</v>
      </c>
      <c r="J47" s="136">
        <f>J46/J38</f>
        <v>870.92972313069367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+C48+'23'!D48</f>
        <v>0</v>
      </c>
      <c r="E48" s="144">
        <f t="shared" si="2"/>
        <v>0</v>
      </c>
      <c r="F48" s="323"/>
      <c r="G48" s="324"/>
      <c r="H48" s="189" t="s">
        <v>81</v>
      </c>
      <c r="I48" s="119">
        <f>I46/I40</f>
        <v>926.81061506864125</v>
      </c>
      <c r="J48" s="136">
        <f>J46/J40</f>
        <v>899.57529584426356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+C49+'23'!D49</f>
        <v>301</v>
      </c>
      <c r="E49" s="144">
        <f t="shared" si="2"/>
        <v>5.0166666666666666</v>
      </c>
      <c r="F49" s="186"/>
      <c r="H49" s="189" t="s">
        <v>269</v>
      </c>
      <c r="I49" s="119">
        <f>+Report1!T32</f>
        <v>4181.3367054541168</v>
      </c>
      <c r="J49" s="136">
        <f>+I49+'23'!J49</f>
        <v>95565.186673582095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+C50+'23'!D50</f>
        <v>0</v>
      </c>
      <c r="E50" s="144">
        <f t="shared" si="2"/>
        <v>0</v>
      </c>
      <c r="F50" s="186"/>
      <c r="H50" s="189" t="s">
        <v>83</v>
      </c>
      <c r="I50" s="141">
        <f>I49/I38</f>
        <v>98.875279752515226</v>
      </c>
      <c r="J50" s="134">
        <f>J49/J38</f>
        <v>97.548543663345242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+C51+'23'!D51</f>
        <v>1000</v>
      </c>
      <c r="E51" s="144">
        <f t="shared" si="2"/>
        <v>16.666666666666668</v>
      </c>
      <c r="F51" s="186"/>
      <c r="H51" s="191" t="s">
        <v>85</v>
      </c>
      <c r="I51" s="142">
        <f>I49/I40</f>
        <v>112.99688426802824</v>
      </c>
      <c r="J51" s="137">
        <f>J49/J40</f>
        <v>100.75699300936886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119</v>
      </c>
      <c r="D52" s="145">
        <f>SUM(D38:D51)</f>
        <v>3786</v>
      </c>
      <c r="E52" s="146">
        <f>SUM(E38:E51)</f>
        <v>63.099999999999994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8.2638888888888887E-2</v>
      </c>
      <c r="D53" s="147">
        <f>D52/(24*60*G4)</f>
        <v>0.10954861111111111</v>
      </c>
      <c r="E53" s="148">
        <f>E52/(G4*24)</f>
        <v>0.1095486111111111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+D34+'23'!J56</f>
        <v>1299</v>
      </c>
      <c r="K56" s="202">
        <f>J56/(J40+J56/1000)/1000</f>
        <v>1.3676981082808384E-3</v>
      </c>
    </row>
    <row r="57" spans="1:11">
      <c r="A57" s="177"/>
      <c r="I57" s="200" t="s">
        <v>88</v>
      </c>
      <c r="J57" s="201">
        <f>+E34+'23'!J57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A4" zoomScale="80" zoomScaleNormal="80" workbookViewId="0">
      <selection activeCell="J32" sqref="J3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3.710937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23</v>
      </c>
      <c r="H4" s="155" t="str">
        <f>+'1'!H4</f>
        <v>.07.25</v>
      </c>
      <c r="J4" s="150">
        <v>603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611</v>
      </c>
      <c r="O6" s="150">
        <v>1230</v>
      </c>
      <c r="P6" s="150">
        <f>+O6-O6*0.25</f>
        <v>922.5</v>
      </c>
      <c r="Q6" s="150">
        <v>480</v>
      </c>
      <c r="R6" s="150">
        <f>+O6*Q6</f>
        <v>590400</v>
      </c>
      <c r="S6" s="150">
        <f>+P6*Q6</f>
        <v>442800</v>
      </c>
    </row>
    <row r="7" spans="1:19" ht="13.5" customHeight="1" thickBot="1">
      <c r="A7" s="771" t="s">
        <v>422</v>
      </c>
      <c r="B7" s="216" t="s">
        <v>622</v>
      </c>
      <c r="C7" s="217">
        <v>14190</v>
      </c>
      <c r="D7" s="218"/>
      <c r="E7" s="219"/>
      <c r="F7" s="229"/>
      <c r="G7" s="557" t="s">
        <v>12</v>
      </c>
      <c r="H7" s="558" t="s">
        <v>383</v>
      </c>
      <c r="I7" s="774" t="s">
        <v>615</v>
      </c>
      <c r="J7" s="215" t="str">
        <f>+'22'!J7</f>
        <v>T 12,5 VP OW</v>
      </c>
      <c r="K7" s="239"/>
      <c r="L7" s="243"/>
      <c r="M7" s="118">
        <f>+K7+'22'!M7+L7</f>
        <v>106521</v>
      </c>
      <c r="N7" s="150" t="s">
        <v>611</v>
      </c>
      <c r="O7" s="150">
        <v>1230</v>
      </c>
      <c r="P7" s="150">
        <f>+O7-O7*0.25</f>
        <v>922.5</v>
      </c>
      <c r="Q7" s="150">
        <f>60*5</f>
        <v>300</v>
      </c>
      <c r="R7" s="150">
        <f>+O7*Q7</f>
        <v>369000</v>
      </c>
      <c r="S7" s="150">
        <f>+P7*Q7</f>
        <v>276750</v>
      </c>
    </row>
    <row r="8" spans="1:19" ht="13.5" thickBot="1">
      <c r="A8" s="772"/>
      <c r="B8" s="216"/>
      <c r="C8" s="217"/>
      <c r="D8" s="218"/>
      <c r="E8" s="220"/>
      <c r="F8" s="232">
        <v>10</v>
      </c>
      <c r="G8" s="559" t="s">
        <v>12</v>
      </c>
      <c r="H8" s="231" t="s">
        <v>385</v>
      </c>
      <c r="I8" s="775"/>
      <c r="J8" s="215" t="str">
        <f>+'22'!J8</f>
        <v>F 13 VP OW</v>
      </c>
      <c r="K8" s="240"/>
      <c r="L8" s="240"/>
      <c r="M8" s="118">
        <f>+K8+'22'!M8+L8</f>
        <v>268085</v>
      </c>
      <c r="P8" s="150">
        <f>+O8-O8*0.25</f>
        <v>0</v>
      </c>
      <c r="R8" s="150">
        <f>+O8*Q8</f>
        <v>0</v>
      </c>
      <c r="S8" s="150">
        <f>+P8*Q8</f>
        <v>0</v>
      </c>
    </row>
    <row r="9" spans="1:19" ht="13.5" thickBot="1">
      <c r="A9" s="772"/>
      <c r="B9" s="216"/>
      <c r="C9" s="217"/>
      <c r="D9" s="218"/>
      <c r="E9" s="221"/>
      <c r="F9" s="229">
        <v>18</v>
      </c>
      <c r="G9" s="559" t="s">
        <v>12</v>
      </c>
      <c r="H9" s="234" t="s">
        <v>553</v>
      </c>
      <c r="I9" s="775"/>
      <c r="J9" s="215" t="str">
        <f>+'22'!J9</f>
        <v>F 12 VP OW</v>
      </c>
      <c r="K9" s="240"/>
      <c r="L9" s="240"/>
      <c r="M9" s="118">
        <f>+K9+'22'!M9+L9</f>
        <v>100984</v>
      </c>
      <c r="P9" s="150">
        <f t="shared" ref="P9" si="0">+O9-O9*0.23</f>
        <v>0</v>
      </c>
      <c r="R9" s="150">
        <f>+O9*Q9</f>
        <v>0</v>
      </c>
      <c r="S9" s="150">
        <f>+P9*Q9</f>
        <v>0</v>
      </c>
    </row>
    <row r="10" spans="1:19" ht="13.5" thickBot="1">
      <c r="A10" s="772"/>
      <c r="B10" s="216"/>
      <c r="C10" s="217"/>
      <c r="D10" s="218"/>
      <c r="E10" s="220"/>
      <c r="F10" s="229"/>
      <c r="G10" s="230"/>
      <c r="H10" s="560" t="s">
        <v>613</v>
      </c>
      <c r="I10" s="775"/>
      <c r="J10" s="215" t="str">
        <f>+'22'!J10</f>
        <v>F 12,5 VP OW</v>
      </c>
      <c r="K10" s="240"/>
      <c r="L10" s="240"/>
      <c r="M10" s="118">
        <f>+K10+'22'!M10+L10</f>
        <v>19792</v>
      </c>
    </row>
    <row r="11" spans="1:1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+'22'!J11</f>
        <v>T 13 VP OW</v>
      </c>
      <c r="K11" s="240"/>
      <c r="L11" s="240"/>
      <c r="M11" s="118">
        <f>+K11+'22'!M11+L11</f>
        <v>278149</v>
      </c>
      <c r="Q11" s="150">
        <f>SUM(Q6:Q9)</f>
        <v>780</v>
      </c>
      <c r="R11" s="150">
        <f>SUM(R6:R9)</f>
        <v>959400</v>
      </c>
      <c r="S11" s="150">
        <f>SUM(S6:S9)</f>
        <v>719550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+'22'!J12</f>
        <v>F 11,5 VP OW</v>
      </c>
      <c r="K12" s="240"/>
      <c r="L12" s="240"/>
      <c r="M12" s="118">
        <f>+K12+'22'!M12+L12</f>
        <v>38991</v>
      </c>
      <c r="O12" s="150" t="s">
        <v>402</v>
      </c>
      <c r="R12" s="150">
        <f>+R11/Q11</f>
        <v>1230</v>
      </c>
      <c r="S12" s="150">
        <f>+S11/Q11</f>
        <v>922.5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+'22'!J13</f>
        <v>T 15 VP OW</v>
      </c>
      <c r="K13" s="240"/>
      <c r="L13" s="240"/>
      <c r="M13" s="118">
        <f>+K13+'22'!M13+L13</f>
        <v>37511</v>
      </c>
    </row>
    <row r="14" spans="1:19" ht="13.5" thickBot="1">
      <c r="A14" s="773"/>
      <c r="B14" s="166" t="s">
        <v>2</v>
      </c>
      <c r="C14" s="100">
        <f>SUM(C7:C13)</f>
        <v>14190</v>
      </c>
      <c r="D14" s="112">
        <f>SUM(D7:D13)</f>
        <v>0</v>
      </c>
      <c r="E14" s="113">
        <f>SUM(E5:E13)</f>
        <v>0</v>
      </c>
      <c r="F14" s="117">
        <f>SUM(F7:F13)</f>
        <v>28</v>
      </c>
      <c r="G14" s="160"/>
      <c r="H14" s="167"/>
      <c r="I14" s="168"/>
      <c r="J14" s="215" t="str">
        <f>+'22'!J14</f>
        <v>F 14 VP OW</v>
      </c>
      <c r="K14" s="240">
        <f>+C34</f>
        <v>26443</v>
      </c>
      <c r="L14" s="240"/>
      <c r="M14" s="118">
        <f>+K14+'22'!M14+L14</f>
        <v>61435</v>
      </c>
    </row>
    <row r="15" spans="1:19" ht="13.5" customHeight="1" thickBot="1">
      <c r="A15" s="771" t="s">
        <v>623</v>
      </c>
      <c r="B15" s="166"/>
      <c r="C15" s="114">
        <f>C14/($C$23+$D$23+$E$23)</f>
        <v>1.1580837345956092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615</v>
      </c>
      <c r="J15" s="215">
        <f>+'22'!J15</f>
        <v>0</v>
      </c>
      <c r="K15" s="240"/>
      <c r="L15" s="240"/>
      <c r="M15" s="118">
        <f>+K15+'22'!M15+L15</f>
        <v>0</v>
      </c>
    </row>
    <row r="16" spans="1:19" ht="13.5" thickBot="1">
      <c r="A16" s="777"/>
      <c r="B16" s="216" t="s">
        <v>622</v>
      </c>
      <c r="C16" s="217">
        <v>12253</v>
      </c>
      <c r="D16" s="224"/>
      <c r="E16" s="225"/>
      <c r="F16" s="232">
        <v>2</v>
      </c>
      <c r="G16" s="559" t="s">
        <v>12</v>
      </c>
      <c r="H16" s="231" t="s">
        <v>626</v>
      </c>
      <c r="I16" s="775"/>
      <c r="J16" s="215">
        <f>+'22'!J16</f>
        <v>0</v>
      </c>
      <c r="K16" s="240"/>
      <c r="L16" s="230"/>
      <c r="M16" s="118">
        <f>+K16+'22'!M16+L16</f>
        <v>0</v>
      </c>
    </row>
    <row r="17" spans="1:13" ht="13.5" thickBot="1">
      <c r="A17" s="777"/>
      <c r="B17" s="216"/>
      <c r="C17" s="217"/>
      <c r="D17" s="218"/>
      <c r="E17" s="226"/>
      <c r="F17" s="229">
        <v>13</v>
      </c>
      <c r="G17" s="559" t="s">
        <v>12</v>
      </c>
      <c r="H17" s="234" t="s">
        <v>384</v>
      </c>
      <c r="I17" s="775"/>
      <c r="J17" s="215">
        <f>+'22'!J17</f>
        <v>0</v>
      </c>
      <c r="K17" s="240"/>
      <c r="L17" s="230"/>
      <c r="M17" s="118">
        <f>+K17+'22'!M17+L17</f>
        <v>0</v>
      </c>
    </row>
    <row r="18" spans="1:13" ht="13.5" thickBot="1">
      <c r="A18" s="777"/>
      <c r="B18" s="216"/>
      <c r="C18" s="217"/>
      <c r="D18" s="218"/>
      <c r="E18" s="226"/>
      <c r="F18" s="229"/>
      <c r="G18" s="230"/>
      <c r="H18" s="560" t="s">
        <v>612</v>
      </c>
      <c r="I18" s="775"/>
      <c r="J18" s="215">
        <f>+'22'!J18</f>
        <v>0</v>
      </c>
      <c r="K18" s="240"/>
      <c r="L18" s="240"/>
      <c r="M18" s="118">
        <f>+K18+'22'!M18+L18</f>
        <v>0</v>
      </c>
    </row>
    <row r="19" spans="1:13" ht="13.5" thickBot="1">
      <c r="A19" s="777"/>
      <c r="B19" s="216"/>
      <c r="C19" s="217"/>
      <c r="D19" s="218"/>
      <c r="E19" s="226"/>
      <c r="F19" s="236">
        <v>180</v>
      </c>
      <c r="G19" s="233" t="s">
        <v>68</v>
      </c>
      <c r="H19" s="234" t="s">
        <v>625</v>
      </c>
      <c r="I19" s="775"/>
      <c r="J19" s="215">
        <f>+'22'!J19</f>
        <v>0</v>
      </c>
      <c r="K19" s="240"/>
      <c r="L19" s="240"/>
      <c r="M19" s="118">
        <f>+K19+'22'!M19+L19</f>
        <v>0</v>
      </c>
    </row>
    <row r="20" spans="1:1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+'22'!J20</f>
        <v>0</v>
      </c>
      <c r="K20" s="241"/>
      <c r="L20" s="241"/>
      <c r="M20" s="118">
        <f>+K20+'22'!M20+L20</f>
        <v>0</v>
      </c>
    </row>
    <row r="21" spans="1:1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+'22'!J21</f>
        <v>0</v>
      </c>
      <c r="K21" s="240"/>
      <c r="L21" s="240"/>
      <c r="M21" s="118">
        <f>+K21+'22'!M21+L21</f>
        <v>0</v>
      </c>
    </row>
    <row r="22" spans="1:1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+'22'!J22</f>
        <v>0</v>
      </c>
      <c r="K22" s="240"/>
      <c r="L22" s="240"/>
      <c r="M22" s="118">
        <f>+K22+'22'!M22+L22</f>
        <v>0</v>
      </c>
    </row>
    <row r="23" spans="1:13" ht="13.5" thickBot="1">
      <c r="A23" s="778"/>
      <c r="B23" s="169" t="s">
        <v>2</v>
      </c>
      <c r="C23" s="101">
        <f>SUM(C16:C22)</f>
        <v>12253</v>
      </c>
      <c r="D23" s="112">
        <f>SUM(D16:D22)</f>
        <v>0</v>
      </c>
      <c r="E23" s="113">
        <f>SUM(E18:E22)</f>
        <v>0</v>
      </c>
      <c r="F23" s="117">
        <f>SUM(F15:F22)</f>
        <v>195</v>
      </c>
      <c r="G23" s="160"/>
      <c r="H23" s="167"/>
      <c r="I23" s="170"/>
      <c r="J23" s="215">
        <f>+'22'!J23</f>
        <v>0</v>
      </c>
      <c r="K23" s="240"/>
      <c r="L23" s="240"/>
      <c r="M23" s="118">
        <f>+K23+'22'!M23+L23</f>
        <v>0</v>
      </c>
    </row>
    <row r="24" spans="1:13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402</v>
      </c>
      <c r="J24" s="215">
        <f>+'22'!J24</f>
        <v>0</v>
      </c>
      <c r="K24" s="240"/>
      <c r="L24" s="240"/>
      <c r="M24" s="118">
        <f>+K24+'22'!M24+L24</f>
        <v>0</v>
      </c>
    </row>
    <row r="25" spans="1:13" ht="13.5" thickBot="1">
      <c r="A25" s="777"/>
      <c r="B25" s="216"/>
      <c r="C25" s="227"/>
      <c r="D25" s="218"/>
      <c r="E25" s="226"/>
      <c r="F25" s="232"/>
      <c r="G25" s="559" t="s">
        <v>12</v>
      </c>
      <c r="H25" s="231" t="s">
        <v>408</v>
      </c>
      <c r="I25" s="775"/>
      <c r="J25" s="215">
        <f>+'22'!J25</f>
        <v>0</v>
      </c>
      <c r="K25" s="240"/>
      <c r="L25" s="240"/>
      <c r="M25" s="118">
        <f>+K25+'22'!M25+L25</f>
        <v>0</v>
      </c>
    </row>
    <row r="26" spans="1:13" ht="13.5" thickBot="1">
      <c r="A26" s="777"/>
      <c r="B26" s="216"/>
      <c r="C26" s="227"/>
      <c r="D26" s="218"/>
      <c r="E26" s="228"/>
      <c r="F26" s="229"/>
      <c r="G26" s="559" t="s">
        <v>12</v>
      </c>
      <c r="H26" s="234" t="s">
        <v>551</v>
      </c>
      <c r="I26" s="775"/>
      <c r="J26" s="215">
        <f>+'22'!J26</f>
        <v>0</v>
      </c>
      <c r="K26" s="240"/>
      <c r="L26" s="240"/>
      <c r="M26" s="118">
        <f>+K26+'22'!M26+L26</f>
        <v>0</v>
      </c>
    </row>
    <row r="27" spans="1:13" ht="13.5" thickBot="1">
      <c r="A27" s="777"/>
      <c r="B27" s="216"/>
      <c r="C27" s="217"/>
      <c r="D27" s="218"/>
      <c r="E27" s="226"/>
      <c r="F27" s="229"/>
      <c r="G27" s="230"/>
      <c r="H27" s="560" t="s">
        <v>613</v>
      </c>
      <c r="I27" s="775"/>
      <c r="J27" s="215">
        <f>+'22'!J27</f>
        <v>0</v>
      </c>
      <c r="K27" s="240"/>
      <c r="L27" s="240"/>
      <c r="M27" s="118">
        <f>+K27+'22'!M27+L27</f>
        <v>0</v>
      </c>
    </row>
    <row r="28" spans="1:13" ht="64.5" thickBot="1">
      <c r="A28" s="777"/>
      <c r="B28" s="216"/>
      <c r="C28" s="217"/>
      <c r="D28" s="218"/>
      <c r="E28" s="226"/>
      <c r="F28" s="232">
        <v>480</v>
      </c>
      <c r="G28" s="233" t="s">
        <v>68</v>
      </c>
      <c r="H28" s="234" t="s">
        <v>624</v>
      </c>
      <c r="I28" s="775"/>
      <c r="J28" s="215">
        <f>+'22'!J28</f>
        <v>0</v>
      </c>
      <c r="K28" s="240"/>
      <c r="L28" s="240"/>
      <c r="M28" s="118">
        <f>+K28+'22'!M28+L28</f>
        <v>0</v>
      </c>
    </row>
    <row r="29" spans="1:13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+'22'!J29</f>
        <v>0</v>
      </c>
      <c r="K29" s="240"/>
      <c r="L29" s="240"/>
      <c r="M29" s="118">
        <f>+K29+'22'!M29+L29</f>
        <v>0</v>
      </c>
    </row>
    <row r="30" spans="1:13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+'22'!J30</f>
        <v>0</v>
      </c>
      <c r="K30" s="240"/>
      <c r="L30" s="240"/>
      <c r="M30" s="118">
        <f>+K30+'22'!M30+L30</f>
        <v>0</v>
      </c>
    </row>
    <row r="31" spans="1:13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+'22'!J31</f>
        <v>0</v>
      </c>
      <c r="K31" s="240"/>
      <c r="L31" s="240"/>
      <c r="M31" s="118">
        <f>+K31+'22'!M31+L31</f>
        <v>0</v>
      </c>
    </row>
    <row r="32" spans="1:13" ht="13.5" thickBot="1">
      <c r="A32" s="778"/>
      <c r="B32" s="166" t="s">
        <v>2</v>
      </c>
      <c r="C32" s="100">
        <f>SUM(C25:C31)</f>
        <v>0</v>
      </c>
      <c r="D32" s="101">
        <f>SUM(D25:D31)</f>
        <v>0</v>
      </c>
      <c r="E32" s="102">
        <f>SUM(E25:E31)</f>
        <v>0</v>
      </c>
      <c r="F32" s="103">
        <f>SUM(F24:F31)</f>
        <v>480</v>
      </c>
      <c r="G32" s="172"/>
      <c r="H32" s="173"/>
      <c r="I32" s="170"/>
      <c r="J32" s="215">
        <f>+'22'!J32</f>
        <v>0</v>
      </c>
      <c r="K32" s="242"/>
      <c r="L32" s="244"/>
      <c r="M32" s="118">
        <f>+K32+'22'!M32+L32</f>
        <v>0</v>
      </c>
    </row>
    <row r="33" spans="1:13" ht="13.5" thickBot="1">
      <c r="A33" s="174"/>
      <c r="B33" s="175"/>
      <c r="C33" s="104" t="e">
        <f>C32/($C$32+$D$32+$E$32)</f>
        <v>#DIV/0!</v>
      </c>
      <c r="D33" s="105" t="e">
        <f>D32/($C$32+$D$32+$E$32)</f>
        <v>#DIV/0!</v>
      </c>
      <c r="E33" s="106" t="e">
        <f>E32/($C$32+$D$32+$E$32)</f>
        <v>#DIV/0!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26443</v>
      </c>
      <c r="D34" s="108">
        <f>D14+D23+D32</f>
        <v>0</v>
      </c>
      <c r="E34" s="108">
        <f>E14+E23+E32</f>
        <v>0</v>
      </c>
      <c r="F34" s="109">
        <f>F14+F23+F32</f>
        <v>703</v>
      </c>
      <c r="H34" s="179"/>
      <c r="I34" s="179"/>
      <c r="J34" s="124" t="s">
        <v>28</v>
      </c>
      <c r="K34" s="125">
        <f>SUM(K7:K32)</f>
        <v>26443</v>
      </c>
      <c r="L34" s="213">
        <f>SUM(L7:L32)</f>
        <v>0</v>
      </c>
      <c r="M34" s="121">
        <f>SUM(M7:M32)</f>
        <v>911468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(14*780)/780*G42*2.74*780/1000000</f>
        <v>27.601938000000004</v>
      </c>
      <c r="J37" s="126">
        <f>+I37+'22'!J37</f>
        <v>1027.3125190468816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43</v>
      </c>
      <c r="D38" s="119">
        <f>+C38+'22'!D38</f>
        <v>1706</v>
      </c>
      <c r="E38" s="144">
        <f t="shared" ref="E38:E51" si="1">D38/60</f>
        <v>28.433333333333334</v>
      </c>
      <c r="F38" s="323">
        <v>1230</v>
      </c>
      <c r="G38" s="323">
        <v>922.5</v>
      </c>
      <c r="H38" s="188" t="s">
        <v>64</v>
      </c>
      <c r="I38" s="246">
        <f>15.306+10.723</f>
        <v>26.029</v>
      </c>
      <c r="J38" s="128">
        <f>+I38+'22'!J38</f>
        <v>937.37899999999991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+C39+'22'!D39</f>
        <v>0</v>
      </c>
      <c r="E39" s="144">
        <f t="shared" si="1"/>
        <v>0</v>
      </c>
      <c r="F39" s="323">
        <v>1230</v>
      </c>
      <c r="G39" s="323">
        <v>922.5</v>
      </c>
      <c r="H39" s="188" t="s">
        <v>65</v>
      </c>
      <c r="I39" s="143"/>
      <c r="J39" s="130">
        <f>J37/G4</f>
        <v>44.665761697690506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+C40+'22'!D40</f>
        <v>0</v>
      </c>
      <c r="E40" s="144">
        <f t="shared" si="1"/>
        <v>0</v>
      </c>
      <c r="F40" s="323"/>
      <c r="G40" s="323"/>
      <c r="H40" s="188" t="s">
        <v>67</v>
      </c>
      <c r="I40" s="119">
        <f>(K34+L34)/1000</f>
        <v>26.443000000000001</v>
      </c>
      <c r="J40" s="132">
        <f>+I40+'22'!J40</f>
        <v>911.46799999999996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660</v>
      </c>
      <c r="D41" s="119">
        <f>+C41+'22'!D41</f>
        <v>660</v>
      </c>
      <c r="E41" s="144">
        <f t="shared" si="1"/>
        <v>11</v>
      </c>
      <c r="F41" s="323"/>
      <c r="G41" s="323"/>
      <c r="H41" s="188" t="s">
        <v>69</v>
      </c>
      <c r="I41" s="143"/>
      <c r="J41" s="130">
        <f>J40/G4</f>
        <v>39.629043478260868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+C42+'22'!D42</f>
        <v>0</v>
      </c>
      <c r="E42" s="144">
        <f t="shared" si="1"/>
        <v>0</v>
      </c>
      <c r="F42" s="323">
        <f>+(480*F38+300*F39)/780</f>
        <v>1230</v>
      </c>
      <c r="G42" s="323">
        <f>+(480*G38+300*G39)/780</f>
        <v>922.5</v>
      </c>
      <c r="H42" s="188" t="s">
        <v>70</v>
      </c>
      <c r="I42" s="247" t="s">
        <v>615</v>
      </c>
      <c r="J42" s="133"/>
      <c r="K42" s="131" t="s">
        <v>71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+C43+'22'!D43</f>
        <v>0</v>
      </c>
      <c r="E43" s="144">
        <f t="shared" si="1"/>
        <v>0</v>
      </c>
      <c r="F43" s="323"/>
      <c r="G43" s="324"/>
      <c r="H43" s="189" t="s">
        <v>73</v>
      </c>
      <c r="I43" s="119">
        <f>+Report1!Z31</f>
        <v>35.799999999999997</v>
      </c>
      <c r="J43" s="134">
        <f>+I43+'22'!J43</f>
        <v>1369.0999999999997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+C44+'22'!D44</f>
        <v>0</v>
      </c>
      <c r="E44" s="144">
        <f t="shared" si="1"/>
        <v>0</v>
      </c>
      <c r="F44" s="323"/>
      <c r="G44" s="324"/>
      <c r="H44" s="189" t="s">
        <v>74</v>
      </c>
      <c r="I44" s="119">
        <f>I43/I38</f>
        <v>1.3753889892043489</v>
      </c>
      <c r="J44" s="135">
        <f>J43/J38</f>
        <v>1.4605618431818932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+C45+'22'!D45</f>
        <v>0</v>
      </c>
      <c r="E45" s="144">
        <f t="shared" si="1"/>
        <v>0</v>
      </c>
      <c r="F45" s="323"/>
      <c r="G45" s="326"/>
      <c r="H45" s="189" t="s">
        <v>75</v>
      </c>
      <c r="I45" s="119">
        <f>I43/I40</f>
        <v>1.3538554626933401</v>
      </c>
      <c r="J45" s="135">
        <f>J43/J40</f>
        <v>1.502082355057994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+C46+'22'!D46</f>
        <v>0</v>
      </c>
      <c r="E46" s="144">
        <f t="shared" si="1"/>
        <v>0</v>
      </c>
      <c r="F46" s="323"/>
      <c r="G46" s="324"/>
      <c r="H46" s="189" t="s">
        <v>77</v>
      </c>
      <c r="I46" s="141">
        <f>+SUMIF(Listrik!P30,"&gt;0")</f>
        <v>22313.460000000727</v>
      </c>
      <c r="J46" s="136">
        <f>+I46+'22'!J46</f>
        <v>818926.28000000038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+C47+'22'!D47</f>
        <v>0</v>
      </c>
      <c r="E47" s="144">
        <f t="shared" si="1"/>
        <v>0</v>
      </c>
      <c r="F47" s="323"/>
      <c r="G47" s="324"/>
      <c r="H47" s="189" t="s">
        <v>80</v>
      </c>
      <c r="I47" s="119">
        <f>I46/I38</f>
        <v>857.25383226404119</v>
      </c>
      <c r="J47" s="136">
        <f>J46/J38</f>
        <v>873.63412237739533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+C48+'22'!D48</f>
        <v>0</v>
      </c>
      <c r="E48" s="144">
        <f t="shared" si="1"/>
        <v>0</v>
      </c>
      <c r="F48" s="323"/>
      <c r="G48" s="324"/>
      <c r="H48" s="189" t="s">
        <v>81</v>
      </c>
      <c r="I48" s="119">
        <f>I46/I40</f>
        <v>843.83239420643372</v>
      </c>
      <c r="J48" s="136">
        <f>J46/J40</f>
        <v>898.46958971680897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+C49+'22'!D49</f>
        <v>301</v>
      </c>
      <c r="E49" s="144">
        <f t="shared" si="1"/>
        <v>5.0166666666666666</v>
      </c>
      <c r="F49" s="186"/>
      <c r="H49" s="189" t="s">
        <v>269</v>
      </c>
      <c r="I49" s="119">
        <f>+Report1!T31</f>
        <v>2112.765886342414</v>
      </c>
      <c r="J49" s="136">
        <f>+I49+'22'!J49</f>
        <v>91383.849968127979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+C50+'22'!D50</f>
        <v>0</v>
      </c>
      <c r="E50" s="144">
        <f t="shared" si="1"/>
        <v>0</v>
      </c>
      <c r="F50" s="186"/>
      <c r="H50" s="189" t="s">
        <v>83</v>
      </c>
      <c r="I50" s="141">
        <f>I49/I38</f>
        <v>81.169690973238076</v>
      </c>
      <c r="J50" s="134">
        <f>J49/J38</f>
        <v>97.488689172819093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+C51+'22'!D51</f>
        <v>1000</v>
      </c>
      <c r="E51" s="144">
        <f t="shared" si="1"/>
        <v>16.666666666666668</v>
      </c>
      <c r="F51" s="186"/>
      <c r="H51" s="191" t="s">
        <v>85</v>
      </c>
      <c r="I51" s="142">
        <f>I49/I40</f>
        <v>79.89887253119592</v>
      </c>
      <c r="J51" s="137">
        <f>J49/J40</f>
        <v>100.26007492103726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703</v>
      </c>
      <c r="D52" s="145">
        <f>SUM(D38:D51)</f>
        <v>3667</v>
      </c>
      <c r="E52" s="146">
        <f>SUM(E38:E51)</f>
        <v>61.116666666666674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0.48819444444444443</v>
      </c>
      <c r="D53" s="147">
        <f>D52/(24*60*G4)</f>
        <v>0.11071859903381642</v>
      </c>
      <c r="E53" s="148">
        <f>E52/(G4*24)</f>
        <v>0.11071859903381644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+D34+'22'!J56</f>
        <v>1299</v>
      </c>
      <c r="K56" s="202">
        <f>J56/(J40+J56/1000)/1000</f>
        <v>1.4231452276429802E-3</v>
      </c>
    </row>
    <row r="57" spans="1:11">
      <c r="A57" s="177"/>
      <c r="I57" s="200" t="s">
        <v>88</v>
      </c>
      <c r="J57" s="201">
        <f>+E34+'22'!J57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19513888888888889" bottom="0.19513888888888889" header="0" footer="0"/>
  <pageSetup paperSize="9" scale="65" firstPageNumber="4294963191" orientation="landscape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topLeftCell="A4" zoomScale="80" zoomScaleNormal="80" workbookViewId="0">
      <selection activeCell="J34" sqref="A33:J34"/>
    </sheetView>
  </sheetViews>
  <sheetFormatPr defaultColWidth="9.140625" defaultRowHeight="12.75"/>
  <cols>
    <col min="1" max="1" width="8" style="150" customWidth="1"/>
    <col min="2" max="2" width="13.5703125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7109375" style="150" bestFit="1" customWidth="1"/>
    <col min="12" max="12" width="8.28515625" style="150" customWidth="1"/>
    <col min="13" max="13" width="15.28515625" style="150" customWidth="1"/>
    <col min="14" max="16384" width="9.140625" style="150"/>
  </cols>
  <sheetData>
    <row r="1" spans="1:26" ht="15.75">
      <c r="A1" s="149"/>
    </row>
    <row r="2" spans="1:26" ht="15.75">
      <c r="A2" s="149" t="s">
        <v>182</v>
      </c>
    </row>
    <row r="3" spans="1:26" ht="15">
      <c r="A3" s="151"/>
    </row>
    <row r="4" spans="1:26" ht="20.25">
      <c r="A4" s="152" t="s">
        <v>3</v>
      </c>
      <c r="B4" s="153"/>
      <c r="F4" s="154" t="s">
        <v>29</v>
      </c>
      <c r="G4" s="155">
        <v>22</v>
      </c>
      <c r="H4" s="155" t="str">
        <f>+'1'!H4</f>
        <v>.07.25</v>
      </c>
      <c r="J4" s="150">
        <f>503+576+509</f>
        <v>1588</v>
      </c>
    </row>
    <row r="5" spans="1:26" ht="13.5" thickBot="1">
      <c r="C5" s="156"/>
      <c r="D5" s="156"/>
    </row>
    <row r="6" spans="1:26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536</v>
      </c>
      <c r="O6" s="150">
        <v>1230</v>
      </c>
      <c r="P6" s="150">
        <f>+O6-O6*0.23</f>
        <v>947.09999999999991</v>
      </c>
      <c r="Q6" s="150">
        <f>60+30</f>
        <v>90</v>
      </c>
      <c r="R6" s="150">
        <f>+O6*Q6</f>
        <v>110700</v>
      </c>
      <c r="S6" s="150">
        <f>+P6*Q6</f>
        <v>85238.999999999985</v>
      </c>
      <c r="U6" s="150" t="s">
        <v>611</v>
      </c>
      <c r="V6" s="150">
        <v>1180</v>
      </c>
      <c r="W6" s="150">
        <v>885</v>
      </c>
      <c r="X6" s="150">
        <v>125</v>
      </c>
      <c r="Y6" s="150">
        <f>+V6*X6</f>
        <v>147500</v>
      </c>
      <c r="Z6" s="150">
        <f>+W6*X6</f>
        <v>110625</v>
      </c>
    </row>
    <row r="7" spans="1:26" ht="13.5" customHeight="1" thickBot="1">
      <c r="A7" s="771" t="s">
        <v>422</v>
      </c>
      <c r="B7" s="216" t="s">
        <v>541</v>
      </c>
      <c r="C7" s="217">
        <f>2919+3332</f>
        <v>6251</v>
      </c>
      <c r="D7" s="218"/>
      <c r="E7" s="219"/>
      <c r="F7" s="229">
        <v>16</v>
      </c>
      <c r="G7" s="557" t="s">
        <v>12</v>
      </c>
      <c r="H7" s="558" t="s">
        <v>470</v>
      </c>
      <c r="I7" s="774" t="s">
        <v>614</v>
      </c>
      <c r="J7" s="215" t="str">
        <f>+'21'!J7</f>
        <v>T 12,5 VP OW</v>
      </c>
      <c r="K7" s="239"/>
      <c r="L7" s="243"/>
      <c r="M7" s="118">
        <f>+K7+'21'!M7+L7</f>
        <v>106521</v>
      </c>
      <c r="N7" s="150" t="s">
        <v>611</v>
      </c>
      <c r="O7" s="150">
        <v>1180</v>
      </c>
      <c r="P7" s="150">
        <f>+O7-O7*0.25</f>
        <v>885</v>
      </c>
      <c r="Q7" s="150">
        <f>60+30+35</f>
        <v>125</v>
      </c>
      <c r="R7" s="150">
        <f>+O7*Q7</f>
        <v>147500</v>
      </c>
      <c r="S7" s="150">
        <f>+P7*Q7</f>
        <v>110625</v>
      </c>
      <c r="V7" s="150">
        <v>1200</v>
      </c>
      <c r="W7" s="150">
        <v>900</v>
      </c>
      <c r="X7" s="150">
        <v>265</v>
      </c>
      <c r="Y7" s="150">
        <f>+V7*X7</f>
        <v>318000</v>
      </c>
      <c r="Z7" s="150">
        <f>+W7*X7</f>
        <v>238500</v>
      </c>
    </row>
    <row r="8" spans="1:26" ht="13.5" thickBot="1">
      <c r="A8" s="772"/>
      <c r="B8" s="216" t="s">
        <v>622</v>
      </c>
      <c r="C8" s="217">
        <f>3034+3577</f>
        <v>6611</v>
      </c>
      <c r="D8" s="218"/>
      <c r="E8" s="220"/>
      <c r="F8" s="232"/>
      <c r="G8" s="559" t="s">
        <v>12</v>
      </c>
      <c r="H8" s="231" t="s">
        <v>408</v>
      </c>
      <c r="I8" s="775"/>
      <c r="J8" s="215" t="str">
        <f>+'21'!J8</f>
        <v>F 13 VP OW</v>
      </c>
      <c r="K8" s="240"/>
      <c r="L8" s="240"/>
      <c r="M8" s="118">
        <f>+K8+'21'!M8+L8</f>
        <v>268085</v>
      </c>
      <c r="O8" s="150">
        <v>1200</v>
      </c>
      <c r="P8" s="150">
        <f>+O8-O8*0.25</f>
        <v>900</v>
      </c>
      <c r="Q8" s="150">
        <f>480-Q6-Q7</f>
        <v>265</v>
      </c>
      <c r="R8" s="150">
        <f>+O8*Q8</f>
        <v>318000</v>
      </c>
      <c r="S8" s="150">
        <f>+P8*Q8</f>
        <v>238500</v>
      </c>
      <c r="U8" s="150" t="s">
        <v>611</v>
      </c>
      <c r="V8" s="150">
        <v>1230</v>
      </c>
      <c r="W8" s="150">
        <v>922.5</v>
      </c>
      <c r="X8" s="150">
        <v>480</v>
      </c>
      <c r="Y8" s="150">
        <f>+V8*X8</f>
        <v>590400</v>
      </c>
      <c r="Z8" s="150">
        <f>+W8*X8</f>
        <v>442800</v>
      </c>
    </row>
    <row r="9" spans="1:26" ht="13.5" thickBot="1">
      <c r="A9" s="772"/>
      <c r="B9" s="216"/>
      <c r="C9" s="217"/>
      <c r="D9" s="218"/>
      <c r="E9" s="221"/>
      <c r="F9" s="229">
        <f>34-16</f>
        <v>18</v>
      </c>
      <c r="G9" s="559" t="s">
        <v>12</v>
      </c>
      <c r="H9" s="234" t="s">
        <v>409</v>
      </c>
      <c r="I9" s="775"/>
      <c r="J9" s="215" t="str">
        <f>+'21'!J9</f>
        <v>F 12 VP OW</v>
      </c>
      <c r="K9" s="240"/>
      <c r="L9" s="240"/>
      <c r="M9" s="118">
        <f>+K9+'21'!M9+L9</f>
        <v>100984</v>
      </c>
      <c r="P9" s="150">
        <f t="shared" ref="P9" si="0">+O9-O9*0.23</f>
        <v>0</v>
      </c>
      <c r="R9" s="150">
        <f>+O9*Q9</f>
        <v>0</v>
      </c>
      <c r="S9" s="150">
        <f>+P9*Q9</f>
        <v>0</v>
      </c>
      <c r="U9" s="150" t="s">
        <v>611</v>
      </c>
      <c r="V9" s="150">
        <v>1230</v>
      </c>
      <c r="W9" s="150">
        <v>922.5</v>
      </c>
      <c r="X9" s="150">
        <v>394</v>
      </c>
      <c r="Y9" s="150">
        <f>+V9*X9</f>
        <v>484620</v>
      </c>
      <c r="Z9" s="150">
        <f>+W9*X9</f>
        <v>363465</v>
      </c>
    </row>
    <row r="10" spans="1:26" ht="26.25" thickBot="1">
      <c r="A10" s="772"/>
      <c r="B10" s="216"/>
      <c r="C10" s="217"/>
      <c r="D10" s="218"/>
      <c r="E10" s="220"/>
      <c r="F10" s="229"/>
      <c r="G10" s="230"/>
      <c r="H10" s="560" t="s">
        <v>606</v>
      </c>
      <c r="I10" s="775"/>
      <c r="J10" s="215" t="str">
        <f>+'21'!J10</f>
        <v>F 12,5 VP OW</v>
      </c>
      <c r="K10" s="240"/>
      <c r="L10" s="240"/>
      <c r="M10" s="118">
        <f>+K10+'21'!M10+L10</f>
        <v>19792</v>
      </c>
      <c r="V10" s="150">
        <v>1120</v>
      </c>
      <c r="W10" s="150">
        <v>840</v>
      </c>
      <c r="X10" s="150">
        <v>20</v>
      </c>
      <c r="Y10" s="150">
        <f t="shared" ref="Y10:Y12" si="1">+V10*X10</f>
        <v>22400</v>
      </c>
      <c r="Z10" s="150">
        <f t="shared" ref="Z10:Z12" si="2">+W10*X10</f>
        <v>16800</v>
      </c>
    </row>
    <row r="11" spans="1:26" ht="201.75" customHeight="1" thickBot="1">
      <c r="A11" s="772"/>
      <c r="B11" s="216"/>
      <c r="C11" s="217"/>
      <c r="D11" s="218"/>
      <c r="E11" s="220"/>
      <c r="F11" s="229"/>
      <c r="G11" s="233"/>
      <c r="H11" s="234" t="s">
        <v>610</v>
      </c>
      <c r="I11" s="775"/>
      <c r="J11" s="215" t="str">
        <f>+'21'!J11</f>
        <v>T 13 VP OW</v>
      </c>
      <c r="K11" s="240"/>
      <c r="L11" s="240"/>
      <c r="M11" s="118">
        <f>+K11+'21'!M11+L11</f>
        <v>278149</v>
      </c>
      <c r="Q11" s="150">
        <f>SUM(Q6:Q9)</f>
        <v>480</v>
      </c>
      <c r="R11" s="150">
        <f>SUM(R6:R9)</f>
        <v>576200</v>
      </c>
      <c r="S11" s="150">
        <f>SUM(S6:S9)</f>
        <v>434364</v>
      </c>
      <c r="V11" s="150">
        <v>1180</v>
      </c>
      <c r="W11" s="150">
        <v>885</v>
      </c>
      <c r="X11" s="150">
        <v>16</v>
      </c>
      <c r="Y11" s="150">
        <f t="shared" si="1"/>
        <v>18880</v>
      </c>
      <c r="Z11" s="150">
        <f t="shared" si="2"/>
        <v>14160</v>
      </c>
    </row>
    <row r="12" spans="1:26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+'21'!J12</f>
        <v>F 11,5 VP OW</v>
      </c>
      <c r="K12" s="240">
        <f>+C7</f>
        <v>6251</v>
      </c>
      <c r="L12" s="240"/>
      <c r="M12" s="118">
        <f>+K12+'21'!M12+L12</f>
        <v>38991</v>
      </c>
      <c r="O12" s="150" t="s">
        <v>402</v>
      </c>
      <c r="R12" s="150">
        <f>+R11/Q11</f>
        <v>1200.4166666666667</v>
      </c>
      <c r="S12" s="150">
        <f>+S11/Q11</f>
        <v>904.92499999999995</v>
      </c>
      <c r="V12" s="150">
        <v>1200</v>
      </c>
      <c r="W12" s="150">
        <v>900</v>
      </c>
      <c r="X12" s="150">
        <v>50</v>
      </c>
      <c r="Y12" s="150">
        <f t="shared" si="1"/>
        <v>60000</v>
      </c>
      <c r="Z12" s="150">
        <f t="shared" si="2"/>
        <v>45000</v>
      </c>
    </row>
    <row r="13" spans="1:26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+'21'!J13</f>
        <v>T 15 VP OW</v>
      </c>
      <c r="K13" s="240"/>
      <c r="L13" s="240"/>
      <c r="M13" s="118">
        <f>+K13+'21'!M13+L13</f>
        <v>37511</v>
      </c>
      <c r="X13" s="150">
        <f>SUM(X6:X12)</f>
        <v>1350</v>
      </c>
      <c r="Y13" s="150">
        <f>SUM(Y6:Y12)</f>
        <v>1641800</v>
      </c>
      <c r="Z13" s="150">
        <f>SUM(Z6:Z12)</f>
        <v>1231350</v>
      </c>
    </row>
    <row r="14" spans="1:26" ht="13.5" thickBot="1">
      <c r="A14" s="773"/>
      <c r="B14" s="166" t="s">
        <v>2</v>
      </c>
      <c r="C14" s="100">
        <f>SUM(C7:C13)</f>
        <v>12862</v>
      </c>
      <c r="D14" s="112">
        <f>SUM(D7:D13)</f>
        <v>0</v>
      </c>
      <c r="E14" s="113">
        <f>SUM(E5:E13)</f>
        <v>0</v>
      </c>
      <c r="F14" s="117">
        <f>SUM(F7:F13)</f>
        <v>34</v>
      </c>
      <c r="G14" s="160"/>
      <c r="H14" s="167"/>
      <c r="I14" s="168"/>
      <c r="J14" s="215" t="s">
        <v>622</v>
      </c>
      <c r="K14" s="240">
        <f>+C8+C16+C25</f>
        <v>34992</v>
      </c>
      <c r="L14" s="240"/>
      <c r="M14" s="118">
        <f>+K14+'21'!M14+L14</f>
        <v>34992</v>
      </c>
      <c r="N14" s="150" t="s">
        <v>611</v>
      </c>
      <c r="O14" s="150">
        <v>1230</v>
      </c>
      <c r="P14" s="150">
        <f>+O14-O14*0.25</f>
        <v>922.5</v>
      </c>
      <c r="Q14" s="150">
        <v>480</v>
      </c>
      <c r="R14" s="150">
        <f>+O14*Q14</f>
        <v>590400</v>
      </c>
      <c r="S14" s="150">
        <f>+P14*Q14</f>
        <v>442800</v>
      </c>
      <c r="Y14" s="150">
        <f>+Y13/X13</f>
        <v>1216.148148148148</v>
      </c>
      <c r="Z14" s="150">
        <f>+Z13/X13</f>
        <v>912.11111111111109</v>
      </c>
    </row>
    <row r="15" spans="1:26" ht="13.5" customHeight="1" thickBot="1">
      <c r="A15" s="771" t="s">
        <v>623</v>
      </c>
      <c r="B15" s="166"/>
      <c r="C15" s="114">
        <f>C14/($C$23+$D$23+$E$23)</f>
        <v>1.0803863922721546</v>
      </c>
      <c r="D15" s="115">
        <f>D14/($C$23+$D$23+$E$23)</f>
        <v>0</v>
      </c>
      <c r="E15" s="116">
        <f>E14/($C$23+$D$23+$E$23)</f>
        <v>0</v>
      </c>
      <c r="F15" s="229">
        <v>9</v>
      </c>
      <c r="G15" s="557" t="s">
        <v>12</v>
      </c>
      <c r="H15" s="558" t="s">
        <v>394</v>
      </c>
      <c r="I15" s="774" t="s">
        <v>615</v>
      </c>
      <c r="J15" s="215">
        <f>+'21'!J15</f>
        <v>0</v>
      </c>
      <c r="K15" s="240"/>
      <c r="L15" s="240"/>
      <c r="M15" s="118">
        <f>+K15+'21'!M15+L15</f>
        <v>0</v>
      </c>
      <c r="P15" s="150">
        <f>+O15-O15*0.25</f>
        <v>0</v>
      </c>
      <c r="R15" s="150">
        <f>+O15*Q15</f>
        <v>0</v>
      </c>
      <c r="S15" s="150">
        <f>+P15*Q15</f>
        <v>0</v>
      </c>
    </row>
    <row r="16" spans="1:26" ht="13.5" thickBot="1">
      <c r="A16" s="777"/>
      <c r="B16" s="216" t="s">
        <v>622</v>
      </c>
      <c r="C16" s="223">
        <v>11905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+'21'!J16</f>
        <v>0</v>
      </c>
      <c r="K16" s="230"/>
      <c r="L16" s="230"/>
      <c r="M16" s="118">
        <f>+K16+'21'!M16+L16</f>
        <v>0</v>
      </c>
      <c r="P16" s="150">
        <f>+O16-O16*0.25</f>
        <v>0</v>
      </c>
      <c r="Q16" s="150">
        <f>480-Q14-Q15</f>
        <v>0</v>
      </c>
      <c r="R16" s="150">
        <f>+O16*Q16</f>
        <v>0</v>
      </c>
      <c r="S16" s="150">
        <f>+P16*Q16</f>
        <v>0</v>
      </c>
    </row>
    <row r="17" spans="1:19" ht="13.5" thickBot="1">
      <c r="A17" s="777"/>
      <c r="B17" s="216"/>
      <c r="C17" s="217"/>
      <c r="D17" s="218"/>
      <c r="E17" s="226"/>
      <c r="F17" s="229">
        <v>10</v>
      </c>
      <c r="G17" s="559" t="s">
        <v>12</v>
      </c>
      <c r="H17" s="234" t="s">
        <v>487</v>
      </c>
      <c r="I17" s="775"/>
      <c r="J17" s="215">
        <f>+'21'!J17</f>
        <v>0</v>
      </c>
      <c r="K17" s="230"/>
      <c r="L17" s="230"/>
      <c r="M17" s="118">
        <f>+K17+'21'!M17+L17</f>
        <v>0</v>
      </c>
      <c r="P17" s="150">
        <f t="shared" ref="P17" si="3">+O17-O17*0.23</f>
        <v>0</v>
      </c>
      <c r="R17" s="150">
        <f>+O17*Q17</f>
        <v>0</v>
      </c>
      <c r="S17" s="150">
        <f>+P17*Q17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612</v>
      </c>
      <c r="I18" s="775"/>
      <c r="J18" s="215">
        <f>+'21'!J18</f>
        <v>0</v>
      </c>
      <c r="K18" s="240"/>
      <c r="L18" s="240"/>
      <c r="M18" s="118">
        <f>+K18+'21'!M18+L18</f>
        <v>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+'21'!J19</f>
        <v>0</v>
      </c>
      <c r="K19" s="240"/>
      <c r="L19" s="240"/>
      <c r="M19" s="118">
        <f>+K19+'21'!M19+L19</f>
        <v>0</v>
      </c>
      <c r="Q19" s="150">
        <f>SUM(Q14:Q17)</f>
        <v>480</v>
      </c>
      <c r="R19" s="150">
        <f>SUM(R14:R17)</f>
        <v>590400</v>
      </c>
      <c r="S19" s="150">
        <f>SUM(S14:S17)</f>
        <v>442800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+'21'!J20</f>
        <v>0</v>
      </c>
      <c r="K20" s="241"/>
      <c r="L20" s="241"/>
      <c r="M20" s="118">
        <f>+K20+'21'!M20+L20</f>
        <v>0</v>
      </c>
      <c r="O20" s="150" t="s">
        <v>402</v>
      </c>
      <c r="R20" s="150">
        <f>+R19/Q19</f>
        <v>1230</v>
      </c>
      <c r="S20" s="150">
        <f>+S19/Q19</f>
        <v>922.5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+'21'!J21</f>
        <v>0</v>
      </c>
      <c r="K21" s="240"/>
      <c r="L21" s="240"/>
      <c r="M21" s="118">
        <f>+K21+'21'!M21+L21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+'21'!J22</f>
        <v>0</v>
      </c>
      <c r="K22" s="240"/>
      <c r="L22" s="240"/>
      <c r="M22" s="118">
        <f>+K22+'21'!M22+L22</f>
        <v>0</v>
      </c>
    </row>
    <row r="23" spans="1:19" ht="24" customHeight="1" thickBot="1">
      <c r="A23" s="778"/>
      <c r="B23" s="169" t="s">
        <v>2</v>
      </c>
      <c r="C23" s="101">
        <f>SUM(C16:C22)</f>
        <v>11905</v>
      </c>
      <c r="D23" s="112">
        <f>SUM(D16:D22)</f>
        <v>0</v>
      </c>
      <c r="E23" s="113">
        <f>SUM(E18:E22)</f>
        <v>0</v>
      </c>
      <c r="F23" s="117">
        <f>SUM(F15:F22)</f>
        <v>19</v>
      </c>
      <c r="G23" s="160"/>
      <c r="H23" s="167"/>
      <c r="I23" s="170"/>
      <c r="J23" s="215">
        <f>+'21'!J23</f>
        <v>0</v>
      </c>
      <c r="K23" s="240"/>
      <c r="L23" s="240"/>
      <c r="M23" s="118">
        <f>+K23+'21'!M23+L23</f>
        <v>0</v>
      </c>
      <c r="N23" s="150" t="s">
        <v>611</v>
      </c>
      <c r="O23" s="150">
        <v>1230</v>
      </c>
      <c r="P23" s="150">
        <f>+O23-O23*0.25</f>
        <v>922.5</v>
      </c>
      <c r="Q23" s="150">
        <f>60*6+34</f>
        <v>394</v>
      </c>
      <c r="R23" s="150">
        <f>+O23*Q23</f>
        <v>484620</v>
      </c>
      <c r="S23" s="150">
        <f>+P23*Q23</f>
        <v>363465</v>
      </c>
    </row>
    <row r="24" spans="1:19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616</v>
      </c>
      <c r="J24" s="215">
        <f>+'21'!J24</f>
        <v>0</v>
      </c>
      <c r="K24" s="240"/>
      <c r="L24" s="240"/>
      <c r="M24" s="118">
        <f>+K24+'21'!M24+L24</f>
        <v>0</v>
      </c>
      <c r="O24" s="150">
        <v>1120</v>
      </c>
      <c r="P24" s="150">
        <f t="shared" ref="P24:P26" si="4">+O24-O24*0.25</f>
        <v>840</v>
      </c>
      <c r="Q24" s="150">
        <f>54-34</f>
        <v>20</v>
      </c>
      <c r="R24" s="150">
        <f>+O24*Q24</f>
        <v>22400</v>
      </c>
      <c r="S24" s="150">
        <f>+P24*Q24</f>
        <v>16800</v>
      </c>
    </row>
    <row r="25" spans="1:19" ht="13.5" thickBot="1">
      <c r="A25" s="777"/>
      <c r="B25" s="216" t="s">
        <v>622</v>
      </c>
      <c r="C25" s="227">
        <v>16476</v>
      </c>
      <c r="D25" s="218"/>
      <c r="E25" s="226"/>
      <c r="F25" s="232">
        <v>9</v>
      </c>
      <c r="G25" s="559" t="s">
        <v>12</v>
      </c>
      <c r="H25" s="231" t="s">
        <v>385</v>
      </c>
      <c r="I25" s="775"/>
      <c r="J25" s="215">
        <f>+'21'!J25</f>
        <v>0</v>
      </c>
      <c r="K25" s="240"/>
      <c r="L25" s="240"/>
      <c r="M25" s="118">
        <f>+K25+'21'!M25+L25</f>
        <v>0</v>
      </c>
      <c r="O25" s="150">
        <v>1180</v>
      </c>
      <c r="P25" s="150">
        <f t="shared" si="4"/>
        <v>885</v>
      </c>
      <c r="Q25" s="150">
        <f>60-54+10</f>
        <v>16</v>
      </c>
      <c r="R25" s="150">
        <f>+O25*Q25</f>
        <v>18880</v>
      </c>
      <c r="S25" s="150">
        <f>+P25*Q25</f>
        <v>14160</v>
      </c>
    </row>
    <row r="26" spans="1:19" ht="13.5" thickBot="1">
      <c r="A26" s="777"/>
      <c r="B26" s="216"/>
      <c r="C26" s="227"/>
      <c r="D26" s="218"/>
      <c r="E26" s="228"/>
      <c r="F26" s="229">
        <v>10</v>
      </c>
      <c r="G26" s="559" t="s">
        <v>12</v>
      </c>
      <c r="H26" s="234" t="s">
        <v>442</v>
      </c>
      <c r="I26" s="775"/>
      <c r="J26" s="215">
        <f>+'21'!J26</f>
        <v>0</v>
      </c>
      <c r="K26" s="240"/>
      <c r="L26" s="240"/>
      <c r="M26" s="118">
        <f>+K26+'21'!M26+L26</f>
        <v>0</v>
      </c>
      <c r="O26" s="150">
        <v>1200</v>
      </c>
      <c r="P26" s="150">
        <f t="shared" si="4"/>
        <v>900</v>
      </c>
      <c r="Q26" s="150">
        <f>60-10</f>
        <v>50</v>
      </c>
      <c r="R26" s="150">
        <f>+O26*Q26</f>
        <v>60000</v>
      </c>
      <c r="S26" s="150">
        <f>+P26*Q26</f>
        <v>45000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613</v>
      </c>
      <c r="I27" s="775"/>
      <c r="J27" s="215">
        <f>+'21'!J27</f>
        <v>0</v>
      </c>
      <c r="K27" s="240"/>
      <c r="L27" s="240"/>
      <c r="M27" s="118">
        <f>+K27+'21'!M27+L27</f>
        <v>0</v>
      </c>
    </row>
    <row r="28" spans="1:19" ht="51.75" thickBot="1">
      <c r="A28" s="777"/>
      <c r="B28" s="216"/>
      <c r="C28" s="217"/>
      <c r="D28" s="218"/>
      <c r="E28" s="226"/>
      <c r="F28" s="232"/>
      <c r="G28" s="233"/>
      <c r="H28" s="234" t="s">
        <v>609</v>
      </c>
      <c r="I28" s="775"/>
      <c r="J28" s="215">
        <f>+'21'!J28</f>
        <v>0</v>
      </c>
      <c r="K28" s="240"/>
      <c r="L28" s="240"/>
      <c r="M28" s="118">
        <f>+K28+'21'!M28+L28</f>
        <v>0</v>
      </c>
      <c r="Q28" s="150">
        <f>SUM(Q23:Q26)</f>
        <v>480</v>
      </c>
      <c r="R28" s="150">
        <f>SUM(R23:R26)</f>
        <v>585900</v>
      </c>
      <c r="S28" s="150">
        <f>SUM(S23:S26)</f>
        <v>439425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+'21'!J29</f>
        <v>0</v>
      </c>
      <c r="K29" s="240"/>
      <c r="L29" s="240"/>
      <c r="M29" s="118">
        <f>+K29+'21'!M29+L29</f>
        <v>0</v>
      </c>
      <c r="O29" s="150" t="s">
        <v>402</v>
      </c>
      <c r="R29" s="150">
        <f>+R28/Q28</f>
        <v>1220.625</v>
      </c>
      <c r="S29" s="150">
        <f>+S28/Q28</f>
        <v>915.46875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+'21'!J30</f>
        <v>0</v>
      </c>
      <c r="K30" s="240"/>
      <c r="L30" s="240"/>
      <c r="M30" s="118">
        <f>+K30+'21'!M30+L30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+'21'!J31</f>
        <v>0</v>
      </c>
      <c r="K31" s="240"/>
      <c r="L31" s="240"/>
      <c r="M31" s="118">
        <f>+K31+'21'!M31+L31</f>
        <v>0</v>
      </c>
    </row>
    <row r="32" spans="1:19" ht="13.5" thickBot="1">
      <c r="A32" s="778"/>
      <c r="B32" s="166" t="s">
        <v>2</v>
      </c>
      <c r="C32" s="100">
        <f>SUM(C25:C31)</f>
        <v>16476</v>
      </c>
      <c r="D32" s="101">
        <f>SUM(D25:D31)</f>
        <v>0</v>
      </c>
      <c r="E32" s="102">
        <f>SUM(E25:E31)</f>
        <v>0</v>
      </c>
      <c r="F32" s="103">
        <f>SUM(F24:F31)</f>
        <v>19</v>
      </c>
      <c r="G32" s="172"/>
      <c r="H32" s="173"/>
      <c r="I32" s="170"/>
      <c r="J32" s="215">
        <f>+'21'!J32</f>
        <v>0</v>
      </c>
      <c r="K32" s="242"/>
      <c r="L32" s="244"/>
      <c r="M32" s="118">
        <f>+K32+'21'!M32+L32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7" ht="13.5" thickBot="1">
      <c r="A34" s="767" t="s">
        <v>57</v>
      </c>
      <c r="B34" s="768"/>
      <c r="C34" s="108">
        <f>C14+C23+C32</f>
        <v>41243</v>
      </c>
      <c r="D34" s="108">
        <f>D14+D23+D32</f>
        <v>0</v>
      </c>
      <c r="E34" s="108">
        <f>E14+E23+E32</f>
        <v>0</v>
      </c>
      <c r="F34" s="109">
        <f>F14+F23+F32</f>
        <v>72</v>
      </c>
      <c r="H34" s="179"/>
      <c r="I34" s="179"/>
      <c r="J34" s="124" t="s">
        <v>28</v>
      </c>
      <c r="K34" s="125">
        <f>SUM(K7:K32)</f>
        <v>41243</v>
      </c>
      <c r="L34" s="213">
        <f>SUM(L7:L32)</f>
        <v>0</v>
      </c>
      <c r="M34" s="121">
        <f>SUM(M7:M32)</f>
        <v>885025</v>
      </c>
      <c r="N34" s="150" t="s">
        <v>536</v>
      </c>
      <c r="O34" s="150">
        <v>1230</v>
      </c>
      <c r="P34" s="150">
        <v>947.09999999999991</v>
      </c>
      <c r="Q34" s="150">
        <v>90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N35" s="150" t="s">
        <v>611</v>
      </c>
      <c r="O35" s="150">
        <v>1216.148148148148</v>
      </c>
      <c r="P35" s="150">
        <v>912.11111111111109</v>
      </c>
      <c r="Q35" s="150">
        <v>1350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  <c r="Q36" s="150">
        <f>SUM(Q34:Q35)</f>
        <v>1440</v>
      </c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(11.5*90+14*1350)/1440*G42*2.74*1440/1000000</f>
        <v>49.940689374375005</v>
      </c>
      <c r="J37" s="126">
        <f>+I37+'21'!J37</f>
        <v>999.71058104688154</v>
      </c>
      <c r="K37" s="127" t="s">
        <v>63</v>
      </c>
    </row>
    <row r="38" spans="1:17" ht="17.45" customHeight="1">
      <c r="A38" s="761" t="s">
        <v>12</v>
      </c>
      <c r="B38" s="762"/>
      <c r="C38" s="165">
        <f>SUMIF($G$7:$G$31,"Process",$F$7:$F$31)</f>
        <v>72</v>
      </c>
      <c r="D38" s="119">
        <f>+C38+'21'!D38</f>
        <v>1663</v>
      </c>
      <c r="E38" s="144">
        <f t="shared" ref="E38:E51" si="5">D38/60</f>
        <v>27.716666666666665</v>
      </c>
      <c r="F38" s="323">
        <v>1200.4166666666667</v>
      </c>
      <c r="G38" s="323">
        <v>904.92499999999995</v>
      </c>
      <c r="H38" s="188" t="s">
        <v>64</v>
      </c>
      <c r="I38" s="246">
        <f>13.03+16.44+14.56</f>
        <v>44.03</v>
      </c>
      <c r="J38" s="128">
        <f>+I38+'21'!J38</f>
        <v>911.34999999999991</v>
      </c>
      <c r="K38" s="129" t="s">
        <v>63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+C39+'21'!D39</f>
        <v>0</v>
      </c>
      <c r="E39" s="144">
        <f t="shared" si="5"/>
        <v>0</v>
      </c>
      <c r="F39" s="323">
        <v>1230</v>
      </c>
      <c r="G39" s="323">
        <v>922.5</v>
      </c>
      <c r="H39" s="188" t="s">
        <v>65</v>
      </c>
      <c r="I39" s="143"/>
      <c r="J39" s="130">
        <f>J37/G4</f>
        <v>45.441390047585521</v>
      </c>
      <c r="K39" s="131" t="s">
        <v>63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+C40+'21'!D40</f>
        <v>0</v>
      </c>
      <c r="E40" s="144">
        <f t="shared" si="5"/>
        <v>0</v>
      </c>
      <c r="F40" s="323">
        <v>1220.625</v>
      </c>
      <c r="G40" s="323">
        <v>915.46875</v>
      </c>
      <c r="H40" s="188" t="s">
        <v>67</v>
      </c>
      <c r="I40" s="119">
        <f>(K34+L34)/1000</f>
        <v>41.243000000000002</v>
      </c>
      <c r="J40" s="132">
        <f>+I40+'21'!J40</f>
        <v>885.02499999999998</v>
      </c>
      <c r="K40" s="131" t="s">
        <v>63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+C41+'21'!D41</f>
        <v>0</v>
      </c>
      <c r="E41" s="144">
        <f t="shared" si="5"/>
        <v>0</v>
      </c>
      <c r="F41" s="323"/>
      <c r="G41" s="323"/>
      <c r="H41" s="188" t="s">
        <v>69</v>
      </c>
      <c r="I41" s="143"/>
      <c r="J41" s="130">
        <f>J40/G4</f>
        <v>40.228409090909089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+C42+'21'!D42</f>
        <v>0</v>
      </c>
      <c r="E42" s="144">
        <f t="shared" si="5"/>
        <v>0</v>
      </c>
      <c r="F42" s="323">
        <f>+(480*F38+480*F39+480*F40)/1440</f>
        <v>1217.0138888888889</v>
      </c>
      <c r="G42" s="323">
        <f>+(480*G38+480*G39+480*G40)/1440</f>
        <v>914.29791666666665</v>
      </c>
      <c r="H42" s="188" t="s">
        <v>70</v>
      </c>
      <c r="I42" s="247" t="s">
        <v>617</v>
      </c>
      <c r="J42" s="133"/>
      <c r="K42" s="131" t="s">
        <v>71</v>
      </c>
    </row>
    <row r="43" spans="1:17" ht="17.45" customHeight="1">
      <c r="A43" s="765" t="s">
        <v>72</v>
      </c>
      <c r="B43" s="766"/>
      <c r="C43" s="165">
        <f>SUMIF($G$7:$G$31,"Water",$F$7:$F$31)</f>
        <v>0</v>
      </c>
      <c r="D43" s="119">
        <f>+C43+'21'!D43</f>
        <v>0</v>
      </c>
      <c r="E43" s="144">
        <f t="shared" si="5"/>
        <v>0</v>
      </c>
      <c r="F43" s="323"/>
      <c r="G43" s="324"/>
      <c r="H43" s="189" t="s">
        <v>73</v>
      </c>
      <c r="I43" s="119">
        <f>+Report1!Z30</f>
        <v>62.3</v>
      </c>
      <c r="J43" s="134">
        <f>+I43+'21'!J43</f>
        <v>1333.2999999999997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+C44+'21'!D44</f>
        <v>0</v>
      </c>
      <c r="E44" s="144">
        <f t="shared" si="5"/>
        <v>0</v>
      </c>
      <c r="F44" s="323"/>
      <c r="G44" s="324"/>
      <c r="H44" s="189" t="s">
        <v>74</v>
      </c>
      <c r="I44" s="119">
        <f>I43/I38</f>
        <v>1.4149443561208266</v>
      </c>
      <c r="J44" s="135">
        <f>J43/J38</f>
        <v>1.4629944587699566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+C45+'21'!D45</f>
        <v>0</v>
      </c>
      <c r="E45" s="144">
        <f t="shared" si="5"/>
        <v>0</v>
      </c>
      <c r="F45" s="323"/>
      <c r="G45" s="326"/>
      <c r="H45" s="189" t="s">
        <v>75</v>
      </c>
      <c r="I45" s="119">
        <f>I43/I40</f>
        <v>1.5105593676502678</v>
      </c>
      <c r="J45" s="135">
        <f>J43/J40</f>
        <v>1.5065111155052116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+C46+'21'!D46</f>
        <v>0</v>
      </c>
      <c r="E46" s="144">
        <f t="shared" si="5"/>
        <v>0</v>
      </c>
      <c r="F46" s="323"/>
      <c r="G46" s="324"/>
      <c r="H46" s="189" t="s">
        <v>77</v>
      </c>
      <c r="I46" s="141">
        <f>+SUMIF(Listrik!P29,"&gt;0")</f>
        <v>36024.979999999639</v>
      </c>
      <c r="J46" s="136">
        <f>+I46+'21'!J46</f>
        <v>796612.8199999996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+C47+'21'!D47</f>
        <v>0</v>
      </c>
      <c r="E47" s="144">
        <f t="shared" si="5"/>
        <v>0</v>
      </c>
      <c r="F47" s="323"/>
      <c r="G47" s="324"/>
      <c r="H47" s="189" t="s">
        <v>80</v>
      </c>
      <c r="I47" s="119">
        <f>I46/I38</f>
        <v>818.19168748579693</v>
      </c>
      <c r="J47" s="136">
        <f>J46/J38</f>
        <v>874.10195863279716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+C48+'21'!D48</f>
        <v>0</v>
      </c>
      <c r="E48" s="144">
        <f t="shared" si="5"/>
        <v>0</v>
      </c>
      <c r="F48" s="323"/>
      <c r="G48" s="324"/>
      <c r="H48" s="189" t="s">
        <v>81</v>
      </c>
      <c r="I48" s="119">
        <f>I46/I40</f>
        <v>873.48107557645267</v>
      </c>
      <c r="J48" s="136">
        <f>J46/J40</f>
        <v>900.10205361430428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+C49+'21'!D49</f>
        <v>301</v>
      </c>
      <c r="E49" s="144">
        <f t="shared" si="5"/>
        <v>5.0166666666666666</v>
      </c>
      <c r="F49" s="186"/>
      <c r="H49" s="189" t="s">
        <v>269</v>
      </c>
      <c r="I49" s="119">
        <f>+Report1!T30</f>
        <v>4123.4520578891634</v>
      </c>
      <c r="J49" s="136">
        <f>+I49+'21'!J49</f>
        <v>89271.084081785564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+C50+'21'!D50</f>
        <v>0</v>
      </c>
      <c r="E50" s="144">
        <f t="shared" si="5"/>
        <v>0</v>
      </c>
      <c r="F50" s="186"/>
      <c r="H50" s="189" t="s">
        <v>83</v>
      </c>
      <c r="I50" s="141">
        <f>I49/I38</f>
        <v>93.650966565731622</v>
      </c>
      <c r="J50" s="134">
        <f>J49/J38</f>
        <v>97.954774874401238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+C51+'21'!D51</f>
        <v>1000</v>
      </c>
      <c r="E51" s="144">
        <f t="shared" si="5"/>
        <v>16.666666666666668</v>
      </c>
      <c r="F51" s="186"/>
      <c r="H51" s="191" t="s">
        <v>85</v>
      </c>
      <c r="I51" s="142">
        <f>I49/I40</f>
        <v>99.979440338703853</v>
      </c>
      <c r="J51" s="137">
        <f>J49/J40</f>
        <v>100.86843205760918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72</v>
      </c>
      <c r="D52" s="145">
        <f>SUM(D38:D51)</f>
        <v>2964</v>
      </c>
      <c r="E52" s="146">
        <f>SUM(E38:E51)</f>
        <v>49.400000000000006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0.05</v>
      </c>
      <c r="D53" s="147">
        <f>D52/(24*60*G4)</f>
        <v>9.3560606060606066E-2</v>
      </c>
      <c r="E53" s="148">
        <f>E52/(G4*24)</f>
        <v>9.3560606060606066E-2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+D34+'21'!J56</f>
        <v>1299</v>
      </c>
      <c r="K56" s="202">
        <f>J56/(J40+J56/1000)/1000</f>
        <v>1.4656040003429899E-3</v>
      </c>
    </row>
    <row r="57" spans="1:11">
      <c r="A57" s="177"/>
      <c r="I57" s="200" t="s">
        <v>88</v>
      </c>
      <c r="J57" s="201">
        <f>+E34+'21'!J57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1388888888888889" bottom="0.39027777777777778" header="0" footer="0"/>
  <pageSetup paperSize="9" scale="62" firstPageNumber="4294963191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1"/>
  <sheetViews>
    <sheetView topLeftCell="A4" zoomScale="80" zoomScaleNormal="80" workbookViewId="0">
      <selection activeCell="F17" sqref="F17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710937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4.7109375" style="150" customWidth="1"/>
    <col min="14" max="15" width="0" style="150" hidden="1" customWidth="1"/>
    <col min="16" max="16" width="10.28515625" style="150" hidden="1" customWidth="1"/>
    <col min="17" max="17" width="9.28515625" style="150" hidden="1" customWidth="1"/>
    <col min="18" max="23" width="0" style="150" hidden="1" customWidth="1"/>
    <col min="24" max="16384" width="9.140625" style="150"/>
  </cols>
  <sheetData>
    <row r="1" spans="1:29" ht="15.75">
      <c r="A1" s="149"/>
    </row>
    <row r="2" spans="1:29" ht="15.75">
      <c r="A2" s="149" t="s">
        <v>182</v>
      </c>
    </row>
    <row r="3" spans="1:29" ht="15">
      <c r="A3" s="151"/>
    </row>
    <row r="4" spans="1:29" ht="20.25">
      <c r="A4" s="152" t="s">
        <v>3</v>
      </c>
      <c r="B4" s="153"/>
      <c r="F4" s="154" t="s">
        <v>29</v>
      </c>
      <c r="G4" s="155">
        <v>21</v>
      </c>
      <c r="H4" s="155" t="str">
        <f>+'1'!H4</f>
        <v>.07.25</v>
      </c>
      <c r="J4" s="150">
        <f>561+527+511</f>
        <v>1599</v>
      </c>
    </row>
    <row r="5" spans="1:29" ht="13.5" thickBot="1">
      <c r="C5" s="156"/>
      <c r="D5" s="156"/>
    </row>
    <row r="6" spans="1:2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82" t="s">
        <v>92</v>
      </c>
      <c r="O6" s="414" t="s">
        <v>189</v>
      </c>
      <c r="P6" s="414" t="s">
        <v>189</v>
      </c>
      <c r="Q6" s="414" t="s">
        <v>190</v>
      </c>
      <c r="R6" s="414" t="s">
        <v>191</v>
      </c>
      <c r="S6" s="414" t="s">
        <v>192</v>
      </c>
      <c r="T6" s="414" t="s">
        <v>187</v>
      </c>
      <c r="U6" s="415" t="s">
        <v>193</v>
      </c>
      <c r="V6" s="414" t="s">
        <v>194</v>
      </c>
      <c r="W6" s="414" t="s">
        <v>188</v>
      </c>
      <c r="X6" s="150" t="s">
        <v>401</v>
      </c>
      <c r="Y6" s="150">
        <v>1230</v>
      </c>
      <c r="Z6" s="150">
        <f>+Y6-Y6*0.23</f>
        <v>947.09999999999991</v>
      </c>
      <c r="AA6" s="150">
        <f>60*4+55</f>
        <v>295</v>
      </c>
      <c r="AB6" s="150">
        <f>+Y6*AA6</f>
        <v>362850</v>
      </c>
      <c r="AC6" s="150">
        <f>+Z6*AA6</f>
        <v>279394.5</v>
      </c>
    </row>
    <row r="7" spans="1:29" ht="13.5" customHeight="1" thickBot="1">
      <c r="A7" s="771" t="s">
        <v>422</v>
      </c>
      <c r="B7" s="216" t="s">
        <v>424</v>
      </c>
      <c r="C7" s="217">
        <v>11255</v>
      </c>
      <c r="D7" s="218"/>
      <c r="E7" s="219"/>
      <c r="F7" s="229">
        <v>12</v>
      </c>
      <c r="G7" s="557" t="s">
        <v>12</v>
      </c>
      <c r="H7" s="558" t="s">
        <v>470</v>
      </c>
      <c r="I7" s="774" t="s">
        <v>406</v>
      </c>
      <c r="J7" s="328" t="str">
        <f>+'20'!J7</f>
        <v>T 12,5 VP OW</v>
      </c>
      <c r="K7" s="239">
        <f>+C7</f>
        <v>11255</v>
      </c>
      <c r="L7" s="243"/>
      <c r="M7" s="118">
        <f>+K7+'20'!M7+L7</f>
        <v>106521</v>
      </c>
      <c r="N7" s="416">
        <v>14.5</v>
      </c>
      <c r="O7" s="200">
        <v>1200</v>
      </c>
      <c r="P7" s="200">
        <v>1120</v>
      </c>
      <c r="Q7" s="200">
        <v>896</v>
      </c>
      <c r="R7" s="417">
        <f>1-(Q7/P7)</f>
        <v>0.19999999999999996</v>
      </c>
      <c r="S7" s="418">
        <v>45</v>
      </c>
      <c r="T7" s="419">
        <v>256.5</v>
      </c>
      <c r="U7" s="420">
        <f>(O7*(1-R7)*N7*T7*S7)/100000000</f>
        <v>1.606716</v>
      </c>
      <c r="V7" s="421">
        <f>+C14/1000</f>
        <v>13.127000000000001</v>
      </c>
      <c r="W7" s="422">
        <f>SUM(V7:V9)/SUM(U7:U9)</f>
        <v>0.62846777574209189</v>
      </c>
      <c r="X7" s="150" t="s">
        <v>536</v>
      </c>
      <c r="Y7" s="150">
        <v>1230</v>
      </c>
      <c r="Z7" s="150">
        <f t="shared" ref="Z7:Z9" si="0">+Y7-Y7*0.23</f>
        <v>947.09999999999991</v>
      </c>
      <c r="AA7" s="150">
        <f>480-AA6</f>
        <v>185</v>
      </c>
      <c r="AB7" s="150">
        <f>+Y7*AA7</f>
        <v>227550</v>
      </c>
      <c r="AC7" s="150">
        <f>+Z7*AA7</f>
        <v>175213.49999999997</v>
      </c>
    </row>
    <row r="8" spans="1:29" ht="13.5" thickBot="1">
      <c r="A8" s="772"/>
      <c r="B8" s="216" t="s">
        <v>541</v>
      </c>
      <c r="C8" s="217">
        <f>871+1001</f>
        <v>1872</v>
      </c>
      <c r="D8" s="218"/>
      <c r="E8" s="220"/>
      <c r="F8" s="232"/>
      <c r="G8" s="559" t="s">
        <v>12</v>
      </c>
      <c r="H8" s="231" t="s">
        <v>408</v>
      </c>
      <c r="I8" s="775"/>
      <c r="J8" s="215" t="str">
        <f>+'20'!J8</f>
        <v>F 13 VP OW</v>
      </c>
      <c r="K8" s="240"/>
      <c r="L8" s="240"/>
      <c r="M8" s="118">
        <f>+K8+'20'!M8+L8</f>
        <v>268085</v>
      </c>
      <c r="N8" s="416">
        <v>18</v>
      </c>
      <c r="O8" s="200">
        <v>1200</v>
      </c>
      <c r="P8" s="200">
        <v>930</v>
      </c>
      <c r="Q8" s="200">
        <v>744</v>
      </c>
      <c r="R8" s="417">
        <f>1-(Q8/P8)</f>
        <v>0.19999999999999996</v>
      </c>
      <c r="S8" s="418">
        <f>480-S7</f>
        <v>435</v>
      </c>
      <c r="T8" s="419">
        <v>256.5</v>
      </c>
      <c r="U8" s="420">
        <f>(O8*(1-R8)*N8*T8*S8)/100000000</f>
        <v>19.280591999999999</v>
      </c>
      <c r="V8" s="421"/>
      <c r="W8" s="423"/>
      <c r="Z8" s="150">
        <f t="shared" si="0"/>
        <v>0</v>
      </c>
      <c r="AB8" s="150">
        <f>+Y8*AA8</f>
        <v>0</v>
      </c>
      <c r="AC8" s="150">
        <f>+Z8*AA8</f>
        <v>0</v>
      </c>
    </row>
    <row r="9" spans="1:29" ht="13.5" thickBot="1">
      <c r="A9" s="772"/>
      <c r="B9" s="216"/>
      <c r="C9" s="217"/>
      <c r="D9" s="218"/>
      <c r="E9" s="221"/>
      <c r="F9" s="229">
        <f>31-12</f>
        <v>19</v>
      </c>
      <c r="G9" s="559" t="s">
        <v>12</v>
      </c>
      <c r="H9" s="234" t="s">
        <v>442</v>
      </c>
      <c r="I9" s="775"/>
      <c r="J9" s="215" t="str">
        <f>+'20'!J9</f>
        <v>F 12 VP OW</v>
      </c>
      <c r="K9" s="240"/>
      <c r="L9" s="240"/>
      <c r="M9" s="118">
        <f>+K9+'20'!M9+L9</f>
        <v>100984</v>
      </c>
      <c r="N9" s="424"/>
      <c r="Z9" s="150">
        <f t="shared" si="0"/>
        <v>0</v>
      </c>
      <c r="AB9" s="150">
        <f>+Y9*AA9</f>
        <v>0</v>
      </c>
      <c r="AC9" s="150">
        <f>+Z9*AA9</f>
        <v>0</v>
      </c>
    </row>
    <row r="10" spans="1:29" ht="26.25" thickBot="1">
      <c r="A10" s="772"/>
      <c r="B10" s="216"/>
      <c r="C10" s="217"/>
      <c r="D10" s="218"/>
      <c r="E10" s="220"/>
      <c r="F10" s="229"/>
      <c r="G10" s="230"/>
      <c r="H10" s="560" t="s">
        <v>591</v>
      </c>
      <c r="I10" s="775"/>
      <c r="J10" s="215" t="str">
        <f>+'20'!J10</f>
        <v>F 12,5 VP OW</v>
      </c>
      <c r="K10" s="240"/>
      <c r="L10" s="240"/>
      <c r="M10" s="118">
        <f>+K10+'20'!M10+L10</f>
        <v>19792</v>
      </c>
      <c r="N10" s="424"/>
    </row>
    <row r="11" spans="1:29" ht="26.25" thickBot="1">
      <c r="A11" s="772"/>
      <c r="B11" s="216"/>
      <c r="C11" s="217"/>
      <c r="D11" s="218"/>
      <c r="E11" s="220"/>
      <c r="F11" s="229"/>
      <c r="G11" s="233"/>
      <c r="H11" s="234" t="s">
        <v>605</v>
      </c>
      <c r="I11" s="775"/>
      <c r="J11" s="215" t="str">
        <f>+'20'!J11</f>
        <v>T 13 VP OW</v>
      </c>
      <c r="K11" s="240"/>
      <c r="L11" s="240"/>
      <c r="M11" s="118">
        <f>+K11+'20'!M11+L11</f>
        <v>278149</v>
      </c>
      <c r="N11" s="424"/>
      <c r="AA11" s="150">
        <f>SUM(AA6:AA9)</f>
        <v>480</v>
      </c>
      <c r="AB11" s="150">
        <f>SUM(AB6:AB9)</f>
        <v>590400</v>
      </c>
      <c r="AC11" s="150">
        <f>SUM(AC6:AC9)</f>
        <v>454608</v>
      </c>
    </row>
    <row r="12" spans="1:2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+'20'!J12</f>
        <v>F 11,5 VP OW</v>
      </c>
      <c r="K12" s="240">
        <f>+C8+C16+C25</f>
        <v>26801</v>
      </c>
      <c r="L12" s="240"/>
      <c r="M12" s="118">
        <f>+K12+'20'!M12+L12</f>
        <v>32740</v>
      </c>
      <c r="N12" s="424"/>
      <c r="Y12" s="150" t="s">
        <v>402</v>
      </c>
      <c r="AB12" s="150">
        <f>+AB11/AA11</f>
        <v>1230</v>
      </c>
      <c r="AC12" s="150">
        <f>+AC11/AA11</f>
        <v>947.1</v>
      </c>
    </row>
    <row r="13" spans="1:2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+'20'!J13</f>
        <v>T 15 VP OW</v>
      </c>
      <c r="K13" s="240"/>
      <c r="L13" s="240"/>
      <c r="M13" s="118">
        <f>+K13+'20'!M13+L13</f>
        <v>37511</v>
      </c>
      <c r="N13" s="425"/>
      <c r="O13" s="426"/>
      <c r="P13" s="426"/>
      <c r="Q13" s="426"/>
      <c r="R13" s="426"/>
      <c r="S13" s="426"/>
      <c r="T13" s="426"/>
      <c r="U13" s="426"/>
      <c r="V13" s="426"/>
      <c r="W13" s="426"/>
    </row>
    <row r="14" spans="1:29" ht="13.5" thickBot="1">
      <c r="A14" s="773"/>
      <c r="B14" s="166" t="s">
        <v>2</v>
      </c>
      <c r="C14" s="100">
        <f>SUM(C7:C13)</f>
        <v>13127</v>
      </c>
      <c r="D14" s="112">
        <f>SUM(D7:D13)</f>
        <v>0</v>
      </c>
      <c r="E14" s="113">
        <f>SUM(E5:E13)</f>
        <v>0</v>
      </c>
      <c r="F14" s="117">
        <f>SUM(F7:F13)</f>
        <v>31</v>
      </c>
      <c r="G14" s="160"/>
      <c r="H14" s="167"/>
      <c r="I14" s="168"/>
      <c r="J14" s="215">
        <f>+'20'!J14</f>
        <v>0</v>
      </c>
      <c r="K14" s="240"/>
      <c r="L14" s="240"/>
      <c r="M14" s="118">
        <f>+K14+'20'!M14+L14</f>
        <v>0</v>
      </c>
    </row>
    <row r="15" spans="1:29" ht="13.5" customHeight="1" thickBot="1">
      <c r="A15" s="771" t="s">
        <v>604</v>
      </c>
      <c r="B15" s="166"/>
      <c r="C15" s="114">
        <f>C14/($C$23+$D$23+$E$23)</f>
        <v>1.088384047757234</v>
      </c>
      <c r="D15" s="115">
        <f>D14/($C$23+$D$23+$E$23)</f>
        <v>0</v>
      </c>
      <c r="E15" s="116">
        <f>E14/($C$23+$D$23+$E$23)</f>
        <v>0</v>
      </c>
      <c r="F15" s="229">
        <v>12</v>
      </c>
      <c r="G15" s="557" t="s">
        <v>12</v>
      </c>
      <c r="H15" s="558" t="s">
        <v>394</v>
      </c>
      <c r="I15" s="774" t="s">
        <v>406</v>
      </c>
      <c r="J15" s="215">
        <f>+'20'!J15</f>
        <v>0</v>
      </c>
      <c r="K15" s="240"/>
      <c r="L15" s="240"/>
      <c r="M15" s="118">
        <f>+K15+'20'!M15+L15</f>
        <v>0</v>
      </c>
      <c r="N15" s="416">
        <v>18</v>
      </c>
      <c r="O15" s="200">
        <v>1200</v>
      </c>
      <c r="P15" s="200">
        <v>850</v>
      </c>
      <c r="Q15" s="200">
        <v>680</v>
      </c>
      <c r="R15" s="417">
        <f>1-(Q15/P15)</f>
        <v>0.19999999999999996</v>
      </c>
      <c r="S15" s="418">
        <v>480</v>
      </c>
      <c r="T15" s="419">
        <v>256.5</v>
      </c>
      <c r="U15" s="420">
        <f>(O15*(1-R15)*N15*T15*S15)/100000000</f>
        <v>21.275136</v>
      </c>
      <c r="V15" s="421">
        <f>+C23/1000</f>
        <v>12.061</v>
      </c>
      <c r="W15" s="422">
        <f>SUM(V15:V17)/SUM(U15:U17)</f>
        <v>0.5669058942795947</v>
      </c>
      <c r="X15" s="150" t="s">
        <v>536</v>
      </c>
      <c r="Y15" s="150">
        <v>1230</v>
      </c>
      <c r="Z15" s="150">
        <f>+Y15-Y15*0.23</f>
        <v>947.09999999999991</v>
      </c>
      <c r="AA15" s="150">
        <v>480</v>
      </c>
      <c r="AB15" s="150">
        <f>+Y15*AA15</f>
        <v>590400</v>
      </c>
      <c r="AC15" s="150">
        <f>+Z15*AA15</f>
        <v>454607.99999999994</v>
      </c>
    </row>
    <row r="16" spans="1:29" ht="13.5" thickBot="1">
      <c r="A16" s="777"/>
      <c r="B16" s="216" t="s">
        <v>541</v>
      </c>
      <c r="C16" s="223">
        <v>12061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+'20'!J16</f>
        <v>0</v>
      </c>
      <c r="K16" s="230"/>
      <c r="L16" s="230"/>
      <c r="M16" s="118">
        <f>+K16+'20'!M16+L16</f>
        <v>0</v>
      </c>
      <c r="N16" s="427"/>
      <c r="O16" s="200"/>
      <c r="P16" s="200"/>
      <c r="Q16" s="428"/>
      <c r="R16" s="417"/>
      <c r="S16" s="200"/>
      <c r="T16" s="419"/>
      <c r="U16" s="420"/>
      <c r="V16" s="421"/>
      <c r="W16" s="423"/>
      <c r="X16" s="150" t="s">
        <v>536</v>
      </c>
      <c r="Y16" s="150">
        <v>1230</v>
      </c>
      <c r="Z16" s="150">
        <f t="shared" ref="Z16:Z18" si="1">+Y16-Y16*0.23</f>
        <v>947.09999999999991</v>
      </c>
      <c r="AA16" s="150">
        <v>480</v>
      </c>
      <c r="AB16" s="150">
        <f>+Y16*AA16</f>
        <v>590400</v>
      </c>
      <c r="AC16" s="150">
        <f>+Z16*AA16</f>
        <v>454607.99999999994</v>
      </c>
    </row>
    <row r="17" spans="1:29" ht="13.5" thickBot="1">
      <c r="A17" s="777"/>
      <c r="B17" s="216"/>
      <c r="C17" s="217"/>
      <c r="D17" s="218"/>
      <c r="E17" s="226"/>
      <c r="F17" s="229">
        <v>12</v>
      </c>
      <c r="G17" s="559" t="s">
        <v>12</v>
      </c>
      <c r="H17" s="234" t="s">
        <v>409</v>
      </c>
      <c r="I17" s="775"/>
      <c r="J17" s="215">
        <f>+'20'!J17</f>
        <v>0</v>
      </c>
      <c r="K17" s="230"/>
      <c r="L17" s="230"/>
      <c r="M17" s="118">
        <f>+K17+'20'!M17+L17</f>
        <v>0</v>
      </c>
      <c r="N17" s="424"/>
      <c r="O17" s="200"/>
      <c r="R17" s="417"/>
      <c r="T17" s="419"/>
      <c r="U17" s="420"/>
      <c r="Z17" s="150">
        <f t="shared" si="1"/>
        <v>0</v>
      </c>
      <c r="AB17" s="150">
        <f>+Y17*AA17</f>
        <v>0</v>
      </c>
      <c r="AC17" s="150">
        <f>+Z17*AA17</f>
        <v>0</v>
      </c>
    </row>
    <row r="18" spans="1:29" ht="26.25" thickBot="1">
      <c r="A18" s="777"/>
      <c r="B18" s="216"/>
      <c r="C18" s="217"/>
      <c r="D18" s="218"/>
      <c r="E18" s="226"/>
      <c r="F18" s="229"/>
      <c r="G18" s="230"/>
      <c r="H18" s="560" t="s">
        <v>606</v>
      </c>
      <c r="I18" s="775"/>
      <c r="J18" s="215">
        <f>+'20'!J18</f>
        <v>0</v>
      </c>
      <c r="K18" s="240"/>
      <c r="L18" s="240"/>
      <c r="M18" s="118">
        <f>+K18+'20'!M18+L18</f>
        <v>0</v>
      </c>
      <c r="N18" s="424"/>
      <c r="Z18" s="150">
        <f t="shared" si="1"/>
        <v>0</v>
      </c>
      <c r="AB18" s="150">
        <f>+Y18*AA18</f>
        <v>0</v>
      </c>
      <c r="AC18" s="150">
        <f>+Z18*AA18</f>
        <v>0</v>
      </c>
    </row>
    <row r="19" spans="1:29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+'20'!J19</f>
        <v>0</v>
      </c>
      <c r="K19" s="240"/>
      <c r="L19" s="240"/>
      <c r="M19" s="118">
        <f>+K19+'20'!M19+L19</f>
        <v>0</v>
      </c>
      <c r="N19" s="424"/>
    </row>
    <row r="20" spans="1:2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+'20'!J20</f>
        <v>0</v>
      </c>
      <c r="K20" s="241"/>
      <c r="L20" s="241"/>
      <c r="M20" s="118">
        <f>+K20+'20'!M20+L20</f>
        <v>0</v>
      </c>
      <c r="N20" s="424"/>
      <c r="AA20" s="150">
        <f>SUM(AA15:AA18)</f>
        <v>960</v>
      </c>
      <c r="AB20" s="150">
        <f>SUM(AB15:AB18)</f>
        <v>1180800</v>
      </c>
      <c r="AC20" s="150">
        <f>SUM(AC15:AC18)</f>
        <v>909215.99999999988</v>
      </c>
    </row>
    <row r="21" spans="1:2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+'20'!J21</f>
        <v>0</v>
      </c>
      <c r="K21" s="240"/>
      <c r="L21" s="240"/>
      <c r="M21" s="118">
        <f>+K21+'20'!M21+L21</f>
        <v>0</v>
      </c>
      <c r="N21" s="425"/>
      <c r="O21" s="426"/>
      <c r="P21" s="426"/>
      <c r="Q21" s="426"/>
      <c r="R21" s="426"/>
      <c r="S21" s="426"/>
      <c r="T21" s="426"/>
      <c r="U21" s="426"/>
      <c r="V21" s="426"/>
      <c r="W21" s="426"/>
      <c r="Y21" s="150" t="s">
        <v>402</v>
      </c>
      <c r="AB21" s="150">
        <f>+AB20/AA20</f>
        <v>1230</v>
      </c>
      <c r="AC21" s="150">
        <f>+AC20/AA20</f>
        <v>947.09999999999991</v>
      </c>
    </row>
    <row r="22" spans="1:2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+'20'!J22</f>
        <v>0</v>
      </c>
      <c r="K22" s="240"/>
      <c r="L22" s="240"/>
      <c r="M22" s="118">
        <f>+K22+'20'!M22+L22</f>
        <v>0</v>
      </c>
    </row>
    <row r="23" spans="1:29" ht="13.5" thickBot="1">
      <c r="A23" s="778"/>
      <c r="B23" s="169" t="s">
        <v>2</v>
      </c>
      <c r="C23" s="101">
        <f>SUM(C16:C22)</f>
        <v>12061</v>
      </c>
      <c r="D23" s="112">
        <f>SUM(D16:D22)</f>
        <v>0</v>
      </c>
      <c r="E23" s="113">
        <f>SUM(E18:E22)</f>
        <v>0</v>
      </c>
      <c r="F23" s="117">
        <f>SUM(F15:F22)</f>
        <v>24</v>
      </c>
      <c r="G23" s="160"/>
      <c r="H23" s="167"/>
      <c r="I23" s="170"/>
      <c r="J23" s="215">
        <f>+'20'!J23</f>
        <v>0</v>
      </c>
      <c r="K23" s="240"/>
      <c r="L23" s="240"/>
      <c r="M23" s="118">
        <f>+K23+'20'!M23+L23</f>
        <v>0</v>
      </c>
      <c r="N23" s="429"/>
      <c r="O23" s="430"/>
      <c r="P23" s="430"/>
      <c r="Q23" s="430"/>
      <c r="R23" s="430"/>
      <c r="S23" s="430"/>
      <c r="T23" s="430"/>
      <c r="U23" s="430"/>
      <c r="V23" s="430"/>
      <c r="W23" s="430"/>
    </row>
    <row r="24" spans="1:29" ht="13.5" customHeight="1" thickBot="1">
      <c r="A24" s="771" t="s">
        <v>445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9</v>
      </c>
      <c r="G24" s="557" t="s">
        <v>12</v>
      </c>
      <c r="H24" s="558" t="s">
        <v>394</v>
      </c>
      <c r="I24" s="774" t="s">
        <v>406</v>
      </c>
      <c r="J24" s="215">
        <f>+'20'!J24</f>
        <v>0</v>
      </c>
      <c r="K24" s="240"/>
      <c r="L24" s="240"/>
      <c r="M24" s="118">
        <f>+K24+'20'!M24+L24</f>
        <v>0</v>
      </c>
      <c r="N24" s="416">
        <v>14.5</v>
      </c>
      <c r="O24" s="200">
        <v>1130</v>
      </c>
      <c r="P24" s="200">
        <v>1130</v>
      </c>
      <c r="Q24" s="200">
        <v>915</v>
      </c>
      <c r="R24" s="417">
        <f>1-(Q24/P24)</f>
        <v>0.19026548672566368</v>
      </c>
      <c r="S24" s="418">
        <v>9</v>
      </c>
      <c r="T24" s="419">
        <v>266</v>
      </c>
      <c r="U24" s="420">
        <f>(O24*(1-R24)*N24*T24*S24)/100000000</f>
        <v>0.31762394999999999</v>
      </c>
      <c r="V24" s="421">
        <f>+C32/1000</f>
        <v>12.868</v>
      </c>
      <c r="W24" s="422">
        <f>SUM(V24:V25)/SUM(U24:U25)</f>
        <v>40.513317714234084</v>
      </c>
    </row>
    <row r="25" spans="1:29" ht="13.5" thickBot="1">
      <c r="A25" s="777"/>
      <c r="B25" s="216" t="s">
        <v>541</v>
      </c>
      <c r="C25" s="227">
        <v>12868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+'20'!J25</f>
        <v>0</v>
      </c>
      <c r="K25" s="240"/>
      <c r="L25" s="240"/>
      <c r="M25" s="118">
        <f>+K25+'20'!M25+L25</f>
        <v>0</v>
      </c>
      <c r="N25" s="416"/>
      <c r="O25" s="200"/>
      <c r="P25" s="200"/>
      <c r="Q25" s="200"/>
      <c r="R25" s="417"/>
      <c r="S25" s="418"/>
      <c r="T25" s="419"/>
      <c r="U25" s="420"/>
      <c r="V25" s="421"/>
      <c r="W25" s="422"/>
    </row>
    <row r="26" spans="1:29" ht="13.5" thickBot="1">
      <c r="A26" s="777"/>
      <c r="B26" s="216"/>
      <c r="C26" s="227"/>
      <c r="D26" s="218"/>
      <c r="E26" s="228"/>
      <c r="F26" s="229">
        <f>28-9</f>
        <v>19</v>
      </c>
      <c r="G26" s="559" t="s">
        <v>12</v>
      </c>
      <c r="H26" s="234" t="s">
        <v>384</v>
      </c>
      <c r="I26" s="775"/>
      <c r="J26" s="215">
        <f>+'20'!J26</f>
        <v>0</v>
      </c>
      <c r="K26" s="240"/>
      <c r="L26" s="240"/>
      <c r="M26" s="118">
        <f>+K26+'20'!M26+L26</f>
        <v>0</v>
      </c>
    </row>
    <row r="27" spans="1:29" ht="26.25" thickBot="1">
      <c r="A27" s="777"/>
      <c r="B27" s="216"/>
      <c r="C27" s="217"/>
      <c r="D27" s="218"/>
      <c r="E27" s="226"/>
      <c r="F27" s="229"/>
      <c r="G27" s="230"/>
      <c r="H27" s="560" t="s">
        <v>606</v>
      </c>
      <c r="I27" s="775"/>
      <c r="J27" s="215">
        <f>+'20'!J27</f>
        <v>0</v>
      </c>
      <c r="K27" s="240"/>
      <c r="L27" s="240"/>
      <c r="M27" s="118">
        <f>+K27+'20'!M27+L27</f>
        <v>0</v>
      </c>
    </row>
    <row r="28" spans="1:29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+'20'!J28</f>
        <v>0</v>
      </c>
      <c r="K28" s="240"/>
      <c r="L28" s="240"/>
      <c r="M28" s="118">
        <f>+K28+'20'!M28+L28</f>
        <v>0</v>
      </c>
      <c r="X28" s="150" t="s">
        <v>401</v>
      </c>
      <c r="Y28" s="150">
        <v>1230</v>
      </c>
      <c r="Z28" s="150">
        <v>947.09999999999991</v>
      </c>
      <c r="AA28" s="150">
        <v>295</v>
      </c>
    </row>
    <row r="29" spans="1:2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+'20'!J29</f>
        <v>0</v>
      </c>
      <c r="K29" s="240"/>
      <c r="L29" s="240"/>
      <c r="M29" s="118">
        <f>+K29+'20'!M29+L29</f>
        <v>0</v>
      </c>
      <c r="X29" s="150" t="s">
        <v>536</v>
      </c>
      <c r="Y29" s="150">
        <v>1230</v>
      </c>
      <c r="Z29" s="150">
        <v>947.09999999999991</v>
      </c>
      <c r="AA29" s="150">
        <f>185+960</f>
        <v>1145</v>
      </c>
    </row>
    <row r="30" spans="1:2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+'20'!J30</f>
        <v>0</v>
      </c>
      <c r="K30" s="240"/>
      <c r="L30" s="240"/>
      <c r="M30" s="118">
        <f>+K30+'20'!M30+L30</f>
        <v>0</v>
      </c>
      <c r="N30" s="156"/>
      <c r="AA30" s="150">
        <f>+AA28+AA29</f>
        <v>1440</v>
      </c>
    </row>
    <row r="31" spans="1:2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+'20'!J31</f>
        <v>0</v>
      </c>
      <c r="K31" s="240"/>
      <c r="L31" s="240"/>
      <c r="M31" s="118">
        <f>+K31+'20'!M31+L31</f>
        <v>0</v>
      </c>
    </row>
    <row r="32" spans="1:29" ht="13.5" thickBot="1">
      <c r="A32" s="778"/>
      <c r="B32" s="166" t="s">
        <v>2</v>
      </c>
      <c r="C32" s="100">
        <f>SUM(C25:C31)</f>
        <v>12868</v>
      </c>
      <c r="D32" s="101">
        <f>SUM(D25:D31)</f>
        <v>0</v>
      </c>
      <c r="E32" s="102">
        <f>SUM(E25:E31)</f>
        <v>0</v>
      </c>
      <c r="F32" s="103">
        <f>SUM(F24:F31)</f>
        <v>28</v>
      </c>
      <c r="G32" s="172"/>
      <c r="H32" s="173"/>
      <c r="I32" s="170"/>
      <c r="J32" s="215">
        <f>+'20'!J32</f>
        <v>0</v>
      </c>
      <c r="K32" s="242"/>
      <c r="L32" s="244"/>
      <c r="M32" s="118">
        <f>+K32+'20'!M32+L32</f>
        <v>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67" t="s">
        <v>57</v>
      </c>
      <c r="B34" s="768"/>
      <c r="C34" s="108">
        <f>C14+C23+C32</f>
        <v>38056</v>
      </c>
      <c r="D34" s="108">
        <f>D14+D23+D32</f>
        <v>0</v>
      </c>
      <c r="E34" s="108">
        <f>E14+E23+E32</f>
        <v>0</v>
      </c>
      <c r="F34" s="109">
        <f>F14+F23+F32</f>
        <v>83</v>
      </c>
      <c r="H34" s="179"/>
      <c r="I34" s="179"/>
      <c r="J34" s="124" t="s">
        <v>28</v>
      </c>
      <c r="K34" s="125">
        <f>SUM(K7:K32)</f>
        <v>38056</v>
      </c>
      <c r="L34" s="213">
        <f>SUM(L7:L32)</f>
        <v>0</v>
      </c>
      <c r="M34" s="121">
        <f>SUM(M7:M32)</f>
        <v>843782</v>
      </c>
      <c r="N34" s="156"/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4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(12.5*295+1145*11.5)/1440*G42*2.74*1440/1000000</f>
        <v>43.739635169999993</v>
      </c>
      <c r="J37" s="126">
        <f>+I37+'20'!J37</f>
        <v>949.76989167250656</v>
      </c>
      <c r="K37" s="127" t="s">
        <v>63</v>
      </c>
    </row>
    <row r="38" spans="1:14" ht="17.45" customHeight="1">
      <c r="A38" s="761" t="s">
        <v>12</v>
      </c>
      <c r="B38" s="762"/>
      <c r="C38" s="165">
        <f>SUMIF($G$7:$G$31,"Process",$F$7:$F$31)</f>
        <v>83</v>
      </c>
      <c r="D38" s="119">
        <f>+C38+'20'!D38</f>
        <v>1591</v>
      </c>
      <c r="E38" s="144">
        <f t="shared" ref="E38:E51" si="2">D38/60</f>
        <v>26.516666666666666</v>
      </c>
      <c r="F38" s="323">
        <v>1230</v>
      </c>
      <c r="G38" s="323">
        <v>947.09999999999991</v>
      </c>
      <c r="H38" s="188" t="s">
        <v>64</v>
      </c>
      <c r="I38" s="246">
        <f>13.114+14.199+12.848</f>
        <v>40.161000000000001</v>
      </c>
      <c r="J38" s="128">
        <f>+I38+'20'!J38</f>
        <v>867.31999999999994</v>
      </c>
      <c r="K38" s="129" t="s">
        <v>63</v>
      </c>
    </row>
    <row r="39" spans="1:14" ht="17.45" customHeight="1">
      <c r="A39" s="765" t="s">
        <v>13</v>
      </c>
      <c r="B39" s="766"/>
      <c r="C39" s="165">
        <f>SUMIF($G$7:$G$31,"Cleaning",$F$7:$F$31)</f>
        <v>0</v>
      </c>
      <c r="D39" s="119">
        <f>+C39+'20'!D39</f>
        <v>0</v>
      </c>
      <c r="E39" s="144">
        <f t="shared" si="2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45.22713769869079</v>
      </c>
      <c r="K39" s="131" t="s">
        <v>63</v>
      </c>
    </row>
    <row r="40" spans="1:14" ht="17.45" customHeight="1">
      <c r="A40" s="765" t="s">
        <v>66</v>
      </c>
      <c r="B40" s="766"/>
      <c r="C40" s="165">
        <f>SUMIF($G$7:$G$31,"Mechanical",$F$7:$F$31)</f>
        <v>0</v>
      </c>
      <c r="D40" s="119">
        <f>+C40+'20'!D40</f>
        <v>0</v>
      </c>
      <c r="E40" s="144">
        <f t="shared" si="2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38.055999999999997</v>
      </c>
      <c r="J40" s="132">
        <f>+I40+'20'!J40</f>
        <v>843.78199999999993</v>
      </c>
      <c r="K40" s="131" t="s">
        <v>63</v>
      </c>
    </row>
    <row r="41" spans="1:14" ht="17.45" customHeight="1">
      <c r="A41" s="765" t="s">
        <v>68</v>
      </c>
      <c r="B41" s="766"/>
      <c r="C41" s="165">
        <f>SUMIF($G$7:$G$31,"Electrical",$F$7:$F$31)</f>
        <v>0</v>
      </c>
      <c r="D41" s="119">
        <f>+C41+'20'!D41</f>
        <v>0</v>
      </c>
      <c r="E41" s="144">
        <f t="shared" si="2"/>
        <v>0</v>
      </c>
      <c r="F41" s="323"/>
      <c r="G41" s="323"/>
      <c r="H41" s="188" t="s">
        <v>69</v>
      </c>
      <c r="I41" s="143"/>
      <c r="J41" s="130">
        <f>J40/G4</f>
        <v>40.180095238095234</v>
      </c>
      <c r="K41" s="131" t="s">
        <v>63</v>
      </c>
    </row>
    <row r="42" spans="1:14" ht="17.45" customHeight="1">
      <c r="A42" s="765" t="s">
        <v>16</v>
      </c>
      <c r="B42" s="766"/>
      <c r="C42" s="165">
        <f>SUMIF($G$7:$G$31,"Instrument",$F$7:$F$31)</f>
        <v>0</v>
      </c>
      <c r="D42" s="119">
        <f>+C42+'20'!D42</f>
        <v>0</v>
      </c>
      <c r="E42" s="144">
        <f t="shared" si="2"/>
        <v>0</v>
      </c>
      <c r="F42" s="323">
        <v>1230</v>
      </c>
      <c r="G42" s="323">
        <v>947.09999999999991</v>
      </c>
      <c r="H42" s="188" t="s">
        <v>70</v>
      </c>
      <c r="I42" s="247" t="s">
        <v>406</v>
      </c>
      <c r="J42" s="133"/>
      <c r="K42" s="131" t="s">
        <v>71</v>
      </c>
    </row>
    <row r="43" spans="1:14" ht="17.45" customHeight="1">
      <c r="A43" s="765" t="s">
        <v>72</v>
      </c>
      <c r="B43" s="766"/>
      <c r="C43" s="165">
        <f>SUMIF($G$7:$G$31,"Water",$F$7:$F$31)</f>
        <v>0</v>
      </c>
      <c r="D43" s="119">
        <f>+C43+'20'!D43</f>
        <v>0</v>
      </c>
      <c r="E43" s="144">
        <f t="shared" si="2"/>
        <v>0</v>
      </c>
      <c r="F43" s="323"/>
      <c r="G43" s="324"/>
      <c r="H43" s="189" t="s">
        <v>73</v>
      </c>
      <c r="I43" s="119">
        <f>+Report1!Z29</f>
        <v>59.8</v>
      </c>
      <c r="J43" s="134">
        <f>+I43+'20'!J43</f>
        <v>1270.9999999999998</v>
      </c>
      <c r="K43" s="131" t="s">
        <v>63</v>
      </c>
      <c r="L43" s="190"/>
    </row>
    <row r="44" spans="1:14" ht="17.45" customHeight="1">
      <c r="A44" s="765" t="s">
        <v>17</v>
      </c>
      <c r="B44" s="766"/>
      <c r="C44" s="165">
        <f>SUMIF($G$7:$G$31,"PLN",$F$7:$F$31)</f>
        <v>0</v>
      </c>
      <c r="D44" s="119">
        <f>+C44+'20'!D44</f>
        <v>0</v>
      </c>
      <c r="E44" s="144">
        <f t="shared" si="2"/>
        <v>0</v>
      </c>
      <c r="F44" s="323"/>
      <c r="G44" s="324"/>
      <c r="H44" s="189" t="s">
        <v>74</v>
      </c>
      <c r="I44" s="119">
        <f>I43/I38</f>
        <v>1.489006747839944</v>
      </c>
      <c r="J44" s="135">
        <f>J43/J38</f>
        <v>1.4654337499423511</v>
      </c>
      <c r="K44" s="131" t="s">
        <v>63</v>
      </c>
    </row>
    <row r="45" spans="1:14" ht="17.45" customHeight="1">
      <c r="A45" s="765" t="s">
        <v>18</v>
      </c>
      <c r="B45" s="766"/>
      <c r="C45" s="165">
        <f>SUMIF($G$7:$G$31,"Boiler",$F$7:$F$31)</f>
        <v>0</v>
      </c>
      <c r="D45" s="119">
        <f>+C45+'20'!D45</f>
        <v>0</v>
      </c>
      <c r="E45" s="144">
        <f t="shared" si="2"/>
        <v>0</v>
      </c>
      <c r="F45" s="323"/>
      <c r="G45" s="326"/>
      <c r="H45" s="189" t="s">
        <v>75</v>
      </c>
      <c r="I45" s="119">
        <f>I43/I40</f>
        <v>1.5713685095648517</v>
      </c>
      <c r="J45" s="135">
        <f>J43/J40</f>
        <v>1.5063132420459311</v>
      </c>
      <c r="K45" s="131" t="s">
        <v>63</v>
      </c>
    </row>
    <row r="46" spans="1:14" ht="17.45" customHeight="1">
      <c r="A46" s="765" t="s">
        <v>76</v>
      </c>
      <c r="B46" s="766"/>
      <c r="C46" s="165">
        <f>SUMIF($G$7:$G$31,"Gas",$F$7:$F$31)</f>
        <v>0</v>
      </c>
      <c r="D46" s="119">
        <f>+C46+'20'!D46</f>
        <v>0</v>
      </c>
      <c r="E46" s="144">
        <f t="shared" si="2"/>
        <v>0</v>
      </c>
      <c r="F46" s="323"/>
      <c r="G46" s="324"/>
      <c r="H46" s="189" t="s">
        <v>77</v>
      </c>
      <c r="I46" s="141">
        <f>+SUMIF(Listrik!P28,"&gt;0")</f>
        <v>38510.479999999639</v>
      </c>
      <c r="J46" s="136">
        <f>+I46+'20'!J46</f>
        <v>760587.84</v>
      </c>
      <c r="K46" s="131" t="s">
        <v>78</v>
      </c>
    </row>
    <row r="47" spans="1:14" ht="17.45" customHeight="1">
      <c r="A47" s="765" t="s">
        <v>79</v>
      </c>
      <c r="B47" s="766"/>
      <c r="C47" s="165">
        <f>SUMIF($G$7:$G$31,"Gas",$F$7:$F$31)</f>
        <v>0</v>
      </c>
      <c r="D47" s="119">
        <f>+C47+'20'!D47</f>
        <v>0</v>
      </c>
      <c r="E47" s="144">
        <f t="shared" si="2"/>
        <v>0</v>
      </c>
      <c r="F47" s="323"/>
      <c r="G47" s="324"/>
      <c r="H47" s="189" t="s">
        <v>80</v>
      </c>
      <c r="I47" s="119">
        <f>I46/I38</f>
        <v>958.9024177684729</v>
      </c>
      <c r="J47" s="136">
        <f>J46/J38</f>
        <v>876.94027579209524</v>
      </c>
      <c r="K47" s="131" t="s">
        <v>24</v>
      </c>
    </row>
    <row r="48" spans="1:14" ht="17.45" customHeight="1">
      <c r="A48" s="765" t="s">
        <v>14</v>
      </c>
      <c r="B48" s="766"/>
      <c r="C48" s="165">
        <f>SUMIF($G$7:$G$31,"Start Up",$F$7:$F$31)</f>
        <v>0</v>
      </c>
      <c r="D48" s="119">
        <f>+C48+'20'!D48</f>
        <v>0</v>
      </c>
      <c r="E48" s="144">
        <f t="shared" si="2"/>
        <v>0</v>
      </c>
      <c r="F48" s="323"/>
      <c r="G48" s="324"/>
      <c r="H48" s="189" t="s">
        <v>81</v>
      </c>
      <c r="I48" s="119">
        <f>I46/I40</f>
        <v>1011.9424006726834</v>
      </c>
      <c r="J48" s="136">
        <f>J46/J40</f>
        <v>901.40325344698044</v>
      </c>
      <c r="K48" s="131" t="s">
        <v>24</v>
      </c>
    </row>
    <row r="49" spans="1:23" ht="17.45" customHeight="1">
      <c r="A49" s="779" t="s">
        <v>20</v>
      </c>
      <c r="B49" s="766"/>
      <c r="C49" s="165">
        <f>SUMIF($G$7:$G$31,"Others",$F$7:$F$31)</f>
        <v>0</v>
      </c>
      <c r="D49" s="119">
        <f>+C49+'20'!D49</f>
        <v>301</v>
      </c>
      <c r="E49" s="144">
        <f t="shared" si="2"/>
        <v>5.0166666666666666</v>
      </c>
      <c r="F49" s="186"/>
      <c r="H49" s="189" t="s">
        <v>269</v>
      </c>
      <c r="I49" s="119">
        <f>+Report1!T29</f>
        <v>3958.8362264042848</v>
      </c>
      <c r="J49" s="136">
        <f>+I49+'20'!J49</f>
        <v>85147.632023896396</v>
      </c>
      <c r="K49" s="131" t="s">
        <v>82</v>
      </c>
    </row>
    <row r="50" spans="1:23" ht="17.45" customHeight="1">
      <c r="A50" s="765" t="s">
        <v>19</v>
      </c>
      <c r="B50" s="766"/>
      <c r="C50" s="165">
        <f>SUMIF($G$7:$G$31,"Steam",$F$7:$F$31)</f>
        <v>0</v>
      </c>
      <c r="D50" s="119">
        <f>+C50+'20'!D50</f>
        <v>0</v>
      </c>
      <c r="E50" s="144">
        <f t="shared" si="2"/>
        <v>0</v>
      </c>
      <c r="F50" s="186"/>
      <c r="H50" s="189" t="s">
        <v>83</v>
      </c>
      <c r="I50" s="141">
        <f>I49/I38</f>
        <v>98.574144727578613</v>
      </c>
      <c r="J50" s="134">
        <f>J49/J38</f>
        <v>98.173260185279247</v>
      </c>
      <c r="K50" s="131" t="s">
        <v>82</v>
      </c>
    </row>
    <row r="51" spans="1:23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+C51+'20'!D51</f>
        <v>1000</v>
      </c>
      <c r="E51" s="144">
        <f t="shared" si="2"/>
        <v>16.666666666666668</v>
      </c>
      <c r="F51" s="186"/>
      <c r="H51" s="191" t="s">
        <v>85</v>
      </c>
      <c r="I51" s="142">
        <f>I49/I40</f>
        <v>104.02659833940207</v>
      </c>
      <c r="J51" s="137">
        <f>J49/J40</f>
        <v>100.91188485165173</v>
      </c>
      <c r="K51" s="138" t="s">
        <v>82</v>
      </c>
    </row>
    <row r="52" spans="1:23" ht="13.5" thickBot="1">
      <c r="A52" s="761" t="s">
        <v>28</v>
      </c>
      <c r="B52" s="762"/>
      <c r="C52" s="145">
        <f>SUM(C38:C51)</f>
        <v>83</v>
      </c>
      <c r="D52" s="145">
        <f>SUM(D38:D51)</f>
        <v>2892</v>
      </c>
      <c r="E52" s="146">
        <f>SUM(E38:E51)</f>
        <v>48.2</v>
      </c>
      <c r="F52" s="186"/>
      <c r="H52" s="192"/>
      <c r="I52" s="193"/>
      <c r="J52" s="139"/>
      <c r="K52" s="140"/>
    </row>
    <row r="53" spans="1:23" ht="13.5" thickBot="1">
      <c r="A53" s="763"/>
      <c r="B53" s="764"/>
      <c r="C53" s="147">
        <f>C52/(24*60)</f>
        <v>5.7638888888888892E-2</v>
      </c>
      <c r="D53" s="147">
        <f>D52/(24*60*G4)</f>
        <v>9.5634920634920628E-2</v>
      </c>
      <c r="E53" s="148">
        <f>E52/(G4*24)</f>
        <v>9.5634920634920642E-2</v>
      </c>
      <c r="F53" s="186"/>
    </row>
    <row r="54" spans="1:23">
      <c r="E54" s="194"/>
      <c r="F54" s="186"/>
    </row>
    <row r="55" spans="1:23">
      <c r="E55" s="194"/>
    </row>
    <row r="56" spans="1:23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+D34+'20'!J56</f>
        <v>1299</v>
      </c>
      <c r="K56" s="202">
        <f>J56/(J40+J56/1000)/1000</f>
        <v>1.5371307602466511E-3</v>
      </c>
    </row>
    <row r="57" spans="1:23">
      <c r="A57" s="177"/>
      <c r="I57" s="200" t="s">
        <v>88</v>
      </c>
      <c r="J57" s="201">
        <f>+E34+'20'!J57</f>
        <v>0</v>
      </c>
      <c r="K57" s="202">
        <f>J57/(J40+J57/1000)/1000</f>
        <v>0</v>
      </c>
    </row>
    <row r="58" spans="1:23">
      <c r="A58" s="203"/>
      <c r="B58" s="204"/>
      <c r="F58" s="186"/>
      <c r="H58" s="205"/>
    </row>
    <row r="59" spans="1:23">
      <c r="A59" s="206"/>
      <c r="B59" s="177"/>
      <c r="C59" s="177"/>
      <c r="D59" s="177"/>
      <c r="E59" s="177"/>
      <c r="F59" s="190"/>
      <c r="G59" s="177"/>
      <c r="H59" s="205"/>
    </row>
    <row r="60" spans="1:23">
      <c r="H60" s="205"/>
    </row>
    <row r="61" spans="1:23">
      <c r="A61" s="207"/>
      <c r="B61" s="208"/>
      <c r="C61" s="208"/>
      <c r="D61" s="208"/>
      <c r="E61" s="208"/>
      <c r="F61" s="209"/>
      <c r="G61" s="208"/>
      <c r="H61" s="210"/>
      <c r="W61" s="150" t="s">
        <v>0</v>
      </c>
    </row>
  </sheetData>
  <mergeCells count="24"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39027777777777778" bottom="0.19513888888888889" header="0" footer="0"/>
  <pageSetup paperSize="9" scale="62" firstPageNumber="4294963191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topLeftCell="B1" zoomScale="80" zoomScaleNormal="80" workbookViewId="0">
      <selection activeCell="H21" sqref="H2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5.425781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20</v>
      </c>
      <c r="H4" s="155" t="str">
        <f>+'1'!H4</f>
        <v>.07.25</v>
      </c>
      <c r="J4" s="150">
        <f>501+534+500</f>
        <v>1535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401</v>
      </c>
      <c r="O6" s="150">
        <v>1230</v>
      </c>
      <c r="P6" s="150">
        <f>+O6-O6*0.23</f>
        <v>947.09999999999991</v>
      </c>
      <c r="Q6" s="150">
        <v>480</v>
      </c>
      <c r="R6" s="150">
        <f>+O6*Q6</f>
        <v>590400</v>
      </c>
      <c r="S6" s="150">
        <f>+P6*Q6</f>
        <v>454607.99999999994</v>
      </c>
    </row>
    <row r="7" spans="1:19" ht="13.5" customHeight="1" thickBot="1">
      <c r="A7" s="771" t="s">
        <v>422</v>
      </c>
      <c r="B7" s="216" t="s">
        <v>424</v>
      </c>
      <c r="C7" s="217">
        <v>14779</v>
      </c>
      <c r="D7" s="218"/>
      <c r="E7" s="219"/>
      <c r="F7" s="229">
        <v>12</v>
      </c>
      <c r="G7" s="557" t="s">
        <v>12</v>
      </c>
      <c r="H7" s="558" t="s">
        <v>394</v>
      </c>
      <c r="I7" s="774" t="s">
        <v>406</v>
      </c>
      <c r="J7" s="215" t="str">
        <f>+'19'!J7</f>
        <v>T 12,5 VP OW</v>
      </c>
      <c r="K7" s="239">
        <f>+C34</f>
        <v>44429</v>
      </c>
      <c r="L7" s="243"/>
      <c r="M7" s="118">
        <f>+K7+'19'!M7+L7</f>
        <v>95266</v>
      </c>
      <c r="O7" s="150">
        <v>1230</v>
      </c>
      <c r="P7" s="150">
        <f t="shared" ref="P7:P9" si="0">+O7-O7*0.23</f>
        <v>947.09999999999991</v>
      </c>
      <c r="Q7" s="150">
        <v>480</v>
      </c>
      <c r="R7" s="150">
        <f>+O7*Q7</f>
        <v>590400</v>
      </c>
      <c r="S7" s="150">
        <f>+P7*Q7</f>
        <v>454607.99999999994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+'19'!J8</f>
        <v>F 13 VP OW</v>
      </c>
      <c r="K8" s="240"/>
      <c r="L8" s="240"/>
      <c r="M8" s="118">
        <f>+K8+'19'!M8+L8</f>
        <v>268085</v>
      </c>
      <c r="O8" s="150">
        <v>1230</v>
      </c>
      <c r="P8" s="150">
        <f t="shared" si="0"/>
        <v>947.09999999999991</v>
      </c>
      <c r="Q8" s="150">
        <v>480</v>
      </c>
      <c r="R8" s="150">
        <f>+O8*Q8</f>
        <v>590400</v>
      </c>
      <c r="S8" s="150">
        <f>+P8*Q8</f>
        <v>454607.99999999994</v>
      </c>
    </row>
    <row r="9" spans="1:19" ht="13.5" thickBot="1">
      <c r="A9" s="772"/>
      <c r="B9" s="216"/>
      <c r="C9" s="217"/>
      <c r="D9" s="218"/>
      <c r="E9" s="221"/>
      <c r="F9" s="229">
        <f>26-12</f>
        <v>14</v>
      </c>
      <c r="G9" s="559" t="s">
        <v>12</v>
      </c>
      <c r="H9" s="234" t="s">
        <v>453</v>
      </c>
      <c r="I9" s="775"/>
      <c r="J9" s="215" t="str">
        <f>+'19'!J9</f>
        <v>F 12 VP OW</v>
      </c>
      <c r="K9" s="240"/>
      <c r="L9" s="240"/>
      <c r="M9" s="118">
        <f>+K9+'19'!M9+L9</f>
        <v>100984</v>
      </c>
      <c r="P9" s="150">
        <f t="shared" si="0"/>
        <v>0</v>
      </c>
      <c r="R9" s="150">
        <f>+O9*Q9</f>
        <v>0</v>
      </c>
      <c r="S9" s="150">
        <f>+P9*Q9</f>
        <v>0</v>
      </c>
    </row>
    <row r="10" spans="1:19" ht="26.25" thickBot="1">
      <c r="A10" s="772"/>
      <c r="B10" s="216"/>
      <c r="C10" s="217"/>
      <c r="D10" s="218"/>
      <c r="E10" s="220"/>
      <c r="F10" s="229"/>
      <c r="G10" s="230"/>
      <c r="H10" s="560" t="s">
        <v>592</v>
      </c>
      <c r="I10" s="775"/>
      <c r="J10" s="215" t="str">
        <f>+'19'!J10</f>
        <v>F 12,5 VP OW</v>
      </c>
      <c r="K10" s="240"/>
      <c r="L10" s="240"/>
      <c r="M10" s="118">
        <f>+K10+'19'!M10+L10</f>
        <v>19792</v>
      </c>
    </row>
    <row r="11" spans="1:1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+'19'!J11</f>
        <v>T 13 VP OW</v>
      </c>
      <c r="K11" s="240"/>
      <c r="L11" s="240"/>
      <c r="M11" s="118">
        <f>+K11+'19'!M11+L11</f>
        <v>278149</v>
      </c>
      <c r="Q11" s="150">
        <f>SUM(Q6:Q9)</f>
        <v>1440</v>
      </c>
      <c r="R11" s="150">
        <f>SUM(R6:R9)</f>
        <v>1771200</v>
      </c>
      <c r="S11" s="150">
        <f>SUM(S6:S9)</f>
        <v>1363823.9999999998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+'19'!J12</f>
        <v>F 11,5 VP OW</v>
      </c>
      <c r="K12" s="240"/>
      <c r="L12" s="240"/>
      <c r="M12" s="118">
        <f>+K12+'19'!M12+L12</f>
        <v>5939</v>
      </c>
      <c r="O12" s="150" t="s">
        <v>402</v>
      </c>
      <c r="R12" s="150">
        <f>+R11/Q11</f>
        <v>1230</v>
      </c>
      <c r="S12" s="150">
        <f>+S11/Q11</f>
        <v>947.0999999999998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+'19'!J13</f>
        <v>T 15 VP OW</v>
      </c>
      <c r="K13" s="240"/>
      <c r="L13" s="240"/>
      <c r="M13" s="118">
        <f>+K13+'19'!M13+L13</f>
        <v>37511</v>
      </c>
    </row>
    <row r="14" spans="1:19" ht="13.5" thickBot="1">
      <c r="A14" s="773"/>
      <c r="B14" s="166" t="s">
        <v>2</v>
      </c>
      <c r="C14" s="100">
        <f>SUM(C7:C13)</f>
        <v>14779</v>
      </c>
      <c r="D14" s="112">
        <f>SUM(D7:D13)</f>
        <v>0</v>
      </c>
      <c r="E14" s="113">
        <f>SUM(E5:E13)</f>
        <v>0</v>
      </c>
      <c r="F14" s="117">
        <f>SUM(F7:F13)</f>
        <v>26</v>
      </c>
      <c r="G14" s="160"/>
      <c r="H14" s="167"/>
      <c r="I14" s="168"/>
      <c r="J14" s="215">
        <f>+'19'!J14</f>
        <v>0</v>
      </c>
      <c r="K14" s="240"/>
      <c r="L14" s="240"/>
      <c r="M14" s="118">
        <f>+K14+'19'!M14+L14</f>
        <v>0</v>
      </c>
    </row>
    <row r="15" spans="1:19" ht="13.5" customHeight="1" thickBot="1">
      <c r="A15" s="771" t="s">
        <v>604</v>
      </c>
      <c r="B15" s="166"/>
      <c r="C15" s="114">
        <f>C14/($C$23+$D$23+$E$23)</f>
        <v>0.96809904362635923</v>
      </c>
      <c r="D15" s="115">
        <f>D14/($C$23+$D$23+$E$23)</f>
        <v>0</v>
      </c>
      <c r="E15" s="116">
        <f>E14/($C$23+$D$23+$E$23)</f>
        <v>0</v>
      </c>
      <c r="F15" s="229">
        <v>9</v>
      </c>
      <c r="G15" s="557" t="s">
        <v>12</v>
      </c>
      <c r="H15" s="558" t="s">
        <v>394</v>
      </c>
      <c r="I15" s="774" t="s">
        <v>406</v>
      </c>
      <c r="J15" s="215">
        <f>+'19'!J15</f>
        <v>0</v>
      </c>
      <c r="K15" s="240"/>
      <c r="L15" s="240"/>
      <c r="M15" s="118">
        <f>+K15+'19'!M15+L15</f>
        <v>0</v>
      </c>
    </row>
    <row r="16" spans="1:19" ht="13.5" thickBot="1">
      <c r="A16" s="777"/>
      <c r="B16" s="216" t="s">
        <v>424</v>
      </c>
      <c r="C16" s="223">
        <v>15266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+'19'!J16</f>
        <v>0</v>
      </c>
      <c r="K16" s="230"/>
      <c r="L16" s="230"/>
      <c r="M16" s="118">
        <f>+K16+'19'!M16+L16</f>
        <v>0</v>
      </c>
    </row>
    <row r="17" spans="1:13" ht="13.5" thickBot="1">
      <c r="A17" s="777"/>
      <c r="B17" s="216"/>
      <c r="C17" s="217"/>
      <c r="D17" s="218"/>
      <c r="E17" s="226"/>
      <c r="F17" s="229">
        <f>20-9</f>
        <v>11</v>
      </c>
      <c r="G17" s="559" t="s">
        <v>12</v>
      </c>
      <c r="H17" s="234" t="s">
        <v>453</v>
      </c>
      <c r="I17" s="775"/>
      <c r="J17" s="215">
        <f>+'19'!J17</f>
        <v>0</v>
      </c>
      <c r="K17" s="230"/>
      <c r="L17" s="230"/>
      <c r="M17" s="118">
        <f>+K17+'19'!M17+L17</f>
        <v>0</v>
      </c>
    </row>
    <row r="18" spans="1:13" ht="26.25" thickBot="1">
      <c r="A18" s="777"/>
      <c r="B18" s="216"/>
      <c r="C18" s="217"/>
      <c r="D18" s="218"/>
      <c r="E18" s="226"/>
      <c r="F18" s="229"/>
      <c r="G18" s="230"/>
      <c r="H18" s="560" t="s">
        <v>591</v>
      </c>
      <c r="I18" s="775"/>
      <c r="J18" s="215">
        <f>+'19'!J18</f>
        <v>0</v>
      </c>
      <c r="K18" s="240"/>
      <c r="L18" s="240"/>
      <c r="M18" s="118">
        <f>+K18+'19'!M18+L18</f>
        <v>0</v>
      </c>
    </row>
    <row r="19" spans="1:13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+'19'!J19</f>
        <v>0</v>
      </c>
      <c r="K19" s="240"/>
      <c r="L19" s="240"/>
      <c r="M19" s="118">
        <f>+K19+'19'!M19+L19</f>
        <v>0</v>
      </c>
    </row>
    <row r="20" spans="1:1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+'19'!J20</f>
        <v>0</v>
      </c>
      <c r="K20" s="241"/>
      <c r="L20" s="241"/>
      <c r="M20" s="118">
        <f>+K20+'19'!M20+L20</f>
        <v>0</v>
      </c>
    </row>
    <row r="21" spans="1:1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+'19'!J21</f>
        <v>0</v>
      </c>
      <c r="K21" s="240"/>
      <c r="L21" s="240"/>
      <c r="M21" s="118">
        <f>+K21+'19'!M21+L21</f>
        <v>0</v>
      </c>
    </row>
    <row r="22" spans="1:1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+'19'!J22</f>
        <v>0</v>
      </c>
      <c r="K22" s="240"/>
      <c r="L22" s="240"/>
      <c r="M22" s="118">
        <f>+K22+'19'!M22+L22</f>
        <v>0</v>
      </c>
    </row>
    <row r="23" spans="1:13" ht="13.5" thickBot="1">
      <c r="A23" s="778"/>
      <c r="B23" s="169" t="s">
        <v>2</v>
      </c>
      <c r="C23" s="101">
        <f>SUM(C16:C22)</f>
        <v>15266</v>
      </c>
      <c r="D23" s="112">
        <f>SUM(D16:D22)</f>
        <v>0</v>
      </c>
      <c r="E23" s="113">
        <f>SUM(E18:E22)</f>
        <v>0</v>
      </c>
      <c r="F23" s="117">
        <f>SUM(F15:F22)</f>
        <v>20</v>
      </c>
      <c r="G23" s="160"/>
      <c r="H23" s="167"/>
      <c r="I23" s="170"/>
      <c r="J23" s="215">
        <f>+'19'!J23</f>
        <v>0</v>
      </c>
      <c r="K23" s="240"/>
      <c r="L23" s="240"/>
      <c r="M23" s="118">
        <f>+K23+'19'!M23+L23</f>
        <v>0</v>
      </c>
    </row>
    <row r="24" spans="1:13" ht="13.5" customHeight="1" thickBot="1">
      <c r="A24" s="771" t="s">
        <v>445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9</v>
      </c>
      <c r="G24" s="557" t="s">
        <v>12</v>
      </c>
      <c r="H24" s="558" t="s">
        <v>394</v>
      </c>
      <c r="I24" s="774" t="s">
        <v>406</v>
      </c>
      <c r="J24" s="215">
        <f>+'19'!J24</f>
        <v>0</v>
      </c>
      <c r="K24" s="240"/>
      <c r="L24" s="240"/>
      <c r="M24" s="118">
        <f>+K24+'19'!M24+L24</f>
        <v>0</v>
      </c>
    </row>
    <row r="25" spans="1:13" ht="13.5" thickBot="1">
      <c r="A25" s="777"/>
      <c r="B25" s="216" t="s">
        <v>424</v>
      </c>
      <c r="C25" s="227">
        <v>14384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+'19'!J25</f>
        <v>0</v>
      </c>
      <c r="K25" s="240"/>
      <c r="L25" s="240"/>
      <c r="M25" s="118">
        <f>+K25+'19'!M25+L25</f>
        <v>0</v>
      </c>
    </row>
    <row r="26" spans="1:13" ht="13.5" thickBot="1">
      <c r="A26" s="777"/>
      <c r="B26" s="216"/>
      <c r="C26" s="227"/>
      <c r="D26" s="218"/>
      <c r="E26" s="228"/>
      <c r="F26" s="229">
        <f>25-9</f>
        <v>16</v>
      </c>
      <c r="G26" s="559" t="s">
        <v>12</v>
      </c>
      <c r="H26" s="234" t="s">
        <v>442</v>
      </c>
      <c r="I26" s="775"/>
      <c r="J26" s="215">
        <f>+'19'!J26</f>
        <v>0</v>
      </c>
      <c r="K26" s="240"/>
      <c r="L26" s="240"/>
      <c r="M26" s="118">
        <f>+K26+'19'!M26+L26</f>
        <v>0</v>
      </c>
    </row>
    <row r="27" spans="1:13" ht="26.25" thickBot="1">
      <c r="A27" s="777"/>
      <c r="B27" s="216"/>
      <c r="C27" s="217"/>
      <c r="D27" s="218"/>
      <c r="E27" s="226"/>
      <c r="F27" s="229"/>
      <c r="G27" s="230"/>
      <c r="H27" s="560" t="s">
        <v>591</v>
      </c>
      <c r="I27" s="775"/>
      <c r="J27" s="215">
        <f>+'19'!J27</f>
        <v>0</v>
      </c>
      <c r="K27" s="240"/>
      <c r="L27" s="240"/>
      <c r="M27" s="118">
        <f>+K27+'19'!M27+L27</f>
        <v>0</v>
      </c>
    </row>
    <row r="28" spans="1:13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+'19'!J28</f>
        <v>0</v>
      </c>
      <c r="K28" s="240"/>
      <c r="L28" s="240"/>
      <c r="M28" s="118">
        <f>+K28+'19'!M28+L28</f>
        <v>0</v>
      </c>
    </row>
    <row r="29" spans="1:13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+'19'!J29</f>
        <v>0</v>
      </c>
      <c r="K29" s="240"/>
      <c r="L29" s="240"/>
      <c r="M29" s="118">
        <f>+K29+'19'!M29+L29</f>
        <v>0</v>
      </c>
    </row>
    <row r="30" spans="1:13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+'19'!J30</f>
        <v>0</v>
      </c>
      <c r="K30" s="240"/>
      <c r="L30" s="240"/>
      <c r="M30" s="118">
        <f>+K30+'19'!M30+L30</f>
        <v>0</v>
      </c>
    </row>
    <row r="31" spans="1:13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+'19'!J31</f>
        <v>0</v>
      </c>
      <c r="K31" s="240"/>
      <c r="L31" s="240"/>
      <c r="M31" s="118">
        <f>+K31+'19'!M31+L31</f>
        <v>0</v>
      </c>
    </row>
    <row r="32" spans="1:13" ht="13.5" thickBot="1">
      <c r="A32" s="778"/>
      <c r="B32" s="166" t="s">
        <v>2</v>
      </c>
      <c r="C32" s="100">
        <f>SUM(C25:C31)</f>
        <v>14384</v>
      </c>
      <c r="D32" s="101">
        <f>SUM(D25:D31)</f>
        <v>0</v>
      </c>
      <c r="E32" s="102">
        <f>SUM(E25:E31)</f>
        <v>0</v>
      </c>
      <c r="F32" s="103">
        <f>SUM(F24:F31)</f>
        <v>25</v>
      </c>
      <c r="G32" s="172"/>
      <c r="H32" s="173"/>
      <c r="I32" s="170"/>
      <c r="J32" s="215">
        <f>+'19'!J32</f>
        <v>0</v>
      </c>
      <c r="K32" s="242"/>
      <c r="L32" s="244"/>
      <c r="M32" s="118">
        <f>+K32+'19'!M32+L32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44429</v>
      </c>
      <c r="D34" s="108">
        <f>D14+D23+D32</f>
        <v>0</v>
      </c>
      <c r="E34" s="108">
        <f>E14+E23+E32</f>
        <v>0</v>
      </c>
      <c r="F34" s="109">
        <f>F14+F23+F32</f>
        <v>71</v>
      </c>
      <c r="H34" s="179"/>
      <c r="I34" s="179"/>
      <c r="J34" s="124" t="s">
        <v>28</v>
      </c>
      <c r="K34" s="125">
        <f>SUM(K7:K32)</f>
        <v>44429</v>
      </c>
      <c r="L34" s="213">
        <f>SUM(L7:L32)</f>
        <v>0</v>
      </c>
      <c r="M34" s="121">
        <f>SUM(M7:M32)</f>
        <v>805726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(12.5*1440)/1440*G42*2.74*1440/1000000</f>
        <v>46.710971999999998</v>
      </c>
      <c r="J37" s="126">
        <f>+I37+'19'!J37</f>
        <v>906.03025650250652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71</v>
      </c>
      <c r="D38" s="119">
        <f>+C38+'19'!D38</f>
        <v>1508</v>
      </c>
      <c r="E38" s="144">
        <f t="shared" ref="E38:E51" si="1">D38/60</f>
        <v>25.133333333333333</v>
      </c>
      <c r="F38" s="323">
        <v>1230</v>
      </c>
      <c r="G38" s="323">
        <v>947.09999999999991</v>
      </c>
      <c r="H38" s="188" t="s">
        <v>64</v>
      </c>
      <c r="I38" s="246">
        <f>14.649+15.259+14.713</f>
        <v>44.621000000000002</v>
      </c>
      <c r="J38" s="128">
        <f>+I38+'19'!J38</f>
        <v>827.15899999999999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+C39+'19'!D39</f>
        <v>0</v>
      </c>
      <c r="E39" s="144">
        <f t="shared" si="1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45.301512825125329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+C40+'19'!D40</f>
        <v>0</v>
      </c>
      <c r="E40" s="144">
        <f t="shared" si="1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44.429000000000002</v>
      </c>
      <c r="J40" s="132">
        <f>+I40+'19'!J40</f>
        <v>805.72599999999989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+C41+'19'!D41</f>
        <v>0</v>
      </c>
      <c r="E41" s="144">
        <f t="shared" si="1"/>
        <v>0</v>
      </c>
      <c r="F41" s="323"/>
      <c r="G41" s="323"/>
      <c r="H41" s="188" t="s">
        <v>69</v>
      </c>
      <c r="I41" s="143"/>
      <c r="J41" s="130">
        <f>J40/G4</f>
        <v>40.286299999999997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+C42+'19'!D42</f>
        <v>0</v>
      </c>
      <c r="E42" s="144">
        <f t="shared" si="1"/>
        <v>0</v>
      </c>
      <c r="F42" s="323">
        <f>+(480*F38+480*F39+480*F40)/1440</f>
        <v>1230</v>
      </c>
      <c r="G42" s="323">
        <f>+(480*G38+480*G39+480*G40)/1440</f>
        <v>947.0999999999998</v>
      </c>
      <c r="H42" s="188" t="s">
        <v>70</v>
      </c>
      <c r="I42" s="247" t="s">
        <v>406</v>
      </c>
      <c r="J42" s="133"/>
      <c r="K42" s="131" t="s">
        <v>71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+C43+'19'!D43</f>
        <v>0</v>
      </c>
      <c r="E43" s="144">
        <f t="shared" si="1"/>
        <v>0</v>
      </c>
      <c r="F43" s="323"/>
      <c r="G43" s="324"/>
      <c r="H43" s="189" t="s">
        <v>73</v>
      </c>
      <c r="I43" s="119">
        <f>+Report1!Z28</f>
        <v>60.5</v>
      </c>
      <c r="J43" s="134">
        <f>+I43+'19'!J43</f>
        <v>1211.1999999999998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+C44+'19'!D44</f>
        <v>0</v>
      </c>
      <c r="E44" s="144">
        <f t="shared" si="1"/>
        <v>0</v>
      </c>
      <c r="F44" s="323"/>
      <c r="G44" s="324"/>
      <c r="H44" s="189" t="s">
        <v>74</v>
      </c>
      <c r="I44" s="119">
        <f>I43/I38</f>
        <v>1.355863830931624</v>
      </c>
      <c r="J44" s="135">
        <f>J43/J38</f>
        <v>1.4642892116267849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+C45+'19'!D45</f>
        <v>0</v>
      </c>
      <c r="E45" s="144">
        <f t="shared" si="1"/>
        <v>0</v>
      </c>
      <c r="F45" s="323"/>
      <c r="G45" s="326"/>
      <c r="H45" s="189" t="s">
        <v>75</v>
      </c>
      <c r="I45" s="119">
        <f>I43/I40</f>
        <v>1.361723198811587</v>
      </c>
      <c r="J45" s="135">
        <f>J43/J40</f>
        <v>1.5032405557224169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+C46+'19'!D46</f>
        <v>0</v>
      </c>
      <c r="E46" s="144">
        <f t="shared" si="1"/>
        <v>0</v>
      </c>
      <c r="F46" s="323"/>
      <c r="G46" s="324"/>
      <c r="H46" s="189" t="s">
        <v>77</v>
      </c>
      <c r="I46" s="141">
        <f>+SUMIF(Listrik!P27,"&gt;0")</f>
        <v>36051.22</v>
      </c>
      <c r="J46" s="136">
        <f>+I46+'19'!J46</f>
        <v>722077.36000000034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+C47+'19'!D47</f>
        <v>0</v>
      </c>
      <c r="E47" s="144">
        <f t="shared" si="1"/>
        <v>0</v>
      </c>
      <c r="F47" s="323"/>
      <c r="G47" s="324"/>
      <c r="H47" s="189" t="s">
        <v>80</v>
      </c>
      <c r="I47" s="119">
        <f>I46/I38</f>
        <v>807.94289684229398</v>
      </c>
      <c r="J47" s="136">
        <f>J46/J38</f>
        <v>872.9607729590083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+C48+'19'!D48</f>
        <v>0</v>
      </c>
      <c r="E48" s="144">
        <f t="shared" si="1"/>
        <v>0</v>
      </c>
      <c r="F48" s="323"/>
      <c r="G48" s="324"/>
      <c r="H48" s="189" t="s">
        <v>81</v>
      </c>
      <c r="I48" s="119">
        <f>I46/I40</f>
        <v>811.43442346215306</v>
      </c>
      <c r="J48" s="136">
        <f>J46/J40</f>
        <v>896.1822753640821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+C49+'19'!D49</f>
        <v>301</v>
      </c>
      <c r="E49" s="144">
        <f t="shared" si="1"/>
        <v>5.0166666666666666</v>
      </c>
      <c r="F49" s="186"/>
      <c r="H49" s="189" t="s">
        <v>269</v>
      </c>
      <c r="I49" s="119">
        <f>+Report1!T28</f>
        <v>4210.393084762688</v>
      </c>
      <c r="J49" s="136">
        <f>+I49+'19'!J49</f>
        <v>81188.795797492116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+C50+'19'!D50</f>
        <v>0</v>
      </c>
      <c r="E50" s="144">
        <f t="shared" si="1"/>
        <v>0</v>
      </c>
      <c r="F50" s="186"/>
      <c r="H50" s="189" t="s">
        <v>83</v>
      </c>
      <c r="I50" s="141">
        <f>I49/I38</f>
        <v>94.359003266683573</v>
      </c>
      <c r="J50" s="134">
        <f>J49/J38</f>
        <v>98.153796062778881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+C51+'19'!D51</f>
        <v>1000</v>
      </c>
      <c r="E51" s="144">
        <f t="shared" si="1"/>
        <v>16.666666666666668</v>
      </c>
      <c r="F51" s="186"/>
      <c r="H51" s="191" t="s">
        <v>85</v>
      </c>
      <c r="I51" s="142">
        <f>I49/I40</f>
        <v>94.766775861772445</v>
      </c>
      <c r="J51" s="137">
        <f>J49/J40</f>
        <v>100.76477089915446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71</v>
      </c>
      <c r="D52" s="145">
        <f>SUM(D38:D51)</f>
        <v>2809</v>
      </c>
      <c r="E52" s="146">
        <f>SUM(E38:E51)</f>
        <v>46.816666666666663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4.9305555555555554E-2</v>
      </c>
      <c r="D53" s="147">
        <f>D52/(24*60*G4)</f>
        <v>9.7534722222222217E-2</v>
      </c>
      <c r="E53" s="148">
        <f>E52/(G4*24)</f>
        <v>9.7534722222222217E-2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+D34+'19'!J56</f>
        <v>1299</v>
      </c>
      <c r="K56" s="202">
        <f>J56/(J40+J56/1000)/1000</f>
        <v>1.6096155633344696E-3</v>
      </c>
    </row>
    <row r="57" spans="1:11">
      <c r="A57" s="177"/>
      <c r="I57" s="200" t="s">
        <v>88</v>
      </c>
      <c r="J57" s="201">
        <f>+E34+'19'!J57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51:B51"/>
    <mergeCell ref="A52:B52"/>
    <mergeCell ref="A53:B53"/>
    <mergeCell ref="A47:B47"/>
    <mergeCell ref="A48:B48"/>
    <mergeCell ref="A49:B49"/>
    <mergeCell ref="A50:B50"/>
    <mergeCell ref="A43:B43"/>
    <mergeCell ref="A44:B44"/>
    <mergeCell ref="A45:B45"/>
    <mergeCell ref="A46:B46"/>
    <mergeCell ref="A39:B39"/>
    <mergeCell ref="A40:B40"/>
    <mergeCell ref="A41:B41"/>
    <mergeCell ref="A42:B42"/>
    <mergeCell ref="A37:B37"/>
    <mergeCell ref="A38:B38"/>
    <mergeCell ref="A24:A32"/>
    <mergeCell ref="I24:I31"/>
    <mergeCell ref="I7:I13"/>
    <mergeCell ref="A15:A23"/>
    <mergeCell ref="I15:I22"/>
    <mergeCell ref="A34:B34"/>
    <mergeCell ref="A7:A14"/>
  </mergeCells>
  <phoneticPr fontId="32" type="noConversion"/>
  <printOptions horizontalCentered="1"/>
  <pageMargins left="0.74791666666666667" right="0.74791666666666667" top="0.39027777777777778" bottom="0.59027777777777779" header="0" footer="0"/>
  <pageSetup paperSize="9" scale="61" firstPageNumber="4294963191" orientation="landscape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E4" zoomScale="80" zoomScaleNormal="80" workbookViewId="0">
      <selection activeCell="L36" sqref="L36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4.140625" style="150" customWidth="1"/>
    <col min="14" max="14" width="10.140625" style="150" bestFit="1" customWidth="1"/>
    <col min="15" max="16384" width="9.140625" style="150"/>
  </cols>
  <sheetData>
    <row r="1" spans="1:25" ht="15.75">
      <c r="A1" s="149"/>
    </row>
    <row r="2" spans="1:25" ht="15.75">
      <c r="A2" s="149" t="s">
        <v>182</v>
      </c>
    </row>
    <row r="3" spans="1:25" ht="15">
      <c r="A3" s="151"/>
    </row>
    <row r="4" spans="1:25" ht="20.25">
      <c r="A4" s="152" t="s">
        <v>3</v>
      </c>
      <c r="B4" s="153"/>
      <c r="F4" s="154" t="s">
        <v>29</v>
      </c>
      <c r="G4" s="155">
        <v>19</v>
      </c>
      <c r="H4" s="155" t="str">
        <f>+'1'!H4</f>
        <v>.07.25</v>
      </c>
      <c r="J4" s="150">
        <f>528+521+559</f>
        <v>1608</v>
      </c>
    </row>
    <row r="5" spans="1:25" ht="13.5" thickBot="1">
      <c r="C5" s="156"/>
      <c r="D5" s="156"/>
    </row>
    <row r="6" spans="1:25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579</v>
      </c>
      <c r="O6" s="150">
        <v>1160</v>
      </c>
      <c r="P6" s="150">
        <f>+O6-O6*0.23</f>
        <v>893.2</v>
      </c>
      <c r="Q6" s="150">
        <v>480</v>
      </c>
      <c r="R6" s="150">
        <f>+O6*Q6</f>
        <v>556800</v>
      </c>
      <c r="S6" s="150">
        <f>+P6*Q6</f>
        <v>428736</v>
      </c>
      <c r="T6" s="150" t="s">
        <v>579</v>
      </c>
      <c r="U6" s="150">
        <v>1160</v>
      </c>
      <c r="V6" s="150">
        <f>+U6-U6*0.23</f>
        <v>893.2</v>
      </c>
      <c r="W6" s="150">
        <v>480</v>
      </c>
      <c r="X6" s="150">
        <f>+U6*W6</f>
        <v>556800</v>
      </c>
      <c r="Y6" s="150">
        <f>+V6*W6</f>
        <v>428736</v>
      </c>
    </row>
    <row r="7" spans="1:25" ht="13.5" customHeight="1" thickBot="1">
      <c r="A7" s="771" t="s">
        <v>423</v>
      </c>
      <c r="B7" s="216" t="s">
        <v>590</v>
      </c>
      <c r="C7" s="217">
        <v>14348</v>
      </c>
      <c r="D7" s="218"/>
      <c r="E7" s="219"/>
      <c r="F7" s="229"/>
      <c r="G7" s="557" t="s">
        <v>12</v>
      </c>
      <c r="H7" s="558" t="s">
        <v>394</v>
      </c>
      <c r="I7" s="774" t="s">
        <v>597</v>
      </c>
      <c r="J7" s="215" t="str">
        <f>+'18'!J7</f>
        <v>T 12,5 VP OW</v>
      </c>
      <c r="K7" s="239">
        <f>+C25+C17</f>
        <v>29672</v>
      </c>
      <c r="L7" s="243"/>
      <c r="M7" s="118">
        <f>+K7+'18'!M7+L7</f>
        <v>50837</v>
      </c>
      <c r="P7" s="150">
        <f t="shared" ref="P7:P9" si="0">+O7-O7*0.23</f>
        <v>0</v>
      </c>
      <c r="R7" s="150">
        <f>+O7*Q7</f>
        <v>0</v>
      </c>
      <c r="S7" s="150">
        <f>+P7*Q7</f>
        <v>0</v>
      </c>
      <c r="T7" s="150" t="s">
        <v>579</v>
      </c>
      <c r="U7" s="150">
        <v>1160</v>
      </c>
      <c r="V7" s="150">
        <v>916.4</v>
      </c>
      <c r="W7" s="150">
        <v>310</v>
      </c>
      <c r="X7" s="150">
        <f>+U7*W7</f>
        <v>359600</v>
      </c>
      <c r="Y7" s="150">
        <f>+V7*W7</f>
        <v>284084</v>
      </c>
    </row>
    <row r="8" spans="1:25" ht="13.5" thickBot="1">
      <c r="A8" s="772"/>
      <c r="B8" s="216"/>
      <c r="C8" s="217"/>
      <c r="D8" s="218"/>
      <c r="E8" s="220"/>
      <c r="F8" s="232">
        <v>9</v>
      </c>
      <c r="G8" s="559" t="s">
        <v>12</v>
      </c>
      <c r="H8" s="231" t="s">
        <v>521</v>
      </c>
      <c r="I8" s="775"/>
      <c r="J8" s="215" t="str">
        <f>+'18'!J8</f>
        <v>F 13 VP OW</v>
      </c>
      <c r="K8" s="240"/>
      <c r="L8" s="240"/>
      <c r="M8" s="118">
        <f>+K8+'18'!M8+L8</f>
        <v>268085</v>
      </c>
      <c r="P8" s="150">
        <f t="shared" si="0"/>
        <v>0</v>
      </c>
      <c r="R8" s="150">
        <f>+O8*Q8</f>
        <v>0</v>
      </c>
      <c r="S8" s="150">
        <f>+P8*Q8</f>
        <v>0</v>
      </c>
      <c r="V8" s="150">
        <f t="shared" ref="V8:V9" si="1">+U8-U8*0.23</f>
        <v>0</v>
      </c>
      <c r="X8" s="150">
        <f>+U8*W8</f>
        <v>0</v>
      </c>
      <c r="Y8" s="150">
        <f>+V8*W8</f>
        <v>0</v>
      </c>
    </row>
    <row r="9" spans="1:25" ht="13.5" thickBot="1">
      <c r="A9" s="772"/>
      <c r="B9" s="216"/>
      <c r="C9" s="217"/>
      <c r="D9" s="218"/>
      <c r="E9" s="221"/>
      <c r="F9" s="229">
        <v>10</v>
      </c>
      <c r="G9" s="559" t="s">
        <v>12</v>
      </c>
      <c r="H9" s="234" t="s">
        <v>442</v>
      </c>
      <c r="I9" s="775"/>
      <c r="J9" s="215" t="str">
        <f>+'18'!J9</f>
        <v>F 12 VP OW</v>
      </c>
      <c r="K9" s="240"/>
      <c r="L9" s="240"/>
      <c r="M9" s="118">
        <f>+K9+'18'!M9+L9</f>
        <v>100984</v>
      </c>
      <c r="P9" s="150">
        <f t="shared" si="0"/>
        <v>0</v>
      </c>
      <c r="R9" s="150">
        <f>+O9*Q9</f>
        <v>0</v>
      </c>
      <c r="S9" s="150">
        <f>+P9*Q9</f>
        <v>0</v>
      </c>
      <c r="V9" s="150">
        <f t="shared" si="1"/>
        <v>0</v>
      </c>
      <c r="X9" s="150">
        <f>+U9*W9</f>
        <v>0</v>
      </c>
      <c r="Y9" s="150">
        <f>+V9*W9</f>
        <v>0</v>
      </c>
    </row>
    <row r="10" spans="1:25" ht="26.25" thickBot="1">
      <c r="A10" s="772"/>
      <c r="B10" s="216"/>
      <c r="C10" s="217"/>
      <c r="D10" s="218"/>
      <c r="E10" s="220"/>
      <c r="F10" s="229"/>
      <c r="G10" s="230"/>
      <c r="H10" s="560" t="s">
        <v>596</v>
      </c>
      <c r="I10" s="775"/>
      <c r="J10" s="215" t="str">
        <f>+'18'!J10</f>
        <v>F 12,5 VP OW</v>
      </c>
      <c r="K10" s="240"/>
      <c r="L10" s="240"/>
      <c r="M10" s="118">
        <f>+K10+'18'!M10+L10</f>
        <v>19792</v>
      </c>
    </row>
    <row r="11" spans="1:25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+'18'!J11</f>
        <v>T 13 VP OW</v>
      </c>
      <c r="K11" s="240"/>
      <c r="L11" s="240"/>
      <c r="M11" s="118">
        <f>+K11+'18'!M11+L11</f>
        <v>278149</v>
      </c>
      <c r="Q11" s="150">
        <f>SUM(Q6:Q9)</f>
        <v>480</v>
      </c>
      <c r="R11" s="150">
        <f>SUM(R6:R9)</f>
        <v>556800</v>
      </c>
      <c r="S11" s="150">
        <f>SUM(S6:S9)</f>
        <v>428736</v>
      </c>
      <c r="W11" s="150">
        <f>SUM(W6:W9)</f>
        <v>790</v>
      </c>
      <c r="X11" s="150">
        <f>SUM(X6:X9)</f>
        <v>916400</v>
      </c>
      <c r="Y11" s="150">
        <f>SUM(Y6:Y9)</f>
        <v>712820</v>
      </c>
    </row>
    <row r="12" spans="1:25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+'18'!J12</f>
        <v>F 11,5 VP OW</v>
      </c>
      <c r="K12" s="240"/>
      <c r="L12" s="240"/>
      <c r="M12" s="118">
        <f>+K12+'18'!M12+L12</f>
        <v>5939</v>
      </c>
      <c r="O12" s="150" t="s">
        <v>402</v>
      </c>
      <c r="R12" s="150">
        <f>+R11/Q11</f>
        <v>1160</v>
      </c>
      <c r="S12" s="150">
        <f>+S11/Q11</f>
        <v>893.2</v>
      </c>
      <c r="U12" s="150" t="s">
        <v>402</v>
      </c>
      <c r="X12" s="150">
        <f>+X11/W11</f>
        <v>1160</v>
      </c>
      <c r="Y12" s="150">
        <f>+Y11/W11</f>
        <v>902.30379746835445</v>
      </c>
    </row>
    <row r="13" spans="1:25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tr">
        <f>+'18'!J13</f>
        <v>T 15 VP OW</v>
      </c>
      <c r="K13" s="240">
        <f>+C7+C16</f>
        <v>16416</v>
      </c>
      <c r="L13" s="240"/>
      <c r="M13" s="118">
        <f>+K13+'18'!M13+L13</f>
        <v>37511</v>
      </c>
      <c r="Q13" s="150">
        <f>+Q11+Q12</f>
        <v>480</v>
      </c>
      <c r="W13" s="150">
        <f>+W11+W12</f>
        <v>790</v>
      </c>
    </row>
    <row r="14" spans="1:25" ht="13.5" thickBot="1">
      <c r="A14" s="773"/>
      <c r="B14" s="166" t="s">
        <v>2</v>
      </c>
      <c r="C14" s="100">
        <f>SUM(C7:C13)</f>
        <v>14348</v>
      </c>
      <c r="D14" s="112">
        <f>SUM(D7:D13)</f>
        <v>0</v>
      </c>
      <c r="E14" s="113">
        <f>SUM(E5:E13)</f>
        <v>0</v>
      </c>
      <c r="F14" s="117">
        <f>SUM(F7:F13)</f>
        <v>19</v>
      </c>
      <c r="G14" s="160"/>
      <c r="H14" s="167"/>
      <c r="I14" s="168"/>
      <c r="J14" s="215">
        <f>+'18'!J14</f>
        <v>0</v>
      </c>
      <c r="K14" s="240"/>
      <c r="L14" s="240"/>
      <c r="M14" s="118">
        <f>+K14+'18'!M14+L14</f>
        <v>0</v>
      </c>
    </row>
    <row r="15" spans="1:25" ht="13.5" customHeight="1" thickBot="1">
      <c r="A15" s="771" t="s">
        <v>589</v>
      </c>
      <c r="B15" s="166"/>
      <c r="C15" s="114">
        <f>C14/($C$23+$D$23+$E$23)</f>
        <v>0.89445795149928309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598</v>
      </c>
      <c r="J15" s="215">
        <f>+'18'!J15</f>
        <v>0</v>
      </c>
      <c r="K15" s="240"/>
      <c r="L15" s="240"/>
      <c r="M15" s="118">
        <f>+K15+'18'!M15+L15</f>
        <v>0</v>
      </c>
      <c r="N15" s="150" t="s">
        <v>579</v>
      </c>
      <c r="O15" s="150">
        <v>1160</v>
      </c>
      <c r="P15" s="150">
        <f>+O15-O15*0.21</f>
        <v>916.4</v>
      </c>
      <c r="Q15" s="150">
        <f>60*5+10</f>
        <v>310</v>
      </c>
      <c r="R15" s="150">
        <f>+O15*Q15</f>
        <v>359600</v>
      </c>
      <c r="S15" s="150">
        <f>+P15*Q15</f>
        <v>284084</v>
      </c>
    </row>
    <row r="16" spans="1:25" ht="13.5" thickBot="1">
      <c r="A16" s="777"/>
      <c r="B16" s="216" t="s">
        <v>590</v>
      </c>
      <c r="C16" s="223">
        <v>2068</v>
      </c>
      <c r="D16" s="224"/>
      <c r="E16" s="225"/>
      <c r="F16" s="232" t="s">
        <v>0</v>
      </c>
      <c r="G16" s="559" t="s">
        <v>12</v>
      </c>
      <c r="H16" s="231" t="s">
        <v>459</v>
      </c>
      <c r="I16" s="775"/>
      <c r="J16" s="215">
        <f>+'18'!J16</f>
        <v>0</v>
      </c>
      <c r="K16" s="230"/>
      <c r="L16" s="230"/>
      <c r="M16" s="118">
        <f>+K16+'18'!M16+L16</f>
        <v>0</v>
      </c>
      <c r="N16" s="150" t="s">
        <v>401</v>
      </c>
      <c r="O16" s="150">
        <v>1230</v>
      </c>
      <c r="P16" s="150">
        <f t="shared" ref="P16:P18" si="2">+O16-O16*0.23</f>
        <v>947.09999999999991</v>
      </c>
      <c r="Q16" s="150">
        <f>480-Q15</f>
        <v>170</v>
      </c>
      <c r="R16" s="150">
        <f>+O16*Q16</f>
        <v>209100</v>
      </c>
      <c r="S16" s="150">
        <f>+P16*Q16</f>
        <v>161006.99999999997</v>
      </c>
    </row>
    <row r="17" spans="1:19" ht="13.5" thickBot="1">
      <c r="A17" s="777"/>
      <c r="B17" s="216" t="s">
        <v>424</v>
      </c>
      <c r="C17" s="217">
        <v>13973</v>
      </c>
      <c r="D17" s="218"/>
      <c r="E17" s="226"/>
      <c r="F17" s="229">
        <f>24-8</f>
        <v>16</v>
      </c>
      <c r="G17" s="559" t="s">
        <v>12</v>
      </c>
      <c r="H17" s="234" t="s">
        <v>453</v>
      </c>
      <c r="I17" s="775"/>
      <c r="J17" s="215">
        <f>+'18'!J17</f>
        <v>0</v>
      </c>
      <c r="K17" s="230"/>
      <c r="L17" s="230"/>
      <c r="M17" s="118">
        <f>+K17+'18'!M17+L17</f>
        <v>0</v>
      </c>
      <c r="P17" s="150">
        <f t="shared" si="2"/>
        <v>0</v>
      </c>
      <c r="R17" s="150">
        <f>+O17*Q17</f>
        <v>0</v>
      </c>
      <c r="S17" s="150">
        <f>+P17*Q17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594</v>
      </c>
      <c r="I18" s="775"/>
      <c r="J18" s="215">
        <f>+'18'!J18</f>
        <v>0</v>
      </c>
      <c r="K18" s="240"/>
      <c r="L18" s="240"/>
      <c r="M18" s="118">
        <f>+K18+'18'!M18+L18</f>
        <v>0</v>
      </c>
      <c r="P18" s="150">
        <f t="shared" si="2"/>
        <v>0</v>
      </c>
      <c r="R18" s="150">
        <f>+O18*Q18</f>
        <v>0</v>
      </c>
      <c r="S18" s="150">
        <f>+P18*Q18</f>
        <v>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 t="s">
        <v>595</v>
      </c>
      <c r="I19" s="775"/>
      <c r="J19" s="215">
        <f>+'18'!J19</f>
        <v>0</v>
      </c>
      <c r="K19" s="240"/>
      <c r="L19" s="240"/>
      <c r="M19" s="118">
        <f>+K19+'18'!M19+L19</f>
        <v>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+'18'!J20</f>
        <v>0</v>
      </c>
      <c r="K20" s="241"/>
      <c r="L20" s="241"/>
      <c r="M20" s="118">
        <f>+K20+'18'!M20+L20</f>
        <v>0</v>
      </c>
      <c r="Q20" s="150">
        <f>SUM(Q15:Q18)</f>
        <v>480</v>
      </c>
      <c r="R20" s="150">
        <f>SUM(R15:R18)</f>
        <v>568700</v>
      </c>
      <c r="S20" s="150">
        <f>SUM(S15:S18)</f>
        <v>445091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+'18'!J21</f>
        <v>0</v>
      </c>
      <c r="K21" s="240"/>
      <c r="L21" s="240"/>
      <c r="M21" s="118">
        <f>+K21+'18'!M21+L21</f>
        <v>0</v>
      </c>
      <c r="O21" s="150" t="s">
        <v>402</v>
      </c>
      <c r="R21" s="150">
        <f>+R20/Q20</f>
        <v>1184.7916666666667</v>
      </c>
      <c r="S21" s="150">
        <f>+S20/Q20</f>
        <v>927.27291666666667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+'18'!J22</f>
        <v>0</v>
      </c>
      <c r="K22" s="240"/>
      <c r="L22" s="240"/>
      <c r="M22" s="118">
        <f>+K22+'18'!M22+L22</f>
        <v>0</v>
      </c>
      <c r="Q22" s="150">
        <f>+Q20+Q21</f>
        <v>480</v>
      </c>
    </row>
    <row r="23" spans="1:19" ht="13.5" thickBot="1">
      <c r="A23" s="778"/>
      <c r="B23" s="169" t="s">
        <v>2</v>
      </c>
      <c r="C23" s="101">
        <f>SUM(C16:C22)</f>
        <v>16041</v>
      </c>
      <c r="D23" s="112">
        <f>SUM(D16:D22)</f>
        <v>0</v>
      </c>
      <c r="E23" s="113">
        <f>SUM(E18:E22)</f>
        <v>0</v>
      </c>
      <c r="F23" s="117">
        <f>SUM(F15:F22)</f>
        <v>16</v>
      </c>
      <c r="G23" s="160"/>
      <c r="H23" s="167"/>
      <c r="I23" s="170"/>
      <c r="J23" s="215">
        <f>+'18'!J23</f>
        <v>0</v>
      </c>
      <c r="K23" s="240"/>
      <c r="L23" s="240"/>
      <c r="M23" s="118">
        <f>+K23+'18'!M23+L23</f>
        <v>0</v>
      </c>
    </row>
    <row r="24" spans="1:19" ht="13.5" customHeight="1" thickBot="1">
      <c r="A24" s="771" t="s">
        <v>445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12</v>
      </c>
      <c r="G24" s="557" t="s">
        <v>12</v>
      </c>
      <c r="H24" s="558" t="s">
        <v>394</v>
      </c>
      <c r="I24" s="774" t="s">
        <v>406</v>
      </c>
      <c r="J24" s="215">
        <f>+'18'!J24</f>
        <v>0</v>
      </c>
      <c r="K24" s="240"/>
      <c r="L24" s="240"/>
      <c r="M24" s="118">
        <f>+K24+'18'!M24+L24</f>
        <v>0</v>
      </c>
      <c r="N24" s="150" t="s">
        <v>401</v>
      </c>
      <c r="O24" s="150">
        <v>1230</v>
      </c>
      <c r="P24" s="150">
        <f>+O24-O24*0.23</f>
        <v>947.09999999999991</v>
      </c>
      <c r="Q24" s="150">
        <v>480</v>
      </c>
      <c r="R24" s="150">
        <f>+O24*Q24</f>
        <v>590400</v>
      </c>
      <c r="S24" s="150">
        <f>+P24*Q24</f>
        <v>454607.99999999994</v>
      </c>
    </row>
    <row r="25" spans="1:19" ht="13.5" thickBot="1">
      <c r="A25" s="777"/>
      <c r="B25" s="216" t="s">
        <v>424</v>
      </c>
      <c r="C25" s="227">
        <v>15699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+'18'!J25</f>
        <v>0</v>
      </c>
      <c r="K25" s="240"/>
      <c r="L25" s="240"/>
      <c r="M25" s="118">
        <f>+K25+'18'!M25+L25</f>
        <v>0</v>
      </c>
      <c r="P25" s="150">
        <f t="shared" ref="P25:P27" si="3">+O25-O25*0.23</f>
        <v>0</v>
      </c>
      <c r="Q25" s="150">
        <f>480-Q24</f>
        <v>0</v>
      </c>
      <c r="R25" s="150">
        <f>+O25*Q25</f>
        <v>0</v>
      </c>
      <c r="S25" s="150">
        <f>+P25*Q25</f>
        <v>0</v>
      </c>
    </row>
    <row r="26" spans="1:19" ht="13.5" thickBot="1">
      <c r="A26" s="777"/>
      <c r="B26" s="216"/>
      <c r="C26" s="227"/>
      <c r="D26" s="218"/>
      <c r="E26" s="228"/>
      <c r="F26" s="229">
        <v>12</v>
      </c>
      <c r="G26" s="559" t="s">
        <v>12</v>
      </c>
      <c r="H26" s="234" t="s">
        <v>487</v>
      </c>
      <c r="I26" s="775"/>
      <c r="J26" s="215">
        <f>+'18'!J26</f>
        <v>0</v>
      </c>
      <c r="K26" s="240"/>
      <c r="L26" s="240"/>
      <c r="M26" s="118">
        <f>+K26+'18'!M26+L26</f>
        <v>0</v>
      </c>
      <c r="P26" s="150">
        <f t="shared" si="3"/>
        <v>0</v>
      </c>
      <c r="R26" s="150">
        <f>+O26*Q26</f>
        <v>0</v>
      </c>
      <c r="S26" s="150">
        <f>+P26*Q26</f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593</v>
      </c>
      <c r="I27" s="775"/>
      <c r="J27" s="215">
        <f>+'18'!J27</f>
        <v>0</v>
      </c>
      <c r="K27" s="240"/>
      <c r="L27" s="240"/>
      <c r="M27" s="118">
        <f>+K27+'18'!M27+L27</f>
        <v>0</v>
      </c>
      <c r="P27" s="150">
        <f t="shared" si="3"/>
        <v>0</v>
      </c>
      <c r="R27" s="150">
        <f>+O27*Q27</f>
        <v>0</v>
      </c>
      <c r="S27" s="150">
        <f>+P27*Q27</f>
        <v>0</v>
      </c>
    </row>
    <row r="28" spans="1:19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+'18'!J28</f>
        <v>0</v>
      </c>
      <c r="K28" s="240"/>
      <c r="L28" s="240"/>
      <c r="M28" s="118">
        <f>+K28+'18'!M28+L28</f>
        <v>0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+'18'!J29</f>
        <v>0</v>
      </c>
      <c r="K29" s="240"/>
      <c r="L29" s="240"/>
      <c r="M29" s="118">
        <f>+K29+'18'!M29+L29</f>
        <v>0</v>
      </c>
      <c r="Q29" s="150">
        <f>SUM(Q24:Q27)</f>
        <v>480</v>
      </c>
      <c r="R29" s="150">
        <f>SUM(R24:R27)</f>
        <v>590400</v>
      </c>
      <c r="S29" s="150">
        <f>SUM(S24:S27)</f>
        <v>454607.99999999994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+'18'!J30</f>
        <v>0</v>
      </c>
      <c r="K30" s="240"/>
      <c r="L30" s="240"/>
      <c r="M30" s="118">
        <f>+K30+'18'!M30+L30</f>
        <v>0</v>
      </c>
      <c r="O30" s="150" t="s">
        <v>402</v>
      </c>
      <c r="R30" s="150">
        <f>+R29/Q29</f>
        <v>1230</v>
      </c>
      <c r="S30" s="150">
        <f>+S29/Q29</f>
        <v>947.09999999999991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+'18'!J31</f>
        <v>0</v>
      </c>
      <c r="K31" s="240"/>
      <c r="L31" s="240"/>
      <c r="M31" s="118">
        <f>+K31+'18'!M31+L31</f>
        <v>0</v>
      </c>
      <c r="Q31" s="150">
        <f>+Q29+Q30</f>
        <v>480</v>
      </c>
    </row>
    <row r="32" spans="1:19" ht="13.5" thickBot="1">
      <c r="A32" s="778"/>
      <c r="B32" s="166" t="s">
        <v>2</v>
      </c>
      <c r="C32" s="100">
        <f>SUM(C25:C31)</f>
        <v>15699</v>
      </c>
      <c r="D32" s="101">
        <f>SUM(D25:D31)</f>
        <v>0</v>
      </c>
      <c r="E32" s="102">
        <f>SUM(E25:E31)</f>
        <v>0</v>
      </c>
      <c r="F32" s="103">
        <f>SUM(F24:F31)</f>
        <v>24</v>
      </c>
      <c r="G32" s="172"/>
      <c r="H32" s="173"/>
      <c r="I32" s="170"/>
      <c r="J32" s="215">
        <f>+'18'!J32</f>
        <v>0</v>
      </c>
      <c r="K32" s="242"/>
      <c r="L32" s="244"/>
      <c r="M32" s="118">
        <f>+K32+'18'!M32+L32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N33" s="590" t="s">
        <v>579</v>
      </c>
      <c r="O33" s="150">
        <v>1160</v>
      </c>
      <c r="P33" s="150">
        <v>902.30379746835445</v>
      </c>
      <c r="Q33" s="150">
        <v>790</v>
      </c>
    </row>
    <row r="34" spans="1:17" ht="13.5" thickBot="1">
      <c r="A34" s="767" t="s">
        <v>57</v>
      </c>
      <c r="B34" s="768"/>
      <c r="C34" s="108">
        <f>C14+C23+C32</f>
        <v>46088</v>
      </c>
      <c r="D34" s="108">
        <f>D14+D23+D32</f>
        <v>0</v>
      </c>
      <c r="E34" s="108">
        <f>E14+E23+E32</f>
        <v>0</v>
      </c>
      <c r="F34" s="109">
        <f>F14+F23+F32</f>
        <v>59</v>
      </c>
      <c r="H34" s="179"/>
      <c r="I34" s="179"/>
      <c r="J34" s="124" t="s">
        <v>28</v>
      </c>
      <c r="K34" s="125">
        <f>SUM(K7:K32)</f>
        <v>46088</v>
      </c>
      <c r="L34" s="213">
        <f>SUM(L7:L32)</f>
        <v>0</v>
      </c>
      <c r="M34" s="121">
        <f>SUM(M7:M32)</f>
        <v>761297</v>
      </c>
      <c r="N34" s="590" t="s">
        <v>401</v>
      </c>
      <c r="O34" s="150">
        <v>1230</v>
      </c>
      <c r="P34" s="150">
        <v>947.09999999999991</v>
      </c>
      <c r="Q34" s="150">
        <v>650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Q35" s="150">
        <f>+Q33+Q34</f>
        <v>1440</v>
      </c>
    </row>
    <row r="36" spans="1:17" ht="13.5" thickBot="1">
      <c r="A36" s="179"/>
      <c r="B36" s="179"/>
      <c r="C36" s="156"/>
      <c r="D36" s="156"/>
      <c r="E36" s="156"/>
      <c r="G36" s="156"/>
      <c r="H36" s="182" t="s">
        <v>227</v>
      </c>
      <c r="I36" s="163" t="s">
        <v>37</v>
      </c>
      <c r="J36" s="163" t="s">
        <v>38</v>
      </c>
      <c r="K36" s="183"/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(15*790+12.5*650)/1440*G42*2.74*1440/1000000</f>
        <v>50.491139029513889</v>
      </c>
      <c r="J37" s="126">
        <f>+I37+'18'!J37</f>
        <v>859.31928450250655</v>
      </c>
      <c r="K37" s="127" t="s">
        <v>63</v>
      </c>
    </row>
    <row r="38" spans="1:17" ht="17.45" customHeight="1">
      <c r="A38" s="761" t="s">
        <v>12</v>
      </c>
      <c r="B38" s="762"/>
      <c r="C38" s="165">
        <f>SUMIF($G$7:$G$31,"Process",$F$7:$F$31)</f>
        <v>59</v>
      </c>
      <c r="D38" s="119">
        <f>+C38+'18'!D38</f>
        <v>1437</v>
      </c>
      <c r="E38" s="144">
        <f t="shared" ref="E38:E51" si="4">D38/60</f>
        <v>23.95</v>
      </c>
      <c r="F38" s="323">
        <v>1160</v>
      </c>
      <c r="G38" s="323">
        <v>893.2</v>
      </c>
      <c r="H38" s="188" t="s">
        <v>64</v>
      </c>
      <c r="I38" s="246">
        <f>15.552+11.662+3.775+15.292</f>
        <v>46.280999999999999</v>
      </c>
      <c r="J38" s="128">
        <f>+I38+'18'!J38</f>
        <v>782.53800000000001</v>
      </c>
      <c r="K38" s="129" t="s">
        <v>63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+C39+'18'!D39</f>
        <v>0</v>
      </c>
      <c r="E39" s="144">
        <f t="shared" si="4"/>
        <v>0</v>
      </c>
      <c r="F39" s="323">
        <v>1184.7916666666667</v>
      </c>
      <c r="G39" s="323">
        <v>927.27291666666667</v>
      </c>
      <c r="H39" s="188" t="s">
        <v>65</v>
      </c>
      <c r="I39" s="143"/>
      <c r="J39" s="130">
        <f>J37/G4</f>
        <v>45.227330763289821</v>
      </c>
      <c r="K39" s="131" t="s">
        <v>63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+C40+'18'!D40</f>
        <v>0</v>
      </c>
      <c r="E40" s="144">
        <f t="shared" si="4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46.088000000000001</v>
      </c>
      <c r="J40" s="132">
        <f>+I40+'18'!J40</f>
        <v>761.29699999999991</v>
      </c>
      <c r="K40" s="131" t="s">
        <v>63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+C41+'18'!D41</f>
        <v>0</v>
      </c>
      <c r="E41" s="144">
        <f t="shared" si="4"/>
        <v>0</v>
      </c>
      <c r="F41" s="323"/>
      <c r="G41" s="323"/>
      <c r="H41" s="188" t="s">
        <v>69</v>
      </c>
      <c r="I41" s="143"/>
      <c r="J41" s="130">
        <f>J40/G4</f>
        <v>40.068263157894734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+C42+'18'!D42</f>
        <v>0</v>
      </c>
      <c r="E42" s="144">
        <f t="shared" si="4"/>
        <v>0</v>
      </c>
      <c r="F42" s="323">
        <f>+(480*F38+480*F39+480*F40)/1440</f>
        <v>1191.5972222222222</v>
      </c>
      <c r="G42" s="323">
        <f>+(480*G38+480*G39+480*G40)/1440</f>
        <v>922.52430555555554</v>
      </c>
      <c r="H42" s="188" t="s">
        <v>70</v>
      </c>
      <c r="I42" s="247" t="s">
        <v>599</v>
      </c>
      <c r="J42" s="133"/>
      <c r="K42" s="131" t="s">
        <v>71</v>
      </c>
    </row>
    <row r="43" spans="1:17" ht="17.45" customHeight="1">
      <c r="A43" s="765" t="s">
        <v>72</v>
      </c>
      <c r="B43" s="766"/>
      <c r="C43" s="165">
        <f>SUMIF($G$7:$G$31,"Water",$F$7:$F$31)</f>
        <v>0</v>
      </c>
      <c r="D43" s="119">
        <f>+C43+'18'!D43</f>
        <v>0</v>
      </c>
      <c r="E43" s="144">
        <f t="shared" si="4"/>
        <v>0</v>
      </c>
      <c r="F43" s="323"/>
      <c r="G43" s="324"/>
      <c r="H43" s="189" t="s">
        <v>73</v>
      </c>
      <c r="I43" s="119">
        <f>+Report1!Z27</f>
        <v>64.099999999999994</v>
      </c>
      <c r="J43" s="134">
        <f>+I43+'18'!J43</f>
        <v>1150.6999999999998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+C44+'18'!D44</f>
        <v>0</v>
      </c>
      <c r="E44" s="144">
        <f t="shared" si="4"/>
        <v>0</v>
      </c>
      <c r="F44" s="323"/>
      <c r="G44" s="324"/>
      <c r="H44" s="189" t="s">
        <v>74</v>
      </c>
      <c r="I44" s="119">
        <f>I43/I38</f>
        <v>1.3850176098182838</v>
      </c>
      <c r="J44" s="135">
        <f>J43/J38</f>
        <v>1.4704717215010643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+C45+'18'!D45</f>
        <v>0</v>
      </c>
      <c r="E45" s="144">
        <f t="shared" si="4"/>
        <v>0</v>
      </c>
      <c r="F45" s="323"/>
      <c r="G45" s="326"/>
      <c r="H45" s="189" t="s">
        <v>75</v>
      </c>
      <c r="I45" s="119">
        <f>I43/I40</f>
        <v>1.3908175663947231</v>
      </c>
      <c r="J45" s="135">
        <f>J43/J40</f>
        <v>1.5114994542208888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+C46+'18'!D46</f>
        <v>0</v>
      </c>
      <c r="E46" s="144">
        <f t="shared" si="4"/>
        <v>0</v>
      </c>
      <c r="F46" s="323"/>
      <c r="G46" s="324"/>
      <c r="H46" s="189" t="s">
        <v>77</v>
      </c>
      <c r="I46" s="141">
        <f>+SUMIF(Listrik!P26,"&gt;0")</f>
        <v>39685.12000000073</v>
      </c>
      <c r="J46" s="136">
        <f>+I46+'18'!J46</f>
        <v>686026.14000000036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+C47+'18'!D47</f>
        <v>0</v>
      </c>
      <c r="E47" s="144">
        <f t="shared" si="4"/>
        <v>0</v>
      </c>
      <c r="F47" s="323"/>
      <c r="G47" s="324"/>
      <c r="H47" s="189" t="s">
        <v>80</v>
      </c>
      <c r="I47" s="119">
        <f>I46/I38</f>
        <v>857.48190402110436</v>
      </c>
      <c r="J47" s="136">
        <f>J46/J38</f>
        <v>876.66814902279555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+C48+'18'!D48</f>
        <v>0</v>
      </c>
      <c r="E48" s="144">
        <f t="shared" si="4"/>
        <v>0</v>
      </c>
      <c r="F48" s="323"/>
      <c r="G48" s="324"/>
      <c r="H48" s="189" t="s">
        <v>81</v>
      </c>
      <c r="I48" s="119">
        <f>I46/I40</f>
        <v>861.07273042876079</v>
      </c>
      <c r="J48" s="136">
        <f>J46/J40</f>
        <v>901.12812739312051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+C49+'18'!D49</f>
        <v>301</v>
      </c>
      <c r="E49" s="144">
        <f t="shared" si="4"/>
        <v>5.0166666666666666</v>
      </c>
      <c r="F49" s="186"/>
      <c r="H49" s="189" t="s">
        <v>269</v>
      </c>
      <c r="I49" s="119">
        <f>+Report1!T27</f>
        <v>4316.4790173401934</v>
      </c>
      <c r="J49" s="136">
        <f>+I49+'18'!J49</f>
        <v>76978.402712729425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+C50+'18'!D50</f>
        <v>0</v>
      </c>
      <c r="E50" s="144">
        <f t="shared" si="4"/>
        <v>0</v>
      </c>
      <c r="F50" s="186"/>
      <c r="H50" s="189" t="s">
        <v>83</v>
      </c>
      <c r="I50" s="141">
        <f>I49/I38</f>
        <v>93.266762112750229</v>
      </c>
      <c r="J50" s="134">
        <f>J49/J38</f>
        <v>98.370178461275259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+C51+'18'!D51</f>
        <v>1000</v>
      </c>
      <c r="E51" s="144">
        <f t="shared" si="4"/>
        <v>16.666666666666668</v>
      </c>
      <c r="F51" s="186"/>
      <c r="H51" s="191" t="s">
        <v>85</v>
      </c>
      <c r="I51" s="142">
        <f>I49/I40</f>
        <v>93.657329832932504</v>
      </c>
      <c r="J51" s="137">
        <f>J49/J40</f>
        <v>101.11481158172097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59</v>
      </c>
      <c r="D52" s="145">
        <f>SUM(D38:D51)</f>
        <v>2738</v>
      </c>
      <c r="E52" s="146">
        <f>SUM(E38:E51)</f>
        <v>45.633333333333333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4.0972222222222222E-2</v>
      </c>
      <c r="D53" s="147">
        <f>D52/(24*60*G4)</f>
        <v>0.10007309941520467</v>
      </c>
      <c r="E53" s="148">
        <f>E52/(G4*24)</f>
        <v>0.10007309941520467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+D34+'18'!J56</f>
        <v>1299</v>
      </c>
      <c r="K56" s="202">
        <f>J56/(J40+J56/1000)/1000</f>
        <v>1.7033920975195256E-3</v>
      </c>
    </row>
    <row r="57" spans="1:11">
      <c r="A57" s="177"/>
      <c r="I57" s="200" t="s">
        <v>88</v>
      </c>
      <c r="J57" s="201">
        <f>+E34+'18'!J57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I24:I31"/>
    <mergeCell ref="A7:A14"/>
    <mergeCell ref="A41:B41"/>
    <mergeCell ref="I7:I13"/>
    <mergeCell ref="A15:A23"/>
    <mergeCell ref="I15:I22"/>
    <mergeCell ref="A43:B43"/>
    <mergeCell ref="A44:B44"/>
    <mergeCell ref="A45:B45"/>
    <mergeCell ref="A24:A32"/>
    <mergeCell ref="A42:B42"/>
    <mergeCell ref="A34:B34"/>
    <mergeCell ref="A37:B37"/>
    <mergeCell ref="A38:B38"/>
    <mergeCell ref="A39:B39"/>
    <mergeCell ref="A40:B40"/>
    <mergeCell ref="A46:B46"/>
    <mergeCell ref="A52:B52"/>
    <mergeCell ref="A53:B53"/>
    <mergeCell ref="A47:B47"/>
    <mergeCell ref="A48:B48"/>
    <mergeCell ref="A49:B49"/>
    <mergeCell ref="A50:B50"/>
    <mergeCell ref="A51:B51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C4" zoomScale="80" zoomScaleNormal="80" workbookViewId="0">
      <selection activeCell="H24" sqref="H24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2.28515625" style="150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5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18</v>
      </c>
      <c r="H4" s="155" t="str">
        <f>+'1'!H4</f>
        <v>.07.25</v>
      </c>
      <c r="J4" s="150">
        <f>530+554+513</f>
        <v>1597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562</v>
      </c>
      <c r="O6" s="150">
        <v>1230</v>
      </c>
      <c r="P6" s="150">
        <f>+O6-O6*0.23</f>
        <v>947.09999999999991</v>
      </c>
      <c r="Q6" s="150">
        <v>480</v>
      </c>
      <c r="R6" s="150">
        <f>+O6*Q6</f>
        <v>590400</v>
      </c>
      <c r="S6" s="150">
        <f>+P6*Q6</f>
        <v>454607.99999999994</v>
      </c>
    </row>
    <row r="7" spans="1:19" ht="13.5" customHeight="1" thickBot="1">
      <c r="A7" s="771" t="s">
        <v>423</v>
      </c>
      <c r="B7" s="216" t="s">
        <v>425</v>
      </c>
      <c r="C7" s="217">
        <v>12984</v>
      </c>
      <c r="D7" s="218">
        <v>291</v>
      </c>
      <c r="E7" s="219"/>
      <c r="F7" s="229"/>
      <c r="G7" s="557" t="s">
        <v>12</v>
      </c>
      <c r="H7" s="558" t="s">
        <v>383</v>
      </c>
      <c r="I7" s="774" t="s">
        <v>406</v>
      </c>
      <c r="J7" s="215" t="str">
        <f>+'17'!J7</f>
        <v>T 12,5 VP OW</v>
      </c>
      <c r="K7" s="239"/>
      <c r="L7" s="243"/>
      <c r="M7" s="118">
        <f>+K7+'17'!M7+L7</f>
        <v>21165</v>
      </c>
      <c r="P7" s="150">
        <f t="shared" ref="P7:P9" si="0">+O7-O7*0.23</f>
        <v>0</v>
      </c>
      <c r="R7" s="150">
        <f>+O7*Q7</f>
        <v>0</v>
      </c>
      <c r="S7" s="150">
        <f>+P7*Q7</f>
        <v>0</v>
      </c>
    </row>
    <row r="8" spans="1:19" ht="13.5" thickBot="1">
      <c r="A8" s="772"/>
      <c r="B8" s="216"/>
      <c r="C8" s="217"/>
      <c r="D8" s="218"/>
      <c r="E8" s="220"/>
      <c r="F8" s="232">
        <v>10</v>
      </c>
      <c r="G8" s="559" t="s">
        <v>12</v>
      </c>
      <c r="H8" s="231" t="s">
        <v>521</v>
      </c>
      <c r="I8" s="775"/>
      <c r="J8" s="215" t="str">
        <f>+'17'!J8</f>
        <v>F 13 VP OW</v>
      </c>
      <c r="K8" s="240">
        <f>+C7+C16</f>
        <v>24781</v>
      </c>
      <c r="L8" s="240"/>
      <c r="M8" s="118">
        <f>+K8+'17'!M8+L8</f>
        <v>268085</v>
      </c>
      <c r="P8" s="150">
        <f t="shared" si="0"/>
        <v>0</v>
      </c>
      <c r="R8" s="150">
        <f>+O8*Q8</f>
        <v>0</v>
      </c>
      <c r="S8" s="150">
        <f>+P8*Q8</f>
        <v>0</v>
      </c>
    </row>
    <row r="9" spans="1:19" ht="13.5" thickBot="1">
      <c r="A9" s="772"/>
      <c r="B9" s="216"/>
      <c r="C9" s="217"/>
      <c r="D9" s="218"/>
      <c r="E9" s="221"/>
      <c r="F9" s="229">
        <v>11</v>
      </c>
      <c r="G9" s="559" t="s">
        <v>12</v>
      </c>
      <c r="H9" s="234" t="s">
        <v>384</v>
      </c>
      <c r="I9" s="775"/>
      <c r="J9" s="215" t="str">
        <f>+'17'!J9</f>
        <v>F 12 VP OW</v>
      </c>
      <c r="K9" s="240"/>
      <c r="L9" s="240"/>
      <c r="M9" s="118">
        <f>+K9+'17'!M9+L9</f>
        <v>100984</v>
      </c>
      <c r="P9" s="150">
        <f t="shared" si="0"/>
        <v>0</v>
      </c>
      <c r="R9" s="150">
        <f>+O9*Q9</f>
        <v>0</v>
      </c>
      <c r="S9" s="150">
        <f>+P9*Q9</f>
        <v>0</v>
      </c>
    </row>
    <row r="10" spans="1:19" ht="26.25" thickBot="1">
      <c r="A10" s="772"/>
      <c r="B10" s="216"/>
      <c r="C10" s="217"/>
      <c r="D10" s="218"/>
      <c r="E10" s="220"/>
      <c r="F10" s="229"/>
      <c r="G10" s="230"/>
      <c r="H10" s="560" t="s">
        <v>574</v>
      </c>
      <c r="I10" s="775"/>
      <c r="J10" s="215" t="str">
        <f>+'17'!J10</f>
        <v>F 12,5 VP OW</v>
      </c>
      <c r="K10" s="240"/>
      <c r="L10" s="240"/>
      <c r="M10" s="118">
        <f>+K10+'17'!M10+L10</f>
        <v>19792</v>
      </c>
    </row>
    <row r="11" spans="1:1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+'17'!J11</f>
        <v>T 13 VP OW</v>
      </c>
      <c r="K11" s="240"/>
      <c r="L11" s="240"/>
      <c r="M11" s="118">
        <f>+K11+'17'!M11+L11</f>
        <v>278149</v>
      </c>
      <c r="Q11" s="150">
        <f>SUM(Q6:Q9)</f>
        <v>480</v>
      </c>
      <c r="R11" s="150">
        <f>SUM(R6:R9)</f>
        <v>590400</v>
      </c>
      <c r="S11" s="150">
        <f>SUM(S6:S9)</f>
        <v>454607.99999999994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+'17'!J12</f>
        <v>F 11,5 VP OW</v>
      </c>
      <c r="K12" s="240"/>
      <c r="L12" s="240"/>
      <c r="M12" s="118">
        <f>+K12+'17'!M12+L12</f>
        <v>5939</v>
      </c>
      <c r="O12" s="150" t="s">
        <v>402</v>
      </c>
      <c r="R12" s="150">
        <f>+R11/Q11</f>
        <v>1230</v>
      </c>
      <c r="S12" s="150">
        <f>+S11/Q11</f>
        <v>947.09999999999991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 t="s">
        <v>590</v>
      </c>
      <c r="K13" s="240">
        <f>+C25+C17</f>
        <v>21095</v>
      </c>
      <c r="L13" s="240"/>
      <c r="M13" s="118">
        <f>+K13+'17'!M13+L13</f>
        <v>21095</v>
      </c>
      <c r="Q13" s="150">
        <f>+Q11+Q12</f>
        <v>480</v>
      </c>
    </row>
    <row r="14" spans="1:19" ht="13.5" thickBot="1">
      <c r="A14" s="773"/>
      <c r="B14" s="166" t="s">
        <v>2</v>
      </c>
      <c r="C14" s="100">
        <f>SUM(C7:C13)</f>
        <v>12984</v>
      </c>
      <c r="D14" s="112">
        <f>SUM(D7:D13)</f>
        <v>291</v>
      </c>
      <c r="E14" s="113">
        <f>SUM(E5:E13)</f>
        <v>0</v>
      </c>
      <c r="F14" s="117">
        <f>SUM(F7:F13)</f>
        <v>21</v>
      </c>
      <c r="G14" s="160"/>
      <c r="H14" s="167"/>
      <c r="I14" s="168"/>
      <c r="J14" s="215">
        <f>+'17'!J14</f>
        <v>0</v>
      </c>
      <c r="K14" s="240"/>
      <c r="L14" s="240"/>
      <c r="M14" s="118">
        <f>+K14+'17'!M14+L14</f>
        <v>0</v>
      </c>
    </row>
    <row r="15" spans="1:19" ht="13.5" customHeight="1" thickBot="1">
      <c r="A15" s="771" t="s">
        <v>589</v>
      </c>
      <c r="B15" s="166"/>
      <c r="C15" s="114">
        <f>C14/($C$23+$D$23+$E$23)</f>
        <v>0.88009218464041217</v>
      </c>
      <c r="D15" s="115">
        <f>D14/($C$23+$D$23+$E$23)</f>
        <v>1.9724801735240289E-2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582</v>
      </c>
      <c r="J15" s="215">
        <f>+'17'!J15</f>
        <v>0</v>
      </c>
      <c r="K15" s="240"/>
      <c r="L15" s="240"/>
      <c r="M15" s="118">
        <f>+K15+'17'!M15+L15</f>
        <v>0</v>
      </c>
      <c r="N15" s="150" t="s">
        <v>562</v>
      </c>
      <c r="O15" s="150">
        <v>1230</v>
      </c>
      <c r="P15" s="150">
        <f>+O15-O15*0.23</f>
        <v>947.09999999999991</v>
      </c>
      <c r="Q15" s="150">
        <f>60*4+30</f>
        <v>270</v>
      </c>
      <c r="R15" s="150">
        <f>+O15*Q15</f>
        <v>332100</v>
      </c>
      <c r="S15" s="150">
        <f>+P15*Q15</f>
        <v>255716.99999999997</v>
      </c>
    </row>
    <row r="16" spans="1:19" ht="13.5" thickBot="1">
      <c r="A16" s="777"/>
      <c r="B16" s="216" t="s">
        <v>425</v>
      </c>
      <c r="C16" s="223">
        <v>11797</v>
      </c>
      <c r="D16" s="224"/>
      <c r="E16" s="225"/>
      <c r="F16" s="232">
        <v>8</v>
      </c>
      <c r="G16" s="559" t="s">
        <v>12</v>
      </c>
      <c r="H16" s="231" t="s">
        <v>385</v>
      </c>
      <c r="I16" s="775"/>
      <c r="J16" s="215">
        <f>+'17'!J16</f>
        <v>0</v>
      </c>
      <c r="K16" s="230"/>
      <c r="L16" s="230"/>
      <c r="M16" s="118">
        <f>+K16+'17'!M16+L16</f>
        <v>0</v>
      </c>
      <c r="N16" s="150" t="s">
        <v>579</v>
      </c>
      <c r="O16" s="150">
        <v>1180</v>
      </c>
      <c r="P16" s="150">
        <f>+O16-O16*0.23</f>
        <v>908.59999999999991</v>
      </c>
      <c r="Q16" s="150">
        <v>210</v>
      </c>
      <c r="R16" s="150">
        <f>+O16*Q16</f>
        <v>247800</v>
      </c>
      <c r="S16" s="150">
        <f>+P16*Q16</f>
        <v>190805.99999999997</v>
      </c>
    </row>
    <row r="17" spans="1:19" ht="13.5" thickBot="1">
      <c r="A17" s="777"/>
      <c r="B17" s="216" t="s">
        <v>590</v>
      </c>
      <c r="C17" s="217">
        <v>2956</v>
      </c>
      <c r="D17" s="218"/>
      <c r="E17" s="226"/>
      <c r="F17" s="229">
        <v>10</v>
      </c>
      <c r="G17" s="559" t="s">
        <v>12</v>
      </c>
      <c r="H17" s="234" t="s">
        <v>409</v>
      </c>
      <c r="I17" s="775"/>
      <c r="J17" s="215">
        <f>+'17'!J17</f>
        <v>0</v>
      </c>
      <c r="K17" s="230"/>
      <c r="L17" s="230"/>
      <c r="M17" s="118">
        <f>+K17+'17'!M17+L17</f>
        <v>0</v>
      </c>
      <c r="P17" s="150">
        <f t="shared" ref="P17:P18" si="1">+O17-O17*0.23</f>
        <v>0</v>
      </c>
      <c r="R17" s="150">
        <f>+O17*Q17</f>
        <v>0</v>
      </c>
      <c r="S17" s="150">
        <f>+P17*Q17</f>
        <v>0</v>
      </c>
    </row>
    <row r="18" spans="1:19" ht="26.25" thickBot="1">
      <c r="A18" s="777"/>
      <c r="B18" s="216"/>
      <c r="C18" s="217"/>
      <c r="D18" s="218"/>
      <c r="E18" s="226"/>
      <c r="F18" s="229"/>
      <c r="G18" s="230"/>
      <c r="H18" s="560" t="s">
        <v>578</v>
      </c>
      <c r="I18" s="775"/>
      <c r="J18" s="215">
        <f>+'17'!J18</f>
        <v>0</v>
      </c>
      <c r="K18" s="240"/>
      <c r="L18" s="240"/>
      <c r="M18" s="118">
        <f>+K18+'17'!M18+L18</f>
        <v>0</v>
      </c>
      <c r="P18" s="150">
        <f t="shared" si="1"/>
        <v>0</v>
      </c>
      <c r="R18" s="150">
        <f>+O18*Q18</f>
        <v>0</v>
      </c>
      <c r="S18" s="150">
        <f>+P18*Q18</f>
        <v>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 t="s">
        <v>581</v>
      </c>
      <c r="I19" s="775"/>
      <c r="J19" s="215">
        <f>+'17'!J19</f>
        <v>0</v>
      </c>
      <c r="K19" s="240"/>
      <c r="L19" s="240"/>
      <c r="M19" s="118">
        <f>+K19+'17'!M19+L19</f>
        <v>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+'17'!J20</f>
        <v>0</v>
      </c>
      <c r="K20" s="241"/>
      <c r="L20" s="241"/>
      <c r="M20" s="118">
        <f>+K20+'17'!M20+L20</f>
        <v>0</v>
      </c>
      <c r="Q20" s="150">
        <f>SUM(Q15:Q18)</f>
        <v>480</v>
      </c>
      <c r="R20" s="150">
        <f>SUM(R15:R18)</f>
        <v>579900</v>
      </c>
      <c r="S20" s="150">
        <f>SUM(S15:S18)</f>
        <v>446522.99999999994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+'17'!J21</f>
        <v>0</v>
      </c>
      <c r="K21" s="240"/>
      <c r="L21" s="240"/>
      <c r="M21" s="118">
        <f>+K21+'17'!M21+L21</f>
        <v>0</v>
      </c>
      <c r="O21" s="150" t="s">
        <v>402</v>
      </c>
      <c r="R21" s="150">
        <f>+R20/Q20</f>
        <v>1208.125</v>
      </c>
      <c r="S21" s="150">
        <f>+S20/Q20</f>
        <v>930.25624999999991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+'17'!J22</f>
        <v>0</v>
      </c>
      <c r="K22" s="240"/>
      <c r="L22" s="240"/>
      <c r="M22" s="118">
        <f>+K22+'17'!M22+L22</f>
        <v>0</v>
      </c>
      <c r="Q22" s="150">
        <f>+Q20+Q21</f>
        <v>480</v>
      </c>
    </row>
    <row r="23" spans="1:19" ht="13.5" thickBot="1">
      <c r="A23" s="778"/>
      <c r="B23" s="169" t="s">
        <v>2</v>
      </c>
      <c r="C23" s="101">
        <f>SUM(C16:C22)</f>
        <v>14753</v>
      </c>
      <c r="D23" s="112">
        <f>SUM(D16:D22)</f>
        <v>0</v>
      </c>
      <c r="E23" s="113">
        <f>SUM(E18:E22)</f>
        <v>0</v>
      </c>
      <c r="F23" s="117">
        <f>SUM(F15:F22)</f>
        <v>18</v>
      </c>
      <c r="G23" s="160"/>
      <c r="H23" s="167"/>
      <c r="I23" s="170"/>
      <c r="J23" s="215">
        <f>+'17'!J23</f>
        <v>0</v>
      </c>
      <c r="K23" s="240"/>
      <c r="L23" s="240"/>
      <c r="M23" s="118">
        <f>+K23+'17'!M23+L23</f>
        <v>0</v>
      </c>
    </row>
    <row r="24" spans="1:19" ht="13.5" customHeight="1" thickBot="1">
      <c r="A24" s="771" t="s">
        <v>445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6</v>
      </c>
      <c r="G24" s="557" t="s">
        <v>12</v>
      </c>
      <c r="H24" s="558" t="s">
        <v>394</v>
      </c>
      <c r="I24" s="774" t="s">
        <v>584</v>
      </c>
      <c r="J24" s="215">
        <f>+'17'!J24</f>
        <v>0</v>
      </c>
      <c r="K24" s="240"/>
      <c r="L24" s="240"/>
      <c r="M24" s="118">
        <f>+K24+'17'!M24+L24</f>
        <v>0</v>
      </c>
      <c r="N24" s="150" t="s">
        <v>579</v>
      </c>
      <c r="O24" s="150">
        <v>1180</v>
      </c>
      <c r="P24" s="150">
        <f>+O24-O24*0.23</f>
        <v>908.59999999999991</v>
      </c>
      <c r="Q24" s="150">
        <v>480</v>
      </c>
      <c r="R24" s="150">
        <f>+O24*Q24</f>
        <v>566400</v>
      </c>
      <c r="S24" s="150">
        <f>+P24*Q24</f>
        <v>436127.99999999994</v>
      </c>
    </row>
    <row r="25" spans="1:19" ht="13.5" thickBot="1">
      <c r="A25" s="777"/>
      <c r="B25" s="216" t="s">
        <v>590</v>
      </c>
      <c r="C25" s="227">
        <v>18139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+'17'!J25</f>
        <v>0</v>
      </c>
      <c r="K25" s="240"/>
      <c r="L25" s="240"/>
      <c r="M25" s="118">
        <f>+K25+'17'!M25+L25</f>
        <v>0</v>
      </c>
      <c r="P25" s="150">
        <f t="shared" ref="P25:P27" si="2">+O25-O25*0.23</f>
        <v>0</v>
      </c>
      <c r="R25" s="150">
        <f>+O25*Q25</f>
        <v>0</v>
      </c>
      <c r="S25" s="150">
        <f>+P25*Q25</f>
        <v>0</v>
      </c>
    </row>
    <row r="26" spans="1:19" ht="13.5" thickBot="1">
      <c r="A26" s="777"/>
      <c r="B26" s="216"/>
      <c r="C26" s="227"/>
      <c r="D26" s="218"/>
      <c r="E26" s="228"/>
      <c r="F26" s="229">
        <f>22-6</f>
        <v>16</v>
      </c>
      <c r="G26" s="559" t="s">
        <v>12</v>
      </c>
      <c r="H26" s="234" t="s">
        <v>487</v>
      </c>
      <c r="I26" s="775"/>
      <c r="J26" s="215">
        <f>+'17'!J26</f>
        <v>0</v>
      </c>
      <c r="K26" s="240"/>
      <c r="L26" s="240"/>
      <c r="M26" s="118">
        <f>+K26+'17'!M26+L26</f>
        <v>0</v>
      </c>
      <c r="P26" s="150">
        <f t="shared" si="2"/>
        <v>0</v>
      </c>
      <c r="R26" s="150">
        <f>+O26*Q26</f>
        <v>0</v>
      </c>
      <c r="S26" s="150">
        <f>+P26*Q26</f>
        <v>0</v>
      </c>
    </row>
    <row r="27" spans="1:19" ht="26.25" thickBot="1">
      <c r="A27" s="777"/>
      <c r="B27" s="216"/>
      <c r="C27" s="217"/>
      <c r="D27" s="218"/>
      <c r="E27" s="226"/>
      <c r="F27" s="229"/>
      <c r="G27" s="230"/>
      <c r="H27" s="560" t="s">
        <v>583</v>
      </c>
      <c r="I27" s="775"/>
      <c r="J27" s="215">
        <f>+'17'!J27</f>
        <v>0</v>
      </c>
      <c r="K27" s="240"/>
      <c r="L27" s="240"/>
      <c r="M27" s="118">
        <f>+K27+'17'!M27+L27</f>
        <v>0</v>
      </c>
      <c r="P27" s="150">
        <f t="shared" si="2"/>
        <v>0</v>
      </c>
      <c r="R27" s="150">
        <f>+O27*Q27</f>
        <v>0</v>
      </c>
      <c r="S27" s="150">
        <f>+P27*Q27</f>
        <v>0</v>
      </c>
    </row>
    <row r="28" spans="1:19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+'17'!J28</f>
        <v>0</v>
      </c>
      <c r="K28" s="240"/>
      <c r="L28" s="240"/>
      <c r="M28" s="118">
        <f>+K28+'17'!M28+L28</f>
        <v>0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+'17'!J29</f>
        <v>0</v>
      </c>
      <c r="K29" s="240"/>
      <c r="L29" s="240"/>
      <c r="M29" s="118">
        <f>+K29+'17'!M29+L29</f>
        <v>0</v>
      </c>
      <c r="Q29" s="150">
        <f>SUM(Q24:Q27)</f>
        <v>480</v>
      </c>
      <c r="R29" s="150">
        <f>SUM(R24:R27)</f>
        <v>566400</v>
      </c>
      <c r="S29" s="150">
        <f>SUM(S24:S27)</f>
        <v>436127.99999999994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+'17'!J30</f>
        <v>0</v>
      </c>
      <c r="K30" s="240"/>
      <c r="L30" s="240"/>
      <c r="M30" s="118">
        <f>+K30+'17'!M30+L30</f>
        <v>0</v>
      </c>
      <c r="O30" s="150" t="s">
        <v>402</v>
      </c>
      <c r="R30" s="150">
        <f>+R29/Q29</f>
        <v>1180</v>
      </c>
      <c r="S30" s="150">
        <f>+S29/Q29</f>
        <v>908.59999999999991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+'17'!J31</f>
        <v>0</v>
      </c>
      <c r="K31" s="240"/>
      <c r="L31" s="240"/>
      <c r="M31" s="118">
        <f>+K31+'17'!M31+L31</f>
        <v>0</v>
      </c>
      <c r="Q31" s="150">
        <f>+Q29+Q30</f>
        <v>480</v>
      </c>
    </row>
    <row r="32" spans="1:19" ht="13.5" thickBot="1">
      <c r="A32" s="778"/>
      <c r="B32" s="166" t="s">
        <v>2</v>
      </c>
      <c r="C32" s="100">
        <f>SUM(C25:C31)</f>
        <v>18139</v>
      </c>
      <c r="D32" s="101">
        <f>SUM(D25:D31)</f>
        <v>0</v>
      </c>
      <c r="E32" s="102">
        <f>SUM(E25:E31)</f>
        <v>0</v>
      </c>
      <c r="F32" s="103">
        <f>SUM(F24:F31)</f>
        <v>22</v>
      </c>
      <c r="G32" s="172"/>
      <c r="H32" s="173"/>
      <c r="I32" s="170"/>
      <c r="J32" s="215">
        <f>+'17'!J32</f>
        <v>0</v>
      </c>
      <c r="K32" s="242"/>
      <c r="L32" s="244"/>
      <c r="M32" s="118">
        <f>+K32+'17'!M32+L32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7" ht="13.5" thickBot="1">
      <c r="A34" s="767" t="s">
        <v>57</v>
      </c>
      <c r="B34" s="768"/>
      <c r="C34" s="108">
        <f>C14+C23+C32</f>
        <v>45876</v>
      </c>
      <c r="D34" s="108">
        <f>D14+D23+D32</f>
        <v>291</v>
      </c>
      <c r="E34" s="108">
        <f>E14+E23+E32</f>
        <v>0</v>
      </c>
      <c r="F34" s="109">
        <f>F14+F23+F32</f>
        <v>61</v>
      </c>
      <c r="H34" s="179"/>
      <c r="I34" s="179"/>
      <c r="J34" s="124" t="s">
        <v>28</v>
      </c>
      <c r="K34" s="125">
        <f>SUM(K7:K32)</f>
        <v>45876</v>
      </c>
      <c r="L34" s="213">
        <f>SUM(L7:L32)</f>
        <v>0</v>
      </c>
      <c r="M34" s="121">
        <f>SUM(M7:M32)</f>
        <v>715209</v>
      </c>
      <c r="N34" s="150" t="s">
        <v>404</v>
      </c>
      <c r="O34" s="150">
        <v>1230</v>
      </c>
      <c r="P34" s="150">
        <v>947.09999999999991</v>
      </c>
      <c r="Q34" s="150">
        <f>480+270</f>
        <v>750</v>
      </c>
    </row>
    <row r="35" spans="1:17" ht="13.5" thickBot="1">
      <c r="A35" s="180"/>
      <c r="B35" s="181"/>
      <c r="C35" s="105">
        <f>C34/($C$34+$D$34+$E$34)</f>
        <v>0.99369679641302233</v>
      </c>
      <c r="D35" s="105">
        <f>D34/($C$34+$D$34+$E$34)</f>
        <v>6.3032035869777115E-3</v>
      </c>
      <c r="E35" s="110">
        <f>E34/($C$34+$D$34+$E$34)</f>
        <v>0</v>
      </c>
      <c r="K35" s="156"/>
      <c r="N35" s="150" t="s">
        <v>579</v>
      </c>
      <c r="O35" s="150">
        <v>1180</v>
      </c>
      <c r="P35" s="150">
        <v>908.59999999999991</v>
      </c>
      <c r="Q35" s="150">
        <f>210+480</f>
        <v>690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  <c r="Q36" s="150">
        <f>+Q34+Q35</f>
        <v>1440</v>
      </c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(13*750+15*690)/1440*G42*2.74*1440/1000000</f>
        <v>51.144584837499998</v>
      </c>
      <c r="J37" s="126">
        <f>+I37+'17'!J37</f>
        <v>808.82814547299267</v>
      </c>
      <c r="K37" s="127" t="s">
        <v>63</v>
      </c>
    </row>
    <row r="38" spans="1:17" ht="17.45" customHeight="1">
      <c r="A38" s="761" t="s">
        <v>12</v>
      </c>
      <c r="B38" s="762"/>
      <c r="C38" s="165">
        <f>SUMIF($G$7:$G$31,"Process",$F$7:$F$31)</f>
        <v>61</v>
      </c>
      <c r="D38" s="119">
        <f>+C38+'17'!D38</f>
        <v>1378</v>
      </c>
      <c r="E38" s="144">
        <f t="shared" ref="E38:E51" si="3">D38/60</f>
        <v>22.966666666666665</v>
      </c>
      <c r="F38" s="323">
        <v>1230</v>
      </c>
      <c r="G38" s="323">
        <v>947.09999999999991</v>
      </c>
      <c r="H38" s="188" t="s">
        <v>64</v>
      </c>
      <c r="I38" s="246">
        <f>13.672+10.073+5.433+16.562</f>
        <v>45.74</v>
      </c>
      <c r="J38" s="128">
        <f>+I38+'17'!J38</f>
        <v>736.25700000000006</v>
      </c>
      <c r="K38" s="129" t="s">
        <v>63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+C39+'17'!D39</f>
        <v>0</v>
      </c>
      <c r="E39" s="144">
        <f t="shared" si="3"/>
        <v>0</v>
      </c>
      <c r="F39" s="323">
        <v>1208.125</v>
      </c>
      <c r="G39" s="323">
        <v>930.25624999999991</v>
      </c>
      <c r="H39" s="188" t="s">
        <v>65</v>
      </c>
      <c r="I39" s="143"/>
      <c r="J39" s="130">
        <f>J37/G4</f>
        <v>44.934896970721816</v>
      </c>
      <c r="K39" s="131" t="s">
        <v>63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+C40+'17'!D40</f>
        <v>0</v>
      </c>
      <c r="E40" s="144">
        <f t="shared" si="3"/>
        <v>0</v>
      </c>
      <c r="F40" s="323">
        <v>1180</v>
      </c>
      <c r="G40" s="323">
        <v>908.59999999999991</v>
      </c>
      <c r="H40" s="188" t="s">
        <v>67</v>
      </c>
      <c r="I40" s="119">
        <f>(K34+L34)/1000</f>
        <v>45.875999999999998</v>
      </c>
      <c r="J40" s="132">
        <f>+I40+'17'!J40</f>
        <v>715.20899999999995</v>
      </c>
      <c r="K40" s="131" t="s">
        <v>63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+C41+'17'!D41</f>
        <v>0</v>
      </c>
      <c r="E41" s="144">
        <f t="shared" si="3"/>
        <v>0</v>
      </c>
      <c r="F41" s="323"/>
      <c r="G41" s="323"/>
      <c r="H41" s="188" t="s">
        <v>69</v>
      </c>
      <c r="I41" s="143"/>
      <c r="J41" s="130">
        <f>J40/G4</f>
        <v>39.73383333333333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+C42+'17'!D42</f>
        <v>0</v>
      </c>
      <c r="E42" s="144">
        <f t="shared" si="3"/>
        <v>0</v>
      </c>
      <c r="F42" s="323">
        <f>+(F38*480+F39*480+F40*480)/1440</f>
        <v>1206.0416666666667</v>
      </c>
      <c r="G42" s="323">
        <f>+(G38*480+G39*480+G40*480)/1440</f>
        <v>928.65208333333317</v>
      </c>
      <c r="H42" s="188" t="s">
        <v>70</v>
      </c>
      <c r="I42" s="247" t="s">
        <v>585</v>
      </c>
      <c r="J42" s="133"/>
      <c r="K42" s="131" t="s">
        <v>71</v>
      </c>
    </row>
    <row r="43" spans="1:17" ht="17.45" customHeight="1">
      <c r="A43" s="765" t="s">
        <v>220</v>
      </c>
      <c r="B43" s="766"/>
      <c r="C43" s="165">
        <f>SUMIF($G$7:$G$31,"Change Grade",$F$7:$F$31)</f>
        <v>0</v>
      </c>
      <c r="D43" s="119">
        <f>+C43+'17'!D43</f>
        <v>0</v>
      </c>
      <c r="E43" s="144">
        <f t="shared" si="3"/>
        <v>0</v>
      </c>
      <c r="F43" s="323"/>
      <c r="G43" s="324"/>
      <c r="H43" s="189" t="s">
        <v>73</v>
      </c>
      <c r="I43" s="119">
        <f>+Report1!Z26</f>
        <v>63.4</v>
      </c>
      <c r="J43" s="134">
        <f>+I43+'17'!J43</f>
        <v>1086.5999999999999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+C44+'17'!D44</f>
        <v>0</v>
      </c>
      <c r="E44" s="144">
        <f t="shared" si="3"/>
        <v>0</v>
      </c>
      <c r="F44" s="323"/>
      <c r="G44" s="324"/>
      <c r="H44" s="189" t="s">
        <v>74</v>
      </c>
      <c r="I44" s="119">
        <f>I43/I38</f>
        <v>1.3860953213817226</v>
      </c>
      <c r="J44" s="135">
        <f>J43/J38</f>
        <v>1.4758433536115783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+C45+'17'!D45</f>
        <v>0</v>
      </c>
      <c r="E45" s="144">
        <f t="shared" si="3"/>
        <v>0</v>
      </c>
      <c r="F45" s="323"/>
      <c r="G45" s="326"/>
      <c r="H45" s="189" t="s">
        <v>75</v>
      </c>
      <c r="I45" s="119">
        <f>I43/I40</f>
        <v>1.3819862237335427</v>
      </c>
      <c r="J45" s="135">
        <f>J43/J40</f>
        <v>1.5192761836050721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+C46+'17'!D46</f>
        <v>0</v>
      </c>
      <c r="E46" s="144">
        <f t="shared" si="3"/>
        <v>0</v>
      </c>
      <c r="F46" s="323"/>
      <c r="G46" s="324"/>
      <c r="H46" s="189" t="s">
        <v>77</v>
      </c>
      <c r="I46" s="141">
        <f>+SUMIF(Listrik!P25,"&gt;0")</f>
        <v>36624.74</v>
      </c>
      <c r="J46" s="136">
        <f>+I46+'17'!J46</f>
        <v>646341.01999999967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+C47+'17'!D47</f>
        <v>0</v>
      </c>
      <c r="E47" s="144">
        <f t="shared" si="3"/>
        <v>0</v>
      </c>
      <c r="F47" s="323"/>
      <c r="G47" s="324"/>
      <c r="H47" s="189" t="s">
        <v>80</v>
      </c>
      <c r="I47" s="119">
        <f>I46/I38</f>
        <v>800.71578487100999</v>
      </c>
      <c r="J47" s="136">
        <f>J46/J38</f>
        <v>877.87419338627626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+C48+'17'!D48</f>
        <v>0</v>
      </c>
      <c r="E48" s="144">
        <f t="shared" si="3"/>
        <v>0</v>
      </c>
      <c r="F48" s="323"/>
      <c r="G48" s="324"/>
      <c r="H48" s="189" t="s">
        <v>81</v>
      </c>
      <c r="I48" s="119">
        <f>I46/I40</f>
        <v>798.34205248931903</v>
      </c>
      <c r="J48" s="136">
        <f>J46/J40</f>
        <v>903.70929336739289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+C49+'17'!D49</f>
        <v>301</v>
      </c>
      <c r="E49" s="144">
        <f t="shared" si="3"/>
        <v>5.0166666666666666</v>
      </c>
      <c r="F49" s="186"/>
      <c r="H49" s="189" t="s">
        <v>269</v>
      </c>
      <c r="I49" s="119">
        <f>+Report1!T26</f>
        <v>4256.0730342063625</v>
      </c>
      <c r="J49" s="136">
        <f>+I49+'17'!J49</f>
        <v>72661.923695389225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+C50+'17'!D50</f>
        <v>0</v>
      </c>
      <c r="E50" s="144">
        <f t="shared" si="3"/>
        <v>0</v>
      </c>
      <c r="F50" s="186"/>
      <c r="H50" s="189" t="s">
        <v>83</v>
      </c>
      <c r="I50" s="141">
        <f>I49/I38</f>
        <v>93.049257415967688</v>
      </c>
      <c r="J50" s="134">
        <f>J49/J38</f>
        <v>98.690978415674451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+C51+'17'!D51</f>
        <v>1000</v>
      </c>
      <c r="E51" s="144">
        <f t="shared" si="3"/>
        <v>16.666666666666668</v>
      </c>
      <c r="F51" s="186"/>
      <c r="H51" s="191" t="s">
        <v>85</v>
      </c>
      <c r="I51" s="142">
        <f>I49/I40</f>
        <v>92.773411679448131</v>
      </c>
      <c r="J51" s="137">
        <f>J49/J40</f>
        <v>101.59537099699421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61</v>
      </c>
      <c r="D52" s="145">
        <f>SUM(D38:D51)</f>
        <v>2679</v>
      </c>
      <c r="E52" s="146">
        <f>SUM(E38:E51)</f>
        <v>44.65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4.2361111111111113E-2</v>
      </c>
      <c r="D53" s="147">
        <f>D52/(24*60*G4)</f>
        <v>0.10335648148148148</v>
      </c>
      <c r="E53" s="148">
        <f>E52/(G4*24)</f>
        <v>0.10335648148148148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+D34+'17'!J56</f>
        <v>1299</v>
      </c>
      <c r="K56" s="202">
        <f>J56/(J40+J56/1000)/1000</f>
        <v>1.8129595203403175E-3</v>
      </c>
    </row>
    <row r="57" spans="1:11">
      <c r="A57" s="177"/>
      <c r="I57" s="200" t="s">
        <v>88</v>
      </c>
      <c r="J57" s="201">
        <f>+E34+'17'!J57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38:B38"/>
    <mergeCell ref="A39:B39"/>
    <mergeCell ref="A24:A32"/>
    <mergeCell ref="I24:I31"/>
    <mergeCell ref="A34:B34"/>
    <mergeCell ref="A37:B37"/>
    <mergeCell ref="A46:B46"/>
    <mergeCell ref="A51:B51"/>
    <mergeCell ref="A40:B40"/>
    <mergeCell ref="A41:B41"/>
    <mergeCell ref="A42:B42"/>
    <mergeCell ref="A43:B43"/>
    <mergeCell ref="A44:B44"/>
    <mergeCell ref="A45:B45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opLeftCell="A7" zoomScale="80" zoomScaleNormal="80" workbookViewId="0">
      <selection activeCell="E13" sqref="E13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13" ht="15.75">
      <c r="A1" s="149"/>
    </row>
    <row r="2" spans="1:13" ht="15.75">
      <c r="A2" s="149" t="s">
        <v>182</v>
      </c>
    </row>
    <row r="3" spans="1:13" ht="15">
      <c r="A3" s="151"/>
    </row>
    <row r="4" spans="1:13" ht="20.25">
      <c r="A4" s="152" t="s">
        <v>3</v>
      </c>
      <c r="B4" s="153"/>
      <c r="F4" s="154" t="s">
        <v>29</v>
      </c>
      <c r="G4" s="155">
        <v>17</v>
      </c>
      <c r="H4" s="155" t="str">
        <f>+'1'!H4</f>
        <v>.07.25</v>
      </c>
      <c r="J4" s="150">
        <f>582+564+523</f>
        <v>1669</v>
      </c>
    </row>
    <row r="5" spans="1:13" ht="13.5" thickBot="1">
      <c r="C5" s="156"/>
      <c r="D5" s="156"/>
    </row>
    <row r="6" spans="1:13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</row>
    <row r="7" spans="1:13" ht="13.5" customHeight="1" thickBot="1">
      <c r="A7" s="771" t="s">
        <v>423</v>
      </c>
      <c r="B7" s="216" t="s">
        <v>425</v>
      </c>
      <c r="C7" s="217">
        <v>12982</v>
      </c>
      <c r="D7" s="218"/>
      <c r="E7" s="219"/>
      <c r="F7" s="229"/>
      <c r="G7" s="557" t="s">
        <v>12</v>
      </c>
      <c r="H7" s="558" t="s">
        <v>470</v>
      </c>
      <c r="I7" s="774" t="s">
        <v>406</v>
      </c>
      <c r="J7" s="215" t="str">
        <f>+'16'!J7</f>
        <v>T 12,5 VP OW</v>
      </c>
      <c r="K7" s="239"/>
      <c r="L7" s="243"/>
      <c r="M7" s="118">
        <f>+K7+'16'!M7+L7</f>
        <v>21165</v>
      </c>
    </row>
    <row r="8" spans="1:13" ht="13.5" thickBot="1">
      <c r="A8" s="772"/>
      <c r="B8" s="216"/>
      <c r="C8" s="217"/>
      <c r="D8" s="218"/>
      <c r="E8" s="220"/>
      <c r="F8" s="232">
        <v>9</v>
      </c>
      <c r="G8" s="559" t="s">
        <v>12</v>
      </c>
      <c r="H8" s="231" t="s">
        <v>460</v>
      </c>
      <c r="I8" s="775"/>
      <c r="J8" s="215" t="str">
        <f>+'16'!J8</f>
        <v>F 13 VP OW</v>
      </c>
      <c r="K8" s="240">
        <f>+C34</f>
        <v>43463</v>
      </c>
      <c r="L8" s="240"/>
      <c r="M8" s="118">
        <f>+K8+'16'!M8+L8</f>
        <v>243304</v>
      </c>
    </row>
    <row r="9" spans="1:13" ht="13.5" thickBot="1">
      <c r="A9" s="772"/>
      <c r="B9" s="216"/>
      <c r="C9" s="217"/>
      <c r="D9" s="218"/>
      <c r="E9" s="221"/>
      <c r="F9" s="229">
        <v>10</v>
      </c>
      <c r="G9" s="559" t="s">
        <v>12</v>
      </c>
      <c r="H9" s="234" t="s">
        <v>453</v>
      </c>
      <c r="I9" s="775"/>
      <c r="J9" s="215" t="str">
        <f>+'16'!J9</f>
        <v>F 12 VP OW</v>
      </c>
      <c r="K9" s="240"/>
      <c r="L9" s="240"/>
      <c r="M9" s="118">
        <f>+K9+'16'!M9+L9</f>
        <v>100984</v>
      </c>
    </row>
    <row r="10" spans="1:13" ht="26.25" thickBot="1">
      <c r="A10" s="772"/>
      <c r="B10" s="216"/>
      <c r="C10" s="217"/>
      <c r="D10" s="218"/>
      <c r="E10" s="220"/>
      <c r="F10" s="229"/>
      <c r="G10" s="230"/>
      <c r="H10" s="560" t="s">
        <v>574</v>
      </c>
      <c r="I10" s="775"/>
      <c r="J10" s="215" t="str">
        <f>+'16'!J10</f>
        <v>F 12,5 VP OW</v>
      </c>
      <c r="K10" s="240"/>
      <c r="L10" s="240"/>
      <c r="M10" s="118">
        <f>+K10+'16'!M10+L10</f>
        <v>19792</v>
      </c>
    </row>
    <row r="11" spans="1:13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+'16'!J11</f>
        <v>T 13 VP OW</v>
      </c>
      <c r="K11" s="240"/>
      <c r="L11" s="240"/>
      <c r="M11" s="118">
        <f>+K11+'16'!M11+L11</f>
        <v>278149</v>
      </c>
    </row>
    <row r="12" spans="1:13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+'16'!J12</f>
        <v>F 11,5 VP OW</v>
      </c>
      <c r="K12" s="240"/>
      <c r="L12" s="240"/>
      <c r="M12" s="118">
        <f>+K12+'16'!M12+L12</f>
        <v>5939</v>
      </c>
    </row>
    <row r="13" spans="1:13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+'16'!J13</f>
        <v>0</v>
      </c>
      <c r="K13" s="240"/>
      <c r="L13" s="240"/>
      <c r="M13" s="118">
        <f>+K13+'16'!M13+L13</f>
        <v>0</v>
      </c>
    </row>
    <row r="14" spans="1:13" ht="13.5" thickBot="1">
      <c r="A14" s="773"/>
      <c r="B14" s="166" t="s">
        <v>2</v>
      </c>
      <c r="C14" s="100">
        <f>SUM(C7:C13)</f>
        <v>12982</v>
      </c>
      <c r="D14" s="112">
        <f>SUM(D7:D13)</f>
        <v>0</v>
      </c>
      <c r="E14" s="113">
        <f>SUM(E5:E13)</f>
        <v>0</v>
      </c>
      <c r="F14" s="117">
        <f>SUM(F7:F13)</f>
        <v>19</v>
      </c>
      <c r="G14" s="160"/>
      <c r="H14" s="167"/>
      <c r="I14" s="168"/>
      <c r="J14" s="215">
        <f>+'16'!J14</f>
        <v>0</v>
      </c>
      <c r="K14" s="240"/>
      <c r="L14" s="240"/>
      <c r="M14" s="118">
        <f>+K14+'16'!M14+L14</f>
        <v>0</v>
      </c>
    </row>
    <row r="15" spans="1:13" ht="13.5" customHeight="1" thickBot="1">
      <c r="A15" s="771" t="s">
        <v>576</v>
      </c>
      <c r="B15" s="166"/>
      <c r="C15" s="114">
        <f>C14/($C$23+$D$23+$E$23)</f>
        <v>0.85514788222119753</v>
      </c>
      <c r="D15" s="115">
        <f>D14/($C$23+$D$23+$E$23)</f>
        <v>0</v>
      </c>
      <c r="E15" s="116">
        <f>E14/($C$23+$D$23+$E$23)</f>
        <v>0</v>
      </c>
      <c r="F15" s="229">
        <v>12</v>
      </c>
      <c r="G15" s="557" t="s">
        <v>12</v>
      </c>
      <c r="H15" s="558" t="s">
        <v>470</v>
      </c>
      <c r="I15" s="774" t="s">
        <v>406</v>
      </c>
      <c r="J15" s="215">
        <f>+'16'!J15</f>
        <v>0</v>
      </c>
      <c r="K15" s="240"/>
      <c r="L15" s="240"/>
      <c r="M15" s="118">
        <f>+K15+'16'!M15+L15</f>
        <v>0</v>
      </c>
    </row>
    <row r="16" spans="1:13" ht="13.5" thickBot="1">
      <c r="A16" s="777"/>
      <c r="B16" s="216" t="s">
        <v>425</v>
      </c>
      <c r="C16" s="223">
        <v>15181</v>
      </c>
      <c r="D16" s="224"/>
      <c r="E16" s="225"/>
      <c r="F16" s="232">
        <v>9</v>
      </c>
      <c r="G16" s="559" t="s">
        <v>12</v>
      </c>
      <c r="H16" s="231" t="s">
        <v>460</v>
      </c>
      <c r="I16" s="775"/>
      <c r="J16" s="215">
        <f>+'16'!J16</f>
        <v>0</v>
      </c>
      <c r="K16" s="230"/>
      <c r="L16" s="230"/>
      <c r="M16" s="118">
        <f>+K16+'16'!M16+L16</f>
        <v>0</v>
      </c>
    </row>
    <row r="17" spans="1:13" ht="13.5" thickBot="1">
      <c r="A17" s="777"/>
      <c r="B17" s="216"/>
      <c r="C17" s="217"/>
      <c r="D17" s="218"/>
      <c r="E17" s="226"/>
      <c r="F17" s="229">
        <f>31-21</f>
        <v>10</v>
      </c>
      <c r="G17" s="559" t="s">
        <v>12</v>
      </c>
      <c r="H17" s="234" t="s">
        <v>453</v>
      </c>
      <c r="I17" s="775"/>
      <c r="J17" s="215">
        <f>+'16'!J17</f>
        <v>0</v>
      </c>
      <c r="K17" s="230"/>
      <c r="L17" s="230"/>
      <c r="M17" s="118">
        <f>+K17+'16'!M17+L17</f>
        <v>0</v>
      </c>
    </row>
    <row r="18" spans="1:13" ht="26.25" thickBot="1">
      <c r="A18" s="777"/>
      <c r="B18" s="216"/>
      <c r="C18" s="217"/>
      <c r="D18" s="218"/>
      <c r="E18" s="226"/>
      <c r="F18" s="229"/>
      <c r="G18" s="230"/>
      <c r="H18" s="560" t="s">
        <v>574</v>
      </c>
      <c r="I18" s="775"/>
      <c r="J18" s="215">
        <f>+'16'!J18</f>
        <v>0</v>
      </c>
      <c r="K18" s="240"/>
      <c r="L18" s="240"/>
      <c r="M18" s="118">
        <f>+K18+'16'!M18+L18</f>
        <v>0</v>
      </c>
    </row>
    <row r="19" spans="1:13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+'16'!J19</f>
        <v>0</v>
      </c>
      <c r="K19" s="240"/>
      <c r="L19" s="240"/>
      <c r="M19" s="118">
        <f>+K19+'16'!M19+L19</f>
        <v>0</v>
      </c>
    </row>
    <row r="20" spans="1:1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+'16'!J20</f>
        <v>0</v>
      </c>
      <c r="K20" s="241"/>
      <c r="L20" s="241"/>
      <c r="M20" s="118">
        <f>+K20+'16'!M20+L20</f>
        <v>0</v>
      </c>
    </row>
    <row r="21" spans="1:1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+'16'!J21</f>
        <v>0</v>
      </c>
      <c r="K21" s="240"/>
      <c r="L21" s="240"/>
      <c r="M21" s="118">
        <f>+K21+'16'!M21+L21</f>
        <v>0</v>
      </c>
    </row>
    <row r="22" spans="1:1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+'16'!J22</f>
        <v>0</v>
      </c>
      <c r="K22" s="240"/>
      <c r="L22" s="240"/>
      <c r="M22" s="118">
        <f>+K22+'16'!M22+L22</f>
        <v>0</v>
      </c>
    </row>
    <row r="23" spans="1:13" ht="13.5" thickBot="1">
      <c r="A23" s="778"/>
      <c r="B23" s="169" t="s">
        <v>2</v>
      </c>
      <c r="C23" s="101">
        <f>SUM(C16:C22)</f>
        <v>15181</v>
      </c>
      <c r="D23" s="112">
        <f>SUM(D16:D22)</f>
        <v>0</v>
      </c>
      <c r="E23" s="113">
        <f>SUM(E18:E22)</f>
        <v>0</v>
      </c>
      <c r="F23" s="117">
        <f>SUM(F15:F22)</f>
        <v>31</v>
      </c>
      <c r="G23" s="160"/>
      <c r="H23" s="167"/>
      <c r="I23" s="170"/>
      <c r="J23" s="215">
        <f>+'16'!J23</f>
        <v>0</v>
      </c>
      <c r="K23" s="240"/>
      <c r="L23" s="240"/>
      <c r="M23" s="118">
        <f>+K23+'16'!M23+L23</f>
        <v>0</v>
      </c>
    </row>
    <row r="24" spans="1:13" ht="13.5" customHeight="1" thickBot="1">
      <c r="A24" s="771" t="s">
        <v>422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16</v>
      </c>
      <c r="G24" s="557" t="s">
        <v>12</v>
      </c>
      <c r="H24" s="558" t="s">
        <v>470</v>
      </c>
      <c r="I24" s="774" t="s">
        <v>406</v>
      </c>
      <c r="J24" s="215">
        <f>+'16'!J24</f>
        <v>0</v>
      </c>
      <c r="K24" s="240"/>
      <c r="L24" s="240"/>
      <c r="M24" s="118">
        <f>+K24+'16'!M24+L24</f>
        <v>0</v>
      </c>
    </row>
    <row r="25" spans="1:13" ht="13.5" thickBot="1">
      <c r="A25" s="777"/>
      <c r="B25" s="216" t="s">
        <v>425</v>
      </c>
      <c r="C25" s="227">
        <v>15300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+'16'!J25</f>
        <v>0</v>
      </c>
      <c r="K25" s="240"/>
      <c r="L25" s="240"/>
      <c r="M25" s="118">
        <f>+K25+'16'!M25+L25</f>
        <v>0</v>
      </c>
    </row>
    <row r="26" spans="1:13" ht="13.5" thickBot="1">
      <c r="A26" s="777"/>
      <c r="B26" s="216"/>
      <c r="C26" s="227"/>
      <c r="D26" s="218"/>
      <c r="E26" s="228"/>
      <c r="F26" s="229">
        <f>32-16</f>
        <v>16</v>
      </c>
      <c r="G26" s="559" t="s">
        <v>12</v>
      </c>
      <c r="H26" s="234" t="s">
        <v>409</v>
      </c>
      <c r="I26" s="775"/>
      <c r="J26" s="215">
        <f>+'16'!J26</f>
        <v>0</v>
      </c>
      <c r="K26" s="240"/>
      <c r="L26" s="240"/>
      <c r="M26" s="118">
        <f>+K26+'16'!M26+L26</f>
        <v>0</v>
      </c>
    </row>
    <row r="27" spans="1:13" ht="26.25" thickBot="1">
      <c r="A27" s="777"/>
      <c r="B27" s="216"/>
      <c r="C27" s="217"/>
      <c r="D27" s="218"/>
      <c r="E27" s="226"/>
      <c r="F27" s="229"/>
      <c r="G27" s="230"/>
      <c r="H27" s="560" t="s">
        <v>574</v>
      </c>
      <c r="I27" s="775"/>
      <c r="J27" s="215">
        <f>+'16'!J27</f>
        <v>0</v>
      </c>
      <c r="K27" s="240"/>
      <c r="L27" s="240"/>
      <c r="M27" s="118">
        <f>+K27+'16'!M27+L27</f>
        <v>0</v>
      </c>
    </row>
    <row r="28" spans="1:13" ht="13.5" thickBot="1">
      <c r="A28" s="777"/>
      <c r="B28" s="216"/>
      <c r="C28" s="217"/>
      <c r="D28" s="218"/>
      <c r="E28" s="226"/>
      <c r="F28" s="232"/>
      <c r="G28" s="233"/>
      <c r="H28" s="234" t="s">
        <v>577</v>
      </c>
      <c r="I28" s="775"/>
      <c r="J28" s="215">
        <f>+'16'!J28</f>
        <v>0</v>
      </c>
      <c r="K28" s="240"/>
      <c r="L28" s="240"/>
      <c r="M28" s="118">
        <f>+K28+'16'!M28+L28</f>
        <v>0</v>
      </c>
    </row>
    <row r="29" spans="1:13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+'16'!J29</f>
        <v>0</v>
      </c>
      <c r="K29" s="240"/>
      <c r="L29" s="240"/>
      <c r="M29" s="118">
        <f>+K29+'16'!M29+L29</f>
        <v>0</v>
      </c>
    </row>
    <row r="30" spans="1:13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+'16'!J30</f>
        <v>0</v>
      </c>
      <c r="K30" s="240"/>
      <c r="L30" s="240"/>
      <c r="M30" s="118">
        <f>+K30+'16'!M30+L30</f>
        <v>0</v>
      </c>
    </row>
    <row r="31" spans="1:13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+'16'!J31</f>
        <v>0</v>
      </c>
      <c r="K31" s="240"/>
      <c r="L31" s="240"/>
      <c r="M31" s="118">
        <f>+K31+'16'!M31+L31</f>
        <v>0</v>
      </c>
    </row>
    <row r="32" spans="1:13" ht="13.5" thickBot="1">
      <c r="A32" s="778"/>
      <c r="B32" s="166" t="s">
        <v>2</v>
      </c>
      <c r="C32" s="100">
        <f>SUM(C25:C31)</f>
        <v>15300</v>
      </c>
      <c r="D32" s="101">
        <f>SUM(D25:D31)</f>
        <v>0</v>
      </c>
      <c r="E32" s="102">
        <f>SUM(E25:E31)</f>
        <v>0</v>
      </c>
      <c r="F32" s="103">
        <f>SUM(F24:F31)</f>
        <v>32</v>
      </c>
      <c r="G32" s="172"/>
      <c r="H32" s="173"/>
      <c r="I32" s="170"/>
      <c r="J32" s="215">
        <f>+'16'!J32</f>
        <v>0</v>
      </c>
      <c r="K32" s="242"/>
      <c r="L32" s="244"/>
      <c r="M32" s="118">
        <f>+K32+'16'!M32+L32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43463</v>
      </c>
      <c r="D34" s="108">
        <f>D14+D23+D32</f>
        <v>0</v>
      </c>
      <c r="E34" s="108">
        <f>E14+E23+E32</f>
        <v>0</v>
      </c>
      <c r="F34" s="109">
        <f>F14+F23+F32</f>
        <v>82</v>
      </c>
      <c r="H34" s="179"/>
      <c r="I34" s="179"/>
      <c r="J34" s="124" t="s">
        <v>28</v>
      </c>
      <c r="K34" s="125">
        <f>SUM(K7:K32)</f>
        <v>43463</v>
      </c>
      <c r="L34" s="213">
        <f>SUM(L7:L32)</f>
        <v>0</v>
      </c>
      <c r="M34" s="121">
        <f>SUM(M7:M32)</f>
        <v>669333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48.579410879999998</v>
      </c>
      <c r="J37" s="126">
        <f>+I37+'16'!J37</f>
        <v>757.68356063549265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82</v>
      </c>
      <c r="D38" s="119">
        <f>+C38+'16'!D38</f>
        <v>1317</v>
      </c>
      <c r="E38" s="144">
        <f t="shared" ref="E38:E51" si="0">D38/60</f>
        <v>21.95</v>
      </c>
      <c r="F38" s="323">
        <v>1230</v>
      </c>
      <c r="G38" s="323">
        <v>947.09999999999991</v>
      </c>
      <c r="H38" s="188" t="s">
        <v>64</v>
      </c>
      <c r="I38" s="246">
        <f>45206/1000</f>
        <v>45.206000000000003</v>
      </c>
      <c r="J38" s="128">
        <f>+I38+'16'!J38</f>
        <v>690.51700000000005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+C39+'16'!D39</f>
        <v>0</v>
      </c>
      <c r="E39" s="144">
        <f t="shared" si="0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44.569621213852507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+C40+'16'!D40</f>
        <v>0</v>
      </c>
      <c r="E40" s="144">
        <f t="shared" si="0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43.463000000000001</v>
      </c>
      <c r="J40" s="132">
        <f>+I40+'16'!J40</f>
        <v>669.33299999999997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+C41+'16'!D41</f>
        <v>0</v>
      </c>
      <c r="E41" s="144">
        <f t="shared" si="0"/>
        <v>0</v>
      </c>
      <c r="F41" s="323"/>
      <c r="G41" s="323"/>
      <c r="H41" s="188" t="s">
        <v>69</v>
      </c>
      <c r="I41" s="143"/>
      <c r="J41" s="130">
        <f>J40/G4</f>
        <v>39.372529411764702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+C42+'16'!D42</f>
        <v>0</v>
      </c>
      <c r="E42" s="144">
        <f t="shared" si="0"/>
        <v>0</v>
      </c>
      <c r="F42" s="323">
        <f>+(F38*480+F40*480+F39*480)/1440</f>
        <v>1230</v>
      </c>
      <c r="G42" s="323">
        <f>+(G38*480+G40*480+G39*480)/1440</f>
        <v>947.0999999999998</v>
      </c>
      <c r="H42" s="188" t="s">
        <v>70</v>
      </c>
      <c r="I42" s="247"/>
      <c r="J42" s="133"/>
      <c r="K42" s="131" t="s">
        <v>71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+C43+'16'!D43</f>
        <v>0</v>
      </c>
      <c r="E43" s="144">
        <f t="shared" si="0"/>
        <v>0</v>
      </c>
      <c r="F43" s="323"/>
      <c r="G43" s="324"/>
      <c r="H43" s="189" t="s">
        <v>73</v>
      </c>
      <c r="I43" s="119">
        <f>+Report1!Z25</f>
        <v>61.9</v>
      </c>
      <c r="J43" s="134">
        <f>+I43+'16'!J43</f>
        <v>1023.1999999999999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+C44+'16'!D44</f>
        <v>0</v>
      </c>
      <c r="E44" s="144">
        <f t="shared" si="0"/>
        <v>0</v>
      </c>
      <c r="F44" s="323"/>
      <c r="G44" s="324"/>
      <c r="H44" s="189" t="s">
        <v>74</v>
      </c>
      <c r="I44" s="119">
        <f>I43/I38</f>
        <v>1.3692872627527317</v>
      </c>
      <c r="J44" s="135">
        <f>J43/J38</f>
        <v>1.4817882832718092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+C45+'16'!D45</f>
        <v>0</v>
      </c>
      <c r="E45" s="144">
        <f t="shared" si="0"/>
        <v>0</v>
      </c>
      <c r="F45" s="323"/>
      <c r="G45" s="326"/>
      <c r="H45" s="189" t="s">
        <v>75</v>
      </c>
      <c r="I45" s="119">
        <f>I43/I40</f>
        <v>1.4241998941628511</v>
      </c>
      <c r="J45" s="135">
        <f>J43/J40</f>
        <v>1.5286860202619623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+C46+'16'!D46</f>
        <v>0</v>
      </c>
      <c r="E46" s="144">
        <f t="shared" si="0"/>
        <v>0</v>
      </c>
      <c r="F46" s="323"/>
      <c r="G46" s="324"/>
      <c r="H46" s="189" t="s">
        <v>77</v>
      </c>
      <c r="I46" s="141">
        <f>+SUMIF(Listrik!P24,"&gt;0")</f>
        <v>37665.500000000728</v>
      </c>
      <c r="J46" s="136">
        <f>+I46+'16'!J46</f>
        <v>609716.27999999968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+C47+'16'!D47</f>
        <v>0</v>
      </c>
      <c r="E47" s="144">
        <f t="shared" si="0"/>
        <v>0</v>
      </c>
      <c r="F47" s="323"/>
      <c r="G47" s="324"/>
      <c r="H47" s="189" t="s">
        <v>80</v>
      </c>
      <c r="I47" s="119">
        <f>I46/I38</f>
        <v>833.19692076274669</v>
      </c>
      <c r="J47" s="136">
        <f>J46/J38</f>
        <v>882.98518356535703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+C48+'16'!D48</f>
        <v>0</v>
      </c>
      <c r="E48" s="144">
        <f t="shared" si="0"/>
        <v>0</v>
      </c>
      <c r="F48" s="323"/>
      <c r="G48" s="324"/>
      <c r="H48" s="189" t="s">
        <v>81</v>
      </c>
      <c r="I48" s="119">
        <f>I46/I40</f>
        <v>866.61068034881919</v>
      </c>
      <c r="J48" s="136">
        <f>J46/J40</f>
        <v>910.93115086212651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+C49+'16'!D49</f>
        <v>301</v>
      </c>
      <c r="E49" s="144">
        <f t="shared" si="0"/>
        <v>5.0166666666666666</v>
      </c>
      <c r="F49" s="186"/>
      <c r="H49" s="189" t="s">
        <v>269</v>
      </c>
      <c r="I49" s="119">
        <f>+Report1!T25</f>
        <v>4001.3637422301531</v>
      </c>
      <c r="J49" s="136">
        <f>+I49+'16'!J49</f>
        <v>68405.850661182863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+C50+'16'!D50</f>
        <v>0</v>
      </c>
      <c r="E50" s="144">
        <f t="shared" si="0"/>
        <v>0</v>
      </c>
      <c r="F50" s="186"/>
      <c r="H50" s="189" t="s">
        <v>83</v>
      </c>
      <c r="I50" s="141">
        <f>I49/I38</f>
        <v>88.513996863915253</v>
      </c>
      <c r="J50" s="134">
        <f>J49/J38</f>
        <v>99.06468727226536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+C51+'16'!D51</f>
        <v>1000</v>
      </c>
      <c r="E51" s="144">
        <f t="shared" si="0"/>
        <v>16.666666666666668</v>
      </c>
      <c r="F51" s="186"/>
      <c r="H51" s="191" t="s">
        <v>85</v>
      </c>
      <c r="I51" s="142">
        <f>I49/I40</f>
        <v>92.063680423122037</v>
      </c>
      <c r="J51" s="137">
        <f>J49/J40</f>
        <v>102.20002698385238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82</v>
      </c>
      <c r="D52" s="145">
        <f>SUM(D38:D51)</f>
        <v>2618</v>
      </c>
      <c r="E52" s="146">
        <f>SUM(E38:E51)</f>
        <v>43.633333333333333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5.6944444444444443E-2</v>
      </c>
      <c r="D53" s="147">
        <f>D52/(24*60*G4)</f>
        <v>0.10694444444444444</v>
      </c>
      <c r="E53" s="148">
        <f>E52/(G4*24)</f>
        <v>0.10694444444444444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+D34+'16'!J56</f>
        <v>1008</v>
      </c>
      <c r="K56" s="202">
        <f>J56/(J40+J56/1000)/1000</f>
        <v>1.5037122897152344E-3</v>
      </c>
    </row>
    <row r="57" spans="1:11">
      <c r="A57" s="177"/>
      <c r="I57" s="200" t="s">
        <v>88</v>
      </c>
      <c r="J57" s="201">
        <f>+E34+'16'!J57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34:B34"/>
    <mergeCell ref="A37:B37"/>
    <mergeCell ref="A38:B38"/>
    <mergeCell ref="I24:I31"/>
    <mergeCell ref="A24:A32"/>
    <mergeCell ref="A39:B39"/>
    <mergeCell ref="A40:B40"/>
    <mergeCell ref="A41:B41"/>
    <mergeCell ref="A42:B42"/>
    <mergeCell ref="A43:B43"/>
    <mergeCell ref="A44:B44"/>
    <mergeCell ref="A45:B45"/>
    <mergeCell ref="A46:B46"/>
    <mergeCell ref="A51:B51"/>
    <mergeCell ref="A52:B52"/>
    <mergeCell ref="A53:B53"/>
    <mergeCell ref="A47:B47"/>
    <mergeCell ref="A48:B48"/>
    <mergeCell ref="A49:B49"/>
    <mergeCell ref="A50:B50"/>
  </mergeCells>
  <phoneticPr fontId="32" type="noConversion"/>
  <printOptions horizontalCentered="1"/>
  <pageMargins left="0.74791666666666667" right="0.74791666666666667" top="0.39027777777777778" bottom="0.39027777777777778" header="0" footer="0"/>
  <pageSetup paperSize="9" scale="62" firstPageNumber="4294963191" orientation="landscape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topLeftCell="B1" zoomScale="80" zoomScaleNormal="80" workbookViewId="0">
      <selection activeCell="H27" sqref="H27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16</v>
      </c>
      <c r="H4" s="155" t="str">
        <f>+'1'!H4</f>
        <v>.07.25</v>
      </c>
      <c r="J4" s="150">
        <f>554+556+500</f>
        <v>1610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562</v>
      </c>
      <c r="O6" s="150">
        <v>1230</v>
      </c>
      <c r="P6" s="150">
        <f>+O6-O6*0.23</f>
        <v>947.09999999999991</v>
      </c>
      <c r="Q6" s="150">
        <v>480</v>
      </c>
      <c r="R6" s="150">
        <f>+O6*Q6</f>
        <v>590400</v>
      </c>
      <c r="S6" s="150">
        <f>+P6*Q6</f>
        <v>454607.99999999994</v>
      </c>
    </row>
    <row r="7" spans="1:19" ht="13.5" customHeight="1" thickBot="1">
      <c r="A7" s="771" t="s">
        <v>423</v>
      </c>
      <c r="B7" s="216" t="s">
        <v>425</v>
      </c>
      <c r="C7" s="217">
        <v>15112</v>
      </c>
      <c r="D7" s="218"/>
      <c r="E7" s="219"/>
      <c r="F7" s="229"/>
      <c r="G7" s="557" t="s">
        <v>12</v>
      </c>
      <c r="H7" s="558" t="s">
        <v>383</v>
      </c>
      <c r="I7" s="774" t="s">
        <v>406</v>
      </c>
      <c r="J7" s="215" t="str">
        <f>+'15'!J7</f>
        <v>T 12,5 VP OW</v>
      </c>
      <c r="K7" s="239"/>
      <c r="L7" s="243"/>
      <c r="M7" s="118">
        <f>+K7+'15'!M7+L7</f>
        <v>21165</v>
      </c>
      <c r="O7" s="150">
        <v>1230</v>
      </c>
      <c r="P7" s="150">
        <f t="shared" ref="P7:P9" si="0">+O7-O7*0.23</f>
        <v>947.09999999999991</v>
      </c>
      <c r="Q7" s="150">
        <v>480</v>
      </c>
      <c r="R7" s="150">
        <f>+O7*Q7</f>
        <v>590400</v>
      </c>
      <c r="S7" s="150">
        <f>+P7*Q7</f>
        <v>454607.99999999994</v>
      </c>
    </row>
    <row r="8" spans="1:19" ht="13.5" thickBot="1">
      <c r="A8" s="772"/>
      <c r="B8" s="216"/>
      <c r="C8" s="217"/>
      <c r="D8" s="218"/>
      <c r="E8" s="220"/>
      <c r="F8" s="232">
        <v>9</v>
      </c>
      <c r="G8" s="559" t="s">
        <v>12</v>
      </c>
      <c r="H8" s="231" t="s">
        <v>503</v>
      </c>
      <c r="I8" s="775"/>
      <c r="J8" s="215" t="str">
        <f>+'15'!J8</f>
        <v>F 13 VP OW</v>
      </c>
      <c r="K8" s="240">
        <f>+C34</f>
        <v>42909</v>
      </c>
      <c r="L8" s="240"/>
      <c r="M8" s="118">
        <f>+K8+'15'!M8+L8</f>
        <v>199841</v>
      </c>
      <c r="O8" s="150">
        <v>1230</v>
      </c>
      <c r="P8" s="150">
        <f t="shared" si="0"/>
        <v>947.09999999999991</v>
      </c>
      <c r="Q8" s="150">
        <v>480</v>
      </c>
      <c r="R8" s="150">
        <f>+O8*Q8</f>
        <v>590400</v>
      </c>
      <c r="S8" s="150">
        <f>+P8*Q8</f>
        <v>454607.99999999994</v>
      </c>
    </row>
    <row r="9" spans="1:19" ht="13.5" thickBot="1">
      <c r="A9" s="772"/>
      <c r="B9" s="216"/>
      <c r="C9" s="217"/>
      <c r="D9" s="218"/>
      <c r="E9" s="221"/>
      <c r="F9" s="229">
        <v>10</v>
      </c>
      <c r="G9" s="559" t="s">
        <v>12</v>
      </c>
      <c r="H9" s="234" t="s">
        <v>442</v>
      </c>
      <c r="I9" s="775"/>
      <c r="J9" s="215" t="str">
        <f>+'15'!J9</f>
        <v>F 12 VP OW</v>
      </c>
      <c r="K9" s="240"/>
      <c r="L9" s="240"/>
      <c r="M9" s="118">
        <f>+K9+'15'!M9+L9</f>
        <v>100984</v>
      </c>
      <c r="P9" s="150">
        <f t="shared" si="0"/>
        <v>0</v>
      </c>
      <c r="R9" s="150">
        <f>+O9*Q9</f>
        <v>0</v>
      </c>
      <c r="S9" s="150">
        <f>+P9*Q9</f>
        <v>0</v>
      </c>
    </row>
    <row r="10" spans="1:19" ht="26.25" thickBot="1">
      <c r="A10" s="772"/>
      <c r="B10" s="216"/>
      <c r="C10" s="217"/>
      <c r="D10" s="218"/>
      <c r="E10" s="220"/>
      <c r="F10" s="229"/>
      <c r="G10" s="230"/>
      <c r="H10" s="560" t="s">
        <v>573</v>
      </c>
      <c r="I10" s="775"/>
      <c r="J10" s="215" t="str">
        <f>+'15'!J10</f>
        <v>F 12,5 VP OW</v>
      </c>
      <c r="K10" s="240"/>
      <c r="L10" s="240"/>
      <c r="M10" s="118">
        <f>+K10+'15'!M10+L10</f>
        <v>19792</v>
      </c>
    </row>
    <row r="11" spans="1:1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+'15'!J11</f>
        <v>T 13 VP OW</v>
      </c>
      <c r="K11" s="240"/>
      <c r="L11" s="240"/>
      <c r="M11" s="118">
        <f>+K11+'15'!M11+L11</f>
        <v>278149</v>
      </c>
      <c r="Q11" s="150">
        <f>SUM(Q6:Q9)</f>
        <v>1440</v>
      </c>
      <c r="R11" s="150">
        <f>SUM(R6:R9)</f>
        <v>1771200</v>
      </c>
      <c r="S11" s="150">
        <f>SUM(S6:S9)</f>
        <v>1363823.9999999998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+'15'!J12</f>
        <v>F 11,5 VP OW</v>
      </c>
      <c r="K12" s="240"/>
      <c r="L12" s="240"/>
      <c r="M12" s="118">
        <f>+K12+'15'!M12+L12</f>
        <v>5939</v>
      </c>
      <c r="O12" s="150" t="s">
        <v>402</v>
      </c>
      <c r="R12" s="150">
        <f>+R11/Q11</f>
        <v>1230</v>
      </c>
      <c r="S12" s="150">
        <f>+S11/Q11</f>
        <v>947.0999999999998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+'15'!J13</f>
        <v>0</v>
      </c>
      <c r="K13" s="240"/>
      <c r="L13" s="240"/>
      <c r="M13" s="118">
        <f>+K13+'15'!M13+L13</f>
        <v>0</v>
      </c>
      <c r="Q13" s="150">
        <f>+Q11+Q12</f>
        <v>1440</v>
      </c>
    </row>
    <row r="14" spans="1:19" ht="13.5" thickBot="1">
      <c r="A14" s="773"/>
      <c r="B14" s="166" t="s">
        <v>2</v>
      </c>
      <c r="C14" s="100">
        <f>SUM(C7:C13)</f>
        <v>15112</v>
      </c>
      <c r="D14" s="112">
        <f>SUM(D7:D13)</f>
        <v>0</v>
      </c>
      <c r="E14" s="113">
        <f>SUM(E5:E13)</f>
        <v>0</v>
      </c>
      <c r="F14" s="117">
        <f>SUM(F7:F13)</f>
        <v>19</v>
      </c>
      <c r="G14" s="160"/>
      <c r="H14" s="167"/>
      <c r="I14" s="168"/>
      <c r="J14" s="215">
        <f>+'15'!J14</f>
        <v>0</v>
      </c>
      <c r="K14" s="240"/>
      <c r="L14" s="240"/>
      <c r="M14" s="118">
        <f>+K14+'15'!M14+L14</f>
        <v>0</v>
      </c>
    </row>
    <row r="15" spans="1:19" ht="13.5" customHeight="1" thickBot="1">
      <c r="A15" s="771" t="s">
        <v>576</v>
      </c>
      <c r="B15" s="166"/>
      <c r="C15" s="114">
        <f>C14/($C$23+$D$23+$E$23)</f>
        <v>1.1135509542406603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406</v>
      </c>
      <c r="J15" s="215">
        <f>+'15'!J15</f>
        <v>0</v>
      </c>
      <c r="K15" s="240"/>
      <c r="L15" s="240"/>
      <c r="M15" s="118">
        <f>+K15+'15'!M15+L15</f>
        <v>0</v>
      </c>
    </row>
    <row r="16" spans="1:19" ht="13.5" thickBot="1">
      <c r="A16" s="777"/>
      <c r="B16" s="216" t="s">
        <v>425</v>
      </c>
      <c r="C16" s="223">
        <v>13571</v>
      </c>
      <c r="D16" s="224"/>
      <c r="E16" s="225"/>
      <c r="F16" s="232">
        <v>8</v>
      </c>
      <c r="G16" s="559" t="s">
        <v>12</v>
      </c>
      <c r="H16" s="231" t="s">
        <v>459</v>
      </c>
      <c r="I16" s="775"/>
      <c r="J16" s="215">
        <f>+'15'!J16</f>
        <v>0</v>
      </c>
      <c r="K16" s="230"/>
      <c r="L16" s="230"/>
      <c r="M16" s="118">
        <f>+K16+'15'!M16+L16</f>
        <v>0</v>
      </c>
    </row>
    <row r="17" spans="1:13" ht="13.5" thickBot="1">
      <c r="A17" s="777"/>
      <c r="B17" s="216"/>
      <c r="C17" s="217"/>
      <c r="D17" s="218"/>
      <c r="E17" s="226"/>
      <c r="F17" s="229">
        <f>27-8</f>
        <v>19</v>
      </c>
      <c r="G17" s="559" t="s">
        <v>12</v>
      </c>
      <c r="H17" s="234" t="s">
        <v>409</v>
      </c>
      <c r="I17" s="775"/>
      <c r="J17" s="215">
        <f>+'15'!J17</f>
        <v>0</v>
      </c>
      <c r="K17" s="230"/>
      <c r="L17" s="230"/>
      <c r="M17" s="118">
        <f>+K17+'15'!M17+L17</f>
        <v>0</v>
      </c>
    </row>
    <row r="18" spans="1:13" ht="26.25" thickBot="1">
      <c r="A18" s="777"/>
      <c r="B18" s="216"/>
      <c r="C18" s="217"/>
      <c r="D18" s="218"/>
      <c r="E18" s="226"/>
      <c r="F18" s="229"/>
      <c r="G18" s="230"/>
      <c r="H18" s="560" t="s">
        <v>574</v>
      </c>
      <c r="I18" s="775"/>
      <c r="J18" s="215">
        <f>+'15'!J18</f>
        <v>0</v>
      </c>
      <c r="K18" s="240"/>
      <c r="L18" s="240"/>
      <c r="M18" s="118">
        <f>+K18+'15'!M18+L18</f>
        <v>0</v>
      </c>
    </row>
    <row r="19" spans="1:13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+'15'!J19</f>
        <v>0</v>
      </c>
      <c r="K19" s="240"/>
      <c r="L19" s="240"/>
      <c r="M19" s="118">
        <f>+K19+'15'!M19+L19</f>
        <v>0</v>
      </c>
    </row>
    <row r="20" spans="1:1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+'15'!J20</f>
        <v>0</v>
      </c>
      <c r="K20" s="241"/>
      <c r="L20" s="241"/>
      <c r="M20" s="118">
        <f>+K20+'15'!M20+L20</f>
        <v>0</v>
      </c>
    </row>
    <row r="21" spans="1:1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+'15'!J21</f>
        <v>0</v>
      </c>
      <c r="K21" s="240"/>
      <c r="L21" s="240"/>
      <c r="M21" s="118">
        <f>+K21+'15'!M21+L21</f>
        <v>0</v>
      </c>
    </row>
    <row r="22" spans="1:1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+'15'!J22</f>
        <v>0</v>
      </c>
      <c r="K22" s="240"/>
      <c r="L22" s="240"/>
      <c r="M22" s="118">
        <f>+K22+'15'!M22+L22</f>
        <v>0</v>
      </c>
    </row>
    <row r="23" spans="1:13" ht="13.5" thickBot="1">
      <c r="A23" s="778"/>
      <c r="B23" s="169" t="s">
        <v>2</v>
      </c>
      <c r="C23" s="101">
        <f>SUM(C16:C22)</f>
        <v>13571</v>
      </c>
      <c r="D23" s="112">
        <f>SUM(D16:D22)</f>
        <v>0</v>
      </c>
      <c r="E23" s="113">
        <f>SUM(E18:E22)</f>
        <v>0</v>
      </c>
      <c r="F23" s="117">
        <f>SUM(F15:F22)</f>
        <v>27</v>
      </c>
      <c r="G23" s="160"/>
      <c r="H23" s="167"/>
      <c r="I23" s="170"/>
      <c r="J23" s="215">
        <f>+'15'!J23</f>
        <v>0</v>
      </c>
      <c r="K23" s="240"/>
      <c r="L23" s="240"/>
      <c r="M23" s="118">
        <f>+K23+'15'!M23+L23</f>
        <v>0</v>
      </c>
    </row>
    <row r="24" spans="1:13" ht="13.5" customHeight="1" thickBot="1">
      <c r="A24" s="771" t="s">
        <v>422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16</v>
      </c>
      <c r="G24" s="557" t="s">
        <v>12</v>
      </c>
      <c r="H24" s="558" t="s">
        <v>470</v>
      </c>
      <c r="I24" s="774" t="s">
        <v>406</v>
      </c>
      <c r="J24" s="215">
        <f>+'15'!J24</f>
        <v>0</v>
      </c>
      <c r="K24" s="240"/>
      <c r="L24" s="240"/>
      <c r="M24" s="118">
        <f>+K24+'15'!M24+L24</f>
        <v>0</v>
      </c>
    </row>
    <row r="25" spans="1:13" ht="13.5" thickBot="1">
      <c r="A25" s="777"/>
      <c r="B25" s="216" t="s">
        <v>425</v>
      </c>
      <c r="C25" s="227">
        <v>14226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+'15'!J25</f>
        <v>0</v>
      </c>
      <c r="K25" s="240"/>
      <c r="L25" s="240"/>
      <c r="M25" s="118">
        <f>+K25+'15'!M25+L25</f>
        <v>0</v>
      </c>
    </row>
    <row r="26" spans="1:13" ht="13.5" thickBot="1">
      <c r="A26" s="777"/>
      <c r="B26" s="216"/>
      <c r="C26" s="227"/>
      <c r="D26" s="218"/>
      <c r="E26" s="228"/>
      <c r="F26" s="229">
        <f>30-16</f>
        <v>14</v>
      </c>
      <c r="G26" s="559" t="s">
        <v>12</v>
      </c>
      <c r="H26" s="234" t="s">
        <v>409</v>
      </c>
      <c r="I26" s="775"/>
      <c r="J26" s="215">
        <f>+'15'!J26</f>
        <v>0</v>
      </c>
      <c r="K26" s="240"/>
      <c r="L26" s="240"/>
      <c r="M26" s="118">
        <f>+K26+'15'!M26+L26</f>
        <v>0</v>
      </c>
    </row>
    <row r="27" spans="1:13" ht="26.25" thickBot="1">
      <c r="A27" s="777"/>
      <c r="B27" s="216"/>
      <c r="C27" s="217"/>
      <c r="D27" s="218"/>
      <c r="E27" s="226"/>
      <c r="F27" s="229"/>
      <c r="G27" s="230"/>
      <c r="H27" s="560" t="s">
        <v>574</v>
      </c>
      <c r="I27" s="775"/>
      <c r="J27" s="215">
        <f>+'15'!J27</f>
        <v>0</v>
      </c>
      <c r="K27" s="240"/>
      <c r="L27" s="240"/>
      <c r="M27" s="118">
        <f>+K27+'15'!M27+L27</f>
        <v>0</v>
      </c>
    </row>
    <row r="28" spans="1:13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+'15'!J28</f>
        <v>0</v>
      </c>
      <c r="K28" s="240"/>
      <c r="L28" s="240"/>
      <c r="M28" s="118">
        <f>+K28+'15'!M28+L28</f>
        <v>0</v>
      </c>
    </row>
    <row r="29" spans="1:13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+'15'!J29</f>
        <v>0</v>
      </c>
      <c r="K29" s="240"/>
      <c r="L29" s="240"/>
      <c r="M29" s="118">
        <f>+K29+'15'!M29+L29</f>
        <v>0</v>
      </c>
    </row>
    <row r="30" spans="1:13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+'15'!J30</f>
        <v>0</v>
      </c>
      <c r="K30" s="240"/>
      <c r="L30" s="240"/>
      <c r="M30" s="118">
        <f>+K30+'15'!M30+L30</f>
        <v>0</v>
      </c>
    </row>
    <row r="31" spans="1:13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+'15'!J31</f>
        <v>0</v>
      </c>
      <c r="K31" s="240"/>
      <c r="L31" s="240"/>
      <c r="M31" s="118">
        <f>+K31+'15'!M31+L31</f>
        <v>0</v>
      </c>
    </row>
    <row r="32" spans="1:13" ht="13.5" thickBot="1">
      <c r="A32" s="778"/>
      <c r="B32" s="166" t="s">
        <v>2</v>
      </c>
      <c r="C32" s="100">
        <f>SUM(C25:C31)</f>
        <v>14226</v>
      </c>
      <c r="D32" s="101">
        <f>SUM(D25:D31)</f>
        <v>0</v>
      </c>
      <c r="E32" s="102">
        <f>SUM(E25:E31)</f>
        <v>0</v>
      </c>
      <c r="F32" s="103">
        <f>SUM(F24:F31)</f>
        <v>30</v>
      </c>
      <c r="G32" s="172"/>
      <c r="H32" s="173"/>
      <c r="I32" s="170"/>
      <c r="J32" s="215">
        <f>+'15'!J32</f>
        <v>0</v>
      </c>
      <c r="K32" s="242"/>
      <c r="L32" s="244"/>
      <c r="M32" s="118">
        <f>+K32+'15'!M32+L32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42909</v>
      </c>
      <c r="D34" s="108">
        <f>D14+D23+D32</f>
        <v>0</v>
      </c>
      <c r="E34" s="108">
        <f>E14+E23+E32</f>
        <v>0</v>
      </c>
      <c r="F34" s="109">
        <f>F14+F23+F32</f>
        <v>76</v>
      </c>
      <c r="H34" s="179"/>
      <c r="I34" s="179"/>
      <c r="J34" s="124" t="s">
        <v>28</v>
      </c>
      <c r="K34" s="125">
        <f>SUM(K7:K32)</f>
        <v>42909</v>
      </c>
      <c r="L34" s="213">
        <f>SUM(L7:L32)</f>
        <v>0</v>
      </c>
      <c r="M34" s="121">
        <f>SUM(M7:M32)</f>
        <v>625870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48.579410879999998</v>
      </c>
      <c r="J37" s="126">
        <f>+I37+'15'!J37</f>
        <v>709.1041497554927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76</v>
      </c>
      <c r="D38" s="119">
        <f>+C38+'15'!D38</f>
        <v>1235</v>
      </c>
      <c r="E38" s="144">
        <f t="shared" ref="E38:E51" si="1">D38/60</f>
        <v>20.583333333333332</v>
      </c>
      <c r="F38" s="323">
        <v>1230</v>
      </c>
      <c r="G38" s="323">
        <v>947.09999999999991</v>
      </c>
      <c r="H38" s="188" t="s">
        <v>64</v>
      </c>
      <c r="I38" s="246">
        <f>15.112+14.35+14.032</f>
        <v>43.494</v>
      </c>
      <c r="J38" s="128">
        <f>+I38+'15'!J38</f>
        <v>645.31100000000004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+C39+'15'!D39</f>
        <v>0</v>
      </c>
      <c r="E39" s="144">
        <f t="shared" si="1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44.319009359718294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+C40+'15'!D40</f>
        <v>0</v>
      </c>
      <c r="E40" s="144">
        <f t="shared" si="1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42.908999999999999</v>
      </c>
      <c r="J40" s="132">
        <f>+I40+'15'!J40</f>
        <v>625.87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+C41+'15'!D41</f>
        <v>0</v>
      </c>
      <c r="E41" s="144">
        <f t="shared" si="1"/>
        <v>0</v>
      </c>
      <c r="F41" s="323"/>
      <c r="G41" s="323"/>
      <c r="H41" s="188" t="s">
        <v>69</v>
      </c>
      <c r="I41" s="143"/>
      <c r="J41" s="130">
        <f>J40/G4</f>
        <v>39.116875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+C42+'15'!D42</f>
        <v>0</v>
      </c>
      <c r="E42" s="144">
        <f t="shared" si="1"/>
        <v>0</v>
      </c>
      <c r="F42" s="323">
        <f>+(F38*480+F40*480+F39*480)/1440</f>
        <v>1230</v>
      </c>
      <c r="G42" s="323">
        <f>+(G38*480+G40*480+G39*480)/1440</f>
        <v>947.0999999999998</v>
      </c>
      <c r="H42" s="188" t="s">
        <v>70</v>
      </c>
      <c r="I42" s="247" t="s">
        <v>406</v>
      </c>
      <c r="J42" s="133"/>
      <c r="K42" s="131" t="s">
        <v>71</v>
      </c>
    </row>
    <row r="43" spans="1:13" ht="17.45" customHeight="1">
      <c r="A43" s="765" t="s">
        <v>220</v>
      </c>
      <c r="B43" s="766"/>
      <c r="C43" s="165">
        <f>SUMIF($G$7:$G$31,"Change Grade",$F$7:$F$31)</f>
        <v>0</v>
      </c>
      <c r="D43" s="119">
        <f>+C43+'15'!D43</f>
        <v>0</v>
      </c>
      <c r="E43" s="144">
        <f t="shared" si="1"/>
        <v>0</v>
      </c>
      <c r="F43" s="323"/>
      <c r="G43" s="324"/>
      <c r="H43" s="189" t="s">
        <v>73</v>
      </c>
      <c r="I43" s="119">
        <f>+Report1!Z24</f>
        <v>60.2</v>
      </c>
      <c r="J43" s="134">
        <f>+I43+'15'!J43</f>
        <v>961.3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+C44+'15'!D44</f>
        <v>0</v>
      </c>
      <c r="E44" s="144">
        <f t="shared" si="1"/>
        <v>0</v>
      </c>
      <c r="F44" s="323"/>
      <c r="G44" s="324"/>
      <c r="H44" s="189" t="s">
        <v>74</v>
      </c>
      <c r="I44" s="119">
        <f>I43/I38</f>
        <v>1.3840989561778636</v>
      </c>
      <c r="J44" s="135">
        <f>J43/J38</f>
        <v>1.4896693222337756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+C45+'15'!D45</f>
        <v>0</v>
      </c>
      <c r="E45" s="144">
        <f t="shared" si="1"/>
        <v>0</v>
      </c>
      <c r="F45" s="323"/>
      <c r="G45" s="326"/>
      <c r="H45" s="189" t="s">
        <v>75</v>
      </c>
      <c r="I45" s="119">
        <f>I43/I40</f>
        <v>1.4029690740870215</v>
      </c>
      <c r="J45" s="135">
        <f>J43/J40</f>
        <v>1.5359419687794589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+C46+'15'!D46</f>
        <v>0</v>
      </c>
      <c r="E46" s="144">
        <f t="shared" si="1"/>
        <v>0</v>
      </c>
      <c r="F46" s="323"/>
      <c r="G46" s="324"/>
      <c r="H46" s="189" t="s">
        <v>77</v>
      </c>
      <c r="I46" s="141">
        <f>+SUMIF(Listrik!P23,"&gt;0")</f>
        <v>37673.259999998547</v>
      </c>
      <c r="J46" s="136">
        <f>+I46+'15'!J46</f>
        <v>572050.77999999898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+C47+'15'!D47</f>
        <v>0</v>
      </c>
      <c r="E47" s="144">
        <f t="shared" si="1"/>
        <v>0</v>
      </c>
      <c r="F47" s="323"/>
      <c r="G47" s="324"/>
      <c r="H47" s="189" t="s">
        <v>80</v>
      </c>
      <c r="I47" s="119">
        <f>I46/I38</f>
        <v>866.17142594377492</v>
      </c>
      <c r="J47" s="136">
        <f>J46/J38</f>
        <v>886.47300293966623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+C48+'15'!D48</f>
        <v>0</v>
      </c>
      <c r="E48" s="144">
        <f t="shared" si="1"/>
        <v>0</v>
      </c>
      <c r="F48" s="323"/>
      <c r="G48" s="324"/>
      <c r="H48" s="189" t="s">
        <v>81</v>
      </c>
      <c r="I48" s="119">
        <f>I46/I40</f>
        <v>877.98037707703622</v>
      </c>
      <c r="J48" s="136">
        <f>J46/J40</f>
        <v>914.00894754501564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+C49+'15'!D49</f>
        <v>301</v>
      </c>
      <c r="E49" s="144">
        <f t="shared" si="1"/>
        <v>5.0166666666666666</v>
      </c>
      <c r="F49" s="186"/>
      <c r="H49" s="189" t="s">
        <v>269</v>
      </c>
      <c r="I49" s="119">
        <f>+Report1!T24</f>
        <v>4221.3948490847733</v>
      </c>
      <c r="J49" s="136">
        <f>+I49+'15'!J49</f>
        <v>64404.486918952709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+C50+'15'!D50</f>
        <v>0</v>
      </c>
      <c r="E50" s="144">
        <f t="shared" si="1"/>
        <v>0</v>
      </c>
      <c r="F50" s="186"/>
      <c r="H50" s="189" t="s">
        <v>83</v>
      </c>
      <c r="I50" s="141">
        <f>I49/I38</f>
        <v>97.056946914166858</v>
      </c>
      <c r="J50" s="134">
        <f>J49/J38</f>
        <v>99.803795253688079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+C51+'15'!D51</f>
        <v>1000</v>
      </c>
      <c r="E51" s="144">
        <f t="shared" si="1"/>
        <v>16.666666666666668</v>
      </c>
      <c r="F51" s="186"/>
      <c r="H51" s="191" t="s">
        <v>85</v>
      </c>
      <c r="I51" s="142">
        <f>I49/I40</f>
        <v>98.380173135817046</v>
      </c>
      <c r="J51" s="137">
        <f>J49/J40</f>
        <v>102.90393679031222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76</v>
      </c>
      <c r="D52" s="145">
        <f>SUM(D38:D51)</f>
        <v>2536</v>
      </c>
      <c r="E52" s="146">
        <f>SUM(E38:E51)</f>
        <v>42.266666666666666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5.2777777777777778E-2</v>
      </c>
      <c r="D53" s="147">
        <f>D52/(24*60*G4)</f>
        <v>0.11006944444444444</v>
      </c>
      <c r="E53" s="148">
        <f>E52/(G4*24)</f>
        <v>0.11006944444444444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+D34+'15'!J56</f>
        <v>1008</v>
      </c>
      <c r="K56" s="202">
        <f>J56/(J40+J56/1000)/1000</f>
        <v>1.6079683766219263E-3</v>
      </c>
    </row>
    <row r="57" spans="1:11">
      <c r="A57" s="177"/>
      <c r="I57" s="200" t="s">
        <v>88</v>
      </c>
      <c r="J57" s="201">
        <f>+E34+'15'!J57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  <mergeCell ref="A42:B42"/>
    <mergeCell ref="A39:B39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39027777777777778" right="0.39027777777777778" top="0.39027777777777778" bottom="0.39027777777777778" header="0" footer="0"/>
  <pageSetup paperSize="9" scale="62" firstPageNumber="4294963191" orientation="landscape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topLeftCell="C7" zoomScale="80" zoomScaleNormal="75" zoomScaleSheetLayoutView="80" workbookViewId="0">
      <selection activeCell="H11" sqref="H1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25" ht="15.75">
      <c r="A1" s="149"/>
    </row>
    <row r="2" spans="1:25" ht="15.75">
      <c r="A2" s="149" t="s">
        <v>182</v>
      </c>
    </row>
    <row r="3" spans="1:25" ht="15">
      <c r="A3" s="151"/>
    </row>
    <row r="4" spans="1:25" ht="20.25">
      <c r="A4" s="152" t="s">
        <v>3</v>
      </c>
      <c r="B4" s="153"/>
      <c r="F4" s="154" t="s">
        <v>29</v>
      </c>
      <c r="G4" s="155">
        <v>15</v>
      </c>
      <c r="H4" s="155" t="str">
        <f>+'1'!H4</f>
        <v>.07.25</v>
      </c>
      <c r="J4" s="150">
        <f>631+516+526</f>
        <v>1673</v>
      </c>
    </row>
    <row r="5" spans="1:25" ht="13.5" thickBot="1">
      <c r="C5" s="156"/>
      <c r="D5" s="156"/>
    </row>
    <row r="6" spans="1:25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437</v>
      </c>
      <c r="O6" s="150">
        <v>1050</v>
      </c>
      <c r="P6" s="150">
        <f>+O6-O6*0.23</f>
        <v>808.5</v>
      </c>
      <c r="Q6" s="150">
        <f>112/2</f>
        <v>56</v>
      </c>
      <c r="R6" s="150">
        <f>+O6*Q6</f>
        <v>58800</v>
      </c>
      <c r="S6" s="150">
        <f>+P6*Q6</f>
        <v>45276</v>
      </c>
      <c r="T6" s="150" t="s">
        <v>437</v>
      </c>
      <c r="U6" s="150">
        <v>1050</v>
      </c>
      <c r="V6" s="150">
        <f>+U6-U6*0.23</f>
        <v>808.5</v>
      </c>
      <c r="W6" s="150">
        <f>112/2</f>
        <v>56</v>
      </c>
      <c r="X6" s="150">
        <f>+U6*W6</f>
        <v>58800</v>
      </c>
      <c r="Y6" s="150">
        <f>+V6*W6</f>
        <v>45276</v>
      </c>
    </row>
    <row r="7" spans="1:25" ht="13.5" customHeight="1" thickBot="1">
      <c r="A7" s="771" t="s">
        <v>445</v>
      </c>
      <c r="B7" s="216" t="s">
        <v>386</v>
      </c>
      <c r="C7" s="217">
        <v>4682</v>
      </c>
      <c r="D7" s="218"/>
      <c r="E7" s="219"/>
      <c r="F7" s="229">
        <v>8</v>
      </c>
      <c r="G7" s="557" t="s">
        <v>12</v>
      </c>
      <c r="H7" s="558" t="s">
        <v>470</v>
      </c>
      <c r="I7" s="774" t="s">
        <v>563</v>
      </c>
      <c r="J7" s="215" t="str">
        <f>+'14'!J7</f>
        <v>T 12,5 VP OW</v>
      </c>
      <c r="K7" s="239"/>
      <c r="L7" s="243"/>
      <c r="M7" s="118">
        <f>+K7+'14'!M7+L7</f>
        <v>21165</v>
      </c>
      <c r="O7" s="150">
        <v>1160</v>
      </c>
      <c r="P7" s="150">
        <f t="shared" ref="P7:P9" si="0">+O7-O7*0.23</f>
        <v>893.2</v>
      </c>
      <c r="Q7" s="150">
        <v>56</v>
      </c>
      <c r="R7" s="150">
        <f>+O7*Q7</f>
        <v>64960</v>
      </c>
      <c r="S7" s="150">
        <f>+P7*Q7</f>
        <v>50019.200000000004</v>
      </c>
      <c r="U7" s="150">
        <v>1160</v>
      </c>
      <c r="V7" s="150">
        <f t="shared" ref="V7" si="1">+U7-U7*0.23</f>
        <v>893.2</v>
      </c>
      <c r="W7" s="150">
        <v>56</v>
      </c>
      <c r="X7" s="150">
        <f>+U7*W7</f>
        <v>64960</v>
      </c>
      <c r="Y7" s="150">
        <f>+V7*W7</f>
        <v>50019.200000000004</v>
      </c>
    </row>
    <row r="8" spans="1:25" ht="13.5" thickBot="1">
      <c r="A8" s="772"/>
      <c r="B8" s="216" t="s">
        <v>425</v>
      </c>
      <c r="C8" s="217">
        <v>7534</v>
      </c>
      <c r="D8" s="218"/>
      <c r="E8" s="220"/>
      <c r="F8" s="232"/>
      <c r="G8" s="559" t="s">
        <v>12</v>
      </c>
      <c r="H8" s="231" t="s">
        <v>408</v>
      </c>
      <c r="I8" s="775"/>
      <c r="J8" s="215" t="str">
        <f>+'14'!J8</f>
        <v>F 13 VP OW</v>
      </c>
      <c r="K8" s="240">
        <f>+C8+C16+C25</f>
        <v>35544</v>
      </c>
      <c r="L8" s="240"/>
      <c r="M8" s="118">
        <f>+K8+'14'!M8+L8</f>
        <v>156932</v>
      </c>
      <c r="N8" s="150" t="s">
        <v>404</v>
      </c>
      <c r="O8" s="150">
        <f>1160-50</f>
        <v>1110</v>
      </c>
      <c r="P8" s="150">
        <f t="shared" si="0"/>
        <v>854.7</v>
      </c>
      <c r="Q8" s="150">
        <f>60-52+54</f>
        <v>62</v>
      </c>
      <c r="R8" s="150">
        <f>+O8*Q8</f>
        <v>68820</v>
      </c>
      <c r="S8" s="150">
        <f>+P8*Q8</f>
        <v>52991.4</v>
      </c>
      <c r="X8" s="150">
        <f>+U8*W8</f>
        <v>0</v>
      </c>
      <c r="Y8" s="150">
        <f>+V8*W8</f>
        <v>0</v>
      </c>
    </row>
    <row r="9" spans="1:25" ht="13.5" thickBot="1">
      <c r="A9" s="772"/>
      <c r="B9" s="216"/>
      <c r="C9" s="217"/>
      <c r="D9" s="218"/>
      <c r="E9" s="221"/>
      <c r="F9" s="229">
        <f>24-8</f>
        <v>16</v>
      </c>
      <c r="G9" s="559" t="s">
        <v>12</v>
      </c>
      <c r="H9" s="234" t="s">
        <v>453</v>
      </c>
      <c r="I9" s="775"/>
      <c r="J9" s="215" t="str">
        <f>+'14'!J9</f>
        <v>F 12 VP OW</v>
      </c>
      <c r="K9" s="240">
        <f>+C7</f>
        <v>4682</v>
      </c>
      <c r="L9" s="240"/>
      <c r="M9" s="118">
        <f>+K9+'14'!M9+L9</f>
        <v>100984</v>
      </c>
      <c r="O9" s="150">
        <f>1110-100</f>
        <v>1010</v>
      </c>
      <c r="P9" s="150">
        <f t="shared" si="0"/>
        <v>777.7</v>
      </c>
      <c r="Q9" s="150">
        <f>60-54+300</f>
        <v>306</v>
      </c>
      <c r="R9" s="150">
        <f>+O9*Q9</f>
        <v>309060</v>
      </c>
      <c r="S9" s="150">
        <f>+P9*Q9</f>
        <v>237976.2</v>
      </c>
      <c r="X9" s="150">
        <f>+U9*W9</f>
        <v>0</v>
      </c>
      <c r="Y9" s="150">
        <f>+V9*W9</f>
        <v>0</v>
      </c>
    </row>
    <row r="10" spans="1:25" ht="26.25" thickBot="1">
      <c r="A10" s="772"/>
      <c r="B10" s="216"/>
      <c r="C10" s="217"/>
      <c r="D10" s="218"/>
      <c r="E10" s="220"/>
      <c r="F10" s="229"/>
      <c r="G10" s="230"/>
      <c r="H10" s="560" t="s">
        <v>556</v>
      </c>
      <c r="I10" s="775"/>
      <c r="J10" s="215" t="str">
        <f>+'14'!J10</f>
        <v>F 12,5 VP OW</v>
      </c>
      <c r="K10" s="240"/>
      <c r="L10" s="240"/>
      <c r="M10" s="118">
        <f>+K10+'14'!M10+L10</f>
        <v>19792</v>
      </c>
    </row>
    <row r="11" spans="1:25" ht="114" customHeight="1" thickBot="1">
      <c r="A11" s="772"/>
      <c r="B11" s="216"/>
      <c r="C11" s="217"/>
      <c r="D11" s="218"/>
      <c r="E11" s="220"/>
      <c r="F11" s="229"/>
      <c r="G11" s="233"/>
      <c r="H11" s="234" t="s">
        <v>561</v>
      </c>
      <c r="I11" s="775"/>
      <c r="J11" s="215" t="str">
        <f>+'14'!J11</f>
        <v>T 13 VP OW</v>
      </c>
      <c r="K11" s="240"/>
      <c r="L11" s="240"/>
      <c r="M11" s="118">
        <f>+K11+'14'!M11+L11</f>
        <v>278149</v>
      </c>
      <c r="Q11" s="150">
        <f>SUM(Q6:Q9)</f>
        <v>480</v>
      </c>
      <c r="R11" s="150">
        <f>SUM(R6:R9)</f>
        <v>501640</v>
      </c>
      <c r="S11" s="150">
        <f>SUM(S6:S9)</f>
        <v>386262.80000000005</v>
      </c>
      <c r="W11" s="150">
        <f>SUM(W6:W9)</f>
        <v>112</v>
      </c>
      <c r="X11" s="150">
        <f>SUM(X6:X9)</f>
        <v>123760</v>
      </c>
      <c r="Y11" s="150">
        <f>SUM(Y6:Y9)</f>
        <v>95295.200000000012</v>
      </c>
    </row>
    <row r="12" spans="1:25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+'14'!J12</f>
        <v>F 11,5 VP OW</v>
      </c>
      <c r="K12" s="240"/>
      <c r="L12" s="240"/>
      <c r="M12" s="118">
        <f>+K12+'14'!M12+L12</f>
        <v>5939</v>
      </c>
      <c r="O12" s="150" t="s">
        <v>402</v>
      </c>
      <c r="R12" s="150">
        <f>+R11/Q11</f>
        <v>1045.0833333333333</v>
      </c>
      <c r="S12" s="150">
        <f>+S11/Q11</f>
        <v>804.71416666666676</v>
      </c>
      <c r="U12" s="150" t="s">
        <v>402</v>
      </c>
      <c r="X12" s="150">
        <f>+X11/W11</f>
        <v>1105</v>
      </c>
      <c r="Y12" s="150">
        <f>+Y11/W11</f>
        <v>850.85000000000014</v>
      </c>
    </row>
    <row r="13" spans="1:25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+'14'!J13</f>
        <v>0</v>
      </c>
      <c r="K13" s="240"/>
      <c r="L13" s="240"/>
      <c r="M13" s="118">
        <f>+K13+'14'!M13+L13</f>
        <v>0</v>
      </c>
      <c r="Q13" s="150">
        <f>+Q11+Q12</f>
        <v>480</v>
      </c>
      <c r="W13" s="150">
        <f>+W11+W12</f>
        <v>112</v>
      </c>
    </row>
    <row r="14" spans="1:25" ht="13.5" thickBot="1">
      <c r="A14" s="773"/>
      <c r="B14" s="166" t="s">
        <v>2</v>
      </c>
      <c r="C14" s="100">
        <f>SUM(C7:C13)</f>
        <v>12216</v>
      </c>
      <c r="D14" s="112">
        <f>SUM(D7:D13)</f>
        <v>0</v>
      </c>
      <c r="E14" s="113">
        <f>SUM(E5:E13)</f>
        <v>0</v>
      </c>
      <c r="F14" s="117">
        <f>SUM(F7:F13)</f>
        <v>24</v>
      </c>
      <c r="G14" s="160"/>
      <c r="H14" s="167"/>
      <c r="I14" s="168"/>
      <c r="J14" s="215">
        <f>+'14'!J14</f>
        <v>0</v>
      </c>
      <c r="K14" s="240"/>
      <c r="L14" s="240"/>
      <c r="M14" s="118">
        <f>+K14+'14'!M14+L14</f>
        <v>0</v>
      </c>
    </row>
    <row r="15" spans="1:25" ht="13.5" customHeight="1" thickBot="1">
      <c r="A15" s="771" t="s">
        <v>571</v>
      </c>
      <c r="B15" s="166"/>
      <c r="C15" s="114">
        <f>C14/($C$23+$D$23+$E$23)</f>
        <v>0.9949503176413097</v>
      </c>
      <c r="D15" s="115">
        <f>D14/($C$23+$D$23+$E$23)</f>
        <v>0</v>
      </c>
      <c r="E15" s="116">
        <f>E14/($C$23+$D$23+$E$23)</f>
        <v>0</v>
      </c>
      <c r="F15" s="229">
        <v>12</v>
      </c>
      <c r="G15" s="557" t="s">
        <v>12</v>
      </c>
      <c r="H15" s="558" t="s">
        <v>470</v>
      </c>
      <c r="I15" s="774" t="s">
        <v>564</v>
      </c>
      <c r="J15" s="215">
        <f>+'14'!J15</f>
        <v>0</v>
      </c>
      <c r="K15" s="240"/>
      <c r="L15" s="240"/>
      <c r="M15" s="118">
        <f>+K15+'14'!M15+L15</f>
        <v>0</v>
      </c>
      <c r="N15" s="150" t="s">
        <v>562</v>
      </c>
      <c r="O15" s="150">
        <v>1160</v>
      </c>
      <c r="P15" s="150">
        <f>+O15-O15*0.23</f>
        <v>893.2</v>
      </c>
      <c r="Q15" s="150">
        <f>60+54</f>
        <v>114</v>
      </c>
      <c r="R15" s="150">
        <f>+O15*Q15</f>
        <v>132240</v>
      </c>
      <c r="S15" s="150">
        <f>+P15*Q15</f>
        <v>101824.8</v>
      </c>
    </row>
    <row r="16" spans="1:25" ht="13.5" thickBot="1">
      <c r="A16" s="777"/>
      <c r="B16" s="216" t="s">
        <v>425</v>
      </c>
      <c r="C16" s="223">
        <v>12278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+'14'!J16</f>
        <v>0</v>
      </c>
      <c r="K16" s="230"/>
      <c r="L16" s="230"/>
      <c r="M16" s="118">
        <f>+K16+'14'!M16+L16</f>
        <v>0</v>
      </c>
      <c r="O16" s="150">
        <v>1200</v>
      </c>
      <c r="P16" s="150">
        <f t="shared" ref="P16:P18" si="2">+O16-O16*0.23</f>
        <v>924</v>
      </c>
      <c r="Q16" s="150">
        <f>480-Q15</f>
        <v>366</v>
      </c>
      <c r="R16" s="150">
        <f>+O16*Q16</f>
        <v>439200</v>
      </c>
      <c r="S16" s="150">
        <f>+P16*Q16</f>
        <v>338184</v>
      </c>
    </row>
    <row r="17" spans="1:25" ht="13.5" thickBot="1">
      <c r="A17" s="777"/>
      <c r="B17" s="216"/>
      <c r="C17" s="217"/>
      <c r="D17" s="218"/>
      <c r="E17" s="226"/>
      <c r="F17" s="229">
        <f>26-12</f>
        <v>14</v>
      </c>
      <c r="G17" s="559" t="s">
        <v>12</v>
      </c>
      <c r="H17" s="234" t="s">
        <v>442</v>
      </c>
      <c r="I17" s="775"/>
      <c r="J17" s="215">
        <f>+'14'!J17</f>
        <v>0</v>
      </c>
      <c r="K17" s="230"/>
      <c r="L17" s="230"/>
      <c r="M17" s="118">
        <f>+K17+'14'!M17+L17</f>
        <v>0</v>
      </c>
      <c r="P17" s="150">
        <f t="shared" si="2"/>
        <v>0</v>
      </c>
      <c r="R17" s="150">
        <f>+O17*Q17</f>
        <v>0</v>
      </c>
      <c r="S17" s="150">
        <f>+P17*Q17</f>
        <v>0</v>
      </c>
      <c r="T17" s="150" t="s">
        <v>404</v>
      </c>
      <c r="U17" s="150">
        <v>1110</v>
      </c>
      <c r="V17" s="150">
        <v>854.7</v>
      </c>
      <c r="W17" s="150">
        <v>62</v>
      </c>
      <c r="X17" s="150">
        <f>+U17*W17</f>
        <v>68820</v>
      </c>
      <c r="Y17" s="150">
        <f>+V17*W17</f>
        <v>52991.4</v>
      </c>
    </row>
    <row r="18" spans="1:25" ht="51.75" thickBot="1">
      <c r="A18" s="777"/>
      <c r="B18" s="216"/>
      <c r="C18" s="217"/>
      <c r="D18" s="218"/>
      <c r="E18" s="226"/>
      <c r="F18" s="229"/>
      <c r="G18" s="230"/>
      <c r="H18" s="560" t="s">
        <v>557</v>
      </c>
      <c r="I18" s="775"/>
      <c r="J18" s="215">
        <f>+'14'!J18</f>
        <v>0</v>
      </c>
      <c r="K18" s="240"/>
      <c r="L18" s="240"/>
      <c r="M18" s="118">
        <f>+K18+'14'!M18+L18</f>
        <v>0</v>
      </c>
      <c r="P18" s="150">
        <f t="shared" si="2"/>
        <v>0</v>
      </c>
      <c r="R18" s="150">
        <f>+O18*Q18</f>
        <v>0</v>
      </c>
      <c r="S18" s="150">
        <f>+P18*Q18</f>
        <v>0</v>
      </c>
      <c r="U18" s="150">
        <v>1010</v>
      </c>
      <c r="V18" s="150">
        <v>777.7</v>
      </c>
      <c r="W18" s="150">
        <v>306</v>
      </c>
      <c r="X18" s="150">
        <f>+U18*W18</f>
        <v>309060</v>
      </c>
      <c r="Y18" s="150">
        <f>+V18*W18</f>
        <v>237976.2</v>
      </c>
    </row>
    <row r="19" spans="1:25" ht="64.5" thickBot="1">
      <c r="A19" s="777"/>
      <c r="B19" s="216"/>
      <c r="C19" s="217"/>
      <c r="D19" s="218"/>
      <c r="E19" s="226"/>
      <c r="F19" s="236"/>
      <c r="G19" s="233"/>
      <c r="H19" s="234" t="s">
        <v>558</v>
      </c>
      <c r="I19" s="775"/>
      <c r="J19" s="215">
        <f>+'14'!J19</f>
        <v>0</v>
      </c>
      <c r="K19" s="240"/>
      <c r="L19" s="240"/>
      <c r="M19" s="118">
        <f>+K19+'14'!M19+L19</f>
        <v>0</v>
      </c>
      <c r="T19" s="150" t="s">
        <v>562</v>
      </c>
      <c r="U19" s="150">
        <v>1160</v>
      </c>
      <c r="V19" s="150">
        <v>893.2</v>
      </c>
      <c r="W19" s="150">
        <v>114</v>
      </c>
      <c r="X19" s="150">
        <f>+U19*W19</f>
        <v>132240</v>
      </c>
      <c r="Y19" s="150">
        <f>+V19*W19</f>
        <v>101824.8</v>
      </c>
    </row>
    <row r="20" spans="1:25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+'14'!J20</f>
        <v>0</v>
      </c>
      <c r="K20" s="241"/>
      <c r="L20" s="241"/>
      <c r="M20" s="118">
        <f>+K20+'14'!M20+L20</f>
        <v>0</v>
      </c>
      <c r="Q20" s="150">
        <f>SUM(Q15:Q18)</f>
        <v>480</v>
      </c>
      <c r="R20" s="150">
        <f>SUM(R15:R18)</f>
        <v>571440</v>
      </c>
      <c r="S20" s="150">
        <f>SUM(S15:S18)</f>
        <v>440008.8</v>
      </c>
      <c r="U20" s="150">
        <v>1200</v>
      </c>
      <c r="V20" s="150">
        <v>924</v>
      </c>
      <c r="W20" s="150">
        <v>366</v>
      </c>
      <c r="X20" s="150">
        <f>+U20*W20</f>
        <v>439200</v>
      </c>
      <c r="Y20" s="150">
        <f>+V20*W20</f>
        <v>338184</v>
      </c>
    </row>
    <row r="21" spans="1:25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+'14'!J21</f>
        <v>0</v>
      </c>
      <c r="K21" s="240"/>
      <c r="L21" s="240"/>
      <c r="M21" s="118">
        <f>+K21+'14'!M21+L21</f>
        <v>0</v>
      </c>
      <c r="O21" s="150" t="s">
        <v>402</v>
      </c>
      <c r="R21" s="150">
        <f>+R20/Q20</f>
        <v>1190.5</v>
      </c>
      <c r="S21" s="150">
        <f>+S20/Q20</f>
        <v>916.68499999999995</v>
      </c>
      <c r="T21" s="150" t="s">
        <v>562</v>
      </c>
      <c r="U21" s="150">
        <v>1200</v>
      </c>
      <c r="V21" s="150">
        <v>924</v>
      </c>
      <c r="W21" s="150">
        <v>240</v>
      </c>
      <c r="X21" s="150">
        <f t="shared" ref="X21:X22" si="3">+U21*W21</f>
        <v>288000</v>
      </c>
      <c r="Y21" s="150">
        <f t="shared" ref="Y21:Y22" si="4">+V21*W21</f>
        <v>221760</v>
      </c>
    </row>
    <row r="22" spans="1:25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+'14'!J22</f>
        <v>0</v>
      </c>
      <c r="K22" s="240"/>
      <c r="L22" s="240"/>
      <c r="M22" s="118">
        <f>+K22+'14'!M22+L22</f>
        <v>0</v>
      </c>
      <c r="Q22" s="150">
        <f>+Q20+Q21</f>
        <v>480</v>
      </c>
      <c r="U22" s="150">
        <v>1210</v>
      </c>
      <c r="V22" s="150">
        <v>931.7</v>
      </c>
      <c r="W22" s="150">
        <v>240</v>
      </c>
      <c r="X22" s="150">
        <f t="shared" si="3"/>
        <v>290400</v>
      </c>
      <c r="Y22" s="150">
        <f t="shared" si="4"/>
        <v>223608</v>
      </c>
    </row>
    <row r="23" spans="1:25" ht="13.5" thickBot="1">
      <c r="A23" s="778"/>
      <c r="B23" s="169" t="s">
        <v>2</v>
      </c>
      <c r="C23" s="101">
        <f>SUM(C16:C22)</f>
        <v>12278</v>
      </c>
      <c r="D23" s="112">
        <f>SUM(D16:D22)</f>
        <v>0</v>
      </c>
      <c r="E23" s="113">
        <f>SUM(E18:E22)</f>
        <v>0</v>
      </c>
      <c r="F23" s="117">
        <f>SUM(F15:F22)</f>
        <v>26</v>
      </c>
      <c r="G23" s="160"/>
      <c r="H23" s="167"/>
      <c r="I23" s="170"/>
      <c r="J23" s="215">
        <f>+'14'!J23</f>
        <v>0</v>
      </c>
      <c r="K23" s="240"/>
      <c r="L23" s="240"/>
      <c r="M23" s="118">
        <f>+K23+'14'!M23+L23</f>
        <v>0</v>
      </c>
    </row>
    <row r="24" spans="1:25" ht="13.5" customHeight="1" thickBot="1">
      <c r="A24" s="771" t="s">
        <v>422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12</v>
      </c>
      <c r="G24" s="557" t="s">
        <v>12</v>
      </c>
      <c r="H24" s="558" t="s">
        <v>470</v>
      </c>
      <c r="I24" s="774" t="s">
        <v>565</v>
      </c>
      <c r="J24" s="215">
        <f>+'14'!J24</f>
        <v>0</v>
      </c>
      <c r="K24" s="240"/>
      <c r="L24" s="240"/>
      <c r="M24" s="118">
        <f>+K24+'14'!M24+L24</f>
        <v>0</v>
      </c>
      <c r="N24" s="150" t="s">
        <v>562</v>
      </c>
      <c r="O24" s="150">
        <v>1200</v>
      </c>
      <c r="P24" s="150">
        <f>+O24-O24*0.23</f>
        <v>924</v>
      </c>
      <c r="Q24" s="150">
        <v>240</v>
      </c>
      <c r="R24" s="150">
        <f>+O24*Q24</f>
        <v>288000</v>
      </c>
      <c r="S24" s="150">
        <f>+P24*Q24</f>
        <v>221760</v>
      </c>
    </row>
    <row r="25" spans="1:25" ht="13.5" thickBot="1">
      <c r="A25" s="777"/>
      <c r="B25" s="216" t="s">
        <v>425</v>
      </c>
      <c r="C25" s="227">
        <v>15732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+'14'!J25</f>
        <v>0</v>
      </c>
      <c r="K25" s="240"/>
      <c r="L25" s="240"/>
      <c r="M25" s="118">
        <f>+K25+'14'!M25+L25</f>
        <v>0</v>
      </c>
      <c r="O25" s="150">
        <v>1210</v>
      </c>
      <c r="P25" s="150">
        <f t="shared" ref="P25:P27" si="5">+O25-O25*0.23</f>
        <v>931.7</v>
      </c>
      <c r="Q25" s="150">
        <v>240</v>
      </c>
      <c r="R25" s="150">
        <f>+O25*Q25</f>
        <v>290400</v>
      </c>
      <c r="S25" s="150">
        <f>+P25*Q25</f>
        <v>223608</v>
      </c>
    </row>
    <row r="26" spans="1:25" ht="13.5" thickBot="1">
      <c r="A26" s="777"/>
      <c r="B26" s="216"/>
      <c r="C26" s="227"/>
      <c r="D26" s="218"/>
      <c r="E26" s="228"/>
      <c r="F26" s="229">
        <f>27-12</f>
        <v>15</v>
      </c>
      <c r="G26" s="559" t="s">
        <v>12</v>
      </c>
      <c r="H26" s="234" t="s">
        <v>409</v>
      </c>
      <c r="I26" s="775"/>
      <c r="J26" s="215">
        <f>+'14'!J26</f>
        <v>0</v>
      </c>
      <c r="K26" s="240"/>
      <c r="L26" s="240"/>
      <c r="M26" s="118">
        <f>+K26+'14'!M26+L26</f>
        <v>0</v>
      </c>
      <c r="P26" s="150">
        <f t="shared" si="5"/>
        <v>0</v>
      </c>
      <c r="R26" s="150">
        <f>+O26*Q26</f>
        <v>0</v>
      </c>
      <c r="S26" s="150">
        <f>+P26*Q26</f>
        <v>0</v>
      </c>
      <c r="W26" s="150">
        <f>SUM(W17:W25)</f>
        <v>1328</v>
      </c>
      <c r="X26" s="150">
        <f>SUM(X17:X25)</f>
        <v>1527720</v>
      </c>
      <c r="Y26" s="150">
        <f>SUM(Y17:Y25)</f>
        <v>1176344.3999999999</v>
      </c>
    </row>
    <row r="27" spans="1:25" ht="51.75" thickBot="1">
      <c r="A27" s="777"/>
      <c r="B27" s="216"/>
      <c r="C27" s="217"/>
      <c r="D27" s="218"/>
      <c r="E27" s="226"/>
      <c r="F27" s="229"/>
      <c r="G27" s="230"/>
      <c r="H27" s="560" t="s">
        <v>559</v>
      </c>
      <c r="I27" s="775"/>
      <c r="J27" s="215">
        <f>+'14'!J27</f>
        <v>0</v>
      </c>
      <c r="K27" s="240"/>
      <c r="L27" s="240"/>
      <c r="M27" s="118">
        <f>+K27+'14'!M27+L27</f>
        <v>0</v>
      </c>
      <c r="P27" s="150">
        <f t="shared" si="5"/>
        <v>0</v>
      </c>
      <c r="R27" s="150">
        <f>+O27*Q27</f>
        <v>0</v>
      </c>
      <c r="S27" s="150">
        <f>+P27*Q27</f>
        <v>0</v>
      </c>
      <c r="X27" s="150">
        <f>+X26/W26</f>
        <v>1150.3915662650602</v>
      </c>
      <c r="Y27" s="150">
        <f>+Y26/W26</f>
        <v>885.80150602409628</v>
      </c>
    </row>
    <row r="28" spans="1:25" ht="26.25" thickBot="1">
      <c r="A28" s="777"/>
      <c r="B28" s="216"/>
      <c r="C28" s="217"/>
      <c r="D28" s="218"/>
      <c r="E28" s="226"/>
      <c r="F28" s="232"/>
      <c r="G28" s="233"/>
      <c r="H28" s="234" t="s">
        <v>560</v>
      </c>
      <c r="I28" s="775"/>
      <c r="J28" s="215">
        <f>+'14'!J28</f>
        <v>0</v>
      </c>
      <c r="K28" s="240"/>
      <c r="L28" s="240"/>
      <c r="M28" s="118">
        <f>+K28+'14'!M28+L28</f>
        <v>0</v>
      </c>
      <c r="W28" s="150">
        <f>+W26+W27</f>
        <v>1328</v>
      </c>
    </row>
    <row r="29" spans="1:25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+'14'!J29</f>
        <v>0</v>
      </c>
      <c r="K29" s="240"/>
      <c r="L29" s="240"/>
      <c r="M29" s="118">
        <f>+K29+'14'!M29+L29</f>
        <v>0</v>
      </c>
      <c r="Q29" s="150">
        <f>SUM(Q24:Q27)</f>
        <v>480</v>
      </c>
      <c r="R29" s="150">
        <f>SUM(R24:R27)</f>
        <v>578400</v>
      </c>
      <c r="S29" s="150">
        <f>SUM(S24:S27)</f>
        <v>445368</v>
      </c>
    </row>
    <row r="30" spans="1:25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+'14'!J30</f>
        <v>0</v>
      </c>
      <c r="K30" s="240"/>
      <c r="L30" s="240"/>
      <c r="M30" s="118">
        <f>+K30+'14'!M30+L30</f>
        <v>0</v>
      </c>
      <c r="O30" s="150" t="s">
        <v>402</v>
      </c>
      <c r="R30" s="150">
        <f>+R29/Q29</f>
        <v>1205</v>
      </c>
      <c r="S30" s="150">
        <f>+S29/Q29</f>
        <v>927.85</v>
      </c>
    </row>
    <row r="31" spans="1:25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+'14'!J31</f>
        <v>0</v>
      </c>
      <c r="K31" s="240"/>
      <c r="L31" s="240"/>
      <c r="M31" s="118">
        <f>+K31+'14'!M31+L31</f>
        <v>0</v>
      </c>
      <c r="Q31" s="150">
        <f>+Q29+Q30</f>
        <v>480</v>
      </c>
    </row>
    <row r="32" spans="1:25" ht="13.5" thickBot="1">
      <c r="A32" s="778"/>
      <c r="B32" s="166" t="s">
        <v>2</v>
      </c>
      <c r="C32" s="100">
        <f>SUM(C25:C31)</f>
        <v>15732</v>
      </c>
      <c r="D32" s="101">
        <f>SUM(D25:D31)</f>
        <v>0</v>
      </c>
      <c r="E32" s="102">
        <f>SUM(E25:E31)</f>
        <v>0</v>
      </c>
      <c r="F32" s="103">
        <f>SUM(F24:F31)</f>
        <v>27</v>
      </c>
      <c r="G32" s="172"/>
      <c r="H32" s="173"/>
      <c r="I32" s="170"/>
      <c r="J32" s="215">
        <f>+'14'!J32</f>
        <v>0</v>
      </c>
      <c r="K32" s="242"/>
      <c r="L32" s="244"/>
      <c r="M32" s="118">
        <f>+K32+'14'!M32+L32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7" ht="13.5" thickBot="1">
      <c r="A34" s="767" t="s">
        <v>57</v>
      </c>
      <c r="B34" s="768"/>
      <c r="C34" s="108">
        <f>C14+C23+C32</f>
        <v>40226</v>
      </c>
      <c r="D34" s="108">
        <f>D14+D23+D32</f>
        <v>0</v>
      </c>
      <c r="E34" s="108">
        <f>E14+E23+E32</f>
        <v>0</v>
      </c>
      <c r="F34" s="109">
        <f>F14+F23+F32</f>
        <v>77</v>
      </c>
      <c r="H34" s="179"/>
      <c r="I34" s="179"/>
      <c r="J34" s="124" t="s">
        <v>28</v>
      </c>
      <c r="K34" s="125">
        <f>SUM(K7:K32)</f>
        <v>40226</v>
      </c>
      <c r="L34" s="213">
        <f>SUM(L7:L32)</f>
        <v>0</v>
      </c>
      <c r="M34" s="121">
        <f>SUM(M7:M32)</f>
        <v>582961</v>
      </c>
      <c r="N34" s="150" t="s">
        <v>437</v>
      </c>
      <c r="O34" s="150">
        <v>1105</v>
      </c>
      <c r="P34" s="150">
        <v>850.85000000000014</v>
      </c>
      <c r="Q34" s="150">
        <v>112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N35" s="150" t="s">
        <v>404</v>
      </c>
      <c r="O35" s="150">
        <v>1150.3915662650602</v>
      </c>
      <c r="P35" s="150">
        <v>885.80150602409628</v>
      </c>
      <c r="Q35" s="150">
        <v>1328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  <c r="Q36" s="150">
        <f>SUM(Q34:Q35)</f>
        <v>1440</v>
      </c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(12*112+13*1328)/1440*G42*2.74*1440/1000000</f>
        <v>45.024802023911114</v>
      </c>
      <c r="J37" s="126">
        <f>+I37+'14'!J37</f>
        <v>660.52473887549274</v>
      </c>
      <c r="K37" s="127" t="s">
        <v>63</v>
      </c>
    </row>
    <row r="38" spans="1:17" ht="17.45" customHeight="1">
      <c r="A38" s="761" t="s">
        <v>12</v>
      </c>
      <c r="B38" s="762"/>
      <c r="C38" s="165">
        <f>SUMIF($G$7:$G$31,"Process",$F$7:$F$31)</f>
        <v>77</v>
      </c>
      <c r="D38" s="119">
        <f>+C38+'14'!D38</f>
        <v>1159</v>
      </c>
      <c r="E38" s="144">
        <f t="shared" ref="E38:E51" si="6">D38/60</f>
        <v>19.316666666666666</v>
      </c>
      <c r="F38" s="323">
        <v>1045.0833333333333</v>
      </c>
      <c r="G38" s="323">
        <v>804.71416666666676</v>
      </c>
      <c r="H38" s="188" t="s">
        <v>64</v>
      </c>
      <c r="I38" s="246">
        <f>15.125+14.481+13.411</f>
        <v>43.017000000000003</v>
      </c>
      <c r="J38" s="128">
        <f>+I38+'14'!J38</f>
        <v>601.81700000000001</v>
      </c>
      <c r="K38" s="129" t="s">
        <v>63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+C39+'14'!D39</f>
        <v>0</v>
      </c>
      <c r="E39" s="144">
        <f t="shared" si="6"/>
        <v>0</v>
      </c>
      <c r="F39" s="323">
        <v>1190.5</v>
      </c>
      <c r="G39" s="323">
        <v>916.68499999999995</v>
      </c>
      <c r="H39" s="188" t="s">
        <v>65</v>
      </c>
      <c r="I39" s="143"/>
      <c r="J39" s="130">
        <f>J37/G4</f>
        <v>44.034982591699517</v>
      </c>
      <c r="K39" s="131" t="s">
        <v>63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+C40+'14'!D40</f>
        <v>0</v>
      </c>
      <c r="E40" s="144">
        <f t="shared" si="6"/>
        <v>0</v>
      </c>
      <c r="F40" s="323">
        <v>1205</v>
      </c>
      <c r="G40" s="323">
        <v>927.85</v>
      </c>
      <c r="H40" s="188" t="s">
        <v>67</v>
      </c>
      <c r="I40" s="119">
        <f>(K34+L34)/1000</f>
        <v>40.225999999999999</v>
      </c>
      <c r="J40" s="132">
        <f>+I40+'14'!J40</f>
        <v>582.96100000000001</v>
      </c>
      <c r="K40" s="131" t="s">
        <v>63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+C41+'14'!D41</f>
        <v>0</v>
      </c>
      <c r="E41" s="144">
        <f t="shared" si="6"/>
        <v>0</v>
      </c>
      <c r="F41" s="323"/>
      <c r="G41" s="323"/>
      <c r="H41" s="188" t="s">
        <v>69</v>
      </c>
      <c r="I41" s="143"/>
      <c r="J41" s="130">
        <f>J40/G4</f>
        <v>38.864066666666666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+C42+'14'!D42</f>
        <v>0</v>
      </c>
      <c r="E42" s="144">
        <f t="shared" si="6"/>
        <v>0</v>
      </c>
      <c r="F42" s="323">
        <f>+(F38*480+F39*480+F40*480)/1440</f>
        <v>1146.8611111111111</v>
      </c>
      <c r="G42" s="323">
        <f>+(G38*480+G39*480+G40*480)/1440</f>
        <v>883.08305555555557</v>
      </c>
      <c r="H42" s="188" t="s">
        <v>70</v>
      </c>
      <c r="I42" s="247" t="s">
        <v>566</v>
      </c>
      <c r="J42" s="133"/>
      <c r="K42" s="131" t="s">
        <v>71</v>
      </c>
    </row>
    <row r="43" spans="1:17" ht="17.45" customHeight="1">
      <c r="A43" s="765" t="s">
        <v>220</v>
      </c>
      <c r="B43" s="766"/>
      <c r="C43" s="165">
        <f>SUMIF($G$7:$G$31,"Change Grade",$F$7:$F$31)</f>
        <v>0</v>
      </c>
      <c r="D43" s="119">
        <f>+C43+'14'!D43</f>
        <v>0</v>
      </c>
      <c r="E43" s="144">
        <f t="shared" si="6"/>
        <v>0</v>
      </c>
      <c r="F43" s="323"/>
      <c r="G43" s="324"/>
      <c r="H43" s="189" t="s">
        <v>73</v>
      </c>
      <c r="I43" s="119">
        <f>+Report1!Z23</f>
        <v>60.6</v>
      </c>
      <c r="J43" s="134">
        <f>+I43+'14'!J43</f>
        <v>901.09999999999991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+C44+'14'!D44</f>
        <v>0</v>
      </c>
      <c r="E44" s="144">
        <f t="shared" si="6"/>
        <v>0</v>
      </c>
      <c r="F44" s="323"/>
      <c r="G44" s="324"/>
      <c r="H44" s="189" t="s">
        <v>74</v>
      </c>
      <c r="I44" s="119">
        <f>I43/I38</f>
        <v>1.4087453797335936</v>
      </c>
      <c r="J44" s="135">
        <f>J43/J38</f>
        <v>1.4972990128228347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+C45+'14'!D45</f>
        <v>0</v>
      </c>
      <c r="E45" s="144">
        <f t="shared" si="6"/>
        <v>0</v>
      </c>
      <c r="F45" s="323"/>
      <c r="G45" s="326"/>
      <c r="H45" s="189" t="s">
        <v>75</v>
      </c>
      <c r="I45" s="119">
        <f>I43/I40</f>
        <v>1.5064883408740617</v>
      </c>
      <c r="J45" s="135">
        <f>J43/J40</f>
        <v>1.5457294741843792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+C46+'14'!D46</f>
        <v>0</v>
      </c>
      <c r="E46" s="144">
        <f t="shared" si="6"/>
        <v>0</v>
      </c>
      <c r="F46" s="323"/>
      <c r="G46" s="324"/>
      <c r="H46" s="189" t="s">
        <v>77</v>
      </c>
      <c r="I46" s="141">
        <f>+SUMIF(Listrik!P22,"&gt;0")</f>
        <v>36531.460000001091</v>
      </c>
      <c r="J46" s="136">
        <f>+I46+'14'!J46</f>
        <v>534377.52000000048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+C47+'14'!D47</f>
        <v>0</v>
      </c>
      <c r="E47" s="144">
        <f t="shared" si="6"/>
        <v>0</v>
      </c>
      <c r="F47" s="323"/>
      <c r="G47" s="324"/>
      <c r="H47" s="189" t="s">
        <v>80</v>
      </c>
      <c r="I47" s="119">
        <f>I46/I38</f>
        <v>849.23309389313727</v>
      </c>
      <c r="J47" s="136">
        <f>J46/J38</f>
        <v>887.94022103064628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+C48+'14'!D48</f>
        <v>0</v>
      </c>
      <c r="E48" s="144">
        <f t="shared" si="6"/>
        <v>0</v>
      </c>
      <c r="F48" s="323"/>
      <c r="G48" s="324"/>
      <c r="H48" s="189" t="s">
        <v>81</v>
      </c>
      <c r="I48" s="119">
        <f>I46/I40</f>
        <v>908.15542186648167</v>
      </c>
      <c r="J48" s="136">
        <f>J46/J40</f>
        <v>916.66084009050428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+C49+'14'!D49</f>
        <v>301</v>
      </c>
      <c r="E49" s="144">
        <f t="shared" si="6"/>
        <v>5.0166666666666666</v>
      </c>
      <c r="F49" s="186"/>
      <c r="H49" s="189" t="s">
        <v>269</v>
      </c>
      <c r="I49" s="119">
        <f>+Report1!T23</f>
        <v>4134.2351031696935</v>
      </c>
      <c r="J49" s="136">
        <f>+I49+'14'!J49</f>
        <v>60183.092069867933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+C50+'14'!D50</f>
        <v>0</v>
      </c>
      <c r="E50" s="144">
        <f t="shared" si="6"/>
        <v>0</v>
      </c>
      <c r="F50" s="186"/>
      <c r="H50" s="189" t="s">
        <v>83</v>
      </c>
      <c r="I50" s="141">
        <f>I49/I38</f>
        <v>96.107006605985845</v>
      </c>
      <c r="J50" s="134">
        <f>J49/J38</f>
        <v>100.00231311157367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+C51+'14'!D51</f>
        <v>1000</v>
      </c>
      <c r="E51" s="144">
        <f t="shared" si="6"/>
        <v>16.666666666666668</v>
      </c>
      <c r="F51" s="186"/>
      <c r="H51" s="191" t="s">
        <v>85</v>
      </c>
      <c r="I51" s="142">
        <f>I49/I40</f>
        <v>102.77519771216859</v>
      </c>
      <c r="J51" s="137">
        <f>J49/J40</f>
        <v>103.23690962151487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77</v>
      </c>
      <c r="D52" s="145">
        <f>SUM(D38:D51)</f>
        <v>2460</v>
      </c>
      <c r="E52" s="146">
        <f>SUM(E38:E51)</f>
        <v>41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5.347222222222222E-2</v>
      </c>
      <c r="D53" s="147">
        <f>D52/(24*60*G4)</f>
        <v>0.11388888888888889</v>
      </c>
      <c r="E53" s="148">
        <f>E52/(G4*24)</f>
        <v>0.11388888888888889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+D34+'14'!J56</f>
        <v>1008</v>
      </c>
      <c r="K56" s="202">
        <f>J56/(J40+J56/1000)/1000</f>
        <v>1.7261190234413126E-3</v>
      </c>
    </row>
    <row r="57" spans="1:11">
      <c r="A57" s="177"/>
      <c r="I57" s="200" t="s">
        <v>88</v>
      </c>
      <c r="J57" s="201">
        <f>+E34+'14'!J57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I7:I13"/>
    <mergeCell ref="A15:A23"/>
    <mergeCell ref="I15:I22"/>
    <mergeCell ref="A44:B44"/>
    <mergeCell ref="A45:B45"/>
    <mergeCell ref="A42:B42"/>
    <mergeCell ref="I24:I31"/>
    <mergeCell ref="A24:A32"/>
    <mergeCell ref="A47:B47"/>
    <mergeCell ref="A7:A14"/>
    <mergeCell ref="A34:B34"/>
    <mergeCell ref="A37:B37"/>
    <mergeCell ref="A38:B38"/>
    <mergeCell ref="A39:B39"/>
    <mergeCell ref="A46:B46"/>
    <mergeCell ref="A40:B40"/>
    <mergeCell ref="A41:B41"/>
    <mergeCell ref="A43:B43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view="pageBreakPreview" topLeftCell="A13" zoomScale="80" zoomScaleNormal="75" zoomScaleSheetLayoutView="80" workbookViewId="0">
      <selection activeCell="H10" sqref="H10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5.710937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14</v>
      </c>
      <c r="H4" s="155" t="str">
        <f>+'1'!H4</f>
        <v>.07.25</v>
      </c>
      <c r="J4" s="150">
        <f>547+469</f>
        <v>1016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</row>
    <row r="7" spans="1:19" ht="13.5" customHeight="1" thickBot="1">
      <c r="A7" s="771" t="s">
        <v>445</v>
      </c>
      <c r="B7" s="216" t="s">
        <v>541</v>
      </c>
      <c r="C7" s="217">
        <v>1143</v>
      </c>
      <c r="D7" s="218"/>
      <c r="E7" s="219"/>
      <c r="F7" s="229"/>
      <c r="G7" s="557" t="s">
        <v>12</v>
      </c>
      <c r="H7" s="558" t="s">
        <v>383</v>
      </c>
      <c r="I7" s="774" t="s">
        <v>402</v>
      </c>
      <c r="J7" s="215" t="str">
        <f>+'13'!J7</f>
        <v>T 12,5 VP OW</v>
      </c>
      <c r="K7" s="239"/>
      <c r="L7" s="243"/>
      <c r="M7" s="118">
        <f>+K7+'13'!M7+L7</f>
        <v>21165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+'13'!J8</f>
        <v>F 13 VP OW</v>
      </c>
      <c r="K8" s="240"/>
      <c r="L8" s="240"/>
      <c r="M8" s="118">
        <f>+K8+'13'!M8+L8</f>
        <v>121388</v>
      </c>
    </row>
    <row r="9" spans="1:19" ht="13.5" thickBot="1">
      <c r="A9" s="772"/>
      <c r="B9" s="216"/>
      <c r="C9" s="217"/>
      <c r="D9" s="218"/>
      <c r="E9" s="221"/>
      <c r="F9" s="229"/>
      <c r="G9" s="559" t="s">
        <v>12</v>
      </c>
      <c r="H9" s="234" t="s">
        <v>551</v>
      </c>
      <c r="I9" s="775"/>
      <c r="J9" s="215" t="str">
        <f>+'13'!J9</f>
        <v>F 12 VP OW</v>
      </c>
      <c r="K9" s="240">
        <f>+C25</f>
        <v>9506</v>
      </c>
      <c r="L9" s="240"/>
      <c r="M9" s="118">
        <f>+K9+'13'!M9+L9</f>
        <v>96302</v>
      </c>
    </row>
    <row r="10" spans="1:19" ht="102.75" thickBot="1">
      <c r="A10" s="772"/>
      <c r="B10" s="216"/>
      <c r="C10" s="217"/>
      <c r="D10" s="218"/>
      <c r="E10" s="220"/>
      <c r="F10" s="229">
        <v>480</v>
      </c>
      <c r="G10" s="230" t="s">
        <v>532</v>
      </c>
      <c r="H10" s="560" t="s">
        <v>543</v>
      </c>
      <c r="I10" s="775"/>
      <c r="J10" s="215" t="str">
        <f>+'13'!J10</f>
        <v>F 12,5 VP OW</v>
      </c>
      <c r="K10" s="240"/>
      <c r="L10" s="240"/>
      <c r="M10" s="118">
        <f>+K10+'13'!M10+L10</f>
        <v>19792</v>
      </c>
    </row>
    <row r="11" spans="1:1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+'13'!J11</f>
        <v>T 13 VP OW</v>
      </c>
      <c r="K11" s="240"/>
      <c r="L11" s="240"/>
      <c r="M11" s="118">
        <f>+K11+'13'!M11+L11</f>
        <v>278149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tr">
        <f>+'13'!J12</f>
        <v>F 11,5 VP OW</v>
      </c>
      <c r="K12" s="240">
        <f>+C7</f>
        <v>1143</v>
      </c>
      <c r="L12" s="240"/>
      <c r="M12" s="118">
        <f>+K12+'13'!M12+L12</f>
        <v>5939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+'13'!J13</f>
        <v>0</v>
      </c>
      <c r="K13" s="240"/>
      <c r="L13" s="240"/>
      <c r="M13" s="118">
        <f>+K13+'13'!M13+L13</f>
        <v>0</v>
      </c>
    </row>
    <row r="14" spans="1:19" ht="13.5" thickBot="1">
      <c r="A14" s="773"/>
      <c r="B14" s="166" t="s">
        <v>2</v>
      </c>
      <c r="C14" s="100">
        <f>SUM(C7:C13)</f>
        <v>1143</v>
      </c>
      <c r="D14" s="112">
        <f>SUM(D7:D13)</f>
        <v>0</v>
      </c>
      <c r="E14" s="113">
        <f>SUM(E5:E13)</f>
        <v>0</v>
      </c>
      <c r="F14" s="117">
        <f>SUM(F7:F13)</f>
        <v>480</v>
      </c>
      <c r="G14" s="160"/>
      <c r="H14" s="167"/>
      <c r="I14" s="168"/>
      <c r="J14" s="215">
        <f>+'13'!J14</f>
        <v>0</v>
      </c>
      <c r="K14" s="240"/>
      <c r="L14" s="240"/>
      <c r="M14" s="118">
        <f>+K14+'13'!M14+L14</f>
        <v>0</v>
      </c>
    </row>
    <row r="15" spans="1:19" ht="13.5" customHeight="1" thickBot="1">
      <c r="A15" s="771" t="s">
        <v>572</v>
      </c>
      <c r="B15" s="166"/>
      <c r="C15" s="114" t="e">
        <f>C14/($C$23+$D$23+$E$23)</f>
        <v>#DIV/0!</v>
      </c>
      <c r="D15" s="115" t="e">
        <f>D14/($C$23+$D$23+$E$23)</f>
        <v>#DIV/0!</v>
      </c>
      <c r="E15" s="116" t="e">
        <f>E14/($C$23+$D$23+$E$23)</f>
        <v>#DIV/0!</v>
      </c>
      <c r="F15" s="229"/>
      <c r="G15" s="557" t="s">
        <v>12</v>
      </c>
      <c r="H15" s="558" t="s">
        <v>383</v>
      </c>
      <c r="I15" s="774" t="s">
        <v>548</v>
      </c>
      <c r="J15" s="215">
        <f>+'13'!J15</f>
        <v>0</v>
      </c>
      <c r="K15" s="240"/>
      <c r="L15" s="240"/>
      <c r="M15" s="118">
        <f>+K15+'13'!M15+L15</f>
        <v>0</v>
      </c>
    </row>
    <row r="16" spans="1:19" ht="13.5" thickBot="1">
      <c r="A16" s="777"/>
      <c r="B16" s="216"/>
      <c r="C16" s="223"/>
      <c r="D16" s="224"/>
      <c r="E16" s="225"/>
      <c r="F16" s="232"/>
      <c r="G16" s="559" t="s">
        <v>12</v>
      </c>
      <c r="H16" s="231" t="s">
        <v>408</v>
      </c>
      <c r="I16" s="775"/>
      <c r="J16" s="215">
        <f>+'13'!J16</f>
        <v>0</v>
      </c>
      <c r="K16" s="230"/>
      <c r="L16" s="230"/>
      <c r="M16" s="118">
        <f>+K16+'13'!M16+L16</f>
        <v>0</v>
      </c>
      <c r="N16" s="150" t="s">
        <v>482</v>
      </c>
      <c r="O16" s="150">
        <v>850</v>
      </c>
      <c r="P16" s="150">
        <f>+O16-O16*0.23</f>
        <v>654.5</v>
      </c>
      <c r="Q16" s="150">
        <v>2</v>
      </c>
      <c r="R16" s="150">
        <f>+O16*Q16</f>
        <v>1700</v>
      </c>
      <c r="S16" s="150">
        <f>+P16*Q16</f>
        <v>1309</v>
      </c>
    </row>
    <row r="17" spans="1:19" ht="13.5" thickBot="1">
      <c r="A17" s="777"/>
      <c r="B17" s="216"/>
      <c r="C17" s="217"/>
      <c r="D17" s="218"/>
      <c r="E17" s="226"/>
      <c r="F17" s="229">
        <v>5</v>
      </c>
      <c r="G17" s="559" t="s">
        <v>12</v>
      </c>
      <c r="H17" s="234" t="s">
        <v>552</v>
      </c>
      <c r="I17" s="775"/>
      <c r="J17" s="215">
        <f>+'13'!J17</f>
        <v>0</v>
      </c>
      <c r="K17" s="230"/>
      <c r="L17" s="230"/>
      <c r="M17" s="118">
        <f>+K17+'13'!M17+L17</f>
        <v>0</v>
      </c>
      <c r="O17" s="150">
        <v>900</v>
      </c>
      <c r="P17" s="150">
        <f>+O17-O17*0.23</f>
        <v>693</v>
      </c>
      <c r="Q17" s="150">
        <f>60-49+60</f>
        <v>71</v>
      </c>
      <c r="R17" s="150">
        <f>+O17*Q17</f>
        <v>63900</v>
      </c>
      <c r="S17" s="150">
        <f>+P17*Q17</f>
        <v>49203</v>
      </c>
    </row>
    <row r="18" spans="1:19" ht="117.75" customHeight="1" thickBot="1">
      <c r="A18" s="777"/>
      <c r="B18" s="216"/>
      <c r="C18" s="217"/>
      <c r="D18" s="218"/>
      <c r="E18" s="226"/>
      <c r="F18" s="229">
        <v>407</v>
      </c>
      <c r="G18" s="230" t="s">
        <v>532</v>
      </c>
      <c r="H18" s="560" t="s">
        <v>546</v>
      </c>
      <c r="I18" s="775"/>
      <c r="J18" s="215">
        <f>+'13'!J18</f>
        <v>0</v>
      </c>
      <c r="K18" s="240"/>
      <c r="L18" s="240"/>
      <c r="M18" s="118">
        <f>+K18+'13'!M18+L18</f>
        <v>0</v>
      </c>
      <c r="P18" s="150">
        <f>+O18-O18*0.21</f>
        <v>0</v>
      </c>
      <c r="R18" s="150">
        <f>+O18*Q18</f>
        <v>0</v>
      </c>
      <c r="S18" s="150">
        <f>+P18*Q18</f>
        <v>0</v>
      </c>
    </row>
    <row r="19" spans="1:19" ht="83.25" customHeight="1" thickBot="1">
      <c r="A19" s="777"/>
      <c r="B19" s="216"/>
      <c r="C19" s="217"/>
      <c r="D19" s="218"/>
      <c r="E19" s="226"/>
      <c r="F19" s="236"/>
      <c r="G19" s="233"/>
      <c r="H19" s="234" t="s">
        <v>547</v>
      </c>
      <c r="I19" s="775"/>
      <c r="J19" s="215">
        <f>+'13'!J19</f>
        <v>0</v>
      </c>
      <c r="K19" s="240"/>
      <c r="L19" s="240"/>
      <c r="M19" s="118">
        <f>+K19+'13'!M19+L19</f>
        <v>0</v>
      </c>
      <c r="P19" s="150">
        <f t="shared" ref="P19" si="0">+O19-O19*0.23</f>
        <v>0</v>
      </c>
      <c r="R19" s="150">
        <f>+O19*Q19</f>
        <v>0</v>
      </c>
      <c r="S19" s="150">
        <f>+P19*Q19</f>
        <v>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+'13'!J20</f>
        <v>0</v>
      </c>
      <c r="K20" s="241"/>
      <c r="L20" s="241"/>
      <c r="M20" s="118">
        <f>+K20+'13'!M20+L20</f>
        <v>0</v>
      </c>
      <c r="Q20" s="150">
        <f>SUM(Q16:Q19)</f>
        <v>73</v>
      </c>
      <c r="R20" s="150">
        <f>SUM(R16:R19)</f>
        <v>65600</v>
      </c>
      <c r="S20" s="150">
        <f>SUM(S16:S19)</f>
        <v>50512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+'13'!J21</f>
        <v>0</v>
      </c>
      <c r="K21" s="240"/>
      <c r="L21" s="240"/>
      <c r="M21" s="118">
        <f>+K21+'13'!M21+L21</f>
        <v>0</v>
      </c>
      <c r="O21" s="150" t="s">
        <v>402</v>
      </c>
      <c r="Q21" s="150">
        <v>407</v>
      </c>
      <c r="R21" s="150">
        <f>+R20/Q20</f>
        <v>898.63013698630141</v>
      </c>
      <c r="S21" s="150">
        <f>+S20/Q20</f>
        <v>691.94520547945206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+'13'!J22</f>
        <v>0</v>
      </c>
      <c r="K22" s="240"/>
      <c r="L22" s="240"/>
      <c r="M22" s="118">
        <f>+K22+'13'!M22+L22</f>
        <v>0</v>
      </c>
      <c r="Q22" s="150">
        <f>+Q20+Q21</f>
        <v>480</v>
      </c>
    </row>
    <row r="23" spans="1:19" ht="13.5" thickBot="1">
      <c r="A23" s="778"/>
      <c r="B23" s="169" t="s">
        <v>2</v>
      </c>
      <c r="C23" s="101">
        <f>SUM(C16:C22)</f>
        <v>0</v>
      </c>
      <c r="D23" s="112">
        <f>SUM(D16:D22)</f>
        <v>0</v>
      </c>
      <c r="E23" s="113">
        <f>SUM(E18:E22)</f>
        <v>0</v>
      </c>
      <c r="F23" s="117">
        <f>SUM(F16:F22)</f>
        <v>412</v>
      </c>
      <c r="G23" s="160"/>
      <c r="H23" s="167"/>
      <c r="I23" s="170"/>
      <c r="J23" s="215">
        <f>+'13'!J23</f>
        <v>0</v>
      </c>
      <c r="K23" s="240"/>
      <c r="L23" s="240"/>
      <c r="M23" s="118">
        <f>+K23+'13'!M23+L23</f>
        <v>0</v>
      </c>
    </row>
    <row r="24" spans="1:19" ht="13.5" customHeight="1" thickBot="1">
      <c r="A24" s="771" t="s">
        <v>422</v>
      </c>
      <c r="B24" s="171"/>
      <c r="C24" s="114" t="e">
        <f>C23/($C$23+$D$23+$E$23)</f>
        <v>#DIV/0!</v>
      </c>
      <c r="D24" s="115" t="e">
        <f>D23/($C$23+$D$23+$E$23)</f>
        <v>#DIV/0!</v>
      </c>
      <c r="E24" s="116" t="e">
        <f>E23/($C$23+$D$23+$E$23)</f>
        <v>#DIV/0!</v>
      </c>
      <c r="F24" s="229">
        <v>8</v>
      </c>
      <c r="G24" s="557" t="s">
        <v>12</v>
      </c>
      <c r="H24" s="558" t="s">
        <v>470</v>
      </c>
      <c r="I24" s="774" t="s">
        <v>549</v>
      </c>
      <c r="J24" s="215">
        <f>+'13'!J24</f>
        <v>0</v>
      </c>
      <c r="K24" s="240"/>
      <c r="L24" s="240"/>
      <c r="M24" s="118">
        <f>+K24+'13'!M24+L24</f>
        <v>0</v>
      </c>
    </row>
    <row r="25" spans="1:19" ht="13.5" thickBot="1">
      <c r="A25" s="777"/>
      <c r="B25" s="216" t="s">
        <v>386</v>
      </c>
      <c r="C25" s="227">
        <v>9506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+'13'!J25</f>
        <v>0</v>
      </c>
      <c r="K25" s="240"/>
      <c r="L25" s="240"/>
      <c r="M25" s="118">
        <f>+K25+'13'!M25+L25</f>
        <v>0</v>
      </c>
    </row>
    <row r="26" spans="1:19" ht="13.5" thickBot="1">
      <c r="A26" s="777"/>
      <c r="B26" s="216"/>
      <c r="C26" s="227"/>
      <c r="D26" s="218"/>
      <c r="E26" s="228"/>
      <c r="F26" s="229">
        <f>24-8</f>
        <v>16</v>
      </c>
      <c r="G26" s="559" t="s">
        <v>12</v>
      </c>
      <c r="H26" s="234" t="s">
        <v>409</v>
      </c>
      <c r="I26" s="775"/>
      <c r="J26" s="215">
        <f>+'13'!J26</f>
        <v>0</v>
      </c>
      <c r="K26" s="240"/>
      <c r="L26" s="240"/>
      <c r="M26" s="118">
        <f>+K26+'13'!M26+L26</f>
        <v>0</v>
      </c>
      <c r="N26" s="150" t="s">
        <v>482</v>
      </c>
      <c r="O26" s="150">
        <v>900</v>
      </c>
      <c r="P26" s="150">
        <f>+O26-O26*0.23</f>
        <v>693</v>
      </c>
      <c r="Q26" s="150">
        <f>344/2</f>
        <v>172</v>
      </c>
      <c r="R26" s="150">
        <f>+O26*Q26</f>
        <v>154800</v>
      </c>
      <c r="S26" s="150">
        <f>+P26*Q26</f>
        <v>119196</v>
      </c>
    </row>
    <row r="27" spans="1:19" ht="51.75" thickBot="1">
      <c r="A27" s="777"/>
      <c r="B27" s="216"/>
      <c r="C27" s="217"/>
      <c r="D27" s="218"/>
      <c r="E27" s="226"/>
      <c r="F27" s="229"/>
      <c r="G27" s="230"/>
      <c r="H27" s="560" t="s">
        <v>544</v>
      </c>
      <c r="I27" s="775"/>
      <c r="J27" s="215">
        <f>+'13'!J27</f>
        <v>0</v>
      </c>
      <c r="K27" s="240"/>
      <c r="L27" s="240"/>
      <c r="M27" s="118">
        <f>+K27+'13'!M27+L27</f>
        <v>0</v>
      </c>
      <c r="O27" s="150">
        <v>1060</v>
      </c>
      <c r="P27" s="150">
        <f t="shared" ref="P27:P29" si="1">+O27-O27*0.23</f>
        <v>816.2</v>
      </c>
      <c r="Q27" s="150">
        <v>172</v>
      </c>
      <c r="R27" s="150">
        <f>+O27*Q27</f>
        <v>182320</v>
      </c>
      <c r="S27" s="150">
        <f>+P27*Q27</f>
        <v>140386.4</v>
      </c>
    </row>
    <row r="28" spans="1:19" ht="127.5" customHeight="1" thickBot="1">
      <c r="A28" s="777"/>
      <c r="B28" s="216"/>
      <c r="C28" s="217"/>
      <c r="D28" s="218"/>
      <c r="E28" s="226"/>
      <c r="F28" s="232"/>
      <c r="G28" s="233"/>
      <c r="H28" s="234" t="s">
        <v>545</v>
      </c>
      <c r="I28" s="775"/>
      <c r="J28" s="215">
        <f>+'13'!J28</f>
        <v>0</v>
      </c>
      <c r="K28" s="240"/>
      <c r="L28" s="240"/>
      <c r="M28" s="118">
        <f>+K28+'13'!M28+L28</f>
        <v>0</v>
      </c>
      <c r="O28" s="150">
        <v>900</v>
      </c>
      <c r="P28" s="150">
        <f t="shared" si="1"/>
        <v>693</v>
      </c>
      <c r="Q28" s="150">
        <f>60-44+58</f>
        <v>74</v>
      </c>
      <c r="R28" s="150">
        <f>+O28*Q28</f>
        <v>66600</v>
      </c>
      <c r="S28" s="150">
        <f>+P28*Q28</f>
        <v>51282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+'13'!J29</f>
        <v>0</v>
      </c>
      <c r="K29" s="240"/>
      <c r="L29" s="240"/>
      <c r="M29" s="118">
        <f>+K29+'13'!M29+L29</f>
        <v>0</v>
      </c>
      <c r="O29" s="150">
        <v>1060</v>
      </c>
      <c r="P29" s="150">
        <f t="shared" si="1"/>
        <v>816.2</v>
      </c>
      <c r="Q29" s="150">
        <f>60-58+60</f>
        <v>62</v>
      </c>
      <c r="R29" s="150">
        <f>+O29*Q29</f>
        <v>65720</v>
      </c>
      <c r="S29" s="150">
        <f>+P29*Q29</f>
        <v>50604.4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+'13'!J30</f>
        <v>0</v>
      </c>
      <c r="K30" s="240"/>
      <c r="L30" s="240"/>
      <c r="M30" s="118">
        <f>+K30+'13'!M30+L30</f>
        <v>0</v>
      </c>
      <c r="Q30" s="150">
        <f>SUM(Q26:Q29)</f>
        <v>480</v>
      </c>
      <c r="R30" s="150">
        <f>SUM(R26:R29)</f>
        <v>469440</v>
      </c>
      <c r="S30" s="150">
        <f>SUM(S26:S29)</f>
        <v>361468.80000000005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+'13'!J31</f>
        <v>0</v>
      </c>
      <c r="K31" s="240"/>
      <c r="L31" s="240"/>
      <c r="M31" s="118">
        <f>+K31+'13'!M31+L31</f>
        <v>0</v>
      </c>
      <c r="O31" s="150" t="s">
        <v>402</v>
      </c>
      <c r="R31" s="150">
        <f>+R30/Q30</f>
        <v>978</v>
      </c>
      <c r="S31" s="150">
        <f>+S30/Q30</f>
        <v>753.06000000000006</v>
      </c>
    </row>
    <row r="32" spans="1:19" ht="13.5" thickBot="1">
      <c r="A32" s="778"/>
      <c r="B32" s="166" t="s">
        <v>2</v>
      </c>
      <c r="C32" s="100">
        <f>SUM(C25:C31)</f>
        <v>9506</v>
      </c>
      <c r="D32" s="101">
        <f>SUM(D25:D31)</f>
        <v>0</v>
      </c>
      <c r="E32" s="102">
        <f>SUM(E25:E31)</f>
        <v>0</v>
      </c>
      <c r="F32" s="103">
        <f>SUM(F24:F31)</f>
        <v>24</v>
      </c>
      <c r="G32" s="172"/>
      <c r="H32" s="173"/>
      <c r="I32" s="170"/>
      <c r="J32" s="215">
        <f>+'13'!J32</f>
        <v>0</v>
      </c>
      <c r="K32" s="242"/>
      <c r="L32" s="244"/>
      <c r="M32" s="118">
        <f>+K32+'13'!M32+L32</f>
        <v>0</v>
      </c>
      <c r="Q32" s="150">
        <f>+Q30+Q31</f>
        <v>480</v>
      </c>
    </row>
    <row r="33" spans="1:14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4" ht="13.5" thickBot="1">
      <c r="A34" s="767" t="s">
        <v>57</v>
      </c>
      <c r="B34" s="768"/>
      <c r="C34" s="108">
        <f>C14+C23+C32</f>
        <v>10649</v>
      </c>
      <c r="D34" s="108">
        <f>D14+D23+D32</f>
        <v>0</v>
      </c>
      <c r="E34" s="108">
        <f>E14+E23+E32</f>
        <v>0</v>
      </c>
      <c r="F34" s="109">
        <f>F14+F23+F32</f>
        <v>916</v>
      </c>
      <c r="H34" s="179"/>
      <c r="I34" s="179"/>
      <c r="J34" s="124" t="s">
        <v>28</v>
      </c>
      <c r="K34" s="125">
        <f>SUM(K7:K32)</f>
        <v>10649</v>
      </c>
      <c r="L34" s="213">
        <f>SUM(L7:L32)</f>
        <v>0</v>
      </c>
      <c r="M34" s="121">
        <f>SUM(M7:M32)</f>
        <v>542735</v>
      </c>
    </row>
    <row r="35" spans="1:14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N35" s="150">
        <v>73</v>
      </c>
    </row>
    <row r="36" spans="1:14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  <c r="N36" s="150">
        <v>480</v>
      </c>
    </row>
    <row r="37" spans="1:14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(12*553)/553*G42*2.74*553/1000000</f>
        <v>13.545928704000003</v>
      </c>
      <c r="J37" s="126">
        <f>+I37+'13'!J37</f>
        <v>615.49993685158165</v>
      </c>
      <c r="K37" s="127" t="s">
        <v>63</v>
      </c>
      <c r="N37" s="150">
        <f>SUM(N35:N36)</f>
        <v>553</v>
      </c>
    </row>
    <row r="38" spans="1:14" ht="17.45" customHeight="1">
      <c r="A38" s="761" t="s">
        <v>12</v>
      </c>
      <c r="B38" s="762"/>
      <c r="C38" s="165">
        <f>SUMIF($G$7:$G$31,"Process",$F$7:$F$31)</f>
        <v>29</v>
      </c>
      <c r="D38" s="119">
        <f>+C38+'13'!D38</f>
        <v>1082</v>
      </c>
      <c r="E38" s="144">
        <f t="shared" ref="E38:E51" si="2">D38/60</f>
        <v>18.033333333333335</v>
      </c>
      <c r="F38" s="323"/>
      <c r="G38" s="323"/>
      <c r="H38" s="188" t="s">
        <v>64</v>
      </c>
      <c r="I38" s="246">
        <f>0.496+11.852</f>
        <v>12.348000000000001</v>
      </c>
      <c r="J38" s="128">
        <f>+I38+'13'!J38</f>
        <v>558.79999999999995</v>
      </c>
      <c r="K38" s="129" t="s">
        <v>63</v>
      </c>
    </row>
    <row r="39" spans="1:14" ht="17.45" customHeight="1">
      <c r="A39" s="765" t="s">
        <v>13</v>
      </c>
      <c r="B39" s="766"/>
      <c r="C39" s="165">
        <f>SUMIF($G$7:$G$31,"Cleaning",$F$7:$F$31)</f>
        <v>0</v>
      </c>
      <c r="D39" s="119">
        <f>+C39+'13'!D39</f>
        <v>0</v>
      </c>
      <c r="E39" s="144">
        <f t="shared" si="2"/>
        <v>0</v>
      </c>
      <c r="F39" s="323">
        <v>898.63013698630141</v>
      </c>
      <c r="G39" s="323">
        <v>691.94520547945206</v>
      </c>
      <c r="H39" s="188" t="s">
        <v>65</v>
      </c>
      <c r="I39" s="143"/>
      <c r="J39" s="130">
        <f>J37/G4</f>
        <v>43.964281203684401</v>
      </c>
      <c r="K39" s="131" t="s">
        <v>63</v>
      </c>
    </row>
    <row r="40" spans="1:14" ht="17.45" customHeight="1">
      <c r="A40" s="765" t="s">
        <v>66</v>
      </c>
      <c r="B40" s="766"/>
      <c r="C40" s="165">
        <f>SUMIF($G$7:$G$31,"Mechanical",$F$7:$F$31)</f>
        <v>0</v>
      </c>
      <c r="D40" s="119">
        <f>+C40+'13'!D40</f>
        <v>0</v>
      </c>
      <c r="E40" s="144">
        <f t="shared" si="2"/>
        <v>0</v>
      </c>
      <c r="F40" s="323">
        <v>978</v>
      </c>
      <c r="G40" s="323">
        <v>753.06000000000006</v>
      </c>
      <c r="H40" s="188" t="s">
        <v>67</v>
      </c>
      <c r="I40" s="119">
        <f>(K34+L34)/1000</f>
        <v>10.648999999999999</v>
      </c>
      <c r="J40" s="132">
        <f>+I40+'13'!J40</f>
        <v>542.73500000000001</v>
      </c>
      <c r="K40" s="131" t="s">
        <v>63</v>
      </c>
    </row>
    <row r="41" spans="1:14" ht="17.45" customHeight="1">
      <c r="A41" s="765" t="s">
        <v>68</v>
      </c>
      <c r="B41" s="766"/>
      <c r="C41" s="165">
        <f>SUMIF($G$7:$G$31,"Electrical",$F$7:$F$31)</f>
        <v>0</v>
      </c>
      <c r="D41" s="119">
        <f>+C41+'13'!D41</f>
        <v>0</v>
      </c>
      <c r="E41" s="144">
        <f t="shared" si="2"/>
        <v>0</v>
      </c>
      <c r="F41" s="323"/>
      <c r="G41" s="323"/>
      <c r="H41" s="188" t="s">
        <v>69</v>
      </c>
      <c r="I41" s="143"/>
      <c r="J41" s="130">
        <f>J40/G4</f>
        <v>38.766785714285717</v>
      </c>
      <c r="K41" s="131" t="s">
        <v>63</v>
      </c>
    </row>
    <row r="42" spans="1:14" ht="17.45" customHeight="1">
      <c r="A42" s="765" t="s">
        <v>16</v>
      </c>
      <c r="B42" s="766"/>
      <c r="C42" s="165">
        <f>SUMIF($G$7:$G$31,"Instrument",$F$7:$F$31)</f>
        <v>0</v>
      </c>
      <c r="D42" s="119">
        <f>+C42+'13'!D42</f>
        <v>0</v>
      </c>
      <c r="E42" s="144">
        <f t="shared" si="2"/>
        <v>0</v>
      </c>
      <c r="F42" s="323">
        <f>+(73*F39+480*F40)/553</f>
        <v>967.52260397830014</v>
      </c>
      <c r="G42" s="323">
        <f>+(73*G39+480*G40)/553</f>
        <v>744.99240506329124</v>
      </c>
      <c r="H42" s="188" t="s">
        <v>70</v>
      </c>
      <c r="I42" s="247" t="s">
        <v>550</v>
      </c>
      <c r="J42" s="133"/>
      <c r="K42" s="131" t="s">
        <v>71</v>
      </c>
    </row>
    <row r="43" spans="1:14" ht="17.45" customHeight="1">
      <c r="A43" s="765" t="s">
        <v>72</v>
      </c>
      <c r="B43" s="766"/>
      <c r="C43" s="165">
        <f>SUMIF($G$7:$G$31,"Water",$F$7:$F$31)</f>
        <v>0</v>
      </c>
      <c r="D43" s="119">
        <f>+C43+'13'!D43</f>
        <v>0</v>
      </c>
      <c r="E43" s="144">
        <f t="shared" si="2"/>
        <v>0</v>
      </c>
      <c r="F43" s="323"/>
      <c r="G43" s="324"/>
      <c r="H43" s="189" t="s">
        <v>73</v>
      </c>
      <c r="I43" s="119">
        <f>+Report1!Z22</f>
        <v>28.3</v>
      </c>
      <c r="J43" s="134">
        <f>+I43+'13'!J43</f>
        <v>840.49999999999989</v>
      </c>
      <c r="K43" s="131" t="s">
        <v>63</v>
      </c>
      <c r="L43" s="190"/>
    </row>
    <row r="44" spans="1:14" ht="17.45" customHeight="1">
      <c r="A44" s="765" t="s">
        <v>17</v>
      </c>
      <c r="B44" s="766"/>
      <c r="C44" s="165">
        <f>SUMIF($G$7:$G$31,"PLN",$F$7:$F$31)</f>
        <v>0</v>
      </c>
      <c r="D44" s="119">
        <f>+C44+'13'!D44</f>
        <v>0</v>
      </c>
      <c r="E44" s="144">
        <f t="shared" si="2"/>
        <v>0</v>
      </c>
      <c r="F44" s="323"/>
      <c r="G44" s="324"/>
      <c r="H44" s="189" t="s">
        <v>74</v>
      </c>
      <c r="I44" s="119">
        <f>I43/I38</f>
        <v>2.2918691286038224</v>
      </c>
      <c r="J44" s="135">
        <f>J43/J38</f>
        <v>1.5041159627773799</v>
      </c>
      <c r="K44" s="131" t="s">
        <v>63</v>
      </c>
    </row>
    <row r="45" spans="1:14" ht="17.45" customHeight="1">
      <c r="A45" s="765" t="s">
        <v>18</v>
      </c>
      <c r="B45" s="766"/>
      <c r="C45" s="165">
        <f>SUMIF($G$7:$G$31,"Boiler",$F$7:$F$31)</f>
        <v>0</v>
      </c>
      <c r="D45" s="119">
        <f>+C45+'13'!D45</f>
        <v>0</v>
      </c>
      <c r="E45" s="144">
        <f t="shared" si="2"/>
        <v>0</v>
      </c>
      <c r="F45" s="323"/>
      <c r="G45" s="326"/>
      <c r="H45" s="189" t="s">
        <v>75</v>
      </c>
      <c r="I45" s="119">
        <f>I43/I40</f>
        <v>2.657526528312518</v>
      </c>
      <c r="J45" s="135">
        <f>J43/J40</f>
        <v>1.5486379172155837</v>
      </c>
      <c r="K45" s="131" t="s">
        <v>63</v>
      </c>
    </row>
    <row r="46" spans="1:14" ht="17.45" customHeight="1">
      <c r="A46" s="765" t="s">
        <v>76</v>
      </c>
      <c r="B46" s="766"/>
      <c r="C46" s="165">
        <f>SUMIF($G$7:$G$31,"Gas",$F$7:$F$31)</f>
        <v>0</v>
      </c>
      <c r="D46" s="119">
        <f>+C46+'13'!D46</f>
        <v>0</v>
      </c>
      <c r="E46" s="144">
        <f t="shared" si="2"/>
        <v>0</v>
      </c>
      <c r="F46" s="323"/>
      <c r="G46" s="324"/>
      <c r="H46" s="189" t="s">
        <v>77</v>
      </c>
      <c r="I46" s="141">
        <f>+SUMIF(Listrik!P21,"&gt;0")</f>
        <v>16139.639999999272</v>
      </c>
      <c r="J46" s="136">
        <f>+I46+'13'!J46</f>
        <v>497846.05999999936</v>
      </c>
      <c r="K46" s="131" t="s">
        <v>78</v>
      </c>
    </row>
    <row r="47" spans="1:14" ht="17.45" customHeight="1">
      <c r="A47" s="765" t="s">
        <v>79</v>
      </c>
      <c r="B47" s="766"/>
      <c r="C47" s="165">
        <f>SUMIF($G$7:$G$31,"Gas",$F$7:$F$31)</f>
        <v>0</v>
      </c>
      <c r="D47" s="119">
        <f>+C47+'13'!D47</f>
        <v>0</v>
      </c>
      <c r="E47" s="144">
        <f t="shared" si="2"/>
        <v>0</v>
      </c>
      <c r="F47" s="323"/>
      <c r="G47" s="324"/>
      <c r="H47" s="189" t="s">
        <v>80</v>
      </c>
      <c r="I47" s="119">
        <f>I46/I38</f>
        <v>1307.0651117589302</v>
      </c>
      <c r="J47" s="136">
        <f>J46/J38</f>
        <v>890.91993557623368</v>
      </c>
      <c r="K47" s="131" t="s">
        <v>24</v>
      </c>
    </row>
    <row r="48" spans="1:14" ht="17.45" customHeight="1">
      <c r="A48" s="765" t="s">
        <v>14</v>
      </c>
      <c r="B48" s="766"/>
      <c r="C48" s="165">
        <f>SUMIF($G$7:$G$31,"Start Up",$F$7:$F$31)</f>
        <v>0</v>
      </c>
      <c r="D48" s="119">
        <f>+C48+'13'!D48</f>
        <v>0</v>
      </c>
      <c r="E48" s="144">
        <f t="shared" si="2"/>
        <v>0</v>
      </c>
      <c r="F48" s="323"/>
      <c r="G48" s="324"/>
      <c r="H48" s="189" t="s">
        <v>81</v>
      </c>
      <c r="I48" s="119">
        <f>I46/I40</f>
        <v>1515.6014649262158</v>
      </c>
      <c r="J48" s="136">
        <f>J46/J40</f>
        <v>917.29123789694665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+C49+'13'!D49</f>
        <v>301</v>
      </c>
      <c r="E49" s="144">
        <f t="shared" si="2"/>
        <v>5.0166666666666666</v>
      </c>
      <c r="F49" s="186"/>
      <c r="H49" s="189" t="s">
        <v>269</v>
      </c>
      <c r="I49" s="119">
        <f>+Report1!T22</f>
        <v>1533.3189238382345</v>
      </c>
      <c r="J49" s="136">
        <f>+I49+'13'!J49</f>
        <v>56048.856966698237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+C50+'13'!D50</f>
        <v>0</v>
      </c>
      <c r="E50" s="144">
        <f t="shared" si="2"/>
        <v>0</v>
      </c>
      <c r="F50" s="186"/>
      <c r="H50" s="189" t="s">
        <v>83</v>
      </c>
      <c r="I50" s="141">
        <f>I49/I38</f>
        <v>124.17548783918322</v>
      </c>
      <c r="J50" s="134">
        <f>J49/J38</f>
        <v>100.30217782157881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887</v>
      </c>
      <c r="D51" s="119">
        <f>+C51+'13'!D51</f>
        <v>1000</v>
      </c>
      <c r="E51" s="144">
        <f t="shared" si="2"/>
        <v>16.666666666666668</v>
      </c>
      <c r="F51" s="186"/>
      <c r="H51" s="191" t="s">
        <v>85</v>
      </c>
      <c r="I51" s="142">
        <f>I49/I40</f>
        <v>143.98712779023708</v>
      </c>
      <c r="J51" s="137">
        <f>J49/J40</f>
        <v>103.27113041668261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916</v>
      </c>
      <c r="D52" s="145">
        <f>SUM(D38:D51)</f>
        <v>2383</v>
      </c>
      <c r="E52" s="146">
        <f>SUM(E38:E51)</f>
        <v>39.716666666666669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0.63611111111111107</v>
      </c>
      <c r="D53" s="147">
        <f>D52/(24*60*G4)</f>
        <v>0.11820436507936508</v>
      </c>
      <c r="E53" s="148">
        <f>E52/(G4*24)</f>
        <v>0.11820436507936509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+D34+'13'!J56</f>
        <v>1008</v>
      </c>
      <c r="K56" s="202">
        <f>J56/(J40+J56/1000)/1000</f>
        <v>1.8538169686782174E-3</v>
      </c>
    </row>
    <row r="57" spans="1:11">
      <c r="A57" s="177"/>
      <c r="I57" s="200" t="s">
        <v>88</v>
      </c>
      <c r="J57" s="201">
        <f>+E34+'13'!J57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  <row r="78" spans="23:23">
      <c r="W78" s="150">
        <f>+'14'!K8/1000</f>
        <v>0</v>
      </c>
    </row>
  </sheetData>
  <mergeCells count="24">
    <mergeCell ref="A46:B46"/>
    <mergeCell ref="A47:B47"/>
    <mergeCell ref="A52:B52"/>
    <mergeCell ref="A53:B53"/>
    <mergeCell ref="A48:B48"/>
    <mergeCell ref="A49:B49"/>
    <mergeCell ref="A50:B50"/>
    <mergeCell ref="A51:B51"/>
    <mergeCell ref="A45:B45"/>
    <mergeCell ref="A42:B42"/>
    <mergeCell ref="A43:B43"/>
    <mergeCell ref="A7:A14"/>
    <mergeCell ref="I7:I13"/>
    <mergeCell ref="A15:A23"/>
    <mergeCell ref="I15:I22"/>
    <mergeCell ref="A34:B34"/>
    <mergeCell ref="A37:B37"/>
    <mergeCell ref="I24:I31"/>
    <mergeCell ref="A24:A32"/>
    <mergeCell ref="A38:B38"/>
    <mergeCell ref="A39:B39"/>
    <mergeCell ref="A40:B40"/>
    <mergeCell ref="A41:B41"/>
    <mergeCell ref="A44:B44"/>
  </mergeCells>
  <phoneticPr fontId="32" type="noConversion"/>
  <printOptions horizontalCentered="1"/>
  <pageMargins left="0.17" right="0.16" top="0.17" bottom="0.16" header="0" footer="0"/>
  <pageSetup paperSize="9" scale="62" firstPageNumber="4294963191" fitToWidth="20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view="pageBreakPreview" topLeftCell="C7" zoomScale="85" zoomScaleNormal="70" zoomScaleSheetLayoutView="85" workbookViewId="0">
      <selection activeCell="F33" sqref="F33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25" ht="15.75">
      <c r="A1" s="149"/>
    </row>
    <row r="2" spans="1:25" ht="15.75">
      <c r="A2" s="149" t="s">
        <v>182</v>
      </c>
    </row>
    <row r="3" spans="1:25" ht="15">
      <c r="A3" s="151"/>
    </row>
    <row r="4" spans="1:25" ht="20.25">
      <c r="A4" s="152" t="s">
        <v>3</v>
      </c>
      <c r="B4" s="153"/>
      <c r="F4" s="154" t="s">
        <v>29</v>
      </c>
      <c r="G4" s="155">
        <v>13</v>
      </c>
      <c r="H4" s="155" t="str">
        <f>+'1'!H4</f>
        <v>.07.25</v>
      </c>
      <c r="J4" s="150">
        <f>468+608+429</f>
        <v>1505</v>
      </c>
    </row>
    <row r="5" spans="1:25" ht="13.5" thickBot="1">
      <c r="C5" s="156"/>
      <c r="D5" s="156"/>
    </row>
    <row r="6" spans="1:25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482</v>
      </c>
      <c r="O6" s="150">
        <v>1230</v>
      </c>
      <c r="P6" s="150">
        <f>+O6-O6*0.23</f>
        <v>947.09999999999991</v>
      </c>
      <c r="Q6" s="150">
        <v>480</v>
      </c>
      <c r="R6" s="150">
        <f>+O6*Q6</f>
        <v>590400</v>
      </c>
      <c r="S6" s="150">
        <f>+P6*Q6</f>
        <v>454607.99999999994</v>
      </c>
      <c r="T6" s="150" t="s">
        <v>482</v>
      </c>
      <c r="U6" s="150">
        <v>1230</v>
      </c>
      <c r="V6" s="150">
        <f>+U6-U6*0.23</f>
        <v>947.09999999999991</v>
      </c>
      <c r="W6" s="150">
        <v>480</v>
      </c>
      <c r="X6" s="150">
        <f>+U6*W6</f>
        <v>590400</v>
      </c>
      <c r="Y6" s="150">
        <f>+V6*W6</f>
        <v>454607.99999999994</v>
      </c>
    </row>
    <row r="7" spans="1:25" ht="13.5" customHeight="1" thickBot="1">
      <c r="A7" s="771" t="s">
        <v>445</v>
      </c>
      <c r="B7" s="216" t="s">
        <v>494</v>
      </c>
      <c r="C7" s="217">
        <v>15187</v>
      </c>
      <c r="D7" s="218"/>
      <c r="E7" s="219"/>
      <c r="F7" s="229">
        <v>16</v>
      </c>
      <c r="G7" s="557" t="s">
        <v>12</v>
      </c>
      <c r="H7" s="558" t="s">
        <v>470</v>
      </c>
      <c r="I7" s="774" t="s">
        <v>406</v>
      </c>
      <c r="J7" s="215" t="str">
        <f>+'12'!J7</f>
        <v>T 12,5 VP OW</v>
      </c>
      <c r="K7" s="239"/>
      <c r="L7" s="243"/>
      <c r="M7" s="118">
        <f>+K7+'12'!M7+L7</f>
        <v>21165</v>
      </c>
      <c r="O7" s="150">
        <v>1230</v>
      </c>
      <c r="P7" s="150">
        <f>+O7-O7*0.23</f>
        <v>947.09999999999991</v>
      </c>
      <c r="Q7" s="150">
        <v>480</v>
      </c>
      <c r="R7" s="150">
        <f>+O7*Q7</f>
        <v>590400</v>
      </c>
      <c r="S7" s="150">
        <f>+P7*Q7</f>
        <v>454607.99999999994</v>
      </c>
      <c r="U7" s="150">
        <v>1230</v>
      </c>
      <c r="V7" s="150">
        <f>+U7-U7*0.23</f>
        <v>947.09999999999991</v>
      </c>
      <c r="W7" s="150">
        <v>480</v>
      </c>
      <c r="X7" s="150">
        <f>+U7*W7</f>
        <v>590400</v>
      </c>
      <c r="Y7" s="150">
        <f>+V7*W7</f>
        <v>454607.99999999994</v>
      </c>
    </row>
    <row r="8" spans="1:25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+'12'!J8</f>
        <v>F 13 VP OW</v>
      </c>
      <c r="K8" s="240"/>
      <c r="L8" s="240"/>
      <c r="M8" s="118">
        <f>+K8+'12'!M8+L8</f>
        <v>121388</v>
      </c>
      <c r="P8" s="150">
        <f>+O8-O8*0.21</f>
        <v>0</v>
      </c>
      <c r="R8" s="150">
        <f>+O8*Q8</f>
        <v>0</v>
      </c>
      <c r="S8" s="150">
        <f>+P8*Q8</f>
        <v>0</v>
      </c>
      <c r="T8" s="150" t="s">
        <v>482</v>
      </c>
      <c r="U8" s="150">
        <v>1200</v>
      </c>
      <c r="V8" s="150">
        <v>948</v>
      </c>
      <c r="W8" s="150">
        <v>110</v>
      </c>
      <c r="X8" s="150">
        <f>+U8*W8</f>
        <v>132000</v>
      </c>
      <c r="Y8" s="150">
        <f>+V8*W8</f>
        <v>104280</v>
      </c>
    </row>
    <row r="9" spans="1:25" ht="13.5" thickBot="1">
      <c r="A9" s="772"/>
      <c r="B9" s="216"/>
      <c r="C9" s="217"/>
      <c r="D9" s="218"/>
      <c r="E9" s="221"/>
      <c r="F9" s="229">
        <f>33-16</f>
        <v>17</v>
      </c>
      <c r="G9" s="559" t="s">
        <v>12</v>
      </c>
      <c r="H9" s="234" t="s">
        <v>442</v>
      </c>
      <c r="I9" s="775"/>
      <c r="J9" s="215" t="str">
        <f>+'12'!J9</f>
        <v>F 12 VP OW</v>
      </c>
      <c r="K9" s="240"/>
      <c r="L9" s="240"/>
      <c r="M9" s="118">
        <f>+K9+'12'!M9+L9</f>
        <v>86796</v>
      </c>
      <c r="P9" s="150">
        <f t="shared" ref="P9" si="0">+O9-O9*0.23</f>
        <v>0</v>
      </c>
      <c r="R9" s="150">
        <f>+O9*Q9</f>
        <v>0</v>
      </c>
      <c r="S9" s="150">
        <f>+P9*Q9</f>
        <v>0</v>
      </c>
      <c r="V9" s="150">
        <f t="shared" ref="V9" si="1">+U9-U9*0.23</f>
        <v>0</v>
      </c>
      <c r="X9" s="150">
        <f>+U9*W9</f>
        <v>0</v>
      </c>
      <c r="Y9" s="150">
        <f>+V9*W9</f>
        <v>0</v>
      </c>
    </row>
    <row r="10" spans="1:25" ht="13.5" thickBot="1">
      <c r="A10" s="772"/>
      <c r="B10" s="216"/>
      <c r="C10" s="217"/>
      <c r="D10" s="218"/>
      <c r="E10" s="220"/>
      <c r="F10" s="229"/>
      <c r="G10" s="230"/>
      <c r="H10" s="560" t="s">
        <v>516</v>
      </c>
      <c r="I10" s="775"/>
      <c r="J10" s="215" t="str">
        <f>+'12'!J10</f>
        <v>F 12,5 VP OW</v>
      </c>
      <c r="K10" s="240"/>
      <c r="L10" s="240"/>
      <c r="M10" s="118">
        <f>+K10+'12'!M10+L10</f>
        <v>19792</v>
      </c>
      <c r="Q10" s="150">
        <f>SUM(Q6:Q9)</f>
        <v>960</v>
      </c>
      <c r="R10" s="150">
        <f>SUM(R6:R9)</f>
        <v>1180800</v>
      </c>
      <c r="S10" s="150">
        <f>SUM(S6:S9)</f>
        <v>909215.99999999988</v>
      </c>
      <c r="W10" s="150">
        <f>SUM(W6:W9)</f>
        <v>1070</v>
      </c>
      <c r="X10" s="150">
        <f>SUM(X6:X9)</f>
        <v>1312800</v>
      </c>
      <c r="Y10" s="150">
        <f>SUM(Y6:Y9)</f>
        <v>1013495.9999999999</v>
      </c>
    </row>
    <row r="11" spans="1:25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+'12'!J11</f>
        <v>T 13 VP OW</v>
      </c>
      <c r="K11" s="240">
        <f>+C7+C16+C25</f>
        <v>34942</v>
      </c>
      <c r="L11" s="240"/>
      <c r="M11" s="118">
        <f>+K11+'12'!M11+L11</f>
        <v>278149</v>
      </c>
      <c r="R11" s="150">
        <f>+R10/Q10</f>
        <v>1230</v>
      </c>
      <c r="S11" s="150">
        <f>+S10/Q10</f>
        <v>947.09999999999991</v>
      </c>
      <c r="X11" s="150">
        <f>+X10/W10</f>
        <v>1226.9158878504672</v>
      </c>
      <c r="Y11" s="150">
        <f>+Y10/W10</f>
        <v>947.19252336448585</v>
      </c>
    </row>
    <row r="12" spans="1:25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 t="s">
        <v>541</v>
      </c>
      <c r="K12" s="240">
        <f>+C26</f>
        <v>4796</v>
      </c>
      <c r="L12" s="240"/>
      <c r="M12" s="118">
        <f>+K12+'12'!M12+L12</f>
        <v>4796</v>
      </c>
    </row>
    <row r="13" spans="1:25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+'12'!J13</f>
        <v>0</v>
      </c>
      <c r="K13" s="240"/>
      <c r="L13" s="240"/>
      <c r="M13" s="118">
        <f>+K13+'12'!M13+L13</f>
        <v>0</v>
      </c>
    </row>
    <row r="14" spans="1:25" ht="13.5" thickBot="1">
      <c r="A14" s="773"/>
      <c r="B14" s="166" t="s">
        <v>2</v>
      </c>
      <c r="C14" s="100">
        <f>SUM(C7:C13)</f>
        <v>15187</v>
      </c>
      <c r="D14" s="112">
        <f>SUM(D7:D13)</f>
        <v>0</v>
      </c>
      <c r="E14" s="113">
        <f>SUM(E5:E13)</f>
        <v>0</v>
      </c>
      <c r="F14" s="117">
        <f>SUM(F7:F13)</f>
        <v>33</v>
      </c>
      <c r="G14" s="160"/>
      <c r="H14" s="167"/>
      <c r="I14" s="168"/>
      <c r="J14" s="215">
        <f>+'12'!J14</f>
        <v>0</v>
      </c>
      <c r="K14" s="240"/>
      <c r="L14" s="240"/>
      <c r="M14" s="118">
        <f>+K14+'12'!M14+L14</f>
        <v>0</v>
      </c>
    </row>
    <row r="15" spans="1:25" ht="13.5" customHeight="1" thickBot="1">
      <c r="A15" s="771" t="s">
        <v>423</v>
      </c>
      <c r="B15" s="166"/>
      <c r="C15" s="114">
        <f>C14/($C$23+$D$23+$E$23)</f>
        <v>0.99665310408190055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406</v>
      </c>
      <c r="J15" s="215">
        <f>+'12'!J15</f>
        <v>0</v>
      </c>
      <c r="K15" s="240"/>
      <c r="L15" s="240"/>
      <c r="M15" s="118">
        <f>+K15+'12'!M15+L15</f>
        <v>0</v>
      </c>
    </row>
    <row r="16" spans="1:25" ht="13.5" thickBot="1">
      <c r="A16" s="777"/>
      <c r="B16" s="216" t="s">
        <v>494</v>
      </c>
      <c r="C16" s="223">
        <v>15238</v>
      </c>
      <c r="D16" s="224"/>
      <c r="E16" s="225"/>
      <c r="F16" s="232">
        <v>9</v>
      </c>
      <c r="G16" s="559" t="s">
        <v>12</v>
      </c>
      <c r="H16" s="231" t="s">
        <v>521</v>
      </c>
      <c r="I16" s="775"/>
      <c r="J16" s="215">
        <f>+'12'!J16</f>
        <v>0</v>
      </c>
      <c r="K16" s="230"/>
      <c r="L16" s="230"/>
      <c r="M16" s="118">
        <f>+K16+'12'!M16+L16</f>
        <v>0</v>
      </c>
    </row>
    <row r="17" spans="1:19" ht="13.5" thickBot="1">
      <c r="A17" s="777"/>
      <c r="B17" s="216"/>
      <c r="C17" s="217"/>
      <c r="D17" s="218"/>
      <c r="E17" s="226"/>
      <c r="F17" s="229">
        <v>10</v>
      </c>
      <c r="G17" s="559" t="s">
        <v>12</v>
      </c>
      <c r="H17" s="234" t="s">
        <v>442</v>
      </c>
      <c r="I17" s="775"/>
      <c r="J17" s="215">
        <f>+'12'!J17</f>
        <v>0</v>
      </c>
      <c r="K17" s="230"/>
      <c r="L17" s="230"/>
      <c r="M17" s="118">
        <f>+K17+'12'!M17+L17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516</v>
      </c>
      <c r="I18" s="775"/>
      <c r="J18" s="215">
        <f>+'12'!J18</f>
        <v>0</v>
      </c>
      <c r="K18" s="240"/>
      <c r="L18" s="240"/>
      <c r="M18" s="118">
        <f>+K18+'12'!M18+L18</f>
        <v>0</v>
      </c>
    </row>
    <row r="19" spans="1:19" ht="51.75" thickBot="1">
      <c r="A19" s="777"/>
      <c r="B19" s="216"/>
      <c r="C19" s="217"/>
      <c r="D19" s="218"/>
      <c r="E19" s="226"/>
      <c r="F19" s="236"/>
      <c r="G19" s="233"/>
      <c r="H19" s="234" t="s">
        <v>531</v>
      </c>
      <c r="I19" s="775"/>
      <c r="J19" s="215">
        <f>+'12'!J19</f>
        <v>0</v>
      </c>
      <c r="K19" s="240"/>
      <c r="L19" s="240"/>
      <c r="M19" s="118">
        <f>+K19+'12'!M19+L19</f>
        <v>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+'12'!J20</f>
        <v>0</v>
      </c>
      <c r="K20" s="241"/>
      <c r="L20" s="241"/>
      <c r="M20" s="118">
        <f>+K20+'12'!M20+L20</f>
        <v>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+'12'!J21</f>
        <v>0</v>
      </c>
      <c r="K21" s="240"/>
      <c r="L21" s="240"/>
      <c r="M21" s="118">
        <f>+K21+'12'!M21+L21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+'12'!J22</f>
        <v>0</v>
      </c>
      <c r="K22" s="240"/>
      <c r="L22" s="240"/>
      <c r="M22" s="118">
        <f>+K22+'12'!M22+L22</f>
        <v>0</v>
      </c>
    </row>
    <row r="23" spans="1:19" ht="13.5" thickBot="1">
      <c r="A23" s="778"/>
      <c r="B23" s="169" t="s">
        <v>2</v>
      </c>
      <c r="C23" s="101">
        <f>SUM(C16:C22)</f>
        <v>15238</v>
      </c>
      <c r="D23" s="112">
        <f>SUM(D16:D22)</f>
        <v>0</v>
      </c>
      <c r="E23" s="113">
        <f>SUM(E18:E22)</f>
        <v>0</v>
      </c>
      <c r="F23" s="117">
        <f>SUM(F15:F22)</f>
        <v>19</v>
      </c>
      <c r="G23" s="160"/>
      <c r="H23" s="167"/>
      <c r="I23" s="170"/>
      <c r="J23" s="215">
        <f>+'12'!J23</f>
        <v>0</v>
      </c>
      <c r="K23" s="240"/>
      <c r="L23" s="240"/>
      <c r="M23" s="118">
        <f>+K23+'12'!M23+L23</f>
        <v>0</v>
      </c>
    </row>
    <row r="24" spans="1:19" ht="13.5" customHeight="1" thickBot="1">
      <c r="A24" s="771" t="s">
        <v>422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16</v>
      </c>
      <c r="G24" s="557" t="s">
        <v>12</v>
      </c>
      <c r="H24" s="558" t="s">
        <v>470</v>
      </c>
      <c r="I24" s="774" t="s">
        <v>537</v>
      </c>
      <c r="J24" s="215">
        <f>+'12'!J24</f>
        <v>0</v>
      </c>
      <c r="K24" s="240"/>
      <c r="L24" s="240"/>
      <c r="M24" s="118">
        <f>+K24+'12'!M24+L24</f>
        <v>0</v>
      </c>
    </row>
    <row r="25" spans="1:19" ht="13.5" thickBot="1">
      <c r="A25" s="777"/>
      <c r="B25" s="216" t="s">
        <v>494</v>
      </c>
      <c r="C25" s="227">
        <v>4517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+'12'!J25</f>
        <v>0</v>
      </c>
      <c r="K25" s="240"/>
      <c r="L25" s="240"/>
      <c r="M25" s="118">
        <f>+K25+'12'!M25+L25</f>
        <v>0</v>
      </c>
      <c r="N25" s="150" t="s">
        <v>482</v>
      </c>
      <c r="O25" s="150">
        <v>1200</v>
      </c>
      <c r="P25" s="150">
        <f>+O25-O25*0.21</f>
        <v>948</v>
      </c>
      <c r="Q25" s="150">
        <f>60+50</f>
        <v>110</v>
      </c>
      <c r="R25" s="150">
        <f>+O25*Q25</f>
        <v>132000</v>
      </c>
      <c r="S25" s="150">
        <f>+P25*Q25</f>
        <v>104280</v>
      </c>
    </row>
    <row r="26" spans="1:19" ht="13.5" thickBot="1">
      <c r="A26" s="777"/>
      <c r="B26" s="216" t="s">
        <v>541</v>
      </c>
      <c r="C26" s="227">
        <v>4796</v>
      </c>
      <c r="D26" s="218"/>
      <c r="E26" s="228"/>
      <c r="F26" s="229">
        <f>29-16</f>
        <v>13</v>
      </c>
      <c r="G26" s="559" t="s">
        <v>12</v>
      </c>
      <c r="H26" s="234" t="s">
        <v>453</v>
      </c>
      <c r="I26" s="775"/>
      <c r="J26" s="215">
        <f>+'12'!J26</f>
        <v>0</v>
      </c>
      <c r="K26" s="240"/>
      <c r="L26" s="240"/>
      <c r="M26" s="118">
        <f>+K26+'12'!M26+L26</f>
        <v>0</v>
      </c>
      <c r="N26" s="150" t="s">
        <v>536</v>
      </c>
      <c r="O26" s="150">
        <v>1220</v>
      </c>
      <c r="P26" s="150">
        <f>+O26-O26*0.23</f>
        <v>939.4</v>
      </c>
      <c r="Q26" s="150">
        <f>60-50+240+7</f>
        <v>257</v>
      </c>
      <c r="R26" s="150">
        <f>+O26*Q26</f>
        <v>313540</v>
      </c>
      <c r="S26" s="150">
        <f>+P26*Q26</f>
        <v>241425.8</v>
      </c>
    </row>
    <row r="27" spans="1:19" ht="51.75" thickBot="1">
      <c r="A27" s="777"/>
      <c r="B27" s="216"/>
      <c r="C27" s="217"/>
      <c r="D27" s="218"/>
      <c r="E27" s="226"/>
      <c r="F27" s="229">
        <v>113</v>
      </c>
      <c r="G27" s="230" t="s">
        <v>532</v>
      </c>
      <c r="H27" s="560" t="s">
        <v>530</v>
      </c>
      <c r="I27" s="775"/>
      <c r="J27" s="215">
        <f>+'12'!J27</f>
        <v>0</v>
      </c>
      <c r="K27" s="240"/>
      <c r="L27" s="240"/>
      <c r="M27" s="118">
        <f>+K27+'12'!M27+L27</f>
        <v>0</v>
      </c>
      <c r="P27" s="150">
        <f>+O27-O27*0.21</f>
        <v>0</v>
      </c>
      <c r="R27" s="150">
        <f>+O27*Q27</f>
        <v>0</v>
      </c>
      <c r="S27" s="150">
        <f>+P27*Q27</f>
        <v>0</v>
      </c>
    </row>
    <row r="28" spans="1:19" ht="141" thickBot="1">
      <c r="A28" s="777"/>
      <c r="B28" s="216"/>
      <c r="C28" s="217"/>
      <c r="D28" s="218"/>
      <c r="E28" s="226"/>
      <c r="F28" s="232"/>
      <c r="G28" s="233"/>
      <c r="H28" s="234" t="s">
        <v>533</v>
      </c>
      <c r="I28" s="775"/>
      <c r="J28" s="215">
        <f>+'12'!J28</f>
        <v>0</v>
      </c>
      <c r="K28" s="240"/>
      <c r="L28" s="240"/>
      <c r="M28" s="118">
        <f>+K28+'12'!M28+L28</f>
        <v>0</v>
      </c>
      <c r="P28" s="150">
        <f t="shared" ref="P28" si="2">+O28-O28*0.23</f>
        <v>0</v>
      </c>
      <c r="R28" s="150">
        <f>+O28*Q28</f>
        <v>0</v>
      </c>
      <c r="S28" s="150">
        <f>+P28*Q28</f>
        <v>0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+'12'!J29</f>
        <v>0</v>
      </c>
      <c r="K29" s="240"/>
      <c r="L29" s="240"/>
      <c r="M29" s="118">
        <f>+K29+'12'!M29+L29</f>
        <v>0</v>
      </c>
      <c r="Q29" s="150">
        <f>SUM(Q25:Q28)</f>
        <v>367</v>
      </c>
      <c r="R29" s="150">
        <f>SUM(R25:R28)</f>
        <v>445540</v>
      </c>
      <c r="S29" s="150">
        <f>SUM(S25:S28)</f>
        <v>345705.8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+'12'!J30</f>
        <v>0</v>
      </c>
      <c r="K30" s="240"/>
      <c r="L30" s="240"/>
      <c r="M30" s="118">
        <f>+K30+'12'!M30+L30</f>
        <v>0</v>
      </c>
      <c r="Q30" s="150">
        <v>113</v>
      </c>
      <c r="R30" s="150">
        <f>+R29/Q29</f>
        <v>1214.0054495912807</v>
      </c>
      <c r="S30" s="150">
        <f>+S29/Q29</f>
        <v>941.97765667574924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+'12'!J31</f>
        <v>0</v>
      </c>
      <c r="K31" s="240"/>
      <c r="L31" s="240"/>
      <c r="M31" s="118">
        <f>+K31+'12'!M31+L31</f>
        <v>0</v>
      </c>
      <c r="Q31" s="150">
        <f>+Q29+Q30</f>
        <v>480</v>
      </c>
    </row>
    <row r="32" spans="1:19" ht="13.5" thickBot="1">
      <c r="A32" s="778"/>
      <c r="B32" s="166" t="s">
        <v>2</v>
      </c>
      <c r="C32" s="100">
        <f>SUM(C25:C31)</f>
        <v>9313</v>
      </c>
      <c r="D32" s="101">
        <f>SUM(D25:D31)</f>
        <v>0</v>
      </c>
      <c r="E32" s="102">
        <f>SUM(E25:E31)</f>
        <v>0</v>
      </c>
      <c r="F32" s="103">
        <f>SUM(F24:F31)</f>
        <v>142</v>
      </c>
      <c r="G32" s="172"/>
      <c r="H32" s="173"/>
      <c r="I32" s="170"/>
      <c r="J32" s="215">
        <f>+'12'!J32</f>
        <v>0</v>
      </c>
      <c r="K32" s="242"/>
      <c r="L32" s="244"/>
      <c r="M32" s="118">
        <f>+K32+'12'!M32+L32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N33" s="150" t="s">
        <v>482</v>
      </c>
      <c r="O33" s="150">
        <v>1226.9158878504672</v>
      </c>
      <c r="P33" s="150">
        <v>947.19252336448585</v>
      </c>
      <c r="Q33" s="150">
        <v>1070</v>
      </c>
    </row>
    <row r="34" spans="1:17" ht="13.5" thickBot="1">
      <c r="A34" s="767" t="s">
        <v>57</v>
      </c>
      <c r="B34" s="768"/>
      <c r="C34" s="108">
        <f>C14+C23+C32</f>
        <v>39738</v>
      </c>
      <c r="D34" s="108">
        <f>D14+D23+D32</f>
        <v>0</v>
      </c>
      <c r="E34" s="108">
        <f>E14+E23+E32</f>
        <v>0</v>
      </c>
      <c r="F34" s="109">
        <f>F14+F23+F32</f>
        <v>194</v>
      </c>
      <c r="H34" s="179"/>
      <c r="I34" s="179"/>
      <c r="J34" s="124" t="s">
        <v>28</v>
      </c>
      <c r="K34" s="125">
        <f>SUM(K7:K32)</f>
        <v>39738</v>
      </c>
      <c r="L34" s="213">
        <f>SUM(L7:L32)</f>
        <v>0</v>
      </c>
      <c r="M34" s="121">
        <f>SUM(M7:M32)</f>
        <v>532086</v>
      </c>
      <c r="N34" s="150" t="s">
        <v>536</v>
      </c>
      <c r="O34" s="150">
        <v>1220</v>
      </c>
      <c r="P34" s="150">
        <v>939.4</v>
      </c>
      <c r="Q34" s="150">
        <v>257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Q35" s="150">
        <f>SUM(Q33:Q34)</f>
        <v>1327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(13*1070+257*11.5)/1327*G42*2.74*1327/1000000</f>
        <v>43.701417568233609</v>
      </c>
      <c r="J37" s="126">
        <f>+I37+'12'!J37</f>
        <v>601.9540081475817</v>
      </c>
      <c r="K37" s="127" t="s">
        <v>63</v>
      </c>
      <c r="N37" s="150">
        <v>480</v>
      </c>
    </row>
    <row r="38" spans="1:17" ht="17.45" customHeight="1">
      <c r="A38" s="761" t="s">
        <v>12</v>
      </c>
      <c r="B38" s="762"/>
      <c r="C38" s="165">
        <f>SUMIF($G$7:$G$31,"Process",$F$7:$F$31)</f>
        <v>81</v>
      </c>
      <c r="D38" s="119">
        <f>+C38+'12'!D38</f>
        <v>1053</v>
      </c>
      <c r="E38" s="144">
        <f t="shared" ref="E38:E51" si="3">D38/60</f>
        <v>17.55</v>
      </c>
      <c r="F38" s="323">
        <v>1230</v>
      </c>
      <c r="G38" s="323">
        <v>947.09999999999991</v>
      </c>
      <c r="H38" s="188" t="s">
        <v>64</v>
      </c>
      <c r="I38" s="246">
        <f>15.439+15.215+10.18</f>
        <v>40.834000000000003</v>
      </c>
      <c r="J38" s="128">
        <f>+I38+'12'!J38</f>
        <v>546.452</v>
      </c>
      <c r="K38" s="129" t="s">
        <v>63</v>
      </c>
      <c r="N38" s="150">
        <v>480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+C39+'12'!D39</f>
        <v>0</v>
      </c>
      <c r="E39" s="144">
        <f t="shared" si="3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46.3041544728909</v>
      </c>
      <c r="K39" s="131" t="s">
        <v>63</v>
      </c>
      <c r="N39" s="150">
        <v>367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+C40+'12'!D40</f>
        <v>0</v>
      </c>
      <c r="E40" s="144">
        <f t="shared" si="3"/>
        <v>0</v>
      </c>
      <c r="F40" s="323">
        <v>1214.0054495912807</v>
      </c>
      <c r="G40" s="323">
        <v>941.97765667574924</v>
      </c>
      <c r="H40" s="188" t="s">
        <v>67</v>
      </c>
      <c r="I40" s="119">
        <f>(K34+L34)/1000</f>
        <v>39.738</v>
      </c>
      <c r="J40" s="132">
        <f>+I40+'12'!J40</f>
        <v>532.08600000000001</v>
      </c>
      <c r="K40" s="131" t="s">
        <v>63</v>
      </c>
      <c r="N40" s="150">
        <f>SUM(N37:N39)</f>
        <v>1327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+C41+'12'!D41</f>
        <v>0</v>
      </c>
      <c r="E41" s="144">
        <f t="shared" si="3"/>
        <v>0</v>
      </c>
      <c r="F41" s="323"/>
      <c r="G41" s="323"/>
      <c r="H41" s="188" t="s">
        <v>69</v>
      </c>
      <c r="I41" s="143"/>
      <c r="J41" s="130">
        <f>J40/G4</f>
        <v>40.929692307692306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+C42+'12'!D42</f>
        <v>0</v>
      </c>
      <c r="E42" s="144">
        <f t="shared" si="3"/>
        <v>0</v>
      </c>
      <c r="F42" s="323">
        <f>+(480*F38+480*F39+367*F40)/1327</f>
        <v>1225.5764883195177</v>
      </c>
      <c r="G42" s="323">
        <f>+(480*G38+480*G39+367*G40)/1327</f>
        <v>945.68334589299161</v>
      </c>
      <c r="H42" s="188" t="s">
        <v>70</v>
      </c>
      <c r="I42" s="247" t="s">
        <v>538</v>
      </c>
      <c r="J42" s="133"/>
      <c r="K42" s="131" t="s">
        <v>71</v>
      </c>
    </row>
    <row r="43" spans="1:17" ht="17.45" customHeight="1">
      <c r="A43" s="765" t="s">
        <v>72</v>
      </c>
      <c r="B43" s="766"/>
      <c r="C43" s="165">
        <f>SUMIF($G$7:$G$31,"Water",$F$7:$F$31)</f>
        <v>0</v>
      </c>
      <c r="D43" s="119">
        <f>+C43+'12'!D43</f>
        <v>0</v>
      </c>
      <c r="E43" s="144">
        <f t="shared" si="3"/>
        <v>0</v>
      </c>
      <c r="F43" s="323"/>
      <c r="G43" s="324"/>
      <c r="H43" s="189" t="s">
        <v>73</v>
      </c>
      <c r="I43" s="119">
        <f>+Report1!Z21</f>
        <v>60.5</v>
      </c>
      <c r="J43" s="134">
        <f>+I43+'12'!J43</f>
        <v>812.19999999999993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+C44+'12'!D44</f>
        <v>0</v>
      </c>
      <c r="E44" s="144">
        <f t="shared" si="3"/>
        <v>0</v>
      </c>
      <c r="F44" s="323"/>
      <c r="G44" s="324"/>
      <c r="H44" s="189" t="s">
        <v>74</v>
      </c>
      <c r="I44" s="119">
        <f>I43/I38</f>
        <v>1.4816084635352891</v>
      </c>
      <c r="J44" s="135">
        <f>J43/J38</f>
        <v>1.4863153579820367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+C45+'12'!D45</f>
        <v>0</v>
      </c>
      <c r="E45" s="144">
        <f t="shared" si="3"/>
        <v>0</v>
      </c>
      <c r="F45" s="323"/>
      <c r="G45" s="326"/>
      <c r="H45" s="189" t="s">
        <v>75</v>
      </c>
      <c r="I45" s="119">
        <f>I43/I40</f>
        <v>1.5224721928632543</v>
      </c>
      <c r="J45" s="135">
        <f>J43/J40</f>
        <v>1.526444973181027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+C46+'12'!D46</f>
        <v>0</v>
      </c>
      <c r="E46" s="144">
        <f t="shared" si="3"/>
        <v>0</v>
      </c>
      <c r="F46" s="323"/>
      <c r="G46" s="324"/>
      <c r="H46" s="189" t="s">
        <v>77</v>
      </c>
      <c r="I46" s="141">
        <f>+SUMIF(Listrik!P20,"&gt;0")</f>
        <v>34840.260000001093</v>
      </c>
      <c r="J46" s="136">
        <f>+I46+'12'!J46</f>
        <v>481706.4200000001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+C47+'12'!D47</f>
        <v>0</v>
      </c>
      <c r="E47" s="144">
        <f t="shared" si="3"/>
        <v>0</v>
      </c>
      <c r="F47" s="323"/>
      <c r="G47" s="324"/>
      <c r="H47" s="189" t="s">
        <v>80</v>
      </c>
      <c r="I47" s="119">
        <f>I46/I38</f>
        <v>853.21692707060515</v>
      </c>
      <c r="J47" s="136">
        <f>J46/J38</f>
        <v>881.51643694231166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+C48+'12'!D48</f>
        <v>0</v>
      </c>
      <c r="E48" s="144">
        <f t="shared" si="3"/>
        <v>0</v>
      </c>
      <c r="F48" s="323"/>
      <c r="G48" s="324"/>
      <c r="H48" s="189" t="s">
        <v>81</v>
      </c>
      <c r="I48" s="119">
        <f>I46/I40</f>
        <v>876.74920730789404</v>
      </c>
      <c r="J48" s="136">
        <f>J46/J40</f>
        <v>905.3168472765683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+C49+'12'!D49</f>
        <v>301</v>
      </c>
      <c r="E49" s="144">
        <f t="shared" si="3"/>
        <v>5.0166666666666666</v>
      </c>
      <c r="F49" s="186"/>
      <c r="H49" s="189" t="s">
        <v>269</v>
      </c>
      <c r="I49" s="119">
        <f>+Report1!T21</f>
        <v>3965.3769686834903</v>
      </c>
      <c r="J49" s="136">
        <f>+I49+'12'!J49</f>
        <v>54515.538042860004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+C50+'12'!D50</f>
        <v>0</v>
      </c>
      <c r="E50" s="144">
        <f t="shared" si="3"/>
        <v>0</v>
      </c>
      <c r="F50" s="186"/>
      <c r="H50" s="189" t="s">
        <v>83</v>
      </c>
      <c r="I50" s="141">
        <f>I49/I38</f>
        <v>97.109687238171375</v>
      </c>
      <c r="J50" s="134">
        <f>J49/J38</f>
        <v>99.76272031735634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113</v>
      </c>
      <c r="D51" s="119">
        <f>+C51+'12'!D51</f>
        <v>113</v>
      </c>
      <c r="E51" s="144">
        <f t="shared" si="3"/>
        <v>1.8833333333333333</v>
      </c>
      <c r="F51" s="186"/>
      <c r="H51" s="191" t="s">
        <v>85</v>
      </c>
      <c r="I51" s="142">
        <f>I49/I40</f>
        <v>99.788035851917314</v>
      </c>
      <c r="J51" s="137">
        <f>J49/J40</f>
        <v>102.45625339298535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194</v>
      </c>
      <c r="D52" s="145">
        <f>SUM(D38:D51)</f>
        <v>1467</v>
      </c>
      <c r="E52" s="146">
        <f>SUM(E38:E51)</f>
        <v>24.45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0.13472222222222222</v>
      </c>
      <c r="D53" s="147">
        <f>D52/(24*60*G4)</f>
        <v>7.8365384615384615E-2</v>
      </c>
      <c r="E53" s="148">
        <f>E52/(G4*24)</f>
        <v>7.8365384615384615E-2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+D34+'12'!J56</f>
        <v>1008</v>
      </c>
      <c r="K56" s="202">
        <f>J56/(J40+J56/1000)/1000</f>
        <v>1.8908485182725747E-3</v>
      </c>
    </row>
    <row r="57" spans="1:11">
      <c r="A57" s="177"/>
      <c r="I57" s="200" t="s">
        <v>88</v>
      </c>
      <c r="J57" s="201">
        <f>+E34+'12'!J57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I7:I13"/>
    <mergeCell ref="A15:A23"/>
    <mergeCell ref="I15:I22"/>
    <mergeCell ref="A46:B46"/>
    <mergeCell ref="A47:B47"/>
    <mergeCell ref="A44:B44"/>
    <mergeCell ref="A45:B45"/>
    <mergeCell ref="A7:A14"/>
    <mergeCell ref="A40:B40"/>
    <mergeCell ref="I24:I31"/>
    <mergeCell ref="A43:B43"/>
    <mergeCell ref="A24:A32"/>
    <mergeCell ref="A34:B34"/>
    <mergeCell ref="A37:B37"/>
    <mergeCell ref="A38:B38"/>
    <mergeCell ref="A41:B41"/>
    <mergeCell ref="A42:B42"/>
    <mergeCell ref="A39:B39"/>
    <mergeCell ref="A53:B53"/>
    <mergeCell ref="A48:B48"/>
    <mergeCell ref="A49:B49"/>
    <mergeCell ref="A50:B50"/>
    <mergeCell ref="A51:B51"/>
    <mergeCell ref="A52:B52"/>
  </mergeCells>
  <phoneticPr fontId="32" type="noConversion"/>
  <printOptions horizontalCentered="1"/>
  <pageMargins left="0.17" right="0.16" top="0.17" bottom="0.16" header="0.17" footer="0"/>
  <pageSetup paperSize="9" scale="62" firstPageNumber="4294963191" fitToWidth="20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topLeftCell="E4" zoomScale="80" zoomScaleNormal="80" workbookViewId="0">
      <selection activeCell="S22" sqref="S2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4" style="150" bestFit="1" customWidth="1"/>
    <col min="12" max="12" width="8.28515625" style="150" customWidth="1"/>
    <col min="13" max="13" width="1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12</v>
      </c>
      <c r="H4" s="155" t="str">
        <f>+'1'!H4</f>
        <v>.07.25</v>
      </c>
      <c r="J4" s="150">
        <f>573+549+554</f>
        <v>1676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482</v>
      </c>
      <c r="O6" s="150">
        <v>1200</v>
      </c>
      <c r="P6" s="150">
        <f>+O6-O6*0.23</f>
        <v>924</v>
      </c>
      <c r="Q6" s="150">
        <v>480</v>
      </c>
      <c r="R6" s="150">
        <f>+O6*Q6</f>
        <v>576000</v>
      </c>
      <c r="S6" s="150">
        <f>+P6*Q6</f>
        <v>443520</v>
      </c>
    </row>
    <row r="7" spans="1:19" ht="13.5" customHeight="1" thickBot="1">
      <c r="A7" s="771" t="s">
        <v>445</v>
      </c>
      <c r="B7" s="216" t="s">
        <v>494</v>
      </c>
      <c r="C7" s="217">
        <v>14083</v>
      </c>
      <c r="D7" s="218"/>
      <c r="E7" s="219"/>
      <c r="F7" s="229">
        <v>8</v>
      </c>
      <c r="G7" s="557" t="s">
        <v>12</v>
      </c>
      <c r="H7" s="558" t="s">
        <v>470</v>
      </c>
      <c r="I7" s="774" t="s">
        <v>509</v>
      </c>
      <c r="J7" s="215" t="str">
        <f>+'11'!J7</f>
        <v>T 12,5 VP OW</v>
      </c>
      <c r="K7" s="239"/>
      <c r="L7" s="243"/>
      <c r="M7" s="118">
        <f>+K7+'11'!M7+L7</f>
        <v>21165</v>
      </c>
      <c r="O7" s="150">
        <v>1200</v>
      </c>
      <c r="P7" s="150">
        <f>+O7-O7*0.23</f>
        <v>924</v>
      </c>
      <c r="Q7" s="150">
        <v>480</v>
      </c>
      <c r="R7" s="150">
        <f>+O7*Q7</f>
        <v>576000</v>
      </c>
      <c r="S7" s="150">
        <f>+P7*Q7</f>
        <v>443520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+'11'!J8</f>
        <v>F 13 VP OW</v>
      </c>
      <c r="K8" s="240"/>
      <c r="L8" s="240"/>
      <c r="M8" s="118">
        <f>+K8+'11'!M8+L8</f>
        <v>121388</v>
      </c>
      <c r="O8" s="150">
        <v>1200</v>
      </c>
      <c r="P8" s="150">
        <f>+O8-O8*0.21</f>
        <v>948</v>
      </c>
      <c r="Q8" s="150">
        <v>480</v>
      </c>
      <c r="R8" s="150">
        <f>+O8*Q8</f>
        <v>576000</v>
      </c>
      <c r="S8" s="150">
        <f>+P8*Q8</f>
        <v>455040</v>
      </c>
    </row>
    <row r="9" spans="1:19" ht="13.5" thickBot="1">
      <c r="A9" s="772"/>
      <c r="B9" s="216"/>
      <c r="C9" s="217"/>
      <c r="D9" s="218"/>
      <c r="E9" s="221"/>
      <c r="F9" s="229">
        <v>20</v>
      </c>
      <c r="G9" s="559" t="s">
        <v>12</v>
      </c>
      <c r="H9" s="234" t="s">
        <v>442</v>
      </c>
      <c r="I9" s="775"/>
      <c r="J9" s="215" t="str">
        <f>+'11'!J9</f>
        <v>F 12 VP OW</v>
      </c>
      <c r="K9" s="240"/>
      <c r="L9" s="240"/>
      <c r="M9" s="118">
        <f>+K9+'11'!M9+L9</f>
        <v>86796</v>
      </c>
      <c r="P9" s="150">
        <f t="shared" ref="P9" si="0">+O9-O9*0.23</f>
        <v>0</v>
      </c>
      <c r="R9" s="150">
        <f>+O9*Q9</f>
        <v>0</v>
      </c>
      <c r="S9" s="150">
        <f>+P9*Q9</f>
        <v>0</v>
      </c>
    </row>
    <row r="10" spans="1:19" ht="39" thickBot="1">
      <c r="A10" s="772"/>
      <c r="B10" s="216"/>
      <c r="C10" s="217"/>
      <c r="D10" s="218"/>
      <c r="E10" s="220"/>
      <c r="F10" s="229"/>
      <c r="G10" s="230"/>
      <c r="H10" s="560" t="s">
        <v>518</v>
      </c>
      <c r="I10" s="775"/>
      <c r="J10" s="215" t="str">
        <f>+'11'!J10</f>
        <v>F 12,5 VP OW</v>
      </c>
      <c r="K10" s="240"/>
      <c r="L10" s="240"/>
      <c r="M10" s="118">
        <f>+K10+'11'!M10+L10</f>
        <v>19792</v>
      </c>
      <c r="Q10" s="150">
        <f>SUM(Q6:Q9)</f>
        <v>1440</v>
      </c>
      <c r="R10" s="150">
        <f>SUM(R6:R9)</f>
        <v>1728000</v>
      </c>
      <c r="S10" s="150">
        <f>SUM(S6:S9)</f>
        <v>1342080</v>
      </c>
    </row>
    <row r="11" spans="1:1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+'11'!J11</f>
        <v>T 13 VP OW</v>
      </c>
      <c r="K11" s="240">
        <f>+C34</f>
        <v>43520</v>
      </c>
      <c r="L11" s="240"/>
      <c r="M11" s="118">
        <f>+K11+'11'!M11+L11</f>
        <v>243207</v>
      </c>
      <c r="R11" s="150">
        <f>+R10/Q10</f>
        <v>1200</v>
      </c>
      <c r="S11" s="150">
        <f>+S10/Q10</f>
        <v>932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+'11'!J12</f>
        <v>0</v>
      </c>
      <c r="K12" s="240"/>
      <c r="L12" s="240"/>
      <c r="M12" s="118">
        <f>+K12+'11'!M12+L12</f>
        <v>0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+'11'!J13</f>
        <v>0</v>
      </c>
      <c r="K13" s="240"/>
      <c r="L13" s="240"/>
      <c r="M13" s="118">
        <f>+K13+'11'!M13+L13</f>
        <v>0</v>
      </c>
    </row>
    <row r="14" spans="1:19" ht="13.5" thickBot="1">
      <c r="A14" s="773"/>
      <c r="B14" s="166" t="s">
        <v>2</v>
      </c>
      <c r="C14" s="100">
        <f>SUM(C7:C13)</f>
        <v>14083</v>
      </c>
      <c r="D14" s="112">
        <f>SUM(D7:D13)</f>
        <v>0</v>
      </c>
      <c r="E14" s="113">
        <f>SUM(E5:E13)</f>
        <v>0</v>
      </c>
      <c r="F14" s="117">
        <f>SUM(F7:F13)</f>
        <v>28</v>
      </c>
      <c r="G14" s="160"/>
      <c r="H14" s="167"/>
      <c r="I14" s="168"/>
      <c r="J14" s="215">
        <f>+'11'!J14</f>
        <v>0</v>
      </c>
      <c r="K14" s="240"/>
      <c r="L14" s="240"/>
      <c r="M14" s="118">
        <f>+K14+'11'!M14+L14</f>
        <v>0</v>
      </c>
    </row>
    <row r="15" spans="1:19" ht="13.5" customHeight="1" thickBot="1">
      <c r="A15" s="771" t="s">
        <v>423</v>
      </c>
      <c r="B15" s="166"/>
      <c r="C15" s="114">
        <f>C14/($C$23+$D$23+$E$23)</f>
        <v>0.93668107748586626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509</v>
      </c>
      <c r="J15" s="215">
        <f>+'11'!J15</f>
        <v>0</v>
      </c>
      <c r="K15" s="240"/>
      <c r="L15" s="240"/>
      <c r="M15" s="118">
        <f>+K15+'11'!M15+L15</f>
        <v>0</v>
      </c>
    </row>
    <row r="16" spans="1:19" ht="13.5" thickBot="1">
      <c r="A16" s="777"/>
      <c r="B16" s="216" t="s">
        <v>494</v>
      </c>
      <c r="C16" s="223">
        <v>15035</v>
      </c>
      <c r="D16" s="224"/>
      <c r="E16" s="225"/>
      <c r="F16" s="232">
        <v>10</v>
      </c>
      <c r="G16" s="559" t="s">
        <v>12</v>
      </c>
      <c r="H16" s="231" t="s">
        <v>460</v>
      </c>
      <c r="I16" s="775"/>
      <c r="J16" s="215">
        <f>+'11'!J16</f>
        <v>0</v>
      </c>
      <c r="K16" s="230"/>
      <c r="L16" s="230"/>
      <c r="M16" s="118">
        <f>+K16+'11'!M16+L16</f>
        <v>0</v>
      </c>
    </row>
    <row r="17" spans="1:13" ht="13.5" thickBot="1">
      <c r="A17" s="777"/>
      <c r="B17" s="216"/>
      <c r="C17" s="217"/>
      <c r="D17" s="218"/>
      <c r="E17" s="226"/>
      <c r="F17" s="229">
        <v>9</v>
      </c>
      <c r="G17" s="559" t="s">
        <v>12</v>
      </c>
      <c r="H17" s="234" t="s">
        <v>453</v>
      </c>
      <c r="I17" s="775"/>
      <c r="J17" s="215">
        <f>+'11'!J17</f>
        <v>0</v>
      </c>
      <c r="K17" s="230"/>
      <c r="L17" s="230"/>
      <c r="M17" s="118">
        <f>+K17+'11'!M17+L17</f>
        <v>0</v>
      </c>
    </row>
    <row r="18" spans="1:13" ht="26.25" thickBot="1">
      <c r="A18" s="777"/>
      <c r="B18" s="216"/>
      <c r="C18" s="217"/>
      <c r="D18" s="218"/>
      <c r="E18" s="226"/>
      <c r="F18" s="229"/>
      <c r="G18" s="230"/>
      <c r="H18" s="560" t="s">
        <v>529</v>
      </c>
      <c r="I18" s="775"/>
      <c r="J18" s="215">
        <f>+'11'!J18</f>
        <v>0</v>
      </c>
      <c r="K18" s="240"/>
      <c r="L18" s="240"/>
      <c r="M18" s="118">
        <f>+K18+'11'!M18+L18</f>
        <v>0</v>
      </c>
    </row>
    <row r="19" spans="1:13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+'11'!J19</f>
        <v>0</v>
      </c>
      <c r="K19" s="240"/>
      <c r="L19" s="240"/>
      <c r="M19" s="118">
        <f>+K19+'11'!M19+L19</f>
        <v>0</v>
      </c>
    </row>
    <row r="20" spans="1:1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+'11'!J20</f>
        <v>0</v>
      </c>
      <c r="K20" s="241"/>
      <c r="L20" s="241"/>
      <c r="M20" s="118">
        <f>+K20+'11'!M20+L20</f>
        <v>0</v>
      </c>
    </row>
    <row r="21" spans="1:1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+'11'!J21</f>
        <v>0</v>
      </c>
      <c r="K21" s="240"/>
      <c r="L21" s="240"/>
      <c r="M21" s="118">
        <f>+K21+'11'!M21+L21</f>
        <v>0</v>
      </c>
    </row>
    <row r="22" spans="1:1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+'11'!J22</f>
        <v>0</v>
      </c>
      <c r="K22" s="240"/>
      <c r="L22" s="240"/>
      <c r="M22" s="118">
        <f>+K22+'11'!M22+L22</f>
        <v>0</v>
      </c>
    </row>
    <row r="23" spans="1:13" ht="13.5" thickBot="1">
      <c r="A23" s="778"/>
      <c r="B23" s="169" t="s">
        <v>2</v>
      </c>
      <c r="C23" s="101">
        <f>SUM(C16:C22)</f>
        <v>15035</v>
      </c>
      <c r="D23" s="112">
        <f>SUM(D16:D22)</f>
        <v>0</v>
      </c>
      <c r="E23" s="113">
        <f>SUM(E18:E22)</f>
        <v>0</v>
      </c>
      <c r="F23" s="117">
        <f>SUM(F15:F22)</f>
        <v>19</v>
      </c>
      <c r="G23" s="160"/>
      <c r="H23" s="167"/>
      <c r="I23" s="170"/>
      <c r="J23" s="215">
        <f>+'11'!J23</f>
        <v>0</v>
      </c>
      <c r="K23" s="240"/>
      <c r="L23" s="240"/>
      <c r="M23" s="118">
        <f>+K23+'11'!M23+L23</f>
        <v>0</v>
      </c>
    </row>
    <row r="24" spans="1:13" ht="13.5" customHeight="1" thickBot="1">
      <c r="A24" s="771" t="s">
        <v>422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16</v>
      </c>
      <c r="G24" s="557" t="s">
        <v>12</v>
      </c>
      <c r="H24" s="558" t="s">
        <v>470</v>
      </c>
      <c r="I24" s="774" t="s">
        <v>534</v>
      </c>
      <c r="J24" s="215">
        <f>+'11'!J24</f>
        <v>0</v>
      </c>
      <c r="K24" s="240"/>
      <c r="L24" s="240"/>
      <c r="M24" s="118">
        <f>+K24+'11'!M24+L24</f>
        <v>0</v>
      </c>
    </row>
    <row r="25" spans="1:13" ht="13.5" customHeight="1" thickBot="1">
      <c r="A25" s="777"/>
      <c r="B25" s="216" t="s">
        <v>494</v>
      </c>
      <c r="C25" s="227">
        <v>14402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+'11'!J25</f>
        <v>0</v>
      </c>
      <c r="K25" s="240"/>
      <c r="L25" s="240"/>
      <c r="M25" s="118">
        <f>+K25+'11'!M25+L25</f>
        <v>0</v>
      </c>
    </row>
    <row r="26" spans="1:13" ht="13.5" customHeight="1" thickBot="1">
      <c r="A26" s="777"/>
      <c r="B26" s="216"/>
      <c r="C26" s="227"/>
      <c r="D26" s="218"/>
      <c r="E26" s="228"/>
      <c r="F26" s="229">
        <f>33-16</f>
        <v>17</v>
      </c>
      <c r="G26" s="559" t="s">
        <v>12</v>
      </c>
      <c r="H26" s="234" t="s">
        <v>409</v>
      </c>
      <c r="I26" s="775"/>
      <c r="J26" s="215">
        <f>+'11'!J26</f>
        <v>0</v>
      </c>
      <c r="K26" s="240"/>
      <c r="L26" s="240"/>
      <c r="M26" s="118">
        <f>+K26+'11'!M26+L26</f>
        <v>0</v>
      </c>
    </row>
    <row r="27" spans="1:13" ht="51.75" thickBot="1">
      <c r="A27" s="777"/>
      <c r="B27" s="216"/>
      <c r="C27" s="217"/>
      <c r="D27" s="218"/>
      <c r="E27" s="226"/>
      <c r="F27" s="229"/>
      <c r="G27" s="230"/>
      <c r="H27" s="560" t="s">
        <v>530</v>
      </c>
      <c r="I27" s="775"/>
      <c r="J27" s="215">
        <f>+'11'!J27</f>
        <v>0</v>
      </c>
      <c r="K27" s="240"/>
      <c r="L27" s="240"/>
      <c r="M27" s="118">
        <f>+K27+'11'!M27+L27</f>
        <v>0</v>
      </c>
    </row>
    <row r="28" spans="1:13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+'11'!J28</f>
        <v>0</v>
      </c>
      <c r="K28" s="240"/>
      <c r="L28" s="240"/>
      <c r="M28" s="118">
        <f>+K28+'11'!M28+L28</f>
        <v>0</v>
      </c>
    </row>
    <row r="29" spans="1:13" ht="13.5" customHeight="1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+'11'!J29</f>
        <v>0</v>
      </c>
      <c r="K29" s="240"/>
      <c r="L29" s="240"/>
      <c r="M29" s="118">
        <f>+K29+'11'!M29+L29</f>
        <v>0</v>
      </c>
    </row>
    <row r="30" spans="1:13" ht="13.5" customHeight="1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+'11'!J30</f>
        <v>0</v>
      </c>
      <c r="K30" s="240"/>
      <c r="L30" s="240"/>
      <c r="M30" s="118">
        <f>+K30+'11'!M30+L30</f>
        <v>0</v>
      </c>
    </row>
    <row r="31" spans="1:13" ht="13.5" customHeight="1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+'11'!J31</f>
        <v>0</v>
      </c>
      <c r="K31" s="240"/>
      <c r="L31" s="240"/>
      <c r="M31" s="118">
        <f>+K31+'11'!M31+L31</f>
        <v>0</v>
      </c>
    </row>
    <row r="32" spans="1:13" ht="13.5" customHeight="1" thickBot="1">
      <c r="A32" s="778"/>
      <c r="B32" s="166" t="s">
        <v>2</v>
      </c>
      <c r="C32" s="100">
        <f>SUM(C25:C31)</f>
        <v>14402</v>
      </c>
      <c r="D32" s="101">
        <f>SUM(D25:D31)</f>
        <v>0</v>
      </c>
      <c r="E32" s="102">
        <f>SUM(E25:E31)</f>
        <v>0</v>
      </c>
      <c r="F32" s="103">
        <f>SUM(F24:F31)</f>
        <v>33</v>
      </c>
      <c r="G32" s="172"/>
      <c r="H32" s="173"/>
      <c r="I32" s="170"/>
      <c r="J32" s="215">
        <f>+'1'!J32</f>
        <v>0</v>
      </c>
      <c r="K32" s="242"/>
      <c r="L32" s="244"/>
      <c r="M32" s="118">
        <f>+K32+'11'!M32+L32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43520</v>
      </c>
      <c r="D34" s="108">
        <f>D14+D23+D32</f>
        <v>0</v>
      </c>
      <c r="E34" s="108">
        <f>E14+E23+E32</f>
        <v>0</v>
      </c>
      <c r="F34" s="109">
        <f>F14+F23+F32</f>
        <v>80</v>
      </c>
      <c r="H34" s="179"/>
      <c r="I34" s="179"/>
      <c r="J34" s="124" t="s">
        <v>28</v>
      </c>
      <c r="K34" s="125">
        <f>SUM(K7:K32)</f>
        <v>43520</v>
      </c>
      <c r="L34" s="213">
        <f>SUM(L7:L32)</f>
        <v>0</v>
      </c>
      <c r="M34" s="121">
        <f>SUM(M7:M32)</f>
        <v>492348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47.80488960000001</v>
      </c>
      <c r="J37" s="126">
        <f>+I37+'11'!J37</f>
        <v>558.25259057934807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80</v>
      </c>
      <c r="D38" s="119">
        <f>+C38+'11'!D38</f>
        <v>972</v>
      </c>
      <c r="E38" s="144">
        <f t="shared" ref="E38:E51" si="1">D38/60</f>
        <v>16.2</v>
      </c>
      <c r="F38" s="323">
        <v>1200</v>
      </c>
      <c r="G38" s="323">
        <v>924</v>
      </c>
      <c r="H38" s="188" t="s">
        <v>64</v>
      </c>
      <c r="I38" s="246">
        <f>15.339+15.356+15.989</f>
        <v>46.683999999999997</v>
      </c>
      <c r="J38" s="128">
        <f>+I38+'11'!J38</f>
        <v>505.61800000000005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+C39+'11'!D39</f>
        <v>0</v>
      </c>
      <c r="E39" s="144">
        <f t="shared" si="1"/>
        <v>0</v>
      </c>
      <c r="F39" s="323">
        <v>1200</v>
      </c>
      <c r="G39" s="323">
        <v>924</v>
      </c>
      <c r="H39" s="188" t="s">
        <v>65</v>
      </c>
      <c r="I39" s="143"/>
      <c r="J39" s="130">
        <f>J37/G4</f>
        <v>46.52104921494567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+C40+'11'!D40</f>
        <v>0</v>
      </c>
      <c r="E40" s="144">
        <f t="shared" si="1"/>
        <v>0</v>
      </c>
      <c r="F40" s="323">
        <v>1200</v>
      </c>
      <c r="G40" s="323">
        <v>948</v>
      </c>
      <c r="H40" s="188" t="s">
        <v>67</v>
      </c>
      <c r="I40" s="119">
        <f>(K34+L34)/1000</f>
        <v>43.52</v>
      </c>
      <c r="J40" s="132">
        <f>+I40+'11'!J40</f>
        <v>492.34799999999996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+C41+'11'!D41</f>
        <v>0</v>
      </c>
      <c r="E41" s="144">
        <f t="shared" si="1"/>
        <v>0</v>
      </c>
      <c r="F41" s="323"/>
      <c r="G41" s="323"/>
      <c r="H41" s="188" t="s">
        <v>69</v>
      </c>
      <c r="I41" s="143"/>
      <c r="J41" s="130">
        <f>J40/G4</f>
        <v>41.028999999999996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+C42+'11'!D42</f>
        <v>0</v>
      </c>
      <c r="E42" s="144">
        <f t="shared" si="1"/>
        <v>0</v>
      </c>
      <c r="F42" s="323">
        <f>+(480*F38+480*F39+480*F40)/1440</f>
        <v>1200</v>
      </c>
      <c r="G42" s="323">
        <f>+(480*G38+480*G39+480*G40)/1440</f>
        <v>932</v>
      </c>
      <c r="H42" s="188" t="s">
        <v>70</v>
      </c>
      <c r="I42" s="247" t="s">
        <v>535</v>
      </c>
      <c r="J42" s="133"/>
      <c r="K42" s="131" t="s">
        <v>71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+C43+'11'!D43</f>
        <v>0</v>
      </c>
      <c r="E43" s="144">
        <f t="shared" si="1"/>
        <v>0</v>
      </c>
      <c r="F43" s="323"/>
      <c r="G43" s="324"/>
      <c r="H43" s="189" t="s">
        <v>73</v>
      </c>
      <c r="I43" s="119">
        <f>+Report1!Z20</f>
        <v>66.900000000000006</v>
      </c>
      <c r="J43" s="134">
        <f>+I43+'11'!J43</f>
        <v>751.69999999999993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+C44+'11'!D44</f>
        <v>0</v>
      </c>
      <c r="E44" s="144">
        <f t="shared" si="1"/>
        <v>0</v>
      </c>
      <c r="F44" s="323"/>
      <c r="G44" s="324"/>
      <c r="H44" s="189" t="s">
        <v>74</v>
      </c>
      <c r="I44" s="119">
        <f>I43/I38</f>
        <v>1.4330391568845859</v>
      </c>
      <c r="J44" s="135">
        <f>J43/J38</f>
        <v>1.4866954894802002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+C45+'11'!D45</f>
        <v>0</v>
      </c>
      <c r="E45" s="144">
        <f t="shared" si="1"/>
        <v>0</v>
      </c>
      <c r="F45" s="323"/>
      <c r="G45" s="326"/>
      <c r="H45" s="189" t="s">
        <v>75</v>
      </c>
      <c r="I45" s="119">
        <f>I43/I40</f>
        <v>1.5372242647058825</v>
      </c>
      <c r="J45" s="135">
        <f>J43/J40</f>
        <v>1.5267656210647753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+C46+'11'!D46</f>
        <v>0</v>
      </c>
      <c r="E46" s="144">
        <f t="shared" si="1"/>
        <v>0</v>
      </c>
      <c r="F46" s="323"/>
      <c r="G46" s="324"/>
      <c r="H46" s="189" t="s">
        <v>77</v>
      </c>
      <c r="I46" s="141">
        <f>+SUMIF(Listrik!P19,"&gt;0")</f>
        <v>37292.419999998907</v>
      </c>
      <c r="J46" s="136">
        <f>+I46+'11'!J46</f>
        <v>446866.15999999898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+C47+'11'!D47</f>
        <v>0</v>
      </c>
      <c r="E47" s="144">
        <f t="shared" si="1"/>
        <v>0</v>
      </c>
      <c r="F47" s="323"/>
      <c r="G47" s="324"/>
      <c r="H47" s="189" t="s">
        <v>80</v>
      </c>
      <c r="I47" s="119">
        <f>I46/I38</f>
        <v>798.82657869931688</v>
      </c>
      <c r="J47" s="136">
        <f>J46/J38</f>
        <v>883.80192160880142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+C48+'11'!D48</f>
        <v>0</v>
      </c>
      <c r="E48" s="144">
        <f t="shared" si="1"/>
        <v>0</v>
      </c>
      <c r="F48" s="323"/>
      <c r="G48" s="324"/>
      <c r="H48" s="189" t="s">
        <v>81</v>
      </c>
      <c r="I48" s="119">
        <f>I46/I40</f>
        <v>856.90303308821012</v>
      </c>
      <c r="J48" s="136">
        <f>J46/J40</f>
        <v>907.62257590159606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+C49+'11'!D49</f>
        <v>301</v>
      </c>
      <c r="E49" s="144">
        <f t="shared" si="1"/>
        <v>5.0166666666666666</v>
      </c>
      <c r="F49" s="186"/>
      <c r="H49" s="189" t="s">
        <v>269</v>
      </c>
      <c r="I49" s="119">
        <f>+Report1!T20</f>
        <v>4270.4264690748178</v>
      </c>
      <c r="J49" s="136">
        <f>+I49+'11'!J49</f>
        <v>50550.161074176511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+C50+'11'!D50</f>
        <v>0</v>
      </c>
      <c r="E50" s="144">
        <f t="shared" si="1"/>
        <v>0</v>
      </c>
      <c r="F50" s="186"/>
      <c r="H50" s="189" t="s">
        <v>83</v>
      </c>
      <c r="I50" s="141">
        <f>I49/I38</f>
        <v>91.475162134239099</v>
      </c>
      <c r="J50" s="134">
        <f>J49/J38</f>
        <v>99.976980792172171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+C51+'11'!D51</f>
        <v>0</v>
      </c>
      <c r="E51" s="144">
        <f t="shared" si="1"/>
        <v>0</v>
      </c>
      <c r="F51" s="186"/>
      <c r="H51" s="191" t="s">
        <v>85</v>
      </c>
      <c r="I51" s="142">
        <f>I49/I40</f>
        <v>98.125608204844156</v>
      </c>
      <c r="J51" s="137">
        <f>J49/J40</f>
        <v>102.67160844397969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80</v>
      </c>
      <c r="D52" s="145">
        <f>SUM(D38:D51)</f>
        <v>1273</v>
      </c>
      <c r="E52" s="146">
        <f>SUM(E38:E51)</f>
        <v>21.216666666666665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5.5555555555555552E-2</v>
      </c>
      <c r="D53" s="147">
        <f>D52/(24*60*G4)</f>
        <v>7.3668981481481488E-2</v>
      </c>
      <c r="E53" s="148">
        <f>E52/(G4*24)</f>
        <v>7.3668981481481474E-2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+D34+'11'!J56</f>
        <v>1008</v>
      </c>
      <c r="K56" s="202">
        <f>J56/(J40+J56/1000)/1000</f>
        <v>2.0431493688127843E-3</v>
      </c>
    </row>
    <row r="57" spans="1:11">
      <c r="A57" s="177"/>
      <c r="I57" s="200" t="s">
        <v>88</v>
      </c>
      <c r="J57" s="201">
        <f>+E34+'11'!J57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24:A32"/>
    <mergeCell ref="A46:B46"/>
    <mergeCell ref="A47:B47"/>
    <mergeCell ref="A39:B39"/>
    <mergeCell ref="I24:I31"/>
    <mergeCell ref="A37:B37"/>
    <mergeCell ref="A38:B38"/>
    <mergeCell ref="A45:B45"/>
    <mergeCell ref="A40:B40"/>
    <mergeCell ref="A41:B41"/>
    <mergeCell ref="A34:B34"/>
    <mergeCell ref="A42:B42"/>
    <mergeCell ref="A43:B43"/>
    <mergeCell ref="A44:B44"/>
    <mergeCell ref="A52:B52"/>
    <mergeCell ref="A53:B53"/>
    <mergeCell ref="A48:B48"/>
    <mergeCell ref="A49:B49"/>
    <mergeCell ref="A50:B50"/>
    <mergeCell ref="A51:B51"/>
  </mergeCells>
  <phoneticPr fontId="32" type="noConversion"/>
  <printOptions horizontalCentered="1"/>
  <pageMargins left="0.15625" right="0.15625" top="0.39027777777777778" bottom="0.39027777777777778" header="0" footer="0"/>
  <pageSetup paperSize="9" scale="64" firstPageNumber="4294963191" fitToWidth="20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zoomScale="80" zoomScaleNormal="70" zoomScaleSheetLayoutView="80" workbookViewId="0">
      <selection activeCell="H11" sqref="H1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4" style="150" bestFit="1" customWidth="1"/>
    <col min="12" max="12" width="8.28515625" style="150" customWidth="1"/>
    <col min="13" max="13" width="15.570312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11</v>
      </c>
      <c r="H4" s="155" t="str">
        <f>+'1'!H4</f>
        <v>.07.25</v>
      </c>
      <c r="J4" s="150">
        <f>571+509+584</f>
        <v>1664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482</v>
      </c>
      <c r="O6" s="150">
        <v>1150</v>
      </c>
      <c r="P6" s="150">
        <f>+O6-O6*0.23</f>
        <v>885.5</v>
      </c>
      <c r="Q6" s="150">
        <f>60+30</f>
        <v>90</v>
      </c>
      <c r="R6" s="150">
        <f>+O6*Q6</f>
        <v>103500</v>
      </c>
      <c r="S6" s="150">
        <f>+P6*Q6</f>
        <v>79695</v>
      </c>
    </row>
    <row r="7" spans="1:19" ht="13.5" customHeight="1" thickBot="1">
      <c r="A7" s="771" t="s">
        <v>445</v>
      </c>
      <c r="B7" s="216" t="s">
        <v>494</v>
      </c>
      <c r="C7" s="217">
        <v>14089</v>
      </c>
      <c r="D7" s="218"/>
      <c r="E7" s="219"/>
      <c r="F7" s="229">
        <v>16</v>
      </c>
      <c r="G7" s="557" t="s">
        <v>12</v>
      </c>
      <c r="H7" s="558" t="s">
        <v>470</v>
      </c>
      <c r="I7" s="774" t="s">
        <v>527</v>
      </c>
      <c r="J7" s="215" t="str">
        <f>+'10'!J7</f>
        <v>T 12,5 VP OW</v>
      </c>
      <c r="K7" s="239"/>
      <c r="L7" s="243"/>
      <c r="M7" s="118">
        <f>+K7+'10'!M7+L7</f>
        <v>21165</v>
      </c>
      <c r="O7" s="150">
        <f>1150+20</f>
        <v>1170</v>
      </c>
      <c r="P7" s="150">
        <f>+O7-O7*0.23</f>
        <v>900.9</v>
      </c>
      <c r="Q7" s="150">
        <f>60-30+60+33</f>
        <v>123</v>
      </c>
      <c r="R7" s="150">
        <f>+O7*Q7</f>
        <v>143910</v>
      </c>
      <c r="S7" s="150">
        <f>+P7*Q7</f>
        <v>110810.7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+'10'!J8</f>
        <v>F 13 VP OW</v>
      </c>
      <c r="K8" s="240"/>
      <c r="L8" s="240"/>
      <c r="M8" s="118">
        <f>+K8+'10'!M8+L8</f>
        <v>121388</v>
      </c>
      <c r="O8" s="150">
        <v>1180</v>
      </c>
      <c r="P8" s="150">
        <f t="shared" ref="P8:P9" si="0">+O8-O8*0.23</f>
        <v>908.59999999999991</v>
      </c>
      <c r="Q8" s="150">
        <f>60-33+240</f>
        <v>267</v>
      </c>
      <c r="R8" s="150">
        <f>+O8*Q8</f>
        <v>315060</v>
      </c>
      <c r="S8" s="150">
        <f>+P8*Q8</f>
        <v>242596.19999999998</v>
      </c>
    </row>
    <row r="9" spans="1:19" ht="13.5" thickBot="1">
      <c r="A9" s="772"/>
      <c r="B9" s="216"/>
      <c r="C9" s="217"/>
      <c r="D9" s="218"/>
      <c r="E9" s="221"/>
      <c r="F9" s="229">
        <f>37-16</f>
        <v>21</v>
      </c>
      <c r="G9" s="559" t="s">
        <v>12</v>
      </c>
      <c r="H9" s="234" t="s">
        <v>384</v>
      </c>
      <c r="I9" s="775"/>
      <c r="J9" s="215" t="str">
        <f>+'10'!J9</f>
        <v>F 12 VP OW</v>
      </c>
      <c r="K9" s="240"/>
      <c r="L9" s="240"/>
      <c r="M9" s="118">
        <f>+K9+'10'!M9+L9</f>
        <v>86796</v>
      </c>
      <c r="P9" s="150">
        <f t="shared" si="0"/>
        <v>0</v>
      </c>
      <c r="R9" s="150">
        <f>+O9*Q9</f>
        <v>0</v>
      </c>
      <c r="S9" s="150">
        <f>+P9*Q9</f>
        <v>0</v>
      </c>
    </row>
    <row r="10" spans="1:19" ht="39" thickBot="1">
      <c r="A10" s="772"/>
      <c r="B10" s="216"/>
      <c r="C10" s="217"/>
      <c r="D10" s="218"/>
      <c r="E10" s="220"/>
      <c r="F10" s="229"/>
      <c r="G10" s="230"/>
      <c r="H10" s="560" t="s">
        <v>524</v>
      </c>
      <c r="I10" s="775"/>
      <c r="J10" s="215" t="str">
        <f>+'10'!J10</f>
        <v>F 12,5 VP OW</v>
      </c>
      <c r="K10" s="240"/>
      <c r="L10" s="240"/>
      <c r="M10" s="118">
        <f>+K10+'10'!M10+L10</f>
        <v>19792</v>
      </c>
      <c r="Q10" s="150">
        <f>SUM(Q6:Q9)</f>
        <v>480</v>
      </c>
      <c r="R10" s="150">
        <f>SUM(R6:R9)</f>
        <v>562470</v>
      </c>
      <c r="S10" s="150">
        <f>SUM(S6:S9)</f>
        <v>433101.9</v>
      </c>
    </row>
    <row r="11" spans="1:19" ht="84" customHeight="1" thickBot="1">
      <c r="A11" s="772"/>
      <c r="B11" s="216"/>
      <c r="C11" s="217"/>
      <c r="D11" s="218"/>
      <c r="E11" s="220"/>
      <c r="F11" s="229"/>
      <c r="G11" s="233"/>
      <c r="H11" s="234" t="s">
        <v>525</v>
      </c>
      <c r="I11" s="775"/>
      <c r="J11" s="215" t="str">
        <f>+'10'!J11</f>
        <v>T 13 VP OW</v>
      </c>
      <c r="K11" s="240">
        <f>+C34</f>
        <v>43048</v>
      </c>
      <c r="L11" s="240"/>
      <c r="M11" s="118">
        <f>+K11+'10'!M11+L11</f>
        <v>199687</v>
      </c>
      <c r="R11" s="150">
        <f>+R10/Q10</f>
        <v>1171.8125</v>
      </c>
      <c r="S11" s="150">
        <f>+S10/Q10</f>
        <v>902.29562500000009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+'10'!J12</f>
        <v>0</v>
      </c>
      <c r="K12" s="240"/>
      <c r="L12" s="240"/>
      <c r="M12" s="118">
        <f>+K12+'10'!M12+L12</f>
        <v>0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+'10'!J13</f>
        <v>0</v>
      </c>
      <c r="K13" s="240"/>
      <c r="L13" s="240"/>
      <c r="M13" s="118">
        <f>+K13+'10'!M13+L13</f>
        <v>0</v>
      </c>
    </row>
    <row r="14" spans="1:19" ht="13.5" thickBot="1">
      <c r="A14" s="773"/>
      <c r="B14" s="166" t="s">
        <v>2</v>
      </c>
      <c r="C14" s="100">
        <f>SUM(C7:C13)</f>
        <v>14089</v>
      </c>
      <c r="D14" s="112">
        <f>SUM(D7:D13)</f>
        <v>0</v>
      </c>
      <c r="E14" s="113">
        <f>SUM(E5:E13)</f>
        <v>0</v>
      </c>
      <c r="F14" s="117">
        <f>SUM(F7:F13)</f>
        <v>37</v>
      </c>
      <c r="G14" s="160"/>
      <c r="H14" s="167"/>
      <c r="I14" s="168"/>
      <c r="J14" s="215">
        <f>+'10'!J14</f>
        <v>0</v>
      </c>
      <c r="K14" s="240"/>
      <c r="L14" s="240"/>
      <c r="M14" s="118">
        <f>+K14+'10'!M14+L14</f>
        <v>0</v>
      </c>
      <c r="N14" s="150" t="s">
        <v>482</v>
      </c>
      <c r="O14" s="150">
        <v>1200</v>
      </c>
      <c r="P14" s="150">
        <f>+O14-O14*0.23</f>
        <v>924</v>
      </c>
      <c r="Q14" s="150">
        <v>480</v>
      </c>
      <c r="R14" s="150">
        <f>+O14*Q14</f>
        <v>576000</v>
      </c>
      <c r="S14" s="150">
        <f>+P14*Q14</f>
        <v>443520</v>
      </c>
    </row>
    <row r="15" spans="1:19" ht="13.5" customHeight="1" thickBot="1">
      <c r="A15" s="771" t="s">
        <v>423</v>
      </c>
      <c r="B15" s="166"/>
      <c r="C15" s="114">
        <f>C14/($C$23+$D$23+$E$23)</f>
        <v>0.94652334564998319</v>
      </c>
      <c r="D15" s="115">
        <f>D14/($C$23+$D$23+$E$23)</f>
        <v>0</v>
      </c>
      <c r="E15" s="116">
        <f>E14/($C$23+$D$23+$E$23)</f>
        <v>0</v>
      </c>
      <c r="F15" s="229">
        <v>9</v>
      </c>
      <c r="G15" s="557" t="s">
        <v>12</v>
      </c>
      <c r="H15" s="558" t="s">
        <v>488</v>
      </c>
      <c r="I15" s="774" t="s">
        <v>509</v>
      </c>
      <c r="J15" s="215">
        <f>+'10'!J15</f>
        <v>0</v>
      </c>
      <c r="K15" s="240"/>
      <c r="L15" s="240"/>
      <c r="M15" s="118">
        <f>+K15+'10'!M15+L15</f>
        <v>0</v>
      </c>
      <c r="P15" s="150">
        <f>+O15-O15*0.23</f>
        <v>0</v>
      </c>
      <c r="R15" s="150">
        <f>+O15*Q15</f>
        <v>0</v>
      </c>
      <c r="S15" s="150">
        <f>+P15*Q15</f>
        <v>0</v>
      </c>
    </row>
    <row r="16" spans="1:19" ht="13.5" thickBot="1">
      <c r="A16" s="777"/>
      <c r="B16" s="216" t="s">
        <v>494</v>
      </c>
      <c r="C16" s="223">
        <v>14885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+'10'!J16</f>
        <v>0</v>
      </c>
      <c r="K16" s="230"/>
      <c r="L16" s="230"/>
      <c r="M16" s="118">
        <f>+K16+'10'!M16+L16</f>
        <v>0</v>
      </c>
      <c r="P16" s="150">
        <f t="shared" ref="P16:P17" si="1">+O16-O16*0.23</f>
        <v>0</v>
      </c>
      <c r="R16" s="150">
        <f>+O16*Q16</f>
        <v>0</v>
      </c>
      <c r="S16" s="150">
        <f>+P16*Q16</f>
        <v>0</v>
      </c>
    </row>
    <row r="17" spans="1:19" ht="13.5" thickBot="1">
      <c r="A17" s="777"/>
      <c r="B17" s="216"/>
      <c r="C17" s="217"/>
      <c r="D17" s="218"/>
      <c r="E17" s="226"/>
      <c r="F17" s="229">
        <v>10</v>
      </c>
      <c r="G17" s="559" t="s">
        <v>12</v>
      </c>
      <c r="H17" s="234" t="s">
        <v>442</v>
      </c>
      <c r="I17" s="775"/>
      <c r="J17" s="215">
        <f>+'10'!J17</f>
        <v>0</v>
      </c>
      <c r="K17" s="230"/>
      <c r="L17" s="230"/>
      <c r="M17" s="118">
        <f>+K17+'10'!M17+L17</f>
        <v>0</v>
      </c>
      <c r="P17" s="150">
        <f t="shared" si="1"/>
        <v>0</v>
      </c>
      <c r="R17" s="150">
        <f>+O17*Q17</f>
        <v>0</v>
      </c>
      <c r="S17" s="150">
        <f>+P17*Q17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522</v>
      </c>
      <c r="I18" s="775"/>
      <c r="J18" s="215">
        <f>+'10'!J18</f>
        <v>0</v>
      </c>
      <c r="K18" s="240"/>
      <c r="L18" s="240"/>
      <c r="M18" s="118">
        <f>+K18+'10'!M18+L18</f>
        <v>0</v>
      </c>
      <c r="Q18" s="150">
        <f>SUM(Q14:Q17)</f>
        <v>480</v>
      </c>
      <c r="R18" s="150">
        <f>SUM(R14:R17)</f>
        <v>576000</v>
      </c>
      <c r="S18" s="150">
        <f>SUM(S14:S17)</f>
        <v>443520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 t="s">
        <v>523</v>
      </c>
      <c r="I19" s="775"/>
      <c r="J19" s="215">
        <f>+'10'!J19</f>
        <v>0</v>
      </c>
      <c r="K19" s="240"/>
      <c r="L19" s="240"/>
      <c r="M19" s="118">
        <f>+K19+'10'!M19+L19</f>
        <v>0</v>
      </c>
      <c r="R19" s="150">
        <f>+R18/Q18</f>
        <v>1200</v>
      </c>
      <c r="S19" s="150">
        <f>+S18/Q18</f>
        <v>924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+'10'!J20</f>
        <v>0</v>
      </c>
      <c r="K20" s="241"/>
      <c r="L20" s="241"/>
      <c r="M20" s="118">
        <f>+K20+'10'!M20+L20</f>
        <v>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+'10'!J21</f>
        <v>0</v>
      </c>
      <c r="K21" s="240"/>
      <c r="L21" s="240"/>
      <c r="M21" s="118">
        <f>+K21+'10'!M21+L21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+'10'!J22</f>
        <v>0</v>
      </c>
      <c r="K22" s="240"/>
      <c r="L22" s="240"/>
      <c r="M22" s="118">
        <f>+K22+'10'!M22+L22</f>
        <v>0</v>
      </c>
    </row>
    <row r="23" spans="1:19" ht="13.5" thickBot="1">
      <c r="A23" s="778"/>
      <c r="B23" s="169" t="s">
        <v>2</v>
      </c>
      <c r="C23" s="101">
        <f>SUM(C16:C22)</f>
        <v>14885</v>
      </c>
      <c r="D23" s="112">
        <f>SUM(D16:D22)</f>
        <v>0</v>
      </c>
      <c r="E23" s="113">
        <f>SUM(E18:E22)</f>
        <v>0</v>
      </c>
      <c r="F23" s="117">
        <f>SUM(F15:F22)</f>
        <v>19</v>
      </c>
      <c r="G23" s="160"/>
      <c r="H23" s="167"/>
      <c r="I23" s="170"/>
      <c r="J23" s="215">
        <f>+'10'!J23</f>
        <v>0</v>
      </c>
      <c r="K23" s="240"/>
      <c r="L23" s="240"/>
      <c r="M23" s="118">
        <f>+K23+'10'!M23+L23</f>
        <v>0</v>
      </c>
    </row>
    <row r="24" spans="1:19" ht="13.5" customHeight="1" thickBot="1">
      <c r="A24" s="771" t="s">
        <v>421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16</v>
      </c>
      <c r="G24" s="557" t="s">
        <v>12</v>
      </c>
      <c r="H24" s="558" t="s">
        <v>470</v>
      </c>
      <c r="I24" s="774" t="s">
        <v>406</v>
      </c>
      <c r="J24" s="215">
        <f>+'10'!J24</f>
        <v>0</v>
      </c>
      <c r="K24" s="240"/>
      <c r="L24" s="240"/>
      <c r="M24" s="118">
        <f>+K24+'10'!M24+L24</f>
        <v>0</v>
      </c>
      <c r="N24" s="150" t="s">
        <v>482</v>
      </c>
      <c r="O24" s="150">
        <v>1230</v>
      </c>
      <c r="P24" s="150">
        <f>+O24-O24*0.23</f>
        <v>947.09999999999991</v>
      </c>
      <c r="Q24" s="150">
        <v>480</v>
      </c>
      <c r="R24" s="150">
        <f>+O24*Q24</f>
        <v>590400</v>
      </c>
      <c r="S24" s="150">
        <f>+P24*Q24</f>
        <v>454607.99999999994</v>
      </c>
    </row>
    <row r="25" spans="1:19" ht="13.5" thickBot="1">
      <c r="A25" s="777"/>
      <c r="B25" s="216" t="s">
        <v>494</v>
      </c>
      <c r="C25" s="227">
        <v>14074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+'10'!J25</f>
        <v>0</v>
      </c>
      <c r="K25" s="240"/>
      <c r="L25" s="240"/>
      <c r="M25" s="118">
        <f>+K25+'10'!M25+L25</f>
        <v>0</v>
      </c>
      <c r="P25" s="150">
        <f>+O25-O25*0.23</f>
        <v>0</v>
      </c>
      <c r="R25" s="150">
        <f>+O25*Q25</f>
        <v>0</v>
      </c>
      <c r="S25" s="150">
        <f>+P25*Q25</f>
        <v>0</v>
      </c>
    </row>
    <row r="26" spans="1:19" ht="13.5" thickBot="1">
      <c r="A26" s="777"/>
      <c r="B26" s="216"/>
      <c r="C26" s="227"/>
      <c r="D26" s="218"/>
      <c r="E26" s="228"/>
      <c r="F26" s="229">
        <v>12</v>
      </c>
      <c r="G26" s="559" t="s">
        <v>12</v>
      </c>
      <c r="H26" s="234" t="s">
        <v>453</v>
      </c>
      <c r="I26" s="775"/>
      <c r="J26" s="215">
        <f>+'10'!J26</f>
        <v>0</v>
      </c>
      <c r="K26" s="230"/>
      <c r="L26" s="230"/>
      <c r="M26" s="118">
        <f>+K26+'10'!M26+L26</f>
        <v>0</v>
      </c>
      <c r="P26" s="150">
        <f t="shared" ref="P26:P27" si="2">+O26-O26*0.23</f>
        <v>0</v>
      </c>
      <c r="R26" s="150">
        <f>+O26*Q26</f>
        <v>0</v>
      </c>
      <c r="S26" s="150">
        <f>+P26*Q26</f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516</v>
      </c>
      <c r="I27" s="775"/>
      <c r="J27" s="215">
        <f>+'10'!J27</f>
        <v>0</v>
      </c>
      <c r="K27" s="230"/>
      <c r="L27" s="230"/>
      <c r="M27" s="118">
        <f>+K27+'10'!M27+L27</f>
        <v>0</v>
      </c>
      <c r="P27" s="150">
        <f t="shared" si="2"/>
        <v>0</v>
      </c>
      <c r="R27" s="150">
        <f>+O27*Q27</f>
        <v>0</v>
      </c>
      <c r="S27" s="150">
        <f>+P27*Q27</f>
        <v>0</v>
      </c>
    </row>
    <row r="28" spans="1:19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+'10'!J28</f>
        <v>0</v>
      </c>
      <c r="K28" s="240"/>
      <c r="L28" s="240"/>
      <c r="M28" s="118">
        <f>+K28+'10'!M28+L28</f>
        <v>0</v>
      </c>
      <c r="Q28" s="150">
        <f>SUM(Q24:Q27)</f>
        <v>480</v>
      </c>
      <c r="R28" s="150">
        <f>SUM(R24:R27)</f>
        <v>590400</v>
      </c>
      <c r="S28" s="150">
        <f>SUM(S24:S27)</f>
        <v>454607.99999999994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+'10'!J29</f>
        <v>0</v>
      </c>
      <c r="K29" s="240"/>
      <c r="L29" s="240"/>
      <c r="M29" s="118">
        <f>+K29+'10'!M29+L29</f>
        <v>0</v>
      </c>
      <c r="R29" s="150">
        <f>+R28/Q28</f>
        <v>1230</v>
      </c>
      <c r="S29" s="150">
        <f>+S28/Q28</f>
        <v>947.09999999999991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+'10'!J30</f>
        <v>0</v>
      </c>
      <c r="K30" s="241"/>
      <c r="L30" s="241"/>
      <c r="M30" s="118">
        <f>+K30+'10'!M30+L30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+'10'!J31</f>
        <v>0</v>
      </c>
      <c r="K31" s="240"/>
      <c r="L31" s="240"/>
      <c r="M31" s="118">
        <f>+K31+'10'!M31+L31</f>
        <v>0</v>
      </c>
    </row>
    <row r="32" spans="1:19" ht="13.5" thickBot="1">
      <c r="A32" s="778"/>
      <c r="B32" s="166" t="s">
        <v>2</v>
      </c>
      <c r="C32" s="100">
        <f>SUM(C25:C31)</f>
        <v>14074</v>
      </c>
      <c r="D32" s="101">
        <f>SUM(D25:D31)</f>
        <v>0</v>
      </c>
      <c r="E32" s="102">
        <f>SUM(E25:E31)</f>
        <v>0</v>
      </c>
      <c r="F32" s="103">
        <f>SUM(F24:F31)</f>
        <v>28</v>
      </c>
      <c r="G32" s="172"/>
      <c r="H32" s="173"/>
      <c r="I32" s="170"/>
      <c r="J32" s="215">
        <f>+'10'!J32</f>
        <v>0</v>
      </c>
      <c r="K32" s="240"/>
      <c r="L32" s="240"/>
      <c r="M32" s="118">
        <f>+K32+'10'!M32+L32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43048</v>
      </c>
      <c r="D34" s="108">
        <f>D14+D23+D32</f>
        <v>0</v>
      </c>
      <c r="E34" s="108">
        <f>E14+E23+E32</f>
        <v>0</v>
      </c>
      <c r="F34" s="109">
        <f>F14+F23+F32</f>
        <v>84</v>
      </c>
      <c r="H34" s="179"/>
      <c r="I34" s="179"/>
      <c r="J34" s="124" t="s">
        <v>28</v>
      </c>
      <c r="K34" s="125">
        <f>SUM(K7:K32)</f>
        <v>43048</v>
      </c>
      <c r="L34" s="213">
        <f>SUM(L7:L32)</f>
        <v>0</v>
      </c>
      <c r="M34" s="121">
        <f>SUM(M7:M32)</f>
        <v>448828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47.418409038000007</v>
      </c>
      <c r="J37" s="126">
        <f>+I37+'10'!J37</f>
        <v>510.44770097934804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84</v>
      </c>
      <c r="D38" s="119">
        <f>+C38+'10'!D38</f>
        <v>892</v>
      </c>
      <c r="E38" s="144">
        <f t="shared" ref="E38:E51" si="3">D38/60</f>
        <v>14.866666666666667</v>
      </c>
      <c r="F38" s="323">
        <v>1171.8125</v>
      </c>
      <c r="G38" s="323">
        <v>902.29562500000009</v>
      </c>
      <c r="H38" s="188" t="s">
        <v>64</v>
      </c>
      <c r="I38" s="246">
        <f>12.831+14.865+13.972</f>
        <v>41.667999999999999</v>
      </c>
      <c r="J38" s="128">
        <f>+I38+'10'!J38</f>
        <v>458.93400000000003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+C39+'10'!D39</f>
        <v>0</v>
      </c>
      <c r="E39" s="144">
        <f t="shared" si="3"/>
        <v>0</v>
      </c>
      <c r="F39" s="323">
        <v>1200</v>
      </c>
      <c r="G39" s="323">
        <v>924</v>
      </c>
      <c r="H39" s="188" t="s">
        <v>65</v>
      </c>
      <c r="I39" s="143"/>
      <c r="J39" s="130">
        <f>J37/G4</f>
        <v>46.404336452668005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+C40+'10'!D40</f>
        <v>0</v>
      </c>
      <c r="E40" s="144">
        <f t="shared" si="3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43.048000000000002</v>
      </c>
      <c r="J40" s="132">
        <f>+I40+'10'!J40</f>
        <v>448.82799999999997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+C41+'10'!D41</f>
        <v>0</v>
      </c>
      <c r="E41" s="144">
        <f t="shared" si="3"/>
        <v>0</v>
      </c>
      <c r="F41" s="323"/>
      <c r="G41" s="323"/>
      <c r="H41" s="188" t="s">
        <v>69</v>
      </c>
      <c r="I41" s="143"/>
      <c r="J41" s="130">
        <f>J40/G4</f>
        <v>40.802545454545452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+C42+'10'!D42</f>
        <v>0</v>
      </c>
      <c r="E42" s="144">
        <f t="shared" si="3"/>
        <v>0</v>
      </c>
      <c r="F42" s="323">
        <f>+(480*F38+480*F39+480*F40)/1440</f>
        <v>1200.6041666666667</v>
      </c>
      <c r="G42" s="323">
        <f>+(480*G38+480*G39+480*G40)/1440</f>
        <v>924.46520833333329</v>
      </c>
      <c r="H42" s="188" t="s">
        <v>70</v>
      </c>
      <c r="I42" s="247" t="s">
        <v>526</v>
      </c>
      <c r="J42" s="133"/>
      <c r="K42" s="131" t="s">
        <v>71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+C43+'10'!D43</f>
        <v>0</v>
      </c>
      <c r="E43" s="144">
        <f t="shared" si="3"/>
        <v>0</v>
      </c>
      <c r="F43" s="323"/>
      <c r="G43" s="324"/>
      <c r="H43" s="189" t="s">
        <v>73</v>
      </c>
      <c r="I43" s="119">
        <f>+Report1!Z19</f>
        <v>66.599999999999994</v>
      </c>
      <c r="J43" s="134">
        <f>+I43+'10'!J43</f>
        <v>684.8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+C44+'10'!D44</f>
        <v>0</v>
      </c>
      <c r="E44" s="144">
        <f t="shared" si="3"/>
        <v>0</v>
      </c>
      <c r="F44" s="323"/>
      <c r="G44" s="324"/>
      <c r="H44" s="189" t="s">
        <v>74</v>
      </c>
      <c r="I44" s="119">
        <f>I43/I38</f>
        <v>1.5983488528367091</v>
      </c>
      <c r="J44" s="135">
        <f>J43/J38</f>
        <v>1.4921535558489889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+C45+'10'!D45</f>
        <v>0</v>
      </c>
      <c r="E45" s="144">
        <f t="shared" si="3"/>
        <v>0</v>
      </c>
      <c r="F45" s="323"/>
      <c r="G45" s="326"/>
      <c r="H45" s="189" t="s">
        <v>75</v>
      </c>
      <c r="I45" s="119">
        <f>I43/I40</f>
        <v>1.5471102025645789</v>
      </c>
      <c r="J45" s="135">
        <f>J43/J40</f>
        <v>1.5257515128289678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+C46+'10'!D46</f>
        <v>0</v>
      </c>
      <c r="E46" s="144">
        <f t="shared" si="3"/>
        <v>0</v>
      </c>
      <c r="F46" s="323"/>
      <c r="G46" s="324"/>
      <c r="H46" s="189" t="s">
        <v>77</v>
      </c>
      <c r="I46" s="141">
        <f>+SUMIF(Listrik!P18,"&gt;0")</f>
        <v>37610.10000000109</v>
      </c>
      <c r="J46" s="136">
        <f>+I46+'10'!J46</f>
        <v>409573.74000000005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+C47+'10'!D47</f>
        <v>0</v>
      </c>
      <c r="E47" s="144">
        <f t="shared" si="3"/>
        <v>0</v>
      </c>
      <c r="F47" s="323"/>
      <c r="G47" s="324"/>
      <c r="H47" s="189" t="s">
        <v>80</v>
      </c>
      <c r="I47" s="119">
        <f>I46/I38</f>
        <v>902.61351636750237</v>
      </c>
      <c r="J47" s="136">
        <f>J46/J38</f>
        <v>892.44584188576141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+C48+'10'!D48</f>
        <v>0</v>
      </c>
      <c r="E48" s="144">
        <f t="shared" si="3"/>
        <v>0</v>
      </c>
      <c r="F48" s="323"/>
      <c r="G48" s="324"/>
      <c r="H48" s="189" t="s">
        <v>81</v>
      </c>
      <c r="I48" s="119">
        <f>I46/I40</f>
        <v>873.67821966179815</v>
      </c>
      <c r="J48" s="136">
        <f>J46/J40</f>
        <v>912.54052777455968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+C49+'10'!D49</f>
        <v>301</v>
      </c>
      <c r="E49" s="144">
        <f t="shared" si="3"/>
        <v>5.0166666666666666</v>
      </c>
      <c r="F49" s="186"/>
      <c r="H49" s="189" t="s">
        <v>268</v>
      </c>
      <c r="I49" s="119">
        <f>+Report1!T19</f>
        <v>4442.006593260714</v>
      </c>
      <c r="J49" s="136">
        <f>+I49+'10'!J49</f>
        <v>46279.734605101694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+C50+'10'!D50</f>
        <v>0</v>
      </c>
      <c r="E50" s="144">
        <f t="shared" si="3"/>
        <v>0</v>
      </c>
      <c r="F50" s="186"/>
      <c r="H50" s="189" t="s">
        <v>83</v>
      </c>
      <c r="I50" s="141">
        <f>I49/I38</f>
        <v>106.60474688635678</v>
      </c>
      <c r="J50" s="134">
        <f>J49/J38</f>
        <v>100.84180863719335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+C51+'10'!D51</f>
        <v>0</v>
      </c>
      <c r="E51" s="144">
        <f t="shared" si="3"/>
        <v>0</v>
      </c>
      <c r="F51" s="186"/>
      <c r="H51" s="191" t="s">
        <v>85</v>
      </c>
      <c r="I51" s="142">
        <f>I49/I40</f>
        <v>103.18729309748917</v>
      </c>
      <c r="J51" s="137">
        <f>J49/J40</f>
        <v>103.1124052089034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84</v>
      </c>
      <c r="D52" s="145">
        <f>SUM(D38:D51)</f>
        <v>1193</v>
      </c>
      <c r="E52" s="146">
        <f>SUM(E38:E51)</f>
        <v>19.883333333333333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5.8333333333333334E-2</v>
      </c>
      <c r="D53" s="147">
        <f>D52/(24*60*G4)</f>
        <v>7.5315656565656572E-2</v>
      </c>
      <c r="E53" s="148">
        <f>E52/(G4*24)</f>
        <v>7.5315656565656558E-2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+D34+'10'!J56</f>
        <v>1008</v>
      </c>
      <c r="K56" s="202">
        <f>J56/(J40+J56/1000)/1000</f>
        <v>2.2408166531802704E-3</v>
      </c>
    </row>
    <row r="57" spans="1:11">
      <c r="A57" s="177"/>
      <c r="I57" s="200" t="s">
        <v>88</v>
      </c>
      <c r="J57" s="201">
        <f>+E34+'10'!J57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53:B53"/>
    <mergeCell ref="A52:B52"/>
    <mergeCell ref="A46:B46"/>
    <mergeCell ref="A51:B51"/>
    <mergeCell ref="A50:B50"/>
    <mergeCell ref="A49:B49"/>
    <mergeCell ref="A47:B47"/>
    <mergeCell ref="A48:B48"/>
    <mergeCell ref="I7:I13"/>
    <mergeCell ref="A15:A23"/>
    <mergeCell ref="I15:I22"/>
    <mergeCell ref="A45:B45"/>
    <mergeCell ref="A42:B42"/>
    <mergeCell ref="I24:I31"/>
    <mergeCell ref="A37:B37"/>
    <mergeCell ref="A44:B44"/>
    <mergeCell ref="A24:A32"/>
    <mergeCell ref="A43:B43"/>
    <mergeCell ref="A41:B41"/>
    <mergeCell ref="A7:A14"/>
    <mergeCell ref="A40:B40"/>
    <mergeCell ref="A34:B34"/>
    <mergeCell ref="A38:B38"/>
    <mergeCell ref="A39:B39"/>
  </mergeCells>
  <phoneticPr fontId="32" type="noConversion"/>
  <pageMargins left="0.17" right="0.16" top="0.17" bottom="0.16" header="0" footer="0"/>
  <pageSetup paperSize="9" scale="53" firstPageNumber="4294963191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10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3.8554687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8.28515625" style="150" customWidth="1"/>
    <col min="13" max="13" width="12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10</v>
      </c>
      <c r="H4" s="155" t="str">
        <f>+'1'!H4</f>
        <v>.07.25</v>
      </c>
      <c r="J4" s="150">
        <f>476+480+453</f>
        <v>1409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482</v>
      </c>
      <c r="O6" s="150">
        <v>1200</v>
      </c>
      <c r="P6" s="150">
        <f>+O6-O6*0.2</f>
        <v>960</v>
      </c>
      <c r="Q6" s="150">
        <v>480</v>
      </c>
      <c r="R6" s="150">
        <f>+O6*Q6</f>
        <v>576000</v>
      </c>
      <c r="S6" s="150">
        <f>+P6*Q6</f>
        <v>460800</v>
      </c>
    </row>
    <row r="7" spans="1:19" ht="13.5" customHeight="1" thickBot="1">
      <c r="A7" s="771" t="s">
        <v>445</v>
      </c>
      <c r="B7" s="216" t="s">
        <v>494</v>
      </c>
      <c r="C7" s="217">
        <v>14345</v>
      </c>
      <c r="D7" s="218"/>
      <c r="E7" s="219"/>
      <c r="F7" s="229">
        <v>9</v>
      </c>
      <c r="G7" s="557" t="s">
        <v>12</v>
      </c>
      <c r="H7" s="558" t="s">
        <v>394</v>
      </c>
      <c r="I7" s="774" t="s">
        <v>499</v>
      </c>
      <c r="J7" s="215" t="str">
        <f>+'9'!J7</f>
        <v>T 12,5 VP OW</v>
      </c>
      <c r="K7" s="239"/>
      <c r="L7" s="243"/>
      <c r="M7" s="118">
        <f>+K7+'9'!M7+L7</f>
        <v>21165</v>
      </c>
      <c r="O7" s="150">
        <v>1210</v>
      </c>
      <c r="P7" s="150">
        <f>+O7-O7*0.23</f>
        <v>931.7</v>
      </c>
      <c r="Q7" s="150">
        <v>480</v>
      </c>
      <c r="R7" s="150">
        <f>+O7*Q7</f>
        <v>580800</v>
      </c>
      <c r="S7" s="150">
        <f>+P7*Q7</f>
        <v>447216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+'9'!J8</f>
        <v>F 13 VP OW</v>
      </c>
      <c r="K8" s="240"/>
      <c r="L8" s="240"/>
      <c r="M8" s="118">
        <f>+K8+'9'!M8+L8</f>
        <v>121388</v>
      </c>
      <c r="P8" s="150">
        <f t="shared" ref="P8:P9" si="0">+O8-O8*0.23</f>
        <v>0</v>
      </c>
      <c r="R8" s="150">
        <f>+O8*Q8</f>
        <v>0</v>
      </c>
      <c r="S8" s="150">
        <f>+P8*Q8</f>
        <v>0</v>
      </c>
    </row>
    <row r="9" spans="1:19" ht="13.5" thickBot="1">
      <c r="A9" s="772"/>
      <c r="B9" s="216"/>
      <c r="C9" s="217"/>
      <c r="D9" s="218"/>
      <c r="E9" s="221"/>
      <c r="F9" s="229">
        <f>25-9</f>
        <v>16</v>
      </c>
      <c r="G9" s="559" t="s">
        <v>12</v>
      </c>
      <c r="H9" s="234" t="s">
        <v>453</v>
      </c>
      <c r="I9" s="775"/>
      <c r="J9" s="215" t="str">
        <f>+'9'!J9</f>
        <v>F 12 VP OW</v>
      </c>
      <c r="K9" s="240"/>
      <c r="L9" s="240"/>
      <c r="M9" s="118">
        <f>+K9+'9'!M9+L9</f>
        <v>86796</v>
      </c>
      <c r="P9" s="150">
        <f t="shared" si="0"/>
        <v>0</v>
      </c>
      <c r="R9" s="150">
        <f>+O9*Q9</f>
        <v>0</v>
      </c>
      <c r="S9" s="150">
        <f>+P9*Q9</f>
        <v>0</v>
      </c>
    </row>
    <row r="10" spans="1:19" ht="39" thickBot="1">
      <c r="A10" s="772"/>
      <c r="B10" s="216"/>
      <c r="C10" s="217"/>
      <c r="D10" s="218"/>
      <c r="E10" s="220"/>
      <c r="F10" s="229"/>
      <c r="G10" s="230"/>
      <c r="H10" s="560" t="s">
        <v>518</v>
      </c>
      <c r="I10" s="775"/>
      <c r="J10" s="215" t="str">
        <f>+'9'!J10</f>
        <v>F 12,5 VP OW</v>
      </c>
      <c r="K10" s="240"/>
      <c r="L10" s="240"/>
      <c r="M10" s="118">
        <f>+K10+'9'!M10+L10</f>
        <v>19792</v>
      </c>
      <c r="Q10" s="150">
        <f>SUM(Q6:Q9)</f>
        <v>960</v>
      </c>
      <c r="R10" s="150">
        <f>SUM(R6:R9)</f>
        <v>1156800</v>
      </c>
      <c r="S10" s="150">
        <f>SUM(S6:S9)</f>
        <v>908016</v>
      </c>
    </row>
    <row r="11" spans="1:19" ht="64.5" thickBot="1">
      <c r="A11" s="772"/>
      <c r="B11" s="216"/>
      <c r="C11" s="217"/>
      <c r="D11" s="218"/>
      <c r="E11" s="220"/>
      <c r="F11" s="229"/>
      <c r="G11" s="233"/>
      <c r="H11" s="234" t="s">
        <v>514</v>
      </c>
      <c r="I11" s="775"/>
      <c r="J11" s="215" t="str">
        <f>+'9'!J11</f>
        <v>T 13 VP OW</v>
      </c>
      <c r="K11" s="240">
        <f>+C34</f>
        <v>43485</v>
      </c>
      <c r="L11" s="240"/>
      <c r="M11" s="118">
        <f>+K11+'9'!M11+L11</f>
        <v>156639</v>
      </c>
      <c r="R11" s="150">
        <f>+R10/Q10</f>
        <v>1205</v>
      </c>
      <c r="S11" s="150">
        <f>+S10/Q10</f>
        <v>945.85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+'9'!J12</f>
        <v>0</v>
      </c>
      <c r="K12" s="240"/>
      <c r="L12" s="240"/>
      <c r="M12" s="118">
        <f>+K12+'9'!M12+L12</f>
        <v>0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+'9'!J13</f>
        <v>0</v>
      </c>
      <c r="K13" s="240"/>
      <c r="L13" s="240"/>
      <c r="M13" s="118">
        <f>+K13+'9'!M13+L13</f>
        <v>0</v>
      </c>
    </row>
    <row r="14" spans="1:19" ht="13.5" thickBot="1">
      <c r="A14" s="773"/>
      <c r="B14" s="166" t="s">
        <v>2</v>
      </c>
      <c r="C14" s="100">
        <f>SUM(C7:C13)</f>
        <v>14345</v>
      </c>
      <c r="D14" s="112">
        <f>SUM(D7:D13)</f>
        <v>0</v>
      </c>
      <c r="E14" s="113">
        <f>SUM(E5:E13)</f>
        <v>0</v>
      </c>
      <c r="F14" s="117">
        <f>SUM(F7:F13)</f>
        <v>25</v>
      </c>
      <c r="G14" s="160"/>
      <c r="H14" s="167"/>
      <c r="I14" s="168"/>
      <c r="J14" s="215">
        <f>+'9'!J14</f>
        <v>0</v>
      </c>
      <c r="K14" s="240"/>
      <c r="L14" s="240"/>
      <c r="M14" s="118">
        <f>+K14+'9'!M14+L14</f>
        <v>0</v>
      </c>
    </row>
    <row r="15" spans="1:19" ht="13.5" customHeight="1" thickBot="1">
      <c r="A15" s="771" t="s">
        <v>423</v>
      </c>
      <c r="B15" s="166"/>
      <c r="C15" s="114">
        <f>C14/($C$23+$D$23+$E$23)</f>
        <v>0.97050267234963805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510</v>
      </c>
      <c r="J15" s="215">
        <f>+'9'!J15</f>
        <v>0</v>
      </c>
      <c r="K15" s="240"/>
      <c r="L15" s="240"/>
      <c r="M15" s="118">
        <f>+K15+'9'!M15+L15</f>
        <v>0</v>
      </c>
    </row>
    <row r="16" spans="1:19" ht="13.5" thickBot="1">
      <c r="A16" s="777"/>
      <c r="B16" s="216" t="s">
        <v>494</v>
      </c>
      <c r="C16" s="223">
        <v>14781</v>
      </c>
      <c r="D16" s="224"/>
      <c r="E16" s="225"/>
      <c r="F16" s="232">
        <v>9</v>
      </c>
      <c r="G16" s="559" t="s">
        <v>12</v>
      </c>
      <c r="H16" s="231" t="s">
        <v>521</v>
      </c>
      <c r="I16" s="775"/>
      <c r="J16" s="215">
        <f>+'9'!J16</f>
        <v>0</v>
      </c>
      <c r="K16" s="230"/>
      <c r="L16" s="230"/>
      <c r="M16" s="118">
        <f>+K16+'9'!M16+L16</f>
        <v>0</v>
      </c>
    </row>
    <row r="17" spans="1:19" ht="13.5" thickBot="1">
      <c r="A17" s="777"/>
      <c r="B17" s="216"/>
      <c r="C17" s="217"/>
      <c r="D17" s="218"/>
      <c r="E17" s="226"/>
      <c r="F17" s="229">
        <v>10</v>
      </c>
      <c r="G17" s="559" t="s">
        <v>12</v>
      </c>
      <c r="H17" s="234" t="s">
        <v>384</v>
      </c>
      <c r="I17" s="775"/>
      <c r="J17" s="215">
        <f>+'9'!J17</f>
        <v>0</v>
      </c>
      <c r="K17" s="230"/>
      <c r="L17" s="230"/>
      <c r="M17" s="118">
        <f>+K17+'9'!M17+L17</f>
        <v>0</v>
      </c>
    </row>
    <row r="18" spans="1:19" ht="26.25" thickBot="1">
      <c r="A18" s="777"/>
      <c r="B18" s="216"/>
      <c r="C18" s="217"/>
      <c r="D18" s="218"/>
      <c r="E18" s="226"/>
      <c r="F18" s="229"/>
      <c r="G18" s="230"/>
      <c r="H18" s="560" t="s">
        <v>515</v>
      </c>
      <c r="I18" s="775"/>
      <c r="J18" s="215">
        <f>+'9'!J18</f>
        <v>0</v>
      </c>
      <c r="K18" s="240"/>
      <c r="L18" s="240"/>
      <c r="M18" s="118">
        <f>+K18+'9'!M18+L18</f>
        <v>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+'9'!J19</f>
        <v>0</v>
      </c>
      <c r="K19" s="240"/>
      <c r="L19" s="240"/>
      <c r="M19" s="118">
        <f>+K19+'9'!M19+L19</f>
        <v>0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+'9'!J20</f>
        <v>0</v>
      </c>
      <c r="K20" s="241"/>
      <c r="L20" s="241"/>
      <c r="M20" s="118">
        <f>+K20+'9'!M20+L20</f>
        <v>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+'9'!J21</f>
        <v>0</v>
      </c>
      <c r="K21" s="240"/>
      <c r="L21" s="240"/>
      <c r="M21" s="118">
        <f>+K21+'9'!M21+L21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+'9'!J22</f>
        <v>0</v>
      </c>
      <c r="K22" s="240"/>
      <c r="L22" s="240"/>
      <c r="M22" s="118">
        <f>+K22+'9'!M22+L22</f>
        <v>0</v>
      </c>
    </row>
    <row r="23" spans="1:19" ht="13.5" thickBot="1">
      <c r="A23" s="778"/>
      <c r="B23" s="169" t="s">
        <v>2</v>
      </c>
      <c r="C23" s="101">
        <f>SUM(C16:C22)</f>
        <v>14781</v>
      </c>
      <c r="D23" s="112">
        <f>SUM(D16:D22)</f>
        <v>0</v>
      </c>
      <c r="E23" s="113">
        <f>SUM(E18:E22)</f>
        <v>0</v>
      </c>
      <c r="F23" s="117">
        <f>SUM(F15:F22)</f>
        <v>19</v>
      </c>
      <c r="G23" s="160"/>
      <c r="H23" s="167"/>
      <c r="I23" s="170"/>
      <c r="J23" s="215">
        <f>+'9'!J23</f>
        <v>0</v>
      </c>
      <c r="K23" s="240"/>
      <c r="L23" s="240"/>
      <c r="M23" s="118">
        <f>+K23+'9'!M23+L23</f>
        <v>0</v>
      </c>
    </row>
    <row r="24" spans="1:19" ht="13.5" customHeight="1" thickBot="1">
      <c r="A24" s="771" t="s">
        <v>421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40</v>
      </c>
      <c r="G24" s="557" t="s">
        <v>12</v>
      </c>
      <c r="H24" s="558" t="s">
        <v>488</v>
      </c>
      <c r="I24" s="774" t="s">
        <v>519</v>
      </c>
      <c r="J24" s="215">
        <f>+'8'!J24</f>
        <v>0</v>
      </c>
      <c r="K24" s="240"/>
      <c r="L24" s="240"/>
      <c r="M24" s="118">
        <f>+K24+'9'!M24+L24</f>
        <v>0</v>
      </c>
    </row>
    <row r="25" spans="1:19" ht="13.5" customHeight="1" thickBot="1">
      <c r="A25" s="777"/>
      <c r="B25" s="216" t="s">
        <v>494</v>
      </c>
      <c r="C25" s="227">
        <f>12839+1520</f>
        <v>14359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+'8'!J25</f>
        <v>0</v>
      </c>
      <c r="K25" s="240"/>
      <c r="L25" s="240"/>
      <c r="M25" s="118">
        <f>+K25+'9'!M25+L25</f>
        <v>0</v>
      </c>
      <c r="N25" s="150" t="s">
        <v>482</v>
      </c>
      <c r="O25" s="150">
        <v>1210</v>
      </c>
      <c r="P25" s="150">
        <f>+O25-O25*0.23</f>
        <v>931.7</v>
      </c>
      <c r="Q25" s="150">
        <v>11</v>
      </c>
      <c r="R25" s="150">
        <f>+O25*Q25</f>
        <v>13310</v>
      </c>
      <c r="S25" s="150">
        <f>+P25*Q25</f>
        <v>10248.700000000001</v>
      </c>
    </row>
    <row r="26" spans="1:19" ht="13.5" customHeight="1" thickBot="1">
      <c r="A26" s="777"/>
      <c r="B26" s="216"/>
      <c r="C26" s="227"/>
      <c r="D26" s="218"/>
      <c r="E26" s="228"/>
      <c r="F26" s="229">
        <v>15</v>
      </c>
      <c r="G26" s="559" t="s">
        <v>12</v>
      </c>
      <c r="H26" s="234" t="s">
        <v>442</v>
      </c>
      <c r="I26" s="775"/>
      <c r="J26" s="215">
        <f>+'8'!J26</f>
        <v>0</v>
      </c>
      <c r="K26" s="240"/>
      <c r="L26" s="240"/>
      <c r="M26" s="118">
        <f>+K26+'9'!M26+L26</f>
        <v>0</v>
      </c>
      <c r="O26" s="150">
        <v>1150</v>
      </c>
      <c r="P26" s="150">
        <f>+O26-O26*0.23</f>
        <v>885.5</v>
      </c>
      <c r="Q26" s="150">
        <f>480-Q25</f>
        <v>469</v>
      </c>
      <c r="R26" s="150">
        <f>+O26*Q26</f>
        <v>539350</v>
      </c>
      <c r="S26" s="150">
        <f>+P26*Q26</f>
        <v>415299.5</v>
      </c>
    </row>
    <row r="27" spans="1:19" ht="13.5" customHeight="1" thickBot="1">
      <c r="A27" s="777"/>
      <c r="B27" s="216"/>
      <c r="C27" s="217"/>
      <c r="D27" s="218"/>
      <c r="E27" s="226"/>
      <c r="F27" s="229"/>
      <c r="G27" s="230"/>
      <c r="H27" s="560" t="s">
        <v>516</v>
      </c>
      <c r="I27" s="775"/>
      <c r="J27" s="215">
        <f>+'8'!J27</f>
        <v>0</v>
      </c>
      <c r="K27" s="240"/>
      <c r="L27" s="240"/>
      <c r="M27" s="118">
        <f>+K27+'9'!M27+L27</f>
        <v>0</v>
      </c>
      <c r="P27" s="150">
        <f t="shared" ref="P27:P28" si="1">+O27-O27*0.23</f>
        <v>0</v>
      </c>
      <c r="Q27" s="150">
        <f>480-Q25-Q26</f>
        <v>0</v>
      </c>
      <c r="R27" s="150">
        <f>+O27*Q27</f>
        <v>0</v>
      </c>
      <c r="S27" s="150">
        <f>+P27*Q27</f>
        <v>0</v>
      </c>
    </row>
    <row r="28" spans="1:19" ht="125.25" customHeight="1" thickBot="1">
      <c r="A28" s="777"/>
      <c r="B28" s="216"/>
      <c r="C28" s="217"/>
      <c r="D28" s="218"/>
      <c r="E28" s="226"/>
      <c r="F28" s="232"/>
      <c r="G28" s="233"/>
      <c r="H28" s="234" t="s">
        <v>517</v>
      </c>
      <c r="I28" s="775"/>
      <c r="J28" s="215">
        <f>+'8'!J28</f>
        <v>0</v>
      </c>
      <c r="K28" s="240"/>
      <c r="L28" s="240"/>
      <c r="M28" s="118">
        <f>+K28+'9'!M28+L28</f>
        <v>0</v>
      </c>
      <c r="P28" s="150">
        <f t="shared" si="1"/>
        <v>0</v>
      </c>
      <c r="R28" s="150">
        <f>+O28*Q28</f>
        <v>0</v>
      </c>
      <c r="S28" s="150">
        <f>+P28*Q28</f>
        <v>0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+'8'!J29</f>
        <v>0</v>
      </c>
      <c r="K29" s="240"/>
      <c r="L29" s="240"/>
      <c r="M29" s="118">
        <f>+K29+'9'!M29+L29</f>
        <v>0</v>
      </c>
      <c r="Q29" s="150">
        <f>SUM(Q25:Q28)</f>
        <v>480</v>
      </c>
      <c r="R29" s="150">
        <f t="shared" ref="R29:S29" si="2">SUM(R25:R28)</f>
        <v>552660</v>
      </c>
      <c r="S29" s="150">
        <f t="shared" si="2"/>
        <v>425548.2</v>
      </c>
    </row>
    <row r="30" spans="1:19" ht="13.5" customHeight="1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+'8'!J30</f>
        <v>0</v>
      </c>
      <c r="K30" s="240"/>
      <c r="L30" s="240"/>
      <c r="M30" s="118">
        <f>+K30+'9'!M30+L30</f>
        <v>0</v>
      </c>
      <c r="R30" s="150">
        <f>+R29/Q29</f>
        <v>1151.375</v>
      </c>
      <c r="S30" s="150">
        <f>+S29/Q29</f>
        <v>886.55875000000003</v>
      </c>
    </row>
    <row r="31" spans="1:19" ht="13.5" customHeight="1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+'8'!J31</f>
        <v>0</v>
      </c>
      <c r="K31" s="240"/>
      <c r="L31" s="240"/>
      <c r="M31" s="118">
        <f>+K31+'9'!M31+L31</f>
        <v>0</v>
      </c>
    </row>
    <row r="32" spans="1:19" ht="13.5" customHeight="1" thickBot="1">
      <c r="A32" s="778"/>
      <c r="B32" s="166" t="s">
        <v>2</v>
      </c>
      <c r="C32" s="100">
        <f>SUM(C25:C31)</f>
        <v>14359</v>
      </c>
      <c r="D32" s="101">
        <f>SUM(D25:D31)</f>
        <v>0</v>
      </c>
      <c r="E32" s="102">
        <f>SUM(E25:E31)</f>
        <v>0</v>
      </c>
      <c r="F32" s="103">
        <f>SUM(F24:F31)</f>
        <v>55</v>
      </c>
      <c r="G32" s="172"/>
      <c r="H32" s="173"/>
      <c r="I32" s="170"/>
      <c r="J32" s="215">
        <f>+'8'!J32</f>
        <v>0</v>
      </c>
      <c r="K32" s="242"/>
      <c r="L32" s="244"/>
      <c r="M32" s="118">
        <f>+K32+'9'!M32+L32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43485</v>
      </c>
      <c r="D34" s="108">
        <f>D14+D23+D32</f>
        <v>0</v>
      </c>
      <c r="E34" s="108">
        <f>E14+E23+E32</f>
        <v>0</v>
      </c>
      <c r="F34" s="109">
        <f>F14+F23+F32</f>
        <v>99</v>
      </c>
      <c r="H34" s="179"/>
      <c r="I34" s="179"/>
      <c r="J34" s="124" t="s">
        <v>28</v>
      </c>
      <c r="K34" s="125">
        <f>SUM(K7:K32)</f>
        <v>43485</v>
      </c>
      <c r="L34" s="213">
        <f>SUM(L7:L32)</f>
        <v>0</v>
      </c>
      <c r="M34" s="121">
        <f>SUM(M7:M32)</f>
        <v>405780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47.501556804000003</v>
      </c>
      <c r="J37" s="334">
        <f>+I37+'9'!J37</f>
        <v>463.02929194134805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99</v>
      </c>
      <c r="D38" s="119">
        <f>+C38+'9'!D38</f>
        <v>808</v>
      </c>
      <c r="E38" s="144">
        <f t="shared" ref="E38:E51" si="3">D38/60</f>
        <v>13.466666666666667</v>
      </c>
      <c r="F38" s="323">
        <v>1200</v>
      </c>
      <c r="G38" s="323">
        <v>960</v>
      </c>
      <c r="H38" s="188" t="s">
        <v>64</v>
      </c>
      <c r="I38" s="246">
        <f>14.262+13.488+14.272</f>
        <v>42.021999999999998</v>
      </c>
      <c r="J38" s="335">
        <f>+I38+'9'!J38</f>
        <v>417.26600000000002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+C39+'9'!D39</f>
        <v>0</v>
      </c>
      <c r="E39" s="144">
        <f t="shared" si="3"/>
        <v>0</v>
      </c>
      <c r="F39" s="323">
        <v>1210</v>
      </c>
      <c r="G39" s="323">
        <v>931.7</v>
      </c>
      <c r="H39" s="188" t="s">
        <v>65</v>
      </c>
      <c r="I39" s="143"/>
      <c r="J39" s="336">
        <f>J37/G4</f>
        <v>46.302929194134805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+C40+'9'!D40</f>
        <v>0</v>
      </c>
      <c r="E40" s="144">
        <f t="shared" si="3"/>
        <v>0</v>
      </c>
      <c r="F40" s="323">
        <v>1151.375</v>
      </c>
      <c r="G40" s="323">
        <v>886.55875000000003</v>
      </c>
      <c r="H40" s="188" t="s">
        <v>67</v>
      </c>
      <c r="I40" s="119">
        <f>+(K34+L34)/1000</f>
        <v>43.484999999999999</v>
      </c>
      <c r="J40" s="337">
        <f>+I40+'9'!J40</f>
        <v>405.78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SUMIF($G$7:$G$23,"Electrical",$F$7:$F$23)</f>
        <v>0</v>
      </c>
      <c r="D41" s="119">
        <f>+C41+'9'!D41</f>
        <v>0</v>
      </c>
      <c r="E41" s="144">
        <f t="shared" si="3"/>
        <v>0</v>
      </c>
      <c r="F41" s="323"/>
      <c r="G41" s="323"/>
      <c r="H41" s="188" t="s">
        <v>69</v>
      </c>
      <c r="I41" s="143"/>
      <c r="J41" s="336">
        <f>J40/G4</f>
        <v>40.577999999999996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SUMIF($G$7:$G$23,"Instrument",$F$7:$F$23)</f>
        <v>0</v>
      </c>
      <c r="D42" s="119">
        <f>+C42+'9'!D42</f>
        <v>0</v>
      </c>
      <c r="E42" s="144">
        <f t="shared" si="3"/>
        <v>0</v>
      </c>
      <c r="F42" s="323">
        <f>+(480*F38+480*F39+480*F40)/1440</f>
        <v>1187.125</v>
      </c>
      <c r="G42" s="323">
        <f>+(480*G38+480*G39+480*G40)/1440</f>
        <v>926.08624999999995</v>
      </c>
      <c r="H42" s="188" t="s">
        <v>70</v>
      </c>
      <c r="I42" s="247" t="s">
        <v>520</v>
      </c>
      <c r="J42" s="338"/>
      <c r="K42" s="131" t="s">
        <v>71</v>
      </c>
    </row>
    <row r="43" spans="1:13" ht="17.45" customHeight="1">
      <c r="A43" s="765" t="s">
        <v>72</v>
      </c>
      <c r="B43" s="766"/>
      <c r="C43" s="165">
        <f>SUMIF($G$7:$G$23,"Water",$F$7:$F$23)</f>
        <v>0</v>
      </c>
      <c r="D43" s="119">
        <f>+C43+'9'!D43</f>
        <v>0</v>
      </c>
      <c r="E43" s="144">
        <f t="shared" si="3"/>
        <v>0</v>
      </c>
      <c r="F43" s="323"/>
      <c r="G43" s="324"/>
      <c r="H43" s="189" t="s">
        <v>73</v>
      </c>
      <c r="I43" s="119">
        <f>+Report1!Z18</f>
        <v>65.5</v>
      </c>
      <c r="J43" s="339">
        <f>+I43+'9'!J43</f>
        <v>618.19999999999993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SUMIF($G$7:$G$23,"PLN",$F$7:$F$23)</f>
        <v>0</v>
      </c>
      <c r="D44" s="119">
        <f>+C44+'9'!D44</f>
        <v>0</v>
      </c>
      <c r="E44" s="144">
        <f t="shared" si="3"/>
        <v>0</v>
      </c>
      <c r="F44" s="323"/>
      <c r="G44" s="324"/>
      <c r="H44" s="189" t="s">
        <v>74</v>
      </c>
      <c r="I44" s="119">
        <f>I43/I38</f>
        <v>1.5587073437723098</v>
      </c>
      <c r="J44" s="339">
        <f>J43/J38</f>
        <v>1.4815489400046971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SUMIF($G$7:$G$23,"Boiler",$F$7:$F$23)</f>
        <v>0</v>
      </c>
      <c r="D45" s="119">
        <f>+C45+'9'!D45</f>
        <v>0</v>
      </c>
      <c r="E45" s="144">
        <f t="shared" si="3"/>
        <v>0</v>
      </c>
      <c r="F45" s="323"/>
      <c r="G45" s="326"/>
      <c r="H45" s="189" t="s">
        <v>75</v>
      </c>
      <c r="I45" s="119">
        <f>I43/I40</f>
        <v>1.5062665286880534</v>
      </c>
      <c r="J45" s="339">
        <f>J43/J40</f>
        <v>1.5234856326088027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SUMIF($G$7:$G$23,"Gas",$F$7:$F$23)</f>
        <v>0</v>
      </c>
      <c r="D46" s="119">
        <f>+C46+'9'!D46</f>
        <v>0</v>
      </c>
      <c r="E46" s="144">
        <f t="shared" si="3"/>
        <v>0</v>
      </c>
      <c r="F46" s="323"/>
      <c r="G46" s="324"/>
      <c r="H46" s="189" t="s">
        <v>77</v>
      </c>
      <c r="I46" s="141">
        <f>+SUMIF(Listrik!P17,"&gt;0")</f>
        <v>36389.819999998908</v>
      </c>
      <c r="J46" s="339">
        <f>+I46+'9'!J46</f>
        <v>371963.63999999897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SUMIF($G$7:$G$23,"Gas",$F$7:$F$23)</f>
        <v>0</v>
      </c>
      <c r="D47" s="119">
        <f>+C47+'9'!D47</f>
        <v>0</v>
      </c>
      <c r="E47" s="144">
        <f t="shared" si="3"/>
        <v>0</v>
      </c>
      <c r="F47" s="323"/>
      <c r="G47" s="324"/>
      <c r="H47" s="189" t="s">
        <v>80</v>
      </c>
      <c r="I47" s="119">
        <f>I46/I38</f>
        <v>865.97068202367598</v>
      </c>
      <c r="J47" s="339">
        <f>J46/J38</f>
        <v>891.43050236539511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SUMIF($G$7:$G$23,"Start Up",$F$7:$F$23)</f>
        <v>0</v>
      </c>
      <c r="D48" s="119">
        <f>+C48+'9'!D48</f>
        <v>0</v>
      </c>
      <c r="E48" s="144">
        <f t="shared" si="3"/>
        <v>0</v>
      </c>
      <c r="F48" s="323"/>
      <c r="G48" s="324"/>
      <c r="H48" s="189" t="s">
        <v>81</v>
      </c>
      <c r="I48" s="119">
        <f>I46/I40</f>
        <v>836.83615039666347</v>
      </c>
      <c r="J48" s="339">
        <f>J46/J40</f>
        <v>916.66331509684801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SUMIF($G$7:$G$23,"Others",$F$7:$F$23)</f>
        <v>0</v>
      </c>
      <c r="D49" s="119">
        <f>+C49+'9'!D49</f>
        <v>301</v>
      </c>
      <c r="E49" s="144">
        <f t="shared" si="3"/>
        <v>5.0166666666666666</v>
      </c>
      <c r="F49" s="186"/>
      <c r="H49" s="189" t="s">
        <v>268</v>
      </c>
      <c r="I49" s="119">
        <f>+Report1!T18</f>
        <v>4345.6713306292941</v>
      </c>
      <c r="J49" s="339">
        <f>+I49+'9'!J49</f>
        <v>41837.728011840984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SUMIF($G$7:$G$23,"Steam",$F$7:$F$23)</f>
        <v>0</v>
      </c>
      <c r="D50" s="119">
        <f>+C50+'9'!D50</f>
        <v>0</v>
      </c>
      <c r="E50" s="144">
        <f t="shared" si="3"/>
        <v>0</v>
      </c>
      <c r="F50" s="186"/>
      <c r="H50" s="189" t="s">
        <v>83</v>
      </c>
      <c r="I50" s="141">
        <f>I49/I38</f>
        <v>103.41419567439185</v>
      </c>
      <c r="J50" s="339">
        <f>J49/J38</f>
        <v>100.26632414776421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SUMIF($G$7:$G$23,"Planned shut",$F$7:$F$23)</f>
        <v>0</v>
      </c>
      <c r="D51" s="119">
        <f>+C51+'9'!D51</f>
        <v>0</v>
      </c>
      <c r="E51" s="144">
        <f t="shared" si="3"/>
        <v>0</v>
      </c>
      <c r="F51" s="186"/>
      <c r="H51" s="191" t="s">
        <v>85</v>
      </c>
      <c r="I51" s="142">
        <f>I49/I40</f>
        <v>99.934950687117265</v>
      </c>
      <c r="J51" s="340">
        <f>J49/J40</f>
        <v>103.10446057430377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99</v>
      </c>
      <c r="D52" s="145">
        <f>SUM(D38:D51)</f>
        <v>1109</v>
      </c>
      <c r="E52" s="146">
        <f>SUM(E38:E51)</f>
        <v>18.483333333333334</v>
      </c>
      <c r="F52" s="186"/>
      <c r="H52" s="192"/>
      <c r="I52" s="193"/>
      <c r="J52" s="341"/>
      <c r="K52" s="140"/>
    </row>
    <row r="53" spans="1:11" ht="13.5" thickBot="1">
      <c r="A53" s="763"/>
      <c r="B53" s="764"/>
      <c r="C53" s="147">
        <f>C52/(24*60)</f>
        <v>6.8750000000000006E-2</v>
      </c>
      <c r="D53" s="147">
        <f>D52/(24*60*G4)</f>
        <v>7.7013888888888896E-2</v>
      </c>
      <c r="E53" s="148">
        <f>E52/(G4*24)</f>
        <v>7.7013888888888896E-2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+D34+'9'!J56</f>
        <v>1008</v>
      </c>
      <c r="K56" s="202">
        <f>J56/(J40+J56/1000)/1000</f>
        <v>2.4779492020413586E-3</v>
      </c>
    </row>
    <row r="57" spans="1:11">
      <c r="A57" s="177"/>
      <c r="I57" s="200" t="s">
        <v>88</v>
      </c>
      <c r="J57" s="201"/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46:B46"/>
    <mergeCell ref="A42:B42"/>
    <mergeCell ref="A43:B43"/>
    <mergeCell ref="A44:B44"/>
    <mergeCell ref="A45:B45"/>
    <mergeCell ref="A53:B53"/>
    <mergeCell ref="A49:B49"/>
    <mergeCell ref="A47:B47"/>
    <mergeCell ref="A48:B48"/>
    <mergeCell ref="A50:B50"/>
    <mergeCell ref="A52:B52"/>
    <mergeCell ref="A51:B51"/>
    <mergeCell ref="A41:B41"/>
    <mergeCell ref="A40:B40"/>
    <mergeCell ref="A7:A14"/>
    <mergeCell ref="I7:I13"/>
    <mergeCell ref="A15:A23"/>
    <mergeCell ref="I15:I22"/>
    <mergeCell ref="A24:A32"/>
    <mergeCell ref="I24:I31"/>
    <mergeCell ref="A37:B37"/>
    <mergeCell ref="A34:B34"/>
    <mergeCell ref="A38:B38"/>
    <mergeCell ref="A39:B39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7" zoomScale="80" zoomScaleNormal="75" zoomScaleSheetLayoutView="80" workbookViewId="0">
      <selection activeCell="K13" sqref="K13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5703125" style="150" bestFit="1" customWidth="1"/>
    <col min="12" max="12" width="10.5703125" style="150" bestFit="1" customWidth="1"/>
    <col min="13" max="13" width="12.140625" style="150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9</v>
      </c>
      <c r="H4" s="155" t="str">
        <f>+'1'!H4</f>
        <v>.07.25</v>
      </c>
      <c r="J4" s="150">
        <f>516+429+470</f>
        <v>1415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482</v>
      </c>
      <c r="O6" s="150">
        <v>1200</v>
      </c>
      <c r="P6" s="150">
        <f>+O6-O6*0.23</f>
        <v>924</v>
      </c>
      <c r="Q6" s="150">
        <v>480</v>
      </c>
      <c r="R6" s="150">
        <f>+O6*Q6</f>
        <v>576000</v>
      </c>
      <c r="S6" s="150">
        <f>+P6*Q6</f>
        <v>443520</v>
      </c>
    </row>
    <row r="7" spans="1:19" ht="13.5" customHeight="1" thickBot="1">
      <c r="A7" s="771" t="s">
        <v>422</v>
      </c>
      <c r="B7" s="216" t="s">
        <v>494</v>
      </c>
      <c r="C7" s="217">
        <v>14348</v>
      </c>
      <c r="D7" s="218"/>
      <c r="E7" s="219"/>
      <c r="F7" s="229">
        <v>12</v>
      </c>
      <c r="G7" s="557" t="s">
        <v>12</v>
      </c>
      <c r="H7" s="558" t="s">
        <v>394</v>
      </c>
      <c r="I7" s="774" t="s">
        <v>509</v>
      </c>
      <c r="J7" s="215" t="str">
        <f>+'8'!J7</f>
        <v>T 12,5 VP OW</v>
      </c>
      <c r="K7" s="239"/>
      <c r="L7" s="243"/>
      <c r="M7" s="118">
        <f>+K7+'8'!M7+L7</f>
        <v>21165</v>
      </c>
      <c r="O7" s="150">
        <v>1200</v>
      </c>
      <c r="P7" s="150">
        <f>+O7-O7*0.23</f>
        <v>924</v>
      </c>
      <c r="Q7" s="150">
        <v>480</v>
      </c>
      <c r="R7" s="150">
        <f>+O7*Q7</f>
        <v>576000</v>
      </c>
      <c r="S7" s="150">
        <f>+P7*Q7</f>
        <v>443520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+'8'!J8</f>
        <v>F 13 VP OW</v>
      </c>
      <c r="K8" s="240"/>
      <c r="L8" s="240"/>
      <c r="M8" s="118">
        <f>+K8+'8'!M8+L8</f>
        <v>121388</v>
      </c>
      <c r="O8" s="150">
        <v>1230</v>
      </c>
      <c r="P8" s="150">
        <f t="shared" ref="P8:P9" si="0">+O8-O8*0.23</f>
        <v>947.09999999999991</v>
      </c>
      <c r="Q8" s="150">
        <v>480</v>
      </c>
      <c r="R8" s="150">
        <f>+O8*Q8</f>
        <v>590400</v>
      </c>
      <c r="S8" s="150">
        <f>+P8*Q8</f>
        <v>454607.99999999994</v>
      </c>
    </row>
    <row r="9" spans="1:19" ht="13.5" thickBot="1">
      <c r="A9" s="772"/>
      <c r="B9" s="216"/>
      <c r="C9" s="217"/>
      <c r="D9" s="218"/>
      <c r="E9" s="221"/>
      <c r="F9" s="229">
        <f>29-12</f>
        <v>17</v>
      </c>
      <c r="G9" s="559" t="s">
        <v>12</v>
      </c>
      <c r="H9" s="234" t="s">
        <v>442</v>
      </c>
      <c r="I9" s="775"/>
      <c r="J9" s="215" t="str">
        <f>+'8'!J9</f>
        <v>F 12 VP OW</v>
      </c>
      <c r="K9" s="240"/>
      <c r="L9" s="240"/>
      <c r="M9" s="118">
        <f>+K9+'8'!M9+L9</f>
        <v>86796</v>
      </c>
      <c r="P9" s="150">
        <f t="shared" si="0"/>
        <v>0</v>
      </c>
      <c r="R9" s="150">
        <f>+O9*Q9</f>
        <v>0</v>
      </c>
      <c r="S9" s="150">
        <f>+P9*Q9</f>
        <v>0</v>
      </c>
    </row>
    <row r="10" spans="1:19" ht="39" thickBot="1">
      <c r="A10" s="772"/>
      <c r="B10" s="216"/>
      <c r="C10" s="217"/>
      <c r="D10" s="218"/>
      <c r="E10" s="220"/>
      <c r="F10" s="229"/>
      <c r="G10" s="230"/>
      <c r="H10" s="560" t="s">
        <v>505</v>
      </c>
      <c r="I10" s="775"/>
      <c r="J10" s="215" t="str">
        <f>+'8'!J10</f>
        <v>F 12,5 VP OW</v>
      </c>
      <c r="K10" s="240"/>
      <c r="L10" s="240"/>
      <c r="M10" s="118">
        <f>+K10+'8'!M10+L10</f>
        <v>19792</v>
      </c>
      <c r="Q10" s="150">
        <f>SUM(Q6:Q9)</f>
        <v>1440</v>
      </c>
      <c r="R10" s="150">
        <f t="shared" ref="R10:S10" si="1">SUM(R6:R9)</f>
        <v>1742400</v>
      </c>
      <c r="S10" s="150">
        <f t="shared" si="1"/>
        <v>1341648</v>
      </c>
    </row>
    <row r="11" spans="1:1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 t="str">
        <f>+'8'!J11</f>
        <v>T 13 VP OW</v>
      </c>
      <c r="K11" s="240">
        <f>+C34</f>
        <v>45328</v>
      </c>
      <c r="L11" s="240"/>
      <c r="M11" s="118">
        <f>+K11+'8'!M11+L11</f>
        <v>113154</v>
      </c>
      <c r="P11" s="177"/>
      <c r="Q11" s="177"/>
      <c r="R11" s="177"/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+'8'!J12</f>
        <v>0</v>
      </c>
      <c r="K12" s="240"/>
      <c r="L12" s="240"/>
      <c r="M12" s="118">
        <f>+K12+'8'!M12+L12</f>
        <v>0</v>
      </c>
      <c r="Q12" s="177"/>
      <c r="R12" s="177"/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+'8'!J13</f>
        <v>0</v>
      </c>
      <c r="K13" s="240"/>
      <c r="L13" s="240"/>
      <c r="M13" s="118">
        <f>+K13+'8'!M13+L13</f>
        <v>0</v>
      </c>
    </row>
    <row r="14" spans="1:19" ht="13.5" thickBot="1">
      <c r="A14" s="773"/>
      <c r="B14" s="166" t="s">
        <v>2</v>
      </c>
      <c r="C14" s="100">
        <f>SUM(C7:C13)</f>
        <v>14348</v>
      </c>
      <c r="D14" s="112">
        <f>SUM(D7:D13)</f>
        <v>0</v>
      </c>
      <c r="E14" s="113">
        <f>SUM(E5:E13)</f>
        <v>0</v>
      </c>
      <c r="F14" s="117">
        <f>SUM(F7:F13)</f>
        <v>29</v>
      </c>
      <c r="G14" s="160"/>
      <c r="H14" s="167"/>
      <c r="I14" s="168"/>
      <c r="J14" s="215">
        <f>+'8'!J14</f>
        <v>0</v>
      </c>
      <c r="K14" s="240"/>
      <c r="L14" s="240"/>
      <c r="M14" s="118">
        <f>+K14+'8'!M14+L14</f>
        <v>0</v>
      </c>
    </row>
    <row r="15" spans="1:19" ht="13.5" customHeight="1" thickBot="1">
      <c r="A15" s="771" t="s">
        <v>423</v>
      </c>
      <c r="B15" s="166"/>
      <c r="C15" s="114">
        <f>C14/($C$23+$D$23+$E$23)</f>
        <v>0.79310154220330553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509</v>
      </c>
      <c r="J15" s="215">
        <f>+'8'!J15</f>
        <v>0</v>
      </c>
      <c r="K15" s="240"/>
      <c r="L15" s="240"/>
      <c r="M15" s="118">
        <f>+K15+'8'!M15+L15</f>
        <v>0</v>
      </c>
    </row>
    <row r="16" spans="1:19" ht="13.5" thickBot="1">
      <c r="A16" s="777"/>
      <c r="B16" s="216" t="s">
        <v>494</v>
      </c>
      <c r="C16" s="223">
        <v>18091</v>
      </c>
      <c r="D16" s="224"/>
      <c r="E16" s="225"/>
      <c r="F16" s="232">
        <v>10</v>
      </c>
      <c r="G16" s="559" t="s">
        <v>12</v>
      </c>
      <c r="H16" s="231" t="s">
        <v>511</v>
      </c>
      <c r="I16" s="775"/>
      <c r="J16" s="215">
        <f>+'8'!J16</f>
        <v>0</v>
      </c>
      <c r="K16" s="240"/>
      <c r="L16" s="230"/>
      <c r="M16" s="118">
        <f>+K16+'8'!M16+L16</f>
        <v>0</v>
      </c>
    </row>
    <row r="17" spans="1:13" ht="13.5" thickBot="1">
      <c r="A17" s="777"/>
      <c r="B17" s="216"/>
      <c r="C17" s="217"/>
      <c r="D17" s="218"/>
      <c r="E17" s="226"/>
      <c r="F17" s="229">
        <v>8</v>
      </c>
      <c r="G17" s="559" t="s">
        <v>12</v>
      </c>
      <c r="H17" s="234" t="s">
        <v>442</v>
      </c>
      <c r="I17" s="775"/>
      <c r="J17" s="215">
        <f>+'8'!J17</f>
        <v>0</v>
      </c>
      <c r="K17" s="230"/>
      <c r="L17" s="230"/>
      <c r="M17" s="118">
        <f>+K17+'8'!M17+L17</f>
        <v>0</v>
      </c>
    </row>
    <row r="18" spans="1:13" ht="39" thickBot="1">
      <c r="A18" s="777"/>
      <c r="B18" s="216"/>
      <c r="C18" s="217"/>
      <c r="D18" s="218"/>
      <c r="E18" s="226"/>
      <c r="F18" s="229"/>
      <c r="G18" s="230"/>
      <c r="H18" s="560" t="s">
        <v>506</v>
      </c>
      <c r="I18" s="775"/>
      <c r="J18" s="215">
        <f>+'8'!J18</f>
        <v>0</v>
      </c>
      <c r="K18" s="240"/>
      <c r="L18" s="240"/>
      <c r="M18" s="118">
        <f>+K18+'8'!M18+L18</f>
        <v>0</v>
      </c>
    </row>
    <row r="19" spans="1:13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+'8'!J19</f>
        <v>0</v>
      </c>
      <c r="K19" s="240"/>
      <c r="L19" s="240"/>
      <c r="M19" s="118">
        <f>+K19+'8'!M19+L19</f>
        <v>0</v>
      </c>
    </row>
    <row r="20" spans="1:1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+'8'!J20</f>
        <v>0</v>
      </c>
      <c r="K20" s="241"/>
      <c r="L20" s="241"/>
      <c r="M20" s="118">
        <f>+K20+'8'!M20+L20</f>
        <v>0</v>
      </c>
    </row>
    <row r="21" spans="1:1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+'8'!J21</f>
        <v>0</v>
      </c>
      <c r="K21" s="240"/>
      <c r="L21" s="240"/>
      <c r="M21" s="118">
        <f>+K21+'8'!M21+L21</f>
        <v>0</v>
      </c>
    </row>
    <row r="22" spans="1:1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+'8'!J22</f>
        <v>0</v>
      </c>
      <c r="K22" s="240"/>
      <c r="L22" s="240"/>
      <c r="M22" s="118">
        <f>+K22+'8'!M22+L22</f>
        <v>0</v>
      </c>
    </row>
    <row r="23" spans="1:13" ht="13.5" thickBot="1">
      <c r="A23" s="778"/>
      <c r="B23" s="169" t="s">
        <v>2</v>
      </c>
      <c r="C23" s="101">
        <f>SUM(C16:C22)</f>
        <v>18091</v>
      </c>
      <c r="D23" s="112">
        <f>SUM(D16:D22)</f>
        <v>0</v>
      </c>
      <c r="E23" s="113">
        <f>SUM(E18:E22)</f>
        <v>0</v>
      </c>
      <c r="F23" s="117">
        <f>SUM(F15:F22)</f>
        <v>18</v>
      </c>
      <c r="G23" s="160"/>
      <c r="H23" s="167"/>
      <c r="I23" s="170"/>
      <c r="J23" s="215">
        <f>+'8'!J23</f>
        <v>0</v>
      </c>
      <c r="K23" s="240"/>
      <c r="L23" s="240"/>
      <c r="M23" s="118">
        <f>+K23+'8'!M23+L23</f>
        <v>0</v>
      </c>
    </row>
    <row r="24" spans="1:13" ht="13.5" customHeight="1" thickBot="1">
      <c r="A24" s="771" t="s">
        <v>421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35</v>
      </c>
      <c r="G24" s="557" t="s">
        <v>12</v>
      </c>
      <c r="H24" s="558" t="s">
        <v>488</v>
      </c>
      <c r="I24" s="774" t="s">
        <v>406</v>
      </c>
      <c r="J24" s="215">
        <f>+'8'!J24</f>
        <v>0</v>
      </c>
      <c r="K24" s="240"/>
      <c r="L24" s="240"/>
      <c r="M24" s="118">
        <f>+K24+'8'!M24+L24</f>
        <v>0</v>
      </c>
    </row>
    <row r="25" spans="1:13" ht="13.5" thickBot="1">
      <c r="A25" s="777"/>
      <c r="B25" s="216" t="s">
        <v>494</v>
      </c>
      <c r="C25" s="227">
        <f>20297-7408</f>
        <v>12889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+'8'!J25</f>
        <v>0</v>
      </c>
      <c r="K25" s="240"/>
      <c r="L25" s="240"/>
      <c r="M25" s="118">
        <f>+K25+'8'!M25+L25</f>
        <v>0</v>
      </c>
    </row>
    <row r="26" spans="1:13" ht="13.5" thickBot="1">
      <c r="A26" s="777"/>
      <c r="B26" s="216"/>
      <c r="C26" s="227"/>
      <c r="D26" s="218"/>
      <c r="E26" s="228"/>
      <c r="F26" s="229">
        <v>10</v>
      </c>
      <c r="G26" s="559" t="s">
        <v>12</v>
      </c>
      <c r="H26" s="234" t="s">
        <v>384</v>
      </c>
      <c r="I26" s="775"/>
      <c r="J26" s="215">
        <f>+'8'!J26</f>
        <v>0</v>
      </c>
      <c r="K26" s="240"/>
      <c r="L26" s="240"/>
      <c r="M26" s="118">
        <f>+K26+'8'!M26+L26</f>
        <v>0</v>
      </c>
    </row>
    <row r="27" spans="1:13" ht="26.25" thickBot="1">
      <c r="A27" s="777"/>
      <c r="B27" s="216"/>
      <c r="C27" s="217"/>
      <c r="D27" s="218"/>
      <c r="E27" s="226"/>
      <c r="F27" s="229"/>
      <c r="G27" s="230"/>
      <c r="H27" s="560" t="s">
        <v>507</v>
      </c>
      <c r="I27" s="775"/>
      <c r="J27" s="215">
        <f>+'8'!J27</f>
        <v>0</v>
      </c>
      <c r="K27" s="240"/>
      <c r="L27" s="240"/>
      <c r="M27" s="118">
        <f>+K27+'8'!M27+L27</f>
        <v>0</v>
      </c>
    </row>
    <row r="28" spans="1:13" ht="26.25" thickBot="1">
      <c r="A28" s="777"/>
      <c r="B28" s="216"/>
      <c r="C28" s="217"/>
      <c r="D28" s="218"/>
      <c r="E28" s="226"/>
      <c r="F28" s="232"/>
      <c r="G28" s="233"/>
      <c r="H28" s="234" t="s">
        <v>508</v>
      </c>
      <c r="I28" s="775"/>
      <c r="J28" s="215">
        <f>+'8'!J28</f>
        <v>0</v>
      </c>
      <c r="K28" s="240"/>
      <c r="L28" s="240"/>
      <c r="M28" s="118">
        <f>+K28+'8'!M28+L28</f>
        <v>0</v>
      </c>
    </row>
    <row r="29" spans="1:13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+'8'!J29</f>
        <v>0</v>
      </c>
      <c r="K29" s="240"/>
      <c r="L29" s="240"/>
      <c r="M29" s="118">
        <f>+K29+'8'!M29+L29</f>
        <v>0</v>
      </c>
    </row>
    <row r="30" spans="1:13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+'8'!J30</f>
        <v>0</v>
      </c>
      <c r="K30" s="240"/>
      <c r="L30" s="240"/>
      <c r="M30" s="118">
        <f>+K30+'8'!M30+L30</f>
        <v>0</v>
      </c>
    </row>
    <row r="31" spans="1:13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+'8'!J31</f>
        <v>0</v>
      </c>
      <c r="K31" s="240"/>
      <c r="L31" s="240"/>
      <c r="M31" s="118">
        <f>+K31+'8'!M31+L31</f>
        <v>0</v>
      </c>
    </row>
    <row r="32" spans="1:13" ht="13.5" thickBot="1">
      <c r="A32" s="778"/>
      <c r="B32" s="166" t="s">
        <v>2</v>
      </c>
      <c r="C32" s="100">
        <f>SUM(C25:C31)</f>
        <v>12889</v>
      </c>
      <c r="D32" s="101">
        <f>SUM(D25:D31)</f>
        <v>0</v>
      </c>
      <c r="E32" s="102">
        <f>SUM(E25:E31)</f>
        <v>0</v>
      </c>
      <c r="F32" s="103">
        <f>SUM(F24:F31)</f>
        <v>45</v>
      </c>
      <c r="G32" s="172"/>
      <c r="H32" s="173"/>
      <c r="I32" s="170"/>
      <c r="J32" s="215">
        <f>+'8'!J32</f>
        <v>0</v>
      </c>
      <c r="K32" s="242"/>
      <c r="L32" s="244"/>
      <c r="M32" s="118">
        <f>+K32+'8'!M32+L32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45328</v>
      </c>
      <c r="D34" s="108">
        <f>D14+D23+D32</f>
        <v>0</v>
      </c>
      <c r="E34" s="108">
        <f>E14+E23+E32</f>
        <v>0</v>
      </c>
      <c r="F34" s="109">
        <f>F14+F23+F32</f>
        <v>92</v>
      </c>
      <c r="H34" s="179"/>
      <c r="I34" s="179"/>
      <c r="J34" s="124" t="s">
        <v>28</v>
      </c>
      <c r="K34" s="125">
        <f>SUM(K7:K32)</f>
        <v>45328</v>
      </c>
      <c r="L34" s="213">
        <f>SUM(L7:L32)</f>
        <v>0</v>
      </c>
      <c r="M34" s="121">
        <f>SUM(M7:M32)</f>
        <v>362295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47.789501760000007</v>
      </c>
      <c r="J37" s="126">
        <f>+I37+'8'!J37</f>
        <v>415.52773513734803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92</v>
      </c>
      <c r="D38" s="119">
        <f>+C38+'8'!D38</f>
        <v>709</v>
      </c>
      <c r="E38" s="144">
        <f t="shared" ref="E38:E51" si="2">D38/60</f>
        <v>11.816666666666666</v>
      </c>
      <c r="F38" s="323">
        <v>1200</v>
      </c>
      <c r="G38" s="323">
        <v>924</v>
      </c>
      <c r="H38" s="188" t="s">
        <v>64</v>
      </c>
      <c r="I38" s="246">
        <f>14.712+15.212+14.172</f>
        <v>44.096000000000004</v>
      </c>
      <c r="J38" s="128">
        <f>+I38+'8'!J38</f>
        <v>375.24400000000003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+C39+'8'!D39</f>
        <v>0</v>
      </c>
      <c r="E39" s="144">
        <f t="shared" si="2"/>
        <v>0</v>
      </c>
      <c r="F39" s="323">
        <v>1200</v>
      </c>
      <c r="G39" s="323">
        <v>924</v>
      </c>
      <c r="H39" s="188" t="s">
        <v>65</v>
      </c>
      <c r="I39" s="143"/>
      <c r="J39" s="130">
        <f>J37/G4</f>
        <v>46.169748348594226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+C40+'8'!D40</f>
        <v>0</v>
      </c>
      <c r="E40" s="144">
        <f t="shared" si="2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45.328000000000003</v>
      </c>
      <c r="J40" s="132">
        <f>+I40+'8'!J40</f>
        <v>362.29499999999996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+C41+'8'!D41</f>
        <v>0</v>
      </c>
      <c r="E41" s="144">
        <f t="shared" si="2"/>
        <v>0</v>
      </c>
      <c r="F41" s="323"/>
      <c r="G41" s="323"/>
      <c r="H41" s="188" t="s">
        <v>69</v>
      </c>
      <c r="I41" s="143"/>
      <c r="J41" s="130">
        <f>J40/G4</f>
        <v>40.254999999999995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+C42+'8'!D42</f>
        <v>0</v>
      </c>
      <c r="E42" s="144">
        <f t="shared" si="2"/>
        <v>0</v>
      </c>
      <c r="F42" s="323">
        <f>+(480*F38+480*F39+480*F40)/1440</f>
        <v>1210</v>
      </c>
      <c r="G42" s="323">
        <f>+(480*G38+480*G39+480*G40)/1440</f>
        <v>931.7</v>
      </c>
      <c r="H42" s="188" t="s">
        <v>70</v>
      </c>
      <c r="I42" s="247" t="s">
        <v>510</v>
      </c>
      <c r="J42" s="133"/>
      <c r="K42" s="131" t="s">
        <v>71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+C43+'8'!D43</f>
        <v>0</v>
      </c>
      <c r="E43" s="144">
        <f t="shared" si="2"/>
        <v>0</v>
      </c>
      <c r="F43" s="323"/>
      <c r="G43" s="324"/>
      <c r="H43" s="189" t="s">
        <v>73</v>
      </c>
      <c r="I43" s="119">
        <f>+Report1!Z17</f>
        <v>62.3</v>
      </c>
      <c r="J43" s="134">
        <f>+I43+'8'!J43</f>
        <v>552.69999999999993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+C44+'8'!D44</f>
        <v>0</v>
      </c>
      <c r="E44" s="144">
        <f t="shared" si="2"/>
        <v>0</v>
      </c>
      <c r="F44" s="323"/>
      <c r="G44" s="324"/>
      <c r="H44" s="189" t="s">
        <v>74</v>
      </c>
      <c r="I44" s="119">
        <f>I43/I38</f>
        <v>1.4128265602322205</v>
      </c>
      <c r="J44" s="135">
        <f>J43/J38</f>
        <v>1.4729082943364848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+C45+'8'!D45</f>
        <v>0</v>
      </c>
      <c r="E45" s="144">
        <f t="shared" si="2"/>
        <v>0</v>
      </c>
      <c r="F45" s="323"/>
      <c r="G45" s="326"/>
      <c r="H45" s="189" t="s">
        <v>75</v>
      </c>
      <c r="I45" s="119">
        <f>I43/I40</f>
        <v>1.3744264031062476</v>
      </c>
      <c r="J45" s="135">
        <f>J43/J40</f>
        <v>1.5255523813466927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+C46+'8'!D46</f>
        <v>0</v>
      </c>
      <c r="E46" s="144">
        <f t="shared" si="2"/>
        <v>0</v>
      </c>
      <c r="F46" s="323"/>
      <c r="G46" s="324"/>
      <c r="H46" s="189" t="s">
        <v>77</v>
      </c>
      <c r="I46" s="141">
        <f>+SUMIF(Listrik!P16,"&gt;0")</f>
        <v>36803.46</v>
      </c>
      <c r="J46" s="136">
        <f>+I46+'8'!J46</f>
        <v>335573.82000000007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+C47+'8'!D47</f>
        <v>0</v>
      </c>
      <c r="E47" s="144">
        <f t="shared" si="2"/>
        <v>0</v>
      </c>
      <c r="F47" s="323"/>
      <c r="G47" s="324"/>
      <c r="H47" s="189" t="s">
        <v>80</v>
      </c>
      <c r="I47" s="119">
        <f>I46/I38</f>
        <v>834.6212808417996</v>
      </c>
      <c r="J47" s="136">
        <f>J46/J38</f>
        <v>894.28164074575488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+C48+'8'!D48</f>
        <v>0</v>
      </c>
      <c r="E48" s="144">
        <f t="shared" si="2"/>
        <v>0</v>
      </c>
      <c r="F48" s="323"/>
      <c r="G48" s="324"/>
      <c r="H48" s="189" t="s">
        <v>81</v>
      </c>
      <c r="I48" s="119">
        <f>I46/I40</f>
        <v>811.93655135898337</v>
      </c>
      <c r="J48" s="136">
        <f>J46/J40</f>
        <v>926.24469010060886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+C49+'8'!D49</f>
        <v>301</v>
      </c>
      <c r="E49" s="144">
        <f t="shared" si="2"/>
        <v>5.0166666666666666</v>
      </c>
      <c r="F49" s="186"/>
      <c r="H49" s="189" t="s">
        <v>268</v>
      </c>
      <c r="I49" s="119">
        <f>+Report1!T17</f>
        <v>4492.3170999717668</v>
      </c>
      <c r="J49" s="136">
        <f>+I49+'8'!J49</f>
        <v>37492.056681211689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+C50+'8'!D50</f>
        <v>0</v>
      </c>
      <c r="E50" s="144">
        <f t="shared" si="2"/>
        <v>0</v>
      </c>
      <c r="F50" s="186"/>
      <c r="H50" s="189" t="s">
        <v>83</v>
      </c>
      <c r="I50" s="141">
        <f>I49/I38</f>
        <v>101.87584134551356</v>
      </c>
      <c r="J50" s="134">
        <f>J49/J38</f>
        <v>99.913807232658442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+C51+'8'!D51</f>
        <v>0</v>
      </c>
      <c r="E51" s="144">
        <f t="shared" si="2"/>
        <v>0</v>
      </c>
      <c r="F51" s="186"/>
      <c r="H51" s="191" t="s">
        <v>85</v>
      </c>
      <c r="I51" s="142">
        <f>I49/I40</f>
        <v>99.106889780527851</v>
      </c>
      <c r="J51" s="137">
        <f>J49/J40</f>
        <v>103.48488574562633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92</v>
      </c>
      <c r="D52" s="145">
        <f>SUM(D38:D51)</f>
        <v>1010</v>
      </c>
      <c r="E52" s="146">
        <f>SUM(E38:E51)</f>
        <v>16.833333333333332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6.3888888888888884E-2</v>
      </c>
      <c r="D53" s="147">
        <f>D52/(24*60*G4)</f>
        <v>7.7932098765432098E-2</v>
      </c>
      <c r="E53" s="148">
        <f>E52/(G4*24)</f>
        <v>7.7932098765432098E-2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+D34+'8'!J56</f>
        <v>1008</v>
      </c>
      <c r="K56" s="202">
        <f>J56/(J40+J56/1000)/1000</f>
        <v>2.7745435628112078E-3</v>
      </c>
    </row>
    <row r="57" spans="1:11">
      <c r="A57" s="177"/>
      <c r="I57" s="200" t="s">
        <v>88</v>
      </c>
      <c r="J57" s="201">
        <f>+E34+'8'!J57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48:B48"/>
    <mergeCell ref="A53:B53"/>
    <mergeCell ref="A52:B52"/>
    <mergeCell ref="A49:B49"/>
    <mergeCell ref="A51:B51"/>
    <mergeCell ref="A50:B50"/>
    <mergeCell ref="A47:B47"/>
    <mergeCell ref="A40:B40"/>
    <mergeCell ref="A41:B41"/>
    <mergeCell ref="A39:B39"/>
    <mergeCell ref="A46:B46"/>
    <mergeCell ref="A42:B42"/>
    <mergeCell ref="A43:B43"/>
    <mergeCell ref="A44:B44"/>
    <mergeCell ref="A45:B45"/>
    <mergeCell ref="A38:B38"/>
    <mergeCell ref="A24:A32"/>
    <mergeCell ref="A7:A14"/>
    <mergeCell ref="I7:I13"/>
    <mergeCell ref="A15:A23"/>
    <mergeCell ref="I15:I22"/>
    <mergeCell ref="I24:I31"/>
    <mergeCell ref="A37:B37"/>
    <mergeCell ref="A34:B34"/>
  </mergeCells>
  <phoneticPr fontId="32" type="noConversion"/>
  <printOptions horizontalCentered="1"/>
  <pageMargins left="0.17" right="0.16" top="0.17" bottom="0.16" header="0" footer="0"/>
  <pageSetup paperSize="9" scale="62" firstPageNumber="4294963191" fitToWidth="2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B4" zoomScale="80" zoomScaleNormal="75" zoomScaleSheetLayoutView="80" workbookViewId="0">
      <selection activeCell="H11" sqref="H1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4" style="150" bestFit="1" customWidth="1"/>
    <col min="12" max="12" width="13.7109375" style="150" bestFit="1" customWidth="1"/>
    <col min="13" max="13" width="1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8</v>
      </c>
      <c r="H4" s="155" t="str">
        <f>+'1'!H4</f>
        <v>.07.25</v>
      </c>
      <c r="J4" s="150">
        <f>437+495+520</f>
        <v>1452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482</v>
      </c>
      <c r="O6" s="150">
        <v>1200</v>
      </c>
      <c r="P6" s="150">
        <f>+O6-O6*0.2</f>
        <v>960</v>
      </c>
      <c r="Q6" s="150">
        <v>480</v>
      </c>
      <c r="R6" s="150">
        <f>+O6*Q6</f>
        <v>576000</v>
      </c>
      <c r="S6" s="150">
        <f>+P6*Q6</f>
        <v>460800</v>
      </c>
    </row>
    <row r="7" spans="1:19" ht="13.5" customHeight="1" thickBot="1">
      <c r="A7" s="771" t="s">
        <v>422</v>
      </c>
      <c r="B7" s="216" t="s">
        <v>494</v>
      </c>
      <c r="C7" s="217">
        <v>8622</v>
      </c>
      <c r="D7" s="218"/>
      <c r="E7" s="219"/>
      <c r="F7" s="229">
        <v>39</v>
      </c>
      <c r="G7" s="557" t="s">
        <v>12</v>
      </c>
      <c r="H7" s="558" t="s">
        <v>488</v>
      </c>
      <c r="I7" s="774" t="s">
        <v>499</v>
      </c>
      <c r="J7" s="215" t="str">
        <f>+'7'!J7</f>
        <v>T 12,5 VP OW</v>
      </c>
      <c r="K7" s="239"/>
      <c r="L7" s="243"/>
      <c r="M7" s="118">
        <f>+K7+'7'!M7+L7</f>
        <v>21165</v>
      </c>
      <c r="P7" s="150">
        <f>+O7-O7*0.23</f>
        <v>0</v>
      </c>
      <c r="R7" s="150">
        <f>+O7*Q7</f>
        <v>0</v>
      </c>
      <c r="S7" s="150">
        <f>+P7*Q7</f>
        <v>0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+'7'!J8</f>
        <v>F 13 VP OW</v>
      </c>
      <c r="K8" s="240"/>
      <c r="L8" s="240"/>
      <c r="M8" s="118">
        <f>+K8+'7'!M8+L8</f>
        <v>121388</v>
      </c>
      <c r="P8" s="150">
        <f t="shared" ref="P8:P9" si="0">+O8-O8*0.23</f>
        <v>0</v>
      </c>
      <c r="Q8" s="150">
        <f>480-Q6-Q7</f>
        <v>0</v>
      </c>
      <c r="R8" s="150">
        <f>+O8*Q8</f>
        <v>0</v>
      </c>
      <c r="S8" s="150">
        <f>+P8*Q8</f>
        <v>0</v>
      </c>
    </row>
    <row r="9" spans="1:19" ht="13.5" thickBot="1">
      <c r="A9" s="772"/>
      <c r="B9" s="216"/>
      <c r="C9" s="217"/>
      <c r="D9" s="218"/>
      <c r="E9" s="221"/>
      <c r="F9" s="229">
        <v>10</v>
      </c>
      <c r="G9" s="559" t="s">
        <v>12</v>
      </c>
      <c r="H9" s="234" t="s">
        <v>453</v>
      </c>
      <c r="I9" s="775"/>
      <c r="J9" s="215" t="str">
        <f>+'7'!J9</f>
        <v>F 12 VP OW</v>
      </c>
      <c r="K9" s="240"/>
      <c r="L9" s="240"/>
      <c r="M9" s="118">
        <f>+K9+'7'!M9+L9</f>
        <v>86796</v>
      </c>
      <c r="P9" s="150">
        <f t="shared" si="0"/>
        <v>0</v>
      </c>
      <c r="R9" s="150">
        <f>+O9*Q9</f>
        <v>0</v>
      </c>
      <c r="S9" s="150">
        <f>+P9*Q9</f>
        <v>0</v>
      </c>
    </row>
    <row r="10" spans="1:19" ht="51.75" thickBot="1">
      <c r="A10" s="772"/>
      <c r="B10" s="216"/>
      <c r="C10" s="217"/>
      <c r="D10" s="218"/>
      <c r="E10" s="220"/>
      <c r="F10" s="229"/>
      <c r="G10" s="230"/>
      <c r="H10" s="560" t="s">
        <v>498</v>
      </c>
      <c r="I10" s="775"/>
      <c r="J10" s="215" t="str">
        <f>+'7'!J10</f>
        <v>F 12,5 VP OW</v>
      </c>
      <c r="K10" s="240"/>
      <c r="L10" s="240"/>
      <c r="M10" s="118">
        <f>+K10+'7'!M10+L10</f>
        <v>19792</v>
      </c>
      <c r="Q10" s="150">
        <f>SUM(Q6:Q9)</f>
        <v>480</v>
      </c>
      <c r="R10" s="150">
        <f t="shared" ref="R10:S10" si="1">SUM(R6:R9)</f>
        <v>576000</v>
      </c>
      <c r="S10" s="150">
        <f t="shared" si="1"/>
        <v>460800</v>
      </c>
    </row>
    <row r="11" spans="1:19" ht="105.75" customHeight="1" thickBot="1">
      <c r="A11" s="772"/>
      <c r="B11" s="216"/>
      <c r="C11" s="217"/>
      <c r="D11" s="218"/>
      <c r="E11" s="220"/>
      <c r="F11" s="229"/>
      <c r="G11" s="233"/>
      <c r="H11" s="234" t="s">
        <v>497</v>
      </c>
      <c r="I11" s="775"/>
      <c r="J11" s="215" t="str">
        <f>+'7'!J11</f>
        <v>T 13 VP OW</v>
      </c>
      <c r="K11" s="240">
        <f>+C34</f>
        <v>38690</v>
      </c>
      <c r="L11" s="240"/>
      <c r="M11" s="118">
        <f>+K11+'7'!M11+L11</f>
        <v>67826</v>
      </c>
      <c r="P11" s="150" t="s">
        <v>402</v>
      </c>
      <c r="Q11" s="150">
        <f>480-Q10</f>
        <v>0</v>
      </c>
      <c r="R11" s="150">
        <f>+R10/Q10</f>
        <v>1200</v>
      </c>
      <c r="S11" s="150">
        <f>+S10/Q10</f>
        <v>960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+'7'!J12</f>
        <v>0</v>
      </c>
      <c r="K12" s="240"/>
      <c r="L12" s="240"/>
      <c r="M12" s="118">
        <f>+K12+'7'!M12+L12</f>
        <v>0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+'7'!J13</f>
        <v>0</v>
      </c>
      <c r="K13" s="240"/>
      <c r="L13" s="240"/>
      <c r="M13" s="118">
        <f>+K13+'7'!M13+L13</f>
        <v>0</v>
      </c>
    </row>
    <row r="14" spans="1:19" ht="13.5" thickBot="1">
      <c r="A14" s="773"/>
      <c r="B14" s="166" t="s">
        <v>2</v>
      </c>
      <c r="C14" s="100">
        <f>SUM(C7:C13)</f>
        <v>8622</v>
      </c>
      <c r="D14" s="112">
        <f>SUM(D7:D13)</f>
        <v>0</v>
      </c>
      <c r="E14" s="113">
        <f>SUM(E5:E13)</f>
        <v>0</v>
      </c>
      <c r="F14" s="117">
        <f>SUM(F7:F13)</f>
        <v>49</v>
      </c>
      <c r="G14" s="160"/>
      <c r="H14" s="167"/>
      <c r="I14" s="168"/>
      <c r="J14" s="215">
        <f>+'7'!J14</f>
        <v>0</v>
      </c>
      <c r="K14" s="240"/>
      <c r="L14" s="240"/>
      <c r="M14" s="118">
        <f>+K14+'7'!M14+L14</f>
        <v>0</v>
      </c>
      <c r="N14" s="150" t="s">
        <v>482</v>
      </c>
      <c r="O14" s="150">
        <v>1230</v>
      </c>
      <c r="P14" s="150">
        <f>+O14-O14*0.2</f>
        <v>984</v>
      </c>
      <c r="Q14" s="150">
        <v>480</v>
      </c>
      <c r="R14" s="150">
        <f>+O14*Q14</f>
        <v>590400</v>
      </c>
      <c r="S14" s="150">
        <f>+P14*Q14</f>
        <v>472320</v>
      </c>
    </row>
    <row r="15" spans="1:19" ht="13.5" customHeight="1" thickBot="1">
      <c r="A15" s="771" t="s">
        <v>423</v>
      </c>
      <c r="B15" s="166"/>
      <c r="C15" s="114">
        <f>C14/($C$23+$D$23+$E$23)</f>
        <v>0.57990314769975781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501</v>
      </c>
      <c r="J15" s="215">
        <f>+'7'!J15</f>
        <v>0</v>
      </c>
      <c r="K15" s="240"/>
      <c r="L15" s="240"/>
      <c r="M15" s="118">
        <f>+K15+'7'!M15+L15</f>
        <v>0</v>
      </c>
      <c r="O15" s="150">
        <v>1230</v>
      </c>
      <c r="P15" s="150">
        <f>+O15-O15*0.2</f>
        <v>984</v>
      </c>
      <c r="Q15" s="150">
        <v>480</v>
      </c>
      <c r="R15" s="150">
        <f>+O15*Q15</f>
        <v>590400</v>
      </c>
      <c r="S15" s="150">
        <f>+P15*Q15</f>
        <v>472320</v>
      </c>
    </row>
    <row r="16" spans="1:19" ht="13.5" thickBot="1">
      <c r="A16" s="777"/>
      <c r="B16" s="216" t="s">
        <v>494</v>
      </c>
      <c r="C16" s="223">
        <v>14868</v>
      </c>
      <c r="D16" s="224"/>
      <c r="E16" s="225"/>
      <c r="F16" s="232">
        <v>8</v>
      </c>
      <c r="G16" s="559" t="s">
        <v>12</v>
      </c>
      <c r="H16" s="231" t="s">
        <v>503</v>
      </c>
      <c r="I16" s="775"/>
      <c r="J16" s="215">
        <f>+'7'!J16</f>
        <v>0</v>
      </c>
      <c r="K16" s="230"/>
      <c r="L16" s="230"/>
      <c r="M16" s="118">
        <f>+K16+'7'!M16+L16</f>
        <v>0</v>
      </c>
      <c r="P16" s="150">
        <f t="shared" ref="P16:P17" si="2">+O16-O16*0.23</f>
        <v>0</v>
      </c>
      <c r="R16" s="150">
        <f>+O16*Q16</f>
        <v>0</v>
      </c>
      <c r="S16" s="150">
        <f>+P16*Q16</f>
        <v>0</v>
      </c>
    </row>
    <row r="17" spans="1:19" ht="13.5" thickBot="1">
      <c r="A17" s="777"/>
      <c r="B17" s="216"/>
      <c r="C17" s="217"/>
      <c r="D17" s="218"/>
      <c r="E17" s="226"/>
      <c r="F17" s="229">
        <v>10</v>
      </c>
      <c r="G17" s="559" t="s">
        <v>12</v>
      </c>
      <c r="H17" s="234" t="s">
        <v>442</v>
      </c>
      <c r="I17" s="775"/>
      <c r="J17" s="215">
        <f>+'7'!J17</f>
        <v>0</v>
      </c>
      <c r="K17" s="230"/>
      <c r="L17" s="230"/>
      <c r="M17" s="118">
        <f>+K17+'7'!M17+L17</f>
        <v>0</v>
      </c>
      <c r="P17" s="150">
        <f t="shared" si="2"/>
        <v>0</v>
      </c>
      <c r="R17" s="150">
        <f>+O17*Q17</f>
        <v>0</v>
      </c>
      <c r="S17" s="150">
        <f>+P17*Q17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500</v>
      </c>
      <c r="I18" s="775"/>
      <c r="J18" s="215">
        <f>+'7'!J18</f>
        <v>0</v>
      </c>
      <c r="K18" s="240"/>
      <c r="L18" s="240"/>
      <c r="M18" s="118">
        <f>+K18+'7'!M18+L18</f>
        <v>0</v>
      </c>
      <c r="Q18" s="150">
        <f>SUM(Q14:Q17)</f>
        <v>960</v>
      </c>
      <c r="R18" s="150">
        <f t="shared" ref="R18:S18" si="3">SUM(R14:R17)</f>
        <v>1180800</v>
      </c>
      <c r="S18" s="150">
        <f t="shared" si="3"/>
        <v>944640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+'7'!J19</f>
        <v>0</v>
      </c>
      <c r="K19" s="240"/>
      <c r="L19" s="240"/>
      <c r="M19" s="118">
        <f>+K19+'7'!M19+L19</f>
        <v>0</v>
      </c>
      <c r="P19" s="150" t="s">
        <v>402</v>
      </c>
      <c r="Q19" s="150">
        <f>480-Q18</f>
        <v>-480</v>
      </c>
      <c r="R19" s="150">
        <f>+R18/Q18</f>
        <v>1230</v>
      </c>
      <c r="S19" s="150">
        <f>+S18/Q18</f>
        <v>984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+'7'!J20</f>
        <v>0</v>
      </c>
      <c r="K20" s="241"/>
      <c r="L20" s="241"/>
      <c r="M20" s="118">
        <f>+K20+'7'!M20+L20</f>
        <v>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+'7'!J21</f>
        <v>0</v>
      </c>
      <c r="K21" s="240"/>
      <c r="L21" s="240"/>
      <c r="M21" s="118">
        <f>+K21+'7'!M21+L21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+'7'!J22</f>
        <v>0</v>
      </c>
      <c r="K22" s="240"/>
      <c r="L22" s="240"/>
      <c r="M22" s="118">
        <f>+K22+'7'!M22+L22</f>
        <v>0</v>
      </c>
    </row>
    <row r="23" spans="1:19" ht="13.5" thickBot="1">
      <c r="A23" s="778"/>
      <c r="B23" s="169" t="s">
        <v>2</v>
      </c>
      <c r="C23" s="101">
        <f>SUM(C16:C22)</f>
        <v>14868</v>
      </c>
      <c r="D23" s="112">
        <f>SUM(D16:D22)</f>
        <v>0</v>
      </c>
      <c r="E23" s="113">
        <f>SUM(E18:E22)</f>
        <v>0</v>
      </c>
      <c r="F23" s="117">
        <f>SUM(F15:F22)</f>
        <v>18</v>
      </c>
      <c r="G23" s="160"/>
      <c r="H23" s="167"/>
      <c r="I23" s="170"/>
      <c r="J23" s="215">
        <f>+'7'!J23</f>
        <v>0</v>
      </c>
      <c r="K23" s="240"/>
      <c r="L23" s="240"/>
      <c r="M23" s="118">
        <f>+K23+'7'!M23+L23</f>
        <v>0</v>
      </c>
    </row>
    <row r="24" spans="1:19" ht="13.5" customHeight="1" thickBot="1">
      <c r="A24" s="771" t="s">
        <v>421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6</v>
      </c>
      <c r="G24" s="557" t="s">
        <v>12</v>
      </c>
      <c r="H24" s="558" t="s">
        <v>394</v>
      </c>
      <c r="I24" s="774" t="s">
        <v>501</v>
      </c>
      <c r="J24" s="215">
        <f>+'7'!J24</f>
        <v>0</v>
      </c>
      <c r="K24" s="240"/>
      <c r="L24" s="240"/>
      <c r="M24" s="118">
        <f>+K24+'7'!M24+L24</f>
        <v>0</v>
      </c>
    </row>
    <row r="25" spans="1:19" ht="13.5" thickBot="1">
      <c r="A25" s="777"/>
      <c r="B25" s="216" t="s">
        <v>494</v>
      </c>
      <c r="C25" s="227">
        <v>15200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+'7'!J25</f>
        <v>0</v>
      </c>
      <c r="K25" s="240"/>
      <c r="L25" s="240"/>
      <c r="M25" s="118">
        <f>+K25+'7'!M25+L25</f>
        <v>0</v>
      </c>
    </row>
    <row r="26" spans="1:19" ht="13.5" thickBot="1">
      <c r="A26" s="777"/>
      <c r="B26" s="216"/>
      <c r="C26" s="227"/>
      <c r="D26" s="218"/>
      <c r="E26" s="228"/>
      <c r="F26" s="229">
        <v>12</v>
      </c>
      <c r="G26" s="559" t="s">
        <v>12</v>
      </c>
      <c r="H26" s="234" t="s">
        <v>442</v>
      </c>
      <c r="I26" s="775"/>
      <c r="J26" s="215">
        <f>+'7'!J26</f>
        <v>0</v>
      </c>
      <c r="K26" s="240"/>
      <c r="L26" s="240"/>
      <c r="M26" s="118">
        <f>+K26+'7'!M26+L26</f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496</v>
      </c>
      <c r="I27" s="775"/>
      <c r="J27" s="215">
        <f>+'7'!J27</f>
        <v>0</v>
      </c>
      <c r="K27" s="240"/>
      <c r="L27" s="240"/>
      <c r="M27" s="118">
        <f>+K27+'7'!M27+L27</f>
        <v>0</v>
      </c>
    </row>
    <row r="28" spans="1:19" ht="51.75" thickBot="1">
      <c r="A28" s="777"/>
      <c r="B28" s="216"/>
      <c r="C28" s="217"/>
      <c r="D28" s="218"/>
      <c r="E28" s="226"/>
      <c r="F28" s="232"/>
      <c r="G28" s="233"/>
      <c r="H28" s="234" t="s">
        <v>495</v>
      </c>
      <c r="I28" s="775"/>
      <c r="J28" s="215">
        <f>+'7'!J28</f>
        <v>0</v>
      </c>
      <c r="K28" s="240"/>
      <c r="L28" s="240"/>
      <c r="M28" s="118">
        <f>+K28+'7'!M28+L28</f>
        <v>0</v>
      </c>
      <c r="P28" s="177"/>
      <c r="Q28" s="177"/>
      <c r="R28" s="177"/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+'7'!J29</f>
        <v>0</v>
      </c>
      <c r="K29" s="240"/>
      <c r="L29" s="240"/>
      <c r="M29" s="118">
        <f>+K29+'7'!M29+L29</f>
        <v>0</v>
      </c>
      <c r="Q29" s="177"/>
      <c r="R29" s="177"/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+'7'!J30</f>
        <v>0</v>
      </c>
      <c r="K30" s="240"/>
      <c r="L30" s="240"/>
      <c r="M30" s="118">
        <f>+K30+'7'!M30+L30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+'7'!J31</f>
        <v>0</v>
      </c>
      <c r="K31" s="240"/>
      <c r="L31" s="240"/>
      <c r="M31" s="118">
        <f>+K31+'7'!M31+L31</f>
        <v>0</v>
      </c>
    </row>
    <row r="32" spans="1:19" ht="13.5" thickBot="1">
      <c r="A32" s="778"/>
      <c r="B32" s="166" t="s">
        <v>2</v>
      </c>
      <c r="C32" s="100">
        <f>SUM(C25:C31)</f>
        <v>15200</v>
      </c>
      <c r="D32" s="101">
        <f>SUM(D25:D31)</f>
        <v>0</v>
      </c>
      <c r="E32" s="102">
        <f>SUM(E25:E31)</f>
        <v>0</v>
      </c>
      <c r="F32" s="103">
        <f>SUM(F24:F31)</f>
        <v>18</v>
      </c>
      <c r="G32" s="172"/>
      <c r="H32" s="173"/>
      <c r="I32" s="170"/>
      <c r="J32" s="215">
        <f>+'7'!J32</f>
        <v>0</v>
      </c>
      <c r="K32" s="242"/>
      <c r="L32" s="244"/>
      <c r="M32" s="118">
        <f>+K32+'7'!M32+L32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38690</v>
      </c>
      <c r="D34" s="108">
        <f>D14+D23+D32</f>
        <v>0</v>
      </c>
      <c r="E34" s="108">
        <f>E14+E23+E32</f>
        <v>0</v>
      </c>
      <c r="F34" s="109">
        <f>F14+F23+F32</f>
        <v>85</v>
      </c>
      <c r="H34" s="179"/>
      <c r="I34" s="179"/>
      <c r="J34" s="124" t="s">
        <v>28</v>
      </c>
      <c r="K34" s="125">
        <f>SUM(K7:K32)</f>
        <v>38690</v>
      </c>
      <c r="L34" s="213">
        <f>SUM(L7:L32)</f>
        <v>0</v>
      </c>
      <c r="M34" s="121">
        <f>SUM(M7:M32)</f>
        <v>316967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50.061772800000007</v>
      </c>
      <c r="J37" s="126">
        <f>+I37+'7'!J37</f>
        <v>367.73823337734802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85</v>
      </c>
      <c r="D38" s="119">
        <f>+C38+'7'!D38</f>
        <v>617</v>
      </c>
      <c r="E38" s="144">
        <f t="shared" ref="E38:E51" si="4">D38/60</f>
        <v>10.283333333333333</v>
      </c>
      <c r="F38" s="323">
        <v>1200</v>
      </c>
      <c r="G38" s="323">
        <v>960</v>
      </c>
      <c r="H38" s="188" t="s">
        <v>64</v>
      </c>
      <c r="I38" s="246">
        <f>11.797+14.839+15.639</f>
        <v>42.275000000000006</v>
      </c>
      <c r="J38" s="128">
        <f>+I38+'7'!J38</f>
        <v>331.14800000000002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+C39+'7'!D39</f>
        <v>0</v>
      </c>
      <c r="E39" s="144">
        <f t="shared" si="4"/>
        <v>0</v>
      </c>
      <c r="F39" s="323">
        <v>1230</v>
      </c>
      <c r="G39" s="323">
        <v>984</v>
      </c>
      <c r="H39" s="188" t="s">
        <v>65</v>
      </c>
      <c r="I39" s="143"/>
      <c r="J39" s="130">
        <f>J37/G4</f>
        <v>45.967279172168503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+C40+'7'!D40</f>
        <v>0</v>
      </c>
      <c r="E40" s="144">
        <f t="shared" si="4"/>
        <v>0</v>
      </c>
      <c r="F40" s="323">
        <v>1230</v>
      </c>
      <c r="G40" s="323">
        <v>984</v>
      </c>
      <c r="H40" s="188" t="s">
        <v>67</v>
      </c>
      <c r="I40" s="119">
        <f>(K34+L34)/1000</f>
        <v>38.69</v>
      </c>
      <c r="J40" s="132">
        <f>+I40+'7'!J40</f>
        <v>316.96699999999998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+C41+'7'!D41</f>
        <v>0</v>
      </c>
      <c r="E41" s="144">
        <f t="shared" si="4"/>
        <v>0</v>
      </c>
      <c r="F41" s="323"/>
      <c r="G41" s="323"/>
      <c r="H41" s="188" t="s">
        <v>69</v>
      </c>
      <c r="I41" s="143"/>
      <c r="J41" s="130">
        <f>J40/G4</f>
        <v>39.620874999999998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+C42+'7'!D42</f>
        <v>0</v>
      </c>
      <c r="E42" s="144">
        <f t="shared" si="4"/>
        <v>0</v>
      </c>
      <c r="F42" s="323">
        <f>+(480*F38+480*F39+480*F40)/1440</f>
        <v>1220</v>
      </c>
      <c r="G42" s="323">
        <f>+(480*G38+480*G39+480*G40)/1440</f>
        <v>976</v>
      </c>
      <c r="H42" s="188" t="s">
        <v>70</v>
      </c>
      <c r="I42" s="247" t="s">
        <v>502</v>
      </c>
      <c r="J42" s="133"/>
      <c r="K42" s="131" t="s">
        <v>71</v>
      </c>
    </row>
    <row r="43" spans="1:13" ht="17.45" customHeight="1">
      <c r="A43" s="765" t="s">
        <v>220</v>
      </c>
      <c r="B43" s="766"/>
      <c r="C43" s="165">
        <f>SUMIF($G$7:$G$31,"Change Grade",$F$7:$F$31)</f>
        <v>0</v>
      </c>
      <c r="D43" s="119">
        <f>+C43+'7'!D43</f>
        <v>0</v>
      </c>
      <c r="E43" s="144">
        <f t="shared" si="4"/>
        <v>0</v>
      </c>
      <c r="F43" s="323"/>
      <c r="G43" s="324"/>
      <c r="H43" s="189" t="s">
        <v>73</v>
      </c>
      <c r="I43" s="119">
        <f>+Report1!Z16</f>
        <v>62.9</v>
      </c>
      <c r="J43" s="134">
        <f>+I43+'7'!J43</f>
        <v>490.4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+C44+'7'!D44</f>
        <v>0</v>
      </c>
      <c r="E44" s="144">
        <f t="shared" si="4"/>
        <v>0</v>
      </c>
      <c r="F44" s="323"/>
      <c r="G44" s="324"/>
      <c r="H44" s="189" t="s">
        <v>74</v>
      </c>
      <c r="I44" s="119">
        <f>I43/I38</f>
        <v>1.4878769958604374</v>
      </c>
      <c r="J44" s="135">
        <f>J43/J38</f>
        <v>1.4809088383441842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+C45+'7'!D45</f>
        <v>0</v>
      </c>
      <c r="E45" s="144">
        <f t="shared" si="4"/>
        <v>0</v>
      </c>
      <c r="F45" s="323"/>
      <c r="G45" s="326"/>
      <c r="H45" s="189" t="s">
        <v>75</v>
      </c>
      <c r="I45" s="119">
        <f>I43/I40</f>
        <v>1.6257430860687516</v>
      </c>
      <c r="J45" s="135">
        <f>J43/J40</f>
        <v>1.547164215833194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+C46+'7'!D46</f>
        <v>0</v>
      </c>
      <c r="E46" s="144">
        <f t="shared" si="4"/>
        <v>0</v>
      </c>
      <c r="F46" s="323"/>
      <c r="G46" s="324"/>
      <c r="H46" s="189" t="s">
        <v>77</v>
      </c>
      <c r="I46" s="141">
        <f>+SUMIF(Listrik!P15,"&gt;0")</f>
        <v>36718.620000000185</v>
      </c>
      <c r="J46" s="136">
        <f>+I46+'7'!J46</f>
        <v>298770.36000000004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+C47+'7'!D47</f>
        <v>0</v>
      </c>
      <c r="E47" s="144">
        <f t="shared" si="4"/>
        <v>0</v>
      </c>
      <c r="F47" s="323"/>
      <c r="G47" s="324"/>
      <c r="H47" s="189" t="s">
        <v>80</v>
      </c>
      <c r="I47" s="119">
        <f>I46/I38</f>
        <v>868.56581904199129</v>
      </c>
      <c r="J47" s="136">
        <f>J46/J38</f>
        <v>902.2260741420755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+C48+'7'!D48</f>
        <v>0</v>
      </c>
      <c r="E48" s="144">
        <f t="shared" si="4"/>
        <v>0</v>
      </c>
      <c r="F48" s="323"/>
      <c r="G48" s="324"/>
      <c r="H48" s="189" t="s">
        <v>81</v>
      </c>
      <c r="I48" s="119">
        <f>I46/I40</f>
        <v>949.04678211424618</v>
      </c>
      <c r="J48" s="136">
        <f>J46/J40</f>
        <v>942.5913738654184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+C49+'7'!D49</f>
        <v>301</v>
      </c>
      <c r="E49" s="144">
        <f t="shared" si="4"/>
        <v>5.0166666666666666</v>
      </c>
      <c r="F49" s="186"/>
      <c r="H49" s="189" t="s">
        <v>268</v>
      </c>
      <c r="I49" s="119">
        <f>+Report1!T16</f>
        <v>4353.7086941217876</v>
      </c>
      <c r="J49" s="136">
        <f>+I49+'7'!J49</f>
        <v>32999.739581239919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+C50+'7'!D50</f>
        <v>0</v>
      </c>
      <c r="E50" s="144">
        <f t="shared" si="4"/>
        <v>0</v>
      </c>
      <c r="F50" s="186"/>
      <c r="H50" s="189" t="s">
        <v>83</v>
      </c>
      <c r="I50" s="141">
        <f>I49/I38</f>
        <v>102.98542150495061</v>
      </c>
      <c r="J50" s="134">
        <f>J49/J38</f>
        <v>99.652540801212496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+C51+'7'!D51</f>
        <v>0</v>
      </c>
      <c r="E51" s="144">
        <f t="shared" si="4"/>
        <v>0</v>
      </c>
      <c r="F51" s="186"/>
      <c r="H51" s="191" t="s">
        <v>85</v>
      </c>
      <c r="I51" s="142">
        <f>I49/I40</f>
        <v>112.52800966972831</v>
      </c>
      <c r="J51" s="137">
        <f>J49/J40</f>
        <v>104.11096291172242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85</v>
      </c>
      <c r="D52" s="145">
        <f>SUM(D38:D51)</f>
        <v>918</v>
      </c>
      <c r="E52" s="146">
        <f>SUM(E38:E51)</f>
        <v>15.3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5.9027777777777776E-2</v>
      </c>
      <c r="D53" s="147">
        <f>D52/(24*60*G4)</f>
        <v>7.9687499999999994E-2</v>
      </c>
      <c r="E53" s="148">
        <f>E52/(G4*24)</f>
        <v>7.9687500000000008E-2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+D34+'7'!J56</f>
        <v>1008</v>
      </c>
      <c r="K56" s="202">
        <f>J56/(J40+J56/1000)/1000</f>
        <v>3.1700605393505782E-3</v>
      </c>
    </row>
    <row r="57" spans="1:11">
      <c r="A57" s="177"/>
      <c r="I57" s="200" t="s">
        <v>88</v>
      </c>
      <c r="J57" s="201">
        <f>+E34+'7'!J57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53:B53"/>
    <mergeCell ref="A37:B37"/>
    <mergeCell ref="A48:B48"/>
    <mergeCell ref="A50:B50"/>
    <mergeCell ref="A49:B49"/>
    <mergeCell ref="A52:B52"/>
    <mergeCell ref="A51:B51"/>
    <mergeCell ref="A46:B46"/>
    <mergeCell ref="A47:B47"/>
    <mergeCell ref="A42:B42"/>
    <mergeCell ref="A43:B43"/>
    <mergeCell ref="A45:B45"/>
    <mergeCell ref="A40:B40"/>
    <mergeCell ref="A41:B41"/>
    <mergeCell ref="A44:B44"/>
    <mergeCell ref="A34:B34"/>
    <mergeCell ref="A38:B38"/>
    <mergeCell ref="A39:B39"/>
    <mergeCell ref="A7:A14"/>
    <mergeCell ref="I7:I13"/>
    <mergeCell ref="A15:A23"/>
    <mergeCell ref="I15:I22"/>
    <mergeCell ref="A24:A32"/>
    <mergeCell ref="I24:I31"/>
  </mergeCells>
  <phoneticPr fontId="32" type="noConversion"/>
  <printOptions horizontalCentered="1"/>
  <pageMargins left="0.17" right="0.16" top="0.17" bottom="0.16" header="0" footer="0"/>
  <pageSetup paperSize="9" scale="62" firstPageNumber="4294963191" fitToWidth="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topLeftCell="D4" zoomScale="80" zoomScaleNormal="75" zoomScaleSheetLayoutView="80" workbookViewId="0">
      <selection activeCell="K10" sqref="K10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710937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3.28515625" style="150" bestFit="1" customWidth="1"/>
    <col min="12" max="12" width="12" style="150" bestFit="1" customWidth="1"/>
    <col min="13" max="13" width="15.5703125" style="150" bestFit="1" customWidth="1"/>
    <col min="14" max="16384" width="9.140625" style="150"/>
  </cols>
  <sheetData>
    <row r="1" spans="1:26" ht="15.75">
      <c r="A1" s="149"/>
    </row>
    <row r="2" spans="1:26" ht="15.75">
      <c r="A2" s="149" t="s">
        <v>182</v>
      </c>
    </row>
    <row r="3" spans="1:26" ht="15">
      <c r="A3" s="151"/>
    </row>
    <row r="4" spans="1:26" ht="20.25">
      <c r="A4" s="152" t="s">
        <v>3</v>
      </c>
      <c r="B4" s="153"/>
      <c r="F4" s="154" t="s">
        <v>29</v>
      </c>
      <c r="G4" s="155">
        <v>7</v>
      </c>
      <c r="H4" s="155" t="str">
        <f>+'1'!H4</f>
        <v>.07.25</v>
      </c>
      <c r="J4" s="150">
        <f>495+323+382</f>
        <v>1200</v>
      </c>
    </row>
    <row r="5" spans="1:26" ht="13.5" thickBot="1">
      <c r="C5" s="156"/>
      <c r="D5" s="156"/>
    </row>
    <row r="6" spans="1:26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404</v>
      </c>
      <c r="O6" s="150">
        <v>1230</v>
      </c>
      <c r="P6" s="150">
        <f>+O6-O6*0.23</f>
        <v>947.09999999999991</v>
      </c>
      <c r="Q6" s="150">
        <f>60*4+55</f>
        <v>295</v>
      </c>
      <c r="R6" s="150">
        <f>+O6*Q6</f>
        <v>362850</v>
      </c>
      <c r="S6" s="150">
        <f>+P6*Q6</f>
        <v>279394.5</v>
      </c>
      <c r="U6" s="150" t="s">
        <v>482</v>
      </c>
      <c r="V6" s="150">
        <v>1180</v>
      </c>
      <c r="W6" s="150">
        <v>908.59999999999991</v>
      </c>
      <c r="X6" s="150">
        <v>63</v>
      </c>
      <c r="Y6" s="150">
        <f>+V6*X6</f>
        <v>74340</v>
      </c>
      <c r="Z6" s="150">
        <f>+W6*X6</f>
        <v>57241.799999999996</v>
      </c>
    </row>
    <row r="7" spans="1:26" ht="13.5" customHeight="1" thickBot="1">
      <c r="A7" s="771" t="s">
        <v>422</v>
      </c>
      <c r="B7" s="216" t="s">
        <v>425</v>
      </c>
      <c r="C7" s="217">
        <v>11216</v>
      </c>
      <c r="D7" s="218">
        <v>550</v>
      </c>
      <c r="E7" s="219"/>
      <c r="F7" s="229">
        <v>17</v>
      </c>
      <c r="G7" s="557" t="s">
        <v>12</v>
      </c>
      <c r="H7" s="558" t="s">
        <v>454</v>
      </c>
      <c r="I7" s="774" t="s">
        <v>480</v>
      </c>
      <c r="J7" s="215" t="str">
        <f>+'6'!J7</f>
        <v>T 12,5 VP OW</v>
      </c>
      <c r="K7" s="239"/>
      <c r="L7" s="243"/>
      <c r="M7" s="118">
        <f>+K7+'6'!M7+L7</f>
        <v>21165</v>
      </c>
      <c r="N7" s="150" t="s">
        <v>482</v>
      </c>
      <c r="O7" s="150">
        <v>1180</v>
      </c>
      <c r="P7" s="150">
        <f>+O7-O7*0.23</f>
        <v>908.59999999999991</v>
      </c>
      <c r="Q7" s="150">
        <f>60-55+58</f>
        <v>63</v>
      </c>
      <c r="R7" s="150">
        <f>+O7*Q7</f>
        <v>74340</v>
      </c>
      <c r="S7" s="150">
        <f>+P7*Q7</f>
        <v>57241.799999999996</v>
      </c>
      <c r="V7" s="150">
        <v>1000</v>
      </c>
      <c r="W7" s="150">
        <v>770</v>
      </c>
      <c r="X7" s="150">
        <v>122</v>
      </c>
      <c r="Y7" s="150">
        <f>+V7*X7</f>
        <v>122000</v>
      </c>
      <c r="Z7" s="150">
        <f>+W7*X7</f>
        <v>93940</v>
      </c>
    </row>
    <row r="8" spans="1:26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+'6'!J8</f>
        <v>F 13 VP OW</v>
      </c>
      <c r="K8" s="240">
        <f>+C7</f>
        <v>11216</v>
      </c>
      <c r="L8" s="240"/>
      <c r="M8" s="118">
        <f>+K8+'6'!M8+L8</f>
        <v>121388</v>
      </c>
      <c r="O8" s="150">
        <v>1000</v>
      </c>
      <c r="P8" s="150">
        <f t="shared" ref="P8:P9" si="0">+O8-O8*0.23</f>
        <v>770</v>
      </c>
      <c r="Q8" s="150">
        <f>480-Q6-Q7</f>
        <v>122</v>
      </c>
      <c r="R8" s="150">
        <f>+O8*Q8</f>
        <v>122000</v>
      </c>
      <c r="S8" s="150">
        <f>+P8*Q8</f>
        <v>93940</v>
      </c>
      <c r="U8" s="150" t="s">
        <v>482</v>
      </c>
      <c r="V8" s="150">
        <v>1000</v>
      </c>
      <c r="W8" s="150">
        <v>770</v>
      </c>
      <c r="X8" s="150">
        <v>10</v>
      </c>
      <c r="Y8" s="150">
        <f>+V8*X8</f>
        <v>10000</v>
      </c>
      <c r="Z8" s="150">
        <f>+W8*X8</f>
        <v>7700</v>
      </c>
    </row>
    <row r="9" spans="1:26" ht="13.5" thickBot="1">
      <c r="A9" s="772"/>
      <c r="B9" s="216"/>
      <c r="C9" s="217"/>
      <c r="D9" s="218"/>
      <c r="E9" s="221"/>
      <c r="F9" s="229">
        <v>17</v>
      </c>
      <c r="G9" s="559" t="s">
        <v>12</v>
      </c>
      <c r="H9" s="234" t="s">
        <v>487</v>
      </c>
      <c r="I9" s="775"/>
      <c r="J9" s="215" t="str">
        <f>+'6'!J9</f>
        <v>F 12 VP OW</v>
      </c>
      <c r="K9" s="240"/>
      <c r="L9" s="240"/>
      <c r="M9" s="118">
        <f>+K9+'6'!M9+L9</f>
        <v>86796</v>
      </c>
      <c r="P9" s="150">
        <f t="shared" si="0"/>
        <v>0</v>
      </c>
      <c r="R9" s="150">
        <f>+O9*Q9</f>
        <v>0</v>
      </c>
      <c r="S9" s="150">
        <f>+P9*Q9</f>
        <v>0</v>
      </c>
      <c r="V9" s="150">
        <v>1200</v>
      </c>
      <c r="W9" s="150">
        <v>924</v>
      </c>
      <c r="X9" s="150">
        <v>470</v>
      </c>
      <c r="Y9" s="150">
        <f>+V9*X9</f>
        <v>564000</v>
      </c>
      <c r="Z9" s="150">
        <f>+W9*X9</f>
        <v>434280</v>
      </c>
    </row>
    <row r="10" spans="1:26" ht="39" thickBot="1">
      <c r="A10" s="772"/>
      <c r="B10" s="216"/>
      <c r="C10" s="217"/>
      <c r="D10" s="218"/>
      <c r="E10" s="220"/>
      <c r="F10" s="229"/>
      <c r="G10" s="230"/>
      <c r="H10" s="560" t="s">
        <v>478</v>
      </c>
      <c r="I10" s="775"/>
      <c r="J10" s="215" t="str">
        <f>+'6'!J10</f>
        <v>F 12,5 VP OW</v>
      </c>
      <c r="K10" s="240"/>
      <c r="L10" s="240"/>
      <c r="M10" s="118">
        <f>+K10+'6'!M10+L10</f>
        <v>19792</v>
      </c>
      <c r="Q10" s="150">
        <f>SUM(Q6:Q9)</f>
        <v>480</v>
      </c>
      <c r="R10" s="150">
        <f t="shared" ref="R10:S10" si="1">SUM(R6:R9)</f>
        <v>559190</v>
      </c>
      <c r="S10" s="150">
        <f t="shared" si="1"/>
        <v>430576.3</v>
      </c>
      <c r="U10" s="150" t="s">
        <v>482</v>
      </c>
      <c r="V10" s="150">
        <v>1230</v>
      </c>
      <c r="W10" s="150">
        <v>947.09999999999991</v>
      </c>
      <c r="X10" s="150">
        <v>480</v>
      </c>
      <c r="Y10" s="150">
        <f>+V10*X10</f>
        <v>590400</v>
      </c>
      <c r="Z10" s="150">
        <f>+W10*X10</f>
        <v>454607.99999999994</v>
      </c>
    </row>
    <row r="11" spans="1:26" ht="110.25" customHeight="1" thickBot="1">
      <c r="A11" s="772"/>
      <c r="B11" s="216"/>
      <c r="C11" s="217"/>
      <c r="D11" s="218"/>
      <c r="E11" s="220"/>
      <c r="F11" s="229"/>
      <c r="G11" s="233"/>
      <c r="H11" s="234" t="s">
        <v>483</v>
      </c>
      <c r="I11" s="775"/>
      <c r="J11" s="215" t="s">
        <v>494</v>
      </c>
      <c r="K11" s="240">
        <f>+C16+C25</f>
        <v>29136</v>
      </c>
      <c r="L11" s="240"/>
      <c r="M11" s="118">
        <f>+K11+'6'!M11+L11</f>
        <v>29136</v>
      </c>
      <c r="P11" s="150" t="s">
        <v>402</v>
      </c>
      <c r="Q11" s="150">
        <f>480-Q10</f>
        <v>0</v>
      </c>
      <c r="R11" s="150">
        <f>+R10/Q10</f>
        <v>1164.9791666666667</v>
      </c>
      <c r="S11" s="150">
        <f>+S10/Q10</f>
        <v>897.03395833333332</v>
      </c>
    </row>
    <row r="12" spans="1:26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+'6'!J12</f>
        <v>0</v>
      </c>
      <c r="K12" s="240"/>
      <c r="L12" s="240"/>
      <c r="M12" s="118">
        <f>+K12+'6'!M12+L12</f>
        <v>0</v>
      </c>
    </row>
    <row r="13" spans="1:26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+'6'!J13</f>
        <v>0</v>
      </c>
      <c r="K13" s="240"/>
      <c r="L13" s="240"/>
      <c r="M13" s="118">
        <f>+K13+'6'!M13+L13</f>
        <v>0</v>
      </c>
    </row>
    <row r="14" spans="1:26" ht="13.5" thickBot="1">
      <c r="A14" s="773"/>
      <c r="B14" s="166" t="s">
        <v>2</v>
      </c>
      <c r="C14" s="100">
        <f>SUM(C7:C13)</f>
        <v>11216</v>
      </c>
      <c r="D14" s="112">
        <f>SUM(D7:D13)</f>
        <v>550</v>
      </c>
      <c r="E14" s="113">
        <f>SUM(E5:E13)</f>
        <v>0</v>
      </c>
      <c r="F14" s="117">
        <f>SUM(F7:F13)</f>
        <v>34</v>
      </c>
      <c r="G14" s="160"/>
      <c r="H14" s="167"/>
      <c r="I14" s="168"/>
      <c r="J14" s="215">
        <f>+'6'!J14</f>
        <v>0</v>
      </c>
      <c r="K14" s="240"/>
      <c r="L14" s="240"/>
      <c r="M14" s="118">
        <f>+K14+'6'!M14+L14</f>
        <v>0</v>
      </c>
      <c r="N14" s="150" t="s">
        <v>482</v>
      </c>
      <c r="O14" s="150">
        <v>1000</v>
      </c>
      <c r="P14" s="150">
        <f>+O14-O14*0.23</f>
        <v>770</v>
      </c>
      <c r="Q14" s="150">
        <v>10</v>
      </c>
      <c r="R14" s="150">
        <f>+O14*Q14</f>
        <v>10000</v>
      </c>
      <c r="S14" s="150">
        <f>+P14*Q14</f>
        <v>7700</v>
      </c>
    </row>
    <row r="15" spans="1:26" ht="13.5" customHeight="1" thickBot="1">
      <c r="A15" s="771" t="s">
        <v>445</v>
      </c>
      <c r="B15" s="166"/>
      <c r="C15" s="114">
        <f>C14/($C$23+$D$23+$E$23)</f>
        <v>0.84299135663284475</v>
      </c>
      <c r="D15" s="115">
        <f>D14/($C$23+$D$23+$E$23)</f>
        <v>4.1337842916196917E-2</v>
      </c>
      <c r="E15" s="116">
        <f>E14/($C$23+$D$23+$E$23)</f>
        <v>0</v>
      </c>
      <c r="F15" s="229">
        <v>25</v>
      </c>
      <c r="G15" s="557" t="s">
        <v>12</v>
      </c>
      <c r="H15" s="558" t="s">
        <v>488</v>
      </c>
      <c r="I15" s="774" t="s">
        <v>481</v>
      </c>
      <c r="J15" s="215">
        <f>+'6'!J15</f>
        <v>0</v>
      </c>
      <c r="K15" s="240"/>
      <c r="L15" s="240"/>
      <c r="M15" s="118">
        <f>+K15+'6'!M15+L15</f>
        <v>0</v>
      </c>
      <c r="O15" s="150">
        <v>1200</v>
      </c>
      <c r="P15" s="150">
        <f>+O15-O15*0.23</f>
        <v>924</v>
      </c>
      <c r="Q15" s="150">
        <f>480-Q14</f>
        <v>470</v>
      </c>
      <c r="R15" s="150">
        <f>+O15*Q15</f>
        <v>564000</v>
      </c>
      <c r="S15" s="150">
        <f>+P15*Q15</f>
        <v>434280</v>
      </c>
      <c r="X15" s="150">
        <f>SUM(X6:X14)</f>
        <v>1145</v>
      </c>
      <c r="Y15" s="150">
        <f>SUM(Y6:Y14)</f>
        <v>1360740</v>
      </c>
      <c r="Z15" s="150">
        <f>SUM(Z6:Z14)</f>
        <v>1047769.8</v>
      </c>
    </row>
    <row r="16" spans="1:26" ht="13.5" thickBot="1">
      <c r="A16" s="777"/>
      <c r="B16" s="216" t="s">
        <v>494</v>
      </c>
      <c r="C16" s="223">
        <v>13305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+'6'!J16</f>
        <v>0</v>
      </c>
      <c r="K16" s="230"/>
      <c r="L16" s="230"/>
      <c r="M16" s="118">
        <f>+K16+'6'!M16+L16</f>
        <v>0</v>
      </c>
      <c r="P16" s="150">
        <f t="shared" ref="P16:P17" si="2">+O16-O16*0.23</f>
        <v>0</v>
      </c>
      <c r="Q16" s="150">
        <f>480-Q14-Q15</f>
        <v>0</v>
      </c>
      <c r="R16" s="150">
        <f>+O16*Q16</f>
        <v>0</v>
      </c>
      <c r="S16" s="150">
        <f>+P16*Q16</f>
        <v>0</v>
      </c>
      <c r="W16" s="150" t="s">
        <v>402</v>
      </c>
      <c r="X16" s="150">
        <f>480-X15</f>
        <v>-665</v>
      </c>
      <c r="Y16" s="150">
        <f>+Y15/X15</f>
        <v>1188.4192139737991</v>
      </c>
      <c r="Z16" s="150">
        <f>+Z15/X15</f>
        <v>915.08279475982533</v>
      </c>
    </row>
    <row r="17" spans="1:19" ht="13.5" thickBot="1">
      <c r="A17" s="777"/>
      <c r="B17" s="216"/>
      <c r="C17" s="217"/>
      <c r="D17" s="218"/>
      <c r="E17" s="226"/>
      <c r="F17" s="229">
        <f>44-25</f>
        <v>19</v>
      </c>
      <c r="G17" s="559" t="s">
        <v>12</v>
      </c>
      <c r="H17" s="234" t="s">
        <v>384</v>
      </c>
      <c r="I17" s="775"/>
      <c r="J17" s="215">
        <f>+'6'!J17</f>
        <v>0</v>
      </c>
      <c r="K17" s="230"/>
      <c r="L17" s="230"/>
      <c r="M17" s="118">
        <f>+K17+'6'!M17+L17</f>
        <v>0</v>
      </c>
      <c r="P17" s="150">
        <f t="shared" si="2"/>
        <v>0</v>
      </c>
      <c r="R17" s="150">
        <f>+O17*Q17</f>
        <v>0</v>
      </c>
      <c r="S17" s="150">
        <f>+P17*Q17</f>
        <v>0</v>
      </c>
    </row>
    <row r="18" spans="1:19" ht="51.75" thickBot="1">
      <c r="A18" s="777"/>
      <c r="B18" s="216"/>
      <c r="C18" s="217"/>
      <c r="D18" s="218"/>
      <c r="E18" s="226"/>
      <c r="F18" s="229"/>
      <c r="G18" s="230"/>
      <c r="H18" s="560" t="s">
        <v>484</v>
      </c>
      <c r="I18" s="775"/>
      <c r="J18" s="215">
        <f>+'6'!J18</f>
        <v>0</v>
      </c>
      <c r="K18" s="240"/>
      <c r="L18" s="240"/>
      <c r="M18" s="118">
        <f>+K18+'6'!M18+L18</f>
        <v>0</v>
      </c>
      <c r="Q18" s="150">
        <f>SUM(Q14:Q17)</f>
        <v>480</v>
      </c>
      <c r="R18" s="150">
        <f t="shared" ref="R18:S18" si="3">SUM(R14:R17)</f>
        <v>574000</v>
      </c>
      <c r="S18" s="150">
        <f t="shared" si="3"/>
        <v>441980</v>
      </c>
    </row>
    <row r="19" spans="1:19" ht="26.25" thickBot="1">
      <c r="A19" s="777"/>
      <c r="B19" s="216"/>
      <c r="C19" s="217"/>
      <c r="D19" s="218"/>
      <c r="E19" s="226"/>
      <c r="F19" s="236"/>
      <c r="G19" s="233"/>
      <c r="H19" s="234" t="s">
        <v>479</v>
      </c>
      <c r="I19" s="775"/>
      <c r="J19" s="215">
        <f>+'6'!J19</f>
        <v>0</v>
      </c>
      <c r="K19" s="240"/>
      <c r="L19" s="240"/>
      <c r="M19" s="118">
        <f>+K19+'6'!M19+L19</f>
        <v>0</v>
      </c>
      <c r="P19" s="150" t="s">
        <v>402</v>
      </c>
      <c r="Q19" s="150">
        <f>480-Q18</f>
        <v>0</v>
      </c>
      <c r="R19" s="150">
        <f>+R18/Q18</f>
        <v>1195.8333333333333</v>
      </c>
      <c r="S19" s="150">
        <f>+S18/Q18</f>
        <v>920.79166666666663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+'6'!J20</f>
        <v>0</v>
      </c>
      <c r="K20" s="241"/>
      <c r="L20" s="241"/>
      <c r="M20" s="118">
        <f>+K20+'6'!M20+L20</f>
        <v>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+'6'!J21</f>
        <v>0</v>
      </c>
      <c r="K21" s="240"/>
      <c r="L21" s="240"/>
      <c r="M21" s="118">
        <f>+K21+'6'!M21+L21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+'6'!J22</f>
        <v>0</v>
      </c>
      <c r="K22" s="240"/>
      <c r="L22" s="240"/>
      <c r="M22" s="118">
        <f>+K22+'6'!M22+L22</f>
        <v>0</v>
      </c>
    </row>
    <row r="23" spans="1:19" ht="13.5" thickBot="1">
      <c r="A23" s="778"/>
      <c r="B23" s="169" t="s">
        <v>2</v>
      </c>
      <c r="C23" s="101">
        <f>SUM(C16:C22)</f>
        <v>13305</v>
      </c>
      <c r="D23" s="112">
        <f>SUM(D16:D22)</f>
        <v>0</v>
      </c>
      <c r="E23" s="113">
        <f>SUM(E18:E22)</f>
        <v>0</v>
      </c>
      <c r="F23" s="117">
        <f>SUM(F15:F22)</f>
        <v>44</v>
      </c>
      <c r="G23" s="160"/>
      <c r="H23" s="167"/>
      <c r="I23" s="170"/>
      <c r="J23" s="215">
        <f>+'6'!J23</f>
        <v>0</v>
      </c>
      <c r="K23" s="240"/>
      <c r="L23" s="240"/>
      <c r="M23" s="118">
        <f>+K23+'6'!M23+L23</f>
        <v>0</v>
      </c>
    </row>
    <row r="24" spans="1:19" ht="13.5" customHeight="1" thickBot="1">
      <c r="A24" s="771" t="s">
        <v>421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>
        <v>6</v>
      </c>
      <c r="G24" s="557" t="s">
        <v>12</v>
      </c>
      <c r="H24" s="558" t="s">
        <v>394</v>
      </c>
      <c r="I24" s="774" t="s">
        <v>406</v>
      </c>
      <c r="J24" s="215">
        <f>+'6'!J24</f>
        <v>0</v>
      </c>
      <c r="K24" s="240"/>
      <c r="L24" s="240"/>
      <c r="M24" s="118">
        <f>+K24+'6'!M24+L24</f>
        <v>0</v>
      </c>
      <c r="N24" s="150" t="s">
        <v>482</v>
      </c>
      <c r="O24" s="150">
        <v>1230</v>
      </c>
      <c r="P24" s="150">
        <f>+O24-O24*0.23</f>
        <v>947.09999999999991</v>
      </c>
      <c r="Q24" s="150">
        <v>480</v>
      </c>
      <c r="R24" s="150">
        <f>+O24*Q24</f>
        <v>590400</v>
      </c>
      <c r="S24" s="150">
        <f>+P24*Q24</f>
        <v>454607.99999999994</v>
      </c>
    </row>
    <row r="25" spans="1:19" ht="13.5" thickBot="1">
      <c r="A25" s="777"/>
      <c r="B25" s="216" t="s">
        <v>494</v>
      </c>
      <c r="C25" s="227">
        <v>15831</v>
      </c>
      <c r="D25" s="218"/>
      <c r="E25" s="226"/>
      <c r="F25" s="232"/>
      <c r="G25" s="559" t="s">
        <v>12</v>
      </c>
      <c r="H25" s="231" t="s">
        <v>408</v>
      </c>
      <c r="I25" s="775"/>
      <c r="J25" s="215">
        <f>+'6'!J25</f>
        <v>0</v>
      </c>
      <c r="K25" s="240"/>
      <c r="L25" s="240"/>
      <c r="M25" s="118">
        <f>+K25+'6'!M25+L25</f>
        <v>0</v>
      </c>
      <c r="P25" s="150">
        <f>+O25-O25*0.23</f>
        <v>0</v>
      </c>
      <c r="Q25" s="150">
        <f>480-Q24</f>
        <v>0</v>
      </c>
      <c r="R25" s="150">
        <f>+O25*Q25</f>
        <v>0</v>
      </c>
      <c r="S25" s="150">
        <f>+P25*Q25</f>
        <v>0</v>
      </c>
    </row>
    <row r="26" spans="1:19" ht="13.5" thickBot="1">
      <c r="A26" s="777"/>
      <c r="B26" s="216"/>
      <c r="C26" s="227"/>
      <c r="D26" s="218"/>
      <c r="E26" s="228"/>
      <c r="F26" s="229">
        <f>15-6</f>
        <v>9</v>
      </c>
      <c r="G26" s="559" t="s">
        <v>12</v>
      </c>
      <c r="H26" s="234" t="s">
        <v>442</v>
      </c>
      <c r="I26" s="775"/>
      <c r="J26" s="215">
        <f>+'6'!J26</f>
        <v>0</v>
      </c>
      <c r="K26" s="240"/>
      <c r="L26" s="240"/>
      <c r="M26" s="118">
        <f>+K26+'6'!M26+L26</f>
        <v>0</v>
      </c>
      <c r="P26" s="150">
        <f t="shared" ref="P26:P27" si="4">+O26-O26*0.23</f>
        <v>0</v>
      </c>
      <c r="Q26" s="150">
        <f>480-Q24-Q25</f>
        <v>0</v>
      </c>
      <c r="R26" s="150">
        <f>+O26*Q26</f>
        <v>0</v>
      </c>
      <c r="S26" s="150">
        <f>+P26*Q26</f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485</v>
      </c>
      <c r="I27" s="775"/>
      <c r="J27" s="215">
        <f>+'6'!J27</f>
        <v>0</v>
      </c>
      <c r="K27" s="240"/>
      <c r="L27" s="240"/>
      <c r="M27" s="118">
        <f>+K27+'6'!M27+L27</f>
        <v>0</v>
      </c>
      <c r="P27" s="150">
        <f t="shared" si="4"/>
        <v>0</v>
      </c>
      <c r="R27" s="150">
        <f>+O27*Q27</f>
        <v>0</v>
      </c>
      <c r="S27" s="150">
        <f>+P27*Q27</f>
        <v>0</v>
      </c>
    </row>
    <row r="28" spans="1:19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+'6'!J28</f>
        <v>0</v>
      </c>
      <c r="K28" s="240"/>
      <c r="L28" s="240"/>
      <c r="M28" s="118">
        <f>+K28+'6'!M28+L28</f>
        <v>0</v>
      </c>
      <c r="Q28" s="150">
        <f>SUM(Q24:Q27)</f>
        <v>480</v>
      </c>
      <c r="R28" s="150">
        <f t="shared" ref="R28:S28" si="5">SUM(R24:R27)</f>
        <v>590400</v>
      </c>
      <c r="S28" s="150">
        <f t="shared" si="5"/>
        <v>454607.99999999994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+'6'!J29</f>
        <v>0</v>
      </c>
      <c r="K29" s="240"/>
      <c r="L29" s="240"/>
      <c r="M29" s="118">
        <f>+K29+'6'!M29+L29</f>
        <v>0</v>
      </c>
      <c r="P29" s="150" t="s">
        <v>402</v>
      </c>
      <c r="Q29" s="150">
        <f>480-Q28</f>
        <v>0</v>
      </c>
      <c r="R29" s="150">
        <f>+R28/Q28</f>
        <v>1230</v>
      </c>
      <c r="S29" s="150">
        <f>+S28/Q28</f>
        <v>947.09999999999991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+'6'!J30</f>
        <v>0</v>
      </c>
      <c r="K30" s="240"/>
      <c r="L30" s="240"/>
      <c r="M30" s="118">
        <f>+K30+'6'!M30+L30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+'6'!J31</f>
        <v>0</v>
      </c>
      <c r="K31" s="240"/>
      <c r="L31" s="240"/>
      <c r="M31" s="118">
        <f>+K31+'6'!M31+L31</f>
        <v>0</v>
      </c>
    </row>
    <row r="32" spans="1:19" ht="13.5" thickBot="1">
      <c r="A32" s="778"/>
      <c r="B32" s="166" t="s">
        <v>2</v>
      </c>
      <c r="C32" s="100">
        <f>SUM(C25:C31)</f>
        <v>15831</v>
      </c>
      <c r="D32" s="101">
        <f>SUM(D25:D31)</f>
        <v>0</v>
      </c>
      <c r="E32" s="102">
        <f>SUM(E25:E31)</f>
        <v>0</v>
      </c>
      <c r="F32" s="103">
        <f>SUM(F24:F31)</f>
        <v>15</v>
      </c>
      <c r="G32" s="172"/>
      <c r="H32" s="173"/>
      <c r="I32" s="170"/>
      <c r="J32" s="215">
        <f>+'6'!J32</f>
        <v>0</v>
      </c>
      <c r="K32" s="242"/>
      <c r="L32" s="244"/>
      <c r="M32" s="118">
        <f>+K32+'6'!M32+L32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7" ht="13.5" thickBot="1">
      <c r="A34" s="767" t="s">
        <v>57</v>
      </c>
      <c r="B34" s="768"/>
      <c r="C34" s="108">
        <f>C14+C23+C32</f>
        <v>40352</v>
      </c>
      <c r="D34" s="108">
        <f>D14+D23+D32</f>
        <v>550</v>
      </c>
      <c r="E34" s="108">
        <f>E14+E23+E32</f>
        <v>0</v>
      </c>
      <c r="F34" s="109">
        <f>F14+F23+F32</f>
        <v>93</v>
      </c>
      <c r="H34" s="179"/>
      <c r="I34" s="179"/>
      <c r="J34" s="124" t="s">
        <v>28</v>
      </c>
      <c r="K34" s="125">
        <f>SUM(K7:K32)</f>
        <v>40352</v>
      </c>
      <c r="L34" s="213">
        <f>SUM(L7:L32)</f>
        <v>0</v>
      </c>
      <c r="M34" s="121">
        <f>SUM(M7:M32)</f>
        <v>278277</v>
      </c>
    </row>
    <row r="35" spans="1:17" ht="13.5" thickBot="1">
      <c r="A35" s="180"/>
      <c r="B35" s="181"/>
      <c r="C35" s="105">
        <f>C34/($C$34+$D$34+$E$34)</f>
        <v>0.98655322478118435</v>
      </c>
      <c r="D35" s="105">
        <f>D34/($C$34+$D$34+$E$34)</f>
        <v>1.3446775218815706E-2</v>
      </c>
      <c r="E35" s="110">
        <f>E34/($C$34+$D$34+$E$34)</f>
        <v>0</v>
      </c>
      <c r="K35" s="156"/>
      <c r="N35" s="150" t="s">
        <v>404</v>
      </c>
      <c r="O35" s="150">
        <v>1230</v>
      </c>
      <c r="P35" s="150">
        <v>947.09999999999991</v>
      </c>
      <c r="Q35" s="150">
        <v>295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  <c r="N36" s="150" t="s">
        <v>482</v>
      </c>
      <c r="O36" s="150">
        <v>1188.4192139737991</v>
      </c>
      <c r="P36" s="150">
        <v>915.08279475982533</v>
      </c>
      <c r="Q36" s="150">
        <v>1145</v>
      </c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(13*295+13*1145)/1440*G42*2.74*1440/1000000</f>
        <v>47.27359236600001</v>
      </c>
      <c r="J37" s="126">
        <f>+I37+'6'!J37</f>
        <v>317.676460577348</v>
      </c>
      <c r="K37" s="127" t="s">
        <v>63</v>
      </c>
      <c r="Q37" s="150">
        <f>SUM(Q35:Q36)</f>
        <v>1440</v>
      </c>
    </row>
    <row r="38" spans="1:17" ht="17.45" customHeight="1">
      <c r="A38" s="761" t="s">
        <v>12</v>
      </c>
      <c r="B38" s="762"/>
      <c r="C38" s="165">
        <f>SUMIF($G$7:$G$31,"Process",$F$7:$F$31)</f>
        <v>93</v>
      </c>
      <c r="D38" s="119">
        <f>+C38+'6'!D38</f>
        <v>532</v>
      </c>
      <c r="E38" s="144">
        <f t="shared" ref="E38:E51" si="6">D38/60</f>
        <v>8.8666666666666671</v>
      </c>
      <c r="F38" s="323">
        <v>1164.9791666666667</v>
      </c>
      <c r="G38" s="323">
        <v>897.03395833333332</v>
      </c>
      <c r="H38" s="188" t="s">
        <v>64</v>
      </c>
      <c r="I38" s="246">
        <f>14.419+11.971+15.889</f>
        <v>42.278999999999996</v>
      </c>
      <c r="J38" s="128">
        <f>+I38+'6'!J38</f>
        <v>288.87299999999999</v>
      </c>
      <c r="K38" s="129" t="s">
        <v>63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+C39+'6'!D39</f>
        <v>0</v>
      </c>
      <c r="E39" s="144">
        <f t="shared" si="6"/>
        <v>0</v>
      </c>
      <c r="F39" s="323">
        <v>1195.8333333333333</v>
      </c>
      <c r="G39" s="323">
        <v>920.79166666666663</v>
      </c>
      <c r="H39" s="188" t="s">
        <v>65</v>
      </c>
      <c r="I39" s="143"/>
      <c r="J39" s="130">
        <f>J37/G4</f>
        <v>45.382351511049713</v>
      </c>
      <c r="K39" s="131" t="s">
        <v>63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+C40+'6'!D40</f>
        <v>0</v>
      </c>
      <c r="E40" s="144">
        <f t="shared" si="6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40.351999999999997</v>
      </c>
      <c r="J40" s="132">
        <f>+I40+'6'!J40</f>
        <v>278.27699999999999</v>
      </c>
      <c r="K40" s="131" t="s">
        <v>63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+C41+'6'!D41</f>
        <v>0</v>
      </c>
      <c r="E41" s="144">
        <f t="shared" si="6"/>
        <v>0</v>
      </c>
      <c r="F41" s="323"/>
      <c r="G41" s="323"/>
      <c r="H41" s="188" t="s">
        <v>69</v>
      </c>
      <c r="I41" s="143"/>
      <c r="J41" s="130">
        <f>J40/G4</f>
        <v>39.753857142857143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+C42+'6'!D42</f>
        <v>0</v>
      </c>
      <c r="E42" s="144">
        <f t="shared" si="6"/>
        <v>0</v>
      </c>
      <c r="F42" s="323">
        <f>+(480*F38+480*F39+480*F40)/1440</f>
        <v>1196.9375</v>
      </c>
      <c r="G42" s="323">
        <f>+(480*G38+480*G39+480*G40)/1440</f>
        <v>921.64187500000003</v>
      </c>
      <c r="H42" s="188" t="s">
        <v>70</v>
      </c>
      <c r="I42" s="247" t="s">
        <v>486</v>
      </c>
      <c r="J42" s="133"/>
      <c r="K42" s="131" t="s">
        <v>71</v>
      </c>
    </row>
    <row r="43" spans="1:17" ht="17.45" customHeight="1">
      <c r="A43" s="765" t="s">
        <v>72</v>
      </c>
      <c r="B43" s="766"/>
      <c r="C43" s="165">
        <f>SUMIF($G$7:$G$31,"Water",$F$7:$F$31)</f>
        <v>0</v>
      </c>
      <c r="D43" s="119">
        <f>+C43+'6'!D43</f>
        <v>0</v>
      </c>
      <c r="E43" s="144">
        <f t="shared" si="6"/>
        <v>0</v>
      </c>
      <c r="F43" s="323"/>
      <c r="G43" s="324"/>
      <c r="H43" s="189" t="s">
        <v>73</v>
      </c>
      <c r="I43" s="119">
        <f>+Report1!Z15</f>
        <v>62.3</v>
      </c>
      <c r="J43" s="134">
        <f>+I43+'6'!J43</f>
        <v>427.5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+C44+'6'!D44</f>
        <v>0</v>
      </c>
      <c r="E44" s="144">
        <f t="shared" si="6"/>
        <v>0</v>
      </c>
      <c r="F44" s="323"/>
      <c r="G44" s="324"/>
      <c r="H44" s="189" t="s">
        <v>74</v>
      </c>
      <c r="I44" s="119">
        <f>I43/I38</f>
        <v>1.4735447858274795</v>
      </c>
      <c r="J44" s="135">
        <f>J43/J38</f>
        <v>1.4798890862074339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+C45+'6'!D45</f>
        <v>0</v>
      </c>
      <c r="E45" s="144">
        <f t="shared" si="6"/>
        <v>0</v>
      </c>
      <c r="F45" s="323"/>
      <c r="G45" s="326"/>
      <c r="H45" s="189" t="s">
        <v>75</v>
      </c>
      <c r="I45" s="119">
        <f>I43/I40</f>
        <v>1.5439135606661381</v>
      </c>
      <c r="J45" s="135">
        <f>J43/J40</f>
        <v>1.5362390711413449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+C46+'6'!D46</f>
        <v>0</v>
      </c>
      <c r="E46" s="144">
        <f t="shared" si="6"/>
        <v>0</v>
      </c>
      <c r="F46" s="323"/>
      <c r="G46" s="324"/>
      <c r="H46" s="189" t="s">
        <v>77</v>
      </c>
      <c r="I46" s="141">
        <f>+SUMIF(Listrik!P14,"&gt;0")</f>
        <v>38100.620000000366</v>
      </c>
      <c r="J46" s="136">
        <f>+I46+'6'!J46</f>
        <v>262051.73999999985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+C47+'6'!D47</f>
        <v>0</v>
      </c>
      <c r="E47" s="144">
        <f t="shared" si="6"/>
        <v>0</v>
      </c>
      <c r="F47" s="323"/>
      <c r="G47" s="324"/>
      <c r="H47" s="189" t="s">
        <v>80</v>
      </c>
      <c r="I47" s="119">
        <f>I46/I38</f>
        <v>901.17126705930536</v>
      </c>
      <c r="J47" s="136">
        <f>J46/J38</f>
        <v>907.15207028694215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+C48+'6'!D48</f>
        <v>0</v>
      </c>
      <c r="E48" s="144">
        <f t="shared" si="6"/>
        <v>0</v>
      </c>
      <c r="F48" s="323"/>
      <c r="G48" s="324"/>
      <c r="H48" s="189" t="s">
        <v>81</v>
      </c>
      <c r="I48" s="119">
        <f>I46/I40</f>
        <v>944.20648295004878</v>
      </c>
      <c r="J48" s="136">
        <f>J46/J40</f>
        <v>941.69385180952736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+C49+'6'!D49</f>
        <v>301</v>
      </c>
      <c r="E49" s="144">
        <f t="shared" si="6"/>
        <v>5.0166666666666666</v>
      </c>
      <c r="F49" s="186"/>
      <c r="H49" s="189" t="s">
        <v>268</v>
      </c>
      <c r="I49" s="119">
        <f>+Report1!T15</f>
        <v>4151.3907281033225</v>
      </c>
      <c r="J49" s="136">
        <f>+I49+'6'!J49</f>
        <v>28646.030887118133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+C50+'6'!D50</f>
        <v>0</v>
      </c>
      <c r="E50" s="144">
        <f t="shared" si="6"/>
        <v>0</v>
      </c>
      <c r="F50" s="186"/>
      <c r="H50" s="189" t="s">
        <v>83</v>
      </c>
      <c r="I50" s="141">
        <f>I49/I38</f>
        <v>98.190371770934107</v>
      </c>
      <c r="J50" s="134">
        <f>J49/J38</f>
        <v>99.164791749724387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+C51+'6'!D51</f>
        <v>0</v>
      </c>
      <c r="E51" s="144">
        <f t="shared" si="6"/>
        <v>0</v>
      </c>
      <c r="F51" s="186"/>
      <c r="H51" s="191" t="s">
        <v>85</v>
      </c>
      <c r="I51" s="142">
        <f>I49/I40</f>
        <v>102.87942922539956</v>
      </c>
      <c r="J51" s="137">
        <f>J49/J40</f>
        <v>102.94070615652079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93</v>
      </c>
      <c r="D52" s="145">
        <f>SUM(D38:D51)</f>
        <v>833</v>
      </c>
      <c r="E52" s="146">
        <f>SUM(E38:E51)</f>
        <v>13.883333333333333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6.458333333333334E-2</v>
      </c>
      <c r="D53" s="147">
        <f>D52/(24*60*G4)</f>
        <v>8.2638888888888887E-2</v>
      </c>
      <c r="E53" s="148">
        <f>E52/(G4*24)</f>
        <v>8.2638888888888887E-2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+D34+'6'!J56</f>
        <v>1008</v>
      </c>
      <c r="K56" s="202">
        <f>J56/(J40+J56/1000)/1000</f>
        <v>3.6092163918577799E-3</v>
      </c>
    </row>
    <row r="57" spans="1:11">
      <c r="A57" s="177"/>
      <c r="I57" s="200" t="s">
        <v>88</v>
      </c>
      <c r="J57" s="201">
        <f>+E34+'6'!J57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17" bottom="0.16" header="0" footer="0"/>
  <pageSetup paperSize="9" scale="62" firstPageNumber="4294963191" fitToWidth="14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view="pageBreakPreview" topLeftCell="A7" zoomScale="80" zoomScaleNormal="75" zoomScaleSheetLayoutView="80" workbookViewId="0">
      <selection activeCell="H19" sqref="H19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2.85546875" style="150" bestFit="1" customWidth="1"/>
    <col min="12" max="12" width="8.28515625" style="150" customWidth="1"/>
    <col min="13" max="13" width="14.570312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6</v>
      </c>
      <c r="H4" s="155" t="str">
        <f>+'1'!H4</f>
        <v>.07.25</v>
      </c>
      <c r="J4" s="150">
        <f>379+452+342</f>
        <v>1173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404</v>
      </c>
      <c r="O6" s="150">
        <v>1230</v>
      </c>
      <c r="P6" s="150">
        <f>+O6-O6*0.23</f>
        <v>947.09999999999991</v>
      </c>
      <c r="Q6" s="150">
        <v>480</v>
      </c>
      <c r="R6" s="150">
        <f>+O6*Q6</f>
        <v>590400</v>
      </c>
      <c r="S6" s="150">
        <f>+P6*Q6</f>
        <v>454607.99999999994</v>
      </c>
    </row>
    <row r="7" spans="1:19" ht="13.5" customHeight="1" thickBot="1">
      <c r="A7" s="771" t="s">
        <v>422</v>
      </c>
      <c r="B7" s="216" t="s">
        <v>425</v>
      </c>
      <c r="C7" s="217">
        <v>13506</v>
      </c>
      <c r="D7" s="218"/>
      <c r="E7" s="219"/>
      <c r="F7" s="229">
        <v>16</v>
      </c>
      <c r="G7" s="557" t="s">
        <v>12</v>
      </c>
      <c r="H7" s="558" t="s">
        <v>470</v>
      </c>
      <c r="I7" s="774" t="s">
        <v>406</v>
      </c>
      <c r="J7" s="215" t="str">
        <f>+'5'!J7</f>
        <v>T 12,5 VP OW</v>
      </c>
      <c r="K7" s="239"/>
      <c r="L7" s="243"/>
      <c r="M7" s="118">
        <f>+K7+'5'!M7+L7</f>
        <v>21165</v>
      </c>
      <c r="P7" s="150">
        <f>+O7-O7*0.23</f>
        <v>0</v>
      </c>
      <c r="Q7" s="150">
        <f>480-Q6</f>
        <v>0</v>
      </c>
      <c r="R7" s="150">
        <f>+O7*Q7</f>
        <v>0</v>
      </c>
      <c r="S7" s="150">
        <f>+P7*Q7</f>
        <v>0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+'5'!J8</f>
        <v>F 13 VP OW</v>
      </c>
      <c r="K8" s="240">
        <f>+C34</f>
        <v>42211</v>
      </c>
      <c r="L8" s="240"/>
      <c r="M8" s="118">
        <f>+K8+'5'!M8+L8</f>
        <v>110172</v>
      </c>
      <c r="P8" s="150">
        <f t="shared" ref="P8:P9" si="0">+O8-O8*0.23</f>
        <v>0</v>
      </c>
      <c r="R8" s="150">
        <f>+O8*Q8</f>
        <v>0</v>
      </c>
      <c r="S8" s="150">
        <f>+P8*Q8</f>
        <v>0</v>
      </c>
    </row>
    <row r="9" spans="1:19" ht="13.5" thickBot="1">
      <c r="A9" s="772"/>
      <c r="B9" s="216"/>
      <c r="C9" s="217"/>
      <c r="D9" s="218"/>
      <c r="E9" s="221"/>
      <c r="F9" s="229">
        <f>34-16</f>
        <v>18</v>
      </c>
      <c r="G9" s="559" t="s">
        <v>12</v>
      </c>
      <c r="H9" s="234" t="s">
        <v>442</v>
      </c>
      <c r="I9" s="775"/>
      <c r="J9" s="215" t="str">
        <f>+'5'!J9</f>
        <v>F 12 VP OW</v>
      </c>
      <c r="K9" s="240"/>
      <c r="L9" s="240"/>
      <c r="M9" s="118">
        <f>+K9+'5'!M9+L9</f>
        <v>86796</v>
      </c>
      <c r="P9" s="150">
        <f t="shared" si="0"/>
        <v>0</v>
      </c>
      <c r="R9" s="150">
        <f>+O9*Q9</f>
        <v>0</v>
      </c>
      <c r="S9" s="150">
        <f>+P9*Q9</f>
        <v>0</v>
      </c>
    </row>
    <row r="10" spans="1:19" ht="39" thickBot="1">
      <c r="A10" s="772"/>
      <c r="B10" s="216"/>
      <c r="C10" s="217"/>
      <c r="D10" s="218"/>
      <c r="E10" s="220"/>
      <c r="F10" s="229"/>
      <c r="G10" s="230"/>
      <c r="H10" s="560" t="s">
        <v>461</v>
      </c>
      <c r="I10" s="775"/>
      <c r="J10" s="215" t="str">
        <f>+'5'!J10</f>
        <v>F 12,5 VP OW</v>
      </c>
      <c r="K10" s="240"/>
      <c r="L10" s="240"/>
      <c r="M10" s="118">
        <f>+K10+'5'!M10+L10</f>
        <v>19792</v>
      </c>
      <c r="Q10" s="150">
        <f>SUM(Q6:Q9)</f>
        <v>480</v>
      </c>
      <c r="R10" s="150">
        <f t="shared" ref="R10:S10" si="1">SUM(R6:R9)</f>
        <v>590400</v>
      </c>
      <c r="S10" s="150">
        <f t="shared" si="1"/>
        <v>454607.99999999994</v>
      </c>
    </row>
    <row r="11" spans="1:19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>
        <f>+'5'!J11</f>
        <v>0</v>
      </c>
      <c r="K11" s="240"/>
      <c r="L11" s="240"/>
      <c r="M11" s="118">
        <f>+K11+'5'!M11+L11</f>
        <v>0</v>
      </c>
      <c r="P11" s="150" t="s">
        <v>402</v>
      </c>
      <c r="Q11" s="150">
        <f>480-Q10</f>
        <v>0</v>
      </c>
      <c r="R11" s="150">
        <f>+R10/Q10</f>
        <v>1230</v>
      </c>
      <c r="S11" s="150">
        <f>+S10/Q10</f>
        <v>947.09999999999991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+'5'!J12</f>
        <v>0</v>
      </c>
      <c r="K12" s="240"/>
      <c r="L12" s="240"/>
      <c r="M12" s="118">
        <f>+K12+'5'!M12+L12</f>
        <v>0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+'5'!J13</f>
        <v>0</v>
      </c>
      <c r="K13" s="240"/>
      <c r="L13" s="240"/>
      <c r="M13" s="118">
        <f>+K13+'5'!M13+L13</f>
        <v>0</v>
      </c>
    </row>
    <row r="14" spans="1:19" ht="13.5" thickBot="1">
      <c r="A14" s="773"/>
      <c r="B14" s="166" t="s">
        <v>2</v>
      </c>
      <c r="C14" s="100">
        <f>SUM(C7:C13)</f>
        <v>13506</v>
      </c>
      <c r="D14" s="112">
        <f>SUM(D7:D13)</f>
        <v>0</v>
      </c>
      <c r="E14" s="113">
        <f>SUM(E5:E13)</f>
        <v>0</v>
      </c>
      <c r="F14" s="117">
        <f>SUM(F7:F13)</f>
        <v>34</v>
      </c>
      <c r="G14" s="160"/>
      <c r="H14" s="167"/>
      <c r="I14" s="168"/>
      <c r="J14" s="215">
        <f>+'5'!J14</f>
        <v>0</v>
      </c>
      <c r="K14" s="240"/>
      <c r="L14" s="240"/>
      <c r="M14" s="118">
        <f>+K14+'5'!M14+L14</f>
        <v>0</v>
      </c>
      <c r="N14" s="150" t="s">
        <v>404</v>
      </c>
      <c r="O14" s="150">
        <v>1230</v>
      </c>
      <c r="P14" s="150">
        <f>+O14-O14*0.23</f>
        <v>947.09999999999991</v>
      </c>
      <c r="Q14" s="150">
        <v>480</v>
      </c>
      <c r="R14" s="150">
        <f>+O14*Q14</f>
        <v>590400</v>
      </c>
      <c r="S14" s="150">
        <f>+P14*Q14</f>
        <v>454607.99999999994</v>
      </c>
    </row>
    <row r="15" spans="1:19" ht="13.5" customHeight="1" thickBot="1">
      <c r="A15" s="771" t="s">
        <v>445</v>
      </c>
      <c r="B15" s="166"/>
      <c r="C15" s="114">
        <f>C14/($C$23+$D$23+$E$23)</f>
        <v>1.044224524509046</v>
      </c>
      <c r="D15" s="115">
        <f>D14/($C$23+$D$23+$E$23)</f>
        <v>0</v>
      </c>
      <c r="E15" s="116">
        <f>E14/($C$23+$D$23+$E$23)</f>
        <v>0</v>
      </c>
      <c r="F15" s="229">
        <v>32</v>
      </c>
      <c r="G15" s="557" t="s">
        <v>12</v>
      </c>
      <c r="H15" s="558" t="s">
        <v>471</v>
      </c>
      <c r="I15" s="774" t="s">
        <v>406</v>
      </c>
      <c r="J15" s="215">
        <f>+'5'!J15</f>
        <v>0</v>
      </c>
      <c r="K15" s="240"/>
      <c r="L15" s="240"/>
      <c r="M15" s="118">
        <f>+K15+'5'!M15+L15</f>
        <v>0</v>
      </c>
      <c r="P15" s="150">
        <f>+O15-O15*0.23</f>
        <v>0</v>
      </c>
      <c r="Q15" s="150">
        <f>480-Q14</f>
        <v>0</v>
      </c>
      <c r="R15" s="150">
        <f>+O15*Q15</f>
        <v>0</v>
      </c>
      <c r="S15" s="150">
        <f>+P15*Q15</f>
        <v>0</v>
      </c>
    </row>
    <row r="16" spans="1:19" ht="13.5" thickBot="1">
      <c r="A16" s="777"/>
      <c r="B16" s="216" t="s">
        <v>425</v>
      </c>
      <c r="C16" s="223">
        <v>12674</v>
      </c>
      <c r="D16" s="224">
        <v>260</v>
      </c>
      <c r="E16" s="225"/>
      <c r="F16" s="232"/>
      <c r="G16" s="559" t="s">
        <v>12</v>
      </c>
      <c r="H16" s="231" t="s">
        <v>408</v>
      </c>
      <c r="I16" s="775"/>
      <c r="J16" s="215">
        <f>+'5'!J16</f>
        <v>0</v>
      </c>
      <c r="K16" s="230"/>
      <c r="L16" s="230"/>
      <c r="M16" s="118">
        <f>+K16+'5'!M16+L16</f>
        <v>0</v>
      </c>
      <c r="P16" s="150">
        <f t="shared" ref="P16:P17" si="2">+O16-O16*0.23</f>
        <v>0</v>
      </c>
      <c r="R16" s="150">
        <f>+O16*Q16</f>
        <v>0</v>
      </c>
      <c r="S16" s="150">
        <f>+P16*Q16</f>
        <v>0</v>
      </c>
    </row>
    <row r="17" spans="1:19" ht="13.5" thickBot="1">
      <c r="A17" s="777"/>
      <c r="B17" s="216"/>
      <c r="C17" s="217"/>
      <c r="D17" s="218"/>
      <c r="E17" s="226"/>
      <c r="F17" s="229">
        <f>48-32</f>
        <v>16</v>
      </c>
      <c r="G17" s="559" t="s">
        <v>12</v>
      </c>
      <c r="H17" s="234" t="s">
        <v>453</v>
      </c>
      <c r="I17" s="775"/>
      <c r="J17" s="215">
        <f>+'5'!J17</f>
        <v>0</v>
      </c>
      <c r="K17" s="230"/>
      <c r="L17" s="230"/>
      <c r="M17" s="118">
        <f>+K17+'5'!M17+L17</f>
        <v>0</v>
      </c>
      <c r="P17" s="150">
        <f t="shared" si="2"/>
        <v>0</v>
      </c>
      <c r="R17" s="150">
        <f>+O17*Q17</f>
        <v>0</v>
      </c>
      <c r="S17" s="150">
        <f>+P17*Q17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462</v>
      </c>
      <c r="I18" s="775"/>
      <c r="J18" s="215">
        <f>+'5'!J18</f>
        <v>0</v>
      </c>
      <c r="K18" s="240"/>
      <c r="L18" s="240"/>
      <c r="M18" s="118">
        <f>+K18+'5'!M18+L18</f>
        <v>0</v>
      </c>
      <c r="Q18" s="150">
        <f>SUM(Q14:Q17)</f>
        <v>480</v>
      </c>
      <c r="R18" s="150">
        <f t="shared" ref="R18:S18" si="3">SUM(R14:R17)</f>
        <v>590400</v>
      </c>
      <c r="S18" s="150">
        <f t="shared" si="3"/>
        <v>454607.99999999994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+'5'!J19</f>
        <v>0</v>
      </c>
      <c r="K19" s="240"/>
      <c r="L19" s="240"/>
      <c r="M19" s="118">
        <f>+K19+'5'!M19+L19</f>
        <v>0</v>
      </c>
      <c r="P19" s="150" t="s">
        <v>402</v>
      </c>
      <c r="Q19" s="150">
        <f>480-Q18</f>
        <v>0</v>
      </c>
      <c r="R19" s="150">
        <f>+R18/Q18</f>
        <v>1230</v>
      </c>
      <c r="S19" s="150">
        <f>+S18/Q18</f>
        <v>947.09999999999991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+'5'!J20</f>
        <v>0</v>
      </c>
      <c r="K20" s="241"/>
      <c r="L20" s="241"/>
      <c r="M20" s="118">
        <f>+K20+'5'!M20+L20</f>
        <v>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+'5'!J21</f>
        <v>0</v>
      </c>
      <c r="K21" s="240"/>
      <c r="L21" s="240"/>
      <c r="M21" s="118">
        <f>+K21+'5'!M21+L21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+'5'!J22</f>
        <v>0</v>
      </c>
      <c r="K22" s="240"/>
      <c r="L22" s="240"/>
      <c r="M22" s="118">
        <f>+K22+'5'!M22+L22</f>
        <v>0</v>
      </c>
    </row>
    <row r="23" spans="1:19" ht="13.5" thickBot="1">
      <c r="A23" s="778"/>
      <c r="B23" s="169" t="s">
        <v>2</v>
      </c>
      <c r="C23" s="101">
        <f>SUM(C16:C22)</f>
        <v>12674</v>
      </c>
      <c r="D23" s="112">
        <f>SUM(D16:D22)</f>
        <v>260</v>
      </c>
      <c r="E23" s="113">
        <f>SUM(E18:E22)</f>
        <v>0</v>
      </c>
      <c r="F23" s="117">
        <f>SUM(F15:F22)</f>
        <v>48</v>
      </c>
      <c r="G23" s="160"/>
      <c r="H23" s="167"/>
      <c r="I23" s="170"/>
      <c r="J23" s="215">
        <f>+'5'!J23</f>
        <v>0</v>
      </c>
      <c r="K23" s="240"/>
      <c r="L23" s="240"/>
      <c r="M23" s="118">
        <f>+K23+'5'!M23+L23</f>
        <v>0</v>
      </c>
      <c r="N23" s="150" t="s">
        <v>404</v>
      </c>
      <c r="O23" s="150">
        <v>1230</v>
      </c>
      <c r="P23" s="150">
        <f>+O23-O23*0.23</f>
        <v>947.09999999999991</v>
      </c>
      <c r="Q23" s="150">
        <v>480</v>
      </c>
      <c r="R23" s="150">
        <f>+O23*Q23</f>
        <v>590400</v>
      </c>
      <c r="S23" s="150">
        <f>+P23*Q23</f>
        <v>454607.99999999994</v>
      </c>
    </row>
    <row r="24" spans="1:19" ht="13.5" customHeight="1" thickBot="1">
      <c r="A24" s="771" t="s">
        <v>421</v>
      </c>
      <c r="B24" s="171"/>
      <c r="C24" s="114">
        <f>C23/($C$23+$D$23+$E$23)</f>
        <v>0.97989794340497915</v>
      </c>
      <c r="D24" s="115">
        <f>D23/($C$23+$D$23+$E$23)</f>
        <v>2.0102056595020876E-2</v>
      </c>
      <c r="E24" s="116">
        <f>E23/($C$23+$D$23+$E$23)</f>
        <v>0</v>
      </c>
      <c r="F24" s="229">
        <v>9</v>
      </c>
      <c r="G24" s="557" t="s">
        <v>12</v>
      </c>
      <c r="H24" s="558" t="s">
        <v>394</v>
      </c>
      <c r="I24" s="774" t="s">
        <v>406</v>
      </c>
      <c r="J24" s="215">
        <f>+'5'!J24</f>
        <v>0</v>
      </c>
      <c r="K24" s="240"/>
      <c r="L24" s="240"/>
      <c r="M24" s="118">
        <f>+K24+'5'!M24+L24</f>
        <v>0</v>
      </c>
      <c r="P24" s="150">
        <f>+O24-O24*0.23</f>
        <v>0</v>
      </c>
      <c r="Q24" s="150">
        <f>480-Q23</f>
        <v>0</v>
      </c>
      <c r="R24" s="150">
        <f>+O24*Q24</f>
        <v>0</v>
      </c>
      <c r="S24" s="150">
        <f>+P24*Q24</f>
        <v>0</v>
      </c>
    </row>
    <row r="25" spans="1:19" ht="13.5" thickBot="1">
      <c r="A25" s="777"/>
      <c r="B25" s="216" t="s">
        <v>425</v>
      </c>
      <c r="C25" s="227">
        <v>16031</v>
      </c>
      <c r="D25" s="218">
        <v>198</v>
      </c>
      <c r="E25" s="226"/>
      <c r="F25" s="232"/>
      <c r="G25" s="559" t="s">
        <v>12</v>
      </c>
      <c r="H25" s="231" t="s">
        <v>408</v>
      </c>
      <c r="I25" s="775"/>
      <c r="J25" s="215">
        <f>+'5'!J25</f>
        <v>0</v>
      </c>
      <c r="K25" s="240"/>
      <c r="L25" s="240"/>
      <c r="M25" s="118">
        <f>+K25+'5'!M25+L25</f>
        <v>0</v>
      </c>
      <c r="P25" s="150">
        <f t="shared" ref="P25:P26" si="4">+O25-O25*0.23</f>
        <v>0</v>
      </c>
      <c r="R25" s="150">
        <f>+O25*Q25</f>
        <v>0</v>
      </c>
      <c r="S25" s="150">
        <f>+P25*Q25</f>
        <v>0</v>
      </c>
    </row>
    <row r="26" spans="1:19" ht="13.5" thickBot="1">
      <c r="A26" s="777"/>
      <c r="B26" s="216"/>
      <c r="C26" s="227"/>
      <c r="D26" s="218"/>
      <c r="E26" s="228"/>
      <c r="F26" s="229">
        <f>20-9</f>
        <v>11</v>
      </c>
      <c r="G26" s="559" t="s">
        <v>12</v>
      </c>
      <c r="H26" s="234" t="s">
        <v>453</v>
      </c>
      <c r="I26" s="775"/>
      <c r="J26" s="215">
        <f>+'5'!J26</f>
        <v>0</v>
      </c>
      <c r="K26" s="240"/>
      <c r="L26" s="240"/>
      <c r="M26" s="118">
        <f>+K26+'5'!M26+L26</f>
        <v>0</v>
      </c>
      <c r="P26" s="150">
        <f t="shared" si="4"/>
        <v>0</v>
      </c>
      <c r="R26" s="150">
        <f>+O26*Q26</f>
        <v>0</v>
      </c>
      <c r="S26" s="150">
        <f>+P26*Q26</f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463</v>
      </c>
      <c r="I27" s="775"/>
      <c r="J27" s="215">
        <f>+'5'!J27</f>
        <v>0</v>
      </c>
      <c r="K27" s="240"/>
      <c r="L27" s="240"/>
      <c r="M27" s="118">
        <f>+K27+'5'!M27+L27</f>
        <v>0</v>
      </c>
      <c r="Q27" s="150">
        <f>SUM(Q23:Q26)</f>
        <v>480</v>
      </c>
      <c r="R27" s="150">
        <f t="shared" ref="R27:S27" si="5">SUM(R23:R26)</f>
        <v>590400</v>
      </c>
      <c r="S27" s="150">
        <f t="shared" si="5"/>
        <v>454607.99999999994</v>
      </c>
    </row>
    <row r="28" spans="1:19" ht="39" thickBot="1">
      <c r="A28" s="777"/>
      <c r="B28" s="216"/>
      <c r="C28" s="217"/>
      <c r="D28" s="218"/>
      <c r="E28" s="226"/>
      <c r="F28" s="232"/>
      <c r="G28" s="233"/>
      <c r="H28" s="234" t="s">
        <v>464</v>
      </c>
      <c r="I28" s="775"/>
      <c r="J28" s="215">
        <f>+'5'!J28</f>
        <v>0</v>
      </c>
      <c r="K28" s="240"/>
      <c r="L28" s="240"/>
      <c r="M28" s="118">
        <f>+K28+'5'!M28+L28</f>
        <v>0</v>
      </c>
      <c r="P28" s="150" t="s">
        <v>402</v>
      </c>
      <c r="Q28" s="150">
        <f>480-Q27</f>
        <v>0</v>
      </c>
      <c r="R28" s="150">
        <f>+R27/Q27</f>
        <v>1230</v>
      </c>
      <c r="S28" s="150">
        <f>+S27/Q27</f>
        <v>947.09999999999991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+'5'!J29</f>
        <v>0</v>
      </c>
      <c r="K29" s="240"/>
      <c r="L29" s="240"/>
      <c r="M29" s="118">
        <f>+K29+'5'!M29+L29</f>
        <v>0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+'5'!J30</f>
        <v>0</v>
      </c>
      <c r="K30" s="240"/>
      <c r="L30" s="240"/>
      <c r="M30" s="118">
        <f>+K30+'5'!M30+L30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+'5'!J31</f>
        <v>0</v>
      </c>
      <c r="K31" s="240"/>
      <c r="L31" s="240"/>
      <c r="M31" s="118">
        <f>+K31+'5'!M31+L31</f>
        <v>0</v>
      </c>
    </row>
    <row r="32" spans="1:19" ht="13.5" thickBot="1">
      <c r="A32" s="778"/>
      <c r="B32" s="166" t="s">
        <v>2</v>
      </c>
      <c r="C32" s="100">
        <f>SUM(C25:C31)</f>
        <v>16031</v>
      </c>
      <c r="D32" s="101">
        <f>SUM(D25:D31)</f>
        <v>198</v>
      </c>
      <c r="E32" s="102">
        <f>SUM(E25:E31)</f>
        <v>0</v>
      </c>
      <c r="F32" s="103">
        <f>SUM(F24:F31)</f>
        <v>20</v>
      </c>
      <c r="G32" s="172"/>
      <c r="H32" s="173"/>
      <c r="I32" s="170"/>
      <c r="J32" s="215">
        <f>+'5'!J32</f>
        <v>0</v>
      </c>
      <c r="K32" s="242"/>
      <c r="L32" s="244"/>
      <c r="M32" s="118">
        <f>+K32+'5'!M32+L32</f>
        <v>0</v>
      </c>
    </row>
    <row r="33" spans="1:13" ht="13.5" thickBot="1">
      <c r="A33" s="174"/>
      <c r="B33" s="175"/>
      <c r="C33" s="104">
        <f>C32/($C$32+$D$32+$E$32)</f>
        <v>0.98779961796783533</v>
      </c>
      <c r="D33" s="105">
        <f>D32/($C$32+$D$32+$E$32)</f>
        <v>1.2200382032164643E-2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42211</v>
      </c>
      <c r="D34" s="108">
        <f>D14+D23+D32</f>
        <v>458</v>
      </c>
      <c r="E34" s="108">
        <f>E14+E23+E32</f>
        <v>0</v>
      </c>
      <c r="F34" s="109">
        <f>F14+F23+F32</f>
        <v>102</v>
      </c>
      <c r="H34" s="179"/>
      <c r="I34" s="179"/>
      <c r="J34" s="124" t="s">
        <v>28</v>
      </c>
      <c r="K34" s="125">
        <f>SUM(K7:K32)</f>
        <v>42211</v>
      </c>
      <c r="L34" s="213">
        <f>SUM(L7:L32)</f>
        <v>0</v>
      </c>
      <c r="M34" s="121">
        <f>SUM(M7:M32)</f>
        <v>237925</v>
      </c>
    </row>
    <row r="35" spans="1:13" ht="13.5" thickBot="1">
      <c r="A35" s="180"/>
      <c r="B35" s="181"/>
      <c r="C35" s="105">
        <f>C34/($C$34+$D$34+$E$34)</f>
        <v>0.98926621200403098</v>
      </c>
      <c r="D35" s="105">
        <f>D34/($C$34+$D$34+$E$34)</f>
        <v>1.073378799596897E-2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(13*1440)/1440*G42*2.74*1440/1000000</f>
        <v>48.579410879999998</v>
      </c>
      <c r="J37" s="126">
        <f>+I37+'5'!J37</f>
        <v>270.40286821134799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102</v>
      </c>
      <c r="D38" s="119">
        <f>+C38+'5'!D38</f>
        <v>439</v>
      </c>
      <c r="E38" s="144">
        <f t="shared" ref="E38:E51" si="6">D38/60</f>
        <v>7.3166666666666664</v>
      </c>
      <c r="F38" s="323">
        <v>1230</v>
      </c>
      <c r="G38" s="323">
        <v>947.09999999999991</v>
      </c>
      <c r="H38" s="188" t="s">
        <v>64</v>
      </c>
      <c r="I38" s="246">
        <f>14.389+14.141+14.766</f>
        <v>43.295999999999999</v>
      </c>
      <c r="J38" s="128">
        <f>+I38+'5'!J38</f>
        <v>246.59399999999999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+C39+'5'!D39</f>
        <v>0</v>
      </c>
      <c r="E39" s="144">
        <f t="shared" si="6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45.06714470189133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+C40+'5'!D40</f>
        <v>0</v>
      </c>
      <c r="E40" s="144">
        <f t="shared" si="6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42.210999999999999</v>
      </c>
      <c r="J40" s="132">
        <f>+I40+'5'!J40</f>
        <v>237.92500000000001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+C41+'5'!D41</f>
        <v>0</v>
      </c>
      <c r="E41" s="144">
        <f t="shared" si="6"/>
        <v>0</v>
      </c>
      <c r="F41" s="323"/>
      <c r="G41" s="323"/>
      <c r="H41" s="188" t="s">
        <v>69</v>
      </c>
      <c r="I41" s="143"/>
      <c r="J41" s="130">
        <f>J40/G4</f>
        <v>39.654166666666669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+C42+'5'!D42</f>
        <v>0</v>
      </c>
      <c r="E42" s="144">
        <f t="shared" si="6"/>
        <v>0</v>
      </c>
      <c r="F42" s="323">
        <f>+(F38*480+F39*480+F40*480)/1440</f>
        <v>1230</v>
      </c>
      <c r="G42" s="323">
        <f>+(G38*480+G39*480+G40*480)/1440</f>
        <v>947.0999999999998</v>
      </c>
      <c r="H42" s="188" t="s">
        <v>70</v>
      </c>
      <c r="I42" s="247" t="s">
        <v>406</v>
      </c>
      <c r="J42" s="133"/>
      <c r="K42" s="131" t="s">
        <v>71</v>
      </c>
    </row>
    <row r="43" spans="1:13" ht="17.45" customHeight="1">
      <c r="A43" s="765" t="s">
        <v>220</v>
      </c>
      <c r="B43" s="766"/>
      <c r="C43" s="165">
        <f>SUMIF($G$7:$G$31,"Change Grade",$F$7:$F$31)</f>
        <v>0</v>
      </c>
      <c r="D43" s="119">
        <f>+C43+'5'!D43</f>
        <v>0</v>
      </c>
      <c r="E43" s="144">
        <f t="shared" si="6"/>
        <v>0</v>
      </c>
      <c r="F43" s="323"/>
      <c r="G43" s="324"/>
      <c r="H43" s="189" t="s">
        <v>73</v>
      </c>
      <c r="I43" s="119">
        <f>+Report1!Z14</f>
        <v>63</v>
      </c>
      <c r="J43" s="134">
        <f>+I43+'5'!J43</f>
        <v>365.2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+C44+'5'!D44</f>
        <v>0</v>
      </c>
      <c r="E44" s="144">
        <f t="shared" si="6"/>
        <v>0</v>
      </c>
      <c r="F44" s="323"/>
      <c r="G44" s="324"/>
      <c r="H44" s="189" t="s">
        <v>74</v>
      </c>
      <c r="I44" s="119">
        <f>I43/I38</f>
        <v>1.45509977827051</v>
      </c>
      <c r="J44" s="135">
        <f>J43/J38</f>
        <v>1.4809768283088802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+C45+'5'!D45</f>
        <v>0</v>
      </c>
      <c r="E45" s="144">
        <f t="shared" si="6"/>
        <v>0</v>
      </c>
      <c r="F45" s="323"/>
      <c r="G45" s="326"/>
      <c r="H45" s="189" t="s">
        <v>75</v>
      </c>
      <c r="I45" s="119">
        <f>I43/I40</f>
        <v>1.4925019544668452</v>
      </c>
      <c r="J45" s="135">
        <f>J43/J40</f>
        <v>1.5349374802984133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+C46+'5'!D46</f>
        <v>0</v>
      </c>
      <c r="E46" s="144">
        <f t="shared" si="6"/>
        <v>0</v>
      </c>
      <c r="F46" s="323"/>
      <c r="G46" s="324"/>
      <c r="H46" s="189" t="s">
        <v>77</v>
      </c>
      <c r="I46" s="141">
        <f>+SUMIF(Listrik!P13,"&gt;0")</f>
        <v>37410.659999999458</v>
      </c>
      <c r="J46" s="136">
        <f>+I46+'5'!J46</f>
        <v>223951.11999999947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+C47+'5'!D47</f>
        <v>0</v>
      </c>
      <c r="E47" s="144">
        <f t="shared" si="6"/>
        <v>0</v>
      </c>
      <c r="F47" s="323"/>
      <c r="G47" s="324"/>
      <c r="H47" s="189" t="s">
        <v>80</v>
      </c>
      <c r="I47" s="119">
        <f>I46/I38</f>
        <v>864.06735033258167</v>
      </c>
      <c r="J47" s="136">
        <f>J46/J38</f>
        <v>908.17749012546733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+C48+'5'!D48</f>
        <v>0</v>
      </c>
      <c r="E48" s="144">
        <f t="shared" si="6"/>
        <v>0</v>
      </c>
      <c r="F48" s="323"/>
      <c r="G48" s="324"/>
      <c r="H48" s="189" t="s">
        <v>81</v>
      </c>
      <c r="I48" s="119">
        <f>I46/I40</f>
        <v>886.27751060148921</v>
      </c>
      <c r="J48" s="136">
        <f>J46/J40</f>
        <v>941.26771041294296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+C49+'5'!D49</f>
        <v>301</v>
      </c>
      <c r="E49" s="144">
        <f t="shared" si="6"/>
        <v>5.0166666666666666</v>
      </c>
      <c r="F49" s="186"/>
      <c r="H49" s="189" t="s">
        <v>268</v>
      </c>
      <c r="I49" s="119">
        <f>+Report1!T14</f>
        <v>4134.0051544316029</v>
      </c>
      <c r="J49" s="136">
        <f>+I49+'5'!J49</f>
        <v>24494.640159014809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+C50+'5'!D50</f>
        <v>0</v>
      </c>
      <c r="E50" s="144">
        <f t="shared" si="6"/>
        <v>0</v>
      </c>
      <c r="F50" s="186"/>
      <c r="H50" s="189" t="s">
        <v>83</v>
      </c>
      <c r="I50" s="141">
        <f>I49/I38</f>
        <v>95.482380691786844</v>
      </c>
      <c r="J50" s="134">
        <f>J49/J38</f>
        <v>99.331857867648068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+C51+'5'!D51</f>
        <v>0</v>
      </c>
      <c r="E51" s="144">
        <f t="shared" si="6"/>
        <v>0</v>
      </c>
      <c r="F51" s="186"/>
      <c r="H51" s="191" t="s">
        <v>85</v>
      </c>
      <c r="I51" s="142">
        <f>I49/I40</f>
        <v>97.936678932780623</v>
      </c>
      <c r="J51" s="137">
        <f>J49/J40</f>
        <v>102.95109870343515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102</v>
      </c>
      <c r="D52" s="145">
        <f>SUM(D38:D51)</f>
        <v>740</v>
      </c>
      <c r="E52" s="146">
        <f>SUM(E38:E51)</f>
        <v>12.333333333333332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7.0833333333333331E-2</v>
      </c>
      <c r="D53" s="147">
        <f>D52/(24*60*G4)</f>
        <v>8.5648148148148154E-2</v>
      </c>
      <c r="E53" s="148">
        <f>E52/(G4*24)</f>
        <v>8.564814814814814E-2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+D34+'5'!J56</f>
        <v>458</v>
      </c>
      <c r="K56" s="202">
        <f>J56/(J40+J56/1000)/1000</f>
        <v>1.921277943477513E-3</v>
      </c>
    </row>
    <row r="57" spans="1:11">
      <c r="A57" s="177"/>
      <c r="I57" s="200" t="s">
        <v>88</v>
      </c>
      <c r="J57" s="201">
        <f>+E34+'5'!J57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9513888888888889" right="0.19513888888888889" top="0.17" bottom="0.16" header="0" footer="0"/>
  <pageSetup paperSize="9" scale="60" firstPageNumber="4294963191" fitToWidth="3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view="pageBreakPreview" topLeftCell="B7" zoomScale="80" zoomScaleNormal="75" zoomScaleSheetLayoutView="80" workbookViewId="0">
      <selection activeCell="H13" sqref="H13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4" style="150" customWidth="1"/>
    <col min="12" max="12" width="8.28515625" style="150" customWidth="1"/>
    <col min="13" max="13" width="15.570312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5</v>
      </c>
      <c r="H4" s="155" t="str">
        <f>+'1'!H4</f>
        <v>.07.25</v>
      </c>
      <c r="J4" s="150">
        <f>364+445+433</f>
        <v>1242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</row>
    <row r="7" spans="1:19" ht="13.5" customHeight="1" thickBot="1">
      <c r="A7" s="771" t="s">
        <v>422</v>
      </c>
      <c r="B7" s="216" t="s">
        <v>386</v>
      </c>
      <c r="C7" s="217">
        <v>3408</v>
      </c>
      <c r="D7" s="218"/>
      <c r="E7" s="219"/>
      <c r="F7" s="229">
        <v>12</v>
      </c>
      <c r="G7" s="557" t="s">
        <v>12</v>
      </c>
      <c r="H7" s="558" t="s">
        <v>394</v>
      </c>
      <c r="I7" s="774" t="s">
        <v>406</v>
      </c>
      <c r="J7" s="215" t="str">
        <f>+'4'!J7</f>
        <v>T 12,5 VP OW</v>
      </c>
      <c r="K7" s="239"/>
      <c r="L7" s="243"/>
      <c r="M7" s="118">
        <f>+K7+'4'!M7+L7</f>
        <v>21165</v>
      </c>
      <c r="N7" s="150" t="s">
        <v>437</v>
      </c>
      <c r="O7" s="150">
        <v>1230</v>
      </c>
      <c r="P7" s="150">
        <f>+O7-O7*0.23</f>
        <v>947.09999999999991</v>
      </c>
      <c r="Q7" s="150">
        <f>60*3+15</f>
        <v>195</v>
      </c>
      <c r="R7" s="150">
        <f>+O7*Q7</f>
        <v>239850</v>
      </c>
      <c r="S7" s="150">
        <f>+P7*Q7</f>
        <v>184684.49999999997</v>
      </c>
    </row>
    <row r="8" spans="1:19" ht="13.5" thickBot="1">
      <c r="A8" s="772"/>
      <c r="B8" s="216" t="s">
        <v>477</v>
      </c>
      <c r="C8" s="217">
        <f>1968+8248</f>
        <v>10216</v>
      </c>
      <c r="D8" s="218"/>
      <c r="E8" s="220"/>
      <c r="F8" s="232"/>
      <c r="G8" s="559" t="s">
        <v>12</v>
      </c>
      <c r="H8" s="231" t="s">
        <v>408</v>
      </c>
      <c r="I8" s="780"/>
      <c r="J8" s="215" t="str">
        <f>+'4'!J8</f>
        <v>F 13 VP OW</v>
      </c>
      <c r="K8" s="240">
        <f>+C17+C25</f>
        <v>18170</v>
      </c>
      <c r="L8" s="240"/>
      <c r="M8" s="118">
        <f>+K8+'4'!M8+L8</f>
        <v>67961</v>
      </c>
      <c r="N8" s="150" t="s">
        <v>469</v>
      </c>
      <c r="O8" s="150">
        <v>1230</v>
      </c>
      <c r="P8" s="150">
        <f>+O8-O8*0.23</f>
        <v>947.09999999999991</v>
      </c>
      <c r="Q8" s="150">
        <f>480-Q7</f>
        <v>285</v>
      </c>
      <c r="R8" s="150">
        <f>+O8*Q8</f>
        <v>350550</v>
      </c>
      <c r="S8" s="150">
        <f>+P8*Q8</f>
        <v>269923.5</v>
      </c>
    </row>
    <row r="9" spans="1:19" ht="13.5" thickBot="1">
      <c r="A9" s="772"/>
      <c r="B9" s="216"/>
      <c r="C9" s="217"/>
      <c r="D9" s="218"/>
      <c r="E9" s="221"/>
      <c r="F9" s="229">
        <f>29-12</f>
        <v>17</v>
      </c>
      <c r="G9" s="559" t="s">
        <v>12</v>
      </c>
      <c r="H9" s="234" t="s">
        <v>453</v>
      </c>
      <c r="I9" s="780"/>
      <c r="J9" s="215" t="str">
        <f>+'4'!J9</f>
        <v>F 12 VP OW</v>
      </c>
      <c r="K9" s="240">
        <f>+C7</f>
        <v>3408</v>
      </c>
      <c r="L9" s="240"/>
      <c r="M9" s="118">
        <f>+K9+'4'!M9+L9</f>
        <v>86796</v>
      </c>
      <c r="P9" s="150">
        <f t="shared" ref="P9:P10" si="0">+O9-O9*0.23</f>
        <v>0</v>
      </c>
      <c r="R9" s="150">
        <f>+O9*Q9</f>
        <v>0</v>
      </c>
      <c r="S9" s="150">
        <f>+P9*Q9</f>
        <v>0</v>
      </c>
    </row>
    <row r="10" spans="1:19" ht="26.25" thickBot="1">
      <c r="A10" s="772"/>
      <c r="B10" s="216"/>
      <c r="C10" s="217"/>
      <c r="D10" s="218"/>
      <c r="E10" s="220"/>
      <c r="F10" s="229"/>
      <c r="G10" s="230"/>
      <c r="H10" s="560" t="s">
        <v>467</v>
      </c>
      <c r="I10" s="780"/>
      <c r="J10" s="215" t="s">
        <v>477</v>
      </c>
      <c r="K10" s="240">
        <f>+C8+C16</f>
        <v>19792</v>
      </c>
      <c r="L10" s="240"/>
      <c r="M10" s="118">
        <f>+K10+'4'!M10+L10</f>
        <v>19792</v>
      </c>
      <c r="P10" s="150">
        <f t="shared" si="0"/>
        <v>0</v>
      </c>
      <c r="R10" s="150">
        <f>+O10*Q10</f>
        <v>0</v>
      </c>
      <c r="S10" s="150">
        <f>+P10*Q10</f>
        <v>0</v>
      </c>
    </row>
    <row r="11" spans="1:19" ht="39" thickBot="1">
      <c r="A11" s="772"/>
      <c r="B11" s="216"/>
      <c r="C11" s="217"/>
      <c r="D11" s="218"/>
      <c r="E11" s="220"/>
      <c r="F11" s="229"/>
      <c r="G11" s="233"/>
      <c r="H11" s="234" t="s">
        <v>468</v>
      </c>
      <c r="I11" s="780"/>
      <c r="J11" s="215">
        <f>+'4'!J11</f>
        <v>0</v>
      </c>
      <c r="K11" s="240"/>
      <c r="L11" s="240"/>
      <c r="M11" s="118">
        <f>+K11+'4'!M11+L11</f>
        <v>0</v>
      </c>
      <c r="Q11" s="150">
        <f>SUM(Q7:Q10)</f>
        <v>480</v>
      </c>
      <c r="R11" s="150">
        <f t="shared" ref="R11:S11" si="1">SUM(R7:R10)</f>
        <v>590400</v>
      </c>
      <c r="S11" s="150">
        <f t="shared" si="1"/>
        <v>454608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80"/>
      <c r="J12" s="215">
        <f>+'4'!J12</f>
        <v>0</v>
      </c>
      <c r="K12" s="240"/>
      <c r="L12" s="240"/>
      <c r="M12" s="118">
        <f>+K12+'4'!M12+L12</f>
        <v>0</v>
      </c>
      <c r="P12" s="150" t="s">
        <v>402</v>
      </c>
      <c r="Q12" s="150">
        <f>480-Q11</f>
        <v>0</v>
      </c>
      <c r="R12" s="150">
        <f>+R11/Q11</f>
        <v>1230</v>
      </c>
      <c r="S12" s="150">
        <f>+S11/Q11</f>
        <v>947.1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81"/>
      <c r="J13" s="215">
        <f>+'4'!J13</f>
        <v>0</v>
      </c>
      <c r="K13" s="240"/>
      <c r="L13" s="240"/>
      <c r="M13" s="118">
        <f>+K13+'4'!M13+L13</f>
        <v>0</v>
      </c>
    </row>
    <row r="14" spans="1:19" ht="13.5" thickBot="1">
      <c r="A14" s="773"/>
      <c r="B14" s="166" t="s">
        <v>2</v>
      </c>
      <c r="C14" s="100">
        <f>SUM(C7:C13)</f>
        <v>13624</v>
      </c>
      <c r="D14" s="112">
        <f>SUM(D7:D13)</f>
        <v>0</v>
      </c>
      <c r="E14" s="113">
        <f>SUM(E5:E13)</f>
        <v>0</v>
      </c>
      <c r="F14" s="117">
        <f>SUM(F7:F13)</f>
        <v>29</v>
      </c>
      <c r="G14" s="160"/>
      <c r="H14" s="167"/>
      <c r="I14" s="168"/>
      <c r="J14" s="215">
        <f>+'4'!J14</f>
        <v>0</v>
      </c>
      <c r="K14" s="240"/>
      <c r="L14" s="240"/>
      <c r="M14" s="118">
        <f>+K14+'4'!M14+L14</f>
        <v>0</v>
      </c>
      <c r="N14" s="150" t="s">
        <v>469</v>
      </c>
      <c r="O14" s="150">
        <v>1230</v>
      </c>
      <c r="P14" s="150">
        <f>+O14-O14*0.23</f>
        <v>947.09999999999991</v>
      </c>
      <c r="Q14" s="150">
        <f>60*4+40</f>
        <v>280</v>
      </c>
      <c r="R14" s="150">
        <f>+O14*Q14</f>
        <v>344400</v>
      </c>
      <c r="S14" s="150">
        <f>+P14*Q14</f>
        <v>265188</v>
      </c>
    </row>
    <row r="15" spans="1:19" ht="13.5" customHeight="1" thickBot="1">
      <c r="A15" s="771" t="s">
        <v>445</v>
      </c>
      <c r="B15" s="166"/>
      <c r="C15" s="114">
        <f>C14/($C$23+$D$23+$E$23)</f>
        <v>1.0965872504829361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406</v>
      </c>
      <c r="J15" s="215">
        <f>+'4'!J15</f>
        <v>0</v>
      </c>
      <c r="K15" s="240"/>
      <c r="L15" s="240"/>
      <c r="M15" s="118">
        <f>+K15+'4'!M15+L15</f>
        <v>0</v>
      </c>
      <c r="N15" s="150" t="s">
        <v>404</v>
      </c>
      <c r="O15" s="150">
        <v>1230</v>
      </c>
      <c r="P15" s="150">
        <f>+O15-O15*0.23</f>
        <v>947.09999999999991</v>
      </c>
      <c r="Q15" s="150">
        <f>480-Q14</f>
        <v>200</v>
      </c>
      <c r="R15" s="150">
        <f>+O15*Q15</f>
        <v>246000</v>
      </c>
      <c r="S15" s="150">
        <f>+P15*Q15</f>
        <v>189419.99999999997</v>
      </c>
    </row>
    <row r="16" spans="1:19" ht="13.5" thickBot="1">
      <c r="A16" s="777"/>
      <c r="B16" s="216" t="s">
        <v>477</v>
      </c>
      <c r="C16" s="223">
        <v>9576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+'4'!J16</f>
        <v>0</v>
      </c>
      <c r="K16" s="230"/>
      <c r="L16" s="230"/>
      <c r="M16" s="118">
        <f>+K16+'4'!M16+L16</f>
        <v>0</v>
      </c>
      <c r="P16" s="150">
        <f t="shared" ref="P16:P17" si="2">+O16-O16*0.23</f>
        <v>0</v>
      </c>
      <c r="R16" s="150">
        <f>+O16*Q16</f>
        <v>0</v>
      </c>
      <c r="S16" s="150">
        <f>+P16*Q16</f>
        <v>0</v>
      </c>
    </row>
    <row r="17" spans="1:19" ht="13.5" thickBot="1">
      <c r="A17" s="777"/>
      <c r="B17" s="216" t="s">
        <v>425</v>
      </c>
      <c r="C17" s="217">
        <v>2848</v>
      </c>
      <c r="D17" s="218"/>
      <c r="E17" s="226"/>
      <c r="F17" s="229">
        <v>22</v>
      </c>
      <c r="G17" s="559" t="s">
        <v>12</v>
      </c>
      <c r="H17" s="234" t="s">
        <v>442</v>
      </c>
      <c r="I17" s="775"/>
      <c r="J17" s="215">
        <f>+'4'!J17</f>
        <v>0</v>
      </c>
      <c r="K17" s="230"/>
      <c r="L17" s="230"/>
      <c r="M17" s="118">
        <f>+K17+'4'!M17+L17</f>
        <v>0</v>
      </c>
      <c r="P17" s="150">
        <f t="shared" si="2"/>
        <v>0</v>
      </c>
      <c r="R17" s="150">
        <f>+O17*Q17</f>
        <v>0</v>
      </c>
      <c r="S17" s="150">
        <f>+P17*Q17</f>
        <v>0</v>
      </c>
    </row>
    <row r="18" spans="1:19" ht="13.5" thickBot="1">
      <c r="A18" s="777"/>
      <c r="B18" s="216"/>
      <c r="C18" s="217"/>
      <c r="D18" s="218"/>
      <c r="E18" s="226"/>
      <c r="F18" s="229"/>
      <c r="G18" s="230"/>
      <c r="H18" s="560" t="s">
        <v>465</v>
      </c>
      <c r="I18" s="775"/>
      <c r="J18" s="215">
        <f>+'4'!J18</f>
        <v>0</v>
      </c>
      <c r="K18" s="240"/>
      <c r="L18" s="240"/>
      <c r="M18" s="118">
        <f>+K18+'4'!M18+L18</f>
        <v>0</v>
      </c>
      <c r="Q18" s="150">
        <f>SUM(Q14:Q17)</f>
        <v>480</v>
      </c>
      <c r="R18" s="150">
        <f t="shared" ref="R18:S18" si="3">SUM(R14:R17)</f>
        <v>590400</v>
      </c>
      <c r="S18" s="150">
        <f t="shared" si="3"/>
        <v>454608</v>
      </c>
    </row>
    <row r="19" spans="1:19" ht="13.5" thickBot="1">
      <c r="A19" s="777"/>
      <c r="B19" s="216"/>
      <c r="C19" s="217"/>
      <c r="D19" s="218"/>
      <c r="E19" s="226"/>
      <c r="F19" s="236"/>
      <c r="G19" s="233"/>
      <c r="H19" s="234" t="s">
        <v>466</v>
      </c>
      <c r="I19" s="775"/>
      <c r="J19" s="215">
        <f>+'4'!J19</f>
        <v>0</v>
      </c>
      <c r="K19" s="240"/>
      <c r="L19" s="240"/>
      <c r="M19" s="118">
        <f>+K19+'4'!M19+L19</f>
        <v>0</v>
      </c>
      <c r="P19" s="150" t="s">
        <v>402</v>
      </c>
      <c r="Q19" s="150">
        <f>480-Q18</f>
        <v>0</v>
      </c>
      <c r="R19" s="150">
        <f>+R18/Q18</f>
        <v>1230</v>
      </c>
      <c r="S19" s="150">
        <f>+S18/Q18</f>
        <v>947.1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+'4'!J20</f>
        <v>0</v>
      </c>
      <c r="K20" s="241"/>
      <c r="L20" s="241"/>
      <c r="M20" s="118">
        <f>+K20+'4'!M20+L20</f>
        <v>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+'4'!J21</f>
        <v>0</v>
      </c>
      <c r="K21" s="240"/>
      <c r="L21" s="240"/>
      <c r="M21" s="118">
        <f>+K21+'4'!M21+L21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+'4'!J22</f>
        <v>0</v>
      </c>
      <c r="K22" s="240"/>
      <c r="L22" s="240"/>
      <c r="M22" s="118">
        <f>+K22+'4'!M22+L22</f>
        <v>0</v>
      </c>
    </row>
    <row r="23" spans="1:19" ht="13.5" thickBot="1">
      <c r="A23" s="778"/>
      <c r="B23" s="169" t="s">
        <v>2</v>
      </c>
      <c r="C23" s="101">
        <f>SUM(C16:C22)</f>
        <v>12424</v>
      </c>
      <c r="D23" s="112">
        <f>SUM(D16:D22)</f>
        <v>0</v>
      </c>
      <c r="E23" s="113">
        <f>SUM(E18:E22)</f>
        <v>0</v>
      </c>
      <c r="F23" s="117">
        <f>SUM(F15:F22)</f>
        <v>22</v>
      </c>
      <c r="G23" s="160"/>
      <c r="H23" s="167"/>
      <c r="I23" s="170"/>
      <c r="J23" s="215">
        <f>+'4'!J23</f>
        <v>0</v>
      </c>
      <c r="K23" s="240"/>
      <c r="L23" s="240"/>
      <c r="M23" s="118">
        <f>+K23+'4'!M23+L23</f>
        <v>0</v>
      </c>
    </row>
    <row r="24" spans="1:19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406</v>
      </c>
      <c r="J24" s="215">
        <f>+'4'!J24</f>
        <v>0</v>
      </c>
      <c r="K24" s="240"/>
      <c r="L24" s="240"/>
      <c r="M24" s="118">
        <f>+K24+'4'!M24+L24</f>
        <v>0</v>
      </c>
      <c r="N24" s="150" t="s">
        <v>404</v>
      </c>
      <c r="O24" s="150">
        <v>1230</v>
      </c>
      <c r="P24" s="150">
        <f>+O24-O24*0.23</f>
        <v>947.09999999999991</v>
      </c>
      <c r="Q24" s="150">
        <v>480</v>
      </c>
      <c r="R24" s="150">
        <f>+O24*Q24</f>
        <v>590400</v>
      </c>
      <c r="S24" s="150">
        <f>+P24*Q24</f>
        <v>454607.99999999994</v>
      </c>
    </row>
    <row r="25" spans="1:19" ht="13.5" thickBot="1">
      <c r="A25" s="777"/>
      <c r="B25" s="216" t="s">
        <v>425</v>
      </c>
      <c r="C25" s="227">
        <v>15322</v>
      </c>
      <c r="D25" s="218"/>
      <c r="E25" s="226"/>
      <c r="F25" s="232">
        <v>9</v>
      </c>
      <c r="G25" s="559" t="s">
        <v>12</v>
      </c>
      <c r="H25" s="231" t="s">
        <v>385</v>
      </c>
      <c r="I25" s="775"/>
      <c r="J25" s="215">
        <f>+'4'!J25</f>
        <v>0</v>
      </c>
      <c r="K25" s="240"/>
      <c r="L25" s="240"/>
      <c r="M25" s="118">
        <f>+K25+'4'!M25+L25</f>
        <v>0</v>
      </c>
      <c r="P25" s="150">
        <f>+O25-O25*0.23</f>
        <v>0</v>
      </c>
      <c r="Q25" s="150">
        <f>480-Q24</f>
        <v>0</v>
      </c>
      <c r="R25" s="150">
        <f>+O25*Q25</f>
        <v>0</v>
      </c>
      <c r="S25" s="150">
        <f>+P25*Q25</f>
        <v>0</v>
      </c>
    </row>
    <row r="26" spans="1:19" ht="13.5" thickBot="1">
      <c r="A26" s="777"/>
      <c r="B26" s="216"/>
      <c r="C26" s="227"/>
      <c r="D26" s="218"/>
      <c r="E26" s="228"/>
      <c r="F26" s="229">
        <v>10</v>
      </c>
      <c r="G26" s="559" t="s">
        <v>12</v>
      </c>
      <c r="H26" s="234" t="s">
        <v>442</v>
      </c>
      <c r="I26" s="775"/>
      <c r="J26" s="215">
        <f>+'4'!J26</f>
        <v>0</v>
      </c>
      <c r="K26" s="240"/>
      <c r="L26" s="240"/>
      <c r="M26" s="118">
        <f>+K26+'4'!M26+L26</f>
        <v>0</v>
      </c>
      <c r="P26" s="150">
        <f t="shared" ref="P26:P27" si="4">+O26-O26*0.23</f>
        <v>0</v>
      </c>
      <c r="R26" s="150">
        <f>+O26*Q26</f>
        <v>0</v>
      </c>
      <c r="S26" s="150">
        <f>+P26*Q26</f>
        <v>0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463</v>
      </c>
      <c r="I27" s="775"/>
      <c r="J27" s="215">
        <f>+'4'!J27</f>
        <v>0</v>
      </c>
      <c r="K27" s="240"/>
      <c r="L27" s="240"/>
      <c r="M27" s="118">
        <f>+K27+'4'!M27+L27</f>
        <v>0</v>
      </c>
      <c r="P27" s="150">
        <f t="shared" si="4"/>
        <v>0</v>
      </c>
      <c r="R27" s="150">
        <f>+O27*Q27</f>
        <v>0</v>
      </c>
      <c r="S27" s="150">
        <f>+P27*Q27</f>
        <v>0</v>
      </c>
    </row>
    <row r="28" spans="1:19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+'4'!J28</f>
        <v>0</v>
      </c>
      <c r="K28" s="240"/>
      <c r="L28" s="240"/>
      <c r="M28" s="118">
        <f>+K28+'4'!M28+L28</f>
        <v>0</v>
      </c>
      <c r="Q28" s="150">
        <f>SUM(Q24:Q27)</f>
        <v>480</v>
      </c>
      <c r="R28" s="150">
        <f t="shared" ref="R28:S28" si="5">SUM(R24:R27)</f>
        <v>590400</v>
      </c>
      <c r="S28" s="150">
        <f t="shared" si="5"/>
        <v>454607.99999999994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+'4'!J29</f>
        <v>0</v>
      </c>
      <c r="K29" s="240"/>
      <c r="L29" s="240"/>
      <c r="M29" s="118">
        <f>+K29+'4'!M29+L29</f>
        <v>0</v>
      </c>
      <c r="P29" s="150" t="s">
        <v>402</v>
      </c>
      <c r="Q29" s="150">
        <f>480-Q28</f>
        <v>0</v>
      </c>
      <c r="R29" s="150">
        <f>+R28/Q28</f>
        <v>1230</v>
      </c>
      <c r="S29" s="150">
        <f>+S28/Q28</f>
        <v>947.09999999999991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+'4'!J30</f>
        <v>0</v>
      </c>
      <c r="K30" s="240"/>
      <c r="L30" s="240"/>
      <c r="M30" s="118">
        <f>+K30+'4'!M30+L30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+'4'!J31</f>
        <v>0</v>
      </c>
      <c r="K31" s="240"/>
      <c r="L31" s="240"/>
      <c r="M31" s="118">
        <f>+K31+'4'!M31+L31</f>
        <v>0</v>
      </c>
    </row>
    <row r="32" spans="1:19" ht="13.5" thickBot="1">
      <c r="A32" s="778"/>
      <c r="B32" s="166" t="s">
        <v>2</v>
      </c>
      <c r="C32" s="100">
        <f>SUM(C25:C31)</f>
        <v>15322</v>
      </c>
      <c r="D32" s="101">
        <f>SUM(D25:D31)</f>
        <v>0</v>
      </c>
      <c r="E32" s="102">
        <f>SUM(E25:E31)</f>
        <v>0</v>
      </c>
      <c r="F32" s="103">
        <f>SUM(F24:F31)</f>
        <v>19</v>
      </c>
      <c r="G32" s="172"/>
      <c r="H32" s="173"/>
      <c r="I32" s="170"/>
      <c r="J32" s="215">
        <f>+'4'!J32</f>
        <v>0</v>
      </c>
      <c r="K32" s="242"/>
      <c r="L32" s="244"/>
      <c r="M32" s="118">
        <f>+K32+'4'!M32+L32</f>
        <v>0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N33" s="150" t="s">
        <v>437</v>
      </c>
      <c r="O33" s="150">
        <v>1230</v>
      </c>
      <c r="P33" s="150">
        <v>947.09999999999991</v>
      </c>
      <c r="Q33" s="150">
        <v>195</v>
      </c>
    </row>
    <row r="34" spans="1:17" ht="13.5" thickBot="1">
      <c r="A34" s="767" t="s">
        <v>57</v>
      </c>
      <c r="B34" s="768"/>
      <c r="C34" s="108">
        <f>C14+C23+C32</f>
        <v>41370</v>
      </c>
      <c r="D34" s="108">
        <f>D14+D23+D32</f>
        <v>0</v>
      </c>
      <c r="E34" s="108">
        <f>E14+E23+E32</f>
        <v>0</v>
      </c>
      <c r="F34" s="109">
        <f>F14+F23+F32</f>
        <v>70</v>
      </c>
      <c r="H34" s="179"/>
      <c r="I34" s="179"/>
      <c r="J34" s="124" t="s">
        <v>28</v>
      </c>
      <c r="K34" s="125">
        <f>SUM(K7:K32)</f>
        <v>41370</v>
      </c>
      <c r="L34" s="213">
        <f>SUM(L7:L32)</f>
        <v>0</v>
      </c>
      <c r="M34" s="121">
        <f>SUM(M7:M32)</f>
        <v>195714</v>
      </c>
      <c r="N34" s="150" t="s">
        <v>469</v>
      </c>
      <c r="O34" s="150">
        <v>1230</v>
      </c>
      <c r="P34" s="150">
        <v>947.09999999999991</v>
      </c>
      <c r="Q34" s="150">
        <v>565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  <c r="N35" s="150" t="s">
        <v>404</v>
      </c>
      <c r="O35" s="150">
        <v>1230</v>
      </c>
      <c r="P35" s="150">
        <v>947.09999999999991</v>
      </c>
      <c r="Q35" s="150">
        <v>680</v>
      </c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  <c r="Q36" s="150">
        <f>SUM(Q33:Q35)</f>
        <v>1440</v>
      </c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(12*195+12.5*565+680*13)/1440*G42*2.74*1440/1000000</f>
        <v>47.340272595000009</v>
      </c>
      <c r="J37" s="126">
        <f>+I37+'4'!J37</f>
        <v>221.82345733134798</v>
      </c>
      <c r="K37" s="127" t="s">
        <v>63</v>
      </c>
    </row>
    <row r="38" spans="1:17" ht="17.45" customHeight="1">
      <c r="A38" s="761" t="s">
        <v>12</v>
      </c>
      <c r="B38" s="762"/>
      <c r="C38" s="165">
        <f>SUMIF($G$7:$G$31,"Process",$F$7:$F$31)</f>
        <v>70</v>
      </c>
      <c r="D38" s="119">
        <f>+C38+'4'!D38</f>
        <v>337</v>
      </c>
      <c r="E38" s="144">
        <f t="shared" ref="E38:E51" si="6">D38/60</f>
        <v>5.6166666666666663</v>
      </c>
      <c r="F38" s="323">
        <v>1230</v>
      </c>
      <c r="G38" s="323">
        <v>947.1</v>
      </c>
      <c r="H38" s="188" t="s">
        <v>64</v>
      </c>
      <c r="I38" s="246">
        <f>14.211+8.944+5.802+14.361</f>
        <v>43.317999999999998</v>
      </c>
      <c r="J38" s="128">
        <f>+I38+'4'!J38</f>
        <v>203.298</v>
      </c>
      <c r="K38" s="129" t="s">
        <v>63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+C39+'4'!D39</f>
        <v>0</v>
      </c>
      <c r="E39" s="144">
        <f t="shared" si="6"/>
        <v>0</v>
      </c>
      <c r="F39" s="323">
        <v>1230</v>
      </c>
      <c r="G39" s="323">
        <v>947.1</v>
      </c>
      <c r="H39" s="188" t="s">
        <v>65</v>
      </c>
      <c r="I39" s="143"/>
      <c r="J39" s="130">
        <f>J37/G4</f>
        <v>44.364691466269598</v>
      </c>
      <c r="K39" s="131" t="s">
        <v>63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>+C40+'4'!D40</f>
        <v>0</v>
      </c>
      <c r="E40" s="144">
        <f t="shared" si="6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41.37</v>
      </c>
      <c r="J40" s="132">
        <f>+I40+'4'!J40</f>
        <v>195.714</v>
      </c>
      <c r="K40" s="131" t="s">
        <v>63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>+C41+'4'!D41</f>
        <v>0</v>
      </c>
      <c r="E41" s="144">
        <f t="shared" si="6"/>
        <v>0</v>
      </c>
      <c r="F41" s="323"/>
      <c r="G41" s="323"/>
      <c r="H41" s="188" t="s">
        <v>69</v>
      </c>
      <c r="I41" s="143"/>
      <c r="J41" s="130">
        <f>J40/G4</f>
        <v>39.142800000000001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>+C42+'4'!D42</f>
        <v>0</v>
      </c>
      <c r="E42" s="144">
        <f t="shared" si="6"/>
        <v>0</v>
      </c>
      <c r="F42" s="323">
        <f>+(480*F38+480*F39+480*F40)/1440</f>
        <v>1230</v>
      </c>
      <c r="G42" s="323">
        <f>+(480*G38+480*G39+480*G40)/1440</f>
        <v>947.1</v>
      </c>
      <c r="H42" s="188" t="s">
        <v>70</v>
      </c>
      <c r="I42" s="247" t="s">
        <v>406</v>
      </c>
      <c r="J42" s="133"/>
      <c r="K42" s="131" t="s">
        <v>71</v>
      </c>
    </row>
    <row r="43" spans="1:17" ht="17.45" customHeight="1">
      <c r="A43" s="765" t="s">
        <v>220</v>
      </c>
      <c r="B43" s="766"/>
      <c r="C43" s="165">
        <f>SUMIF($G$7:$G$31,"Change Grade",$F$7:$F$31)</f>
        <v>0</v>
      </c>
      <c r="D43" s="119">
        <f>+C43+'4'!D43</f>
        <v>0</v>
      </c>
      <c r="E43" s="144">
        <f t="shared" si="6"/>
        <v>0</v>
      </c>
      <c r="F43" s="323"/>
      <c r="G43" s="324"/>
      <c r="H43" s="189" t="s">
        <v>73</v>
      </c>
      <c r="I43" s="119">
        <f>+Report1!Z13</f>
        <v>61.7</v>
      </c>
      <c r="J43" s="134">
        <f>+I43+'4'!J43</f>
        <v>302.2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+C44+'4'!D44</f>
        <v>0</v>
      </c>
      <c r="E44" s="144">
        <f t="shared" si="6"/>
        <v>0</v>
      </c>
      <c r="F44" s="323"/>
      <c r="G44" s="324"/>
      <c r="H44" s="189" t="s">
        <v>74</v>
      </c>
      <c r="I44" s="119">
        <f>I43/I38</f>
        <v>1.4243501546701143</v>
      </c>
      <c r="J44" s="135">
        <f>J43/J38</f>
        <v>1.4864878159155526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>+C45+'4'!D45</f>
        <v>0</v>
      </c>
      <c r="E45" s="144">
        <f t="shared" si="6"/>
        <v>0</v>
      </c>
      <c r="F45" s="323"/>
      <c r="G45" s="326"/>
      <c r="H45" s="189" t="s">
        <v>75</v>
      </c>
      <c r="I45" s="119">
        <f>I43/I40</f>
        <v>1.4914189025864155</v>
      </c>
      <c r="J45" s="135">
        <f>J43/J40</f>
        <v>1.5440898453866356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>+C46+'4'!D46</f>
        <v>0</v>
      </c>
      <c r="E46" s="144">
        <f t="shared" si="6"/>
        <v>0</v>
      </c>
      <c r="F46" s="323"/>
      <c r="G46" s="324"/>
      <c r="H46" s="189" t="s">
        <v>77</v>
      </c>
      <c r="I46" s="141">
        <f>+SUMIF(Listrik!P12,"&gt;0")</f>
        <v>39792.82</v>
      </c>
      <c r="J46" s="136">
        <f>+I46+'4'!J46</f>
        <v>186540.46000000002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>+C47+'4'!D47</f>
        <v>0</v>
      </c>
      <c r="E47" s="144">
        <f t="shared" si="6"/>
        <v>0</v>
      </c>
      <c r="F47" s="323"/>
      <c r="G47" s="324"/>
      <c r="H47" s="189" t="s">
        <v>80</v>
      </c>
      <c r="I47" s="119">
        <f>I46/I38</f>
        <v>918.62089662495964</v>
      </c>
      <c r="J47" s="136">
        <f>J46/J38</f>
        <v>917.5715452193333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>+C48+'4'!D48</f>
        <v>0</v>
      </c>
      <c r="E48" s="144">
        <f t="shared" si="6"/>
        <v>0</v>
      </c>
      <c r="F48" s="323"/>
      <c r="G48" s="324"/>
      <c r="H48" s="189" t="s">
        <v>81</v>
      </c>
      <c r="I48" s="119">
        <f>I46/I40</f>
        <v>961.87623882040134</v>
      </c>
      <c r="J48" s="136">
        <f>J46/J40</f>
        <v>953.12782938369264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+C49+'4'!D49</f>
        <v>301</v>
      </c>
      <c r="E49" s="144">
        <f t="shared" si="6"/>
        <v>5.0166666666666666</v>
      </c>
      <c r="F49" s="186"/>
      <c r="H49" s="189" t="s">
        <v>268</v>
      </c>
      <c r="I49" s="119">
        <f>+Report1!T13</f>
        <v>4276.735567349785</v>
      </c>
      <c r="J49" s="136">
        <f>+I49+'4'!J49</f>
        <v>20360.635004583208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+C50+'4'!D50</f>
        <v>0</v>
      </c>
      <c r="E50" s="144">
        <f t="shared" si="6"/>
        <v>0</v>
      </c>
      <c r="F50" s="186"/>
      <c r="H50" s="189" t="s">
        <v>83</v>
      </c>
      <c r="I50" s="141">
        <f>I49/I38</f>
        <v>98.728832525734916</v>
      </c>
      <c r="J50" s="134">
        <f>J49/J38</f>
        <v>100.15167391997564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+C51+'4'!D51</f>
        <v>0</v>
      </c>
      <c r="E51" s="144">
        <f t="shared" si="6"/>
        <v>0</v>
      </c>
      <c r="F51" s="186"/>
      <c r="H51" s="191" t="s">
        <v>85</v>
      </c>
      <c r="I51" s="142">
        <f>I49/I40</f>
        <v>103.37770286076348</v>
      </c>
      <c r="J51" s="137">
        <f>J49/J40</f>
        <v>104.03259350165654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70</v>
      </c>
      <c r="D52" s="145">
        <f>SUM(D38:D51)</f>
        <v>638</v>
      </c>
      <c r="E52" s="146">
        <f>SUM(E38:E51)</f>
        <v>10.633333333333333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4.8611111111111112E-2</v>
      </c>
      <c r="D53" s="147">
        <f>D52/(24*60*G4)</f>
        <v>8.8611111111111113E-2</v>
      </c>
      <c r="E53" s="148">
        <f>E52/(G4*24)</f>
        <v>8.8611111111111113E-2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+D34+'4'!J56</f>
        <v>0</v>
      </c>
      <c r="K56" s="202">
        <f>J56/(J40+J56/1000)/1000</f>
        <v>0</v>
      </c>
    </row>
    <row r="57" spans="1:11">
      <c r="A57" s="177"/>
      <c r="I57" s="200" t="s">
        <v>88</v>
      </c>
      <c r="J57" s="201">
        <f>+E34+'4'!J57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7" right="0.16" top="0.17" bottom="0.14027777777777778" header="0" footer="0"/>
  <pageSetup paperSize="9" scale="60" firstPageNumber="4294963191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view="pageBreakPreview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4" style="150" bestFit="1" customWidth="1"/>
    <col min="12" max="12" width="8.28515625" style="150" customWidth="1"/>
    <col min="13" max="13" width="14.5703125" style="150" bestFit="1" customWidth="1"/>
    <col min="14" max="16384" width="9.140625" style="150"/>
  </cols>
  <sheetData>
    <row r="1" spans="1:18" ht="15.75">
      <c r="A1" s="149"/>
    </row>
    <row r="2" spans="1:18" ht="15.75">
      <c r="A2" s="149" t="s">
        <v>182</v>
      </c>
    </row>
    <row r="3" spans="1:18" ht="15">
      <c r="A3" s="151"/>
    </row>
    <row r="4" spans="1:18" ht="20.25">
      <c r="A4" s="152" t="s">
        <v>3</v>
      </c>
      <c r="B4" s="153"/>
      <c r="F4" s="154" t="s">
        <v>29</v>
      </c>
      <c r="G4" s="155">
        <v>4</v>
      </c>
      <c r="H4" s="155" t="str">
        <f>+'1'!H4</f>
        <v>.07.25</v>
      </c>
      <c r="J4" s="150">
        <f>758+506+418</f>
        <v>1682</v>
      </c>
    </row>
    <row r="5" spans="1:18" ht="13.5" thickBot="1">
      <c r="C5" s="156"/>
      <c r="D5" s="156"/>
    </row>
    <row r="6" spans="1:18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</row>
    <row r="7" spans="1:18" ht="13.5" customHeight="1" thickBot="1">
      <c r="A7" s="771" t="s">
        <v>422</v>
      </c>
      <c r="B7" s="216" t="s">
        <v>386</v>
      </c>
      <c r="C7" s="217">
        <v>13276</v>
      </c>
      <c r="D7" s="218"/>
      <c r="E7" s="219"/>
      <c r="F7" s="229">
        <v>9</v>
      </c>
      <c r="G7" s="557" t="s">
        <v>12</v>
      </c>
      <c r="H7" s="558" t="s">
        <v>394</v>
      </c>
      <c r="I7" s="774" t="s">
        <v>406</v>
      </c>
      <c r="J7" s="215" t="str">
        <f>+'3'!J7</f>
        <v>T 12,5 VP OW</v>
      </c>
      <c r="K7" s="239"/>
      <c r="L7" s="243"/>
      <c r="M7" s="118">
        <f>+K7+'3'!M7+L7</f>
        <v>21165</v>
      </c>
    </row>
    <row r="8" spans="1:18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+'3'!J8</f>
        <v>F 13 VP OW</v>
      </c>
      <c r="K8" s="240"/>
      <c r="L8" s="240"/>
      <c r="M8" s="118">
        <f>+K8+'3'!M8+L8</f>
        <v>49791</v>
      </c>
    </row>
    <row r="9" spans="1:18" ht="13.5" thickBot="1">
      <c r="A9" s="772"/>
      <c r="B9" s="216"/>
      <c r="C9" s="217"/>
      <c r="D9" s="218"/>
      <c r="E9" s="221"/>
      <c r="F9" s="229">
        <f>26-9</f>
        <v>17</v>
      </c>
      <c r="G9" s="559" t="s">
        <v>12</v>
      </c>
      <c r="H9" s="234" t="s">
        <v>453</v>
      </c>
      <c r="I9" s="775"/>
      <c r="J9" s="215" t="str">
        <f>+'3'!J9</f>
        <v>F 12 VP OW</v>
      </c>
      <c r="K9" s="240">
        <f>+C34</f>
        <v>41906</v>
      </c>
      <c r="L9" s="240"/>
      <c r="M9" s="118">
        <f>+K9+'3'!M9+L9</f>
        <v>83388</v>
      </c>
    </row>
    <row r="10" spans="1:18" ht="13.5" thickBot="1">
      <c r="A10" s="772"/>
      <c r="B10" s="216"/>
      <c r="C10" s="217"/>
      <c r="D10" s="218"/>
      <c r="E10" s="220"/>
      <c r="F10" s="229"/>
      <c r="G10" s="230"/>
      <c r="H10" s="560" t="s">
        <v>448</v>
      </c>
      <c r="I10" s="775"/>
      <c r="J10" s="215">
        <f>+'3'!J10</f>
        <v>0</v>
      </c>
      <c r="K10" s="240"/>
      <c r="L10" s="240"/>
      <c r="M10" s="118">
        <f>+K10+'3'!M10+L10</f>
        <v>0</v>
      </c>
    </row>
    <row r="11" spans="1:18" ht="13.5" thickBot="1">
      <c r="A11" s="772"/>
      <c r="B11" s="216"/>
      <c r="C11" s="217"/>
      <c r="D11" s="218"/>
      <c r="E11" s="220"/>
      <c r="F11" s="229"/>
      <c r="G11" s="233"/>
      <c r="H11" s="234"/>
      <c r="I11" s="775"/>
      <c r="J11" s="215">
        <f>+'3'!J11</f>
        <v>0</v>
      </c>
      <c r="K11" s="240"/>
      <c r="L11" s="240"/>
      <c r="M11" s="118">
        <f>+K11+'3'!M11+L11</f>
        <v>0</v>
      </c>
    </row>
    <row r="12" spans="1:18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+'3'!J12</f>
        <v>0</v>
      </c>
      <c r="K12" s="240"/>
      <c r="L12" s="240"/>
      <c r="M12" s="118">
        <f>+K12+'3'!M12+L12</f>
        <v>0</v>
      </c>
    </row>
    <row r="13" spans="1:18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+'3'!J13</f>
        <v>0</v>
      </c>
      <c r="K13" s="240"/>
      <c r="L13" s="240"/>
      <c r="M13" s="118">
        <f>+K13+'3'!M13+L13</f>
        <v>0</v>
      </c>
    </row>
    <row r="14" spans="1:18" ht="13.5" thickBot="1">
      <c r="A14" s="773"/>
      <c r="B14" s="166" t="s">
        <v>2</v>
      </c>
      <c r="C14" s="100">
        <f>SUM(C7:C13)</f>
        <v>13276</v>
      </c>
      <c r="D14" s="112">
        <f>SUM(D7:D13)</f>
        <v>0</v>
      </c>
      <c r="E14" s="113">
        <f>SUM(E5:E13)</f>
        <v>0</v>
      </c>
      <c r="F14" s="117">
        <f>SUM(F7:F13)</f>
        <v>26</v>
      </c>
      <c r="G14" s="160"/>
      <c r="H14" s="167"/>
      <c r="I14" s="168"/>
      <c r="J14" s="215">
        <f>+'3'!J14</f>
        <v>0</v>
      </c>
      <c r="K14" s="240"/>
      <c r="L14" s="240"/>
      <c r="M14" s="118">
        <f>+K14+'3'!M14+L14</f>
        <v>0</v>
      </c>
    </row>
    <row r="15" spans="1:18" ht="13.5" customHeight="1" thickBot="1">
      <c r="A15" s="771" t="s">
        <v>445</v>
      </c>
      <c r="B15" s="166"/>
      <c r="C15" s="114">
        <f>C14/($C$23+$D$23+$E$23)</f>
        <v>1.0290675141461902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406</v>
      </c>
      <c r="J15" s="215">
        <f>+'3'!J15</f>
        <v>0</v>
      </c>
      <c r="K15" s="240"/>
      <c r="L15" s="240"/>
      <c r="M15" s="118">
        <f>+K15+'3'!M15+L15</f>
        <v>0</v>
      </c>
      <c r="P15" s="177"/>
      <c r="Q15" s="177"/>
      <c r="R15" s="177"/>
    </row>
    <row r="16" spans="1:18" ht="13.5" thickBot="1">
      <c r="A16" s="777"/>
      <c r="B16" s="216" t="s">
        <v>386</v>
      </c>
      <c r="C16" s="223">
        <v>12901</v>
      </c>
      <c r="D16" s="224"/>
      <c r="E16" s="225"/>
      <c r="F16" s="232">
        <v>9</v>
      </c>
      <c r="G16" s="559" t="s">
        <v>12</v>
      </c>
      <c r="H16" s="231" t="s">
        <v>385</v>
      </c>
      <c r="I16" s="775"/>
      <c r="J16" s="215">
        <f>+'3'!J16</f>
        <v>0</v>
      </c>
      <c r="K16" s="230"/>
      <c r="L16" s="230"/>
      <c r="M16" s="118">
        <f>+K16+'3'!M16+L16</f>
        <v>0</v>
      </c>
      <c r="Q16" s="177"/>
      <c r="R16" s="177"/>
    </row>
    <row r="17" spans="1:13" ht="13.5" thickBot="1">
      <c r="A17" s="777"/>
      <c r="B17" s="216"/>
      <c r="C17" s="217"/>
      <c r="D17" s="218"/>
      <c r="E17" s="226"/>
      <c r="F17" s="229">
        <v>10</v>
      </c>
      <c r="G17" s="559" t="s">
        <v>12</v>
      </c>
      <c r="H17" s="234" t="s">
        <v>453</v>
      </c>
      <c r="I17" s="775"/>
      <c r="J17" s="215">
        <f>+'3'!J17</f>
        <v>0</v>
      </c>
      <c r="K17" s="230"/>
      <c r="L17" s="230"/>
      <c r="M17" s="118">
        <f>+K17+'3'!M17+L17</f>
        <v>0</v>
      </c>
    </row>
    <row r="18" spans="1:13" ht="13.5" thickBot="1">
      <c r="A18" s="777"/>
      <c r="B18" s="216"/>
      <c r="C18" s="217"/>
      <c r="D18" s="218"/>
      <c r="E18" s="226"/>
      <c r="F18" s="229"/>
      <c r="G18" s="230"/>
      <c r="H18" s="560" t="s">
        <v>448</v>
      </c>
      <c r="I18" s="775"/>
      <c r="J18" s="215">
        <f>+'3'!J18</f>
        <v>0</v>
      </c>
      <c r="K18" s="240"/>
      <c r="L18" s="240"/>
      <c r="M18" s="118">
        <f>+K18+'3'!M18+L18</f>
        <v>0</v>
      </c>
    </row>
    <row r="19" spans="1:13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+'3'!J19</f>
        <v>0</v>
      </c>
      <c r="K19" s="240"/>
      <c r="L19" s="240"/>
      <c r="M19" s="118">
        <f>+K19+'3'!M19+L19</f>
        <v>0</v>
      </c>
    </row>
    <row r="20" spans="1:1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+'3'!J20</f>
        <v>0</v>
      </c>
      <c r="K20" s="241"/>
      <c r="L20" s="241"/>
      <c r="M20" s="118">
        <f>+K20+'3'!M20+L20</f>
        <v>0</v>
      </c>
    </row>
    <row r="21" spans="1:1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+'3'!J21</f>
        <v>0</v>
      </c>
      <c r="K21" s="240"/>
      <c r="L21" s="240"/>
      <c r="M21" s="118">
        <f>+K21+'3'!M21+L21</f>
        <v>0</v>
      </c>
    </row>
    <row r="22" spans="1:1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+'3'!J22</f>
        <v>0</v>
      </c>
      <c r="K22" s="240"/>
      <c r="L22" s="240"/>
      <c r="M22" s="118">
        <f>+K22+'3'!M22+L22</f>
        <v>0</v>
      </c>
    </row>
    <row r="23" spans="1:13" ht="13.5" thickBot="1">
      <c r="A23" s="778"/>
      <c r="B23" s="169" t="s">
        <v>2</v>
      </c>
      <c r="C23" s="101">
        <f>SUM(C16:C22)</f>
        <v>12901</v>
      </c>
      <c r="D23" s="112">
        <f>SUM(D16:D22)</f>
        <v>0</v>
      </c>
      <c r="E23" s="113">
        <f>SUM(E18:E22)</f>
        <v>0</v>
      </c>
      <c r="F23" s="117">
        <f>SUM(F15:F22)</f>
        <v>19</v>
      </c>
      <c r="G23" s="160"/>
      <c r="H23" s="167"/>
      <c r="I23" s="170"/>
      <c r="J23" s="215">
        <f>+'3'!J23</f>
        <v>0</v>
      </c>
      <c r="K23" s="240"/>
      <c r="L23" s="240"/>
      <c r="M23" s="118">
        <f>+K23+'3'!M23+L23</f>
        <v>0</v>
      </c>
    </row>
    <row r="24" spans="1:13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406</v>
      </c>
      <c r="J24" s="215">
        <f>+'3'!J24</f>
        <v>0</v>
      </c>
      <c r="K24" s="240"/>
      <c r="L24" s="240"/>
      <c r="M24" s="118">
        <f>+K24+'3'!M24+L24</f>
        <v>0</v>
      </c>
    </row>
    <row r="25" spans="1:13" ht="13.5" thickBot="1">
      <c r="A25" s="777"/>
      <c r="B25" s="216" t="s">
        <v>386</v>
      </c>
      <c r="C25" s="227">
        <v>15729</v>
      </c>
      <c r="D25" s="218"/>
      <c r="E25" s="226"/>
      <c r="F25" s="232">
        <v>7</v>
      </c>
      <c r="G25" s="559" t="s">
        <v>12</v>
      </c>
      <c r="H25" s="231" t="s">
        <v>459</v>
      </c>
      <c r="I25" s="775"/>
      <c r="J25" s="215">
        <f>+'3'!J25</f>
        <v>0</v>
      </c>
      <c r="K25" s="240"/>
      <c r="L25" s="240"/>
      <c r="M25" s="118">
        <f>+K25+'3'!M25+L25</f>
        <v>0</v>
      </c>
    </row>
    <row r="26" spans="1:13" ht="13.5" thickBot="1">
      <c r="A26" s="777"/>
      <c r="B26" s="216"/>
      <c r="C26" s="227"/>
      <c r="D26" s="218"/>
      <c r="E26" s="228"/>
      <c r="F26" s="229">
        <v>10</v>
      </c>
      <c r="G26" s="559" t="s">
        <v>12</v>
      </c>
      <c r="H26" s="234" t="s">
        <v>442</v>
      </c>
      <c r="I26" s="775"/>
      <c r="J26" s="215">
        <f>+'3'!J26</f>
        <v>0</v>
      </c>
      <c r="K26" s="240"/>
      <c r="L26" s="240"/>
      <c r="M26" s="118">
        <f>+K26+'3'!M26+L26</f>
        <v>0</v>
      </c>
    </row>
    <row r="27" spans="1:13" ht="13.5" thickBot="1">
      <c r="A27" s="777"/>
      <c r="B27" s="216"/>
      <c r="C27" s="217"/>
      <c r="D27" s="218"/>
      <c r="E27" s="226"/>
      <c r="F27" s="229"/>
      <c r="G27" s="230"/>
      <c r="H27" s="560" t="s">
        <v>448</v>
      </c>
      <c r="I27" s="775"/>
      <c r="J27" s="215">
        <f>+'3'!J27</f>
        <v>0</v>
      </c>
      <c r="K27" s="240"/>
      <c r="L27" s="240"/>
      <c r="M27" s="118">
        <f>+K27+'3'!M27+L27</f>
        <v>0</v>
      </c>
    </row>
    <row r="28" spans="1:13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+'3'!J28</f>
        <v>0</v>
      </c>
      <c r="K28" s="240"/>
      <c r="L28" s="240"/>
      <c r="M28" s="118">
        <f>+K28+'3'!M28+L28</f>
        <v>0</v>
      </c>
    </row>
    <row r="29" spans="1:13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+'3'!J29</f>
        <v>0</v>
      </c>
      <c r="K29" s="240"/>
      <c r="L29" s="240"/>
      <c r="M29" s="118">
        <f>+K29+'3'!M29+L29</f>
        <v>0</v>
      </c>
    </row>
    <row r="30" spans="1:13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+'3'!J30</f>
        <v>0</v>
      </c>
      <c r="K30" s="240"/>
      <c r="L30" s="240"/>
      <c r="M30" s="118">
        <f>+K30+'3'!M30+L30</f>
        <v>0</v>
      </c>
    </row>
    <row r="31" spans="1:13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+'3'!J31</f>
        <v>0</v>
      </c>
      <c r="K31" s="240"/>
      <c r="L31" s="240"/>
      <c r="M31" s="118">
        <f>+K31+'3'!M31+L31</f>
        <v>0</v>
      </c>
    </row>
    <row r="32" spans="1:13" ht="13.5" thickBot="1">
      <c r="A32" s="778"/>
      <c r="B32" s="166" t="s">
        <v>2</v>
      </c>
      <c r="C32" s="100">
        <f>SUM(C25:C31)</f>
        <v>15729</v>
      </c>
      <c r="D32" s="101">
        <f>SUM(D25:D31)</f>
        <v>0</v>
      </c>
      <c r="E32" s="102">
        <f>SUM(E25:E31)</f>
        <v>0</v>
      </c>
      <c r="F32" s="103">
        <f>SUM(F24:F31)</f>
        <v>17</v>
      </c>
      <c r="G32" s="172"/>
      <c r="H32" s="173"/>
      <c r="I32" s="170"/>
      <c r="J32" s="215">
        <f>+'3'!J32</f>
        <v>0</v>
      </c>
      <c r="K32" s="242"/>
      <c r="L32" s="244"/>
      <c r="M32" s="118">
        <f>+K32+'3'!M32+L32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41906</v>
      </c>
      <c r="D34" s="108">
        <f>D14+D23+D32</f>
        <v>0</v>
      </c>
      <c r="E34" s="108">
        <f>E14+E23+E32</f>
        <v>0</v>
      </c>
      <c r="F34" s="109">
        <f>F14+F23+F32</f>
        <v>62</v>
      </c>
      <c r="H34" s="179"/>
      <c r="I34" s="179"/>
      <c r="J34" s="124" t="s">
        <v>28</v>
      </c>
      <c r="K34" s="125">
        <f>SUM(K7:K32)</f>
        <v>41906</v>
      </c>
      <c r="L34" s="213">
        <f>SUM(L7:L32)</f>
        <v>0</v>
      </c>
      <c r="M34" s="121">
        <f>SUM(M7:M32)</f>
        <v>154344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(12*1440)/1440*G42*2.74*1440/1000000</f>
        <v>44.842533119999992</v>
      </c>
      <c r="J37" s="126">
        <f>+I37+'3'!J37</f>
        <v>174.48318473634797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62</v>
      </c>
      <c r="D38" s="119">
        <f>+C38+'3'!D38</f>
        <v>267</v>
      </c>
      <c r="E38" s="144">
        <f t="shared" ref="E38:E51" si="0">D38/60</f>
        <v>4.45</v>
      </c>
      <c r="F38" s="323">
        <v>1230</v>
      </c>
      <c r="G38" s="323">
        <v>947.09999999999991</v>
      </c>
      <c r="H38" s="188" t="s">
        <v>64</v>
      </c>
      <c r="I38" s="246">
        <f>14.3+13.295+14.747</f>
        <v>42.341999999999999</v>
      </c>
      <c r="J38" s="128">
        <f>+I38+'3'!J38</f>
        <v>159.98000000000002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+C39+'3'!D39</f>
        <v>0</v>
      </c>
      <c r="E39" s="144">
        <f t="shared" si="0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43.620796184086991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+C40+'3'!D40</f>
        <v>0</v>
      </c>
      <c r="E40" s="144">
        <f t="shared" si="0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41.905999999999999</v>
      </c>
      <c r="J40" s="132">
        <f>+I40+'3'!J40</f>
        <v>154.34399999999999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+C41+'3'!D41</f>
        <v>0</v>
      </c>
      <c r="E41" s="144">
        <f t="shared" si="0"/>
        <v>0</v>
      </c>
      <c r="F41" s="323"/>
      <c r="G41" s="323"/>
      <c r="H41" s="188" t="s">
        <v>69</v>
      </c>
      <c r="I41" s="143"/>
      <c r="J41" s="130">
        <f>J40/G4</f>
        <v>38.585999999999999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+C42+'3'!D42</f>
        <v>0</v>
      </c>
      <c r="E42" s="144">
        <f t="shared" si="0"/>
        <v>0</v>
      </c>
      <c r="F42" s="323">
        <f>+(480*F38+480*F39+480*F40)/1440</f>
        <v>1230</v>
      </c>
      <c r="G42" s="323">
        <f>+(480*G38+480*G39+480*G40)/1440</f>
        <v>947.0999999999998</v>
      </c>
      <c r="H42" s="188" t="s">
        <v>70</v>
      </c>
      <c r="I42" s="247" t="s">
        <v>406</v>
      </c>
      <c r="J42" s="133"/>
      <c r="K42" s="131" t="s">
        <v>71</v>
      </c>
    </row>
    <row r="43" spans="1:13" ht="17.45" customHeight="1">
      <c r="A43" s="765" t="s">
        <v>220</v>
      </c>
      <c r="B43" s="766"/>
      <c r="C43" s="165">
        <f>SUMIF($G$7:$G$31,"Change Grade",$F$7:$F$31)</f>
        <v>0</v>
      </c>
      <c r="D43" s="119">
        <f>+C43+'3'!D43</f>
        <v>0</v>
      </c>
      <c r="E43" s="144">
        <f t="shared" si="0"/>
        <v>0</v>
      </c>
      <c r="F43" s="323"/>
      <c r="G43" s="324"/>
      <c r="H43" s="189" t="s">
        <v>73</v>
      </c>
      <c r="I43" s="119">
        <f>+Report1!Z12</f>
        <v>62.1</v>
      </c>
      <c r="J43" s="134">
        <f>+I43+'3'!J43</f>
        <v>240.5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+C44+'3'!D44</f>
        <v>0</v>
      </c>
      <c r="E44" s="144">
        <f t="shared" si="0"/>
        <v>0</v>
      </c>
      <c r="F44" s="323"/>
      <c r="G44" s="324"/>
      <c r="H44" s="189" t="s">
        <v>74</v>
      </c>
      <c r="I44" s="119">
        <f>+Report1!Z12</f>
        <v>62.1</v>
      </c>
      <c r="J44" s="135">
        <f>J43/J38</f>
        <v>1.503312914114264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+C45+'3'!D45</f>
        <v>0</v>
      </c>
      <c r="E45" s="144">
        <f t="shared" si="0"/>
        <v>0</v>
      </c>
      <c r="F45" s="323"/>
      <c r="G45" s="326"/>
      <c r="H45" s="189" t="s">
        <v>75</v>
      </c>
      <c r="I45" s="119">
        <f>I43/I40</f>
        <v>1.4818880351262349</v>
      </c>
      <c r="J45" s="135">
        <f>J43/J40</f>
        <v>1.5582076400767118</v>
      </c>
      <c r="K45" s="131" t="s">
        <v>63</v>
      </c>
    </row>
    <row r="46" spans="1:13" ht="17.45" customHeight="1">
      <c r="A46" s="765" t="s">
        <v>284</v>
      </c>
      <c r="B46" s="766"/>
      <c r="C46" s="165">
        <f>SUMIF($G$7:$G$31,"Sinergy",$F$7:$F$31)</f>
        <v>0</v>
      </c>
      <c r="D46" s="119">
        <f>+C46+'3'!D46</f>
        <v>0</v>
      </c>
      <c r="E46" s="144">
        <f t="shared" si="0"/>
        <v>0</v>
      </c>
      <c r="F46" s="323"/>
      <c r="G46" s="324"/>
      <c r="H46" s="189" t="s">
        <v>77</v>
      </c>
      <c r="I46" s="141">
        <f>+SUMIF(Listrik!P11,"&gt;0")</f>
        <v>38589.900000000547</v>
      </c>
      <c r="J46" s="136">
        <f>+I46+'3'!J46</f>
        <v>146747.64000000001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+C47+'3'!D47</f>
        <v>0</v>
      </c>
      <c r="E47" s="144">
        <f t="shared" si="0"/>
        <v>0</v>
      </c>
      <c r="F47" s="323"/>
      <c r="G47" s="324"/>
      <c r="H47" s="189" t="s">
        <v>80</v>
      </c>
      <c r="I47" s="119">
        <f>I46/I38</f>
        <v>911.38585801333306</v>
      </c>
      <c r="J47" s="136">
        <f>J46/J38</f>
        <v>917.28741092636574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+C48+'3'!D48</f>
        <v>0</v>
      </c>
      <c r="E48" s="144">
        <f t="shared" si="0"/>
        <v>0</v>
      </c>
      <c r="F48" s="323"/>
      <c r="G48" s="324"/>
      <c r="H48" s="189" t="s">
        <v>81</v>
      </c>
      <c r="I48" s="119">
        <f>I46/I40</f>
        <v>920.86813344152506</v>
      </c>
      <c r="J48" s="136">
        <f>J46/J40</f>
        <v>950.78292645000795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+C49+'3'!D49</f>
        <v>301</v>
      </c>
      <c r="E49" s="144">
        <f t="shared" si="0"/>
        <v>5.0166666666666666</v>
      </c>
      <c r="F49" s="186"/>
      <c r="H49" s="189" t="s">
        <v>268</v>
      </c>
      <c r="I49" s="119">
        <f>+Report1!T12</f>
        <v>4306.3270363933652</v>
      </c>
      <c r="J49" s="136">
        <f>+I49+'3'!J49</f>
        <v>16083.899437233424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+C50+'3'!D50</f>
        <v>0</v>
      </c>
      <c r="E50" s="144">
        <f t="shared" si="0"/>
        <v>0</v>
      </c>
      <c r="F50" s="186"/>
      <c r="H50" s="189" t="s">
        <v>83</v>
      </c>
      <c r="I50" s="141">
        <f>I49/I38</f>
        <v>101.70343952560968</v>
      </c>
      <c r="J50" s="134">
        <f>J49/J38</f>
        <v>100.53693860003389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+C51+'3'!D51</f>
        <v>0</v>
      </c>
      <c r="E51" s="144">
        <f t="shared" si="0"/>
        <v>0</v>
      </c>
      <c r="F51" s="186"/>
      <c r="H51" s="191" t="s">
        <v>85</v>
      </c>
      <c r="I51" s="142">
        <f>I49/I40</f>
        <v>102.76158632160944</v>
      </c>
      <c r="J51" s="137">
        <f>J49/J40</f>
        <v>104.2081288371004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62</v>
      </c>
      <c r="D52" s="145">
        <f>SUM(D38:D51)</f>
        <v>568</v>
      </c>
      <c r="E52" s="146">
        <f>SUM(E38:E51)</f>
        <v>9.4666666666666668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4.3055555555555555E-2</v>
      </c>
      <c r="D53" s="147">
        <f>D52/(24*60*G4)</f>
        <v>9.8611111111111108E-2</v>
      </c>
      <c r="E53" s="148">
        <f>E52/(G4*24)</f>
        <v>9.8611111111111108E-2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+D34+'3'!J56</f>
        <v>0</v>
      </c>
      <c r="K56" s="202">
        <f>J56/(J40+J56/1000)/1000</f>
        <v>0</v>
      </c>
    </row>
    <row r="57" spans="1:11">
      <c r="A57" s="177"/>
      <c r="I57" s="200" t="s">
        <v>88</v>
      </c>
      <c r="J57" s="201">
        <f>+E34+'3'!J57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7" right="0.16" top="0.17" bottom="0.16" header="0" footer="0"/>
  <pageSetup paperSize="9" scale="60" firstPageNumber="429496319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61"/>
  <sheetViews>
    <sheetView view="pageBreakPreview" topLeftCell="A4" zoomScale="80" zoomScaleNormal="75" zoomScaleSheetLayoutView="80" workbookViewId="0">
      <selection activeCell="A7" sqref="A7:A32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7109375" style="150" bestFit="1" customWidth="1"/>
    <col min="5" max="5" width="13.85546875" style="150" bestFit="1" customWidth="1"/>
    <col min="6" max="6" width="12.140625" style="111" bestFit="1" customWidth="1"/>
    <col min="7" max="7" width="11.42578125" style="150" bestFit="1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3.7109375" style="150" bestFit="1" customWidth="1"/>
    <col min="12" max="12" width="8.28515625" style="150" customWidth="1"/>
    <col min="13" max="13" width="14.5703125" style="150" bestFit="1" customWidth="1"/>
    <col min="14" max="16384" width="9.140625" style="150"/>
  </cols>
  <sheetData>
    <row r="1" spans="1:19" ht="15.75">
      <c r="A1" s="149"/>
    </row>
    <row r="2" spans="1:19" ht="15.75">
      <c r="A2" s="149" t="s">
        <v>182</v>
      </c>
    </row>
    <row r="3" spans="1:19" ht="15">
      <c r="A3" s="151"/>
    </row>
    <row r="4" spans="1:19" ht="20.25">
      <c r="A4" s="152" t="s">
        <v>3</v>
      </c>
      <c r="B4" s="153"/>
      <c r="F4" s="154" t="s">
        <v>29</v>
      </c>
      <c r="G4" s="155">
        <v>3</v>
      </c>
      <c r="H4" s="155" t="str">
        <f>+'1'!H4</f>
        <v>.07.25</v>
      </c>
      <c r="J4" s="150">
        <f>434+534+532</f>
        <v>1500</v>
      </c>
    </row>
    <row r="5" spans="1:19" ht="13.5" thickBot="1">
      <c r="C5" s="156"/>
      <c r="D5" s="156"/>
    </row>
    <row r="6" spans="1:19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</row>
    <row r="7" spans="1:19" ht="13.5" customHeight="1" thickBot="1">
      <c r="A7" s="771" t="s">
        <v>421</v>
      </c>
      <c r="B7" s="216" t="s">
        <v>386</v>
      </c>
      <c r="C7" s="217">
        <v>11436</v>
      </c>
      <c r="D7" s="218"/>
      <c r="E7" s="219"/>
      <c r="F7" s="229">
        <v>15</v>
      </c>
      <c r="G7" s="557" t="s">
        <v>12</v>
      </c>
      <c r="H7" s="558" t="s">
        <v>454</v>
      </c>
      <c r="I7" s="774" t="s">
        <v>406</v>
      </c>
      <c r="J7" s="215" t="str">
        <f>+'2'!J7</f>
        <v>T 12,5 VP OW</v>
      </c>
      <c r="K7" s="239"/>
      <c r="L7" s="243"/>
      <c r="M7" s="118">
        <f>+K7+'2'!M7+L7</f>
        <v>21165</v>
      </c>
      <c r="N7" s="150" t="s">
        <v>404</v>
      </c>
      <c r="O7" s="150">
        <v>1230</v>
      </c>
      <c r="P7" s="150">
        <f>+O7-O7*0.23</f>
        <v>947.09999999999991</v>
      </c>
      <c r="Q7" s="150">
        <v>480</v>
      </c>
      <c r="R7" s="150">
        <f>+O7*Q7</f>
        <v>590400</v>
      </c>
      <c r="S7" s="150">
        <f>+P7*Q7</f>
        <v>454607.99999999994</v>
      </c>
    </row>
    <row r="8" spans="1:19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+'2'!J8</f>
        <v>F 13 VP OW</v>
      </c>
      <c r="K8" s="240"/>
      <c r="L8" s="240"/>
      <c r="M8" s="118">
        <f>+K8+'2'!M8+L8</f>
        <v>49791</v>
      </c>
      <c r="O8" s="150">
        <v>1230</v>
      </c>
      <c r="P8" s="150">
        <f t="shared" ref="P8:P9" si="0">+O8-O8*0.23</f>
        <v>947.09999999999991</v>
      </c>
      <c r="Q8" s="150">
        <v>480</v>
      </c>
      <c r="R8" s="150">
        <f>+O8*Q8</f>
        <v>590400</v>
      </c>
      <c r="S8" s="150">
        <f>+P8*Q8</f>
        <v>454607.99999999994</v>
      </c>
    </row>
    <row r="9" spans="1:19" ht="13.5" thickBot="1">
      <c r="A9" s="772"/>
      <c r="B9" s="216"/>
      <c r="C9" s="217"/>
      <c r="D9" s="218"/>
      <c r="E9" s="221"/>
      <c r="F9" s="229">
        <f>36-15</f>
        <v>21</v>
      </c>
      <c r="G9" s="559" t="s">
        <v>12</v>
      </c>
      <c r="H9" s="234" t="s">
        <v>453</v>
      </c>
      <c r="I9" s="775"/>
      <c r="J9" s="215" t="str">
        <f>+'2'!J9</f>
        <v>F 12 VP OW</v>
      </c>
      <c r="K9" s="240">
        <f>+C34</f>
        <v>39783</v>
      </c>
      <c r="L9" s="240"/>
      <c r="M9" s="118">
        <f>+K9+'2'!M9+L9</f>
        <v>41482</v>
      </c>
      <c r="O9" s="150">
        <v>1230</v>
      </c>
      <c r="P9" s="150">
        <f t="shared" si="0"/>
        <v>947.09999999999991</v>
      </c>
      <c r="Q9" s="150">
        <v>480</v>
      </c>
      <c r="R9" s="150">
        <f>+O9*Q9</f>
        <v>590400</v>
      </c>
      <c r="S9" s="150">
        <f>+P9*Q9</f>
        <v>454607.99999999994</v>
      </c>
    </row>
    <row r="10" spans="1:19" ht="13.5" thickBot="1">
      <c r="A10" s="772"/>
      <c r="B10" s="216"/>
      <c r="C10" s="217"/>
      <c r="D10" s="218"/>
      <c r="E10" s="220"/>
      <c r="F10" s="229"/>
      <c r="G10" s="230"/>
      <c r="H10" s="560" t="s">
        <v>449</v>
      </c>
      <c r="I10" s="775"/>
      <c r="J10" s="215">
        <f>+'2'!J10</f>
        <v>0</v>
      </c>
      <c r="K10" s="240"/>
      <c r="L10" s="240"/>
      <c r="M10" s="118">
        <f>+K10+'2'!M10+L10</f>
        <v>0</v>
      </c>
      <c r="P10" s="150">
        <f t="shared" ref="P10" si="1">+O10-O10*0.23</f>
        <v>0</v>
      </c>
      <c r="R10" s="150">
        <f>+O10*Q10</f>
        <v>0</v>
      </c>
      <c r="S10" s="150">
        <f>+P10*Q10</f>
        <v>0</v>
      </c>
    </row>
    <row r="11" spans="1:19" ht="77.25" thickBot="1">
      <c r="A11" s="772"/>
      <c r="B11" s="216"/>
      <c r="C11" s="217"/>
      <c r="D11" s="218"/>
      <c r="E11" s="220"/>
      <c r="F11" s="229"/>
      <c r="G11" s="233"/>
      <c r="H11" s="234" t="s">
        <v>450</v>
      </c>
      <c r="I11" s="775"/>
      <c r="J11" s="215">
        <f>+'2'!J11</f>
        <v>0</v>
      </c>
      <c r="K11" s="240"/>
      <c r="L11" s="240"/>
      <c r="M11" s="118">
        <f>+K11+'2'!M11+L11</f>
        <v>0</v>
      </c>
      <c r="Q11" s="150">
        <f>SUM(Q7:Q10)</f>
        <v>1440</v>
      </c>
      <c r="R11" s="150">
        <f t="shared" ref="R11:S11" si="2">SUM(R7:R10)</f>
        <v>1771200</v>
      </c>
      <c r="S11" s="150">
        <f t="shared" si="2"/>
        <v>1363823.9999999998</v>
      </c>
    </row>
    <row r="12" spans="1:19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+'2'!J12</f>
        <v>0</v>
      </c>
      <c r="K12" s="240"/>
      <c r="L12" s="240"/>
      <c r="M12" s="118">
        <f>+K12+'2'!M12+L12</f>
        <v>0</v>
      </c>
      <c r="P12" s="150" t="s">
        <v>402</v>
      </c>
      <c r="Q12" s="150">
        <f>480-Q11</f>
        <v>-960</v>
      </c>
      <c r="R12" s="150">
        <f>+R11/Q11</f>
        <v>1230</v>
      </c>
      <c r="S12" s="150">
        <f>+S11/Q11</f>
        <v>947.0999999999998</v>
      </c>
    </row>
    <row r="13" spans="1:19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+'2'!J13</f>
        <v>0</v>
      </c>
      <c r="K13" s="240"/>
      <c r="L13" s="240"/>
      <c r="M13" s="118">
        <f>+K13+'2'!M13+L13</f>
        <v>0</v>
      </c>
    </row>
    <row r="14" spans="1:19" ht="13.5" thickBot="1">
      <c r="A14" s="773"/>
      <c r="B14" s="166" t="s">
        <v>2</v>
      </c>
      <c r="C14" s="100">
        <f>SUM(C7:C13)</f>
        <v>11436</v>
      </c>
      <c r="D14" s="112">
        <f>SUM(D7:D13)</f>
        <v>0</v>
      </c>
      <c r="E14" s="113">
        <f>SUM(E5:E13)</f>
        <v>0</v>
      </c>
      <c r="F14" s="117">
        <f>SUM(F7:F13)</f>
        <v>36</v>
      </c>
      <c r="G14" s="160"/>
      <c r="H14" s="167"/>
      <c r="I14" s="168"/>
      <c r="J14" s="215">
        <f>+'2'!J14</f>
        <v>0</v>
      </c>
      <c r="K14" s="240"/>
      <c r="L14" s="240"/>
      <c r="M14" s="118">
        <f>+K14+'2'!M14+L14</f>
        <v>0</v>
      </c>
    </row>
    <row r="15" spans="1:19" ht="13.5" customHeight="1" thickBot="1">
      <c r="A15" s="771" t="s">
        <v>445</v>
      </c>
      <c r="B15" s="166"/>
      <c r="C15" s="114">
        <f>C14/($C$23+$D$23+$E$23)</f>
        <v>0.74990163934426235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406</v>
      </c>
      <c r="J15" s="215">
        <f>+'2'!J15</f>
        <v>0</v>
      </c>
      <c r="K15" s="240"/>
      <c r="L15" s="240"/>
      <c r="M15" s="118">
        <f>+K15+'2'!M15+L15</f>
        <v>0</v>
      </c>
      <c r="P15" s="177"/>
      <c r="Q15" s="177"/>
      <c r="R15" s="177"/>
    </row>
    <row r="16" spans="1:19" ht="13.5" thickBot="1">
      <c r="A16" s="777"/>
      <c r="B16" s="216" t="s">
        <v>386</v>
      </c>
      <c r="C16" s="223">
        <v>15250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+'2'!J16</f>
        <v>0</v>
      </c>
      <c r="K16" s="230"/>
      <c r="L16" s="230"/>
      <c r="M16" s="118">
        <f>+K16+'2'!M16+L16</f>
        <v>0</v>
      </c>
      <c r="Q16" s="177"/>
      <c r="R16" s="177"/>
    </row>
    <row r="17" spans="1:13" ht="13.5" thickBot="1">
      <c r="A17" s="777"/>
      <c r="B17" s="216"/>
      <c r="C17" s="217"/>
      <c r="D17" s="218"/>
      <c r="E17" s="226"/>
      <c r="F17" s="229">
        <v>22</v>
      </c>
      <c r="G17" s="559" t="s">
        <v>12</v>
      </c>
      <c r="H17" s="234" t="s">
        <v>442</v>
      </c>
      <c r="I17" s="775"/>
      <c r="J17" s="215">
        <f>+'2'!J17</f>
        <v>0</v>
      </c>
      <c r="K17" s="230"/>
      <c r="L17" s="230"/>
      <c r="M17" s="118">
        <f>+K17+'2'!M17+L17</f>
        <v>0</v>
      </c>
    </row>
    <row r="18" spans="1:13" ht="26.25" thickBot="1">
      <c r="A18" s="777"/>
      <c r="B18" s="216"/>
      <c r="C18" s="217"/>
      <c r="D18" s="218"/>
      <c r="E18" s="226"/>
      <c r="F18" s="229"/>
      <c r="G18" s="230"/>
      <c r="H18" s="560" t="s">
        <v>451</v>
      </c>
      <c r="I18" s="775"/>
      <c r="J18" s="215">
        <f>+'2'!J18</f>
        <v>0</v>
      </c>
      <c r="K18" s="240"/>
      <c r="L18" s="240"/>
      <c r="M18" s="118">
        <f>+K18+'2'!M18+L18</f>
        <v>0</v>
      </c>
    </row>
    <row r="19" spans="1:13" ht="13.5" thickBot="1">
      <c r="A19" s="777"/>
      <c r="B19" s="216"/>
      <c r="C19" s="217"/>
      <c r="D19" s="218"/>
      <c r="E19" s="226"/>
      <c r="F19" s="236"/>
      <c r="G19" s="233"/>
      <c r="H19" s="234"/>
      <c r="I19" s="775"/>
      <c r="J19" s="215">
        <f>+'2'!J19</f>
        <v>0</v>
      </c>
      <c r="K19" s="240"/>
      <c r="L19" s="240"/>
      <c r="M19" s="118">
        <f>+K19+'2'!M19+L19</f>
        <v>0</v>
      </c>
    </row>
    <row r="20" spans="1:13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+'2'!J20</f>
        <v>0</v>
      </c>
      <c r="K20" s="241"/>
      <c r="L20" s="241"/>
      <c r="M20" s="118">
        <f>+K20+'2'!M20+L20</f>
        <v>0</v>
      </c>
    </row>
    <row r="21" spans="1:13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+'2'!J21</f>
        <v>0</v>
      </c>
      <c r="K21" s="240"/>
      <c r="L21" s="240"/>
      <c r="M21" s="118">
        <f>+K21+'2'!M21+L21</f>
        <v>0</v>
      </c>
    </row>
    <row r="22" spans="1:13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+'2'!J22</f>
        <v>0</v>
      </c>
      <c r="K22" s="240"/>
      <c r="L22" s="240"/>
      <c r="M22" s="118">
        <f>+K22+'2'!M22+L22</f>
        <v>0</v>
      </c>
    </row>
    <row r="23" spans="1:13" ht="13.5" thickBot="1">
      <c r="A23" s="778"/>
      <c r="B23" s="169" t="s">
        <v>2</v>
      </c>
      <c r="C23" s="101">
        <f>SUM(C16:C22)</f>
        <v>15250</v>
      </c>
      <c r="D23" s="112">
        <f>SUM(D16:D22)</f>
        <v>0</v>
      </c>
      <c r="E23" s="113">
        <f>SUM(E18:E22)</f>
        <v>0</v>
      </c>
      <c r="F23" s="117">
        <f>SUM(F15:F22)</f>
        <v>22</v>
      </c>
      <c r="G23" s="160"/>
      <c r="H23" s="167"/>
      <c r="I23" s="170"/>
      <c r="J23" s="215">
        <f>+'2'!J23</f>
        <v>0</v>
      </c>
      <c r="K23" s="240"/>
      <c r="L23" s="240"/>
      <c r="M23" s="118">
        <f>+K23+'2'!M23+L23</f>
        <v>0</v>
      </c>
    </row>
    <row r="24" spans="1:13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406</v>
      </c>
      <c r="J24" s="215">
        <f>+'2'!J24</f>
        <v>0</v>
      </c>
      <c r="K24" s="240"/>
      <c r="L24" s="240"/>
      <c r="M24" s="118">
        <f>+K24+'2'!M24+L24</f>
        <v>0</v>
      </c>
    </row>
    <row r="25" spans="1:13" ht="13.5" thickBot="1">
      <c r="A25" s="777"/>
      <c r="B25" s="216" t="s">
        <v>386</v>
      </c>
      <c r="C25" s="227">
        <v>13097</v>
      </c>
      <c r="D25" s="218"/>
      <c r="E25" s="226"/>
      <c r="F25" s="232">
        <v>9</v>
      </c>
      <c r="G25" s="559" t="s">
        <v>12</v>
      </c>
      <c r="H25" s="231" t="s">
        <v>385</v>
      </c>
      <c r="I25" s="775"/>
      <c r="J25" s="215">
        <f>+'2'!J25</f>
        <v>0</v>
      </c>
      <c r="K25" s="240"/>
      <c r="L25" s="240"/>
      <c r="M25" s="118">
        <f>+K25+'2'!M25+L25</f>
        <v>0</v>
      </c>
    </row>
    <row r="26" spans="1:13" ht="13.5" thickBot="1">
      <c r="A26" s="777"/>
      <c r="B26" s="216"/>
      <c r="C26" s="227"/>
      <c r="D26" s="218"/>
      <c r="E26" s="228"/>
      <c r="F26" s="229">
        <v>10</v>
      </c>
      <c r="G26" s="559" t="s">
        <v>12</v>
      </c>
      <c r="H26" s="234" t="s">
        <v>442</v>
      </c>
      <c r="I26" s="775"/>
      <c r="J26" s="215">
        <f>+'2'!J26</f>
        <v>0</v>
      </c>
      <c r="K26" s="240"/>
      <c r="L26" s="240"/>
      <c r="M26" s="118">
        <f>+K26+'2'!M26+L26</f>
        <v>0</v>
      </c>
    </row>
    <row r="27" spans="1:13" ht="13.5" thickBot="1">
      <c r="A27" s="777"/>
      <c r="B27" s="216"/>
      <c r="C27" s="217"/>
      <c r="D27" s="218"/>
      <c r="E27" s="226"/>
      <c r="F27" s="229"/>
      <c r="G27" s="230"/>
      <c r="H27" s="560" t="s">
        <v>448</v>
      </c>
      <c r="I27" s="775"/>
      <c r="J27" s="215">
        <f>+'2'!J27</f>
        <v>0</v>
      </c>
      <c r="K27" s="240"/>
      <c r="L27" s="240"/>
      <c r="M27" s="118">
        <f>+K27+'2'!M27+L27</f>
        <v>0</v>
      </c>
    </row>
    <row r="28" spans="1:13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15">
        <f>+'2'!J28</f>
        <v>0</v>
      </c>
      <c r="K28" s="240"/>
      <c r="L28" s="240"/>
      <c r="M28" s="118">
        <f>+K28+'2'!M28+L28</f>
        <v>0</v>
      </c>
    </row>
    <row r="29" spans="1:13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+'2'!J29</f>
        <v>0</v>
      </c>
      <c r="K29" s="240"/>
      <c r="L29" s="240"/>
      <c r="M29" s="118">
        <f>+K29+'2'!M29+L29</f>
        <v>0</v>
      </c>
    </row>
    <row r="30" spans="1:13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+'2'!J30</f>
        <v>0</v>
      </c>
      <c r="K30" s="240"/>
      <c r="L30" s="240"/>
      <c r="M30" s="118">
        <f>+K30+'2'!M30+L30</f>
        <v>0</v>
      </c>
    </row>
    <row r="31" spans="1:13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+'2'!J31</f>
        <v>0</v>
      </c>
      <c r="K31" s="240"/>
      <c r="L31" s="240"/>
      <c r="M31" s="118">
        <f>+K31+'2'!M31+L31</f>
        <v>0</v>
      </c>
    </row>
    <row r="32" spans="1:13" ht="13.5" thickBot="1">
      <c r="A32" s="778"/>
      <c r="B32" s="166" t="s">
        <v>2</v>
      </c>
      <c r="C32" s="100">
        <f>SUM(C25:C31)</f>
        <v>13097</v>
      </c>
      <c r="D32" s="101">
        <f>SUM(D25:D31)</f>
        <v>0</v>
      </c>
      <c r="E32" s="102">
        <f>SUM(E25:E31)</f>
        <v>0</v>
      </c>
      <c r="F32" s="103">
        <f>SUM(F24:F31)</f>
        <v>19</v>
      </c>
      <c r="G32" s="172"/>
      <c r="H32" s="173"/>
      <c r="I32" s="170"/>
      <c r="J32" s="215">
        <f>+'2'!J32</f>
        <v>0</v>
      </c>
      <c r="K32" s="242"/>
      <c r="L32" s="244"/>
      <c r="M32" s="118">
        <f>+K32+'2'!M32+L32</f>
        <v>0</v>
      </c>
    </row>
    <row r="33" spans="1:13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</row>
    <row r="34" spans="1:13" ht="13.5" thickBot="1">
      <c r="A34" s="767" t="s">
        <v>57</v>
      </c>
      <c r="B34" s="768"/>
      <c r="C34" s="108">
        <f>C14+C23+C32</f>
        <v>39783</v>
      </c>
      <c r="D34" s="108">
        <f>D14+D23+D32</f>
        <v>0</v>
      </c>
      <c r="E34" s="108">
        <f>E14+E23+E32</f>
        <v>0</v>
      </c>
      <c r="F34" s="109">
        <f>F14+F23+F32</f>
        <v>77</v>
      </c>
      <c r="H34" s="179"/>
      <c r="I34" s="179"/>
      <c r="J34" s="124" t="s">
        <v>28</v>
      </c>
      <c r="K34" s="125">
        <f>SUM(K7:K32)</f>
        <v>39783</v>
      </c>
      <c r="L34" s="213">
        <f>SUM(L7:L32)</f>
        <v>0</v>
      </c>
      <c r="M34" s="121">
        <f>SUM(M7:M32)</f>
        <v>112438</v>
      </c>
    </row>
    <row r="35" spans="1:13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3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3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(12*1440)/1440*G42*2.74*1440/1000000</f>
        <v>44.842533119999992</v>
      </c>
      <c r="J37" s="126">
        <f>+I37+'2'!J37</f>
        <v>129.64065161634798</v>
      </c>
      <c r="K37" s="127" t="s">
        <v>63</v>
      </c>
    </row>
    <row r="38" spans="1:13" ht="17.45" customHeight="1">
      <c r="A38" s="761" t="s">
        <v>12</v>
      </c>
      <c r="B38" s="762"/>
      <c r="C38" s="165">
        <f>SUMIF($G$7:$G$31,"Process",$F$7:$F$31)</f>
        <v>77</v>
      </c>
      <c r="D38" s="119">
        <f>+C38+'2'!D38</f>
        <v>205</v>
      </c>
      <c r="E38" s="144">
        <f t="shared" ref="E38:E51" si="3">D38/60</f>
        <v>3.4166666666666665</v>
      </c>
      <c r="F38" s="323">
        <v>1230</v>
      </c>
      <c r="G38" s="323">
        <v>947.09999999999991</v>
      </c>
      <c r="H38" s="188" t="s">
        <v>64</v>
      </c>
      <c r="I38" s="246">
        <f>14.467+13.039+14.37</f>
        <v>41.875999999999998</v>
      </c>
      <c r="J38" s="128">
        <f>+I38+'2'!J38</f>
        <v>117.63800000000001</v>
      </c>
      <c r="K38" s="129" t="s">
        <v>63</v>
      </c>
    </row>
    <row r="39" spans="1:13" ht="17.45" customHeight="1">
      <c r="A39" s="765" t="s">
        <v>13</v>
      </c>
      <c r="B39" s="766"/>
      <c r="C39" s="165">
        <f>SUMIF($G$7:$G$31,"Cleaning",$F$7:$F$31)</f>
        <v>0</v>
      </c>
      <c r="D39" s="119">
        <f>+C39+'2'!D39</f>
        <v>0</v>
      </c>
      <c r="E39" s="144">
        <f t="shared" si="3"/>
        <v>0</v>
      </c>
      <c r="F39" s="323">
        <v>1230</v>
      </c>
      <c r="G39" s="323">
        <v>947.09999999999991</v>
      </c>
      <c r="H39" s="188" t="s">
        <v>65</v>
      </c>
      <c r="I39" s="143"/>
      <c r="J39" s="130">
        <f>J37/G4</f>
        <v>43.213550538782663</v>
      </c>
      <c r="K39" s="131" t="s">
        <v>63</v>
      </c>
    </row>
    <row r="40" spans="1:13" ht="17.45" customHeight="1">
      <c r="A40" s="765" t="s">
        <v>66</v>
      </c>
      <c r="B40" s="766"/>
      <c r="C40" s="165">
        <f>SUMIF($G$7:$G$31,"Mechanical",$F$7:$F$31)</f>
        <v>0</v>
      </c>
      <c r="D40" s="119">
        <f>+C40+'2'!D40</f>
        <v>0</v>
      </c>
      <c r="E40" s="144">
        <f t="shared" si="3"/>
        <v>0</v>
      </c>
      <c r="F40" s="323">
        <v>1230</v>
      </c>
      <c r="G40" s="323">
        <v>947.09999999999991</v>
      </c>
      <c r="H40" s="188" t="s">
        <v>67</v>
      </c>
      <c r="I40" s="119">
        <f>(K34+L34)/1000</f>
        <v>39.783000000000001</v>
      </c>
      <c r="J40" s="132">
        <f>+I40+'2'!J40</f>
        <v>112.438</v>
      </c>
      <c r="K40" s="131" t="s">
        <v>63</v>
      </c>
    </row>
    <row r="41" spans="1:13" ht="17.45" customHeight="1">
      <c r="A41" s="765" t="s">
        <v>68</v>
      </c>
      <c r="B41" s="766"/>
      <c r="C41" s="165">
        <f>SUMIF($G$7:$G$31,"Electrical",$F$7:$F$31)</f>
        <v>0</v>
      </c>
      <c r="D41" s="119">
        <f>+C41+'2'!D41</f>
        <v>0</v>
      </c>
      <c r="E41" s="144">
        <f t="shared" si="3"/>
        <v>0</v>
      </c>
      <c r="F41" s="323"/>
      <c r="G41" s="323"/>
      <c r="H41" s="188" t="s">
        <v>69</v>
      </c>
      <c r="I41" s="143"/>
      <c r="J41" s="130">
        <f>J40/G4</f>
        <v>37.479333333333336</v>
      </c>
      <c r="K41" s="131" t="s">
        <v>63</v>
      </c>
    </row>
    <row r="42" spans="1:13" ht="17.45" customHeight="1">
      <c r="A42" s="765" t="s">
        <v>16</v>
      </c>
      <c r="B42" s="766"/>
      <c r="C42" s="165">
        <f>SUMIF($G$7:$G$31,"Instrument",$F$7:$F$31)</f>
        <v>0</v>
      </c>
      <c r="D42" s="119">
        <f>+C42+'2'!D42</f>
        <v>0</v>
      </c>
      <c r="E42" s="144">
        <f t="shared" si="3"/>
        <v>0</v>
      </c>
      <c r="F42" s="323">
        <f>+(F38*480+F39*480+F40*480)/1440</f>
        <v>1230</v>
      </c>
      <c r="G42" s="323">
        <f>+(G38*480+G39*480+G40*480)/1440</f>
        <v>947.0999999999998</v>
      </c>
      <c r="H42" s="188" t="s">
        <v>70</v>
      </c>
      <c r="I42" s="247" t="s">
        <v>452</v>
      </c>
      <c r="J42" s="133"/>
      <c r="K42" s="131" t="s">
        <v>71</v>
      </c>
    </row>
    <row r="43" spans="1:13" ht="17.45" customHeight="1">
      <c r="A43" s="765" t="s">
        <v>72</v>
      </c>
      <c r="B43" s="766"/>
      <c r="C43" s="165">
        <f>SUMIF($G$7:$G$31,"Water",$F$7:$F$31)</f>
        <v>0</v>
      </c>
      <c r="D43" s="119">
        <f>+C43+'2'!D43</f>
        <v>0</v>
      </c>
      <c r="E43" s="144">
        <f t="shared" si="3"/>
        <v>0</v>
      </c>
      <c r="F43" s="323"/>
      <c r="G43" s="324"/>
      <c r="H43" s="189" t="s">
        <v>73</v>
      </c>
      <c r="I43" s="119">
        <f>+Report1!Z11</f>
        <v>61.4</v>
      </c>
      <c r="J43" s="134">
        <f>+I43+'2'!J43</f>
        <v>178.4</v>
      </c>
      <c r="K43" s="131" t="s">
        <v>63</v>
      </c>
      <c r="L43" s="190"/>
    </row>
    <row r="44" spans="1:13" ht="17.45" customHeight="1">
      <c r="A44" s="765" t="s">
        <v>17</v>
      </c>
      <c r="B44" s="766"/>
      <c r="C44" s="165">
        <f>SUMIF($G$7:$G$31,"PLN",$F$7:$F$31)</f>
        <v>0</v>
      </c>
      <c r="D44" s="119">
        <f>+C44+'2'!D44</f>
        <v>0</v>
      </c>
      <c r="E44" s="144">
        <f t="shared" si="3"/>
        <v>0</v>
      </c>
      <c r="F44" s="323"/>
      <c r="G44" s="324"/>
      <c r="H44" s="189" t="s">
        <v>74</v>
      </c>
      <c r="I44" s="119">
        <f>I43/I38</f>
        <v>1.4662336421816793</v>
      </c>
      <c r="J44" s="135">
        <f>J43/J38</f>
        <v>1.5165167717914279</v>
      </c>
      <c r="K44" s="131" t="s">
        <v>63</v>
      </c>
    </row>
    <row r="45" spans="1:13" ht="17.45" customHeight="1">
      <c r="A45" s="765" t="s">
        <v>18</v>
      </c>
      <c r="B45" s="766"/>
      <c r="C45" s="165">
        <f>SUMIF($G$7:$G$31,"Boiler",$F$7:$F$31)</f>
        <v>0</v>
      </c>
      <c r="D45" s="119">
        <f>+C45+'2'!D45</f>
        <v>0</v>
      </c>
      <c r="E45" s="144">
        <f t="shared" si="3"/>
        <v>0</v>
      </c>
      <c r="F45" s="323"/>
      <c r="G45" s="326"/>
      <c r="H45" s="189" t="s">
        <v>75</v>
      </c>
      <c r="I45" s="119">
        <f>I43/I40</f>
        <v>1.5433727974260361</v>
      </c>
      <c r="J45" s="135">
        <f>J43/J40</f>
        <v>1.586652199434355</v>
      </c>
      <c r="K45" s="131" t="s">
        <v>63</v>
      </c>
    </row>
    <row r="46" spans="1:13" ht="17.45" customHeight="1">
      <c r="A46" s="765" t="s">
        <v>76</v>
      </c>
      <c r="B46" s="766"/>
      <c r="C46" s="165">
        <f>SUMIF($G$7:$G$31,"Gas",$F$7:$F$31)</f>
        <v>0</v>
      </c>
      <c r="D46" s="119">
        <f>+C46+'2'!D46</f>
        <v>0</v>
      </c>
      <c r="E46" s="144">
        <f t="shared" si="3"/>
        <v>0</v>
      </c>
      <c r="F46" s="323"/>
      <c r="G46" s="324"/>
      <c r="H46" s="189" t="s">
        <v>77</v>
      </c>
      <c r="I46" s="141">
        <f>+SUMIF(Listrik!P10,"&gt;0")</f>
        <v>37132.28</v>
      </c>
      <c r="J46" s="136">
        <f>+I46+'2'!J46</f>
        <v>108157.73999999945</v>
      </c>
      <c r="K46" s="131" t="s">
        <v>78</v>
      </c>
    </row>
    <row r="47" spans="1:13" ht="17.45" customHeight="1">
      <c r="A47" s="765" t="s">
        <v>79</v>
      </c>
      <c r="B47" s="766"/>
      <c r="C47" s="165">
        <f>SUMIF($G$7:$G$31,"Gas",$F$7:$F$31)</f>
        <v>0</v>
      </c>
      <c r="D47" s="119">
        <f>+C47+'2'!D47</f>
        <v>0</v>
      </c>
      <c r="E47" s="144">
        <f t="shared" si="3"/>
        <v>0</v>
      </c>
      <c r="F47" s="323"/>
      <c r="G47" s="324"/>
      <c r="H47" s="189" t="s">
        <v>80</v>
      </c>
      <c r="I47" s="119">
        <f>I46/I38</f>
        <v>886.71983952622031</v>
      </c>
      <c r="J47" s="136">
        <f>J46/J38</f>
        <v>919.41158469201662</v>
      </c>
      <c r="K47" s="131" t="s">
        <v>24</v>
      </c>
    </row>
    <row r="48" spans="1:13" ht="17.45" customHeight="1">
      <c r="A48" s="765" t="s">
        <v>14</v>
      </c>
      <c r="B48" s="766"/>
      <c r="C48" s="165">
        <f>SUMIF($G$7:$G$31,"Start Up",$F$7:$F$31)</f>
        <v>0</v>
      </c>
      <c r="D48" s="119">
        <f>+C48+'2'!D48</f>
        <v>0</v>
      </c>
      <c r="E48" s="144">
        <f t="shared" si="3"/>
        <v>0</v>
      </c>
      <c r="F48" s="323"/>
      <c r="G48" s="324"/>
      <c r="H48" s="189" t="s">
        <v>81</v>
      </c>
      <c r="I48" s="119">
        <f>I46/I40</f>
        <v>933.37053515320611</v>
      </c>
      <c r="J48" s="136">
        <f>J46/J40</f>
        <v>961.93226489264703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0</v>
      </c>
      <c r="D49" s="119">
        <f>+C49+'2'!D49</f>
        <v>301</v>
      </c>
      <c r="E49" s="144">
        <f t="shared" si="3"/>
        <v>5.0166666666666666</v>
      </c>
      <c r="F49" s="186"/>
      <c r="H49" s="189" t="s">
        <v>268</v>
      </c>
      <c r="I49" s="119">
        <f>+Report1!T11</f>
        <v>4079.1681570508636</v>
      </c>
      <c r="J49" s="136">
        <f>+I49+'2'!J49</f>
        <v>11777.572400840058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+C50+'2'!D50</f>
        <v>0</v>
      </c>
      <c r="E50" s="144">
        <f t="shared" si="3"/>
        <v>0</v>
      </c>
      <c r="F50" s="186"/>
      <c r="H50" s="189" t="s">
        <v>83</v>
      </c>
      <c r="I50" s="141">
        <f>I49/I38</f>
        <v>97.410644690296678</v>
      </c>
      <c r="J50" s="134">
        <f>J49/J38</f>
        <v>100.11707442187097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+C51+'2'!D51</f>
        <v>0</v>
      </c>
      <c r="E51" s="144">
        <f t="shared" si="3"/>
        <v>0</v>
      </c>
      <c r="F51" s="186"/>
      <c r="H51" s="191" t="s">
        <v>85</v>
      </c>
      <c r="I51" s="142">
        <f>I49/I40</f>
        <v>102.53545879020847</v>
      </c>
      <c r="J51" s="137">
        <f>J49/J40</f>
        <v>104.74725983066274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77</v>
      </c>
      <c r="D52" s="145">
        <f>SUM(D38:D51)</f>
        <v>506</v>
      </c>
      <c r="E52" s="146">
        <f>SUM(E38:E51)</f>
        <v>8.4333333333333336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5.347222222222222E-2</v>
      </c>
      <c r="D53" s="147">
        <f>D52/(24*60*G4)</f>
        <v>0.11712962962962963</v>
      </c>
      <c r="E53" s="148">
        <f>E52/(G4*24)</f>
        <v>0.11712962962962964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+D34+'2'!J56</f>
        <v>0</v>
      </c>
      <c r="K56" s="202">
        <f>J56/(J40+J56/1000)/1000</f>
        <v>0</v>
      </c>
    </row>
    <row r="57" spans="1:11">
      <c r="A57" s="177"/>
      <c r="I57" s="200" t="s">
        <v>88</v>
      </c>
      <c r="J57" s="201">
        <f>+E34+'2'!J57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7:A14"/>
    <mergeCell ref="I7:I13"/>
    <mergeCell ref="A15:A23"/>
    <mergeCell ref="I15:I22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7" right="0.16" top="0.17" bottom="0.16" header="0" footer="0"/>
  <pageSetup paperSize="9" scale="58" firstPageNumber="4294963191" orientation="landscape" r:id="rId1"/>
  <headerFooter alignWithMargins="0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topLeftCell="C1" zoomScale="80" zoomScaleNormal="75" zoomScaleSheetLayoutView="80" workbookViewId="0">
      <selection activeCell="H11" sqref="H11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5703125" style="150" bestFit="1" customWidth="1"/>
    <col min="5" max="5" width="13.85546875" style="150" bestFit="1" customWidth="1"/>
    <col min="6" max="6" width="11.7109375" style="111" customWidth="1"/>
    <col min="7" max="7" width="12.7109375" style="150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4" style="150" bestFit="1" customWidth="1"/>
    <col min="12" max="12" width="8.28515625" style="150" customWidth="1"/>
    <col min="13" max="13" width="14.42578125" style="150" bestFit="1" customWidth="1"/>
    <col min="14" max="16384" width="9.140625" style="150"/>
  </cols>
  <sheetData>
    <row r="1" spans="1:26" ht="15.75">
      <c r="A1" s="149"/>
    </row>
    <row r="2" spans="1:26" ht="15.75">
      <c r="A2" s="149" t="s">
        <v>182</v>
      </c>
    </row>
    <row r="3" spans="1:26" ht="15">
      <c r="A3" s="151"/>
    </row>
    <row r="4" spans="1:26" ht="20.25">
      <c r="A4" s="152" t="s">
        <v>3</v>
      </c>
      <c r="B4" s="153"/>
      <c r="F4" s="154" t="s">
        <v>29</v>
      </c>
      <c r="G4" s="155">
        <v>2</v>
      </c>
      <c r="H4" s="155" t="str">
        <f>+'1'!H4</f>
        <v>.07.25</v>
      </c>
      <c r="J4" s="150">
        <f>553+531+509</f>
        <v>1593</v>
      </c>
    </row>
    <row r="5" spans="1:26" ht="13.5" thickBot="1">
      <c r="C5" s="156"/>
      <c r="D5" s="156"/>
    </row>
    <row r="6" spans="1:26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404</v>
      </c>
      <c r="O6" s="150">
        <v>1230</v>
      </c>
      <c r="P6" s="150">
        <f>+O6-O6*0.23</f>
        <v>947.09999999999991</v>
      </c>
      <c r="Q6" s="150">
        <f>240+40</f>
        <v>280</v>
      </c>
      <c r="R6" s="150">
        <f>+O6*Q6</f>
        <v>344400</v>
      </c>
      <c r="S6" s="150">
        <f>+P6*Q6</f>
        <v>265188</v>
      </c>
      <c r="U6" s="150" t="s">
        <v>404</v>
      </c>
      <c r="V6" s="150">
        <v>1230</v>
      </c>
      <c r="W6" s="150">
        <f>+V6-V6*0.23</f>
        <v>947.09999999999991</v>
      </c>
      <c r="X6" s="150">
        <f>240+40</f>
        <v>280</v>
      </c>
      <c r="Y6" s="150">
        <f>+V6*X6</f>
        <v>344400</v>
      </c>
      <c r="Z6" s="150">
        <f>+W6*X6</f>
        <v>265188</v>
      </c>
    </row>
    <row r="7" spans="1:26" ht="13.5" customHeight="1" thickBot="1">
      <c r="A7" s="771" t="s">
        <v>421</v>
      </c>
      <c r="B7" s="216" t="s">
        <v>425</v>
      </c>
      <c r="C7" s="217">
        <v>10270</v>
      </c>
      <c r="D7" s="218"/>
      <c r="E7" s="219"/>
      <c r="F7" s="229">
        <v>6</v>
      </c>
      <c r="G7" s="557" t="s">
        <v>12</v>
      </c>
      <c r="H7" s="558" t="s">
        <v>394</v>
      </c>
      <c r="I7" s="774" t="s">
        <v>438</v>
      </c>
      <c r="J7" s="215" t="str">
        <f>+'1'!J7</f>
        <v>T 12,5 VP OW</v>
      </c>
      <c r="K7" s="239"/>
      <c r="L7" s="243"/>
      <c r="M7" s="118">
        <f>+K7+'1'!M7+L7</f>
        <v>21165</v>
      </c>
      <c r="O7" s="150">
        <v>1100</v>
      </c>
      <c r="P7" s="150">
        <f t="shared" ref="P7:P9" si="0">+O7-O7*0.23</f>
        <v>847</v>
      </c>
      <c r="Q7" s="150">
        <f>480-Q6-95</f>
        <v>105</v>
      </c>
      <c r="R7" s="150">
        <f>+O7*Q7</f>
        <v>115500</v>
      </c>
      <c r="S7" s="150">
        <f>+P7*Q7</f>
        <v>88935</v>
      </c>
      <c r="V7" s="150">
        <v>1100</v>
      </c>
      <c r="W7" s="150">
        <f t="shared" ref="W7" si="1">+V7-V7*0.23</f>
        <v>847</v>
      </c>
      <c r="X7" s="150">
        <f>480-X6-95</f>
        <v>105</v>
      </c>
      <c r="Y7" s="150">
        <f>+V7*X7</f>
        <v>115500</v>
      </c>
      <c r="Z7" s="150">
        <f>+W7*X7</f>
        <v>88935</v>
      </c>
    </row>
    <row r="8" spans="1:26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15" t="str">
        <f>+'1'!J8</f>
        <v>F 13 VP OW</v>
      </c>
      <c r="K8" s="240">
        <f>+C7+C16+C25</f>
        <v>35624</v>
      </c>
      <c r="L8" s="240"/>
      <c r="M8" s="118">
        <f>+K8+'1'!M8+L8</f>
        <v>49791</v>
      </c>
      <c r="P8" s="150">
        <f t="shared" si="0"/>
        <v>0</v>
      </c>
      <c r="R8" s="150">
        <f>+O8*Q8</f>
        <v>0</v>
      </c>
      <c r="S8" s="150">
        <f>+P8*Q8</f>
        <v>0</v>
      </c>
      <c r="V8" s="150">
        <v>1100</v>
      </c>
      <c r="W8" s="150">
        <v>847</v>
      </c>
      <c r="X8" s="150">
        <v>28</v>
      </c>
      <c r="Y8" s="150">
        <f>+V8*X8</f>
        <v>30800</v>
      </c>
      <c r="Z8" s="150">
        <f>+W8*X8</f>
        <v>23716</v>
      </c>
    </row>
    <row r="9" spans="1:26" ht="13.5" thickBot="1">
      <c r="A9" s="772"/>
      <c r="B9" s="216"/>
      <c r="C9" s="217"/>
      <c r="D9" s="218"/>
      <c r="E9" s="221"/>
      <c r="F9" s="229">
        <v>14</v>
      </c>
      <c r="G9" s="559" t="s">
        <v>12</v>
      </c>
      <c r="H9" s="234" t="s">
        <v>441</v>
      </c>
      <c r="I9" s="775"/>
      <c r="J9" s="215" t="s">
        <v>386</v>
      </c>
      <c r="K9" s="240">
        <f>+C26</f>
        <v>1699</v>
      </c>
      <c r="L9" s="240"/>
      <c r="M9" s="118">
        <f>+K9+'1'!M9+L9</f>
        <v>1699</v>
      </c>
      <c r="P9" s="150">
        <f t="shared" si="0"/>
        <v>0</v>
      </c>
      <c r="R9" s="150">
        <f>+O9*Q9</f>
        <v>0</v>
      </c>
      <c r="S9" s="150">
        <f>+P9*Q9</f>
        <v>0</v>
      </c>
      <c r="V9" s="150">
        <v>1230</v>
      </c>
      <c r="W9" s="150">
        <v>947.09999999999991</v>
      </c>
      <c r="X9" s="150">
        <v>410</v>
      </c>
      <c r="Y9" s="150">
        <f>+V9*X9</f>
        <v>504300</v>
      </c>
      <c r="Z9" s="150">
        <f>+W9*X9</f>
        <v>388310.99999999994</v>
      </c>
    </row>
    <row r="10" spans="1:26" ht="13.5" thickBot="1">
      <c r="A10" s="772"/>
      <c r="B10" s="216"/>
      <c r="C10" s="217"/>
      <c r="D10" s="218"/>
      <c r="E10" s="220"/>
      <c r="F10" s="229"/>
      <c r="G10" s="230"/>
      <c r="H10" s="560" t="s">
        <v>431</v>
      </c>
      <c r="I10" s="775"/>
      <c r="J10" s="215">
        <f>+'1'!J10</f>
        <v>0</v>
      </c>
      <c r="K10" s="240"/>
      <c r="L10" s="240"/>
      <c r="M10" s="118">
        <f>+K10+'1'!M10+L10</f>
        <v>0</v>
      </c>
      <c r="Q10" s="150">
        <f>SUM(Q6:Q9)</f>
        <v>385</v>
      </c>
      <c r="R10" s="150">
        <f t="shared" ref="R10:S10" si="2">SUM(R6:R9)</f>
        <v>459900</v>
      </c>
      <c r="S10" s="150">
        <f t="shared" si="2"/>
        <v>354123</v>
      </c>
      <c r="U10" s="150" t="s">
        <v>404</v>
      </c>
      <c r="V10" s="150">
        <v>1230</v>
      </c>
      <c r="W10" s="150">
        <v>947.09999999999991</v>
      </c>
      <c r="X10" s="150">
        <v>310</v>
      </c>
      <c r="Y10" s="150">
        <f>+V10*X10</f>
        <v>381300</v>
      </c>
      <c r="Z10" s="150">
        <f>+W10*X10</f>
        <v>293601</v>
      </c>
    </row>
    <row r="11" spans="1:26" ht="135" customHeight="1" thickBot="1">
      <c r="A11" s="772"/>
      <c r="B11" s="216"/>
      <c r="C11" s="217"/>
      <c r="D11" s="218"/>
      <c r="E11" s="220"/>
      <c r="F11" s="229">
        <v>95</v>
      </c>
      <c r="G11" s="233" t="s">
        <v>20</v>
      </c>
      <c r="H11" s="234" t="s">
        <v>432</v>
      </c>
      <c r="I11" s="775"/>
      <c r="J11" s="215">
        <f>+'1'!J11</f>
        <v>0</v>
      </c>
      <c r="K11" s="240"/>
      <c r="L11" s="240"/>
      <c r="M11" s="118">
        <f>+K11+'1'!M11+L11</f>
        <v>0</v>
      </c>
      <c r="P11" s="150" t="s">
        <v>402</v>
      </c>
      <c r="Q11" s="150">
        <f>480-Q10</f>
        <v>95</v>
      </c>
      <c r="R11" s="150">
        <f>+R10/Q10</f>
        <v>1194.5454545454545</v>
      </c>
      <c r="S11" s="150">
        <f>+S10/Q10</f>
        <v>919.8</v>
      </c>
      <c r="X11" s="150">
        <f>SUM(X6:X10)</f>
        <v>1133</v>
      </c>
      <c r="Y11" s="150">
        <f>SUM(Y6:Y10)</f>
        <v>1376300</v>
      </c>
      <c r="Z11" s="150">
        <f>SUM(Z6:Z10)</f>
        <v>1059751</v>
      </c>
    </row>
    <row r="12" spans="1:26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15">
        <f>+'1'!J12</f>
        <v>0</v>
      </c>
      <c r="K12" s="240"/>
      <c r="L12" s="240"/>
      <c r="M12" s="118">
        <f>+K12+'1'!M12+L12</f>
        <v>0</v>
      </c>
      <c r="Q12" s="177"/>
      <c r="R12" s="177"/>
      <c r="W12" s="150" t="s">
        <v>402</v>
      </c>
      <c r="Y12" s="150">
        <f>+Y11/X11</f>
        <v>1214.7396293027361</v>
      </c>
      <c r="Z12" s="150">
        <f>+Z11/X11</f>
        <v>935.34951456310682</v>
      </c>
    </row>
    <row r="13" spans="1:26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15">
        <f>+'1'!J13</f>
        <v>0</v>
      </c>
      <c r="K13" s="240"/>
      <c r="L13" s="240"/>
      <c r="M13" s="118">
        <f>+K13+'1'!M13+L13</f>
        <v>0</v>
      </c>
    </row>
    <row r="14" spans="1:26" ht="13.5" thickBot="1">
      <c r="A14" s="773"/>
      <c r="B14" s="166" t="s">
        <v>2</v>
      </c>
      <c r="C14" s="100">
        <f>SUM(C7:C13)</f>
        <v>10270</v>
      </c>
      <c r="D14" s="112">
        <f>SUM(D7:D13)</f>
        <v>0</v>
      </c>
      <c r="E14" s="113">
        <f>SUM(E5:E13)</f>
        <v>0</v>
      </c>
      <c r="F14" s="117">
        <f>SUM(F7:F13)</f>
        <v>115</v>
      </c>
      <c r="G14" s="160"/>
      <c r="H14" s="167"/>
      <c r="I14" s="168"/>
      <c r="J14" s="215">
        <f>+'1'!J14</f>
        <v>0</v>
      </c>
      <c r="K14" s="240"/>
      <c r="L14" s="240"/>
      <c r="M14" s="118">
        <f>+K14+'1'!M14+L14</f>
        <v>0</v>
      </c>
      <c r="N14" s="150" t="s">
        <v>404</v>
      </c>
      <c r="O14" s="150">
        <v>1230</v>
      </c>
      <c r="P14" s="150">
        <f>+O14-O14*0.23</f>
        <v>947.09999999999991</v>
      </c>
      <c r="R14" s="150">
        <f>+O14*Q14</f>
        <v>0</v>
      </c>
      <c r="S14" s="150">
        <f>+P14*Q14</f>
        <v>0</v>
      </c>
    </row>
    <row r="15" spans="1:26" ht="13.5" customHeight="1" thickBot="1">
      <c r="A15" s="771" t="s">
        <v>445</v>
      </c>
      <c r="B15" s="166"/>
      <c r="C15" s="114">
        <f>C14/($C$23+$D$23+$E$23)</f>
        <v>0.74865140691062837</v>
      </c>
      <c r="D15" s="115">
        <f>D14/($C$23+$D$23+$E$23)</f>
        <v>0</v>
      </c>
      <c r="E15" s="116">
        <f>E14/($C$23+$D$23+$E$23)</f>
        <v>0</v>
      </c>
      <c r="F15" s="229"/>
      <c r="G15" s="557" t="s">
        <v>12</v>
      </c>
      <c r="H15" s="558" t="s">
        <v>383</v>
      </c>
      <c r="I15" s="774" t="s">
        <v>439</v>
      </c>
      <c r="J15" s="215">
        <f>+'1'!J15</f>
        <v>0</v>
      </c>
      <c r="K15" s="240"/>
      <c r="L15" s="240"/>
      <c r="M15" s="118">
        <f>+K15+'1'!M15+L15</f>
        <v>0</v>
      </c>
      <c r="O15" s="150">
        <v>1100</v>
      </c>
      <c r="P15" s="150">
        <f t="shared" ref="P15:P17" si="3">+O15-O15*0.23</f>
        <v>847</v>
      </c>
      <c r="Q15" s="150">
        <f>60-42+10</f>
        <v>28</v>
      </c>
      <c r="R15" s="150">
        <f>+O15*Q15</f>
        <v>30800</v>
      </c>
      <c r="S15" s="150">
        <f>+P15*Q15</f>
        <v>23716</v>
      </c>
    </row>
    <row r="16" spans="1:26" ht="13.5" thickBot="1">
      <c r="A16" s="777"/>
      <c r="B16" s="216" t="s">
        <v>425</v>
      </c>
      <c r="C16" s="223">
        <v>13718</v>
      </c>
      <c r="D16" s="224"/>
      <c r="E16" s="225"/>
      <c r="F16" s="232"/>
      <c r="G16" s="559" t="s">
        <v>12</v>
      </c>
      <c r="H16" s="231" t="s">
        <v>408</v>
      </c>
      <c r="I16" s="775"/>
      <c r="J16" s="215">
        <f>+'1'!J16</f>
        <v>0</v>
      </c>
      <c r="K16" s="230"/>
      <c r="L16" s="230"/>
      <c r="M16" s="118">
        <f>+K16+'1'!M16+L16</f>
        <v>0</v>
      </c>
      <c r="O16" s="150">
        <v>1230</v>
      </c>
      <c r="P16" s="150">
        <f t="shared" si="3"/>
        <v>947.09999999999991</v>
      </c>
      <c r="Q16" s="150">
        <f>480-Q15-42</f>
        <v>410</v>
      </c>
      <c r="R16" s="150">
        <f>+O16*Q16</f>
        <v>504300</v>
      </c>
      <c r="S16" s="150">
        <f>+P16*Q16</f>
        <v>388310.99999999994</v>
      </c>
    </row>
    <row r="17" spans="1:19" ht="13.5" thickBot="1">
      <c r="A17" s="777"/>
      <c r="B17" s="216"/>
      <c r="C17" s="217"/>
      <c r="D17" s="218"/>
      <c r="E17" s="226"/>
      <c r="F17" s="229">
        <v>20</v>
      </c>
      <c r="G17" s="559" t="s">
        <v>12</v>
      </c>
      <c r="H17" s="234" t="s">
        <v>442</v>
      </c>
      <c r="I17" s="775"/>
      <c r="J17" s="215">
        <f>+'1'!J17</f>
        <v>0</v>
      </c>
      <c r="K17" s="230"/>
      <c r="L17" s="230"/>
      <c r="M17" s="118">
        <f>+K17+'1'!M17+L17</f>
        <v>0</v>
      </c>
      <c r="P17" s="150">
        <f t="shared" si="3"/>
        <v>0</v>
      </c>
      <c r="R17" s="150">
        <f>+O17*Q17</f>
        <v>0</v>
      </c>
      <c r="S17" s="150">
        <f>+P17*Q17</f>
        <v>0</v>
      </c>
    </row>
    <row r="18" spans="1:19" ht="26.25" thickBot="1">
      <c r="A18" s="777"/>
      <c r="B18" s="216"/>
      <c r="C18" s="217"/>
      <c r="D18" s="218"/>
      <c r="E18" s="226"/>
      <c r="F18" s="229"/>
      <c r="G18" s="230"/>
      <c r="H18" s="560" t="s">
        <v>433</v>
      </c>
      <c r="I18" s="775"/>
      <c r="J18" s="215">
        <f>+'1'!J18</f>
        <v>0</v>
      </c>
      <c r="K18" s="240"/>
      <c r="L18" s="240"/>
      <c r="M18" s="118">
        <f>+K18+'1'!M18+L18</f>
        <v>0</v>
      </c>
      <c r="Q18" s="150">
        <f>SUM(Q14:Q17)</f>
        <v>438</v>
      </c>
      <c r="R18" s="150">
        <f t="shared" ref="R18:S18" si="4">SUM(R14:R17)</f>
        <v>535100</v>
      </c>
      <c r="S18" s="150">
        <f t="shared" si="4"/>
        <v>412026.99999999994</v>
      </c>
    </row>
    <row r="19" spans="1:19" ht="90" thickBot="1">
      <c r="A19" s="777"/>
      <c r="B19" s="216"/>
      <c r="C19" s="217"/>
      <c r="D19" s="218"/>
      <c r="E19" s="226"/>
      <c r="F19" s="236">
        <v>42</v>
      </c>
      <c r="G19" s="233" t="s">
        <v>20</v>
      </c>
      <c r="H19" s="234" t="s">
        <v>434</v>
      </c>
      <c r="I19" s="775"/>
      <c r="J19" s="215">
        <f>+'1'!J19</f>
        <v>0</v>
      </c>
      <c r="K19" s="240"/>
      <c r="L19" s="240"/>
      <c r="M19" s="118">
        <f>+K19+'1'!M19+L19</f>
        <v>0</v>
      </c>
      <c r="P19" s="150" t="s">
        <v>402</v>
      </c>
      <c r="Q19" s="150">
        <f>480-Q18</f>
        <v>42</v>
      </c>
      <c r="R19" s="150">
        <f>+R18/Q18</f>
        <v>1221.6894977168949</v>
      </c>
      <c r="S19" s="150">
        <f>+S18/Q18</f>
        <v>940.70091324200905</v>
      </c>
    </row>
    <row r="20" spans="1:19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15">
        <f>+'1'!J20</f>
        <v>0</v>
      </c>
      <c r="K20" s="241"/>
      <c r="L20" s="241"/>
      <c r="M20" s="118">
        <f>+K20+'1'!M20+L20</f>
        <v>0</v>
      </c>
    </row>
    <row r="21" spans="1:19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15">
        <f>+'1'!J21</f>
        <v>0</v>
      </c>
      <c r="K21" s="240"/>
      <c r="L21" s="240"/>
      <c r="M21" s="118">
        <f>+K21+'1'!M21+L21</f>
        <v>0</v>
      </c>
    </row>
    <row r="22" spans="1:19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15">
        <f>+'1'!J22</f>
        <v>0</v>
      </c>
      <c r="K22" s="240"/>
      <c r="L22" s="240"/>
      <c r="M22" s="118">
        <f>+K22+'1'!M22+L22</f>
        <v>0</v>
      </c>
      <c r="N22" s="150" t="s">
        <v>404</v>
      </c>
      <c r="O22" s="150">
        <v>1230</v>
      </c>
      <c r="P22" s="150">
        <f>+O22-O22*0.23</f>
        <v>947.09999999999991</v>
      </c>
      <c r="Q22" s="150">
        <f>60*5+10</f>
        <v>310</v>
      </c>
      <c r="R22" s="150">
        <f>+O22*Q22</f>
        <v>381300</v>
      </c>
      <c r="S22" s="150">
        <f>+P22*Q22</f>
        <v>293601</v>
      </c>
    </row>
    <row r="23" spans="1:19" ht="13.5" thickBot="1">
      <c r="A23" s="778"/>
      <c r="B23" s="169" t="s">
        <v>2</v>
      </c>
      <c r="C23" s="101">
        <f>SUM(C16:C22)</f>
        <v>13718</v>
      </c>
      <c r="D23" s="112">
        <f>SUM(D16:D22)</f>
        <v>0</v>
      </c>
      <c r="E23" s="113">
        <f>SUM(E18:E22)</f>
        <v>0</v>
      </c>
      <c r="F23" s="117">
        <f>SUM(F15:F22)</f>
        <v>62</v>
      </c>
      <c r="G23" s="160"/>
      <c r="H23" s="167"/>
      <c r="I23" s="170"/>
      <c r="J23" s="215">
        <f>+'1'!J23</f>
        <v>0</v>
      </c>
      <c r="K23" s="240"/>
      <c r="L23" s="240"/>
      <c r="M23" s="118">
        <f>+K23+'1'!M23+L23</f>
        <v>0</v>
      </c>
      <c r="N23" s="150" t="s">
        <v>437</v>
      </c>
      <c r="O23" s="150">
        <v>1230</v>
      </c>
      <c r="P23" s="150">
        <f t="shared" ref="P23:P25" si="5">+O23-O23*0.23</f>
        <v>947.09999999999991</v>
      </c>
      <c r="Q23" s="150">
        <f>480-Q22</f>
        <v>170</v>
      </c>
      <c r="R23" s="150">
        <f>+O23*Q23</f>
        <v>209100</v>
      </c>
      <c r="S23" s="150">
        <f>+P23*Q23</f>
        <v>161006.99999999997</v>
      </c>
    </row>
    <row r="24" spans="1:19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406</v>
      </c>
      <c r="J24" s="215">
        <f>+'1'!J24</f>
        <v>0</v>
      </c>
      <c r="K24" s="240"/>
      <c r="L24" s="240"/>
      <c r="M24" s="118">
        <f>+K24+'1'!M24+L24</f>
        <v>0</v>
      </c>
      <c r="P24" s="150">
        <f t="shared" si="5"/>
        <v>0</v>
      </c>
      <c r="R24" s="150">
        <f>+O24*Q24</f>
        <v>0</v>
      </c>
      <c r="S24" s="150">
        <f>+P24*Q24</f>
        <v>0</v>
      </c>
    </row>
    <row r="25" spans="1:19" ht="13.5" thickBot="1">
      <c r="A25" s="777"/>
      <c r="B25" s="216" t="s">
        <v>425</v>
      </c>
      <c r="C25" s="227">
        <f>2203+9433</f>
        <v>11636</v>
      </c>
      <c r="D25" s="218"/>
      <c r="E25" s="226"/>
      <c r="F25" s="232">
        <v>8</v>
      </c>
      <c r="G25" s="559" t="s">
        <v>12</v>
      </c>
      <c r="H25" s="231" t="s">
        <v>385</v>
      </c>
      <c r="I25" s="775"/>
      <c r="J25" s="215">
        <f>+'1'!J25</f>
        <v>0</v>
      </c>
      <c r="K25" s="240"/>
      <c r="L25" s="240"/>
      <c r="M25" s="118">
        <f>+K25+'1'!M25+L25</f>
        <v>0</v>
      </c>
      <c r="P25" s="150">
        <f t="shared" si="5"/>
        <v>0</v>
      </c>
      <c r="R25" s="150">
        <f>+O25*Q25</f>
        <v>0</v>
      </c>
      <c r="S25" s="150">
        <f>+P25*Q25</f>
        <v>0</v>
      </c>
    </row>
    <row r="26" spans="1:19" ht="13.5" thickBot="1">
      <c r="A26" s="777"/>
      <c r="B26" s="216" t="s">
        <v>386</v>
      </c>
      <c r="C26" s="227">
        <f>13335-C25</f>
        <v>1699</v>
      </c>
      <c r="D26" s="218"/>
      <c r="E26" s="228"/>
      <c r="F26" s="229">
        <v>10</v>
      </c>
      <c r="G26" s="559" t="s">
        <v>12</v>
      </c>
      <c r="H26" s="234" t="s">
        <v>409</v>
      </c>
      <c r="I26" s="775"/>
      <c r="J26" s="215">
        <f>+'1'!J26</f>
        <v>0</v>
      </c>
      <c r="K26" s="240"/>
      <c r="L26" s="240"/>
      <c r="M26" s="118">
        <f>+K26+'1'!M26+L26</f>
        <v>0</v>
      </c>
      <c r="Q26" s="150">
        <f>SUM(Q22:Q25)</f>
        <v>480</v>
      </c>
      <c r="R26" s="150">
        <f t="shared" ref="R26:S26" si="6">SUM(R22:R25)</f>
        <v>590400</v>
      </c>
      <c r="S26" s="150">
        <f t="shared" si="6"/>
        <v>454608</v>
      </c>
    </row>
    <row r="27" spans="1:19" ht="13.5" thickBot="1">
      <c r="A27" s="777"/>
      <c r="B27" s="216"/>
      <c r="C27" s="217"/>
      <c r="D27" s="218"/>
      <c r="E27" s="226"/>
      <c r="F27" s="229"/>
      <c r="G27" s="230"/>
      <c r="H27" s="560" t="s">
        <v>435</v>
      </c>
      <c r="I27" s="775"/>
      <c r="J27" s="215">
        <f>+'1'!J27</f>
        <v>0</v>
      </c>
      <c r="K27" s="240"/>
      <c r="L27" s="240"/>
      <c r="M27" s="118">
        <f>+K27+'1'!M27+L27</f>
        <v>0</v>
      </c>
      <c r="P27" s="150" t="s">
        <v>402</v>
      </c>
      <c r="Q27" s="150">
        <f>480-Q26</f>
        <v>0</v>
      </c>
      <c r="R27" s="150">
        <f>+R26/Q26</f>
        <v>1230</v>
      </c>
      <c r="S27" s="150">
        <f>+S26/Q26</f>
        <v>947.1</v>
      </c>
    </row>
    <row r="28" spans="1:19" ht="13.5" thickBot="1">
      <c r="A28" s="777"/>
      <c r="B28" s="216"/>
      <c r="C28" s="217"/>
      <c r="D28" s="218"/>
      <c r="E28" s="226"/>
      <c r="F28" s="232"/>
      <c r="G28" s="233"/>
      <c r="H28" s="234" t="s">
        <v>436</v>
      </c>
      <c r="I28" s="775"/>
      <c r="J28" s="215">
        <f>+'1'!J28</f>
        <v>0</v>
      </c>
      <c r="K28" s="240"/>
      <c r="L28" s="240"/>
      <c r="M28" s="118">
        <f>+K28+'1'!M28+L28</f>
        <v>0</v>
      </c>
    </row>
    <row r="29" spans="1:19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15">
        <f>+'1'!J29</f>
        <v>0</v>
      </c>
      <c r="K29" s="240"/>
      <c r="L29" s="240"/>
      <c r="M29" s="118">
        <f>+K29+'1'!M29+L29</f>
        <v>0</v>
      </c>
    </row>
    <row r="30" spans="1:19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15">
        <f>+'1'!J30</f>
        <v>0</v>
      </c>
      <c r="K30" s="240"/>
      <c r="L30" s="240"/>
      <c r="M30" s="118">
        <f>+K30+'1'!M30+L30</f>
        <v>0</v>
      </c>
    </row>
    <row r="31" spans="1:19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15">
        <f>+'1'!J31</f>
        <v>0</v>
      </c>
      <c r="K31" s="240"/>
      <c r="L31" s="240"/>
      <c r="M31" s="118">
        <f>+K31+'1'!M31+L31</f>
        <v>0</v>
      </c>
    </row>
    <row r="32" spans="1:19" ht="13.5" thickBot="1">
      <c r="A32" s="778"/>
      <c r="B32" s="166" t="s">
        <v>2</v>
      </c>
      <c r="C32" s="100">
        <f>SUM(C25:C31)</f>
        <v>13335</v>
      </c>
      <c r="D32" s="101">
        <f>SUM(D25:D31)</f>
        <v>0</v>
      </c>
      <c r="E32" s="102">
        <f>SUM(E25:E31)</f>
        <v>0</v>
      </c>
      <c r="F32" s="103">
        <f>SUM(F24:F31)</f>
        <v>18</v>
      </c>
      <c r="G32" s="172"/>
      <c r="H32" s="173"/>
      <c r="I32" s="170"/>
      <c r="J32" s="215">
        <f>+'1'!J32</f>
        <v>0</v>
      </c>
      <c r="K32" s="242"/>
      <c r="L32" s="244"/>
      <c r="M32" s="118">
        <f>+K32+'1'!M32+L32</f>
        <v>0</v>
      </c>
      <c r="N32" s="150" t="s">
        <v>404</v>
      </c>
      <c r="O32" s="150">
        <v>1214.7396293027361</v>
      </c>
      <c r="P32" s="177">
        <v>935.34951456310682</v>
      </c>
      <c r="Q32" s="177">
        <v>1133</v>
      </c>
      <c r="R32" s="177"/>
    </row>
    <row r="33" spans="1:18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N33" s="150" t="s">
        <v>437</v>
      </c>
      <c r="O33" s="150">
        <v>1230</v>
      </c>
      <c r="P33" s="150">
        <v>947.09999999999991</v>
      </c>
      <c r="Q33" s="177">
        <v>170</v>
      </c>
      <c r="R33" s="177"/>
    </row>
    <row r="34" spans="1:18" ht="13.5" thickBot="1">
      <c r="A34" s="767" t="s">
        <v>57</v>
      </c>
      <c r="B34" s="768"/>
      <c r="C34" s="108">
        <f>C14+C23+C32</f>
        <v>37323</v>
      </c>
      <c r="D34" s="108">
        <f>D14+D23+D32</f>
        <v>0</v>
      </c>
      <c r="E34" s="108">
        <f>E14+E23+E32</f>
        <v>0</v>
      </c>
      <c r="F34" s="109">
        <f>F14+F23+F32</f>
        <v>195</v>
      </c>
      <c r="H34" s="179"/>
      <c r="I34" s="179"/>
      <c r="J34" s="124" t="s">
        <v>28</v>
      </c>
      <c r="K34" s="125">
        <f>SUM(K7:K32)</f>
        <v>37323</v>
      </c>
      <c r="L34" s="213">
        <f>SUM(L7:L32)</f>
        <v>0</v>
      </c>
      <c r="M34" s="121">
        <f>SUM(M7:M32)</f>
        <v>72655</v>
      </c>
      <c r="Q34" s="150">
        <f>SUM(Q32:Q33)</f>
        <v>1303</v>
      </c>
    </row>
    <row r="35" spans="1:18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8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8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323"/>
      <c r="G37" s="325"/>
      <c r="H37" s="187" t="s">
        <v>62</v>
      </c>
      <c r="I37" s="245">
        <f>(13*1133+170*12)/1303*G42*2.74*1303/1000000</f>
        <v>43.047000054858024</v>
      </c>
      <c r="J37" s="126">
        <f>+I37+'1'!J37</f>
        <v>84.798118496347982</v>
      </c>
      <c r="K37" s="127" t="s">
        <v>63</v>
      </c>
      <c r="N37" s="150">
        <v>385</v>
      </c>
    </row>
    <row r="38" spans="1:18" ht="17.45" customHeight="1">
      <c r="A38" s="761" t="s">
        <v>12</v>
      </c>
      <c r="B38" s="762"/>
      <c r="C38" s="165">
        <f>SUMIF($G$7:$G$31,"Process",$F$7:$F$31)</f>
        <v>58</v>
      </c>
      <c r="D38" s="119">
        <f>+C38+'1'!D38</f>
        <v>128</v>
      </c>
      <c r="E38" s="144">
        <f t="shared" ref="E38:E51" si="7">D38/60</f>
        <v>2.1333333333333333</v>
      </c>
      <c r="F38" s="323">
        <v>1194.5454545454545</v>
      </c>
      <c r="G38" s="323">
        <v>919.8</v>
      </c>
      <c r="H38" s="188" t="s">
        <v>64</v>
      </c>
      <c r="I38" s="246">
        <f>12.747+12.816+13.507</f>
        <v>39.07</v>
      </c>
      <c r="J38" s="128">
        <f>+I38+'1'!J38</f>
        <v>75.762</v>
      </c>
      <c r="K38" s="129" t="s">
        <v>63</v>
      </c>
      <c r="N38" s="150">
        <v>438</v>
      </c>
    </row>
    <row r="39" spans="1:18" ht="17.45" customHeight="1">
      <c r="A39" s="765" t="s">
        <v>13</v>
      </c>
      <c r="B39" s="766"/>
      <c r="C39" s="165">
        <f>SUMIF($G$7:$G$31,"Cleaning",$F$7:$F$31)</f>
        <v>0</v>
      </c>
      <c r="D39" s="119">
        <f>+C39+'1'!D39</f>
        <v>0</v>
      </c>
      <c r="E39" s="144">
        <f t="shared" si="7"/>
        <v>0</v>
      </c>
      <c r="F39" s="323">
        <v>1221.6894977168949</v>
      </c>
      <c r="G39" s="323">
        <v>940.70091324200905</v>
      </c>
      <c r="H39" s="188" t="s">
        <v>65</v>
      </c>
      <c r="I39" s="143"/>
      <c r="J39" s="130">
        <f>J37/G4</f>
        <v>42.399059248173991</v>
      </c>
      <c r="K39" s="131" t="s">
        <v>63</v>
      </c>
      <c r="N39" s="150">
        <v>480</v>
      </c>
    </row>
    <row r="40" spans="1:18" ht="17.45" customHeight="1">
      <c r="A40" s="765" t="s">
        <v>66</v>
      </c>
      <c r="B40" s="766"/>
      <c r="C40" s="165">
        <f>SUMIF($G$7:$G$31,"Mechanical",$F$7:$F$31)</f>
        <v>0</v>
      </c>
      <c r="D40" s="119">
        <f>+C40+'1'!D40</f>
        <v>0</v>
      </c>
      <c r="E40" s="144">
        <f t="shared" si="7"/>
        <v>0</v>
      </c>
      <c r="F40" s="323">
        <v>1230</v>
      </c>
      <c r="G40" s="323">
        <v>947.1</v>
      </c>
      <c r="H40" s="188" t="s">
        <v>67</v>
      </c>
      <c r="I40" s="119">
        <f>(K34+L34)/1000</f>
        <v>37.323</v>
      </c>
      <c r="J40" s="132">
        <f>+I40+'1'!J40</f>
        <v>72.655000000000001</v>
      </c>
      <c r="K40" s="131" t="s">
        <v>63</v>
      </c>
      <c r="N40" s="150">
        <f>SUM(N37:N39)</f>
        <v>1303</v>
      </c>
    </row>
    <row r="41" spans="1:18" ht="17.45" customHeight="1">
      <c r="A41" s="765" t="s">
        <v>68</v>
      </c>
      <c r="B41" s="766"/>
      <c r="C41" s="165">
        <f>SUMIF($G$7:$G$31,"Electrical",$F$7:$F$31)</f>
        <v>0</v>
      </c>
      <c r="D41" s="119">
        <f>+C41+'1'!D41</f>
        <v>0</v>
      </c>
      <c r="E41" s="144">
        <f t="shared" si="7"/>
        <v>0</v>
      </c>
      <c r="F41" s="323"/>
      <c r="G41" s="323"/>
      <c r="H41" s="188" t="s">
        <v>69</v>
      </c>
      <c r="I41" s="143"/>
      <c r="J41" s="130">
        <f>J40/G4</f>
        <v>36.327500000000001</v>
      </c>
      <c r="K41" s="131" t="s">
        <v>63</v>
      </c>
    </row>
    <row r="42" spans="1:18" ht="17.45" customHeight="1">
      <c r="A42" s="765" t="s">
        <v>16</v>
      </c>
      <c r="B42" s="766"/>
      <c r="C42" s="165">
        <f>SUMIF($G$7:$G$31,"Instrument",$F$7:$F$31)</f>
        <v>0</v>
      </c>
      <c r="D42" s="119">
        <f>+C42+'1'!D42</f>
        <v>0</v>
      </c>
      <c r="E42" s="144">
        <f t="shared" si="7"/>
        <v>0</v>
      </c>
      <c r="F42" s="323">
        <f>+(385*F38+438*F39+480*F40)/1303</f>
        <v>1216.7306216423638</v>
      </c>
      <c r="G42" s="323">
        <f>+(385*G38+438*G39+480*G40)/1303</f>
        <v>936.88257866462015</v>
      </c>
      <c r="H42" s="188" t="s">
        <v>70</v>
      </c>
      <c r="I42" s="247" t="s">
        <v>440</v>
      </c>
      <c r="J42" s="133"/>
      <c r="K42" s="131" t="s">
        <v>71</v>
      </c>
    </row>
    <row r="43" spans="1:18" ht="17.45" customHeight="1">
      <c r="A43" s="765" t="s">
        <v>72</v>
      </c>
      <c r="B43" s="766"/>
      <c r="C43" s="165">
        <f>SUMIF($G$7:$G$31,"Water",$F$7:$F$31)</f>
        <v>0</v>
      </c>
      <c r="D43" s="119">
        <f>+C43+'1'!D43</f>
        <v>0</v>
      </c>
      <c r="E43" s="144">
        <f t="shared" si="7"/>
        <v>0</v>
      </c>
      <c r="F43" s="323"/>
      <c r="G43" s="324"/>
      <c r="H43" s="189" t="s">
        <v>73</v>
      </c>
      <c r="I43" s="119">
        <f>+Report1!Z10</f>
        <v>59.3</v>
      </c>
      <c r="J43" s="134">
        <f>+I43+'1'!J43</f>
        <v>117</v>
      </c>
      <c r="K43" s="131" t="s">
        <v>63</v>
      </c>
      <c r="L43" s="190"/>
    </row>
    <row r="44" spans="1:18" ht="17.45" customHeight="1">
      <c r="A44" s="765" t="s">
        <v>17</v>
      </c>
      <c r="B44" s="766"/>
      <c r="C44" s="165">
        <f>SUMIF($G$7:$G$31,"PLN",$F$7:$F$31)</f>
        <v>0</v>
      </c>
      <c r="D44" s="119">
        <f>+C44+'1'!D44</f>
        <v>0</v>
      </c>
      <c r="E44" s="144">
        <f t="shared" si="7"/>
        <v>0</v>
      </c>
      <c r="F44" s="323"/>
      <c r="G44" s="324"/>
      <c r="H44" s="189" t="s">
        <v>74</v>
      </c>
      <c r="I44" s="119">
        <f>I43/I38</f>
        <v>1.5177885845917582</v>
      </c>
      <c r="J44" s="135">
        <f>J43/J38</f>
        <v>1.5443098123069612</v>
      </c>
      <c r="K44" s="131" t="s">
        <v>63</v>
      </c>
    </row>
    <row r="45" spans="1:18" ht="17.45" customHeight="1">
      <c r="A45" s="765" t="s">
        <v>18</v>
      </c>
      <c r="B45" s="766"/>
      <c r="C45" s="165">
        <f>SUMIF($G$7:$G$31,"Boiler",$F$7:$F$31)</f>
        <v>0</v>
      </c>
      <c r="D45" s="119">
        <f>+C45+'1'!D45</f>
        <v>0</v>
      </c>
      <c r="E45" s="144">
        <f t="shared" si="7"/>
        <v>0</v>
      </c>
      <c r="F45" s="323"/>
      <c r="G45" s="326"/>
      <c r="H45" s="189" t="s">
        <v>75</v>
      </c>
      <c r="I45" s="119">
        <f>I43/I40</f>
        <v>1.5888326233153818</v>
      </c>
      <c r="J45" s="135">
        <f>J43/J40</f>
        <v>1.6103502855963112</v>
      </c>
      <c r="K45" s="131" t="s">
        <v>63</v>
      </c>
    </row>
    <row r="46" spans="1:18" ht="17.45" customHeight="1">
      <c r="A46" s="765" t="s">
        <v>76</v>
      </c>
      <c r="B46" s="766"/>
      <c r="C46" s="165">
        <f>SUMIF($G$7:$G$31,"Gas",$F$7:$F$31)</f>
        <v>0</v>
      </c>
      <c r="D46" s="119">
        <f>+C46+'1'!D46</f>
        <v>0</v>
      </c>
      <c r="E46" s="144">
        <f t="shared" si="7"/>
        <v>0</v>
      </c>
      <c r="F46" s="323"/>
      <c r="G46" s="324"/>
      <c r="H46" s="189" t="s">
        <v>77</v>
      </c>
      <c r="I46" s="141">
        <f>+SUMIF(Listrik!P9,"&gt;0")</f>
        <v>34580.39999999982</v>
      </c>
      <c r="J46" s="136">
        <f>+I46+'1'!J46</f>
        <v>71025.459999999453</v>
      </c>
      <c r="K46" s="131" t="s">
        <v>78</v>
      </c>
    </row>
    <row r="47" spans="1:18" ht="17.45" customHeight="1">
      <c r="A47" s="765" t="s">
        <v>79</v>
      </c>
      <c r="B47" s="766"/>
      <c r="C47" s="165">
        <f>SUMIF($G$7:$G$31,"Gas",$F$7:$F$31)</f>
        <v>0</v>
      </c>
      <c r="D47" s="119">
        <f>+C47+'1'!D47</f>
        <v>0</v>
      </c>
      <c r="E47" s="144">
        <f t="shared" si="7"/>
        <v>0</v>
      </c>
      <c r="F47" s="323"/>
      <c r="G47" s="324"/>
      <c r="H47" s="189" t="s">
        <v>80</v>
      </c>
      <c r="I47" s="119">
        <f>I46/I38</f>
        <v>885.08830304581056</v>
      </c>
      <c r="J47" s="136">
        <f>J46/J38</f>
        <v>937.48132309072423</v>
      </c>
      <c r="K47" s="131" t="s">
        <v>24</v>
      </c>
    </row>
    <row r="48" spans="1:18" ht="17.45" customHeight="1">
      <c r="A48" s="765" t="s">
        <v>14</v>
      </c>
      <c r="B48" s="766"/>
      <c r="C48" s="165">
        <f>SUMIF($G$7:$G$31,"Start Up",$F$7:$F$31)</f>
        <v>0</v>
      </c>
      <c r="D48" s="119">
        <f>+C48+'1'!D48</f>
        <v>0</v>
      </c>
      <c r="E48" s="144">
        <f t="shared" si="7"/>
        <v>0</v>
      </c>
      <c r="F48" s="323"/>
      <c r="G48" s="324"/>
      <c r="H48" s="189" t="s">
        <v>81</v>
      </c>
      <c r="I48" s="119">
        <f>I46/I40</f>
        <v>926.51716099991472</v>
      </c>
      <c r="J48" s="136">
        <f>J46/J40</f>
        <v>977.57153671460264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137</v>
      </c>
      <c r="D49" s="119">
        <f>+C49+'1'!D49</f>
        <v>301</v>
      </c>
      <c r="E49" s="144">
        <f t="shared" si="7"/>
        <v>5.0166666666666666</v>
      </c>
      <c r="F49" s="186"/>
      <c r="H49" s="189" t="s">
        <v>268</v>
      </c>
      <c r="I49" s="119">
        <f>+Report1!T10</f>
        <v>3750.9815206658195</v>
      </c>
      <c r="J49" s="136">
        <f>+I49+'1'!J49</f>
        <v>7698.4042437891949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>+C50+'1'!D50</f>
        <v>0</v>
      </c>
      <c r="E50" s="144">
        <f t="shared" si="7"/>
        <v>0</v>
      </c>
      <c r="F50" s="186"/>
      <c r="H50" s="189" t="s">
        <v>83</v>
      </c>
      <c r="I50" s="141">
        <v>0</v>
      </c>
      <c r="J50" s="134">
        <f>J49/J38</f>
        <v>101.61300181871115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>+C51+'1'!D51</f>
        <v>0</v>
      </c>
      <c r="E51" s="144">
        <f t="shared" si="7"/>
        <v>0</v>
      </c>
      <c r="F51" s="186"/>
      <c r="H51" s="191" t="s">
        <v>85</v>
      </c>
      <c r="I51" s="142">
        <f>I49/I40</f>
        <v>100.50053641630682</v>
      </c>
      <c r="J51" s="137">
        <f>J49/J40</f>
        <v>105.95835446685287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195</v>
      </c>
      <c r="D52" s="145">
        <f>SUM(D38:D51)</f>
        <v>429</v>
      </c>
      <c r="E52" s="146">
        <f>SUM(E38:E51)</f>
        <v>7.15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0.13541666666666666</v>
      </c>
      <c r="D53" s="147">
        <f>D52/(24*60*G4)</f>
        <v>0.14895833333333333</v>
      </c>
      <c r="E53" s="148">
        <f>E52/(G4*24)</f>
        <v>0.14895833333333333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+D34+'1'!J56</f>
        <v>0</v>
      </c>
      <c r="K56" s="202">
        <f>J56/(J40+J56/1000)/1000</f>
        <v>0</v>
      </c>
    </row>
    <row r="57" spans="1:11">
      <c r="A57" s="177"/>
      <c r="I57" s="200" t="s">
        <v>88</v>
      </c>
      <c r="J57" s="201">
        <f>+E34+'1'!J57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I7:I13"/>
    <mergeCell ref="I15:I22"/>
    <mergeCell ref="A7:A14"/>
    <mergeCell ref="A15:A23"/>
    <mergeCell ref="A24:A32"/>
    <mergeCell ref="I24:I31"/>
    <mergeCell ref="A34:B3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1:B51"/>
    <mergeCell ref="A52:B52"/>
    <mergeCell ref="A53:B53"/>
    <mergeCell ref="A46:B46"/>
    <mergeCell ref="A47:B47"/>
    <mergeCell ref="A48:B48"/>
    <mergeCell ref="A49:B49"/>
    <mergeCell ref="A50:B50"/>
  </mergeCells>
  <phoneticPr fontId="32" type="noConversion"/>
  <printOptions horizontalCentered="1"/>
  <pageMargins left="0.17" right="0.16" top="0.17" bottom="0.16" header="0" footer="0"/>
  <pageSetup paperSize="9" scale="62" firstPageNumber="4294963191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1"/>
  <sheetViews>
    <sheetView view="pageBreakPreview" topLeftCell="B4" zoomScale="80" zoomScaleNormal="75" zoomScaleSheetLayoutView="80" workbookViewId="0">
      <selection activeCell="H18" sqref="H18"/>
    </sheetView>
  </sheetViews>
  <sheetFormatPr defaultColWidth="9.140625" defaultRowHeight="12.75"/>
  <cols>
    <col min="1" max="1" width="8" style="150" customWidth="1"/>
    <col min="2" max="2" width="7" style="150" bestFit="1" customWidth="1"/>
    <col min="3" max="3" width="14.85546875" style="150" bestFit="1" customWidth="1"/>
    <col min="4" max="4" width="12.7109375" style="150" bestFit="1" customWidth="1"/>
    <col min="5" max="5" width="13.85546875" style="150" bestFit="1" customWidth="1"/>
    <col min="6" max="6" width="12.140625" style="111" bestFit="1" customWidth="1"/>
    <col min="7" max="7" width="13.5703125" style="150" customWidth="1"/>
    <col min="8" max="8" width="64.85546875" style="150" customWidth="1"/>
    <col min="9" max="9" width="14.7109375" style="150" bestFit="1" customWidth="1"/>
    <col min="10" max="10" width="14.7109375" style="150" customWidth="1"/>
    <col min="11" max="11" width="14" style="150" bestFit="1" customWidth="1"/>
    <col min="12" max="12" width="8.28515625" style="150" customWidth="1"/>
    <col min="13" max="13" width="14.42578125" style="150" bestFit="1" customWidth="1"/>
    <col min="14" max="16384" width="9.140625" style="150"/>
  </cols>
  <sheetData>
    <row r="1" spans="1:26" ht="15.75">
      <c r="A1" s="149"/>
    </row>
    <row r="2" spans="1:26" ht="15.75">
      <c r="A2" s="149" t="s">
        <v>182</v>
      </c>
    </row>
    <row r="3" spans="1:26" ht="15">
      <c r="A3" s="151"/>
    </row>
    <row r="4" spans="1:26" ht="20.25">
      <c r="A4" s="152" t="s">
        <v>3</v>
      </c>
      <c r="B4" s="153"/>
      <c r="F4" s="154" t="s">
        <v>29</v>
      </c>
      <c r="G4" s="155">
        <v>1</v>
      </c>
      <c r="H4" s="155" t="s">
        <v>395</v>
      </c>
      <c r="J4" s="150">
        <f>720+612+601</f>
        <v>1933</v>
      </c>
    </row>
    <row r="5" spans="1:26" ht="13.5" thickBot="1">
      <c r="C5" s="156"/>
      <c r="D5" s="156"/>
    </row>
    <row r="6" spans="1:26" ht="26.25" thickBot="1">
      <c r="A6" s="157" t="s">
        <v>47</v>
      </c>
      <c r="B6" s="158" t="s">
        <v>9</v>
      </c>
      <c r="C6" s="158" t="s">
        <v>48</v>
      </c>
      <c r="D6" s="158" t="s">
        <v>49</v>
      </c>
      <c r="E6" s="159" t="s">
        <v>50</v>
      </c>
      <c r="F6" s="103" t="s">
        <v>51</v>
      </c>
      <c r="G6" s="158" t="s">
        <v>52</v>
      </c>
      <c r="H6" s="160" t="s">
        <v>53</v>
      </c>
      <c r="I6" s="161" t="s">
        <v>54</v>
      </c>
      <c r="J6" s="162" t="s">
        <v>9</v>
      </c>
      <c r="K6" s="163" t="s">
        <v>55</v>
      </c>
      <c r="L6" s="211" t="s">
        <v>142</v>
      </c>
      <c r="M6" s="164" t="s">
        <v>56</v>
      </c>
      <c r="N6" s="150" t="s">
        <v>401</v>
      </c>
      <c r="O6" s="150">
        <v>1230</v>
      </c>
      <c r="P6" s="150">
        <f>+O6-O6*0.23</f>
        <v>947.09999999999991</v>
      </c>
      <c r="Q6" s="150">
        <f>60*2+50</f>
        <v>170</v>
      </c>
      <c r="R6" s="150">
        <f>+O6*Q6</f>
        <v>209100</v>
      </c>
      <c r="S6" s="150">
        <f>+P6*Q6</f>
        <v>161006.99999999997</v>
      </c>
      <c r="U6" s="150" t="s">
        <v>401</v>
      </c>
      <c r="V6" s="150">
        <v>1230</v>
      </c>
      <c r="W6" s="150">
        <f>+V6-V6*0.23</f>
        <v>947.09999999999991</v>
      </c>
      <c r="X6" s="150">
        <f>60*2+50</f>
        <v>170</v>
      </c>
      <c r="Y6" s="150">
        <f>+V6*X6</f>
        <v>209100</v>
      </c>
      <c r="Z6" s="150">
        <f>+W6*X6</f>
        <v>161006.99999999997</v>
      </c>
    </row>
    <row r="7" spans="1:26" ht="13.5" customHeight="1" thickBot="1">
      <c r="A7" s="771" t="s">
        <v>421</v>
      </c>
      <c r="B7" s="216" t="s">
        <v>424</v>
      </c>
      <c r="C7" s="217">
        <v>12173</v>
      </c>
      <c r="D7" s="218"/>
      <c r="E7" s="219"/>
      <c r="F7" s="229">
        <v>9</v>
      </c>
      <c r="G7" s="557" t="s">
        <v>12</v>
      </c>
      <c r="H7" s="558" t="s">
        <v>394</v>
      </c>
      <c r="I7" s="774" t="s">
        <v>403</v>
      </c>
      <c r="J7" s="250" t="s">
        <v>424</v>
      </c>
      <c r="K7" s="239">
        <f>+C7+C16</f>
        <v>21165</v>
      </c>
      <c r="L7" s="243"/>
      <c r="M7" s="118">
        <f>+K7+L7</f>
        <v>21165</v>
      </c>
      <c r="O7" s="150">
        <v>1170</v>
      </c>
      <c r="P7" s="150">
        <f t="shared" ref="P7:P9" si="0">+O7-O7*0.23</f>
        <v>900.9</v>
      </c>
      <c r="Q7" s="150">
        <f>60-50+120+20</f>
        <v>150</v>
      </c>
      <c r="R7" s="150">
        <f>+O7*Q7</f>
        <v>175500</v>
      </c>
      <c r="S7" s="150">
        <f>+P7*Q7</f>
        <v>135135</v>
      </c>
      <c r="V7" s="150">
        <v>1170</v>
      </c>
      <c r="W7" s="150">
        <f t="shared" ref="W7:W9" si="1">+V7-V7*0.23</f>
        <v>900.9</v>
      </c>
      <c r="X7" s="150">
        <f>60-50+120+20</f>
        <v>150</v>
      </c>
      <c r="Y7" s="150">
        <f>+V7*X7</f>
        <v>175500</v>
      </c>
      <c r="Z7" s="150">
        <f>+W7*X7</f>
        <v>135135</v>
      </c>
    </row>
    <row r="8" spans="1:26" ht="13.5" thickBot="1">
      <c r="A8" s="772"/>
      <c r="B8" s="216"/>
      <c r="C8" s="217"/>
      <c r="D8" s="218"/>
      <c r="E8" s="220"/>
      <c r="F8" s="232"/>
      <c r="G8" s="559" t="s">
        <v>12</v>
      </c>
      <c r="H8" s="231" t="s">
        <v>408</v>
      </c>
      <c r="I8" s="775"/>
      <c r="J8" s="251" t="s">
        <v>425</v>
      </c>
      <c r="K8" s="502">
        <f>+C17+C25</f>
        <v>14167</v>
      </c>
      <c r="L8" s="240"/>
      <c r="M8" s="118">
        <f t="shared" ref="M8:M32" si="2">+K8+L8</f>
        <v>14167</v>
      </c>
      <c r="O8" s="150">
        <v>1000</v>
      </c>
      <c r="P8" s="150">
        <f t="shared" si="0"/>
        <v>770</v>
      </c>
      <c r="Q8" s="150">
        <v>50</v>
      </c>
      <c r="R8" s="150">
        <f>+O8*Q8</f>
        <v>50000</v>
      </c>
      <c r="S8" s="150">
        <f>+P8*Q8</f>
        <v>38500</v>
      </c>
      <c r="V8" s="150">
        <v>1000</v>
      </c>
      <c r="W8" s="150">
        <f t="shared" si="1"/>
        <v>770</v>
      </c>
      <c r="X8" s="150">
        <v>50</v>
      </c>
      <c r="Y8" s="150">
        <f>+V8*X8</f>
        <v>50000</v>
      </c>
      <c r="Z8" s="150">
        <f>+W8*X8</f>
        <v>38500</v>
      </c>
    </row>
    <row r="9" spans="1:26" ht="13.5" thickBot="1">
      <c r="A9" s="772"/>
      <c r="B9" s="216"/>
      <c r="C9" s="217"/>
      <c r="D9" s="218"/>
      <c r="E9" s="221"/>
      <c r="F9" s="229">
        <v>11</v>
      </c>
      <c r="G9" s="559" t="s">
        <v>12</v>
      </c>
      <c r="H9" s="234" t="s">
        <v>384</v>
      </c>
      <c r="I9" s="775"/>
      <c r="J9" s="251"/>
      <c r="K9" s="240"/>
      <c r="L9" s="240"/>
      <c r="M9" s="118">
        <f t="shared" si="2"/>
        <v>0</v>
      </c>
      <c r="O9" s="150">
        <v>1100</v>
      </c>
      <c r="P9" s="150">
        <f t="shared" si="0"/>
        <v>847</v>
      </c>
      <c r="Q9" s="150">
        <v>50</v>
      </c>
      <c r="R9" s="150">
        <f>+O9*Q9</f>
        <v>55000</v>
      </c>
      <c r="S9" s="150">
        <f>+P9*Q9</f>
        <v>42350</v>
      </c>
      <c r="V9" s="150">
        <v>1100</v>
      </c>
      <c r="W9" s="150">
        <f t="shared" si="1"/>
        <v>847</v>
      </c>
      <c r="X9" s="150">
        <v>50</v>
      </c>
      <c r="Y9" s="150">
        <f>+V9*X9</f>
        <v>55000</v>
      </c>
      <c r="Z9" s="150">
        <f>+W9*X9</f>
        <v>42350</v>
      </c>
    </row>
    <row r="10" spans="1:26" ht="26.25" thickBot="1">
      <c r="A10" s="772"/>
      <c r="B10" s="216"/>
      <c r="C10" s="217"/>
      <c r="D10" s="218"/>
      <c r="E10" s="220"/>
      <c r="F10" s="229">
        <v>60</v>
      </c>
      <c r="G10" s="230" t="s">
        <v>20</v>
      </c>
      <c r="H10" s="560" t="s">
        <v>399</v>
      </c>
      <c r="I10" s="775"/>
      <c r="J10" s="250"/>
      <c r="K10" s="240"/>
      <c r="L10" s="240"/>
      <c r="M10" s="118">
        <f t="shared" si="2"/>
        <v>0</v>
      </c>
      <c r="Q10" s="150">
        <f>SUM(Q6:Q9)</f>
        <v>420</v>
      </c>
      <c r="R10" s="150">
        <f t="shared" ref="R10:S10" si="3">SUM(R6:R9)</f>
        <v>489600</v>
      </c>
      <c r="S10" s="150">
        <f t="shared" si="3"/>
        <v>376992</v>
      </c>
      <c r="U10" s="150" t="s">
        <v>401</v>
      </c>
      <c r="V10" s="150">
        <v>1100</v>
      </c>
      <c r="W10" s="150">
        <v>847</v>
      </c>
      <c r="X10" s="150">
        <v>45</v>
      </c>
      <c r="Y10" s="150">
        <f t="shared" ref="Y10:Y11" si="4">+V10*X10</f>
        <v>49500</v>
      </c>
      <c r="Z10" s="150">
        <f t="shared" ref="Z10:Z11" si="5">+W10*X10</f>
        <v>38115</v>
      </c>
    </row>
    <row r="11" spans="1:26" ht="72" customHeight="1" thickBot="1">
      <c r="A11" s="772"/>
      <c r="B11" s="216"/>
      <c r="C11" s="217"/>
      <c r="D11" s="218"/>
      <c r="E11" s="220"/>
      <c r="F11" s="229">
        <v>18</v>
      </c>
      <c r="G11" s="233" t="s">
        <v>20</v>
      </c>
      <c r="H11" s="234" t="s">
        <v>400</v>
      </c>
      <c r="I11" s="775"/>
      <c r="J11" s="250"/>
      <c r="K11" s="240"/>
      <c r="L11" s="240"/>
      <c r="M11" s="118">
        <f t="shared" si="2"/>
        <v>0</v>
      </c>
      <c r="P11" s="150" t="s">
        <v>402</v>
      </c>
      <c r="Q11" s="150">
        <f>480-Q10</f>
        <v>60</v>
      </c>
      <c r="R11" s="150">
        <f>+R10/Q10</f>
        <v>1165.7142857142858</v>
      </c>
      <c r="S11" s="150">
        <f>+S10/Q10</f>
        <v>897.6</v>
      </c>
      <c r="V11" s="150">
        <v>1220</v>
      </c>
      <c r="W11" s="150">
        <v>939.4</v>
      </c>
      <c r="X11" s="150">
        <v>223</v>
      </c>
      <c r="Y11" s="150">
        <f t="shared" si="4"/>
        <v>272060</v>
      </c>
      <c r="Z11" s="150">
        <f t="shared" si="5"/>
        <v>209486.19999999998</v>
      </c>
    </row>
    <row r="12" spans="1:26" ht="13.5" thickBot="1">
      <c r="A12" s="772"/>
      <c r="B12" s="216"/>
      <c r="C12" s="217"/>
      <c r="D12" s="218"/>
      <c r="E12" s="220"/>
      <c r="F12" s="229"/>
      <c r="G12" s="233"/>
      <c r="H12" s="234"/>
      <c r="I12" s="775"/>
      <c r="J12" s="250"/>
      <c r="K12" s="240"/>
      <c r="L12" s="240"/>
      <c r="M12" s="118">
        <f t="shared" si="2"/>
        <v>0</v>
      </c>
      <c r="X12" s="150">
        <f>SUM(X6:X11)</f>
        <v>688</v>
      </c>
      <c r="Y12" s="150">
        <f>SUM(Y6:Y11)</f>
        <v>811160</v>
      </c>
      <c r="Z12" s="150">
        <f>SUM(Z6:Z11)</f>
        <v>624593.19999999995</v>
      </c>
    </row>
    <row r="13" spans="1:26" ht="13.5" thickBot="1">
      <c r="A13" s="772"/>
      <c r="B13" s="216"/>
      <c r="C13" s="217"/>
      <c r="D13" s="217"/>
      <c r="E13" s="220"/>
      <c r="F13" s="229"/>
      <c r="G13" s="233"/>
      <c r="H13" s="234"/>
      <c r="I13" s="776"/>
      <c r="J13" s="250"/>
      <c r="K13" s="240"/>
      <c r="L13" s="240"/>
      <c r="M13" s="118">
        <f t="shared" si="2"/>
        <v>0</v>
      </c>
      <c r="W13" s="150" t="s">
        <v>402</v>
      </c>
      <c r="Y13" s="150">
        <f>+Y12/X12</f>
        <v>1179.0116279069769</v>
      </c>
      <c r="Z13" s="150">
        <f>+Z12/X12</f>
        <v>907.838953488372</v>
      </c>
    </row>
    <row r="14" spans="1:26" ht="13.5" thickBot="1">
      <c r="A14" s="773"/>
      <c r="B14" s="166" t="s">
        <v>2</v>
      </c>
      <c r="C14" s="100">
        <f>SUM(C7:C13)</f>
        <v>12173</v>
      </c>
      <c r="D14" s="112">
        <f>SUM(D7:D13)</f>
        <v>0</v>
      </c>
      <c r="E14" s="113">
        <f>SUM(E5:E13)</f>
        <v>0</v>
      </c>
      <c r="F14" s="117">
        <f>SUM(F7:F13)</f>
        <v>98</v>
      </c>
      <c r="G14" s="160"/>
      <c r="H14" s="167"/>
      <c r="I14" s="168"/>
      <c r="J14" s="250"/>
      <c r="K14" s="240"/>
      <c r="L14" s="240"/>
      <c r="M14" s="118">
        <f t="shared" si="2"/>
        <v>0</v>
      </c>
      <c r="P14" s="177"/>
      <c r="Q14" s="177"/>
      <c r="R14" s="177"/>
    </row>
    <row r="15" spans="1:26" ht="13.5" customHeight="1" thickBot="1">
      <c r="A15" s="771" t="s">
        <v>422</v>
      </c>
      <c r="B15" s="166"/>
      <c r="C15" s="114">
        <f>C14/($C$23+$D$23+$E$23)</f>
        <v>1.2856991972961556</v>
      </c>
      <c r="D15" s="115">
        <f>D14/($C$23+$D$23+$E$23)</f>
        <v>0</v>
      </c>
      <c r="E15" s="116">
        <f>E14/($C$23+$D$23+$E$23)</f>
        <v>0</v>
      </c>
      <c r="F15" s="229">
        <v>12</v>
      </c>
      <c r="G15" s="557" t="s">
        <v>12</v>
      </c>
      <c r="H15" s="558" t="s">
        <v>394</v>
      </c>
      <c r="I15" s="774" t="s">
        <v>405</v>
      </c>
      <c r="J15" s="250"/>
      <c r="K15" s="240"/>
      <c r="L15" s="240"/>
      <c r="M15" s="118">
        <f t="shared" si="2"/>
        <v>0</v>
      </c>
      <c r="N15" s="150" t="s">
        <v>401</v>
      </c>
      <c r="O15" s="150">
        <v>1100</v>
      </c>
      <c r="P15" s="150">
        <f>+O15-O15*0.23</f>
        <v>847</v>
      </c>
      <c r="Q15" s="150">
        <f>60-26+11</f>
        <v>45</v>
      </c>
      <c r="R15" s="150">
        <f>+O15*Q15</f>
        <v>49500</v>
      </c>
      <c r="S15" s="150">
        <f>+P15*Q15</f>
        <v>38115</v>
      </c>
      <c r="U15" s="150" t="s">
        <v>404</v>
      </c>
      <c r="V15" s="150">
        <v>1210</v>
      </c>
      <c r="W15" s="150">
        <v>931.7</v>
      </c>
      <c r="X15" s="150">
        <v>126</v>
      </c>
      <c r="Y15" s="150">
        <f>+V15*X15</f>
        <v>152460</v>
      </c>
      <c r="Z15" s="150">
        <f>+W15*X15</f>
        <v>117394.20000000001</v>
      </c>
    </row>
    <row r="16" spans="1:26" ht="13.5" thickBot="1">
      <c r="A16" s="777"/>
      <c r="B16" s="216" t="s">
        <v>424</v>
      </c>
      <c r="C16" s="223">
        <v>8992</v>
      </c>
      <c r="D16" s="224"/>
      <c r="E16" s="225"/>
      <c r="F16" s="232"/>
      <c r="G16" s="559" t="s">
        <v>12</v>
      </c>
      <c r="H16" s="231" t="s">
        <v>408</v>
      </c>
      <c r="I16" s="775"/>
      <c r="J16" s="250"/>
      <c r="K16" s="230"/>
      <c r="L16" s="230"/>
      <c r="M16" s="118">
        <f t="shared" si="2"/>
        <v>0</v>
      </c>
      <c r="O16" s="150">
        <v>1220</v>
      </c>
      <c r="P16" s="150">
        <f t="shared" ref="P16:P18" si="6">+O16-O16*0.23</f>
        <v>939.4</v>
      </c>
      <c r="Q16" s="150">
        <f>60-11+120+54</f>
        <v>223</v>
      </c>
      <c r="R16" s="150">
        <f>+O16*Q16</f>
        <v>272060</v>
      </c>
      <c r="S16" s="150">
        <f>+P16*Q16</f>
        <v>209486.19999999998</v>
      </c>
      <c r="U16" s="150" t="s">
        <v>404</v>
      </c>
      <c r="V16" s="150">
        <v>1230</v>
      </c>
      <c r="W16" s="150">
        <f>+V16-V16*0.23</f>
        <v>947.09999999999991</v>
      </c>
      <c r="X16" s="150">
        <v>480</v>
      </c>
      <c r="Y16" s="150">
        <f>+V16*X16</f>
        <v>590400</v>
      </c>
      <c r="Z16" s="150">
        <f>+W16*X16</f>
        <v>454607.99999999994</v>
      </c>
    </row>
    <row r="17" spans="1:26" ht="13.5" thickBot="1">
      <c r="A17" s="777"/>
      <c r="B17" s="216" t="s">
        <v>425</v>
      </c>
      <c r="C17" s="217">
        <f>9468-C16</f>
        <v>476</v>
      </c>
      <c r="D17" s="218"/>
      <c r="E17" s="226"/>
      <c r="F17" s="229">
        <f>33-12</f>
        <v>21</v>
      </c>
      <c r="G17" s="559" t="s">
        <v>12</v>
      </c>
      <c r="H17" s="234" t="s">
        <v>409</v>
      </c>
      <c r="I17" s="775"/>
      <c r="J17" s="250"/>
      <c r="K17" s="230"/>
      <c r="L17" s="230"/>
      <c r="M17" s="118">
        <f t="shared" si="2"/>
        <v>0</v>
      </c>
      <c r="N17" s="150" t="s">
        <v>404</v>
      </c>
      <c r="O17" s="150">
        <v>1210</v>
      </c>
      <c r="P17" s="150">
        <f t="shared" si="6"/>
        <v>931.7</v>
      </c>
      <c r="Q17" s="150">
        <f>60-54+120</f>
        <v>126</v>
      </c>
      <c r="R17" s="150">
        <f>+O17*Q17</f>
        <v>152460</v>
      </c>
      <c r="S17" s="150">
        <f>+P17*Q17</f>
        <v>117394.20000000001</v>
      </c>
      <c r="W17" s="150">
        <f t="shared" ref="W17:W18" si="7">+V17-V17*0.23</f>
        <v>0</v>
      </c>
      <c r="Y17" s="150">
        <f>+V17*X17</f>
        <v>0</v>
      </c>
      <c r="Z17" s="150">
        <f>+W17*X17</f>
        <v>0</v>
      </c>
    </row>
    <row r="18" spans="1:26" ht="135.75" customHeight="1" thickBot="1">
      <c r="A18" s="777"/>
      <c r="B18" s="216"/>
      <c r="C18" s="217"/>
      <c r="D18" s="218"/>
      <c r="E18" s="226"/>
      <c r="F18" s="229">
        <v>86</v>
      </c>
      <c r="G18" s="230" t="s">
        <v>20</v>
      </c>
      <c r="H18" s="560" t="s">
        <v>396</v>
      </c>
      <c r="I18" s="775"/>
      <c r="J18" s="250"/>
      <c r="K18" s="240"/>
      <c r="L18" s="240"/>
      <c r="M18" s="118">
        <f t="shared" si="2"/>
        <v>0</v>
      </c>
      <c r="P18" s="150">
        <f t="shared" si="6"/>
        <v>0</v>
      </c>
      <c r="R18" s="150">
        <f>+O18*Q18</f>
        <v>0</v>
      </c>
      <c r="S18" s="150">
        <f>+P18*Q18</f>
        <v>0</v>
      </c>
      <c r="W18" s="150">
        <f t="shared" si="7"/>
        <v>0</v>
      </c>
      <c r="Y18" s="150">
        <f>+V18*X18</f>
        <v>0</v>
      </c>
      <c r="Z18" s="150">
        <f>+W18*X18</f>
        <v>0</v>
      </c>
    </row>
    <row r="19" spans="1:26" ht="51.75" thickBot="1">
      <c r="A19" s="777"/>
      <c r="B19" s="216"/>
      <c r="C19" s="217"/>
      <c r="D19" s="218"/>
      <c r="E19" s="226"/>
      <c r="F19" s="229"/>
      <c r="G19" s="233"/>
      <c r="H19" s="234" t="s">
        <v>397</v>
      </c>
      <c r="I19" s="775"/>
      <c r="J19" s="250"/>
      <c r="K19" s="240"/>
      <c r="L19" s="240"/>
      <c r="M19" s="118">
        <f t="shared" si="2"/>
        <v>0</v>
      </c>
      <c r="Q19" s="150">
        <f>SUM(Q15:Q18)</f>
        <v>394</v>
      </c>
      <c r="R19" s="150">
        <f t="shared" ref="R19:S19" si="8">SUM(R15:R18)</f>
        <v>474020</v>
      </c>
      <c r="S19" s="150">
        <f t="shared" si="8"/>
        <v>364995.4</v>
      </c>
      <c r="X19" s="150">
        <f>SUM(X15:X18)</f>
        <v>606</v>
      </c>
      <c r="Y19" s="150">
        <f t="shared" ref="Y19:Z19" si="9">SUM(Y15:Y18)</f>
        <v>742860</v>
      </c>
      <c r="Z19" s="150">
        <f t="shared" si="9"/>
        <v>572002.19999999995</v>
      </c>
    </row>
    <row r="20" spans="1:26" ht="13.5" thickBot="1">
      <c r="A20" s="777"/>
      <c r="B20" s="216"/>
      <c r="C20" s="217"/>
      <c r="D20" s="218"/>
      <c r="E20" s="226"/>
      <c r="F20" s="229"/>
      <c r="G20" s="233"/>
      <c r="H20" s="234"/>
      <c r="I20" s="775"/>
      <c r="J20" s="250"/>
      <c r="K20" s="241"/>
      <c r="L20" s="241"/>
      <c r="M20" s="118">
        <f t="shared" si="2"/>
        <v>0</v>
      </c>
      <c r="P20" s="150" t="s">
        <v>402</v>
      </c>
      <c r="Q20" s="150">
        <f>480-Q19</f>
        <v>86</v>
      </c>
      <c r="R20" s="150">
        <f>+R19/Q19</f>
        <v>1203.0964467005076</v>
      </c>
      <c r="S20" s="150">
        <f>+S19/Q19</f>
        <v>926.38426395939098</v>
      </c>
      <c r="W20" s="150" t="s">
        <v>402</v>
      </c>
      <c r="X20" s="150">
        <f>480-X19</f>
        <v>-126</v>
      </c>
      <c r="Y20" s="150">
        <f>+Y19/X19</f>
        <v>1225.8415841584158</v>
      </c>
      <c r="Z20" s="150">
        <f>+Z19/X19</f>
        <v>943.89801980198013</v>
      </c>
    </row>
    <row r="21" spans="1:26" ht="13.5" thickBot="1">
      <c r="A21" s="777"/>
      <c r="B21" s="216"/>
      <c r="C21" s="217"/>
      <c r="D21" s="218"/>
      <c r="E21" s="226"/>
      <c r="F21" s="232"/>
      <c r="G21" s="233"/>
      <c r="H21" s="234"/>
      <c r="I21" s="775"/>
      <c r="J21" s="250"/>
      <c r="K21" s="240"/>
      <c r="L21" s="240"/>
      <c r="M21" s="118">
        <f t="shared" si="2"/>
        <v>0</v>
      </c>
    </row>
    <row r="22" spans="1:26" ht="13.5" thickBot="1">
      <c r="A22" s="777"/>
      <c r="B22" s="216"/>
      <c r="C22" s="217"/>
      <c r="D22" s="218"/>
      <c r="E22" s="226"/>
      <c r="F22" s="237"/>
      <c r="G22" s="233"/>
      <c r="H22" s="234"/>
      <c r="I22" s="776"/>
      <c r="J22" s="250"/>
      <c r="K22" s="240"/>
      <c r="L22" s="240"/>
      <c r="M22" s="118">
        <f t="shared" si="2"/>
        <v>0</v>
      </c>
    </row>
    <row r="23" spans="1:26" ht="13.5" thickBot="1">
      <c r="A23" s="778"/>
      <c r="B23" s="169" t="s">
        <v>2</v>
      </c>
      <c r="C23" s="101">
        <f>SUM(C16:C22)</f>
        <v>9468</v>
      </c>
      <c r="D23" s="112">
        <f>SUM(D16:D22)</f>
        <v>0</v>
      </c>
      <c r="E23" s="113">
        <f>SUM(E18:E22)</f>
        <v>0</v>
      </c>
      <c r="F23" s="117">
        <f>SUM(F15:F22)</f>
        <v>119</v>
      </c>
      <c r="G23" s="160"/>
      <c r="H23" s="167"/>
      <c r="I23" s="170"/>
      <c r="J23" s="250"/>
      <c r="K23" s="240"/>
      <c r="L23" s="240"/>
      <c r="M23" s="118">
        <f t="shared" si="2"/>
        <v>0</v>
      </c>
      <c r="N23" s="150" t="s">
        <v>404</v>
      </c>
      <c r="O23" s="150">
        <v>1230</v>
      </c>
      <c r="P23" s="150">
        <f>+O23-O23*0.23</f>
        <v>947.09999999999991</v>
      </c>
      <c r="Q23" s="150">
        <v>480</v>
      </c>
      <c r="R23" s="150">
        <f>+O23*Q23</f>
        <v>590400</v>
      </c>
      <c r="S23" s="150">
        <f>+P23*Q23</f>
        <v>454607.99999999994</v>
      </c>
    </row>
    <row r="24" spans="1:26" ht="13.5" customHeight="1" thickBot="1">
      <c r="A24" s="771" t="s">
        <v>423</v>
      </c>
      <c r="B24" s="171"/>
      <c r="C24" s="114">
        <f>C23/($C$23+$D$23+$E$23)</f>
        <v>1</v>
      </c>
      <c r="D24" s="115">
        <f>D23/($C$23+$D$23+$E$23)</f>
        <v>0</v>
      </c>
      <c r="E24" s="116">
        <f>E23/($C$23+$D$23+$E$23)</f>
        <v>0</v>
      </c>
      <c r="F24" s="229"/>
      <c r="G24" s="557" t="s">
        <v>12</v>
      </c>
      <c r="H24" s="558" t="s">
        <v>383</v>
      </c>
      <c r="I24" s="774" t="s">
        <v>406</v>
      </c>
      <c r="J24" s="250"/>
      <c r="K24" s="240"/>
      <c r="L24" s="240"/>
      <c r="M24" s="118">
        <f t="shared" si="2"/>
        <v>0</v>
      </c>
      <c r="P24" s="150">
        <f t="shared" ref="P24:P26" si="10">+O24-O24*0.23</f>
        <v>0</v>
      </c>
      <c r="R24" s="150">
        <f>+O24*Q24</f>
        <v>0</v>
      </c>
      <c r="S24" s="150">
        <f>+P24*Q24</f>
        <v>0</v>
      </c>
    </row>
    <row r="25" spans="1:26" ht="13.5" thickBot="1">
      <c r="A25" s="777"/>
      <c r="B25" s="216" t="s">
        <v>425</v>
      </c>
      <c r="C25" s="227">
        <v>13691</v>
      </c>
      <c r="D25" s="218"/>
      <c r="E25" s="226"/>
      <c r="F25" s="232">
        <v>10</v>
      </c>
      <c r="G25" s="559" t="s">
        <v>12</v>
      </c>
      <c r="H25" s="231" t="s">
        <v>385</v>
      </c>
      <c r="I25" s="775"/>
      <c r="J25" s="250"/>
      <c r="K25" s="240"/>
      <c r="L25" s="240"/>
      <c r="M25" s="118">
        <f t="shared" si="2"/>
        <v>0</v>
      </c>
      <c r="P25" s="150">
        <f t="shared" si="10"/>
        <v>0</v>
      </c>
      <c r="R25" s="150">
        <f>+O25*Q25</f>
        <v>0</v>
      </c>
      <c r="S25" s="150">
        <f>+P25*Q25</f>
        <v>0</v>
      </c>
    </row>
    <row r="26" spans="1:26" ht="13.5" thickBot="1">
      <c r="A26" s="777"/>
      <c r="B26" s="216"/>
      <c r="C26" s="227"/>
      <c r="D26" s="218"/>
      <c r="E26" s="228"/>
      <c r="F26" s="229">
        <v>7</v>
      </c>
      <c r="G26" s="559" t="s">
        <v>12</v>
      </c>
      <c r="H26" s="234" t="s">
        <v>384</v>
      </c>
      <c r="I26" s="775"/>
      <c r="J26" s="250"/>
      <c r="K26" s="240"/>
      <c r="L26" s="240"/>
      <c r="M26" s="118">
        <f t="shared" si="2"/>
        <v>0</v>
      </c>
      <c r="P26" s="150">
        <f t="shared" si="10"/>
        <v>0</v>
      </c>
      <c r="R26" s="150">
        <f>+O26*Q26</f>
        <v>0</v>
      </c>
      <c r="S26" s="150">
        <f>+P26*Q26</f>
        <v>0</v>
      </c>
    </row>
    <row r="27" spans="1:26" ht="26.25" thickBot="1">
      <c r="A27" s="777"/>
      <c r="B27" s="216"/>
      <c r="C27" s="217"/>
      <c r="D27" s="218"/>
      <c r="E27" s="226"/>
      <c r="F27" s="229"/>
      <c r="G27" s="230"/>
      <c r="H27" s="560" t="s">
        <v>398</v>
      </c>
      <c r="I27" s="775"/>
      <c r="J27" s="250"/>
      <c r="K27" s="240"/>
      <c r="L27" s="240"/>
      <c r="M27" s="118">
        <f t="shared" si="2"/>
        <v>0</v>
      </c>
      <c r="Q27" s="150">
        <f>SUM(Q23:Q26)</f>
        <v>480</v>
      </c>
      <c r="R27" s="150">
        <f t="shared" ref="R27:S27" si="11">SUM(R23:R26)</f>
        <v>590400</v>
      </c>
      <c r="S27" s="150">
        <f t="shared" si="11"/>
        <v>454607.99999999994</v>
      </c>
    </row>
    <row r="28" spans="1:26" ht="13.5" thickBot="1">
      <c r="A28" s="777"/>
      <c r="B28" s="216"/>
      <c r="C28" s="217"/>
      <c r="D28" s="218"/>
      <c r="E28" s="226"/>
      <c r="F28" s="232"/>
      <c r="G28" s="233"/>
      <c r="H28" s="234"/>
      <c r="I28" s="775"/>
      <c r="J28" s="250"/>
      <c r="K28" s="240"/>
      <c r="L28" s="240"/>
      <c r="M28" s="118">
        <f t="shared" si="2"/>
        <v>0</v>
      </c>
      <c r="P28" s="150" t="s">
        <v>402</v>
      </c>
      <c r="Q28" s="150">
        <f>480-Q27</f>
        <v>0</v>
      </c>
      <c r="R28" s="150">
        <f>+R27/Q27</f>
        <v>1230</v>
      </c>
      <c r="S28" s="150">
        <f>+S27/Q27</f>
        <v>947.09999999999991</v>
      </c>
    </row>
    <row r="29" spans="1:26" ht="13.5" thickBot="1">
      <c r="A29" s="777"/>
      <c r="B29" s="216"/>
      <c r="C29" s="217"/>
      <c r="D29" s="218"/>
      <c r="E29" s="226"/>
      <c r="F29" s="237"/>
      <c r="G29" s="233"/>
      <c r="H29" s="234"/>
      <c r="I29" s="775"/>
      <c r="J29" s="250"/>
      <c r="K29" s="240"/>
      <c r="L29" s="240"/>
      <c r="M29" s="118">
        <f t="shared" si="2"/>
        <v>0</v>
      </c>
    </row>
    <row r="30" spans="1:26" ht="13.5" thickBot="1">
      <c r="A30" s="777"/>
      <c r="B30" s="216"/>
      <c r="C30" s="227"/>
      <c r="D30" s="218"/>
      <c r="E30" s="226"/>
      <c r="F30" s="237"/>
      <c r="G30" s="233"/>
      <c r="H30" s="234"/>
      <c r="I30" s="775"/>
      <c r="J30" s="250"/>
      <c r="K30" s="240"/>
      <c r="L30" s="240"/>
      <c r="M30" s="118">
        <f t="shared" si="2"/>
        <v>0</v>
      </c>
    </row>
    <row r="31" spans="1:26" ht="13.5" thickBot="1">
      <c r="A31" s="777"/>
      <c r="B31" s="216"/>
      <c r="C31" s="227"/>
      <c r="D31" s="218"/>
      <c r="E31" s="226"/>
      <c r="F31" s="237"/>
      <c r="G31" s="238"/>
      <c r="H31" s="436"/>
      <c r="I31" s="776"/>
      <c r="J31" s="250"/>
      <c r="K31" s="240"/>
      <c r="L31" s="240"/>
      <c r="M31" s="118">
        <f t="shared" si="2"/>
        <v>0</v>
      </c>
    </row>
    <row r="32" spans="1:26" ht="13.5" thickBot="1">
      <c r="A32" s="778"/>
      <c r="B32" s="166" t="s">
        <v>2</v>
      </c>
      <c r="C32" s="100">
        <f>SUM(C25:C31)</f>
        <v>13691</v>
      </c>
      <c r="D32" s="101">
        <f>SUM(D25:D31)</f>
        <v>0</v>
      </c>
      <c r="E32" s="102">
        <f>SUM(E25:E31)</f>
        <v>0</v>
      </c>
      <c r="F32" s="103">
        <f>SUM(F24:F31)</f>
        <v>17</v>
      </c>
      <c r="G32" s="172"/>
      <c r="H32" s="173"/>
      <c r="I32" s="170"/>
      <c r="J32" s="252"/>
      <c r="K32" s="242"/>
      <c r="L32" s="244"/>
      <c r="M32" s="118">
        <f t="shared" si="2"/>
        <v>0</v>
      </c>
      <c r="N32" s="150" t="s">
        <v>401</v>
      </c>
      <c r="O32" s="150">
        <v>1179.0116279069769</v>
      </c>
      <c r="P32" s="150">
        <v>907.838953488372</v>
      </c>
      <c r="Q32" s="150">
        <v>688</v>
      </c>
    </row>
    <row r="33" spans="1:17" ht="13.5" thickBot="1">
      <c r="A33" s="174"/>
      <c r="B33" s="175"/>
      <c r="C33" s="104">
        <f>C32/($C$32+$D$32+$E$32)</f>
        <v>1</v>
      </c>
      <c r="D33" s="105">
        <f>D32/($C$32+$D$32+$E$32)</f>
        <v>0</v>
      </c>
      <c r="E33" s="106">
        <f>E32/($C$32+$D$32+$E$32)</f>
        <v>0</v>
      </c>
      <c r="F33" s="107"/>
      <c r="G33" s="176"/>
      <c r="H33" s="177"/>
      <c r="I33" s="178"/>
      <c r="J33" s="122"/>
      <c r="K33" s="123"/>
      <c r="L33" s="214"/>
      <c r="M33" s="120"/>
      <c r="N33" s="150" t="s">
        <v>404</v>
      </c>
      <c r="O33" s="150">
        <v>1225.8415841584158</v>
      </c>
      <c r="P33" s="150">
        <v>943.89801980198013</v>
      </c>
      <c r="Q33" s="150">
        <v>606</v>
      </c>
    </row>
    <row r="34" spans="1:17" ht="13.5" thickBot="1">
      <c r="A34" s="767" t="s">
        <v>57</v>
      </c>
      <c r="B34" s="768"/>
      <c r="C34" s="108">
        <f>C14+C23+C32</f>
        <v>35332</v>
      </c>
      <c r="D34" s="108">
        <f>D14+D23+D32</f>
        <v>0</v>
      </c>
      <c r="E34" s="108">
        <f>E14+E23+E32</f>
        <v>0</v>
      </c>
      <c r="F34" s="109">
        <f>F14+F23+F32</f>
        <v>234</v>
      </c>
      <c r="H34" s="179"/>
      <c r="I34" s="179"/>
      <c r="J34" s="124" t="s">
        <v>28</v>
      </c>
      <c r="K34" s="125">
        <f>SUM(K7:K32)</f>
        <v>35332</v>
      </c>
      <c r="L34" s="213">
        <f>SUM(L7:L32)</f>
        <v>0</v>
      </c>
      <c r="M34" s="121">
        <f>SUM(M7:M32)</f>
        <v>35332</v>
      </c>
      <c r="Q34" s="150">
        <f>SUM(Q32:Q33)</f>
        <v>1294</v>
      </c>
    </row>
    <row r="35" spans="1:17" ht="13.5" thickBot="1">
      <c r="A35" s="180"/>
      <c r="B35" s="181"/>
      <c r="C35" s="105">
        <f>C34/($C$34+$D$34+$E$34)</f>
        <v>1</v>
      </c>
      <c r="D35" s="105">
        <f>D34/($C$34+$D$34+$E$34)</f>
        <v>0</v>
      </c>
      <c r="E35" s="110">
        <f>E34/($C$34+$D$34+$E$34)</f>
        <v>0</v>
      </c>
      <c r="K35" s="156"/>
    </row>
    <row r="36" spans="1:17" ht="13.5" thickBot="1">
      <c r="A36" s="179"/>
      <c r="B36" s="179"/>
      <c r="C36" s="156"/>
      <c r="D36" s="156"/>
      <c r="E36" s="156"/>
      <c r="G36" s="156"/>
      <c r="H36" s="182"/>
      <c r="I36" s="163" t="s">
        <v>37</v>
      </c>
      <c r="J36" s="163" t="s">
        <v>38</v>
      </c>
      <c r="K36" s="183"/>
    </row>
    <row r="37" spans="1:17" ht="17.45" customHeight="1" thickBot="1">
      <c r="A37" s="769" t="s">
        <v>58</v>
      </c>
      <c r="B37" s="770"/>
      <c r="C37" s="163" t="s">
        <v>59</v>
      </c>
      <c r="D37" s="184" t="s">
        <v>60</v>
      </c>
      <c r="E37" s="185" t="s">
        <v>61</v>
      </c>
      <c r="F37" s="186"/>
      <c r="G37" s="156"/>
      <c r="H37" s="187" t="s">
        <v>62</v>
      </c>
      <c r="I37" s="245">
        <f>(12.5*688+606*13)/1294*G42*2.74*1294/1000000</f>
        <v>41.751118441489957</v>
      </c>
      <c r="J37" s="126">
        <f>I37</f>
        <v>41.751118441489957</v>
      </c>
      <c r="K37" s="127" t="s">
        <v>63</v>
      </c>
      <c r="N37" s="150">
        <v>420</v>
      </c>
    </row>
    <row r="38" spans="1:17" ht="17.45" customHeight="1">
      <c r="A38" s="761" t="s">
        <v>12</v>
      </c>
      <c r="B38" s="762"/>
      <c r="C38" s="165">
        <f>SUMIF($G$7:$G$31,"Process",$F$7:$F$31)</f>
        <v>70</v>
      </c>
      <c r="D38" s="119">
        <f>C38</f>
        <v>70</v>
      </c>
      <c r="E38" s="144">
        <f t="shared" ref="E38:E51" si="12">D38/60</f>
        <v>1.1666666666666667</v>
      </c>
      <c r="F38" s="186">
        <v>1165.7142857142858</v>
      </c>
      <c r="G38" s="186">
        <v>897.6</v>
      </c>
      <c r="H38" s="188" t="s">
        <v>64</v>
      </c>
      <c r="I38" s="246">
        <f>12.682+10.478+13.532</f>
        <v>36.692</v>
      </c>
      <c r="J38" s="128">
        <f>I38</f>
        <v>36.692</v>
      </c>
      <c r="K38" s="129" t="s">
        <v>63</v>
      </c>
      <c r="N38" s="150">
        <v>394</v>
      </c>
    </row>
    <row r="39" spans="1:17" ht="17.45" customHeight="1">
      <c r="A39" s="765" t="s">
        <v>13</v>
      </c>
      <c r="B39" s="766"/>
      <c r="C39" s="165">
        <f>SUMIF($G$7:$G$31,"Cleaning",$F$7:$F$31)</f>
        <v>0</v>
      </c>
      <c r="D39" s="119">
        <f>C39</f>
        <v>0</v>
      </c>
      <c r="E39" s="144">
        <f t="shared" si="12"/>
        <v>0</v>
      </c>
      <c r="F39" s="186">
        <v>1203.0964467005076</v>
      </c>
      <c r="G39" s="186">
        <v>926.38426395939098</v>
      </c>
      <c r="H39" s="188" t="s">
        <v>65</v>
      </c>
      <c r="I39" s="143"/>
      <c r="J39" s="130">
        <f>J37/G4</f>
        <v>41.751118441489957</v>
      </c>
      <c r="K39" s="131" t="s">
        <v>63</v>
      </c>
      <c r="N39" s="150">
        <v>480</v>
      </c>
    </row>
    <row r="40" spans="1:17" ht="17.45" customHeight="1">
      <c r="A40" s="765" t="s">
        <v>66</v>
      </c>
      <c r="B40" s="766"/>
      <c r="C40" s="165">
        <f>SUMIF($G$7:$G$31,"Mechanical",$F$7:$F$31)</f>
        <v>0</v>
      </c>
      <c r="D40" s="119">
        <f t="shared" ref="D40:D51" si="13">C40</f>
        <v>0</v>
      </c>
      <c r="E40" s="144">
        <f t="shared" si="12"/>
        <v>0</v>
      </c>
      <c r="F40" s="186">
        <v>1230</v>
      </c>
      <c r="G40" s="186">
        <v>947.09999999999991</v>
      </c>
      <c r="H40" s="188" t="s">
        <v>67</v>
      </c>
      <c r="I40" s="119">
        <f>(K34+L34)/1000</f>
        <v>35.332000000000001</v>
      </c>
      <c r="J40" s="132">
        <f>M34/1000</f>
        <v>35.332000000000001</v>
      </c>
      <c r="K40" s="131" t="s">
        <v>63</v>
      </c>
      <c r="N40" s="150">
        <f>SUM(N37:N39)</f>
        <v>1294</v>
      </c>
    </row>
    <row r="41" spans="1:17" ht="17.45" customHeight="1">
      <c r="A41" s="765" t="s">
        <v>68</v>
      </c>
      <c r="B41" s="766"/>
      <c r="C41" s="165">
        <f>SUMIF($G$7:$G$31,"Electrical",$F$7:$F$31)</f>
        <v>0</v>
      </c>
      <c r="D41" s="119">
        <f t="shared" si="13"/>
        <v>0</v>
      </c>
      <c r="E41" s="144">
        <f t="shared" si="12"/>
        <v>0</v>
      </c>
      <c r="F41" s="186"/>
      <c r="G41" s="186"/>
      <c r="H41" s="188" t="s">
        <v>69</v>
      </c>
      <c r="I41" s="143"/>
      <c r="J41" s="130">
        <f>J40/G4</f>
        <v>35.332000000000001</v>
      </c>
      <c r="K41" s="131" t="s">
        <v>63</v>
      </c>
    </row>
    <row r="42" spans="1:17" ht="17.45" customHeight="1">
      <c r="A42" s="765" t="s">
        <v>16</v>
      </c>
      <c r="B42" s="766"/>
      <c r="C42" s="165">
        <f>SUMIF($G$7:$G$31,"Instrument",$F$7:$F$31)</f>
        <v>0</v>
      </c>
      <c r="D42" s="119">
        <f t="shared" si="13"/>
        <v>0</v>
      </c>
      <c r="E42" s="144">
        <f t="shared" si="12"/>
        <v>0</v>
      </c>
      <c r="F42" s="323">
        <f>+(420*F38+394*F39+480*F40)/1294</f>
        <v>1200.9428129829985</v>
      </c>
      <c r="G42" s="323">
        <f>+(420*G38+394*G39+480*G40)/1294</f>
        <v>924.72596599690871</v>
      </c>
      <c r="H42" s="188" t="s">
        <v>70</v>
      </c>
      <c r="I42" s="247" t="s">
        <v>407</v>
      </c>
      <c r="J42" s="133"/>
      <c r="K42" s="131" t="s">
        <v>71</v>
      </c>
    </row>
    <row r="43" spans="1:17" ht="17.45" customHeight="1">
      <c r="A43" s="765" t="s">
        <v>220</v>
      </c>
      <c r="B43" s="766"/>
      <c r="C43" s="165">
        <f>SUMIF($G$7:$G$31,"Change Grade",$F$7:$F$31)</f>
        <v>0</v>
      </c>
      <c r="D43" s="119">
        <f t="shared" si="13"/>
        <v>0</v>
      </c>
      <c r="E43" s="144">
        <f t="shared" si="12"/>
        <v>0</v>
      </c>
      <c r="F43" s="186"/>
      <c r="H43" s="189" t="s">
        <v>73</v>
      </c>
      <c r="I43" s="119">
        <f>+Report1!Z9</f>
        <v>57.7</v>
      </c>
      <c r="J43" s="134">
        <f>I43</f>
        <v>57.7</v>
      </c>
      <c r="K43" s="131" t="s">
        <v>63</v>
      </c>
      <c r="L43" s="190"/>
    </row>
    <row r="44" spans="1:17" ht="17.45" customHeight="1">
      <c r="A44" s="765" t="s">
        <v>17</v>
      </c>
      <c r="B44" s="766"/>
      <c r="C44" s="165">
        <f>SUMIF($G$7:$G$31,"PLN",$F$7:$F$31)</f>
        <v>0</v>
      </c>
      <c r="D44" s="119">
        <f>C44</f>
        <v>0</v>
      </c>
      <c r="E44" s="144">
        <f t="shared" si="12"/>
        <v>0</v>
      </c>
      <c r="F44" s="186"/>
      <c r="H44" s="189" t="s">
        <v>74</v>
      </c>
      <c r="I44" s="119">
        <f>I43/I38</f>
        <v>1.5725498746320725</v>
      </c>
      <c r="J44" s="135">
        <f>J43/J38</f>
        <v>1.5725498746320725</v>
      </c>
      <c r="K44" s="131" t="s">
        <v>63</v>
      </c>
    </row>
    <row r="45" spans="1:17" ht="17.45" customHeight="1">
      <c r="A45" s="765" t="s">
        <v>18</v>
      </c>
      <c r="B45" s="766"/>
      <c r="C45" s="165">
        <f>SUMIF($G$7:$G$31,"Boiler",$F$7:$F$31)</f>
        <v>0</v>
      </c>
      <c r="D45" s="119">
        <f t="shared" si="13"/>
        <v>0</v>
      </c>
      <c r="E45" s="144">
        <f t="shared" si="12"/>
        <v>0</v>
      </c>
      <c r="F45" s="186"/>
      <c r="G45" s="177"/>
      <c r="H45" s="189" t="s">
        <v>75</v>
      </c>
      <c r="I45" s="119">
        <f>I43/I40</f>
        <v>1.6330804936035324</v>
      </c>
      <c r="J45" s="135">
        <f>J43/J40</f>
        <v>1.6330804936035324</v>
      </c>
      <c r="K45" s="131" t="s">
        <v>63</v>
      </c>
    </row>
    <row r="46" spans="1:17" ht="17.45" customHeight="1">
      <c r="A46" s="765" t="s">
        <v>76</v>
      </c>
      <c r="B46" s="766"/>
      <c r="C46" s="165">
        <f>SUMIF($G$7:$G$31,"Gas",$F$7:$F$31)</f>
        <v>0</v>
      </c>
      <c r="D46" s="119">
        <f t="shared" si="13"/>
        <v>0</v>
      </c>
      <c r="E46" s="144">
        <f t="shared" si="12"/>
        <v>0</v>
      </c>
      <c r="F46" s="186"/>
      <c r="H46" s="189" t="s">
        <v>77</v>
      </c>
      <c r="I46" s="141">
        <f>+SUMIF(Listrik!P8,"&gt;0")</f>
        <v>36445.059999999634</v>
      </c>
      <c r="J46" s="136">
        <f>I46</f>
        <v>36445.059999999634</v>
      </c>
      <c r="K46" s="131" t="s">
        <v>78</v>
      </c>
    </row>
    <row r="47" spans="1:17" ht="17.45" customHeight="1">
      <c r="A47" s="765" t="s">
        <v>79</v>
      </c>
      <c r="B47" s="766"/>
      <c r="C47" s="165">
        <f>SUMIF($G$7:$G$31,"Gas",$F$7:$F$31)</f>
        <v>0</v>
      </c>
      <c r="D47" s="119">
        <f t="shared" si="13"/>
        <v>0</v>
      </c>
      <c r="E47" s="144">
        <f t="shared" si="12"/>
        <v>0</v>
      </c>
      <c r="F47" s="186"/>
      <c r="H47" s="189" t="s">
        <v>80</v>
      </c>
      <c r="I47" s="119">
        <f>I46/I38</f>
        <v>993.26992259892165</v>
      </c>
      <c r="J47" s="136">
        <f>J46/J38</f>
        <v>993.26992259892165</v>
      </c>
      <c r="K47" s="131" t="s">
        <v>24</v>
      </c>
    </row>
    <row r="48" spans="1:17" ht="17.45" customHeight="1">
      <c r="A48" s="765" t="s">
        <v>14</v>
      </c>
      <c r="B48" s="766"/>
      <c r="C48" s="165">
        <f>SUMIF($G$7:$G$31,"Start Up",$F$7:$F$31)</f>
        <v>0</v>
      </c>
      <c r="D48" s="119">
        <f t="shared" si="13"/>
        <v>0</v>
      </c>
      <c r="E48" s="144">
        <f t="shared" si="12"/>
        <v>0</v>
      </c>
      <c r="F48" s="186"/>
      <c r="H48" s="189" t="s">
        <v>81</v>
      </c>
      <c r="I48" s="119">
        <f>I46/I40</f>
        <v>1031.5028869013822</v>
      </c>
      <c r="J48" s="136">
        <f>J46/J40</f>
        <v>1031.5028869013822</v>
      </c>
      <c r="K48" s="131" t="s">
        <v>24</v>
      </c>
    </row>
    <row r="49" spans="1:11" ht="17.45" customHeight="1">
      <c r="A49" s="765" t="s">
        <v>20</v>
      </c>
      <c r="B49" s="766"/>
      <c r="C49" s="165">
        <f>SUMIF($G$7:$G$31,"Others",$F$7:$F$31)</f>
        <v>164</v>
      </c>
      <c r="D49" s="119">
        <f t="shared" si="13"/>
        <v>164</v>
      </c>
      <c r="E49" s="144">
        <f t="shared" si="12"/>
        <v>2.7333333333333334</v>
      </c>
      <c r="F49" s="186"/>
      <c r="H49" s="189" t="s">
        <v>268</v>
      </c>
      <c r="I49" s="119">
        <f>+Report1!T9</f>
        <v>3947.4227231233758</v>
      </c>
      <c r="J49" s="136">
        <f>I49</f>
        <v>3947.4227231233758</v>
      </c>
      <c r="K49" s="131" t="s">
        <v>82</v>
      </c>
    </row>
    <row r="50" spans="1:11" ht="17.45" customHeight="1">
      <c r="A50" s="765" t="s">
        <v>19</v>
      </c>
      <c r="B50" s="766"/>
      <c r="C50" s="165">
        <f>SUMIF($G$7:$G$31,"Steam",$F$7:$F$31)</f>
        <v>0</v>
      </c>
      <c r="D50" s="119">
        <f t="shared" si="13"/>
        <v>0</v>
      </c>
      <c r="E50" s="144">
        <f t="shared" si="12"/>
        <v>0</v>
      </c>
      <c r="F50" s="186"/>
      <c r="H50" s="189" t="s">
        <v>83</v>
      </c>
      <c r="I50" s="141">
        <f>I49/I38</f>
        <v>107.582653524566</v>
      </c>
      <c r="J50" s="134">
        <f>J49/J38</f>
        <v>107.582653524566</v>
      </c>
      <c r="K50" s="131" t="s">
        <v>82</v>
      </c>
    </row>
    <row r="51" spans="1:11" ht="17.45" customHeight="1" thickBot="1">
      <c r="A51" s="759" t="s">
        <v>84</v>
      </c>
      <c r="B51" s="760"/>
      <c r="C51" s="165">
        <f>SUMIF($G$7:$G$31,"Planned shut",$F$7:$F$31)</f>
        <v>0</v>
      </c>
      <c r="D51" s="119">
        <f t="shared" si="13"/>
        <v>0</v>
      </c>
      <c r="E51" s="144">
        <f t="shared" si="12"/>
        <v>0</v>
      </c>
      <c r="F51" s="186"/>
      <c r="H51" s="191" t="s">
        <v>85</v>
      </c>
      <c r="I51" s="142">
        <f>I49/I40</f>
        <v>111.72372702149258</v>
      </c>
      <c r="J51" s="137">
        <f>J49/J40</f>
        <v>111.72372702149258</v>
      </c>
      <c r="K51" s="138" t="s">
        <v>82</v>
      </c>
    </row>
    <row r="52" spans="1:11" ht="13.5" thickBot="1">
      <c r="A52" s="761" t="s">
        <v>28</v>
      </c>
      <c r="B52" s="762"/>
      <c r="C52" s="145">
        <f>SUM(C38:C51)</f>
        <v>234</v>
      </c>
      <c r="D52" s="145">
        <f>SUM(D38:D51)</f>
        <v>234</v>
      </c>
      <c r="E52" s="146">
        <f>SUM(E38:E51)</f>
        <v>3.9000000000000004</v>
      </c>
      <c r="F52" s="186"/>
      <c r="H52" s="192"/>
      <c r="I52" s="193"/>
      <c r="J52" s="139"/>
      <c r="K52" s="140"/>
    </row>
    <row r="53" spans="1:11" ht="13.5" thickBot="1">
      <c r="A53" s="763"/>
      <c r="B53" s="764"/>
      <c r="C53" s="147">
        <f>C52/(24*60)</f>
        <v>0.16250000000000001</v>
      </c>
      <c r="D53" s="147">
        <f>D52/(24*60*G4)</f>
        <v>0.16250000000000001</v>
      </c>
      <c r="E53" s="148">
        <f>E52/(G4*24)</f>
        <v>0.16250000000000001</v>
      </c>
      <c r="F53" s="186"/>
    </row>
    <row r="54" spans="1:11">
      <c r="E54" s="194"/>
      <c r="F54" s="186"/>
    </row>
    <row r="55" spans="1:11">
      <c r="E55" s="194"/>
    </row>
    <row r="56" spans="1:11">
      <c r="A56" s="195" t="s">
        <v>86</v>
      </c>
      <c r="B56" s="196"/>
      <c r="C56" s="197"/>
      <c r="D56" s="197"/>
      <c r="E56" s="197"/>
      <c r="F56" s="198"/>
      <c r="G56" s="197"/>
      <c r="H56" s="199"/>
      <c r="I56" s="200" t="s">
        <v>87</v>
      </c>
      <c r="J56" s="201">
        <f>D34</f>
        <v>0</v>
      </c>
      <c r="K56" s="202">
        <f>J56/(J40+J56/1000)/1000</f>
        <v>0</v>
      </c>
    </row>
    <row r="57" spans="1:11">
      <c r="A57" s="177"/>
      <c r="I57" s="200" t="s">
        <v>88</v>
      </c>
      <c r="J57" s="201">
        <f>+E34</f>
        <v>0</v>
      </c>
      <c r="K57" s="202">
        <f>J57/(J40+J57/1000)/1000</f>
        <v>0</v>
      </c>
    </row>
    <row r="58" spans="1:11">
      <c r="A58" s="203"/>
      <c r="B58" s="204"/>
      <c r="F58" s="186"/>
      <c r="H58" s="205"/>
    </row>
    <row r="59" spans="1:11">
      <c r="A59" s="206"/>
      <c r="B59" s="177"/>
      <c r="C59" s="177"/>
      <c r="D59" s="177"/>
      <c r="E59" s="177"/>
      <c r="F59" s="190"/>
      <c r="G59" s="177"/>
      <c r="H59" s="205"/>
    </row>
    <row r="60" spans="1:11">
      <c r="H60" s="205"/>
    </row>
    <row r="61" spans="1:11">
      <c r="A61" s="207"/>
      <c r="B61" s="208"/>
      <c r="C61" s="208"/>
      <c r="D61" s="208"/>
      <c r="E61" s="208"/>
      <c r="F61" s="209"/>
      <c r="G61" s="208"/>
      <c r="H61" s="210"/>
    </row>
  </sheetData>
  <mergeCells count="24">
    <mergeCell ref="A52:B52"/>
    <mergeCell ref="A53:B53"/>
    <mergeCell ref="A42:B42"/>
    <mergeCell ref="A43:B43"/>
    <mergeCell ref="A44:B44"/>
    <mergeCell ref="A45:B45"/>
    <mergeCell ref="A46:B46"/>
    <mergeCell ref="A47:B47"/>
    <mergeCell ref="A50:B50"/>
    <mergeCell ref="A51:B51"/>
    <mergeCell ref="A7:A14"/>
    <mergeCell ref="I7:I13"/>
    <mergeCell ref="A15:A23"/>
    <mergeCell ref="I15:I22"/>
    <mergeCell ref="A34:B34"/>
    <mergeCell ref="A37:B37"/>
    <mergeCell ref="A24:A32"/>
    <mergeCell ref="I24:I31"/>
    <mergeCell ref="A48:B48"/>
    <mergeCell ref="A49:B49"/>
    <mergeCell ref="A40:B40"/>
    <mergeCell ref="A41:B41"/>
    <mergeCell ref="A38:B38"/>
    <mergeCell ref="A39:B39"/>
  </mergeCells>
  <phoneticPr fontId="32" type="noConversion"/>
  <printOptions horizontalCentered="1"/>
  <pageMargins left="0.15625" right="0.15625" top="0.17" bottom="0.16" header="0" footer="0"/>
  <pageSetup paperSize="9" scale="62" firstPageNumber="429496319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35</vt:i4>
      </vt:variant>
    </vt:vector>
  </HeadingPairs>
  <TitlesOfParts>
    <vt:vector size="77" baseType="lpstr">
      <vt:lpstr>Report1</vt:lpstr>
      <vt:lpstr>GRAFIK</vt:lpstr>
      <vt:lpstr>Listrik</vt:lpstr>
      <vt:lpstr>Trim Rwd</vt:lpstr>
      <vt:lpstr>Efficiency1</vt:lpstr>
      <vt:lpstr>Efficiency2</vt:lpstr>
      <vt:lpstr>Chem</vt:lpstr>
      <vt:lpstr>RBP</vt:lpstr>
      <vt:lpstr>BB</vt:lpstr>
      <vt:lpstr>Sheet1</vt:lpstr>
      <vt:lpstr>summary</vt:lpstr>
      <vt:lpstr>31</vt:lpstr>
      <vt:lpstr>30</vt:lpstr>
      <vt:lpstr>29</vt:lpstr>
      <vt:lpstr>28</vt:lpstr>
      <vt:lpstr>27</vt:lpstr>
      <vt:lpstr>26</vt:lpstr>
      <vt:lpstr>25</vt:lpstr>
      <vt:lpstr>24</vt:lpstr>
      <vt:lpstr>23</vt:lpstr>
      <vt:lpstr>22</vt:lpstr>
      <vt:lpstr>21</vt:lpstr>
      <vt:lpstr>20</vt:lpstr>
      <vt:lpstr>19</vt:lpstr>
      <vt:lpstr>18</vt:lpstr>
      <vt:lpstr>17</vt:lpstr>
      <vt:lpstr>16</vt:lpstr>
      <vt:lpstr>15</vt:lpstr>
      <vt:lpstr>14</vt:lpstr>
      <vt:lpstr>13</vt:lpstr>
      <vt:lpstr>12</vt:lpstr>
      <vt:lpstr>11</vt:lpstr>
      <vt:lpstr>10</vt:lpstr>
      <vt:lpstr>9</vt:lpstr>
      <vt:lpstr>8</vt:lpstr>
      <vt:lpstr>7</vt:lpstr>
      <vt:lpstr>6</vt:lpstr>
      <vt:lpstr>5</vt:lpstr>
      <vt:lpstr>4</vt:lpstr>
      <vt:lpstr>3</vt:lpstr>
      <vt:lpstr>2</vt:lpstr>
      <vt:lpstr>1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Chem!Print_Area</vt:lpstr>
      <vt:lpstr>Efficiency1!Print_Area</vt:lpstr>
      <vt:lpstr>Efficiency2!Print_Area</vt:lpstr>
      <vt:lpstr>Listrik!Print_Area</vt:lpstr>
      <vt:lpstr>Report1!Print_Area</vt:lpstr>
    </vt:vector>
  </TitlesOfParts>
  <Company>PT. Sopanusa Tissue</Company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Budiarta</dc:creator>
  <cp:lastModifiedBy>Produksi-PM</cp:lastModifiedBy>
  <cp:revision/>
  <cp:lastPrinted>2025-08-01T09:05:07Z</cp:lastPrinted>
  <dcterms:created xsi:type="dcterms:W3CDTF">2007-07-30T03:52:39Z</dcterms:created>
  <dcterms:modified xsi:type="dcterms:W3CDTF">2025-08-05T04:29:56Z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